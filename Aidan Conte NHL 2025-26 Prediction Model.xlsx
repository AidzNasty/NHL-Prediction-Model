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461" documentId="14_{BC0C37BD-5950-BD49-823D-87212FE79B51}" xr6:coauthVersionLast="47" xr6:coauthVersionMax="47" xr10:uidLastSave="{74A6A35D-ED4C-3149-87CE-016ED94DD906}"/>
  <bookViews>
    <workbookView xWindow="0" yWindow="680" windowWidth="29400" windowHeight="17040" activeTab="2" xr2:uid="{7CE34565-0E34-CB48-A9A7-C6944B417D9B}"/>
  </bookViews>
  <sheets>
    <sheet name="NHL2025-26Results" sheetId="3" r:id="rId1"/>
    <sheet name="NHL Model" sheetId="1" r:id="rId2"/>
    <sheet name="NHL HomeIce Model" sheetId="4" r:id="rId3"/>
    <sheet name="NHL HomeIce Model (2)" sheetId="6" r:id="rId4"/>
    <sheet name="Standings" sheetId="5" r:id="rId5"/>
  </sheets>
  <definedNames>
    <definedName name="ExternalData_1" localSheetId="0" hidden="1">'NHL2025-26Results'!$A$1:$J$1313</definedName>
    <definedName name="HomeEdge">'NHL Model'!$B$1</definedName>
    <definedName name="solver_adj" localSheetId="2" hidden="1">'NHL HomeIce Model'!$T$10</definedName>
    <definedName name="solver_adj" localSheetId="3" hidden="1">'NHL HomeIce Model (2)'!$V$10</definedName>
    <definedName name="solver_adj" localSheetId="1" hidden="1">'NHL Model'!$B$1,'NHL Model'!$B$7:$B$38</definedName>
    <definedName name="solver_cvg" localSheetId="2" hidden="1">0.0001</definedName>
    <definedName name="solver_cvg" localSheetId="3" hidden="1">0.0001</definedName>
    <definedName name="solver_cvg" localSheetId="1" hidden="1">0.0001</definedName>
    <definedName name="solver_cvg" localSheetId="4" hidden="1">0.0001</definedName>
    <definedName name="solver_drv" localSheetId="2" hidden="1">1</definedName>
    <definedName name="solver_drv" localSheetId="3" hidden="1">1</definedName>
    <definedName name="solver_drv" localSheetId="1" hidden="1">1</definedName>
    <definedName name="solver_drv" localSheetId="4" hidden="1">1</definedName>
    <definedName name="solver_eng" localSheetId="2" hidden="1">1</definedName>
    <definedName name="solver_eng" localSheetId="3" hidden="1">1</definedName>
    <definedName name="solver_eng" localSheetId="1" hidden="1">1</definedName>
    <definedName name="solver_itr" localSheetId="2" hidden="1">2147483647</definedName>
    <definedName name="solver_itr" localSheetId="3" hidden="1">2147483647</definedName>
    <definedName name="solver_itr" localSheetId="1" hidden="1">2147483647</definedName>
    <definedName name="solver_itr" localSheetId="4" hidden="1">2147483647</definedName>
    <definedName name="solver_lhs1" localSheetId="2" hidden="1">'NHL HomeIce Model'!$T$10</definedName>
    <definedName name="solver_lhs1" localSheetId="3" hidden="1">'NHL HomeIce Model (2)'!$V$10</definedName>
    <definedName name="solver_lhs1" localSheetId="1" hidden="1">'NHL Model'!$B$3</definedName>
    <definedName name="solver_lhs2" localSheetId="2" hidden="1">'NHL HomeIce Model'!$T$10</definedName>
    <definedName name="solver_lhs2" localSheetId="3" hidden="1">'NHL HomeIce Model (2)'!$V$10</definedName>
    <definedName name="solver_lin" localSheetId="2" hidden="1">2</definedName>
    <definedName name="solver_lin" localSheetId="3" hidden="1">2</definedName>
    <definedName name="solver_lin" localSheetId="1" hidden="1">2</definedName>
    <definedName name="solver_mip" localSheetId="2" hidden="1">2147483647</definedName>
    <definedName name="solver_mip" localSheetId="3" hidden="1">2147483647</definedName>
    <definedName name="solver_mip" localSheetId="1" hidden="1">2147483647</definedName>
    <definedName name="solver_mip" localSheetId="4" hidden="1">2147483647</definedName>
    <definedName name="solver_mni" localSheetId="2" hidden="1">30</definedName>
    <definedName name="solver_mni" localSheetId="3" hidden="1">30</definedName>
    <definedName name="solver_mni" localSheetId="1" hidden="1">30</definedName>
    <definedName name="solver_mni" localSheetId="4" hidden="1">30</definedName>
    <definedName name="solver_mrt" localSheetId="2" hidden="1">0.075</definedName>
    <definedName name="solver_mrt" localSheetId="3" hidden="1">0.075</definedName>
    <definedName name="solver_mrt" localSheetId="1" hidden="1">0.075</definedName>
    <definedName name="solver_mrt" localSheetId="4" hidden="1">0.075</definedName>
    <definedName name="solver_msl" localSheetId="2" hidden="1">2</definedName>
    <definedName name="solver_msl" localSheetId="3" hidden="1">2</definedName>
    <definedName name="solver_msl" localSheetId="1" hidden="1">2</definedName>
    <definedName name="solver_msl" localSheetId="4" hidden="1">2</definedName>
    <definedName name="solver_neg" localSheetId="2" hidden="1">1</definedName>
    <definedName name="solver_neg" localSheetId="3" hidden="1">1</definedName>
    <definedName name="solver_neg" localSheetId="1" hidden="1">2</definedName>
    <definedName name="solver_neg" localSheetId="4" hidden="1">2</definedName>
    <definedName name="solver_nod" localSheetId="2" hidden="1">2147483647</definedName>
    <definedName name="solver_nod" localSheetId="3" hidden="1">2147483647</definedName>
    <definedName name="solver_nod" localSheetId="1" hidden="1">2147483647</definedName>
    <definedName name="solver_nod" localSheetId="4" hidden="1">2147483647</definedName>
    <definedName name="solver_num" localSheetId="2" hidden="1">1</definedName>
    <definedName name="solver_num" localSheetId="3" hidden="1">1</definedName>
    <definedName name="solver_num" localSheetId="1" hidden="1">1</definedName>
    <definedName name="solver_opt" localSheetId="2" hidden="1">'NHL HomeIce Model'!$T$8</definedName>
    <definedName name="solver_opt" localSheetId="3" hidden="1">'NHL HomeIce Model (2)'!$V$8</definedName>
    <definedName name="solver_opt" localSheetId="1" hidden="1">'NHL Model'!$J$3</definedName>
    <definedName name="solver_opt" localSheetId="4" hidden="1">Standings!$J$3</definedName>
    <definedName name="solver_pre" localSheetId="2" hidden="1">0.000001</definedName>
    <definedName name="solver_pre" localSheetId="3" hidden="1">0.000001</definedName>
    <definedName name="solver_pre" localSheetId="1" hidden="1">0.000001</definedName>
    <definedName name="solver_pre" localSheetId="4" hidden="1">0.000001</definedName>
    <definedName name="solver_rbv" localSheetId="2" hidden="1">1</definedName>
    <definedName name="solver_rbv" localSheetId="3" hidden="1">1</definedName>
    <definedName name="solver_rbv" localSheetId="1" hidden="1">1</definedName>
    <definedName name="solver_rbv" localSheetId="4" hidden="1">1</definedName>
    <definedName name="solver_rel1" localSheetId="2" hidden="1">1</definedName>
    <definedName name="solver_rel1" localSheetId="3" hidden="1">1</definedName>
    <definedName name="solver_rel1" localSheetId="1" hidden="1">2</definedName>
    <definedName name="solver_rel2" localSheetId="2" hidden="1">3</definedName>
    <definedName name="solver_rel2" localSheetId="3" hidden="1">3</definedName>
    <definedName name="solver_rhs1" localSheetId="2" hidden="1">0.5</definedName>
    <definedName name="solver_rhs1" localSheetId="3" hidden="1">0.5</definedName>
    <definedName name="solver_rhs1" localSheetId="1" hidden="1">0</definedName>
    <definedName name="solver_rhs2" localSheetId="2" hidden="1">0.05</definedName>
    <definedName name="solver_rhs2" localSheetId="3" hidden="1">0.05</definedName>
    <definedName name="solver_rlx" localSheetId="2" hidden="1">2</definedName>
    <definedName name="solver_rlx" localSheetId="3" hidden="1">2</definedName>
    <definedName name="solver_rlx" localSheetId="1" hidden="1">2</definedName>
    <definedName name="solver_rlx" localSheetId="4" hidden="1">2</definedName>
    <definedName name="solver_rsd" localSheetId="2" hidden="1">0</definedName>
    <definedName name="solver_rsd" localSheetId="3" hidden="1">0</definedName>
    <definedName name="solver_rsd" localSheetId="1" hidden="1">0</definedName>
    <definedName name="solver_rsd" localSheetId="4" hidden="1">0</definedName>
    <definedName name="solver_scl" localSheetId="2" hidden="1">1</definedName>
    <definedName name="solver_scl" localSheetId="3" hidden="1">1</definedName>
    <definedName name="solver_scl" localSheetId="1" hidden="1">1</definedName>
    <definedName name="solver_scl" localSheetId="4" hidden="1">1</definedName>
    <definedName name="solver_sho" localSheetId="2" hidden="1">2</definedName>
    <definedName name="solver_sho" localSheetId="3" hidden="1">2</definedName>
    <definedName name="solver_sho" localSheetId="1" hidden="1">2</definedName>
    <definedName name="solver_sho" localSheetId="4" hidden="1">2</definedName>
    <definedName name="solver_ssz" localSheetId="2" hidden="1">100</definedName>
    <definedName name="solver_ssz" localSheetId="3" hidden="1">100</definedName>
    <definedName name="solver_ssz" localSheetId="1" hidden="1">100</definedName>
    <definedName name="solver_ssz" localSheetId="4" hidden="1">100</definedName>
    <definedName name="solver_tim" localSheetId="2" hidden="1">2147483647</definedName>
    <definedName name="solver_tim" localSheetId="3" hidden="1">2147483647</definedName>
    <definedName name="solver_tim" localSheetId="1" hidden="1">2147483647</definedName>
    <definedName name="solver_tim" localSheetId="4" hidden="1">2147483647</definedName>
    <definedName name="solver_tol" localSheetId="2" hidden="1">0.01</definedName>
    <definedName name="solver_tol" localSheetId="3" hidden="1">0.01</definedName>
    <definedName name="solver_tol" localSheetId="1" hidden="1">0.01</definedName>
    <definedName name="solver_tol" localSheetId="4" hidden="1">0.01</definedName>
    <definedName name="solver_typ" localSheetId="2" hidden="1">2</definedName>
    <definedName name="solver_typ" localSheetId="3" hidden="1">2</definedName>
    <definedName name="solver_typ" localSheetId="1" hidden="1">2</definedName>
    <definedName name="solver_val" localSheetId="2" hidden="1">0</definedName>
    <definedName name="solver_val" localSheetId="3" hidden="1">0</definedName>
    <definedName name="solver_val" localSheetId="1" hidden="1">0</definedName>
    <definedName name="solver_ver" localSheetId="2" hidden="1">2</definedName>
    <definedName name="solver_ver" localSheetId="3" hidden="1">2</definedName>
    <definedName name="solver_ver" localSheetId="1" hidden="1">2</definedName>
  </definedNames>
  <calcPr calcId="191029" calcMode="manual"/>
  <pivotCaches>
    <pivotCache cacheId="0" r:id="rId6"/>
    <pivotCache cacheId="1" r:id="rId7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6" i="1" l="1"/>
  <c r="I305" i="1"/>
  <c r="I304" i="1"/>
  <c r="I303" i="1"/>
  <c r="I302" i="1"/>
  <c r="H303" i="1"/>
  <c r="H302" i="1"/>
  <c r="G306" i="1"/>
  <c r="H306" i="1" s="1"/>
  <c r="G305" i="1"/>
  <c r="H305" i="1" s="1"/>
  <c r="G304" i="1"/>
  <c r="H304" i="1" s="1"/>
  <c r="G303" i="1"/>
  <c r="G302" i="1"/>
  <c r="E303" i="1"/>
  <c r="E302" i="1"/>
  <c r="E304" i="1"/>
  <c r="E305" i="1"/>
  <c r="E306" i="1"/>
  <c r="V8" i="4"/>
  <c r="V4" i="4"/>
  <c r="V3" i="4"/>
  <c r="J306" i="1" l="1"/>
  <c r="J305" i="1"/>
  <c r="J302" i="1"/>
  <c r="J303" i="1"/>
  <c r="J304" i="1"/>
  <c r="V5" i="4"/>
  <c r="V6" i="4" s="1"/>
  <c r="G291" i="1" l="1"/>
  <c r="G289" i="1"/>
  <c r="E301" i="1"/>
  <c r="E300" i="1"/>
  <c r="E299" i="1"/>
  <c r="E298" i="1"/>
  <c r="E297" i="1"/>
  <c r="E296" i="1"/>
  <c r="E295" i="1"/>
  <c r="E294" i="1"/>
  <c r="E293" i="1"/>
  <c r="H293" i="1" s="1"/>
  <c r="E292" i="1"/>
  <c r="E291" i="1"/>
  <c r="H291" i="1" s="1"/>
  <c r="E290" i="1"/>
  <c r="E289" i="1"/>
  <c r="H289" i="1" s="1"/>
  <c r="I289" i="1"/>
  <c r="G290" i="1"/>
  <c r="I290" i="1"/>
  <c r="I291" i="1"/>
  <c r="G292" i="1"/>
  <c r="H292" i="1" s="1"/>
  <c r="I292" i="1"/>
  <c r="G293" i="1"/>
  <c r="I293" i="1"/>
  <c r="G294" i="1"/>
  <c r="H294" i="1" s="1"/>
  <c r="I294" i="1"/>
  <c r="G295" i="1"/>
  <c r="I295" i="1"/>
  <c r="G296" i="1"/>
  <c r="H296" i="1" s="1"/>
  <c r="I296" i="1"/>
  <c r="G297" i="1"/>
  <c r="H297" i="1"/>
  <c r="I297" i="1"/>
  <c r="G298" i="1"/>
  <c r="I298" i="1"/>
  <c r="G299" i="1"/>
  <c r="H299" i="1"/>
  <c r="I299" i="1"/>
  <c r="G300" i="1"/>
  <c r="H300" i="1" s="1"/>
  <c r="I300" i="1"/>
  <c r="G301" i="1"/>
  <c r="H301" i="1" s="1"/>
  <c r="I301" i="1"/>
  <c r="J4" i="5"/>
  <c r="L3" i="5"/>
  <c r="O4" i="5"/>
  <c r="O3" i="5"/>
  <c r="O2" i="5"/>
  <c r="I288" i="1"/>
  <c r="I287" i="1"/>
  <c r="I286" i="1"/>
  <c r="I285" i="1"/>
  <c r="G288" i="1"/>
  <c r="G287" i="1"/>
  <c r="G286" i="1"/>
  <c r="H286" i="1" s="1"/>
  <c r="G285" i="1"/>
  <c r="H285" i="1" s="1"/>
  <c r="G284" i="1"/>
  <c r="E288" i="1"/>
  <c r="E287" i="1"/>
  <c r="E286" i="1"/>
  <c r="E285" i="1"/>
  <c r="H298" i="1" l="1"/>
  <c r="H290" i="1"/>
  <c r="H295" i="1"/>
  <c r="J289" i="1"/>
  <c r="J292" i="1"/>
  <c r="J293" i="1"/>
  <c r="J299" i="1"/>
  <c r="J296" i="1"/>
  <c r="J294" i="1"/>
  <c r="J298" i="1"/>
  <c r="J291" i="1"/>
  <c r="J297" i="1"/>
  <c r="J290" i="1"/>
  <c r="J301" i="1"/>
  <c r="J300" i="1"/>
  <c r="J295" i="1"/>
  <c r="H287" i="1"/>
  <c r="H288" i="1"/>
  <c r="J288" i="1"/>
  <c r="J285" i="1"/>
  <c r="J287" i="1"/>
  <c r="J286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P2" i="5" l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H270" i="1" s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39" i="1" l="1"/>
  <c r="H253" i="1"/>
  <c r="H265" i="1"/>
  <c r="H258" i="1"/>
  <c r="J258" i="1" s="1"/>
  <c r="H263" i="1"/>
  <c r="H268" i="1"/>
  <c r="H266" i="1"/>
  <c r="H255" i="1"/>
  <c r="J255" i="1" s="1"/>
  <c r="H264" i="1"/>
  <c r="J264" i="1" s="1"/>
  <c r="H267" i="1"/>
  <c r="J267" i="1" s="1"/>
  <c r="H257" i="1"/>
  <c r="J257" i="1" s="1"/>
  <c r="H237" i="1"/>
  <c r="H241" i="1"/>
  <c r="J241" i="1" s="1"/>
  <c r="H251" i="1"/>
  <c r="J251" i="1" s="1"/>
  <c r="J265" i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3" i="1"/>
  <c r="J266" i="1"/>
  <c r="J268" i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J237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I1313" i="6"/>
  <c r="G1313" i="6"/>
  <c r="I1312" i="6"/>
  <c r="G1312" i="6"/>
  <c r="I1311" i="6"/>
  <c r="G1311" i="6"/>
  <c r="I1310" i="6"/>
  <c r="G1310" i="6"/>
  <c r="I1309" i="6"/>
  <c r="G1309" i="6"/>
  <c r="I1308" i="6"/>
  <c r="G1308" i="6"/>
  <c r="I1307" i="6"/>
  <c r="G1307" i="6"/>
  <c r="I1306" i="6"/>
  <c r="G1306" i="6"/>
  <c r="I1305" i="6"/>
  <c r="G1305" i="6"/>
  <c r="I1304" i="6"/>
  <c r="G1304" i="6"/>
  <c r="I1303" i="6"/>
  <c r="G1303" i="6"/>
  <c r="I1302" i="6"/>
  <c r="G1302" i="6"/>
  <c r="I1301" i="6"/>
  <c r="G1301" i="6"/>
  <c r="I1300" i="6"/>
  <c r="G1300" i="6"/>
  <c r="I1299" i="6"/>
  <c r="G1299" i="6"/>
  <c r="I1298" i="6"/>
  <c r="G1298" i="6"/>
  <c r="I1297" i="6"/>
  <c r="G1297" i="6"/>
  <c r="I1296" i="6"/>
  <c r="G1296" i="6"/>
  <c r="I1295" i="6"/>
  <c r="G1295" i="6"/>
  <c r="I1294" i="6"/>
  <c r="G1294" i="6"/>
  <c r="I1293" i="6"/>
  <c r="G1293" i="6"/>
  <c r="I1292" i="6"/>
  <c r="G1292" i="6"/>
  <c r="I1291" i="6"/>
  <c r="G1291" i="6"/>
  <c r="I1290" i="6"/>
  <c r="G1290" i="6"/>
  <c r="I1289" i="6"/>
  <c r="G1289" i="6"/>
  <c r="I1288" i="6"/>
  <c r="G1288" i="6"/>
  <c r="I1287" i="6"/>
  <c r="G1287" i="6"/>
  <c r="I1286" i="6"/>
  <c r="G1286" i="6"/>
  <c r="I1285" i="6"/>
  <c r="G1285" i="6"/>
  <c r="I1284" i="6"/>
  <c r="G1284" i="6"/>
  <c r="I1283" i="6"/>
  <c r="G1283" i="6"/>
  <c r="I1282" i="6"/>
  <c r="G1282" i="6"/>
  <c r="I1281" i="6"/>
  <c r="G1281" i="6"/>
  <c r="I1280" i="6"/>
  <c r="G1280" i="6"/>
  <c r="I1279" i="6"/>
  <c r="G1279" i="6"/>
  <c r="I1278" i="6"/>
  <c r="G1278" i="6"/>
  <c r="I1277" i="6"/>
  <c r="G1277" i="6"/>
  <c r="I1276" i="6"/>
  <c r="G1276" i="6"/>
  <c r="I1275" i="6"/>
  <c r="G1275" i="6"/>
  <c r="I1274" i="6"/>
  <c r="G1274" i="6"/>
  <c r="I1273" i="6"/>
  <c r="G1273" i="6"/>
  <c r="I1272" i="6"/>
  <c r="G1272" i="6"/>
  <c r="I1271" i="6"/>
  <c r="G1271" i="6"/>
  <c r="I1270" i="6"/>
  <c r="G1270" i="6"/>
  <c r="I1269" i="6"/>
  <c r="G1269" i="6"/>
  <c r="I1268" i="6"/>
  <c r="G1268" i="6"/>
  <c r="I1267" i="6"/>
  <c r="G1267" i="6"/>
  <c r="I1266" i="6"/>
  <c r="G1266" i="6"/>
  <c r="I1265" i="6"/>
  <c r="G1265" i="6"/>
  <c r="I1264" i="6"/>
  <c r="G1264" i="6"/>
  <c r="I1263" i="6"/>
  <c r="G1263" i="6"/>
  <c r="I1262" i="6"/>
  <c r="G1262" i="6"/>
  <c r="I1261" i="6"/>
  <c r="G1261" i="6"/>
  <c r="I1260" i="6"/>
  <c r="G1260" i="6"/>
  <c r="I1259" i="6"/>
  <c r="G1259" i="6"/>
  <c r="I1258" i="6"/>
  <c r="G1258" i="6"/>
  <c r="I1257" i="6"/>
  <c r="G1257" i="6"/>
  <c r="I1256" i="6"/>
  <c r="G1256" i="6"/>
  <c r="I1255" i="6"/>
  <c r="G1255" i="6"/>
  <c r="I1254" i="6"/>
  <c r="G1254" i="6"/>
  <c r="I1253" i="6"/>
  <c r="G1253" i="6"/>
  <c r="I1252" i="6"/>
  <c r="G1252" i="6"/>
  <c r="I1251" i="6"/>
  <c r="G1251" i="6"/>
  <c r="I1250" i="6"/>
  <c r="G1250" i="6"/>
  <c r="I1249" i="6"/>
  <c r="G1249" i="6"/>
  <c r="I1248" i="6"/>
  <c r="G1248" i="6"/>
  <c r="I1247" i="6"/>
  <c r="G1247" i="6"/>
  <c r="I1246" i="6"/>
  <c r="G1246" i="6"/>
  <c r="I1245" i="6"/>
  <c r="G1245" i="6"/>
  <c r="I1244" i="6"/>
  <c r="G1244" i="6"/>
  <c r="I1243" i="6"/>
  <c r="G1243" i="6"/>
  <c r="I1242" i="6"/>
  <c r="G1242" i="6"/>
  <c r="I1241" i="6"/>
  <c r="G1241" i="6"/>
  <c r="I1240" i="6"/>
  <c r="G1240" i="6"/>
  <c r="I1239" i="6"/>
  <c r="G1239" i="6"/>
  <c r="I1238" i="6"/>
  <c r="G1238" i="6"/>
  <c r="I1237" i="6"/>
  <c r="G1237" i="6"/>
  <c r="I1236" i="6"/>
  <c r="G1236" i="6"/>
  <c r="I1235" i="6"/>
  <c r="G1235" i="6"/>
  <c r="I1234" i="6"/>
  <c r="G1234" i="6"/>
  <c r="I1233" i="6"/>
  <c r="G1233" i="6"/>
  <c r="I1232" i="6"/>
  <c r="G1232" i="6"/>
  <c r="I1231" i="6"/>
  <c r="G1231" i="6"/>
  <c r="I1230" i="6"/>
  <c r="G1230" i="6"/>
  <c r="I1229" i="6"/>
  <c r="G1229" i="6"/>
  <c r="I1228" i="6"/>
  <c r="G1228" i="6"/>
  <c r="I1227" i="6"/>
  <c r="G1227" i="6"/>
  <c r="I1226" i="6"/>
  <c r="G1226" i="6"/>
  <c r="I1225" i="6"/>
  <c r="G1225" i="6"/>
  <c r="I1224" i="6"/>
  <c r="G1224" i="6"/>
  <c r="I1223" i="6"/>
  <c r="G1223" i="6"/>
  <c r="I1222" i="6"/>
  <c r="G1222" i="6"/>
  <c r="I1221" i="6"/>
  <c r="G1221" i="6"/>
  <c r="I1220" i="6"/>
  <c r="G1220" i="6"/>
  <c r="I1219" i="6"/>
  <c r="G1219" i="6"/>
  <c r="I1218" i="6"/>
  <c r="G1218" i="6"/>
  <c r="I1217" i="6"/>
  <c r="G1217" i="6"/>
  <c r="I1216" i="6"/>
  <c r="G1216" i="6"/>
  <c r="I1215" i="6"/>
  <c r="G1215" i="6"/>
  <c r="I1214" i="6"/>
  <c r="G1214" i="6"/>
  <c r="I1213" i="6"/>
  <c r="G1213" i="6"/>
  <c r="I1212" i="6"/>
  <c r="G1212" i="6"/>
  <c r="I1211" i="6"/>
  <c r="G1211" i="6"/>
  <c r="I1210" i="6"/>
  <c r="G1210" i="6"/>
  <c r="I1209" i="6"/>
  <c r="G1209" i="6"/>
  <c r="I1208" i="6"/>
  <c r="G1208" i="6"/>
  <c r="I1207" i="6"/>
  <c r="G1207" i="6"/>
  <c r="I1206" i="6"/>
  <c r="G1206" i="6"/>
  <c r="I1205" i="6"/>
  <c r="G1205" i="6"/>
  <c r="I1204" i="6"/>
  <c r="G1204" i="6"/>
  <c r="I1203" i="6"/>
  <c r="G1203" i="6"/>
  <c r="I1202" i="6"/>
  <c r="G1202" i="6"/>
  <c r="I1201" i="6"/>
  <c r="G1201" i="6"/>
  <c r="I1200" i="6"/>
  <c r="G1200" i="6"/>
  <c r="I1199" i="6"/>
  <c r="G1199" i="6"/>
  <c r="I1198" i="6"/>
  <c r="G1198" i="6"/>
  <c r="I1197" i="6"/>
  <c r="G1197" i="6"/>
  <c r="I1196" i="6"/>
  <c r="G1196" i="6"/>
  <c r="I1195" i="6"/>
  <c r="G1195" i="6"/>
  <c r="I1194" i="6"/>
  <c r="G1194" i="6"/>
  <c r="I1193" i="6"/>
  <c r="G1193" i="6"/>
  <c r="I1192" i="6"/>
  <c r="G1192" i="6"/>
  <c r="I1191" i="6"/>
  <c r="G1191" i="6"/>
  <c r="I1190" i="6"/>
  <c r="G1190" i="6"/>
  <c r="I1189" i="6"/>
  <c r="G1189" i="6"/>
  <c r="I1188" i="6"/>
  <c r="G1188" i="6"/>
  <c r="I1187" i="6"/>
  <c r="G1187" i="6"/>
  <c r="I1186" i="6"/>
  <c r="G1186" i="6"/>
  <c r="I1185" i="6"/>
  <c r="G1185" i="6"/>
  <c r="I1184" i="6"/>
  <c r="G1184" i="6"/>
  <c r="I1183" i="6"/>
  <c r="G1183" i="6"/>
  <c r="I1182" i="6"/>
  <c r="G1182" i="6"/>
  <c r="I1181" i="6"/>
  <c r="G1181" i="6"/>
  <c r="I1180" i="6"/>
  <c r="G1180" i="6"/>
  <c r="I1179" i="6"/>
  <c r="G1179" i="6"/>
  <c r="I1178" i="6"/>
  <c r="G1178" i="6"/>
  <c r="I1177" i="6"/>
  <c r="G1177" i="6"/>
  <c r="I1176" i="6"/>
  <c r="G1176" i="6"/>
  <c r="I1175" i="6"/>
  <c r="G1175" i="6"/>
  <c r="I1174" i="6"/>
  <c r="G1174" i="6"/>
  <c r="I1173" i="6"/>
  <c r="G1173" i="6"/>
  <c r="I1172" i="6"/>
  <c r="G1172" i="6"/>
  <c r="I1171" i="6"/>
  <c r="G1171" i="6"/>
  <c r="I1170" i="6"/>
  <c r="G1170" i="6"/>
  <c r="I1169" i="6"/>
  <c r="G1169" i="6"/>
  <c r="I1168" i="6"/>
  <c r="G1168" i="6"/>
  <c r="I1167" i="6"/>
  <c r="G1167" i="6"/>
  <c r="I1166" i="6"/>
  <c r="G1166" i="6"/>
  <c r="I1165" i="6"/>
  <c r="G1165" i="6"/>
  <c r="I1164" i="6"/>
  <c r="G1164" i="6"/>
  <c r="I1163" i="6"/>
  <c r="G1163" i="6"/>
  <c r="I1162" i="6"/>
  <c r="G1162" i="6"/>
  <c r="I1161" i="6"/>
  <c r="G1161" i="6"/>
  <c r="I1160" i="6"/>
  <c r="G1160" i="6"/>
  <c r="I1159" i="6"/>
  <c r="G1159" i="6"/>
  <c r="I1158" i="6"/>
  <c r="G1158" i="6"/>
  <c r="I1157" i="6"/>
  <c r="G1157" i="6"/>
  <c r="I1156" i="6"/>
  <c r="G1156" i="6"/>
  <c r="I1155" i="6"/>
  <c r="G1155" i="6"/>
  <c r="I1154" i="6"/>
  <c r="G1154" i="6"/>
  <c r="I1153" i="6"/>
  <c r="G1153" i="6"/>
  <c r="I1152" i="6"/>
  <c r="G1152" i="6"/>
  <c r="I1151" i="6"/>
  <c r="G1151" i="6"/>
  <c r="I1150" i="6"/>
  <c r="G1150" i="6"/>
  <c r="I1149" i="6"/>
  <c r="G1149" i="6"/>
  <c r="I1148" i="6"/>
  <c r="G1148" i="6"/>
  <c r="I1147" i="6"/>
  <c r="G1147" i="6"/>
  <c r="I1146" i="6"/>
  <c r="G1146" i="6"/>
  <c r="I1145" i="6"/>
  <c r="G1145" i="6"/>
  <c r="I1144" i="6"/>
  <c r="G1144" i="6"/>
  <c r="I1143" i="6"/>
  <c r="G1143" i="6"/>
  <c r="I1142" i="6"/>
  <c r="G1142" i="6"/>
  <c r="I1141" i="6"/>
  <c r="G1141" i="6"/>
  <c r="I1140" i="6"/>
  <c r="G1140" i="6"/>
  <c r="I1139" i="6"/>
  <c r="G1139" i="6"/>
  <c r="I1138" i="6"/>
  <c r="G1138" i="6"/>
  <c r="I1137" i="6"/>
  <c r="G1137" i="6"/>
  <c r="I1136" i="6"/>
  <c r="G1136" i="6"/>
  <c r="I1135" i="6"/>
  <c r="G1135" i="6"/>
  <c r="I1134" i="6"/>
  <c r="G1134" i="6"/>
  <c r="I1133" i="6"/>
  <c r="G1133" i="6"/>
  <c r="I1132" i="6"/>
  <c r="G1132" i="6"/>
  <c r="I1131" i="6"/>
  <c r="G1131" i="6"/>
  <c r="I1130" i="6"/>
  <c r="G1130" i="6"/>
  <c r="I1129" i="6"/>
  <c r="G1129" i="6"/>
  <c r="I1128" i="6"/>
  <c r="G1128" i="6"/>
  <c r="I1127" i="6"/>
  <c r="G1127" i="6"/>
  <c r="I1126" i="6"/>
  <c r="G1126" i="6"/>
  <c r="I1125" i="6"/>
  <c r="G1125" i="6"/>
  <c r="I1124" i="6"/>
  <c r="G1124" i="6"/>
  <c r="I1123" i="6"/>
  <c r="G1123" i="6"/>
  <c r="I1122" i="6"/>
  <c r="G1122" i="6"/>
  <c r="I1121" i="6"/>
  <c r="G1121" i="6"/>
  <c r="I1120" i="6"/>
  <c r="G1120" i="6"/>
  <c r="I1119" i="6"/>
  <c r="G1119" i="6"/>
  <c r="I1118" i="6"/>
  <c r="G1118" i="6"/>
  <c r="I1117" i="6"/>
  <c r="G1117" i="6"/>
  <c r="I1116" i="6"/>
  <c r="G1116" i="6"/>
  <c r="I1115" i="6"/>
  <c r="G1115" i="6"/>
  <c r="I1114" i="6"/>
  <c r="G1114" i="6"/>
  <c r="I1113" i="6"/>
  <c r="G1113" i="6"/>
  <c r="I1112" i="6"/>
  <c r="G1112" i="6"/>
  <c r="I1111" i="6"/>
  <c r="G1111" i="6"/>
  <c r="I1110" i="6"/>
  <c r="G1110" i="6"/>
  <c r="I1109" i="6"/>
  <c r="G1109" i="6"/>
  <c r="I1108" i="6"/>
  <c r="G1108" i="6"/>
  <c r="I1107" i="6"/>
  <c r="G1107" i="6"/>
  <c r="I1106" i="6"/>
  <c r="G1106" i="6"/>
  <c r="I1105" i="6"/>
  <c r="G1105" i="6"/>
  <c r="I1104" i="6"/>
  <c r="G1104" i="6"/>
  <c r="I1103" i="6"/>
  <c r="G1103" i="6"/>
  <c r="I1102" i="6"/>
  <c r="G1102" i="6"/>
  <c r="I1101" i="6"/>
  <c r="G1101" i="6"/>
  <c r="I1100" i="6"/>
  <c r="G1100" i="6"/>
  <c r="I1099" i="6"/>
  <c r="G1099" i="6"/>
  <c r="I1098" i="6"/>
  <c r="G1098" i="6"/>
  <c r="I1097" i="6"/>
  <c r="G1097" i="6"/>
  <c r="I1096" i="6"/>
  <c r="G1096" i="6"/>
  <c r="I1095" i="6"/>
  <c r="G1095" i="6"/>
  <c r="I1094" i="6"/>
  <c r="G1094" i="6"/>
  <c r="I1093" i="6"/>
  <c r="G1093" i="6"/>
  <c r="I1092" i="6"/>
  <c r="G1092" i="6"/>
  <c r="I1091" i="6"/>
  <c r="G1091" i="6"/>
  <c r="I1090" i="6"/>
  <c r="G1090" i="6"/>
  <c r="I1089" i="6"/>
  <c r="G1089" i="6"/>
  <c r="I1088" i="6"/>
  <c r="G1088" i="6"/>
  <c r="I1087" i="6"/>
  <c r="G1087" i="6"/>
  <c r="I1086" i="6"/>
  <c r="G1086" i="6"/>
  <c r="I1085" i="6"/>
  <c r="G1085" i="6"/>
  <c r="I1084" i="6"/>
  <c r="G1084" i="6"/>
  <c r="I1083" i="6"/>
  <c r="G1083" i="6"/>
  <c r="I1082" i="6"/>
  <c r="G1082" i="6"/>
  <c r="I1081" i="6"/>
  <c r="G1081" i="6"/>
  <c r="I1080" i="6"/>
  <c r="G1080" i="6"/>
  <c r="I1079" i="6"/>
  <c r="G1079" i="6"/>
  <c r="I1078" i="6"/>
  <c r="G1078" i="6"/>
  <c r="I1077" i="6"/>
  <c r="G1077" i="6"/>
  <c r="I1076" i="6"/>
  <c r="G1076" i="6"/>
  <c r="I1075" i="6"/>
  <c r="G1075" i="6"/>
  <c r="I1074" i="6"/>
  <c r="G1074" i="6"/>
  <c r="I1073" i="6"/>
  <c r="G1073" i="6"/>
  <c r="I1072" i="6"/>
  <c r="G1072" i="6"/>
  <c r="I1071" i="6"/>
  <c r="G1071" i="6"/>
  <c r="I1070" i="6"/>
  <c r="G1070" i="6"/>
  <c r="I1069" i="6"/>
  <c r="G1069" i="6"/>
  <c r="I1068" i="6"/>
  <c r="G1068" i="6"/>
  <c r="I1067" i="6"/>
  <c r="G1067" i="6"/>
  <c r="I1066" i="6"/>
  <c r="G1066" i="6"/>
  <c r="I1065" i="6"/>
  <c r="G1065" i="6"/>
  <c r="I1064" i="6"/>
  <c r="G1064" i="6"/>
  <c r="I1063" i="6"/>
  <c r="G1063" i="6"/>
  <c r="I1062" i="6"/>
  <c r="G1062" i="6"/>
  <c r="I1061" i="6"/>
  <c r="G1061" i="6"/>
  <c r="I1060" i="6"/>
  <c r="G1060" i="6"/>
  <c r="I1059" i="6"/>
  <c r="G1059" i="6"/>
  <c r="I1058" i="6"/>
  <c r="G1058" i="6"/>
  <c r="I1057" i="6"/>
  <c r="G1057" i="6"/>
  <c r="I1056" i="6"/>
  <c r="G1056" i="6"/>
  <c r="I1055" i="6"/>
  <c r="G1055" i="6"/>
  <c r="I1054" i="6"/>
  <c r="G1054" i="6"/>
  <c r="I1053" i="6"/>
  <c r="G1053" i="6"/>
  <c r="I1052" i="6"/>
  <c r="G1052" i="6"/>
  <c r="I1051" i="6"/>
  <c r="G1051" i="6"/>
  <c r="I1050" i="6"/>
  <c r="G1050" i="6"/>
  <c r="I1049" i="6"/>
  <c r="G1049" i="6"/>
  <c r="I1048" i="6"/>
  <c r="G1048" i="6"/>
  <c r="I1047" i="6"/>
  <c r="G1047" i="6"/>
  <c r="I1046" i="6"/>
  <c r="G1046" i="6"/>
  <c r="I1045" i="6"/>
  <c r="G1045" i="6"/>
  <c r="I1044" i="6"/>
  <c r="G1044" i="6"/>
  <c r="I1043" i="6"/>
  <c r="G1043" i="6"/>
  <c r="I1042" i="6"/>
  <c r="G1042" i="6"/>
  <c r="I1041" i="6"/>
  <c r="G1041" i="6"/>
  <c r="I1040" i="6"/>
  <c r="G1040" i="6"/>
  <c r="I1039" i="6"/>
  <c r="G1039" i="6"/>
  <c r="I1038" i="6"/>
  <c r="G1038" i="6"/>
  <c r="I1037" i="6"/>
  <c r="G1037" i="6"/>
  <c r="I1036" i="6"/>
  <c r="G1036" i="6"/>
  <c r="I1035" i="6"/>
  <c r="G1035" i="6"/>
  <c r="I1034" i="6"/>
  <c r="G1034" i="6"/>
  <c r="I1033" i="6"/>
  <c r="G1033" i="6"/>
  <c r="I1032" i="6"/>
  <c r="G1032" i="6"/>
  <c r="I1031" i="6"/>
  <c r="G1031" i="6"/>
  <c r="I1030" i="6"/>
  <c r="G1030" i="6"/>
  <c r="I1029" i="6"/>
  <c r="G1029" i="6"/>
  <c r="I1028" i="6"/>
  <c r="G1028" i="6"/>
  <c r="I1027" i="6"/>
  <c r="G1027" i="6"/>
  <c r="I1026" i="6"/>
  <c r="G1026" i="6"/>
  <c r="I1025" i="6"/>
  <c r="G1025" i="6"/>
  <c r="I1024" i="6"/>
  <c r="G1024" i="6"/>
  <c r="I1023" i="6"/>
  <c r="G1023" i="6"/>
  <c r="I1022" i="6"/>
  <c r="G1022" i="6"/>
  <c r="I1021" i="6"/>
  <c r="G1021" i="6"/>
  <c r="I1020" i="6"/>
  <c r="G1020" i="6"/>
  <c r="I1019" i="6"/>
  <c r="G1019" i="6"/>
  <c r="I1018" i="6"/>
  <c r="G1018" i="6"/>
  <c r="I1017" i="6"/>
  <c r="G1017" i="6"/>
  <c r="I1016" i="6"/>
  <c r="G1016" i="6"/>
  <c r="I1015" i="6"/>
  <c r="G1015" i="6"/>
  <c r="I1014" i="6"/>
  <c r="G1014" i="6"/>
  <c r="I1013" i="6"/>
  <c r="G1013" i="6"/>
  <c r="I1012" i="6"/>
  <c r="G1012" i="6"/>
  <c r="I1011" i="6"/>
  <c r="G1011" i="6"/>
  <c r="I1010" i="6"/>
  <c r="G1010" i="6"/>
  <c r="I1009" i="6"/>
  <c r="G1009" i="6"/>
  <c r="I1008" i="6"/>
  <c r="G1008" i="6"/>
  <c r="I1007" i="6"/>
  <c r="G1007" i="6"/>
  <c r="I1006" i="6"/>
  <c r="G1006" i="6"/>
  <c r="I1005" i="6"/>
  <c r="G1005" i="6"/>
  <c r="I1004" i="6"/>
  <c r="G1004" i="6"/>
  <c r="I1003" i="6"/>
  <c r="G1003" i="6"/>
  <c r="I1002" i="6"/>
  <c r="G1002" i="6"/>
  <c r="I1001" i="6"/>
  <c r="G1001" i="6"/>
  <c r="I1000" i="6"/>
  <c r="G1000" i="6"/>
  <c r="I999" i="6"/>
  <c r="G999" i="6"/>
  <c r="I998" i="6"/>
  <c r="G998" i="6"/>
  <c r="I997" i="6"/>
  <c r="G997" i="6"/>
  <c r="I996" i="6"/>
  <c r="G996" i="6"/>
  <c r="I995" i="6"/>
  <c r="G995" i="6"/>
  <c r="I994" i="6"/>
  <c r="G994" i="6"/>
  <c r="I993" i="6"/>
  <c r="G993" i="6"/>
  <c r="I992" i="6"/>
  <c r="G992" i="6"/>
  <c r="I991" i="6"/>
  <c r="G991" i="6"/>
  <c r="I990" i="6"/>
  <c r="G990" i="6"/>
  <c r="I989" i="6"/>
  <c r="G989" i="6"/>
  <c r="I988" i="6"/>
  <c r="G988" i="6"/>
  <c r="I987" i="6"/>
  <c r="G987" i="6"/>
  <c r="I986" i="6"/>
  <c r="G986" i="6"/>
  <c r="I985" i="6"/>
  <c r="G985" i="6"/>
  <c r="I984" i="6"/>
  <c r="G984" i="6"/>
  <c r="I983" i="6"/>
  <c r="G983" i="6"/>
  <c r="I982" i="6"/>
  <c r="G982" i="6"/>
  <c r="I981" i="6"/>
  <c r="G981" i="6"/>
  <c r="I980" i="6"/>
  <c r="G980" i="6"/>
  <c r="I979" i="6"/>
  <c r="G979" i="6"/>
  <c r="I978" i="6"/>
  <c r="G978" i="6"/>
  <c r="I977" i="6"/>
  <c r="G977" i="6"/>
  <c r="I976" i="6"/>
  <c r="G976" i="6"/>
  <c r="I975" i="6"/>
  <c r="G975" i="6"/>
  <c r="I974" i="6"/>
  <c r="G974" i="6"/>
  <c r="I973" i="6"/>
  <c r="G973" i="6"/>
  <c r="I972" i="6"/>
  <c r="G972" i="6"/>
  <c r="I971" i="6"/>
  <c r="G971" i="6"/>
  <c r="I970" i="6"/>
  <c r="G970" i="6"/>
  <c r="I969" i="6"/>
  <c r="G969" i="6"/>
  <c r="I968" i="6"/>
  <c r="G968" i="6"/>
  <c r="I967" i="6"/>
  <c r="G967" i="6"/>
  <c r="I966" i="6"/>
  <c r="G966" i="6"/>
  <c r="I965" i="6"/>
  <c r="G965" i="6"/>
  <c r="I964" i="6"/>
  <c r="G964" i="6"/>
  <c r="I963" i="6"/>
  <c r="G963" i="6"/>
  <c r="I962" i="6"/>
  <c r="G962" i="6"/>
  <c r="I961" i="6"/>
  <c r="G961" i="6"/>
  <c r="I960" i="6"/>
  <c r="G960" i="6"/>
  <c r="I959" i="6"/>
  <c r="G959" i="6"/>
  <c r="I958" i="6"/>
  <c r="G958" i="6"/>
  <c r="I957" i="6"/>
  <c r="G957" i="6"/>
  <c r="I956" i="6"/>
  <c r="G956" i="6"/>
  <c r="I955" i="6"/>
  <c r="G955" i="6"/>
  <c r="I954" i="6"/>
  <c r="G954" i="6"/>
  <c r="I953" i="6"/>
  <c r="G953" i="6"/>
  <c r="I952" i="6"/>
  <c r="G952" i="6"/>
  <c r="I951" i="6"/>
  <c r="G951" i="6"/>
  <c r="I950" i="6"/>
  <c r="G950" i="6"/>
  <c r="I949" i="6"/>
  <c r="G949" i="6"/>
  <c r="I948" i="6"/>
  <c r="G948" i="6"/>
  <c r="I947" i="6"/>
  <c r="G947" i="6"/>
  <c r="I946" i="6"/>
  <c r="G946" i="6"/>
  <c r="I945" i="6"/>
  <c r="G945" i="6"/>
  <c r="I944" i="6"/>
  <c r="G944" i="6"/>
  <c r="I943" i="6"/>
  <c r="G943" i="6"/>
  <c r="I942" i="6"/>
  <c r="G942" i="6"/>
  <c r="I941" i="6"/>
  <c r="G941" i="6"/>
  <c r="I940" i="6"/>
  <c r="G940" i="6"/>
  <c r="I939" i="6"/>
  <c r="G939" i="6"/>
  <c r="I938" i="6"/>
  <c r="G938" i="6"/>
  <c r="I937" i="6"/>
  <c r="G937" i="6"/>
  <c r="I936" i="6"/>
  <c r="G936" i="6"/>
  <c r="I935" i="6"/>
  <c r="G935" i="6"/>
  <c r="I934" i="6"/>
  <c r="G934" i="6"/>
  <c r="I933" i="6"/>
  <c r="G933" i="6"/>
  <c r="I932" i="6"/>
  <c r="G932" i="6"/>
  <c r="I931" i="6"/>
  <c r="G931" i="6"/>
  <c r="I930" i="6"/>
  <c r="G930" i="6"/>
  <c r="I929" i="6"/>
  <c r="G929" i="6"/>
  <c r="I928" i="6"/>
  <c r="G928" i="6"/>
  <c r="I927" i="6"/>
  <c r="G927" i="6"/>
  <c r="I926" i="6"/>
  <c r="G926" i="6"/>
  <c r="I925" i="6"/>
  <c r="G925" i="6"/>
  <c r="I924" i="6"/>
  <c r="G924" i="6"/>
  <c r="I923" i="6"/>
  <c r="G923" i="6"/>
  <c r="I922" i="6"/>
  <c r="G922" i="6"/>
  <c r="I921" i="6"/>
  <c r="G921" i="6"/>
  <c r="I920" i="6"/>
  <c r="G920" i="6"/>
  <c r="I919" i="6"/>
  <c r="G919" i="6"/>
  <c r="I918" i="6"/>
  <c r="G918" i="6"/>
  <c r="I917" i="6"/>
  <c r="G917" i="6"/>
  <c r="I916" i="6"/>
  <c r="G916" i="6"/>
  <c r="I915" i="6"/>
  <c r="G915" i="6"/>
  <c r="I914" i="6"/>
  <c r="G914" i="6"/>
  <c r="I913" i="6"/>
  <c r="G913" i="6"/>
  <c r="I912" i="6"/>
  <c r="G912" i="6"/>
  <c r="I911" i="6"/>
  <c r="G911" i="6"/>
  <c r="I910" i="6"/>
  <c r="G910" i="6"/>
  <c r="I909" i="6"/>
  <c r="G909" i="6"/>
  <c r="I908" i="6"/>
  <c r="G908" i="6"/>
  <c r="I907" i="6"/>
  <c r="G907" i="6"/>
  <c r="I906" i="6"/>
  <c r="G906" i="6"/>
  <c r="I905" i="6"/>
  <c r="G905" i="6"/>
  <c r="I904" i="6"/>
  <c r="G904" i="6"/>
  <c r="I903" i="6"/>
  <c r="G903" i="6"/>
  <c r="I902" i="6"/>
  <c r="G902" i="6"/>
  <c r="I901" i="6"/>
  <c r="G901" i="6"/>
  <c r="I900" i="6"/>
  <c r="G900" i="6"/>
  <c r="I899" i="6"/>
  <c r="G899" i="6"/>
  <c r="I898" i="6"/>
  <c r="G898" i="6"/>
  <c r="I897" i="6"/>
  <c r="G897" i="6"/>
  <c r="I896" i="6"/>
  <c r="G896" i="6"/>
  <c r="I895" i="6"/>
  <c r="G895" i="6"/>
  <c r="I894" i="6"/>
  <c r="G894" i="6"/>
  <c r="I893" i="6"/>
  <c r="G893" i="6"/>
  <c r="I892" i="6"/>
  <c r="G892" i="6"/>
  <c r="I891" i="6"/>
  <c r="G891" i="6"/>
  <c r="I890" i="6"/>
  <c r="G890" i="6"/>
  <c r="I889" i="6"/>
  <c r="G889" i="6"/>
  <c r="I888" i="6"/>
  <c r="G888" i="6"/>
  <c r="I887" i="6"/>
  <c r="G887" i="6"/>
  <c r="I886" i="6"/>
  <c r="G886" i="6"/>
  <c r="I885" i="6"/>
  <c r="G885" i="6"/>
  <c r="I884" i="6"/>
  <c r="G884" i="6"/>
  <c r="I883" i="6"/>
  <c r="G883" i="6"/>
  <c r="I882" i="6"/>
  <c r="G882" i="6"/>
  <c r="I881" i="6"/>
  <c r="G881" i="6"/>
  <c r="I880" i="6"/>
  <c r="G880" i="6"/>
  <c r="I879" i="6"/>
  <c r="G879" i="6"/>
  <c r="I878" i="6"/>
  <c r="G878" i="6"/>
  <c r="I877" i="6"/>
  <c r="G877" i="6"/>
  <c r="I876" i="6"/>
  <c r="G876" i="6"/>
  <c r="I875" i="6"/>
  <c r="G875" i="6"/>
  <c r="I874" i="6"/>
  <c r="G874" i="6"/>
  <c r="I873" i="6"/>
  <c r="G873" i="6"/>
  <c r="I872" i="6"/>
  <c r="G872" i="6"/>
  <c r="I871" i="6"/>
  <c r="G871" i="6"/>
  <c r="I870" i="6"/>
  <c r="G870" i="6"/>
  <c r="I869" i="6"/>
  <c r="G869" i="6"/>
  <c r="I868" i="6"/>
  <c r="G868" i="6"/>
  <c r="I867" i="6"/>
  <c r="G867" i="6"/>
  <c r="I866" i="6"/>
  <c r="G866" i="6"/>
  <c r="I865" i="6"/>
  <c r="G865" i="6"/>
  <c r="I864" i="6"/>
  <c r="G864" i="6"/>
  <c r="I863" i="6"/>
  <c r="G863" i="6"/>
  <c r="I862" i="6"/>
  <c r="G862" i="6"/>
  <c r="I861" i="6"/>
  <c r="G861" i="6"/>
  <c r="I860" i="6"/>
  <c r="G860" i="6"/>
  <c r="I859" i="6"/>
  <c r="G859" i="6"/>
  <c r="I858" i="6"/>
  <c r="G858" i="6"/>
  <c r="I857" i="6"/>
  <c r="G857" i="6"/>
  <c r="I856" i="6"/>
  <c r="G856" i="6"/>
  <c r="I855" i="6"/>
  <c r="G855" i="6"/>
  <c r="I854" i="6"/>
  <c r="G854" i="6"/>
  <c r="I853" i="6"/>
  <c r="G853" i="6"/>
  <c r="I852" i="6"/>
  <c r="G852" i="6"/>
  <c r="I851" i="6"/>
  <c r="G851" i="6"/>
  <c r="I850" i="6"/>
  <c r="G850" i="6"/>
  <c r="I849" i="6"/>
  <c r="G849" i="6"/>
  <c r="I848" i="6"/>
  <c r="G848" i="6"/>
  <c r="I847" i="6"/>
  <c r="G847" i="6"/>
  <c r="I846" i="6"/>
  <c r="G846" i="6"/>
  <c r="I845" i="6"/>
  <c r="G845" i="6"/>
  <c r="I844" i="6"/>
  <c r="G844" i="6"/>
  <c r="I843" i="6"/>
  <c r="G843" i="6"/>
  <c r="I842" i="6"/>
  <c r="G842" i="6"/>
  <c r="I841" i="6"/>
  <c r="G841" i="6"/>
  <c r="I840" i="6"/>
  <c r="G840" i="6"/>
  <c r="I839" i="6"/>
  <c r="G839" i="6"/>
  <c r="I838" i="6"/>
  <c r="G838" i="6"/>
  <c r="I837" i="6"/>
  <c r="G837" i="6"/>
  <c r="I836" i="6"/>
  <c r="G836" i="6"/>
  <c r="I835" i="6"/>
  <c r="G835" i="6"/>
  <c r="I834" i="6"/>
  <c r="G834" i="6"/>
  <c r="I833" i="6"/>
  <c r="G833" i="6"/>
  <c r="I832" i="6"/>
  <c r="G832" i="6"/>
  <c r="I831" i="6"/>
  <c r="G831" i="6"/>
  <c r="I830" i="6"/>
  <c r="G830" i="6"/>
  <c r="I829" i="6"/>
  <c r="G829" i="6"/>
  <c r="I828" i="6"/>
  <c r="G828" i="6"/>
  <c r="I827" i="6"/>
  <c r="G827" i="6"/>
  <c r="I826" i="6"/>
  <c r="G826" i="6"/>
  <c r="I825" i="6"/>
  <c r="G825" i="6"/>
  <c r="I824" i="6"/>
  <c r="G824" i="6"/>
  <c r="I823" i="6"/>
  <c r="G823" i="6"/>
  <c r="I822" i="6"/>
  <c r="G822" i="6"/>
  <c r="I821" i="6"/>
  <c r="G821" i="6"/>
  <c r="I820" i="6"/>
  <c r="G820" i="6"/>
  <c r="I819" i="6"/>
  <c r="G819" i="6"/>
  <c r="I818" i="6"/>
  <c r="G818" i="6"/>
  <c r="I817" i="6"/>
  <c r="G817" i="6"/>
  <c r="I816" i="6"/>
  <c r="G816" i="6"/>
  <c r="I815" i="6"/>
  <c r="G815" i="6"/>
  <c r="I814" i="6"/>
  <c r="G814" i="6"/>
  <c r="I813" i="6"/>
  <c r="G813" i="6"/>
  <c r="I812" i="6"/>
  <c r="G812" i="6"/>
  <c r="I811" i="6"/>
  <c r="G811" i="6"/>
  <c r="I810" i="6"/>
  <c r="G810" i="6"/>
  <c r="I809" i="6"/>
  <c r="G809" i="6"/>
  <c r="I808" i="6"/>
  <c r="G808" i="6"/>
  <c r="I807" i="6"/>
  <c r="G807" i="6"/>
  <c r="I806" i="6"/>
  <c r="G806" i="6"/>
  <c r="I805" i="6"/>
  <c r="G805" i="6"/>
  <c r="I804" i="6"/>
  <c r="G804" i="6"/>
  <c r="I803" i="6"/>
  <c r="G803" i="6"/>
  <c r="I802" i="6"/>
  <c r="G802" i="6"/>
  <c r="I801" i="6"/>
  <c r="G801" i="6"/>
  <c r="I800" i="6"/>
  <c r="G800" i="6"/>
  <c r="I799" i="6"/>
  <c r="G799" i="6"/>
  <c r="I798" i="6"/>
  <c r="G798" i="6"/>
  <c r="I797" i="6"/>
  <c r="G797" i="6"/>
  <c r="I796" i="6"/>
  <c r="G796" i="6"/>
  <c r="I795" i="6"/>
  <c r="G795" i="6"/>
  <c r="I794" i="6"/>
  <c r="G794" i="6"/>
  <c r="I793" i="6"/>
  <c r="G793" i="6"/>
  <c r="I792" i="6"/>
  <c r="G792" i="6"/>
  <c r="I791" i="6"/>
  <c r="G791" i="6"/>
  <c r="I790" i="6"/>
  <c r="G790" i="6"/>
  <c r="I789" i="6"/>
  <c r="G789" i="6"/>
  <c r="I788" i="6"/>
  <c r="G788" i="6"/>
  <c r="I787" i="6"/>
  <c r="G787" i="6"/>
  <c r="I786" i="6"/>
  <c r="G786" i="6"/>
  <c r="I785" i="6"/>
  <c r="G785" i="6"/>
  <c r="I784" i="6"/>
  <c r="G784" i="6"/>
  <c r="I783" i="6"/>
  <c r="G783" i="6"/>
  <c r="I782" i="6"/>
  <c r="G782" i="6"/>
  <c r="I781" i="6"/>
  <c r="G781" i="6"/>
  <c r="I780" i="6"/>
  <c r="G780" i="6"/>
  <c r="I779" i="6"/>
  <c r="G779" i="6"/>
  <c r="I778" i="6"/>
  <c r="G778" i="6"/>
  <c r="I777" i="6"/>
  <c r="G777" i="6"/>
  <c r="I776" i="6"/>
  <c r="G776" i="6"/>
  <c r="I775" i="6"/>
  <c r="G775" i="6"/>
  <c r="I774" i="6"/>
  <c r="G774" i="6"/>
  <c r="I773" i="6"/>
  <c r="G773" i="6"/>
  <c r="I772" i="6"/>
  <c r="G772" i="6"/>
  <c r="I771" i="6"/>
  <c r="G771" i="6"/>
  <c r="I770" i="6"/>
  <c r="G770" i="6"/>
  <c r="I769" i="6"/>
  <c r="G769" i="6"/>
  <c r="I768" i="6"/>
  <c r="G768" i="6"/>
  <c r="I767" i="6"/>
  <c r="G767" i="6"/>
  <c r="I766" i="6"/>
  <c r="G766" i="6"/>
  <c r="I765" i="6"/>
  <c r="G765" i="6"/>
  <c r="I764" i="6"/>
  <c r="G764" i="6"/>
  <c r="I763" i="6"/>
  <c r="G763" i="6"/>
  <c r="I762" i="6"/>
  <c r="G762" i="6"/>
  <c r="I761" i="6"/>
  <c r="G761" i="6"/>
  <c r="I760" i="6"/>
  <c r="G760" i="6"/>
  <c r="I759" i="6"/>
  <c r="G759" i="6"/>
  <c r="I758" i="6"/>
  <c r="G758" i="6"/>
  <c r="I757" i="6"/>
  <c r="G757" i="6"/>
  <c r="I756" i="6"/>
  <c r="G756" i="6"/>
  <c r="I755" i="6"/>
  <c r="G755" i="6"/>
  <c r="I754" i="6"/>
  <c r="G754" i="6"/>
  <c r="I753" i="6"/>
  <c r="G753" i="6"/>
  <c r="I752" i="6"/>
  <c r="G752" i="6"/>
  <c r="I751" i="6"/>
  <c r="G751" i="6"/>
  <c r="I750" i="6"/>
  <c r="G750" i="6"/>
  <c r="I749" i="6"/>
  <c r="G749" i="6"/>
  <c r="I748" i="6"/>
  <c r="G748" i="6"/>
  <c r="I747" i="6"/>
  <c r="G747" i="6"/>
  <c r="I746" i="6"/>
  <c r="G746" i="6"/>
  <c r="I745" i="6"/>
  <c r="G745" i="6"/>
  <c r="I744" i="6"/>
  <c r="G744" i="6"/>
  <c r="I743" i="6"/>
  <c r="G743" i="6"/>
  <c r="I742" i="6"/>
  <c r="G742" i="6"/>
  <c r="I741" i="6"/>
  <c r="G741" i="6"/>
  <c r="I740" i="6"/>
  <c r="G740" i="6"/>
  <c r="I739" i="6"/>
  <c r="G739" i="6"/>
  <c r="I738" i="6"/>
  <c r="G738" i="6"/>
  <c r="I737" i="6"/>
  <c r="G737" i="6"/>
  <c r="I736" i="6"/>
  <c r="G736" i="6"/>
  <c r="I735" i="6"/>
  <c r="G735" i="6"/>
  <c r="I734" i="6"/>
  <c r="G734" i="6"/>
  <c r="I733" i="6"/>
  <c r="G733" i="6"/>
  <c r="I732" i="6"/>
  <c r="G732" i="6"/>
  <c r="I731" i="6"/>
  <c r="G731" i="6"/>
  <c r="I730" i="6"/>
  <c r="G730" i="6"/>
  <c r="I729" i="6"/>
  <c r="G729" i="6"/>
  <c r="I728" i="6"/>
  <c r="G728" i="6"/>
  <c r="I727" i="6"/>
  <c r="G727" i="6"/>
  <c r="I726" i="6"/>
  <c r="G726" i="6"/>
  <c r="I725" i="6"/>
  <c r="G725" i="6"/>
  <c r="I724" i="6"/>
  <c r="G724" i="6"/>
  <c r="I723" i="6"/>
  <c r="G723" i="6"/>
  <c r="I722" i="6"/>
  <c r="G722" i="6"/>
  <c r="I721" i="6"/>
  <c r="G721" i="6"/>
  <c r="I720" i="6"/>
  <c r="G720" i="6"/>
  <c r="I719" i="6"/>
  <c r="G719" i="6"/>
  <c r="I718" i="6"/>
  <c r="G718" i="6"/>
  <c r="I717" i="6"/>
  <c r="G717" i="6"/>
  <c r="I716" i="6"/>
  <c r="G716" i="6"/>
  <c r="I715" i="6"/>
  <c r="G715" i="6"/>
  <c r="I714" i="6"/>
  <c r="G714" i="6"/>
  <c r="I713" i="6"/>
  <c r="G713" i="6"/>
  <c r="I712" i="6"/>
  <c r="G712" i="6"/>
  <c r="I711" i="6"/>
  <c r="G711" i="6"/>
  <c r="I710" i="6"/>
  <c r="G710" i="6"/>
  <c r="I709" i="6"/>
  <c r="G709" i="6"/>
  <c r="I708" i="6"/>
  <c r="G708" i="6"/>
  <c r="I707" i="6"/>
  <c r="G707" i="6"/>
  <c r="I706" i="6"/>
  <c r="G706" i="6"/>
  <c r="I705" i="6"/>
  <c r="G705" i="6"/>
  <c r="I704" i="6"/>
  <c r="G704" i="6"/>
  <c r="I703" i="6"/>
  <c r="G703" i="6"/>
  <c r="I702" i="6"/>
  <c r="G702" i="6"/>
  <c r="I701" i="6"/>
  <c r="G701" i="6"/>
  <c r="I700" i="6"/>
  <c r="G700" i="6"/>
  <c r="I699" i="6"/>
  <c r="G699" i="6"/>
  <c r="I698" i="6"/>
  <c r="G698" i="6"/>
  <c r="I697" i="6"/>
  <c r="G697" i="6"/>
  <c r="I696" i="6"/>
  <c r="G696" i="6"/>
  <c r="I695" i="6"/>
  <c r="G695" i="6"/>
  <c r="I694" i="6"/>
  <c r="G694" i="6"/>
  <c r="I693" i="6"/>
  <c r="G693" i="6"/>
  <c r="I692" i="6"/>
  <c r="G692" i="6"/>
  <c r="I691" i="6"/>
  <c r="G691" i="6"/>
  <c r="I690" i="6"/>
  <c r="G690" i="6"/>
  <c r="I689" i="6"/>
  <c r="G689" i="6"/>
  <c r="I688" i="6"/>
  <c r="G688" i="6"/>
  <c r="I687" i="6"/>
  <c r="G687" i="6"/>
  <c r="I686" i="6"/>
  <c r="G686" i="6"/>
  <c r="I685" i="6"/>
  <c r="G685" i="6"/>
  <c r="I684" i="6"/>
  <c r="G684" i="6"/>
  <c r="I683" i="6"/>
  <c r="G683" i="6"/>
  <c r="I682" i="6"/>
  <c r="G682" i="6"/>
  <c r="I681" i="6"/>
  <c r="G681" i="6"/>
  <c r="I680" i="6"/>
  <c r="G680" i="6"/>
  <c r="I679" i="6"/>
  <c r="G679" i="6"/>
  <c r="I678" i="6"/>
  <c r="G678" i="6"/>
  <c r="I677" i="6"/>
  <c r="G677" i="6"/>
  <c r="I676" i="6"/>
  <c r="G676" i="6"/>
  <c r="I675" i="6"/>
  <c r="G675" i="6"/>
  <c r="I674" i="6"/>
  <c r="G674" i="6"/>
  <c r="I673" i="6"/>
  <c r="G673" i="6"/>
  <c r="I672" i="6"/>
  <c r="G672" i="6"/>
  <c r="I671" i="6"/>
  <c r="G671" i="6"/>
  <c r="I670" i="6"/>
  <c r="G670" i="6"/>
  <c r="I669" i="6"/>
  <c r="G669" i="6"/>
  <c r="I668" i="6"/>
  <c r="G668" i="6"/>
  <c r="I667" i="6"/>
  <c r="G667" i="6"/>
  <c r="I666" i="6"/>
  <c r="G666" i="6"/>
  <c r="I665" i="6"/>
  <c r="G665" i="6"/>
  <c r="I664" i="6"/>
  <c r="G664" i="6"/>
  <c r="I663" i="6"/>
  <c r="G663" i="6"/>
  <c r="I662" i="6"/>
  <c r="G662" i="6"/>
  <c r="I661" i="6"/>
  <c r="G661" i="6"/>
  <c r="I660" i="6"/>
  <c r="G660" i="6"/>
  <c r="I659" i="6"/>
  <c r="G659" i="6"/>
  <c r="I658" i="6"/>
  <c r="G658" i="6"/>
  <c r="I657" i="6"/>
  <c r="G657" i="6"/>
  <c r="I656" i="6"/>
  <c r="G656" i="6"/>
  <c r="I655" i="6"/>
  <c r="G655" i="6"/>
  <c r="I654" i="6"/>
  <c r="G654" i="6"/>
  <c r="I653" i="6"/>
  <c r="G653" i="6"/>
  <c r="I652" i="6"/>
  <c r="G652" i="6"/>
  <c r="I651" i="6"/>
  <c r="G651" i="6"/>
  <c r="I650" i="6"/>
  <c r="G650" i="6"/>
  <c r="I649" i="6"/>
  <c r="G649" i="6"/>
  <c r="I648" i="6"/>
  <c r="G648" i="6"/>
  <c r="I647" i="6"/>
  <c r="G647" i="6"/>
  <c r="I646" i="6"/>
  <c r="G646" i="6"/>
  <c r="I645" i="6"/>
  <c r="G645" i="6"/>
  <c r="I644" i="6"/>
  <c r="G644" i="6"/>
  <c r="I643" i="6"/>
  <c r="G643" i="6"/>
  <c r="I642" i="6"/>
  <c r="G642" i="6"/>
  <c r="I641" i="6"/>
  <c r="G641" i="6"/>
  <c r="I640" i="6"/>
  <c r="G640" i="6"/>
  <c r="I639" i="6"/>
  <c r="G639" i="6"/>
  <c r="I638" i="6"/>
  <c r="G638" i="6"/>
  <c r="I637" i="6"/>
  <c r="G637" i="6"/>
  <c r="I636" i="6"/>
  <c r="G636" i="6"/>
  <c r="I635" i="6"/>
  <c r="G635" i="6"/>
  <c r="I634" i="6"/>
  <c r="G634" i="6"/>
  <c r="I633" i="6"/>
  <c r="G633" i="6"/>
  <c r="I632" i="6"/>
  <c r="G632" i="6"/>
  <c r="I631" i="6"/>
  <c r="G631" i="6"/>
  <c r="I630" i="6"/>
  <c r="G630" i="6"/>
  <c r="I629" i="6"/>
  <c r="G629" i="6"/>
  <c r="I628" i="6"/>
  <c r="G628" i="6"/>
  <c r="I627" i="6"/>
  <c r="G627" i="6"/>
  <c r="I626" i="6"/>
  <c r="G626" i="6"/>
  <c r="I625" i="6"/>
  <c r="G625" i="6"/>
  <c r="I624" i="6"/>
  <c r="G624" i="6"/>
  <c r="I623" i="6"/>
  <c r="G623" i="6"/>
  <c r="I622" i="6"/>
  <c r="G622" i="6"/>
  <c r="I621" i="6"/>
  <c r="G621" i="6"/>
  <c r="I620" i="6"/>
  <c r="G620" i="6"/>
  <c r="I619" i="6"/>
  <c r="G619" i="6"/>
  <c r="I618" i="6"/>
  <c r="G618" i="6"/>
  <c r="I617" i="6"/>
  <c r="G617" i="6"/>
  <c r="I616" i="6"/>
  <c r="G616" i="6"/>
  <c r="I615" i="6"/>
  <c r="G615" i="6"/>
  <c r="I614" i="6"/>
  <c r="G614" i="6"/>
  <c r="I613" i="6"/>
  <c r="G613" i="6"/>
  <c r="I612" i="6"/>
  <c r="G612" i="6"/>
  <c r="I611" i="6"/>
  <c r="G611" i="6"/>
  <c r="I610" i="6"/>
  <c r="G610" i="6"/>
  <c r="I609" i="6"/>
  <c r="G609" i="6"/>
  <c r="I608" i="6"/>
  <c r="G608" i="6"/>
  <c r="I607" i="6"/>
  <c r="G607" i="6"/>
  <c r="I606" i="6"/>
  <c r="G606" i="6"/>
  <c r="I605" i="6"/>
  <c r="G605" i="6"/>
  <c r="I604" i="6"/>
  <c r="G604" i="6"/>
  <c r="I603" i="6"/>
  <c r="G603" i="6"/>
  <c r="I602" i="6"/>
  <c r="G602" i="6"/>
  <c r="I601" i="6"/>
  <c r="G601" i="6"/>
  <c r="I600" i="6"/>
  <c r="G600" i="6"/>
  <c r="I599" i="6"/>
  <c r="G599" i="6"/>
  <c r="I598" i="6"/>
  <c r="G598" i="6"/>
  <c r="I597" i="6"/>
  <c r="G597" i="6"/>
  <c r="I596" i="6"/>
  <c r="G596" i="6"/>
  <c r="I595" i="6"/>
  <c r="G595" i="6"/>
  <c r="I594" i="6"/>
  <c r="G594" i="6"/>
  <c r="I593" i="6"/>
  <c r="G593" i="6"/>
  <c r="I592" i="6"/>
  <c r="G592" i="6"/>
  <c r="I591" i="6"/>
  <c r="G591" i="6"/>
  <c r="I590" i="6"/>
  <c r="G590" i="6"/>
  <c r="I589" i="6"/>
  <c r="G589" i="6"/>
  <c r="I588" i="6"/>
  <c r="G588" i="6"/>
  <c r="I587" i="6"/>
  <c r="G587" i="6"/>
  <c r="I586" i="6"/>
  <c r="G586" i="6"/>
  <c r="I585" i="6"/>
  <c r="G585" i="6"/>
  <c r="I584" i="6"/>
  <c r="G584" i="6"/>
  <c r="I583" i="6"/>
  <c r="G583" i="6"/>
  <c r="I582" i="6"/>
  <c r="G582" i="6"/>
  <c r="I581" i="6"/>
  <c r="G581" i="6"/>
  <c r="I580" i="6"/>
  <c r="G580" i="6"/>
  <c r="I579" i="6"/>
  <c r="G579" i="6"/>
  <c r="I578" i="6"/>
  <c r="G578" i="6"/>
  <c r="I577" i="6"/>
  <c r="G577" i="6"/>
  <c r="I576" i="6"/>
  <c r="G576" i="6"/>
  <c r="I575" i="6"/>
  <c r="G575" i="6"/>
  <c r="I574" i="6"/>
  <c r="G574" i="6"/>
  <c r="I573" i="6"/>
  <c r="G573" i="6"/>
  <c r="I572" i="6"/>
  <c r="G572" i="6"/>
  <c r="I571" i="6"/>
  <c r="G571" i="6"/>
  <c r="I570" i="6"/>
  <c r="G570" i="6"/>
  <c r="I569" i="6"/>
  <c r="G569" i="6"/>
  <c r="I568" i="6"/>
  <c r="G568" i="6"/>
  <c r="I567" i="6"/>
  <c r="G567" i="6"/>
  <c r="I566" i="6"/>
  <c r="G566" i="6"/>
  <c r="I565" i="6"/>
  <c r="G565" i="6"/>
  <c r="I564" i="6"/>
  <c r="G564" i="6"/>
  <c r="I563" i="6"/>
  <c r="G563" i="6"/>
  <c r="I562" i="6"/>
  <c r="G562" i="6"/>
  <c r="I561" i="6"/>
  <c r="G561" i="6"/>
  <c r="I560" i="6"/>
  <c r="G560" i="6"/>
  <c r="I559" i="6"/>
  <c r="G559" i="6"/>
  <c r="I558" i="6"/>
  <c r="G558" i="6"/>
  <c r="I557" i="6"/>
  <c r="G557" i="6"/>
  <c r="I556" i="6"/>
  <c r="G556" i="6"/>
  <c r="I555" i="6"/>
  <c r="G555" i="6"/>
  <c r="I554" i="6"/>
  <c r="G554" i="6"/>
  <c r="I553" i="6"/>
  <c r="G553" i="6"/>
  <c r="I552" i="6"/>
  <c r="G552" i="6"/>
  <c r="I551" i="6"/>
  <c r="G551" i="6"/>
  <c r="I550" i="6"/>
  <c r="G550" i="6"/>
  <c r="I549" i="6"/>
  <c r="G549" i="6"/>
  <c r="I548" i="6"/>
  <c r="G548" i="6"/>
  <c r="I547" i="6"/>
  <c r="G547" i="6"/>
  <c r="I546" i="6"/>
  <c r="G546" i="6"/>
  <c r="I545" i="6"/>
  <c r="G545" i="6"/>
  <c r="I544" i="6"/>
  <c r="G544" i="6"/>
  <c r="I543" i="6"/>
  <c r="G543" i="6"/>
  <c r="I542" i="6"/>
  <c r="G542" i="6"/>
  <c r="I541" i="6"/>
  <c r="G541" i="6"/>
  <c r="I540" i="6"/>
  <c r="G540" i="6"/>
  <c r="I539" i="6"/>
  <c r="G539" i="6"/>
  <c r="I538" i="6"/>
  <c r="G538" i="6"/>
  <c r="I537" i="6"/>
  <c r="G537" i="6"/>
  <c r="I536" i="6"/>
  <c r="G536" i="6"/>
  <c r="I535" i="6"/>
  <c r="G535" i="6"/>
  <c r="I534" i="6"/>
  <c r="G534" i="6"/>
  <c r="I533" i="6"/>
  <c r="G533" i="6"/>
  <c r="I532" i="6"/>
  <c r="G532" i="6"/>
  <c r="I531" i="6"/>
  <c r="G531" i="6"/>
  <c r="I530" i="6"/>
  <c r="G530" i="6"/>
  <c r="I529" i="6"/>
  <c r="G529" i="6"/>
  <c r="I528" i="6"/>
  <c r="G528" i="6"/>
  <c r="I527" i="6"/>
  <c r="G527" i="6"/>
  <c r="I526" i="6"/>
  <c r="G526" i="6"/>
  <c r="I525" i="6"/>
  <c r="G525" i="6"/>
  <c r="I524" i="6"/>
  <c r="G524" i="6"/>
  <c r="I523" i="6"/>
  <c r="G523" i="6"/>
  <c r="I522" i="6"/>
  <c r="G522" i="6"/>
  <c r="I521" i="6"/>
  <c r="G521" i="6"/>
  <c r="I520" i="6"/>
  <c r="G520" i="6"/>
  <c r="I519" i="6"/>
  <c r="G519" i="6"/>
  <c r="I518" i="6"/>
  <c r="G518" i="6"/>
  <c r="I517" i="6"/>
  <c r="G517" i="6"/>
  <c r="I516" i="6"/>
  <c r="G516" i="6"/>
  <c r="I515" i="6"/>
  <c r="G515" i="6"/>
  <c r="I514" i="6"/>
  <c r="G514" i="6"/>
  <c r="I513" i="6"/>
  <c r="G513" i="6"/>
  <c r="I512" i="6"/>
  <c r="G512" i="6"/>
  <c r="I511" i="6"/>
  <c r="G511" i="6"/>
  <c r="I510" i="6"/>
  <c r="G510" i="6"/>
  <c r="I509" i="6"/>
  <c r="G509" i="6"/>
  <c r="I508" i="6"/>
  <c r="G508" i="6"/>
  <c r="I507" i="6"/>
  <c r="G507" i="6"/>
  <c r="I506" i="6"/>
  <c r="G506" i="6"/>
  <c r="I505" i="6"/>
  <c r="G505" i="6"/>
  <c r="I504" i="6"/>
  <c r="G504" i="6"/>
  <c r="I503" i="6"/>
  <c r="G503" i="6"/>
  <c r="I502" i="6"/>
  <c r="G502" i="6"/>
  <c r="I501" i="6"/>
  <c r="G501" i="6"/>
  <c r="I500" i="6"/>
  <c r="G500" i="6"/>
  <c r="I499" i="6"/>
  <c r="G499" i="6"/>
  <c r="I498" i="6"/>
  <c r="G498" i="6"/>
  <c r="I497" i="6"/>
  <c r="G497" i="6"/>
  <c r="I496" i="6"/>
  <c r="G496" i="6"/>
  <c r="I495" i="6"/>
  <c r="G495" i="6"/>
  <c r="I494" i="6"/>
  <c r="G494" i="6"/>
  <c r="I493" i="6"/>
  <c r="G493" i="6"/>
  <c r="I492" i="6"/>
  <c r="G492" i="6"/>
  <c r="I491" i="6"/>
  <c r="G491" i="6"/>
  <c r="I490" i="6"/>
  <c r="G490" i="6"/>
  <c r="I489" i="6"/>
  <c r="G489" i="6"/>
  <c r="I488" i="6"/>
  <c r="G488" i="6"/>
  <c r="I487" i="6"/>
  <c r="G487" i="6"/>
  <c r="I486" i="6"/>
  <c r="G486" i="6"/>
  <c r="I485" i="6"/>
  <c r="G485" i="6"/>
  <c r="I484" i="6"/>
  <c r="G484" i="6"/>
  <c r="I483" i="6"/>
  <c r="G483" i="6"/>
  <c r="I482" i="6"/>
  <c r="G482" i="6"/>
  <c r="I481" i="6"/>
  <c r="G481" i="6"/>
  <c r="I480" i="6"/>
  <c r="G480" i="6"/>
  <c r="I479" i="6"/>
  <c r="G479" i="6"/>
  <c r="I478" i="6"/>
  <c r="G478" i="6"/>
  <c r="I477" i="6"/>
  <c r="G477" i="6"/>
  <c r="I476" i="6"/>
  <c r="G476" i="6"/>
  <c r="I475" i="6"/>
  <c r="G475" i="6"/>
  <c r="I474" i="6"/>
  <c r="G474" i="6"/>
  <c r="I473" i="6"/>
  <c r="G473" i="6"/>
  <c r="I472" i="6"/>
  <c r="G472" i="6"/>
  <c r="I471" i="6"/>
  <c r="G471" i="6"/>
  <c r="I470" i="6"/>
  <c r="G470" i="6"/>
  <c r="I469" i="6"/>
  <c r="G469" i="6"/>
  <c r="I468" i="6"/>
  <c r="G468" i="6"/>
  <c r="I467" i="6"/>
  <c r="G467" i="6"/>
  <c r="I466" i="6"/>
  <c r="G466" i="6"/>
  <c r="I465" i="6"/>
  <c r="G465" i="6"/>
  <c r="I464" i="6"/>
  <c r="G464" i="6"/>
  <c r="I463" i="6"/>
  <c r="G463" i="6"/>
  <c r="I462" i="6"/>
  <c r="G462" i="6"/>
  <c r="I461" i="6"/>
  <c r="G461" i="6"/>
  <c r="I460" i="6"/>
  <c r="G460" i="6"/>
  <c r="I459" i="6"/>
  <c r="G459" i="6"/>
  <c r="I458" i="6"/>
  <c r="G458" i="6"/>
  <c r="I457" i="6"/>
  <c r="G457" i="6"/>
  <c r="I456" i="6"/>
  <c r="G456" i="6"/>
  <c r="I455" i="6"/>
  <c r="G455" i="6"/>
  <c r="I454" i="6"/>
  <c r="G454" i="6"/>
  <c r="I453" i="6"/>
  <c r="G453" i="6"/>
  <c r="I452" i="6"/>
  <c r="G452" i="6"/>
  <c r="I451" i="6"/>
  <c r="G451" i="6"/>
  <c r="I450" i="6"/>
  <c r="G450" i="6"/>
  <c r="I449" i="6"/>
  <c r="G449" i="6"/>
  <c r="I448" i="6"/>
  <c r="G448" i="6"/>
  <c r="I447" i="6"/>
  <c r="G447" i="6"/>
  <c r="I446" i="6"/>
  <c r="G446" i="6"/>
  <c r="I445" i="6"/>
  <c r="G445" i="6"/>
  <c r="I444" i="6"/>
  <c r="G444" i="6"/>
  <c r="I443" i="6"/>
  <c r="G443" i="6"/>
  <c r="I442" i="6"/>
  <c r="G442" i="6"/>
  <c r="I441" i="6"/>
  <c r="G441" i="6"/>
  <c r="I440" i="6"/>
  <c r="G440" i="6"/>
  <c r="I439" i="6"/>
  <c r="G439" i="6"/>
  <c r="I438" i="6"/>
  <c r="G438" i="6"/>
  <c r="I437" i="6"/>
  <c r="G437" i="6"/>
  <c r="I436" i="6"/>
  <c r="G436" i="6"/>
  <c r="I435" i="6"/>
  <c r="G435" i="6"/>
  <c r="I434" i="6"/>
  <c r="G434" i="6"/>
  <c r="I433" i="6"/>
  <c r="G433" i="6"/>
  <c r="I432" i="6"/>
  <c r="G432" i="6"/>
  <c r="I431" i="6"/>
  <c r="G431" i="6"/>
  <c r="I430" i="6"/>
  <c r="G430" i="6"/>
  <c r="I429" i="6"/>
  <c r="G429" i="6"/>
  <c r="I428" i="6"/>
  <c r="G428" i="6"/>
  <c r="I427" i="6"/>
  <c r="G427" i="6"/>
  <c r="I426" i="6"/>
  <c r="G426" i="6"/>
  <c r="I425" i="6"/>
  <c r="G425" i="6"/>
  <c r="I424" i="6"/>
  <c r="G424" i="6"/>
  <c r="I423" i="6"/>
  <c r="G423" i="6"/>
  <c r="I422" i="6"/>
  <c r="G422" i="6"/>
  <c r="I421" i="6"/>
  <c r="G421" i="6"/>
  <c r="I420" i="6"/>
  <c r="G420" i="6"/>
  <c r="I419" i="6"/>
  <c r="G419" i="6"/>
  <c r="I418" i="6"/>
  <c r="G418" i="6"/>
  <c r="I417" i="6"/>
  <c r="G417" i="6"/>
  <c r="I416" i="6"/>
  <c r="G416" i="6"/>
  <c r="I415" i="6"/>
  <c r="G415" i="6"/>
  <c r="I414" i="6"/>
  <c r="G414" i="6"/>
  <c r="I413" i="6"/>
  <c r="G413" i="6"/>
  <c r="I412" i="6"/>
  <c r="G412" i="6"/>
  <c r="I411" i="6"/>
  <c r="G411" i="6"/>
  <c r="I410" i="6"/>
  <c r="G410" i="6"/>
  <c r="I409" i="6"/>
  <c r="G409" i="6"/>
  <c r="I408" i="6"/>
  <c r="G408" i="6"/>
  <c r="I407" i="6"/>
  <c r="G407" i="6"/>
  <c r="I406" i="6"/>
  <c r="G406" i="6"/>
  <c r="I405" i="6"/>
  <c r="G405" i="6"/>
  <c r="I404" i="6"/>
  <c r="G404" i="6"/>
  <c r="I403" i="6"/>
  <c r="G403" i="6"/>
  <c r="I402" i="6"/>
  <c r="G402" i="6"/>
  <c r="I401" i="6"/>
  <c r="G401" i="6"/>
  <c r="I400" i="6"/>
  <c r="G400" i="6"/>
  <c r="I399" i="6"/>
  <c r="G399" i="6"/>
  <c r="I398" i="6"/>
  <c r="G398" i="6"/>
  <c r="I397" i="6"/>
  <c r="G397" i="6"/>
  <c r="I396" i="6"/>
  <c r="G396" i="6"/>
  <c r="I395" i="6"/>
  <c r="G395" i="6"/>
  <c r="I394" i="6"/>
  <c r="G394" i="6"/>
  <c r="I393" i="6"/>
  <c r="G393" i="6"/>
  <c r="I392" i="6"/>
  <c r="G392" i="6"/>
  <c r="I391" i="6"/>
  <c r="G391" i="6"/>
  <c r="I390" i="6"/>
  <c r="G390" i="6"/>
  <c r="I389" i="6"/>
  <c r="G389" i="6"/>
  <c r="I388" i="6"/>
  <c r="G388" i="6"/>
  <c r="I387" i="6"/>
  <c r="G387" i="6"/>
  <c r="I386" i="6"/>
  <c r="G386" i="6"/>
  <c r="I385" i="6"/>
  <c r="G385" i="6"/>
  <c r="I384" i="6"/>
  <c r="G384" i="6"/>
  <c r="I383" i="6"/>
  <c r="G383" i="6"/>
  <c r="I382" i="6"/>
  <c r="G382" i="6"/>
  <c r="I381" i="6"/>
  <c r="G381" i="6"/>
  <c r="I380" i="6"/>
  <c r="G380" i="6"/>
  <c r="I379" i="6"/>
  <c r="G379" i="6"/>
  <c r="I378" i="6"/>
  <c r="G378" i="6"/>
  <c r="I377" i="6"/>
  <c r="G377" i="6"/>
  <c r="I376" i="6"/>
  <c r="G376" i="6"/>
  <c r="I375" i="6"/>
  <c r="G375" i="6"/>
  <c r="I374" i="6"/>
  <c r="G374" i="6"/>
  <c r="I373" i="6"/>
  <c r="G373" i="6"/>
  <c r="I372" i="6"/>
  <c r="G372" i="6"/>
  <c r="I371" i="6"/>
  <c r="G371" i="6"/>
  <c r="I370" i="6"/>
  <c r="G370" i="6"/>
  <c r="I369" i="6"/>
  <c r="G369" i="6"/>
  <c r="I368" i="6"/>
  <c r="G368" i="6"/>
  <c r="I367" i="6"/>
  <c r="G367" i="6"/>
  <c r="I366" i="6"/>
  <c r="G366" i="6"/>
  <c r="I365" i="6"/>
  <c r="G365" i="6"/>
  <c r="I364" i="6"/>
  <c r="G364" i="6"/>
  <c r="I363" i="6"/>
  <c r="G363" i="6"/>
  <c r="I362" i="6"/>
  <c r="G362" i="6"/>
  <c r="I361" i="6"/>
  <c r="G361" i="6"/>
  <c r="I360" i="6"/>
  <c r="G360" i="6"/>
  <c r="I359" i="6"/>
  <c r="G359" i="6"/>
  <c r="I358" i="6"/>
  <c r="G358" i="6"/>
  <c r="I357" i="6"/>
  <c r="G357" i="6"/>
  <c r="I356" i="6"/>
  <c r="G356" i="6"/>
  <c r="I355" i="6"/>
  <c r="G355" i="6"/>
  <c r="I354" i="6"/>
  <c r="G354" i="6"/>
  <c r="I353" i="6"/>
  <c r="G353" i="6"/>
  <c r="I352" i="6"/>
  <c r="G352" i="6"/>
  <c r="I351" i="6"/>
  <c r="G351" i="6"/>
  <c r="I350" i="6"/>
  <c r="G350" i="6"/>
  <c r="I349" i="6"/>
  <c r="G349" i="6"/>
  <c r="I348" i="6"/>
  <c r="G348" i="6"/>
  <c r="I347" i="6"/>
  <c r="G347" i="6"/>
  <c r="I346" i="6"/>
  <c r="G346" i="6"/>
  <c r="I345" i="6"/>
  <c r="G345" i="6"/>
  <c r="I344" i="6"/>
  <c r="G344" i="6"/>
  <c r="I343" i="6"/>
  <c r="G343" i="6"/>
  <c r="I342" i="6"/>
  <c r="G342" i="6"/>
  <c r="I341" i="6"/>
  <c r="G341" i="6"/>
  <c r="I340" i="6"/>
  <c r="G340" i="6"/>
  <c r="I339" i="6"/>
  <c r="G339" i="6"/>
  <c r="I338" i="6"/>
  <c r="G338" i="6"/>
  <c r="I337" i="6"/>
  <c r="G337" i="6"/>
  <c r="I336" i="6"/>
  <c r="G336" i="6"/>
  <c r="I335" i="6"/>
  <c r="G335" i="6"/>
  <c r="I334" i="6"/>
  <c r="G334" i="6"/>
  <c r="I333" i="6"/>
  <c r="G333" i="6"/>
  <c r="I332" i="6"/>
  <c r="G332" i="6"/>
  <c r="I331" i="6"/>
  <c r="G331" i="6"/>
  <c r="I330" i="6"/>
  <c r="G330" i="6"/>
  <c r="I329" i="6"/>
  <c r="G329" i="6"/>
  <c r="I328" i="6"/>
  <c r="G328" i="6"/>
  <c r="I327" i="6"/>
  <c r="G327" i="6"/>
  <c r="I326" i="6"/>
  <c r="G326" i="6"/>
  <c r="I325" i="6"/>
  <c r="G325" i="6"/>
  <c r="I324" i="6"/>
  <c r="G324" i="6"/>
  <c r="I323" i="6"/>
  <c r="G323" i="6"/>
  <c r="I322" i="6"/>
  <c r="G322" i="6"/>
  <c r="I321" i="6"/>
  <c r="G321" i="6"/>
  <c r="I320" i="6"/>
  <c r="G320" i="6"/>
  <c r="I319" i="6"/>
  <c r="G319" i="6"/>
  <c r="I318" i="6"/>
  <c r="G318" i="6"/>
  <c r="I317" i="6"/>
  <c r="G317" i="6"/>
  <c r="I316" i="6"/>
  <c r="G316" i="6"/>
  <c r="I315" i="6"/>
  <c r="G315" i="6"/>
  <c r="I314" i="6"/>
  <c r="G314" i="6"/>
  <c r="I313" i="6"/>
  <c r="G313" i="6"/>
  <c r="I312" i="6"/>
  <c r="G312" i="6"/>
  <c r="I311" i="6"/>
  <c r="G311" i="6"/>
  <c r="I310" i="6"/>
  <c r="G310" i="6"/>
  <c r="I309" i="6"/>
  <c r="G309" i="6"/>
  <c r="I308" i="6"/>
  <c r="G308" i="6"/>
  <c r="I307" i="6"/>
  <c r="G307" i="6"/>
  <c r="I306" i="6"/>
  <c r="G306" i="6"/>
  <c r="I305" i="6"/>
  <c r="G305" i="6"/>
  <c r="I304" i="6"/>
  <c r="G304" i="6"/>
  <c r="I303" i="6"/>
  <c r="G303" i="6"/>
  <c r="I302" i="6"/>
  <c r="G302" i="6"/>
  <c r="I301" i="6"/>
  <c r="G301" i="6"/>
  <c r="I300" i="6"/>
  <c r="G300" i="6"/>
  <c r="I299" i="6"/>
  <c r="G299" i="6"/>
  <c r="I298" i="6"/>
  <c r="G298" i="6"/>
  <c r="I297" i="6"/>
  <c r="G297" i="6"/>
  <c r="I296" i="6"/>
  <c r="G296" i="6"/>
  <c r="I295" i="6"/>
  <c r="G295" i="6"/>
  <c r="I294" i="6"/>
  <c r="G294" i="6"/>
  <c r="I293" i="6"/>
  <c r="G293" i="6"/>
  <c r="I292" i="6"/>
  <c r="G292" i="6"/>
  <c r="I291" i="6"/>
  <c r="G291" i="6"/>
  <c r="I290" i="6"/>
  <c r="G290" i="6"/>
  <c r="I289" i="6"/>
  <c r="G289" i="6"/>
  <c r="I288" i="6"/>
  <c r="G288" i="6"/>
  <c r="I287" i="6"/>
  <c r="G287" i="6"/>
  <c r="I286" i="6"/>
  <c r="G286" i="6"/>
  <c r="I285" i="6"/>
  <c r="G285" i="6"/>
  <c r="I284" i="6"/>
  <c r="G284" i="6"/>
  <c r="I283" i="6"/>
  <c r="G283" i="6"/>
  <c r="I282" i="6"/>
  <c r="G282" i="6"/>
  <c r="I281" i="6"/>
  <c r="G281" i="6"/>
  <c r="I280" i="6"/>
  <c r="G280" i="6"/>
  <c r="I279" i="6"/>
  <c r="G279" i="6"/>
  <c r="I278" i="6"/>
  <c r="G278" i="6"/>
  <c r="I277" i="6"/>
  <c r="G277" i="6"/>
  <c r="I276" i="6"/>
  <c r="G276" i="6"/>
  <c r="I275" i="6"/>
  <c r="G275" i="6"/>
  <c r="I274" i="6"/>
  <c r="G274" i="6"/>
  <c r="I273" i="6"/>
  <c r="G273" i="6"/>
  <c r="I272" i="6"/>
  <c r="G272" i="6"/>
  <c r="I271" i="6"/>
  <c r="G271" i="6"/>
  <c r="I270" i="6"/>
  <c r="G270" i="6"/>
  <c r="I269" i="6"/>
  <c r="G269" i="6"/>
  <c r="I268" i="6"/>
  <c r="G268" i="6"/>
  <c r="I267" i="6"/>
  <c r="G267" i="6"/>
  <c r="I266" i="6"/>
  <c r="G266" i="6"/>
  <c r="I265" i="6"/>
  <c r="G265" i="6"/>
  <c r="I264" i="6"/>
  <c r="G264" i="6"/>
  <c r="I263" i="6"/>
  <c r="G263" i="6"/>
  <c r="I262" i="6"/>
  <c r="G262" i="6"/>
  <c r="I261" i="6"/>
  <c r="G261" i="6"/>
  <c r="I260" i="6"/>
  <c r="G260" i="6"/>
  <c r="I259" i="6"/>
  <c r="G259" i="6"/>
  <c r="I258" i="6"/>
  <c r="G258" i="6"/>
  <c r="I257" i="6"/>
  <c r="G257" i="6"/>
  <c r="I256" i="6"/>
  <c r="G256" i="6"/>
  <c r="I255" i="6"/>
  <c r="G255" i="6"/>
  <c r="I254" i="6"/>
  <c r="G254" i="6"/>
  <c r="I253" i="6"/>
  <c r="G253" i="6"/>
  <c r="I252" i="6"/>
  <c r="G252" i="6"/>
  <c r="I251" i="6"/>
  <c r="G251" i="6"/>
  <c r="I250" i="6"/>
  <c r="G250" i="6"/>
  <c r="I249" i="6"/>
  <c r="G249" i="6"/>
  <c r="I248" i="6"/>
  <c r="G248" i="6"/>
  <c r="I247" i="6"/>
  <c r="G247" i="6"/>
  <c r="I246" i="6"/>
  <c r="G246" i="6"/>
  <c r="I245" i="6"/>
  <c r="G245" i="6"/>
  <c r="I244" i="6"/>
  <c r="G244" i="6"/>
  <c r="I243" i="6"/>
  <c r="G243" i="6"/>
  <c r="I242" i="6"/>
  <c r="G242" i="6"/>
  <c r="I241" i="6"/>
  <c r="G241" i="6"/>
  <c r="I240" i="6"/>
  <c r="G240" i="6"/>
  <c r="I239" i="6"/>
  <c r="G239" i="6"/>
  <c r="I238" i="6"/>
  <c r="G238" i="6"/>
  <c r="I237" i="6"/>
  <c r="G237" i="6"/>
  <c r="I236" i="6"/>
  <c r="G236" i="6"/>
  <c r="I235" i="6"/>
  <c r="G235" i="6"/>
  <c r="I234" i="6"/>
  <c r="G234" i="6"/>
  <c r="I233" i="6"/>
  <c r="G233" i="6"/>
  <c r="I232" i="6"/>
  <c r="G232" i="6"/>
  <c r="I231" i="6"/>
  <c r="G231" i="6"/>
  <c r="I230" i="6"/>
  <c r="G230" i="6"/>
  <c r="I229" i="6"/>
  <c r="G229" i="6"/>
  <c r="I228" i="6"/>
  <c r="G228" i="6"/>
  <c r="I227" i="6"/>
  <c r="G227" i="6"/>
  <c r="I226" i="6"/>
  <c r="G226" i="6"/>
  <c r="I225" i="6"/>
  <c r="G225" i="6"/>
  <c r="I224" i="6"/>
  <c r="G224" i="6"/>
  <c r="I223" i="6"/>
  <c r="G223" i="6"/>
  <c r="I222" i="6"/>
  <c r="G222" i="6"/>
  <c r="I221" i="6"/>
  <c r="G221" i="6"/>
  <c r="I220" i="6"/>
  <c r="G220" i="6"/>
  <c r="I219" i="6"/>
  <c r="G219" i="6"/>
  <c r="I218" i="6"/>
  <c r="G218" i="6"/>
  <c r="I217" i="6"/>
  <c r="G217" i="6"/>
  <c r="I216" i="6"/>
  <c r="G216" i="6"/>
  <c r="I215" i="6"/>
  <c r="G215" i="6"/>
  <c r="I214" i="6"/>
  <c r="G214" i="6"/>
  <c r="I213" i="6"/>
  <c r="G213" i="6"/>
  <c r="I212" i="6"/>
  <c r="G212" i="6"/>
  <c r="I211" i="6"/>
  <c r="G211" i="6"/>
  <c r="I210" i="6"/>
  <c r="G210" i="6"/>
  <c r="I209" i="6"/>
  <c r="G209" i="6"/>
  <c r="I208" i="6"/>
  <c r="G208" i="6"/>
  <c r="I207" i="6"/>
  <c r="G207" i="6"/>
  <c r="I206" i="6"/>
  <c r="G206" i="6"/>
  <c r="I205" i="6"/>
  <c r="G205" i="6"/>
  <c r="I204" i="6"/>
  <c r="G204" i="6"/>
  <c r="I203" i="6"/>
  <c r="G203" i="6"/>
  <c r="I202" i="6"/>
  <c r="G202" i="6"/>
  <c r="I201" i="6"/>
  <c r="G201" i="6"/>
  <c r="I200" i="6"/>
  <c r="G200" i="6"/>
  <c r="I199" i="6"/>
  <c r="G199" i="6"/>
  <c r="I198" i="6"/>
  <c r="G198" i="6"/>
  <c r="I197" i="6"/>
  <c r="G197" i="6"/>
  <c r="I196" i="6"/>
  <c r="G196" i="6"/>
  <c r="I195" i="6"/>
  <c r="G195" i="6"/>
  <c r="I194" i="6"/>
  <c r="G194" i="6"/>
  <c r="I193" i="6"/>
  <c r="G193" i="6"/>
  <c r="I192" i="6"/>
  <c r="G192" i="6"/>
  <c r="I191" i="6"/>
  <c r="G191" i="6"/>
  <c r="I190" i="6"/>
  <c r="G190" i="6"/>
  <c r="I189" i="6"/>
  <c r="G189" i="6"/>
  <c r="I188" i="6"/>
  <c r="G188" i="6"/>
  <c r="I187" i="6"/>
  <c r="G187" i="6"/>
  <c r="I186" i="6"/>
  <c r="G186" i="6"/>
  <c r="I185" i="6"/>
  <c r="G185" i="6"/>
  <c r="I184" i="6"/>
  <c r="G184" i="6"/>
  <c r="I183" i="6"/>
  <c r="G183" i="6"/>
  <c r="I182" i="6"/>
  <c r="G182" i="6"/>
  <c r="I181" i="6"/>
  <c r="G181" i="6"/>
  <c r="I180" i="6"/>
  <c r="G180" i="6"/>
  <c r="I179" i="6"/>
  <c r="G179" i="6"/>
  <c r="I178" i="6"/>
  <c r="G178" i="6"/>
  <c r="I177" i="6"/>
  <c r="G177" i="6"/>
  <c r="I176" i="6"/>
  <c r="G176" i="6"/>
  <c r="I175" i="6"/>
  <c r="G175" i="6"/>
  <c r="I174" i="6"/>
  <c r="G174" i="6"/>
  <c r="I173" i="6"/>
  <c r="G173" i="6"/>
  <c r="I172" i="6"/>
  <c r="G172" i="6"/>
  <c r="I171" i="6"/>
  <c r="G171" i="6"/>
  <c r="I170" i="6"/>
  <c r="G170" i="6"/>
  <c r="I169" i="6"/>
  <c r="G169" i="6"/>
  <c r="I168" i="6"/>
  <c r="G168" i="6"/>
  <c r="I167" i="6"/>
  <c r="G167" i="6"/>
  <c r="I166" i="6"/>
  <c r="G166" i="6"/>
  <c r="I165" i="6"/>
  <c r="G165" i="6"/>
  <c r="I164" i="6"/>
  <c r="G164" i="6"/>
  <c r="I163" i="6"/>
  <c r="G163" i="6"/>
  <c r="I162" i="6"/>
  <c r="G162" i="6"/>
  <c r="I161" i="6"/>
  <c r="G161" i="6"/>
  <c r="I160" i="6"/>
  <c r="G160" i="6"/>
  <c r="I159" i="6"/>
  <c r="G159" i="6"/>
  <c r="I158" i="6"/>
  <c r="G158" i="6"/>
  <c r="I157" i="6"/>
  <c r="G157" i="6"/>
  <c r="I156" i="6"/>
  <c r="G156" i="6"/>
  <c r="I155" i="6"/>
  <c r="G155" i="6"/>
  <c r="I154" i="6"/>
  <c r="G154" i="6"/>
  <c r="I153" i="6"/>
  <c r="G153" i="6"/>
  <c r="I152" i="6"/>
  <c r="G152" i="6"/>
  <c r="I151" i="6"/>
  <c r="G151" i="6"/>
  <c r="I150" i="6"/>
  <c r="G150" i="6"/>
  <c r="I149" i="6"/>
  <c r="G149" i="6"/>
  <c r="I148" i="6"/>
  <c r="G148" i="6"/>
  <c r="I147" i="6"/>
  <c r="G147" i="6"/>
  <c r="I146" i="6"/>
  <c r="G146" i="6"/>
  <c r="I145" i="6"/>
  <c r="G145" i="6"/>
  <c r="I144" i="6"/>
  <c r="G144" i="6"/>
  <c r="I143" i="6"/>
  <c r="G143" i="6"/>
  <c r="I142" i="6"/>
  <c r="G142" i="6"/>
  <c r="I141" i="6"/>
  <c r="G141" i="6"/>
  <c r="I140" i="6"/>
  <c r="G140" i="6"/>
  <c r="I139" i="6"/>
  <c r="G139" i="6"/>
  <c r="I138" i="6"/>
  <c r="G138" i="6"/>
  <c r="I137" i="6"/>
  <c r="G137" i="6"/>
  <c r="I136" i="6"/>
  <c r="G136" i="6"/>
  <c r="I135" i="6"/>
  <c r="G135" i="6"/>
  <c r="I134" i="6"/>
  <c r="G134" i="6"/>
  <c r="I133" i="6"/>
  <c r="G133" i="6"/>
  <c r="I132" i="6"/>
  <c r="G132" i="6"/>
  <c r="I131" i="6"/>
  <c r="G131" i="6"/>
  <c r="I130" i="6"/>
  <c r="G130" i="6"/>
  <c r="I129" i="6"/>
  <c r="G129" i="6"/>
  <c r="I128" i="6"/>
  <c r="G128" i="6"/>
  <c r="I127" i="6"/>
  <c r="G127" i="6"/>
  <c r="I126" i="6"/>
  <c r="G126" i="6"/>
  <c r="I125" i="6"/>
  <c r="G125" i="6"/>
  <c r="I124" i="6"/>
  <c r="G124" i="6"/>
  <c r="I123" i="6"/>
  <c r="G123" i="6"/>
  <c r="I122" i="6"/>
  <c r="G122" i="6"/>
  <c r="I121" i="6"/>
  <c r="G121" i="6"/>
  <c r="I120" i="6"/>
  <c r="G120" i="6"/>
  <c r="I119" i="6"/>
  <c r="G119" i="6"/>
  <c r="I118" i="6"/>
  <c r="G118" i="6"/>
  <c r="I117" i="6"/>
  <c r="G117" i="6"/>
  <c r="I116" i="6"/>
  <c r="G116" i="6"/>
  <c r="I115" i="6"/>
  <c r="G115" i="6"/>
  <c r="I114" i="6"/>
  <c r="G114" i="6"/>
  <c r="I113" i="6"/>
  <c r="G113" i="6"/>
  <c r="I112" i="6"/>
  <c r="G112" i="6"/>
  <c r="I111" i="6"/>
  <c r="G111" i="6"/>
  <c r="I110" i="6"/>
  <c r="G110" i="6"/>
  <c r="I109" i="6"/>
  <c r="G109" i="6"/>
  <c r="I108" i="6"/>
  <c r="G108" i="6"/>
  <c r="I107" i="6"/>
  <c r="G107" i="6"/>
  <c r="I106" i="6"/>
  <c r="G106" i="6"/>
  <c r="I105" i="6"/>
  <c r="G105" i="6"/>
  <c r="I104" i="6"/>
  <c r="G104" i="6"/>
  <c r="I103" i="6"/>
  <c r="G103" i="6"/>
  <c r="I102" i="6"/>
  <c r="G102" i="6"/>
  <c r="I101" i="6"/>
  <c r="G101" i="6"/>
  <c r="I100" i="6"/>
  <c r="G100" i="6"/>
  <c r="I99" i="6"/>
  <c r="G99" i="6"/>
  <c r="I98" i="6"/>
  <c r="G98" i="6"/>
  <c r="I97" i="6"/>
  <c r="G97" i="6"/>
  <c r="I96" i="6"/>
  <c r="G96" i="6"/>
  <c r="I95" i="6"/>
  <c r="G95" i="6"/>
  <c r="I94" i="6"/>
  <c r="G94" i="6"/>
  <c r="I93" i="6"/>
  <c r="G93" i="6"/>
  <c r="I92" i="6"/>
  <c r="G92" i="6"/>
  <c r="I91" i="6"/>
  <c r="G91" i="6"/>
  <c r="I90" i="6"/>
  <c r="G90" i="6"/>
  <c r="I89" i="6"/>
  <c r="G89" i="6"/>
  <c r="I88" i="6"/>
  <c r="G88" i="6"/>
  <c r="I87" i="6"/>
  <c r="G87" i="6"/>
  <c r="I86" i="6"/>
  <c r="G86" i="6"/>
  <c r="I85" i="6"/>
  <c r="G85" i="6"/>
  <c r="I84" i="6"/>
  <c r="G84" i="6"/>
  <c r="I83" i="6"/>
  <c r="G83" i="6"/>
  <c r="I82" i="6"/>
  <c r="G82" i="6"/>
  <c r="I81" i="6"/>
  <c r="G81" i="6"/>
  <c r="I80" i="6"/>
  <c r="G80" i="6"/>
  <c r="I79" i="6"/>
  <c r="G79" i="6"/>
  <c r="I78" i="6"/>
  <c r="G78" i="6"/>
  <c r="I77" i="6"/>
  <c r="G77" i="6"/>
  <c r="I76" i="6"/>
  <c r="G76" i="6"/>
  <c r="I75" i="6"/>
  <c r="G75" i="6"/>
  <c r="I74" i="6"/>
  <c r="G74" i="6"/>
  <c r="I73" i="6"/>
  <c r="G73" i="6"/>
  <c r="I72" i="6"/>
  <c r="G72" i="6"/>
  <c r="I71" i="6"/>
  <c r="G71" i="6"/>
  <c r="I70" i="6"/>
  <c r="G70" i="6"/>
  <c r="I69" i="6"/>
  <c r="G69" i="6"/>
  <c r="I68" i="6"/>
  <c r="G68" i="6"/>
  <c r="I67" i="6"/>
  <c r="G67" i="6"/>
  <c r="I66" i="6"/>
  <c r="G66" i="6"/>
  <c r="I65" i="6"/>
  <c r="G65" i="6"/>
  <c r="I64" i="6"/>
  <c r="G64" i="6"/>
  <c r="I63" i="6"/>
  <c r="G63" i="6"/>
  <c r="I62" i="6"/>
  <c r="G62" i="6"/>
  <c r="I61" i="6"/>
  <c r="G61" i="6"/>
  <c r="I60" i="6"/>
  <c r="G60" i="6"/>
  <c r="I59" i="6"/>
  <c r="G59" i="6"/>
  <c r="I58" i="6"/>
  <c r="G58" i="6"/>
  <c r="I57" i="6"/>
  <c r="G57" i="6"/>
  <c r="I56" i="6"/>
  <c r="G56" i="6"/>
  <c r="I55" i="6"/>
  <c r="G55" i="6"/>
  <c r="I54" i="6"/>
  <c r="G54" i="6"/>
  <c r="I53" i="6"/>
  <c r="G53" i="6"/>
  <c r="I52" i="6"/>
  <c r="G52" i="6"/>
  <c r="I51" i="6"/>
  <c r="G51" i="6"/>
  <c r="I50" i="6"/>
  <c r="G50" i="6"/>
  <c r="I49" i="6"/>
  <c r="G49" i="6"/>
  <c r="I48" i="6"/>
  <c r="G48" i="6"/>
  <c r="I47" i="6"/>
  <c r="G47" i="6"/>
  <c r="I46" i="6"/>
  <c r="G46" i="6"/>
  <c r="I45" i="6"/>
  <c r="G45" i="6"/>
  <c r="I44" i="6"/>
  <c r="G44" i="6"/>
  <c r="I43" i="6"/>
  <c r="G43" i="6"/>
  <c r="I42" i="6"/>
  <c r="G42" i="6"/>
  <c r="I41" i="6"/>
  <c r="G41" i="6"/>
  <c r="I40" i="6"/>
  <c r="G40" i="6"/>
  <c r="I39" i="6"/>
  <c r="G39" i="6"/>
  <c r="I38" i="6"/>
  <c r="G38" i="6"/>
  <c r="I37" i="6"/>
  <c r="G37" i="6"/>
  <c r="I36" i="6"/>
  <c r="G36" i="6"/>
  <c r="I35" i="6"/>
  <c r="G35" i="6"/>
  <c r="I34" i="6"/>
  <c r="G34" i="6"/>
  <c r="I33" i="6"/>
  <c r="G33" i="6"/>
  <c r="I32" i="6"/>
  <c r="G32" i="6"/>
  <c r="I31" i="6"/>
  <c r="G31" i="6"/>
  <c r="I30" i="6"/>
  <c r="G30" i="6"/>
  <c r="I29" i="6"/>
  <c r="G29" i="6"/>
  <c r="I28" i="6"/>
  <c r="G28" i="6"/>
  <c r="I27" i="6"/>
  <c r="G27" i="6"/>
  <c r="I26" i="6"/>
  <c r="G26" i="6"/>
  <c r="I25" i="6"/>
  <c r="G25" i="6"/>
  <c r="I24" i="6"/>
  <c r="G24" i="6"/>
  <c r="I23" i="6"/>
  <c r="G23" i="6"/>
  <c r="I22" i="6"/>
  <c r="G22" i="6"/>
  <c r="I21" i="6"/>
  <c r="G21" i="6"/>
  <c r="I20" i="6"/>
  <c r="G20" i="6"/>
  <c r="I19" i="6"/>
  <c r="G19" i="6"/>
  <c r="I18" i="6"/>
  <c r="G18" i="6"/>
  <c r="I17" i="6"/>
  <c r="G17" i="6"/>
  <c r="I16" i="6"/>
  <c r="G16" i="6"/>
  <c r="I15" i="6"/>
  <c r="G15" i="6"/>
  <c r="I14" i="6"/>
  <c r="G14" i="6"/>
  <c r="I13" i="6"/>
  <c r="G13" i="6"/>
  <c r="I12" i="6"/>
  <c r="G12" i="6"/>
  <c r="I11" i="6"/>
  <c r="G11" i="6"/>
  <c r="I10" i="6"/>
  <c r="G10" i="6"/>
  <c r="I9" i="6"/>
  <c r="G9" i="6"/>
  <c r="I8" i="6"/>
  <c r="G8" i="6"/>
  <c r="I7" i="6"/>
  <c r="G7" i="6"/>
  <c r="I6" i="6"/>
  <c r="G6" i="6"/>
  <c r="I5" i="6"/>
  <c r="G5" i="6"/>
  <c r="X4" i="6"/>
  <c r="I4" i="6"/>
  <c r="G4" i="6"/>
  <c r="X3" i="6"/>
  <c r="X5" i="6"/>
  <c r="I3" i="6"/>
  <c r="G3" i="6"/>
  <c r="I2" i="6"/>
  <c r="G2" i="6"/>
  <c r="B1" i="6"/>
  <c r="G20" i="5"/>
  <c r="X6" i="6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H223" i="1" s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H180" i="1" s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H153" i="1" s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H120" i="1" s="1"/>
  <c r="E121" i="1"/>
  <c r="E122" i="1"/>
  <c r="H122" i="1" s="1"/>
  <c r="E123" i="1"/>
  <c r="E124" i="1"/>
  <c r="E125" i="1"/>
  <c r="E126" i="1"/>
  <c r="E127" i="1"/>
  <c r="E128" i="1"/>
  <c r="H128" i="1" s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H107" i="1" s="1"/>
  <c r="I107" i="1"/>
  <c r="G108" i="1"/>
  <c r="I108" i="1"/>
  <c r="G109" i="1"/>
  <c r="I109" i="1"/>
  <c r="G110" i="1"/>
  <c r="I110" i="1"/>
  <c r="G111" i="1"/>
  <c r="I111" i="1"/>
  <c r="G112" i="1"/>
  <c r="H112" i="1" s="1"/>
  <c r="I112" i="1"/>
  <c r="G113" i="1"/>
  <c r="I113" i="1"/>
  <c r="E104" i="1"/>
  <c r="E105" i="1"/>
  <c r="E106" i="1"/>
  <c r="H106" i="1" s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H96" i="1" s="1"/>
  <c r="E97" i="1"/>
  <c r="E98" i="1"/>
  <c r="H98" i="1" s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H86" i="1" s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H72" i="1" s="1"/>
  <c r="G73" i="1"/>
  <c r="G74" i="1"/>
  <c r="G75" i="1"/>
  <c r="G76" i="1"/>
  <c r="G77" i="1"/>
  <c r="G78" i="1"/>
  <c r="G79" i="1"/>
  <c r="G80" i="1"/>
  <c r="H80" i="1" s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M13" i="5" s="1"/>
  <c r="G14" i="5"/>
  <c r="G15" i="5"/>
  <c r="G16" i="5"/>
  <c r="G17" i="5"/>
  <c r="G18" i="5"/>
  <c r="G19" i="5"/>
  <c r="G21" i="5"/>
  <c r="G22" i="5"/>
  <c r="G23" i="5"/>
  <c r="M23" i="5" s="1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F4" i="5" s="1"/>
  <c r="C5" i="5"/>
  <c r="C6" i="5"/>
  <c r="C7" i="5"/>
  <c r="C8" i="5"/>
  <c r="C9" i="5"/>
  <c r="C10" i="5"/>
  <c r="C11" i="5"/>
  <c r="C12" i="5"/>
  <c r="F12" i="5" s="1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F28" i="5" s="1"/>
  <c r="C29" i="5"/>
  <c r="C30" i="5"/>
  <c r="C31" i="5"/>
  <c r="F31" i="5" s="1"/>
  <c r="C32" i="5"/>
  <c r="C33" i="5"/>
  <c r="C3" i="5"/>
  <c r="C2" i="5"/>
  <c r="B2" i="5" s="1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H33" i="1" s="1"/>
  <c r="G34" i="1"/>
  <c r="G35" i="1"/>
  <c r="G36" i="1"/>
  <c r="G37" i="1"/>
  <c r="G38" i="1"/>
  <c r="G39" i="1"/>
  <c r="G40" i="1"/>
  <c r="G41" i="1"/>
  <c r="H41" i="1" s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M16" i="5"/>
  <c r="M8" i="5"/>
  <c r="N32" i="5"/>
  <c r="N24" i="5"/>
  <c r="N16" i="5"/>
  <c r="N8" i="5"/>
  <c r="M32" i="5"/>
  <c r="H130" i="1"/>
  <c r="H131" i="1"/>
  <c r="H124" i="1"/>
  <c r="H126" i="1"/>
  <c r="H119" i="1"/>
  <c r="H87" i="1"/>
  <c r="H113" i="1"/>
  <c r="H118" i="1"/>
  <c r="H90" i="1"/>
  <c r="H110" i="1"/>
  <c r="H123" i="1"/>
  <c r="H116" i="1"/>
  <c r="H125" i="1"/>
  <c r="H121" i="1"/>
  <c r="H127" i="1"/>
  <c r="H117" i="1"/>
  <c r="H102" i="1"/>
  <c r="H109" i="1"/>
  <c r="H105" i="1"/>
  <c r="H115" i="1"/>
  <c r="H111" i="1"/>
  <c r="H101" i="1"/>
  <c r="H97" i="1"/>
  <c r="H89" i="1"/>
  <c r="H95" i="1"/>
  <c r="H91" i="1"/>
  <c r="H75" i="1"/>
  <c r="H67" i="1"/>
  <c r="H85" i="1"/>
  <c r="H84" i="1"/>
  <c r="H76" i="1"/>
  <c r="H68" i="1"/>
  <c r="H88" i="1"/>
  <c r="H94" i="1"/>
  <c r="H83" i="1"/>
  <c r="H79" i="1"/>
  <c r="H71" i="1"/>
  <c r="H78" i="1"/>
  <c r="H92" i="1"/>
  <c r="H82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M22" i="5" l="1"/>
  <c r="M20" i="5"/>
  <c r="J284" i="4"/>
  <c r="F7" i="5"/>
  <c r="M4" i="5"/>
  <c r="H176" i="1"/>
  <c r="H193" i="1"/>
  <c r="H204" i="1"/>
  <c r="J204" i="1" s="1"/>
  <c r="M17" i="5"/>
  <c r="H150" i="1"/>
  <c r="H198" i="1"/>
  <c r="H194" i="1"/>
  <c r="H190" i="1"/>
  <c r="H186" i="1"/>
  <c r="H50" i="1"/>
  <c r="H26" i="1"/>
  <c r="J26" i="1" s="1"/>
  <c r="H18" i="1"/>
  <c r="M18" i="5"/>
  <c r="H36" i="1"/>
  <c r="J281" i="4"/>
  <c r="J280" i="4"/>
  <c r="B17" i="5"/>
  <c r="F30" i="5"/>
  <c r="F22" i="5"/>
  <c r="F14" i="5"/>
  <c r="N4" i="5"/>
  <c r="N20" i="5"/>
  <c r="H17" i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H133" i="1"/>
  <c r="H151" i="1"/>
  <c r="M19" i="5"/>
  <c r="M11" i="5"/>
  <c r="M3" i="5"/>
  <c r="N27" i="5"/>
  <c r="N19" i="5"/>
  <c r="N11" i="5"/>
  <c r="F5" i="5"/>
  <c r="B27" i="5"/>
  <c r="F19" i="5"/>
  <c r="F11" i="5"/>
  <c r="H60" i="1"/>
  <c r="F33" i="5"/>
  <c r="F25" i="5"/>
  <c r="H64" i="1"/>
  <c r="F16" i="5"/>
  <c r="B9" i="5"/>
  <c r="H57" i="1"/>
  <c r="H70" i="1"/>
  <c r="H74" i="1"/>
  <c r="H66" i="1"/>
  <c r="H93" i="1"/>
  <c r="H100" i="1"/>
  <c r="H104" i="1"/>
  <c r="F18" i="5"/>
  <c r="H143" i="1"/>
  <c r="H103" i="1"/>
  <c r="J103" i="1" s="1"/>
  <c r="B32" i="5"/>
  <c r="N21" i="5"/>
  <c r="H205" i="1"/>
  <c r="H216" i="1"/>
  <c r="J216" i="1" s="1"/>
  <c r="H208" i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H99" i="1"/>
  <c r="H108" i="1"/>
  <c r="H129" i="1"/>
  <c r="J129" i="1" s="1"/>
  <c r="H77" i="1"/>
  <c r="H69" i="1"/>
  <c r="H81" i="1"/>
  <c r="J81" i="1" s="1"/>
  <c r="H73" i="1"/>
  <c r="H114" i="1"/>
  <c r="H44" i="1"/>
  <c r="J44" i="1" s="1"/>
  <c r="H20" i="1"/>
  <c r="J20" i="1" s="1"/>
  <c r="F6" i="5"/>
  <c r="B14" i="5"/>
  <c r="M30" i="5"/>
  <c r="M5" i="5"/>
  <c r="N29" i="5"/>
  <c r="N5" i="5"/>
  <c r="H173" i="1"/>
  <c r="H227" i="1"/>
  <c r="J227" i="1" s="1"/>
  <c r="H51" i="1"/>
  <c r="J51" i="1" s="1"/>
  <c r="H35" i="1"/>
  <c r="H19" i="1"/>
  <c r="H42" i="1"/>
  <c r="J42" i="1" s="1"/>
  <c r="H34" i="1"/>
  <c r="J34" i="1" s="1"/>
  <c r="B31" i="5"/>
  <c r="B23" i="5"/>
  <c r="B15" i="5"/>
  <c r="H142" i="1"/>
  <c r="H134" i="1"/>
  <c r="J134" i="1" s="1"/>
  <c r="H152" i="1"/>
  <c r="J152" i="1" s="1"/>
  <c r="H148" i="1"/>
  <c r="H49" i="1"/>
  <c r="J49" i="1" s="1"/>
  <c r="H25" i="1"/>
  <c r="J25" i="1" s="1"/>
  <c r="H56" i="1"/>
  <c r="J56" i="1" s="1"/>
  <c r="H139" i="1"/>
  <c r="H149" i="1"/>
  <c r="H158" i="1"/>
  <c r="J158" i="1" s="1"/>
  <c r="H229" i="1"/>
  <c r="H234" i="1"/>
  <c r="B26" i="5"/>
  <c r="H140" i="1"/>
  <c r="H220" i="1"/>
  <c r="H43" i="1"/>
  <c r="J43" i="1" s="1"/>
  <c r="B11" i="5"/>
  <c r="N10" i="5"/>
  <c r="H165" i="1"/>
  <c r="H157" i="1"/>
  <c r="B13" i="5"/>
  <c r="F15" i="5"/>
  <c r="H135" i="1"/>
  <c r="H162" i="1"/>
  <c r="J162" i="1" s="1"/>
  <c r="H172" i="1"/>
  <c r="H168" i="1"/>
  <c r="J168" i="1" s="1"/>
  <c r="H210" i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H23" i="1"/>
  <c r="J23" i="1" s="1"/>
  <c r="H62" i="1"/>
  <c r="J62" i="1" s="1"/>
  <c r="H65" i="1"/>
  <c r="J65" i="1" s="1"/>
  <c r="M10" i="5"/>
  <c r="M2" i="5"/>
  <c r="N18" i="5"/>
  <c r="B12" i="5"/>
  <c r="H38" i="1"/>
  <c r="H30" i="1"/>
  <c r="J30" i="1" s="1"/>
  <c r="H14" i="1"/>
  <c r="J14" i="1" s="1"/>
  <c r="H61" i="1"/>
  <c r="J61" i="1" s="1"/>
  <c r="J50" i="1"/>
  <c r="H37" i="1"/>
  <c r="J37" i="1" s="1"/>
  <c r="H29" i="1"/>
  <c r="J29" i="1" s="1"/>
  <c r="H63" i="1"/>
  <c r="J63" i="1" s="1"/>
  <c r="F3" i="5"/>
  <c r="F26" i="5"/>
  <c r="B18" i="5"/>
  <c r="B10" i="5"/>
  <c r="H147" i="1"/>
  <c r="H201" i="1"/>
  <c r="J201" i="1" s="1"/>
  <c r="H212" i="1"/>
  <c r="H52" i="1"/>
  <c r="H28" i="1"/>
  <c r="J28" i="1" s="1"/>
  <c r="F23" i="5"/>
  <c r="H230" i="1"/>
  <c r="H144" i="1"/>
  <c r="J144" i="1" s="1"/>
  <c r="H136" i="1"/>
  <c r="J136" i="1" s="1"/>
  <c r="H132" i="1"/>
  <c r="J132" i="1" s="1"/>
  <c r="H146" i="1"/>
  <c r="J146" i="1" s="1"/>
  <c r="H174" i="1"/>
  <c r="J180" i="1"/>
  <c r="J176" i="1"/>
  <c r="B30" i="5"/>
  <c r="J41" i="1"/>
  <c r="J33" i="1"/>
  <c r="J17" i="1"/>
  <c r="B28" i="5"/>
  <c r="H200" i="1"/>
  <c r="H27" i="1"/>
  <c r="J27" i="1" s="1"/>
  <c r="H191" i="1"/>
  <c r="H225" i="1"/>
  <c r="J225" i="1" s="1"/>
  <c r="H169" i="1"/>
  <c r="J169" i="1" s="1"/>
  <c r="H183" i="1"/>
  <c r="H175" i="1"/>
  <c r="H197" i="1"/>
  <c r="H189" i="1"/>
  <c r="J189" i="1" s="1"/>
  <c r="H203" i="1"/>
  <c r="H215" i="1"/>
  <c r="J215" i="1" s="1"/>
  <c r="H217" i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H55" i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J60" i="1"/>
  <c r="F24" i="5"/>
  <c r="J36" i="1"/>
  <c r="F32" i="5"/>
  <c r="H22" i="1"/>
  <c r="J22" i="1" s="1"/>
  <c r="J38" i="1"/>
  <c r="J35" i="1"/>
  <c r="J19" i="1"/>
  <c r="J18" i="1"/>
  <c r="N14" i="5"/>
  <c r="J118" i="1"/>
  <c r="H155" i="1"/>
  <c r="H170" i="1"/>
  <c r="H196" i="1"/>
  <c r="H192" i="1"/>
  <c r="H188" i="1"/>
  <c r="H184" i="1"/>
  <c r="M6" i="5"/>
  <c r="L284" i="4" s="1"/>
  <c r="N22" i="5"/>
  <c r="J79" i="1"/>
  <c r="J71" i="1"/>
  <c r="J110" i="1"/>
  <c r="H154" i="1"/>
  <c r="H164" i="1"/>
  <c r="H160" i="1"/>
  <c r="H156" i="1"/>
  <c r="H182" i="1"/>
  <c r="H178" i="1"/>
  <c r="H199" i="1"/>
  <c r="J199" i="1" s="1"/>
  <c r="H211" i="1"/>
  <c r="H207" i="1"/>
  <c r="H221" i="1"/>
  <c r="J83" i="1"/>
  <c r="J98" i="1"/>
  <c r="J116" i="1"/>
  <c r="J117" i="1"/>
  <c r="H161" i="1"/>
  <c r="H218" i="1"/>
  <c r="J210" i="1"/>
  <c r="M31" i="5"/>
  <c r="N3" i="5"/>
  <c r="M28" i="5"/>
  <c r="M12" i="5"/>
  <c r="N28" i="5"/>
  <c r="N12" i="5"/>
  <c r="J101" i="1"/>
  <c r="H171" i="1"/>
  <c r="H159" i="1"/>
  <c r="H181" i="1"/>
  <c r="J194" i="1"/>
  <c r="H219" i="1"/>
  <c r="J76" i="1"/>
  <c r="J68" i="1"/>
  <c r="J94" i="1"/>
  <c r="J86" i="1"/>
  <c r="J82" i="1"/>
  <c r="J97" i="1"/>
  <c r="J115" i="1"/>
  <c r="J124" i="1"/>
  <c r="J120" i="1"/>
  <c r="M29" i="5"/>
  <c r="J75" i="1"/>
  <c r="J67" i="1"/>
  <c r="J112" i="1"/>
  <c r="J108" i="1"/>
  <c r="H145" i="1"/>
  <c r="H195" i="1"/>
  <c r="H187" i="1"/>
  <c r="H206" i="1"/>
  <c r="H209" i="1"/>
  <c r="M14" i="5"/>
  <c r="N31" i="5"/>
  <c r="N23" i="5"/>
  <c r="M33" i="5"/>
  <c r="J127" i="1"/>
  <c r="J157" i="1"/>
  <c r="H202" i="1"/>
  <c r="H213" i="1"/>
  <c r="M21" i="5"/>
  <c r="N30" i="5"/>
  <c r="N15" i="5"/>
  <c r="N7" i="5"/>
  <c r="J107" i="1"/>
  <c r="H179" i="1"/>
  <c r="H224" i="1"/>
  <c r="H235" i="1"/>
  <c r="J230" i="1"/>
  <c r="H231" i="1"/>
  <c r="J231" i="1" s="1"/>
  <c r="H236" i="1"/>
  <c r="J223" i="1"/>
  <c r="J85" i="1"/>
  <c r="J123" i="1"/>
  <c r="J529" i="4"/>
  <c r="J686" i="4"/>
  <c r="L686" i="4" s="1"/>
  <c r="J9" i="4"/>
  <c r="J111" i="4"/>
  <c r="J1111" i="4"/>
  <c r="J1242" i="4"/>
  <c r="L1242" i="4" s="1"/>
  <c r="J819" i="4"/>
  <c r="K819" i="4" s="1"/>
  <c r="M819" i="4" s="1"/>
  <c r="N819" i="4" s="1"/>
  <c r="J511" i="4"/>
  <c r="L511" i="4" s="1"/>
  <c r="J84" i="1"/>
  <c r="J102" i="1"/>
  <c r="J80" i="1"/>
  <c r="J255" i="4"/>
  <c r="L255" i="4" s="1"/>
  <c r="J431" i="4"/>
  <c r="J965" i="4"/>
  <c r="L965" i="4" s="1"/>
  <c r="J214" i="4"/>
  <c r="J574" i="4"/>
  <c r="L574" i="4" s="1"/>
  <c r="J734" i="4"/>
  <c r="K734" i="4" s="1"/>
  <c r="M734" i="4" s="1"/>
  <c r="N734" i="4" s="1"/>
  <c r="J1086" i="4"/>
  <c r="L1086" i="4" s="1"/>
  <c r="J1222" i="4"/>
  <c r="K1222" i="4" s="1"/>
  <c r="M1222" i="4" s="1"/>
  <c r="N1222" i="4" s="1"/>
  <c r="J125" i="1"/>
  <c r="J126" i="1"/>
  <c r="J109" i="1"/>
  <c r="J1305" i="4"/>
  <c r="K1305" i="4" s="1"/>
  <c r="M1305" i="4" s="1"/>
  <c r="N1305" i="4" s="1"/>
  <c r="J166" i="1"/>
  <c r="J93" i="4"/>
  <c r="L93" i="4" s="1"/>
  <c r="J1093" i="4"/>
  <c r="L1093" i="4" s="1"/>
  <c r="J1277" i="4"/>
  <c r="L1277" i="4" s="1"/>
  <c r="J55" i="1"/>
  <c r="J505" i="4"/>
  <c r="L505" i="4" s="1"/>
  <c r="J553" i="4"/>
  <c r="L553" i="4" s="1"/>
  <c r="J113" i="1"/>
  <c r="J77" i="1"/>
  <c r="J87" i="1"/>
  <c r="J172" i="4"/>
  <c r="K172" i="4" s="1"/>
  <c r="M172" i="4" s="1"/>
  <c r="J908" i="4"/>
  <c r="L908" i="4" s="1"/>
  <c r="J381" i="4"/>
  <c r="L381" i="4" s="1"/>
  <c r="J461" i="4"/>
  <c r="L461" i="4" s="1"/>
  <c r="J485" i="4"/>
  <c r="L485" i="4" s="1"/>
  <c r="J893" i="4"/>
  <c r="K893" i="4" s="1"/>
  <c r="M893" i="4" s="1"/>
  <c r="N893" i="4" s="1"/>
  <c r="J1085" i="4"/>
  <c r="L1085" i="4" s="1"/>
  <c r="J60" i="4"/>
  <c r="L60" i="4" s="1"/>
  <c r="J212" i="4"/>
  <c r="L212" i="4" s="1"/>
  <c r="J292" i="4"/>
  <c r="K292" i="4" s="1"/>
  <c r="M292" i="4" s="1"/>
  <c r="J324" i="4"/>
  <c r="K324" i="4" s="1"/>
  <c r="M324" i="4" s="1"/>
  <c r="N324" i="4" s="1"/>
  <c r="J1036" i="4"/>
  <c r="K1036" i="4" s="1"/>
  <c r="M1036" i="4" s="1"/>
  <c r="N1036" i="4" s="1"/>
  <c r="J1068" i="4"/>
  <c r="L1068" i="4" s="1"/>
  <c r="J1044" i="4"/>
  <c r="K1044" i="4" s="1"/>
  <c r="M1044" i="4" s="1"/>
  <c r="N1044" i="4" s="1"/>
  <c r="J1060" i="4"/>
  <c r="L1060" i="4" s="1"/>
  <c r="J119" i="1"/>
  <c r="J992" i="4"/>
  <c r="K992" i="4" s="1"/>
  <c r="M992" i="4" s="1"/>
  <c r="N992" i="4" s="1"/>
  <c r="J1136" i="4"/>
  <c r="K1136" i="4" s="1"/>
  <c r="M1136" i="4" s="1"/>
  <c r="N1136" i="4" s="1"/>
  <c r="J1192" i="4"/>
  <c r="K1192" i="4" s="1"/>
  <c r="M1192" i="4" s="1"/>
  <c r="N1192" i="4" s="1"/>
  <c r="J1208" i="4"/>
  <c r="L1208" i="4" s="1"/>
  <c r="J114" i="1"/>
  <c r="J87" i="4"/>
  <c r="K87" i="4" s="1"/>
  <c r="M87" i="4" s="1"/>
  <c r="J167" i="4"/>
  <c r="L167" i="4" s="1"/>
  <c r="J503" i="4"/>
  <c r="L503" i="4" s="1"/>
  <c r="J559" i="4"/>
  <c r="L559" i="4" s="1"/>
  <c r="J599" i="4"/>
  <c r="L599" i="4" s="1"/>
  <c r="J767" i="4"/>
  <c r="L767" i="4" s="1"/>
  <c r="J895" i="4"/>
  <c r="L895" i="4" s="1"/>
  <c r="J951" i="4"/>
  <c r="K951" i="4" s="1"/>
  <c r="M951" i="4" s="1"/>
  <c r="N951" i="4" s="1"/>
  <c r="J975" i="4"/>
  <c r="K975" i="4" s="1"/>
  <c r="M975" i="4" s="1"/>
  <c r="N975" i="4" s="1"/>
  <c r="J1095" i="4"/>
  <c r="L1095" i="4" s="1"/>
  <c r="J1231" i="4"/>
  <c r="L1231" i="4" s="1"/>
  <c r="J1295" i="4"/>
  <c r="L1295" i="4" s="1"/>
  <c r="J119" i="4"/>
  <c r="L119" i="4" s="1"/>
  <c r="J231" i="4"/>
  <c r="K231" i="4" s="1"/>
  <c r="M231" i="4" s="1"/>
  <c r="J335" i="4"/>
  <c r="L335" i="4" s="1"/>
  <c r="J415" i="4"/>
  <c r="L415" i="4" s="1"/>
  <c r="J535" i="4"/>
  <c r="J703" i="4"/>
  <c r="K703" i="4" s="1"/>
  <c r="M703" i="4" s="1"/>
  <c r="N703" i="4" s="1"/>
  <c r="J719" i="4"/>
  <c r="L719" i="4" s="1"/>
  <c r="J831" i="4"/>
  <c r="K831" i="4" s="1"/>
  <c r="M831" i="4" s="1"/>
  <c r="N831" i="4" s="1"/>
  <c r="J871" i="4"/>
  <c r="K871" i="4" s="1"/>
  <c r="M871" i="4" s="1"/>
  <c r="N871" i="4" s="1"/>
  <c r="J959" i="4"/>
  <c r="L959" i="4" s="1"/>
  <c r="J983" i="4"/>
  <c r="L983" i="4" s="1"/>
  <c r="J1079" i="4"/>
  <c r="K1079" i="4" s="1"/>
  <c r="M1079" i="4" s="1"/>
  <c r="N1079" i="4" s="1"/>
  <c r="J1191" i="4"/>
  <c r="K1191" i="4" s="1"/>
  <c r="M1191" i="4" s="1"/>
  <c r="N1191" i="4" s="1"/>
  <c r="J1287" i="4"/>
  <c r="L1287" i="4" s="1"/>
  <c r="J1303" i="4"/>
  <c r="L1303" i="4" s="1"/>
  <c r="J96" i="1"/>
  <c r="J336" i="4"/>
  <c r="K336" i="4" s="1"/>
  <c r="M336" i="4" s="1"/>
  <c r="N336" i="4" s="1"/>
  <c r="J776" i="4"/>
  <c r="K776" i="4" s="1"/>
  <c r="M776" i="4" s="1"/>
  <c r="N776" i="4" s="1"/>
  <c r="J792" i="4"/>
  <c r="L792" i="4" s="1"/>
  <c r="J824" i="4"/>
  <c r="L824" i="4" s="1"/>
  <c r="J936" i="4"/>
  <c r="J1008" i="4"/>
  <c r="L1008" i="4" s="1"/>
  <c r="J1112" i="4"/>
  <c r="K1112" i="4" s="1"/>
  <c r="M1112" i="4" s="1"/>
  <c r="N1112" i="4" s="1"/>
  <c r="J1128" i="4"/>
  <c r="L1128" i="4" s="1"/>
  <c r="J1200" i="4"/>
  <c r="K1200" i="4" s="1"/>
  <c r="M1200" i="4" s="1"/>
  <c r="N1200" i="4" s="1"/>
  <c r="J1240" i="4"/>
  <c r="K1240" i="4" s="1"/>
  <c r="M1240" i="4" s="1"/>
  <c r="N1240" i="4" s="1"/>
  <c r="J1272" i="4"/>
  <c r="K1272" i="4" s="1"/>
  <c r="M1272" i="4" s="1"/>
  <c r="N1272" i="4" s="1"/>
  <c r="J1304" i="4"/>
  <c r="L1304" i="4" s="1"/>
  <c r="J106" i="1"/>
  <c r="J73" i="1"/>
  <c r="J66" i="1"/>
  <c r="J1154" i="4"/>
  <c r="L1154" i="4" s="1"/>
  <c r="J89" i="1"/>
  <c r="J111" i="1"/>
  <c r="J74" i="1"/>
  <c r="J131" i="1"/>
  <c r="J38" i="4"/>
  <c r="K38" i="4" s="1"/>
  <c r="M38" i="4" s="1"/>
  <c r="J598" i="4"/>
  <c r="L598" i="4" s="1"/>
  <c r="J806" i="4"/>
  <c r="L806" i="4" s="1"/>
  <c r="J1166" i="4"/>
  <c r="L1166" i="4" s="1"/>
  <c r="J33" i="4"/>
  <c r="L33" i="4" s="1"/>
  <c r="J329" i="4"/>
  <c r="L329" i="4" s="1"/>
  <c r="J369" i="4"/>
  <c r="K369" i="4" s="1"/>
  <c r="M369" i="4" s="1"/>
  <c r="N369" i="4" s="1"/>
  <c r="J457" i="4"/>
  <c r="L457" i="4" s="1"/>
  <c r="J673" i="4"/>
  <c r="J705" i="4"/>
  <c r="L705" i="4" s="1"/>
  <c r="J737" i="4"/>
  <c r="L737" i="4" s="1"/>
  <c r="J841" i="4"/>
  <c r="L841" i="4" s="1"/>
  <c r="J897" i="4"/>
  <c r="L897" i="4" s="1"/>
  <c r="J1009" i="4"/>
  <c r="L1009" i="4" s="1"/>
  <c r="J190" i="4"/>
  <c r="L190" i="4" s="1"/>
  <c r="J273" i="4"/>
  <c r="L273" i="4" s="1"/>
  <c r="J321" i="4"/>
  <c r="K321" i="4" s="1"/>
  <c r="M321" i="4" s="1"/>
  <c r="N321" i="4" s="1"/>
  <c r="J441" i="4"/>
  <c r="K441" i="4" s="1"/>
  <c r="M441" i="4" s="1"/>
  <c r="N441" i="4" s="1"/>
  <c r="J545" i="4"/>
  <c r="K545" i="4" s="1"/>
  <c r="M545" i="4" s="1"/>
  <c r="N545" i="4" s="1"/>
  <c r="J729" i="4"/>
  <c r="L729" i="4" s="1"/>
  <c r="J825" i="4"/>
  <c r="K825" i="4" s="1"/>
  <c r="M825" i="4" s="1"/>
  <c r="N825" i="4" s="1"/>
  <c r="J1257" i="4"/>
  <c r="L1257" i="4" s="1"/>
  <c r="J81" i="4"/>
  <c r="K81" i="4" s="1"/>
  <c r="M81" i="4" s="1"/>
  <c r="J353" i="4"/>
  <c r="L353" i="4" s="1"/>
  <c r="J449" i="4"/>
  <c r="J521" i="4"/>
  <c r="L521" i="4" s="1"/>
  <c r="J601" i="4"/>
  <c r="L601" i="4" s="1"/>
  <c r="J849" i="4"/>
  <c r="L849" i="4" s="1"/>
  <c r="J921" i="4"/>
  <c r="K921" i="4" s="1"/>
  <c r="M921" i="4" s="1"/>
  <c r="N921" i="4" s="1"/>
  <c r="J993" i="4"/>
  <c r="K993" i="4" s="1"/>
  <c r="M993" i="4" s="1"/>
  <c r="N993" i="4" s="1"/>
  <c r="J1161" i="4"/>
  <c r="K1161" i="4" s="1"/>
  <c r="M1161" i="4" s="1"/>
  <c r="N1161" i="4" s="1"/>
  <c r="J1209" i="4"/>
  <c r="K1209" i="4" s="1"/>
  <c r="M1209" i="4" s="1"/>
  <c r="N1209" i="4" s="1"/>
  <c r="J1249" i="4"/>
  <c r="K1249" i="4" s="1"/>
  <c r="M1249" i="4" s="1"/>
  <c r="N1249" i="4" s="1"/>
  <c r="J64" i="1"/>
  <c r="J834" i="4"/>
  <c r="K834" i="4" s="1"/>
  <c r="M834" i="4" s="1"/>
  <c r="N834" i="4" s="1"/>
  <c r="J874" i="4"/>
  <c r="K874" i="4" s="1"/>
  <c r="M874" i="4" s="1"/>
  <c r="N874" i="4" s="1"/>
  <c r="J914" i="4"/>
  <c r="L914" i="4" s="1"/>
  <c r="J1018" i="4"/>
  <c r="L1018" i="4" s="1"/>
  <c r="J1066" i="4"/>
  <c r="L1066" i="4" s="1"/>
  <c r="J1114" i="4"/>
  <c r="K1114" i="4" s="1"/>
  <c r="M1114" i="4" s="1"/>
  <c r="N1114" i="4" s="1"/>
  <c r="J1234" i="4"/>
  <c r="L1234" i="4" s="1"/>
  <c r="J1282" i="4"/>
  <c r="K1282" i="4" s="1"/>
  <c r="M1282" i="4" s="1"/>
  <c r="N1282" i="4" s="1"/>
  <c r="J1298" i="4"/>
  <c r="L1298" i="4" s="1"/>
  <c r="J17" i="4"/>
  <c r="L17" i="4" s="1"/>
  <c r="J97" i="4"/>
  <c r="L97" i="4" s="1"/>
  <c r="J225" i="4"/>
  <c r="L225" i="4" s="1"/>
  <c r="J265" i="4"/>
  <c r="L265" i="4" s="1"/>
  <c r="J345" i="4"/>
  <c r="L345" i="4" s="1"/>
  <c r="J569" i="4"/>
  <c r="L569" i="4" s="1"/>
  <c r="J913" i="4"/>
  <c r="L913" i="4" s="1"/>
  <c r="J1033" i="4"/>
  <c r="L1033" i="4" s="1"/>
  <c r="J1089" i="4"/>
  <c r="L1089" i="4" s="1"/>
  <c r="J1145" i="4"/>
  <c r="L1145" i="4" s="1"/>
  <c r="J1177" i="4"/>
  <c r="K1177" i="4" s="1"/>
  <c r="M1177" i="4" s="1"/>
  <c r="N1177" i="4" s="1"/>
  <c r="J1241" i="4"/>
  <c r="K1241" i="4" s="1"/>
  <c r="M1241" i="4" s="1"/>
  <c r="N1241" i="4" s="1"/>
  <c r="J95" i="1"/>
  <c r="J826" i="4"/>
  <c r="L826" i="4" s="1"/>
  <c r="J1026" i="4"/>
  <c r="K1026" i="4" s="1"/>
  <c r="M1026" i="4" s="1"/>
  <c r="N1026" i="4" s="1"/>
  <c r="J1090" i="4"/>
  <c r="L1090" i="4" s="1"/>
  <c r="J1106" i="4"/>
  <c r="K1106" i="4" s="1"/>
  <c r="M1106" i="4" s="1"/>
  <c r="N1106" i="4" s="1"/>
  <c r="J1162" i="4"/>
  <c r="L1162" i="4" s="1"/>
  <c r="J1306" i="4"/>
  <c r="K1306" i="4" s="1"/>
  <c r="M1306" i="4" s="1"/>
  <c r="N1306" i="4" s="1"/>
  <c r="J124" i="4"/>
  <c r="L124" i="4" s="1"/>
  <c r="J252" i="4"/>
  <c r="L252" i="4" s="1"/>
  <c r="J348" i="4"/>
  <c r="L348" i="4" s="1"/>
  <c r="J396" i="4"/>
  <c r="L396" i="4" s="1"/>
  <c r="J420" i="4"/>
  <c r="L420" i="4" s="1"/>
  <c r="J436" i="4"/>
  <c r="K436" i="4" s="1"/>
  <c r="M436" i="4" s="1"/>
  <c r="N436" i="4" s="1"/>
  <c r="J516" i="4"/>
  <c r="L516" i="4" s="1"/>
  <c r="J604" i="4"/>
  <c r="L604" i="4" s="1"/>
  <c r="J788" i="4"/>
  <c r="K788" i="4" s="1"/>
  <c r="M788" i="4" s="1"/>
  <c r="N788" i="4" s="1"/>
  <c r="J812" i="4"/>
  <c r="L812" i="4" s="1"/>
  <c r="J948" i="4"/>
  <c r="L948" i="4" s="1"/>
  <c r="J1116" i="4"/>
  <c r="K1116" i="4" s="1"/>
  <c r="M1116" i="4" s="1"/>
  <c r="N1116" i="4" s="1"/>
  <c r="J389" i="4"/>
  <c r="L389" i="4" s="1"/>
  <c r="J437" i="4"/>
  <c r="L437" i="4" s="1"/>
  <c r="J949" i="4"/>
  <c r="L949" i="4" s="1"/>
  <c r="J18" i="4"/>
  <c r="K18" i="4" s="1"/>
  <c r="M18" i="4" s="1"/>
  <c r="J58" i="4"/>
  <c r="L58" i="4" s="1"/>
  <c r="J146" i="4"/>
  <c r="K146" i="4" s="1"/>
  <c r="M146" i="4" s="1"/>
  <c r="J482" i="4"/>
  <c r="L482" i="4" s="1"/>
  <c r="J794" i="4"/>
  <c r="L794" i="4" s="1"/>
  <c r="J866" i="4"/>
  <c r="L866" i="4" s="1"/>
  <c r="J995" i="4"/>
  <c r="L995" i="4" s="1"/>
  <c r="J220" i="4"/>
  <c r="K220" i="4" s="1"/>
  <c r="M220" i="4" s="1"/>
  <c r="J444" i="4"/>
  <c r="K444" i="4" s="1"/>
  <c r="M444" i="4" s="1"/>
  <c r="N444" i="4" s="1"/>
  <c r="J572" i="4"/>
  <c r="L572" i="4" s="1"/>
  <c r="J1220" i="4"/>
  <c r="L1220" i="4" s="1"/>
  <c r="J90" i="1"/>
  <c r="J155" i="1"/>
  <c r="J138" i="4"/>
  <c r="L138" i="4" s="1"/>
  <c r="J298" i="4"/>
  <c r="L298" i="4" s="1"/>
  <c r="J506" i="4"/>
  <c r="K506" i="4" s="1"/>
  <c r="M506" i="4" s="1"/>
  <c r="N506" i="4" s="1"/>
  <c r="J594" i="4"/>
  <c r="L594" i="4" s="1"/>
  <c r="J626" i="4"/>
  <c r="L626" i="4" s="1"/>
  <c r="J83" i="4"/>
  <c r="L83" i="4" s="1"/>
  <c r="J1299" i="4"/>
  <c r="K1299" i="4" s="1"/>
  <c r="M1299" i="4" s="1"/>
  <c r="N1299" i="4" s="1"/>
  <c r="J562" i="4"/>
  <c r="L562" i="4" s="1"/>
  <c r="J786" i="4"/>
  <c r="L786" i="4" s="1"/>
  <c r="J82" i="4"/>
  <c r="L82" i="4" s="1"/>
  <c r="J274" i="4"/>
  <c r="K274" i="4" s="1"/>
  <c r="M274" i="4" s="1"/>
  <c r="J402" i="4"/>
  <c r="K402" i="4" s="1"/>
  <c r="M402" i="4" s="1"/>
  <c r="N402" i="4" s="1"/>
  <c r="J530" i="4"/>
  <c r="L530" i="4" s="1"/>
  <c r="J618" i="4"/>
  <c r="L618" i="4" s="1"/>
  <c r="J858" i="4"/>
  <c r="L858" i="4" s="1"/>
  <c r="J923" i="4"/>
  <c r="K923" i="4" s="1"/>
  <c r="M923" i="4" s="1"/>
  <c r="N923" i="4" s="1"/>
  <c r="J260" i="4"/>
  <c r="L260" i="4" s="1"/>
  <c r="J1276" i="4"/>
  <c r="K1276" i="4" s="1"/>
  <c r="M1276" i="4" s="1"/>
  <c r="N1276" i="4" s="1"/>
  <c r="J1308" i="4"/>
  <c r="K1308" i="4" s="1"/>
  <c r="M1308" i="4" s="1"/>
  <c r="N1308" i="4" s="1"/>
  <c r="J149" i="4"/>
  <c r="K149" i="4" s="1"/>
  <c r="M149" i="4" s="1"/>
  <c r="J325" i="4"/>
  <c r="K325" i="4" s="1"/>
  <c r="M325" i="4" s="1"/>
  <c r="N325" i="4" s="1"/>
  <c r="J341" i="4"/>
  <c r="L341" i="4" s="1"/>
  <c r="J653" i="4"/>
  <c r="K653" i="4" s="1"/>
  <c r="M653" i="4" s="1"/>
  <c r="N653" i="4" s="1"/>
  <c r="J829" i="4"/>
  <c r="L829" i="4" s="1"/>
  <c r="J861" i="4"/>
  <c r="L861" i="4" s="1"/>
  <c r="J877" i="4"/>
  <c r="L877" i="4" s="1"/>
  <c r="J885" i="4"/>
  <c r="L885" i="4" s="1"/>
  <c r="J917" i="4"/>
  <c r="K917" i="4" s="1"/>
  <c r="M917" i="4" s="1"/>
  <c r="N917" i="4" s="1"/>
  <c r="J989" i="4"/>
  <c r="K989" i="4" s="1"/>
  <c r="M989" i="4" s="1"/>
  <c r="N989" i="4" s="1"/>
  <c r="J1037" i="4"/>
  <c r="K1037" i="4" s="1"/>
  <c r="M1037" i="4" s="1"/>
  <c r="N1037" i="4" s="1"/>
  <c r="J1045" i="4"/>
  <c r="K1045" i="4" s="1"/>
  <c r="M1045" i="4" s="1"/>
  <c r="N1045" i="4" s="1"/>
  <c r="J1069" i="4"/>
  <c r="L1069" i="4" s="1"/>
  <c r="J1077" i="4"/>
  <c r="L1077" i="4" s="1"/>
  <c r="J1285" i="4"/>
  <c r="K1285" i="4" s="1"/>
  <c r="M1285" i="4" s="1"/>
  <c r="N1285" i="4" s="1"/>
  <c r="J198" i="4"/>
  <c r="L198" i="4" s="1"/>
  <c r="J334" i="4"/>
  <c r="L334" i="4" s="1"/>
  <c r="J342" i="4"/>
  <c r="K342" i="4" s="1"/>
  <c r="M342" i="4" s="1"/>
  <c r="N342" i="4" s="1"/>
  <c r="J358" i="4"/>
  <c r="K358" i="4" s="1"/>
  <c r="M358" i="4" s="1"/>
  <c r="N358" i="4" s="1"/>
  <c r="J374" i="4"/>
  <c r="L374" i="4" s="1"/>
  <c r="J382" i="4"/>
  <c r="L382" i="4" s="1"/>
  <c r="J406" i="4"/>
  <c r="L406" i="4" s="1"/>
  <c r="J430" i="4"/>
  <c r="L430" i="4" s="1"/>
  <c r="J446" i="4"/>
  <c r="L446" i="4" s="1"/>
  <c r="J838" i="4"/>
  <c r="L838" i="4" s="1"/>
  <c r="J854" i="4"/>
  <c r="L854" i="4" s="1"/>
  <c r="J902" i="4"/>
  <c r="L902" i="4" s="1"/>
  <c r="J926" i="4"/>
  <c r="L926" i="4" s="1"/>
  <c r="J934" i="4"/>
  <c r="L934" i="4" s="1"/>
  <c r="J1006" i="4"/>
  <c r="L1006" i="4" s="1"/>
  <c r="J1094" i="4"/>
  <c r="L1094" i="4" s="1"/>
  <c r="J1214" i="4"/>
  <c r="L1214" i="4" s="1"/>
  <c r="J1310" i="4"/>
  <c r="K1310" i="4" s="1"/>
  <c r="M1310" i="4" s="1"/>
  <c r="N1310" i="4" s="1"/>
  <c r="J51" i="4"/>
  <c r="K51" i="4" s="1"/>
  <c r="M51" i="4" s="1"/>
  <c r="J915" i="4"/>
  <c r="K915" i="4" s="1"/>
  <c r="M915" i="4" s="1"/>
  <c r="N915" i="4" s="1"/>
  <c r="J1115" i="4"/>
  <c r="L1115" i="4" s="1"/>
  <c r="J1195" i="4"/>
  <c r="K1195" i="4" s="1"/>
  <c r="M1195" i="4" s="1"/>
  <c r="N1195" i="4" s="1"/>
  <c r="J52" i="1"/>
  <c r="J972" i="4"/>
  <c r="K972" i="4" s="1"/>
  <c r="M972" i="4" s="1"/>
  <c r="N972" i="4" s="1"/>
  <c r="J1156" i="4"/>
  <c r="K1156" i="4" s="1"/>
  <c r="M1156" i="4" s="1"/>
  <c r="N1156" i="4" s="1"/>
  <c r="J1300" i="4"/>
  <c r="L1300" i="4" s="1"/>
  <c r="J141" i="4"/>
  <c r="K141" i="4" s="1"/>
  <c r="M141" i="4" s="1"/>
  <c r="J173" i="4"/>
  <c r="K173" i="4" s="1"/>
  <c r="M173" i="4" s="1"/>
  <c r="J221" i="4"/>
  <c r="L221" i="4" s="1"/>
  <c r="J128" i="1"/>
  <c r="J34" i="4"/>
  <c r="L34" i="4" s="1"/>
  <c r="J122" i="4"/>
  <c r="L122" i="4" s="1"/>
  <c r="J178" i="4"/>
  <c r="K178" i="4" s="1"/>
  <c r="M178" i="4" s="1"/>
  <c r="J498" i="4"/>
  <c r="L498" i="4" s="1"/>
  <c r="J650" i="4"/>
  <c r="K650" i="4" s="1"/>
  <c r="M650" i="4" s="1"/>
  <c r="N650" i="4" s="1"/>
  <c r="J714" i="4"/>
  <c r="L714" i="4" s="1"/>
  <c r="J778" i="4"/>
  <c r="L778" i="4" s="1"/>
  <c r="J962" i="4"/>
  <c r="K962" i="4" s="1"/>
  <c r="M962" i="4" s="1"/>
  <c r="N962" i="4" s="1"/>
  <c r="J1147" i="4"/>
  <c r="K1147" i="4" s="1"/>
  <c r="M1147" i="4" s="1"/>
  <c r="N1147" i="4" s="1"/>
  <c r="J188" i="4"/>
  <c r="L188" i="4" s="1"/>
  <c r="J996" i="4"/>
  <c r="K996" i="4" s="1"/>
  <c r="M996" i="4" s="1"/>
  <c r="N996" i="4" s="1"/>
  <c r="J1292" i="4"/>
  <c r="K1292" i="4" s="1"/>
  <c r="M1292" i="4" s="1"/>
  <c r="N1292" i="4" s="1"/>
  <c r="J78" i="1"/>
  <c r="J104" i="1"/>
  <c r="J307" i="4"/>
  <c r="K307" i="4" s="1"/>
  <c r="M307" i="4" s="1"/>
  <c r="N307" i="4" s="1"/>
  <c r="J811" i="4"/>
  <c r="L811" i="4" s="1"/>
  <c r="J867" i="4"/>
  <c r="L867" i="4" s="1"/>
  <c r="J236" i="4"/>
  <c r="J357" i="4"/>
  <c r="L357" i="4" s="1"/>
  <c r="J92" i="1"/>
  <c r="J91" i="1"/>
  <c r="J2" i="4"/>
  <c r="L2" i="4" s="1"/>
  <c r="J683" i="4"/>
  <c r="K683" i="4" s="1"/>
  <c r="M683" i="4" s="1"/>
  <c r="N683" i="4" s="1"/>
  <c r="J364" i="4"/>
  <c r="L364" i="4" s="1"/>
  <c r="J531" i="4"/>
  <c r="L531" i="4" s="1"/>
  <c r="J587" i="4"/>
  <c r="L587" i="4" s="1"/>
  <c r="J205" i="4"/>
  <c r="K205" i="4" s="1"/>
  <c r="M205" i="4" s="1"/>
  <c r="J453" i="4"/>
  <c r="L453" i="4" s="1"/>
  <c r="J797" i="4"/>
  <c r="K797" i="4" s="1"/>
  <c r="M797" i="4" s="1"/>
  <c r="N797" i="4" s="1"/>
  <c r="J88" i="1"/>
  <c r="J99" i="1"/>
  <c r="J150" i="4"/>
  <c r="L150" i="4" s="1"/>
  <c r="J398" i="4"/>
  <c r="L398" i="4" s="1"/>
  <c r="J422" i="4"/>
  <c r="K422" i="4" s="1"/>
  <c r="M422" i="4" s="1"/>
  <c r="N422" i="4" s="1"/>
  <c r="J478" i="4"/>
  <c r="L478" i="4" s="1"/>
  <c r="J894" i="4"/>
  <c r="K894" i="4" s="1"/>
  <c r="M894" i="4" s="1"/>
  <c r="N894" i="4" s="1"/>
  <c r="J1030" i="4"/>
  <c r="L1030" i="4" s="1"/>
  <c r="J23" i="4"/>
  <c r="L23" i="4" s="1"/>
  <c r="J103" i="4"/>
  <c r="L103" i="4" s="1"/>
  <c r="J178" i="1"/>
  <c r="J323" i="4"/>
  <c r="K323" i="4" s="1"/>
  <c r="M323" i="4" s="1"/>
  <c r="N323" i="4" s="1"/>
  <c r="J69" i="4"/>
  <c r="L69" i="4" s="1"/>
  <c r="J147" i="4"/>
  <c r="L147" i="4" s="1"/>
  <c r="J555" i="4"/>
  <c r="K555" i="4" s="1"/>
  <c r="M555" i="4" s="1"/>
  <c r="N555" i="4" s="1"/>
  <c r="J787" i="4"/>
  <c r="K787" i="4" s="1"/>
  <c r="M787" i="4" s="1"/>
  <c r="N787" i="4" s="1"/>
  <c r="J196" i="4"/>
  <c r="K196" i="4" s="1"/>
  <c r="M196" i="4" s="1"/>
  <c r="J228" i="4"/>
  <c r="L228" i="4" s="1"/>
  <c r="J860" i="4"/>
  <c r="L860" i="4" s="1"/>
  <c r="J940" i="4"/>
  <c r="L940" i="4" s="1"/>
  <c r="J397" i="4"/>
  <c r="L397" i="4" s="1"/>
  <c r="J202" i="1"/>
  <c r="J121" i="1"/>
  <c r="J122" i="1"/>
  <c r="J543" i="4"/>
  <c r="L543" i="4" s="1"/>
  <c r="J1076" i="4"/>
  <c r="J1017" i="4"/>
  <c r="J7" i="4"/>
  <c r="J241" i="4"/>
  <c r="Q241" i="4" s="1"/>
  <c r="J836" i="4"/>
  <c r="J583" i="4"/>
  <c r="K583" i="4" s="1"/>
  <c r="M583" i="4" s="1"/>
  <c r="N583" i="4" s="1"/>
  <c r="J578" i="4"/>
  <c r="L578" i="4" s="1"/>
  <c r="J668" i="4"/>
  <c r="L668" i="4" s="1"/>
  <c r="J631" i="4"/>
  <c r="L631" i="4" s="1"/>
  <c r="J356" i="4"/>
  <c r="L356" i="4" s="1"/>
  <c r="J590" i="4"/>
  <c r="K590" i="4" s="1"/>
  <c r="M590" i="4" s="1"/>
  <c r="N590" i="4" s="1"/>
  <c r="J1078" i="4"/>
  <c r="J314" i="4"/>
  <c r="L314" i="4" s="1"/>
  <c r="J1092" i="4"/>
  <c r="L1092" i="4" s="1"/>
  <c r="J833" i="4"/>
  <c r="K833" i="4" s="1"/>
  <c r="M833" i="4" s="1"/>
  <c r="N833" i="4" s="1"/>
  <c r="J560" i="4"/>
  <c r="J586" i="4"/>
  <c r="L586" i="4" s="1"/>
  <c r="J249" i="4"/>
  <c r="J191" i="4"/>
  <c r="L191" i="4" s="1"/>
  <c r="J868" i="4"/>
  <c r="J909" i="4"/>
  <c r="K909" i="4" s="1"/>
  <c r="M909" i="4" s="1"/>
  <c r="N909" i="4" s="1"/>
  <c r="J1081" i="4"/>
  <c r="K1081" i="4" s="1"/>
  <c r="M1081" i="4" s="1"/>
  <c r="N1081" i="4" s="1"/>
  <c r="J59" i="4"/>
  <c r="K59" i="4" s="1"/>
  <c r="M59" i="4" s="1"/>
  <c r="J1196" i="4"/>
  <c r="L1196" i="4" s="1"/>
  <c r="J613" i="4"/>
  <c r="K613" i="4" s="1"/>
  <c r="M613" i="4" s="1"/>
  <c r="N613" i="4" s="1"/>
  <c r="J137" i="4"/>
  <c r="L137" i="4" s="1"/>
  <c r="J522" i="4"/>
  <c r="J850" i="4"/>
  <c r="L850" i="4" s="1"/>
  <c r="J1284" i="4"/>
  <c r="J986" i="4"/>
  <c r="K986" i="4" s="1"/>
  <c r="M986" i="4" s="1"/>
  <c r="N986" i="4" s="1"/>
  <c r="J1049" i="4"/>
  <c r="L1049" i="4" s="1"/>
  <c r="J638" i="4"/>
  <c r="K638" i="4" s="1"/>
  <c r="M638" i="4" s="1"/>
  <c r="N638" i="4" s="1"/>
  <c r="J1148" i="4"/>
  <c r="J1210" i="4"/>
  <c r="J206" i="4"/>
  <c r="K206" i="4" s="1"/>
  <c r="M206" i="4" s="1"/>
  <c r="J702" i="4"/>
  <c r="L702" i="4" s="1"/>
  <c r="J658" i="4"/>
  <c r="K658" i="4" s="1"/>
  <c r="M658" i="4" s="1"/>
  <c r="N658" i="4" s="1"/>
  <c r="J1198" i="4"/>
  <c r="K1198" i="4" s="1"/>
  <c r="M1198" i="4" s="1"/>
  <c r="N1198" i="4" s="1"/>
  <c r="J242" i="4"/>
  <c r="J846" i="4"/>
  <c r="J69" i="1"/>
  <c r="J130" i="1"/>
  <c r="J1285" i="6"/>
  <c r="J617" i="6"/>
  <c r="K617" i="6" s="1"/>
  <c r="N617" i="6" s="1"/>
  <c r="J100" i="1"/>
  <c r="J105" i="1"/>
  <c r="J93" i="1"/>
  <c r="J1293" i="4"/>
  <c r="L1293" i="4" s="1"/>
  <c r="J1088" i="4"/>
  <c r="K1088" i="4" s="1"/>
  <c r="M1088" i="4" s="1"/>
  <c r="N1088" i="4" s="1"/>
  <c r="J237" i="4"/>
  <c r="Q237" i="4" s="1"/>
  <c r="J551" i="4"/>
  <c r="J99" i="4"/>
  <c r="K99" i="4" s="1"/>
  <c r="M99" i="4" s="1"/>
  <c r="J22" i="4"/>
  <c r="J486" i="4"/>
  <c r="J42" i="4"/>
  <c r="K42" i="4" s="1"/>
  <c r="M42" i="4" s="1"/>
  <c r="J1035" i="4"/>
  <c r="L1035" i="4" s="1"/>
  <c r="J207" i="4"/>
  <c r="J489" i="4"/>
  <c r="L489" i="4" s="1"/>
  <c r="J322" i="4"/>
  <c r="J970" i="4"/>
  <c r="J175" i="4"/>
  <c r="J12" i="4"/>
  <c r="J278" i="4"/>
  <c r="J777" i="4"/>
  <c r="J1091" i="4"/>
  <c r="J174" i="4"/>
  <c r="J1151" i="4"/>
  <c r="L1151" i="4" s="1"/>
  <c r="J1074" i="4"/>
  <c r="L1074" i="4" s="1"/>
  <c r="J886" i="4"/>
  <c r="J881" i="4"/>
  <c r="L881" i="4" s="1"/>
  <c r="J1225" i="4"/>
  <c r="L1225" i="4" s="1"/>
  <c r="J1059" i="4"/>
  <c r="J621" i="4"/>
  <c r="J649" i="4"/>
  <c r="L649" i="4" s="1"/>
  <c r="J723" i="4"/>
  <c r="K723" i="4" s="1"/>
  <c r="M723" i="4" s="1"/>
  <c r="N723" i="4" s="1"/>
  <c r="J285" i="4"/>
  <c r="L285" i="4" s="1"/>
  <c r="J102" i="4"/>
  <c r="J57" i="4"/>
  <c r="L57" i="4" s="1"/>
  <c r="J379" i="4"/>
  <c r="L379" i="4" s="1"/>
  <c r="J724" i="4"/>
  <c r="L724" i="4" s="1"/>
  <c r="J403" i="4"/>
  <c r="J1149" i="4"/>
  <c r="L1149" i="4" s="1"/>
  <c r="J143" i="4"/>
  <c r="K143" i="4" s="1"/>
  <c r="M143" i="4" s="1"/>
  <c r="J74" i="4"/>
  <c r="L74" i="4" s="1"/>
  <c r="J1131" i="4"/>
  <c r="L1131" i="4" s="1"/>
  <c r="J159" i="4"/>
  <c r="J919" i="4"/>
  <c r="K919" i="4" s="1"/>
  <c r="M919" i="4" s="1"/>
  <c r="N919" i="4" s="1"/>
  <c r="J652" i="4"/>
  <c r="L652" i="4" s="1"/>
  <c r="J1125" i="4"/>
  <c r="L1125" i="4" s="1"/>
  <c r="J534" i="4"/>
  <c r="L534" i="4" s="1"/>
  <c r="J49" i="4"/>
  <c r="K49" i="4" s="1"/>
  <c r="M49" i="4" s="1"/>
  <c r="J44" i="4"/>
  <c r="L44" i="4" s="1"/>
  <c r="J1051" i="4"/>
  <c r="K1051" i="4" s="1"/>
  <c r="M1051" i="4" s="1"/>
  <c r="N1051" i="4" s="1"/>
  <c r="J853" i="4"/>
  <c r="K853" i="4" s="1"/>
  <c r="M853" i="4" s="1"/>
  <c r="N853" i="4" s="1"/>
  <c r="J805" i="4"/>
  <c r="J648" i="4"/>
  <c r="K648" i="4" s="1"/>
  <c r="M648" i="4" s="1"/>
  <c r="N648" i="4" s="1"/>
  <c r="J266" i="4"/>
  <c r="K266" i="4" s="1"/>
  <c r="M266" i="4" s="1"/>
  <c r="J676" i="4"/>
  <c r="K676" i="4" s="1"/>
  <c r="M676" i="4" s="1"/>
  <c r="N676" i="4" s="1"/>
  <c r="J471" i="4"/>
  <c r="J548" i="4"/>
  <c r="J916" i="4"/>
  <c r="L916" i="4" s="1"/>
  <c r="J580" i="4"/>
  <c r="J65" i="4"/>
  <c r="J1188" i="4"/>
  <c r="L1188" i="4" s="1"/>
  <c r="J1260" i="4"/>
  <c r="L1260" i="4" s="1"/>
  <c r="J1016" i="4"/>
  <c r="J691" i="4"/>
  <c r="L691" i="4" s="1"/>
  <c r="J641" i="4"/>
  <c r="K641" i="4" s="1"/>
  <c r="M641" i="4" s="1"/>
  <c r="N641" i="4" s="1"/>
  <c r="J563" i="4"/>
  <c r="J782" i="4"/>
  <c r="J268" i="4"/>
  <c r="J558" i="4"/>
  <c r="J1137" i="4"/>
  <c r="J13" i="4"/>
  <c r="J661" i="4"/>
  <c r="K661" i="4" s="1"/>
  <c r="M661" i="4" s="1"/>
  <c r="N661" i="4" s="1"/>
  <c r="J1040" i="4"/>
  <c r="J708" i="4"/>
  <c r="J47" i="4"/>
  <c r="L47" i="4" s="1"/>
  <c r="J481" i="4"/>
  <c r="J116" i="4"/>
  <c r="J1187" i="4"/>
  <c r="J1054" i="4"/>
  <c r="J920" i="4"/>
  <c r="J716" i="4"/>
  <c r="L716" i="4" s="1"/>
  <c r="J62" i="4"/>
  <c r="L62" i="4" s="1"/>
  <c r="J654" i="4"/>
  <c r="L654" i="4" s="1"/>
  <c r="J865" i="4"/>
  <c r="L865" i="4" s="1"/>
  <c r="J507" i="4"/>
  <c r="L507" i="4" s="1"/>
  <c r="J1020" i="4"/>
  <c r="K1020" i="4" s="1"/>
  <c r="M1020" i="4" s="1"/>
  <c r="N1020" i="4" s="1"/>
  <c r="J388" i="4"/>
  <c r="L388" i="4" s="1"/>
  <c r="J462" i="4"/>
  <c r="L462" i="4" s="1"/>
  <c r="J783" i="4"/>
  <c r="K783" i="4" s="1"/>
  <c r="M783" i="4" s="1"/>
  <c r="N783" i="4" s="1"/>
  <c r="J458" i="4"/>
  <c r="L458" i="4" s="1"/>
  <c r="J1259" i="4"/>
  <c r="L1259" i="4" s="1"/>
  <c r="J1237" i="4"/>
  <c r="L1237" i="4" s="1"/>
  <c r="J1113" i="4"/>
  <c r="L1113" i="4" s="1"/>
  <c r="J755" i="4"/>
  <c r="L755" i="4" s="1"/>
  <c r="J414" i="4"/>
  <c r="J193" i="1"/>
  <c r="J866" i="6"/>
  <c r="L866" i="6" s="1"/>
  <c r="J197" i="1"/>
  <c r="J794" i="6"/>
  <c r="K794" i="6" s="1"/>
  <c r="N794" i="6" s="1"/>
  <c r="J170" i="1"/>
  <c r="J150" i="1"/>
  <c r="J154" i="1"/>
  <c r="J156" i="1"/>
  <c r="J182" i="1"/>
  <c r="J213" i="1"/>
  <c r="J70" i="1"/>
  <c r="J72" i="1"/>
  <c r="J236" i="1"/>
  <c r="J196" i="1"/>
  <c r="J192" i="1"/>
  <c r="J188" i="1"/>
  <c r="J184" i="1"/>
  <c r="J206" i="1"/>
  <c r="J209" i="1"/>
  <c r="J230" i="4"/>
  <c r="J455" i="4"/>
  <c r="J781" i="4"/>
  <c r="J438" i="4"/>
  <c r="J761" i="4"/>
  <c r="J1263" i="4"/>
  <c r="J277" i="4"/>
  <c r="L277" i="4" s="1"/>
  <c r="J327" i="4"/>
  <c r="J1070" i="4"/>
  <c r="J670" i="4"/>
  <c r="J753" i="4"/>
  <c r="J1273" i="4"/>
  <c r="J763" i="4"/>
  <c r="K763" i="4" s="1"/>
  <c r="M763" i="4" s="1"/>
  <c r="N763" i="4" s="1"/>
  <c r="J1140" i="4"/>
  <c r="J253" i="4"/>
  <c r="J199" i="4"/>
  <c r="J1134" i="4"/>
  <c r="J710" i="4"/>
  <c r="J1127" i="4"/>
  <c r="J610" i="4"/>
  <c r="J468" i="4"/>
  <c r="J938" i="4"/>
  <c r="K938" i="4" s="1"/>
  <c r="M938" i="4" s="1"/>
  <c r="N938" i="4" s="1"/>
  <c r="J828" i="4"/>
  <c r="J477" i="4"/>
  <c r="J862" i="4"/>
  <c r="J790" i="4"/>
  <c r="L790" i="4" s="1"/>
  <c r="J15" i="4"/>
  <c r="J1007" i="4"/>
  <c r="J609" i="4"/>
  <c r="J106" i="4"/>
  <c r="L106" i="4" s="1"/>
  <c r="J171" i="4"/>
  <c r="L171" i="4" s="1"/>
  <c r="J412" i="4"/>
  <c r="J651" i="4"/>
  <c r="K651" i="4" s="1"/>
  <c r="M651" i="4" s="1"/>
  <c r="N651" i="4" s="1"/>
  <c r="J349" i="4"/>
  <c r="J110" i="4"/>
  <c r="J869" i="4"/>
  <c r="J606" i="4"/>
  <c r="J519" i="4"/>
  <c r="J297" i="4"/>
  <c r="L297" i="4" s="1"/>
  <c r="J73" i="4"/>
  <c r="J1064" i="4"/>
  <c r="L1064" i="4" s="1"/>
  <c r="J450" i="4"/>
  <c r="K450" i="4" s="1"/>
  <c r="M450" i="4" s="1"/>
  <c r="N450" i="4" s="1"/>
  <c r="J244" i="4"/>
  <c r="J1034" i="4"/>
  <c r="J269" i="4"/>
  <c r="J718" i="4"/>
  <c r="J685" i="4"/>
  <c r="J966" i="4"/>
  <c r="J671" i="4"/>
  <c r="J961" i="4"/>
  <c r="J346" i="4"/>
  <c r="J460" i="4"/>
  <c r="J1275" i="4"/>
  <c r="J1155" i="4"/>
  <c r="J677" i="4"/>
  <c r="J399" i="4"/>
  <c r="J134" i="4"/>
  <c r="L134" i="4" s="1"/>
  <c r="J679" i="4"/>
  <c r="L679" i="4" s="1"/>
  <c r="J793" i="4"/>
  <c r="J1185" i="4"/>
  <c r="L1185" i="4" s="1"/>
  <c r="J355" i="4"/>
  <c r="L355" i="4" s="1"/>
  <c r="J596" i="4"/>
  <c r="J1130" i="4"/>
  <c r="J261" i="4"/>
  <c r="J286" i="4"/>
  <c r="J573" i="4"/>
  <c r="J933" i="4"/>
  <c r="J623" i="4"/>
  <c r="K623" i="4" s="1"/>
  <c r="M623" i="4" s="1"/>
  <c r="N623" i="4" s="1"/>
  <c r="J201" i="4"/>
  <c r="J872" i="4"/>
  <c r="L872" i="4" s="1"/>
  <c r="J1104" i="4"/>
  <c r="J362" i="4"/>
  <c r="L362" i="4" s="1"/>
  <c r="J28" i="4"/>
  <c r="J690" i="4"/>
  <c r="L690" i="4" s="1"/>
  <c r="J1099" i="4"/>
  <c r="L1099" i="4" s="1"/>
  <c r="J181" i="4"/>
  <c r="J239" i="4"/>
  <c r="Q239" i="4" s="1"/>
  <c r="J678" i="4"/>
  <c r="L678" i="4" s="1"/>
  <c r="J757" i="4"/>
  <c r="J775" i="4"/>
  <c r="J1169" i="4"/>
  <c r="K1169" i="4" s="1"/>
  <c r="M1169" i="4" s="1"/>
  <c r="N1169" i="4" s="1"/>
  <c r="J689" i="4"/>
  <c r="J66" i="4"/>
  <c r="L66" i="4" s="1"/>
  <c r="J451" i="4"/>
  <c r="J500" i="4"/>
  <c r="L500" i="4" s="1"/>
  <c r="J675" i="4"/>
  <c r="K675" i="4" s="1"/>
  <c r="M675" i="4" s="1"/>
  <c r="N675" i="4" s="1"/>
  <c r="J45" i="4"/>
  <c r="L45" i="4" s="1"/>
  <c r="J70" i="4"/>
  <c r="J798" i="4"/>
  <c r="L798" i="4" s="1"/>
  <c r="J633" i="4"/>
  <c r="L633" i="4" s="1"/>
  <c r="J306" i="4"/>
  <c r="K306" i="4" s="1"/>
  <c r="M306" i="4" s="1"/>
  <c r="N306" i="4" s="1"/>
  <c r="J1004" i="4"/>
  <c r="J223" i="4"/>
  <c r="J350" i="4"/>
  <c r="L350" i="4" s="1"/>
  <c r="J1269" i="4"/>
  <c r="L1269" i="4" s="1"/>
  <c r="J1206" i="4"/>
  <c r="J799" i="4"/>
  <c r="J1153" i="4"/>
  <c r="J538" i="4"/>
  <c r="J524" i="4"/>
  <c r="J692" i="4"/>
  <c r="J764" i="4"/>
  <c r="J957" i="4"/>
  <c r="J1205" i="4"/>
  <c r="J990" i="4"/>
  <c r="J743" i="4"/>
  <c r="J401" i="4"/>
  <c r="J1207" i="4"/>
  <c r="J290" i="4"/>
  <c r="J84" i="4"/>
  <c r="J643" i="4"/>
  <c r="J293" i="4"/>
  <c r="L293" i="4" s="1"/>
  <c r="J566" i="4"/>
  <c r="J126" i="4"/>
  <c r="J845" i="4"/>
  <c r="J1253" i="4"/>
  <c r="J687" i="4"/>
  <c r="J625" i="4"/>
  <c r="L625" i="4" s="1"/>
  <c r="J209" i="4"/>
  <c r="J1232" i="4"/>
  <c r="L1232" i="4" s="1"/>
  <c r="J490" i="4"/>
  <c r="K490" i="4" s="1"/>
  <c r="M490" i="4" s="1"/>
  <c r="N490" i="4" s="1"/>
  <c r="J92" i="4"/>
  <c r="J882" i="4"/>
  <c r="J1163" i="4"/>
  <c r="K1163" i="4" s="1"/>
  <c r="M1163" i="4" s="1"/>
  <c r="N1163" i="4" s="1"/>
  <c r="J413" i="4"/>
  <c r="L413" i="4" s="1"/>
  <c r="J303" i="4"/>
  <c r="J974" i="4"/>
  <c r="J46" i="4"/>
  <c r="J839" i="4"/>
  <c r="J105" i="4"/>
  <c r="J1239" i="4"/>
  <c r="J130" i="4"/>
  <c r="J1246" i="4"/>
  <c r="J518" i="4"/>
  <c r="J589" i="4"/>
  <c r="L589" i="4" s="1"/>
  <c r="J1119" i="4"/>
  <c r="L1119" i="4" s="1"/>
  <c r="J1199" i="4"/>
  <c r="J666" i="4"/>
  <c r="J802" i="4"/>
  <c r="K802" i="4" s="1"/>
  <c r="M802" i="4" s="1"/>
  <c r="N802" i="4" s="1"/>
  <c r="J884" i="4"/>
  <c r="J501" i="4"/>
  <c r="J1261" i="4"/>
  <c r="J725" i="4"/>
  <c r="J183" i="4"/>
  <c r="L183" i="4" s="1"/>
  <c r="J807" i="4"/>
  <c r="J593" i="4"/>
  <c r="L593" i="4" s="1"/>
  <c r="J1271" i="4"/>
  <c r="J418" i="4"/>
  <c r="J148" i="4"/>
  <c r="J810" i="4"/>
  <c r="L810" i="4" s="1"/>
  <c r="J77" i="4"/>
  <c r="L77" i="4" s="1"/>
  <c r="J1014" i="4"/>
  <c r="J6" i="4"/>
  <c r="J1101" i="4"/>
  <c r="L1101" i="4" s="1"/>
  <c r="J879" i="4"/>
  <c r="J817" i="4"/>
  <c r="L817" i="4" s="1"/>
  <c r="J809" i="4"/>
  <c r="K809" i="4" s="1"/>
  <c r="M809" i="4" s="1"/>
  <c r="N809" i="4" s="1"/>
  <c r="J1296" i="4"/>
  <c r="J554" i="4"/>
  <c r="J156" i="4"/>
  <c r="J946" i="4"/>
  <c r="L946" i="4" s="1"/>
  <c r="J1291" i="4"/>
  <c r="J821" i="4"/>
  <c r="J367" i="4"/>
  <c r="J263" i="4"/>
  <c r="J158" i="4"/>
  <c r="J1216" i="4"/>
  <c r="J1186" i="4"/>
  <c r="J5" i="4"/>
  <c r="K5" i="4" s="1"/>
  <c r="M5" i="4" s="1"/>
  <c r="J822" i="4"/>
  <c r="J935" i="4"/>
  <c r="J1224" i="4"/>
  <c r="J340" i="4"/>
  <c r="J1219" i="4"/>
  <c r="J279" i="4"/>
  <c r="J510" i="4"/>
  <c r="L510" i="4" s="1"/>
  <c r="J943" i="4"/>
  <c r="L943" i="4" s="1"/>
  <c r="J1215" i="4"/>
  <c r="J1193" i="4"/>
  <c r="J1202" i="4"/>
  <c r="J1109" i="4"/>
  <c r="J941" i="4"/>
  <c r="J711" i="4"/>
  <c r="K711" i="4" s="1"/>
  <c r="M711" i="4" s="1"/>
  <c r="N711" i="4" s="1"/>
  <c r="J800" i="4"/>
  <c r="L800" i="4" s="1"/>
  <c r="J194" i="4"/>
  <c r="J180" i="4"/>
  <c r="J1226" i="4"/>
  <c r="L1226" i="4" s="1"/>
  <c r="J61" i="4"/>
  <c r="J54" i="4"/>
  <c r="K54" i="4" s="1"/>
  <c r="M54" i="4" s="1"/>
  <c r="J887" i="4"/>
  <c r="J1048" i="4"/>
  <c r="J612" i="4"/>
  <c r="J1011" i="4"/>
  <c r="J351" i="4"/>
  <c r="L351" i="4" s="1"/>
  <c r="J63" i="4"/>
  <c r="J1021" i="4"/>
  <c r="J1057" i="4"/>
  <c r="L1057" i="4" s="1"/>
  <c r="J442" i="4"/>
  <c r="J492" i="4"/>
  <c r="J852" i="4"/>
  <c r="J745" i="4"/>
  <c r="L745" i="4" s="1"/>
  <c r="J1178" i="4"/>
  <c r="J165" i="4"/>
  <c r="L165" i="4" s="1"/>
  <c r="J1286" i="4"/>
  <c r="L1286" i="4" s="1"/>
  <c r="J911" i="4"/>
  <c r="J721" i="4"/>
  <c r="L721" i="4" s="1"/>
  <c r="J523" i="4"/>
  <c r="J1042" i="4"/>
  <c r="K1042" i="4" s="1"/>
  <c r="M1042" i="4" s="1"/>
  <c r="N1042" i="4" s="1"/>
  <c r="J1172" i="4"/>
  <c r="J319" i="4"/>
  <c r="J1182" i="4"/>
  <c r="L1182" i="4" s="1"/>
  <c r="J1047" i="4"/>
  <c r="K1047" i="4" s="1"/>
  <c r="M1047" i="4" s="1"/>
  <c r="N1047" i="4" s="1"/>
  <c r="J338" i="4"/>
  <c r="K338" i="4" s="1"/>
  <c r="M338" i="4" s="1"/>
  <c r="N338" i="4" s="1"/>
  <c r="J373" i="4"/>
  <c r="K373" i="4" s="1"/>
  <c r="M373" i="4" s="1"/>
  <c r="N373" i="4" s="1"/>
  <c r="J359" i="4"/>
  <c r="K359" i="4" s="1"/>
  <c r="M359" i="4" s="1"/>
  <c r="N359" i="4" s="1"/>
  <c r="J262" i="4"/>
  <c r="J665" i="4"/>
  <c r="J873" i="4"/>
  <c r="L873" i="4" s="1"/>
  <c r="J250" i="4"/>
  <c r="J300" i="4"/>
  <c r="L300" i="4" s="1"/>
  <c r="J795" i="4"/>
  <c r="J900" i="4"/>
  <c r="K900" i="4" s="1"/>
  <c r="M900" i="4" s="1"/>
  <c r="N900" i="4" s="1"/>
  <c r="J247" i="4"/>
  <c r="K247" i="4" s="1"/>
  <c r="M247" i="4" s="1"/>
  <c r="J424" i="4"/>
  <c r="K424" i="4" s="1"/>
  <c r="M424" i="4" s="1"/>
  <c r="N424" i="4" s="1"/>
  <c r="J391" i="4"/>
  <c r="J1038" i="4"/>
  <c r="J90" i="4"/>
  <c r="J1083" i="4"/>
  <c r="J309" i="4"/>
  <c r="J71" i="4"/>
  <c r="J393" i="4"/>
  <c r="K393" i="4" s="1"/>
  <c r="M393" i="4" s="1"/>
  <c r="N393" i="4" s="1"/>
  <c r="J1281" i="4"/>
  <c r="J532" i="4"/>
  <c r="J343" i="4"/>
  <c r="J1022" i="4"/>
  <c r="L1022" i="4" s="1"/>
  <c r="J1071" i="4"/>
  <c r="J1279" i="4"/>
  <c r="J427" i="4"/>
  <c r="L427" i="4" s="1"/>
  <c r="J971" i="4"/>
  <c r="J390" i="4"/>
  <c r="L390" i="4" s="1"/>
  <c r="J1229" i="4"/>
  <c r="L1229" i="4" s="1"/>
  <c r="J967" i="4"/>
  <c r="J258" i="4"/>
  <c r="J372" i="4"/>
  <c r="L372" i="4" s="1"/>
  <c r="J739" i="4"/>
  <c r="K739" i="4" s="1"/>
  <c r="M739" i="4" s="1"/>
  <c r="N739" i="4" s="1"/>
  <c r="J109" i="4"/>
  <c r="L109" i="4" s="1"/>
  <c r="J622" i="4"/>
  <c r="K622" i="4" s="1"/>
  <c r="M622" i="4" s="1"/>
  <c r="N622" i="4" s="1"/>
  <c r="J1143" i="4"/>
  <c r="J1176" i="4"/>
  <c r="J890" i="4"/>
  <c r="J844" i="4"/>
  <c r="L844" i="4" s="1"/>
  <c r="J1108" i="4"/>
  <c r="J238" i="4"/>
  <c r="Q238" i="4" s="1"/>
  <c r="J423" i="4"/>
  <c r="J79" i="4"/>
  <c r="L79" i="4" s="1"/>
  <c r="J257" i="4"/>
  <c r="L257" i="4" s="1"/>
  <c r="J570" i="4"/>
  <c r="K570" i="4" s="1"/>
  <c r="M570" i="4" s="1"/>
  <c r="N570" i="4" s="1"/>
  <c r="J898" i="4"/>
  <c r="L898" i="4" s="1"/>
  <c r="J932" i="4"/>
  <c r="J1080" i="4"/>
  <c r="J883" i="4"/>
  <c r="K883" i="4" s="1"/>
  <c r="M883" i="4" s="1"/>
  <c r="N883" i="4" s="1"/>
  <c r="J565" i="4"/>
  <c r="L565" i="4" s="1"/>
  <c r="J709" i="4"/>
  <c r="L709" i="4" s="1"/>
  <c r="J1039" i="4"/>
  <c r="L1039" i="4" s="1"/>
  <c r="J1247" i="4"/>
  <c r="L1247" i="4" s="1"/>
  <c r="J1265" i="4"/>
  <c r="J1170" i="4"/>
  <c r="K1170" i="4" s="1"/>
  <c r="M1170" i="4" s="1"/>
  <c r="N1170" i="4" s="1"/>
  <c r="J1244" i="4"/>
  <c r="K1244" i="4" s="1"/>
  <c r="M1244" i="4" s="1"/>
  <c r="N1244" i="4" s="1"/>
  <c r="J1133" i="4"/>
  <c r="L1133" i="4" s="1"/>
  <c r="J129" i="4"/>
  <c r="K129" i="4" s="1"/>
  <c r="M129" i="4" s="1"/>
  <c r="J275" i="4"/>
  <c r="K275" i="4" s="1"/>
  <c r="M275" i="4" s="1"/>
  <c r="J317" i="4"/>
  <c r="K317" i="4" s="1"/>
  <c r="M317" i="4" s="1"/>
  <c r="N317" i="4" s="1"/>
  <c r="J773" i="4"/>
  <c r="J575" i="4"/>
  <c r="L575" i="4" s="1"/>
  <c r="J1167" i="4"/>
  <c r="L1167" i="4" s="1"/>
  <c r="J378" i="4"/>
  <c r="J428" i="4"/>
  <c r="J980" i="4"/>
  <c r="J405" i="4"/>
  <c r="K405" i="4" s="1"/>
  <c r="M405" i="4" s="1"/>
  <c r="N405" i="4" s="1"/>
  <c r="J375" i="4"/>
  <c r="J918" i="4"/>
  <c r="J591" i="4"/>
  <c r="J1311" i="4"/>
  <c r="J394" i="4"/>
  <c r="L394" i="4" s="1"/>
  <c r="J525" i="4"/>
  <c r="K525" i="4" s="1"/>
  <c r="M525" i="4" s="1"/>
  <c r="N525" i="4" s="1"/>
  <c r="J929" i="4"/>
  <c r="J684" i="4"/>
  <c r="J383" i="4"/>
  <c r="J469" i="4"/>
  <c r="K469" i="4" s="1"/>
  <c r="M469" i="4" s="1"/>
  <c r="N469" i="4" s="1"/>
  <c r="J947" i="4"/>
  <c r="L947" i="4" s="1"/>
  <c r="J695" i="4"/>
  <c r="J164" i="4"/>
  <c r="J161" i="4"/>
  <c r="K161" i="4" s="1"/>
  <c r="M161" i="4" s="1"/>
  <c r="J659" i="4"/>
  <c r="L659" i="4" s="1"/>
  <c r="J855" i="4"/>
  <c r="J1203" i="4"/>
  <c r="J1301" i="4"/>
  <c r="J954" i="4"/>
  <c r="J229" i="4"/>
  <c r="L229" i="4" s="1"/>
  <c r="J86" i="4"/>
  <c r="J169" i="4"/>
  <c r="J332" i="4"/>
  <c r="J1204" i="4"/>
  <c r="J271" i="4"/>
  <c r="K271" i="4" s="1"/>
  <c r="M271" i="4" s="1"/>
  <c r="J1062" i="4"/>
  <c r="J785" i="4"/>
  <c r="J1002" i="4"/>
  <c r="J717" i="4"/>
  <c r="J1158" i="4"/>
  <c r="J495" i="4"/>
  <c r="K495" i="4" s="1"/>
  <c r="M495" i="4" s="1"/>
  <c r="N495" i="4" s="1"/>
  <c r="J170" i="4"/>
  <c r="J540" i="4"/>
  <c r="J125" i="4"/>
  <c r="J166" i="4"/>
  <c r="J582" i="4"/>
  <c r="J889" i="4"/>
  <c r="L889" i="4" s="1"/>
  <c r="J1000" i="4"/>
  <c r="L1000" i="4" s="1"/>
  <c r="J515" i="4"/>
  <c r="J842" i="4"/>
  <c r="J1123" i="4"/>
  <c r="L1123" i="4" s="1"/>
  <c r="J287" i="4"/>
  <c r="L287" i="4" s="1"/>
  <c r="J254" i="4"/>
  <c r="L254" i="4" s="1"/>
  <c r="J233" i="4"/>
  <c r="J115" i="4"/>
  <c r="L115" i="4" s="1"/>
  <c r="J851" i="4"/>
  <c r="J132" i="4"/>
  <c r="J741" i="4"/>
  <c r="L741" i="4" s="1"/>
  <c r="J493" i="4"/>
  <c r="K493" i="4" s="1"/>
  <c r="M493" i="4" s="1"/>
  <c r="N493" i="4" s="1"/>
  <c r="J645" i="4"/>
  <c r="J1023" i="4"/>
  <c r="J1184" i="4"/>
  <c r="L1184" i="4" s="1"/>
  <c r="J1201" i="4"/>
  <c r="L1201" i="4" s="1"/>
  <c r="J859" i="4"/>
  <c r="J245" i="4"/>
  <c r="J4" i="4"/>
  <c r="K4" i="4" s="1"/>
  <c r="M4" i="4" s="1"/>
  <c r="J701" i="4"/>
  <c r="L701" i="4" s="1"/>
  <c r="J135" i="4"/>
  <c r="J942" i="4"/>
  <c r="K942" i="4" s="1"/>
  <c r="M942" i="4" s="1"/>
  <c r="N942" i="4" s="1"/>
  <c r="J1097" i="4"/>
  <c r="J330" i="4"/>
  <c r="J644" i="4"/>
  <c r="L644" i="4" s="1"/>
  <c r="J740" i="4"/>
  <c r="K740" i="4" s="1"/>
  <c r="M740" i="4" s="1"/>
  <c r="N740" i="4" s="1"/>
  <c r="J494" i="4"/>
  <c r="L494" i="4" s="1"/>
  <c r="J1302" i="4"/>
  <c r="J663" i="4"/>
  <c r="J952" i="4"/>
  <c r="L952" i="4" s="1"/>
  <c r="J1050" i="4"/>
  <c r="L1050" i="4" s="1"/>
  <c r="J94" i="4"/>
  <c r="J14" i="4"/>
  <c r="J857" i="4"/>
  <c r="J1248" i="4"/>
  <c r="L1248" i="4" s="1"/>
  <c r="J315" i="4"/>
  <c r="K315" i="4" s="1"/>
  <c r="M315" i="4" s="1"/>
  <c r="N315" i="4" s="1"/>
  <c r="J1179" i="4"/>
  <c r="J694" i="4"/>
  <c r="J614" i="4"/>
  <c r="J1103" i="4"/>
  <c r="L1103" i="4" s="1"/>
  <c r="J497" i="4"/>
  <c r="J1264" i="4"/>
  <c r="L1264" i="4" s="1"/>
  <c r="J203" i="4"/>
  <c r="L203" i="4" s="1"/>
  <c r="J722" i="4"/>
  <c r="L722" i="4" s="1"/>
  <c r="J939" i="4"/>
  <c r="L939" i="4" s="1"/>
  <c r="J1132" i="4"/>
  <c r="K1132" i="4" s="1"/>
  <c r="M1132" i="4" s="1"/>
  <c r="N1132" i="4" s="1"/>
  <c r="J950" i="4"/>
  <c r="K950" i="4" s="1"/>
  <c r="M950" i="4" s="1"/>
  <c r="N950" i="4" s="1"/>
  <c r="J595" i="4"/>
  <c r="J1005" i="4"/>
  <c r="J502" i="4"/>
  <c r="J1082" i="4"/>
  <c r="L1082" i="4" s="1"/>
  <c r="J145" i="4"/>
  <c r="J211" i="4"/>
  <c r="J445" i="4"/>
  <c r="L445" i="4" s="1"/>
  <c r="J876" i="4"/>
  <c r="K876" i="4" s="1"/>
  <c r="M876" i="4" s="1"/>
  <c r="N876" i="4" s="1"/>
  <c r="J114" i="4"/>
  <c r="L114" i="4" s="1"/>
  <c r="J1032" i="4"/>
  <c r="J901" i="4"/>
  <c r="J830" i="4"/>
  <c r="L830" i="4" s="1"/>
  <c r="J154" i="4"/>
  <c r="J57" i="1"/>
  <c r="J48" i="1"/>
  <c r="J8" i="4"/>
  <c r="L8" i="4" s="1"/>
  <c r="J16" i="4"/>
  <c r="J24" i="4"/>
  <c r="L24" i="4" s="1"/>
  <c r="J32" i="4"/>
  <c r="L32" i="4" s="1"/>
  <c r="J40" i="4"/>
  <c r="L40" i="4" s="1"/>
  <c r="J48" i="4"/>
  <c r="J56" i="4"/>
  <c r="K56" i="4" s="1"/>
  <c r="M56" i="4" s="1"/>
  <c r="J64" i="4"/>
  <c r="J72" i="4"/>
  <c r="J80" i="4"/>
  <c r="L80" i="4" s="1"/>
  <c r="J88" i="4"/>
  <c r="J96" i="4"/>
  <c r="K96" i="4" s="1"/>
  <c r="M96" i="4" s="1"/>
  <c r="J104" i="4"/>
  <c r="L104" i="4" s="1"/>
  <c r="J3" i="4"/>
  <c r="K3" i="4" s="1"/>
  <c r="M3" i="4" s="1"/>
  <c r="J67" i="4"/>
  <c r="K67" i="4" s="1"/>
  <c r="M67" i="4" s="1"/>
  <c r="J75" i="4"/>
  <c r="L75" i="4" s="1"/>
  <c r="J91" i="4"/>
  <c r="L91" i="4" s="1"/>
  <c r="J131" i="4"/>
  <c r="L131" i="4" s="1"/>
  <c r="J155" i="4"/>
  <c r="K155" i="4" s="1"/>
  <c r="M155" i="4" s="1"/>
  <c r="J163" i="4"/>
  <c r="L163" i="4" s="1"/>
  <c r="J179" i="4"/>
  <c r="L179" i="4" s="1"/>
  <c r="J227" i="4"/>
  <c r="K227" i="4" s="1"/>
  <c r="M227" i="4" s="1"/>
  <c r="J235" i="4"/>
  <c r="Q235" i="4" s="1"/>
  <c r="J243" i="4"/>
  <c r="J259" i="4"/>
  <c r="K259" i="4" s="1"/>
  <c r="M259" i="4" s="1"/>
  <c r="J267" i="4"/>
  <c r="K267" i="4" s="1"/>
  <c r="M267" i="4" s="1"/>
  <c r="J299" i="4"/>
  <c r="K299" i="4" s="1"/>
  <c r="M299" i="4" s="1"/>
  <c r="J339" i="4"/>
  <c r="K339" i="4" s="1"/>
  <c r="M339" i="4" s="1"/>
  <c r="N339" i="4" s="1"/>
  <c r="J363" i="4"/>
  <c r="L363" i="4" s="1"/>
  <c r="J371" i="4"/>
  <c r="L371" i="4" s="1"/>
  <c r="J419" i="4"/>
  <c r="L419" i="4" s="1"/>
  <c r="J443" i="4"/>
  <c r="L443" i="4" s="1"/>
  <c r="J467" i="4"/>
  <c r="L467" i="4" s="1"/>
  <c r="J483" i="4"/>
  <c r="L483" i="4" s="1"/>
  <c r="J539" i="4"/>
  <c r="L539" i="4" s="1"/>
  <c r="J547" i="4"/>
  <c r="L547" i="4" s="1"/>
  <c r="J603" i="4"/>
  <c r="K603" i="4" s="1"/>
  <c r="M603" i="4" s="1"/>
  <c r="N603" i="4" s="1"/>
  <c r="J627" i="4"/>
  <c r="L627" i="4" s="1"/>
  <c r="J635" i="4"/>
  <c r="K635" i="4" s="1"/>
  <c r="M635" i="4" s="1"/>
  <c r="N635" i="4" s="1"/>
  <c r="J699" i="4"/>
  <c r="L699" i="4" s="1"/>
  <c r="J707" i="4"/>
  <c r="K707" i="4" s="1"/>
  <c r="M707" i="4" s="1"/>
  <c r="N707" i="4" s="1"/>
  <c r="J715" i="4"/>
  <c r="L715" i="4" s="1"/>
  <c r="J779" i="4"/>
  <c r="L779" i="4" s="1"/>
  <c r="J827" i="4"/>
  <c r="L827" i="4" s="1"/>
  <c r="J835" i="4"/>
  <c r="J891" i="4"/>
  <c r="J899" i="4"/>
  <c r="J955" i="4"/>
  <c r="K955" i="4" s="1"/>
  <c r="M955" i="4" s="1"/>
  <c r="N955" i="4" s="1"/>
  <c r="J963" i="4"/>
  <c r="L963" i="4" s="1"/>
  <c r="J979" i="4"/>
  <c r="J203" i="1"/>
  <c r="J217" i="1"/>
  <c r="J870" i="6"/>
  <c r="K870" i="6" s="1"/>
  <c r="N870" i="6" s="1"/>
  <c r="J165" i="1"/>
  <c r="J140" i="1"/>
  <c r="J161" i="1"/>
  <c r="J1020" i="6"/>
  <c r="J1044" i="6"/>
  <c r="J112" i="4"/>
  <c r="K112" i="4" s="1"/>
  <c r="M112" i="4" s="1"/>
  <c r="J120" i="4"/>
  <c r="L120" i="4" s="1"/>
  <c r="J128" i="4"/>
  <c r="L128" i="4" s="1"/>
  <c r="J136" i="4"/>
  <c r="K136" i="4" s="1"/>
  <c r="M136" i="4" s="1"/>
  <c r="J144" i="4"/>
  <c r="L144" i="4" s="1"/>
  <c r="J152" i="4"/>
  <c r="L152" i="4" s="1"/>
  <c r="J143" i="1"/>
  <c r="J220" i="1"/>
  <c r="J21" i="4"/>
  <c r="K21" i="4" s="1"/>
  <c r="M21" i="4" s="1"/>
  <c r="J863" i="4"/>
  <c r="K863" i="4" s="1"/>
  <c r="M863" i="4" s="1"/>
  <c r="N863" i="4" s="1"/>
  <c r="J153" i="4"/>
  <c r="J185" i="4"/>
  <c r="J1024" i="4"/>
  <c r="J26" i="4"/>
  <c r="J219" i="4"/>
  <c r="J930" i="4"/>
  <c r="J1250" i="4"/>
  <c r="J820" i="4"/>
  <c r="J1268" i="4"/>
  <c r="J956" i="4"/>
  <c r="K956" i="4" s="1"/>
  <c r="M956" i="4" s="1"/>
  <c r="N956" i="4" s="1"/>
  <c r="J37" i="4"/>
  <c r="J463" i="4"/>
  <c r="J542" i="4"/>
  <c r="J750" i="4"/>
  <c r="J1221" i="4"/>
  <c r="J615" i="4"/>
  <c r="L615" i="4" s="1"/>
  <c r="J1063" i="4"/>
  <c r="L1063" i="4" s="1"/>
  <c r="J25" i="4"/>
  <c r="J193" i="4"/>
  <c r="J968" i="4"/>
  <c r="J1288" i="4"/>
  <c r="J354" i="4"/>
  <c r="J674" i="4"/>
  <c r="J291" i="4"/>
  <c r="J20" i="4"/>
  <c r="J746" i="4"/>
  <c r="J771" i="4"/>
  <c r="J700" i="4"/>
  <c r="J407" i="4"/>
  <c r="J1053" i="4"/>
  <c r="J95" i="4"/>
  <c r="J1102" i="4"/>
  <c r="J751" i="4"/>
  <c r="K751" i="4" s="1"/>
  <c r="M751" i="4" s="1"/>
  <c r="N751" i="4" s="1"/>
  <c r="J801" i="4"/>
  <c r="J617" i="4"/>
  <c r="J976" i="4"/>
  <c r="L976" i="4" s="1"/>
  <c r="J1289" i="4"/>
  <c r="L1289" i="4" s="1"/>
  <c r="J426" i="4"/>
  <c r="J107" i="4"/>
  <c r="J754" i="4"/>
  <c r="J1138" i="4"/>
  <c r="J843" i="4"/>
  <c r="J1227" i="4"/>
  <c r="J517" i="4"/>
  <c r="K517" i="4" s="1"/>
  <c r="M517" i="4" s="1"/>
  <c r="N517" i="4" s="1"/>
  <c r="J878" i="4"/>
  <c r="K878" i="4" s="1"/>
  <c r="M878" i="4" s="1"/>
  <c r="N878" i="4" s="1"/>
  <c r="J246" i="4"/>
  <c r="L246" i="4" s="1"/>
  <c r="J1254" i="4"/>
  <c r="L1254" i="4" s="1"/>
  <c r="J1110" i="4"/>
  <c r="J1174" i="4"/>
  <c r="J903" i="4"/>
  <c r="J697" i="4"/>
  <c r="J1073" i="4"/>
  <c r="L1073" i="4" s="1"/>
  <c r="J1175" i="4"/>
  <c r="L1175" i="4" s="1"/>
  <c r="J1256" i="4"/>
  <c r="J386" i="4"/>
  <c r="J195" i="4"/>
  <c r="K195" i="4" s="1"/>
  <c r="M195" i="4" s="1"/>
  <c r="J52" i="4"/>
  <c r="J564" i="4"/>
  <c r="L564" i="4" s="1"/>
  <c r="J1098" i="4"/>
  <c r="J931" i="4"/>
  <c r="J796" i="4"/>
  <c r="J814" i="4"/>
  <c r="K814" i="4" s="1"/>
  <c r="M814" i="4" s="1"/>
  <c r="N814" i="4" s="1"/>
  <c r="J1190" i="4"/>
  <c r="J55" i="4"/>
  <c r="J433" i="4"/>
  <c r="J1223" i="4"/>
  <c r="J434" i="4"/>
  <c r="J100" i="4"/>
  <c r="J762" i="4"/>
  <c r="J1274" i="4"/>
  <c r="J1107" i="4"/>
  <c r="J924" i="4"/>
  <c r="J1228" i="4"/>
  <c r="J361" i="4"/>
  <c r="J922" i="4"/>
  <c r="J964" i="4"/>
  <c r="J365" i="4"/>
  <c r="J1046" i="4"/>
  <c r="J101" i="4"/>
  <c r="J295" i="4"/>
  <c r="J1181" i="4"/>
  <c r="K1181" i="4" s="1"/>
  <c r="M1181" i="4" s="1"/>
  <c r="N1181" i="4" s="1"/>
  <c r="J639" i="4"/>
  <c r="J657" i="4"/>
  <c r="L657" i="4" s="1"/>
  <c r="J1312" i="4"/>
  <c r="J251" i="4"/>
  <c r="J620" i="4"/>
  <c r="J987" i="4"/>
  <c r="J1164" i="4"/>
  <c r="J1255" i="4"/>
  <c r="L1255" i="4" s="1"/>
  <c r="J1252" i="4"/>
  <c r="J213" i="4"/>
  <c r="K213" i="4" s="1"/>
  <c r="M213" i="4" s="1"/>
  <c r="J439" i="4"/>
  <c r="L439" i="4" s="1"/>
  <c r="J646" i="4"/>
  <c r="J527" i="4"/>
  <c r="J537" i="4"/>
  <c r="J305" i="4"/>
  <c r="L305" i="4" s="1"/>
  <c r="J202" i="4"/>
  <c r="J395" i="4"/>
  <c r="J875" i="4"/>
  <c r="J1028" i="4"/>
  <c r="J597" i="4"/>
  <c r="J222" i="4"/>
  <c r="J557" i="4"/>
  <c r="J791" i="4"/>
  <c r="J549" i="4"/>
  <c r="J526" i="4"/>
  <c r="J1117" i="4"/>
  <c r="J31" i="4"/>
  <c r="J726" i="4"/>
  <c r="J1262" i="4"/>
  <c r="J735" i="4"/>
  <c r="J1055" i="4"/>
  <c r="J969" i="4"/>
  <c r="J953" i="4"/>
  <c r="J769" i="4"/>
  <c r="J1152" i="4"/>
  <c r="J474" i="4"/>
  <c r="J475" i="4"/>
  <c r="J204" i="4"/>
  <c r="J588" i="4"/>
  <c r="J994" i="4"/>
  <c r="J1019" i="4"/>
  <c r="J892" i="4"/>
  <c r="J301" i="4"/>
  <c r="J982" i="4"/>
  <c r="J30" i="4"/>
  <c r="J813" i="4"/>
  <c r="J629" i="4"/>
  <c r="J487" i="4"/>
  <c r="J999" i="4"/>
  <c r="J217" i="4"/>
  <c r="J585" i="4"/>
  <c r="J1096" i="4"/>
  <c r="J98" i="4"/>
  <c r="J546" i="4"/>
  <c r="J611" i="4"/>
  <c r="J404" i="4"/>
  <c r="J1258" i="4"/>
  <c r="L1258" i="4" s="1"/>
  <c r="J1027" i="4"/>
  <c r="J333" i="4"/>
  <c r="J774" i="4"/>
  <c r="J605" i="4"/>
  <c r="J1270" i="4"/>
  <c r="J1135" i="4"/>
  <c r="J41" i="4"/>
  <c r="J1001" i="4"/>
  <c r="J1041" i="4"/>
  <c r="J1168" i="4"/>
  <c r="J234" i="4"/>
  <c r="Q234" i="4" s="1"/>
  <c r="J491" i="4"/>
  <c r="J818" i="4"/>
  <c r="J1266" i="4"/>
  <c r="J117" i="4"/>
  <c r="J157" i="4"/>
  <c r="J662" i="4"/>
  <c r="J581" i="4"/>
  <c r="J669" i="4"/>
  <c r="L669" i="4" s="1"/>
  <c r="J1061" i="4"/>
  <c r="L1061" i="4" s="1"/>
  <c r="J647" i="4"/>
  <c r="L647" i="4" s="1"/>
  <c r="J89" i="4"/>
  <c r="J681" i="4"/>
  <c r="J1105" i="4"/>
  <c r="L1105" i="4" s="1"/>
  <c r="J1233" i="4"/>
  <c r="L1233" i="4" s="1"/>
  <c r="J514" i="4"/>
  <c r="J387" i="4"/>
  <c r="J308" i="4"/>
  <c r="J906" i="4"/>
  <c r="J803" i="4"/>
  <c r="J732" i="4"/>
  <c r="K732" i="4" s="1"/>
  <c r="M732" i="4" s="1"/>
  <c r="N732" i="4" s="1"/>
  <c r="J39" i="4"/>
  <c r="L39" i="4" s="1"/>
  <c r="J1141" i="4"/>
  <c r="J759" i="4"/>
  <c r="L759" i="4" s="1"/>
  <c r="J1025" i="4"/>
  <c r="J50" i="4"/>
  <c r="J499" i="4"/>
  <c r="J1235" i="4"/>
  <c r="J628" i="4"/>
  <c r="J748" i="4"/>
  <c r="J133" i="4"/>
  <c r="J837" i="4"/>
  <c r="K837" i="4" s="1"/>
  <c r="M837" i="4" s="1"/>
  <c r="N837" i="4" s="1"/>
  <c r="J310" i="4"/>
  <c r="K310" i="4" s="1"/>
  <c r="M310" i="4" s="1"/>
  <c r="N310" i="4" s="1"/>
  <c r="J465" i="4"/>
  <c r="K465" i="4" s="1"/>
  <c r="M465" i="4" s="1"/>
  <c r="N465" i="4" s="1"/>
  <c r="J1056" i="4"/>
  <c r="J123" i="4"/>
  <c r="J770" i="4"/>
  <c r="L770" i="4" s="1"/>
  <c r="J1243" i="4"/>
  <c r="L1243" i="4" s="1"/>
  <c r="J121" i="4"/>
  <c r="J466" i="4"/>
  <c r="J311" i="4"/>
  <c r="J1150" i="4"/>
  <c r="J655" i="4"/>
  <c r="K655" i="4" s="1"/>
  <c r="M655" i="4" s="1"/>
  <c r="N655" i="4" s="1"/>
  <c r="J337" i="4"/>
  <c r="J1072" i="4"/>
  <c r="J139" i="4"/>
  <c r="J380" i="4"/>
  <c r="J747" i="4"/>
  <c r="J1100" i="4"/>
  <c r="J1189" i="4"/>
  <c r="J447" i="4"/>
  <c r="J749" i="4"/>
  <c r="J1139" i="4"/>
  <c r="J789" i="4"/>
  <c r="J733" i="4"/>
  <c r="J1120" i="4"/>
  <c r="J187" i="4"/>
  <c r="J706" i="4"/>
  <c r="K706" i="4" s="1"/>
  <c r="M706" i="4" s="1"/>
  <c r="N706" i="4" s="1"/>
  <c r="J667" i="4"/>
  <c r="J1052" i="4"/>
  <c r="J429" i="4"/>
  <c r="J1197" i="4"/>
  <c r="L1197" i="4" s="1"/>
  <c r="J326" i="4"/>
  <c r="J713" i="4"/>
  <c r="J1183" i="4"/>
  <c r="L1183" i="4" s="1"/>
  <c r="J10" i="4"/>
  <c r="J459" i="4"/>
  <c r="J978" i="4"/>
  <c r="J804" i="4"/>
  <c r="K804" i="4" s="1"/>
  <c r="M804" i="4" s="1"/>
  <c r="N804" i="4" s="1"/>
  <c r="J1212" i="4"/>
  <c r="J1144" i="4"/>
  <c r="J520" i="4"/>
  <c r="J1075" i="4"/>
  <c r="J1159" i="4"/>
  <c r="J36" i="4"/>
  <c r="J780" i="4"/>
  <c r="J1245" i="4"/>
  <c r="J730" i="4"/>
  <c r="J127" i="4"/>
  <c r="J616" i="4"/>
  <c r="J1238" i="4"/>
  <c r="K1238" i="4" s="1"/>
  <c r="M1238" i="4" s="1"/>
  <c r="N1238" i="4" s="1"/>
  <c r="J693" i="4"/>
  <c r="J984" i="4"/>
  <c r="J1171" i="4"/>
  <c r="J224" i="4"/>
  <c r="L224" i="4" s="1"/>
  <c r="J1157" i="4"/>
  <c r="J925" i="4"/>
  <c r="J270" i="4"/>
  <c r="J607" i="4"/>
  <c r="J991" i="4"/>
  <c r="J1121" i="4"/>
  <c r="J282" i="4"/>
  <c r="J27" i="4"/>
  <c r="J411" i="4"/>
  <c r="J140" i="4"/>
  <c r="J660" i="4"/>
  <c r="J1058" i="4"/>
  <c r="J1211" i="4"/>
  <c r="J1012" i="4"/>
  <c r="J1283" i="4"/>
  <c r="J1278" i="4"/>
  <c r="J1013" i="4"/>
  <c r="J470" i="4"/>
  <c r="J454" i="4"/>
  <c r="J985" i="4"/>
  <c r="J385" i="4"/>
  <c r="J1160" i="4"/>
  <c r="J226" i="4"/>
  <c r="L226" i="4" s="1"/>
  <c r="J276" i="4"/>
  <c r="J682" i="4"/>
  <c r="J1194" i="4"/>
  <c r="J29" i="4"/>
  <c r="J997" i="4"/>
  <c r="J215" i="4"/>
  <c r="J765" i="4"/>
  <c r="J766" i="4"/>
  <c r="J815" i="4"/>
  <c r="J417" i="4"/>
  <c r="J425" i="4"/>
  <c r="J409" i="4"/>
  <c r="L409" i="4" s="1"/>
  <c r="J43" i="4"/>
  <c r="J619" i="4"/>
  <c r="J476" i="4"/>
  <c r="J1010" i="4"/>
  <c r="J907" i="4"/>
  <c r="J772" i="4"/>
  <c r="J421" i="4"/>
  <c r="J1118" i="4"/>
  <c r="J1165" i="4"/>
  <c r="K1165" i="4" s="1"/>
  <c r="M1165" i="4" s="1"/>
  <c r="N1165" i="4" s="1"/>
  <c r="J294" i="4"/>
  <c r="J910" i="4"/>
  <c r="J1031" i="4"/>
  <c r="L1031" i="4" s="1"/>
  <c r="J313" i="4"/>
  <c r="L313" i="4" s="1"/>
  <c r="J905" i="4"/>
  <c r="J1313" i="4"/>
  <c r="J642" i="4"/>
  <c r="J579" i="4"/>
  <c r="J636" i="4"/>
  <c r="L636" i="4" s="1"/>
  <c r="J1290" i="4"/>
  <c r="L1290" i="4" s="1"/>
  <c r="J1251" i="4"/>
  <c r="J318" i="4"/>
  <c r="L318" i="4" s="1"/>
  <c r="J550" i="4"/>
  <c r="J1015" i="4"/>
  <c r="J1065" i="4"/>
  <c r="K1065" i="4" s="1"/>
  <c r="M1065" i="4" s="1"/>
  <c r="N1065" i="4" s="1"/>
  <c r="J1217" i="4"/>
  <c r="J484" i="4"/>
  <c r="J1146" i="4"/>
  <c r="J1084" i="4"/>
  <c r="J197" i="4"/>
  <c r="J85" i="4"/>
  <c r="L85" i="4" s="1"/>
  <c r="J142" i="4"/>
  <c r="J870" i="4"/>
  <c r="J289" i="4"/>
  <c r="J186" i="4"/>
  <c r="L186" i="4" s="1"/>
  <c r="J108" i="4"/>
  <c r="J731" i="4"/>
  <c r="J1236" i="4"/>
  <c r="K1236" i="4" s="1"/>
  <c r="M1236" i="4" s="1"/>
  <c r="N1236" i="4" s="1"/>
  <c r="J210" i="4"/>
  <c r="L210" i="4" s="1"/>
  <c r="J1267" i="4"/>
  <c r="J189" i="4"/>
  <c r="J182" i="4"/>
  <c r="J366" i="4"/>
  <c r="K366" i="4" s="1"/>
  <c r="M366" i="4" s="1"/>
  <c r="N366" i="4" s="1"/>
  <c r="J113" i="4"/>
  <c r="J1129" i="4"/>
  <c r="L1129" i="4" s="1"/>
  <c r="J11" i="4"/>
  <c r="J508" i="4"/>
  <c r="J1003" i="4"/>
  <c r="L1003" i="4" s="1"/>
  <c r="J302" i="4"/>
  <c r="J758" i="4"/>
  <c r="J998" i="4"/>
  <c r="J937" i="4"/>
  <c r="J19" i="4"/>
  <c r="L19" i="4" s="1"/>
  <c r="J1180" i="4"/>
  <c r="L1180" i="4" s="1"/>
  <c r="J630" i="4"/>
  <c r="J1142" i="4"/>
  <c r="J1087" i="4"/>
  <c r="J473" i="4"/>
  <c r="J634" i="4"/>
  <c r="J571" i="4"/>
  <c r="J556" i="4"/>
  <c r="J1218" i="4"/>
  <c r="K1218" i="4" s="1"/>
  <c r="M1218" i="4" s="1"/>
  <c r="N1218" i="4" s="1"/>
  <c r="J1307" i="4"/>
  <c r="J1124" i="4"/>
  <c r="J533" i="4"/>
  <c r="K533" i="4" s="1"/>
  <c r="M533" i="4" s="1"/>
  <c r="N533" i="4" s="1"/>
  <c r="J981" i="4"/>
  <c r="J78" i="4"/>
  <c r="J847" i="4"/>
  <c r="J584" i="4"/>
  <c r="K584" i="4" s="1"/>
  <c r="M584" i="4" s="1"/>
  <c r="N584" i="4" s="1"/>
  <c r="J331" i="4"/>
  <c r="J316" i="4"/>
  <c r="J1067" i="4"/>
  <c r="J988" i="4"/>
  <c r="J118" i="4"/>
  <c r="J945" i="4"/>
  <c r="J452" i="4"/>
  <c r="J698" i="4"/>
  <c r="J541" i="4"/>
  <c r="J567" i="4"/>
  <c r="J370" i="4"/>
  <c r="J1297" i="4"/>
  <c r="J68" i="4"/>
  <c r="J1126" i="4"/>
  <c r="J1043" i="4"/>
  <c r="J727" i="4"/>
  <c r="J823" i="4"/>
  <c r="J435" i="4"/>
  <c r="L435" i="4" s="1"/>
  <c r="J637" i="4"/>
  <c r="J958" i="4"/>
  <c r="J1173" i="4"/>
  <c r="J927" i="4"/>
  <c r="J577" i="4"/>
  <c r="J561" i="4"/>
  <c r="J218" i="4"/>
  <c r="J602" i="4"/>
  <c r="J347" i="4"/>
  <c r="J35" i="4"/>
  <c r="J162" i="4"/>
  <c r="J977" i="4"/>
  <c r="J177" i="4"/>
  <c r="J1294" i="4"/>
  <c r="J1230" i="4"/>
  <c r="J1309" i="4"/>
  <c r="J742" i="4"/>
  <c r="J53" i="4"/>
  <c r="J513" i="4"/>
  <c r="L513" i="4" s="1"/>
  <c r="J756" i="4"/>
  <c r="J1122" i="4"/>
  <c r="J738" i="4"/>
  <c r="J76" i="4"/>
  <c r="J283" i="4"/>
  <c r="J410" i="4"/>
  <c r="J1280" i="4"/>
  <c r="J377" i="4"/>
  <c r="J479" i="4"/>
  <c r="J151" i="4"/>
  <c r="J1029" i="4"/>
  <c r="J973" i="4"/>
  <c r="J1213" i="4"/>
  <c r="J509" i="4"/>
  <c r="J171" i="1"/>
  <c r="J159" i="1"/>
  <c r="J181" i="1"/>
  <c r="J650" i="6"/>
  <c r="J636" i="6"/>
  <c r="K636" i="6" s="1"/>
  <c r="N636" i="6" s="1"/>
  <c r="J1111" i="6"/>
  <c r="J174" i="1"/>
  <c r="J168" i="6"/>
  <c r="J371" i="6"/>
  <c r="J972" i="6"/>
  <c r="J184" i="6"/>
  <c r="K184" i="6" s="1"/>
  <c r="N184" i="6" s="1"/>
  <c r="J435" i="6"/>
  <c r="K435" i="6" s="1"/>
  <c r="N435" i="6" s="1"/>
  <c r="J864" i="6"/>
  <c r="K864" i="6" s="1"/>
  <c r="N864" i="6" s="1"/>
  <c r="J219" i="1"/>
  <c r="J216" i="6"/>
  <c r="J42" i="6"/>
  <c r="J1242" i="6"/>
  <c r="J76" i="6"/>
  <c r="J442" i="6"/>
  <c r="K442" i="6" s="1"/>
  <c r="N442" i="6" s="1"/>
  <c r="J191" i="1"/>
  <c r="J1290" i="6"/>
  <c r="J950" i="6"/>
  <c r="J777" i="6"/>
  <c r="J738" i="6"/>
  <c r="J332" i="6"/>
  <c r="J567" i="6"/>
  <c r="J288" i="6"/>
  <c r="K288" i="6" s="1"/>
  <c r="N288" i="6" s="1"/>
  <c r="J1016" i="6"/>
  <c r="J892" i="6"/>
  <c r="K892" i="6" s="1"/>
  <c r="N892" i="6" s="1"/>
  <c r="J466" i="6"/>
  <c r="J324" i="6"/>
  <c r="K324" i="6" s="1"/>
  <c r="N324" i="6" s="1"/>
  <c r="J546" i="6"/>
  <c r="J269" i="6"/>
  <c r="K269" i="6" s="1"/>
  <c r="N269" i="6" s="1"/>
  <c r="J968" i="6"/>
  <c r="K968" i="6" s="1"/>
  <c r="N968" i="6" s="1"/>
  <c r="J652" i="6"/>
  <c r="J458" i="6"/>
  <c r="J316" i="6"/>
  <c r="J472" i="6"/>
  <c r="K472" i="6" s="1"/>
  <c r="N472" i="6" s="1"/>
  <c r="J264" i="6"/>
  <c r="K264" i="6" s="1"/>
  <c r="N264" i="6" s="1"/>
  <c r="J1012" i="6"/>
  <c r="K1012" i="6" s="1"/>
  <c r="N1012" i="6" s="1"/>
  <c r="J793" i="6"/>
  <c r="K793" i="6" s="1"/>
  <c r="N793" i="6" s="1"/>
  <c r="J569" i="6"/>
  <c r="J436" i="6"/>
  <c r="J594" i="6"/>
  <c r="J198" i="6"/>
  <c r="K198" i="6" s="1"/>
  <c r="N198" i="6" s="1"/>
  <c r="J160" i="4"/>
  <c r="J168" i="4"/>
  <c r="L168" i="4" s="1"/>
  <c r="J176" i="4"/>
  <c r="L176" i="4" s="1"/>
  <c r="J184" i="4"/>
  <c r="L184" i="4" s="1"/>
  <c r="J192" i="4"/>
  <c r="L192" i="4" s="1"/>
  <c r="J200" i="4"/>
  <c r="L200" i="4" s="1"/>
  <c r="J208" i="4"/>
  <c r="J216" i="4"/>
  <c r="L216" i="4" s="1"/>
  <c r="J232" i="4"/>
  <c r="J240" i="4"/>
  <c r="J248" i="4"/>
  <c r="L248" i="4" s="1"/>
  <c r="J256" i="4"/>
  <c r="L256" i="4" s="1"/>
  <c r="J264" i="4"/>
  <c r="L264" i="4" s="1"/>
  <c r="J272" i="4"/>
  <c r="K272" i="4" s="1"/>
  <c r="M272" i="4" s="1"/>
  <c r="J288" i="4"/>
  <c r="L288" i="4" s="1"/>
  <c r="J296" i="4"/>
  <c r="K296" i="4" s="1"/>
  <c r="M296" i="4" s="1"/>
  <c r="J304" i="4"/>
  <c r="L304" i="4" s="1"/>
  <c r="J312" i="4"/>
  <c r="K312" i="4" s="1"/>
  <c r="M312" i="4" s="1"/>
  <c r="N312" i="4" s="1"/>
  <c r="J320" i="4"/>
  <c r="J328" i="4"/>
  <c r="L328" i="4" s="1"/>
  <c r="J344" i="4"/>
  <c r="J352" i="4"/>
  <c r="L352" i="4" s="1"/>
  <c r="J360" i="4"/>
  <c r="L360" i="4" s="1"/>
  <c r="J368" i="4"/>
  <c r="L368" i="4" s="1"/>
  <c r="J376" i="4"/>
  <c r="J384" i="4"/>
  <c r="K384" i="4" s="1"/>
  <c r="M384" i="4" s="1"/>
  <c r="N384" i="4" s="1"/>
  <c r="J392" i="4"/>
  <c r="J400" i="4"/>
  <c r="L400" i="4" s="1"/>
  <c r="J408" i="4"/>
  <c r="L408" i="4" s="1"/>
  <c r="J416" i="4"/>
  <c r="J432" i="4"/>
  <c r="K432" i="4" s="1"/>
  <c r="M432" i="4" s="1"/>
  <c r="N432" i="4" s="1"/>
  <c r="J440" i="4"/>
  <c r="J448" i="4"/>
  <c r="K448" i="4" s="1"/>
  <c r="M448" i="4" s="1"/>
  <c r="N448" i="4" s="1"/>
  <c r="J456" i="4"/>
  <c r="J464" i="4"/>
  <c r="L464" i="4" s="1"/>
  <c r="J472" i="4"/>
  <c r="L472" i="4" s="1"/>
  <c r="J480" i="4"/>
  <c r="K480" i="4" s="1"/>
  <c r="M480" i="4" s="1"/>
  <c r="N480" i="4" s="1"/>
  <c r="J488" i="4"/>
  <c r="J496" i="4"/>
  <c r="L496" i="4" s="1"/>
  <c r="J504" i="4"/>
  <c r="L504" i="4" s="1"/>
  <c r="J512" i="4"/>
  <c r="K512" i="4" s="1"/>
  <c r="M512" i="4" s="1"/>
  <c r="N512" i="4" s="1"/>
  <c r="J528" i="4"/>
  <c r="K528" i="4" s="1"/>
  <c r="M528" i="4" s="1"/>
  <c r="N528" i="4" s="1"/>
  <c r="J536" i="4"/>
  <c r="L536" i="4" s="1"/>
  <c r="J544" i="4"/>
  <c r="K544" i="4" s="1"/>
  <c r="M544" i="4" s="1"/>
  <c r="N544" i="4" s="1"/>
  <c r="J552" i="4"/>
  <c r="J568" i="4"/>
  <c r="L568" i="4" s="1"/>
  <c r="J576" i="4"/>
  <c r="L576" i="4" s="1"/>
  <c r="J592" i="4"/>
  <c r="L592" i="4" s="1"/>
  <c r="J600" i="4"/>
  <c r="J608" i="4"/>
  <c r="J624" i="4"/>
  <c r="J632" i="4"/>
  <c r="L632" i="4" s="1"/>
  <c r="J640" i="4"/>
  <c r="J656" i="4"/>
  <c r="L656" i="4" s="1"/>
  <c r="J664" i="4"/>
  <c r="L664" i="4" s="1"/>
  <c r="J672" i="4"/>
  <c r="J680" i="4"/>
  <c r="J688" i="4"/>
  <c r="K688" i="4" s="1"/>
  <c r="M688" i="4" s="1"/>
  <c r="N688" i="4" s="1"/>
  <c r="J696" i="4"/>
  <c r="J704" i="4"/>
  <c r="J712" i="4"/>
  <c r="L712" i="4" s="1"/>
  <c r="J720" i="4"/>
  <c r="L720" i="4" s="1"/>
  <c r="J728" i="4"/>
  <c r="J736" i="4"/>
  <c r="J744" i="4"/>
  <c r="J752" i="4"/>
  <c r="J760" i="4"/>
  <c r="L760" i="4" s="1"/>
  <c r="J768" i="4"/>
  <c r="L768" i="4" s="1"/>
  <c r="J784" i="4"/>
  <c r="J808" i="4"/>
  <c r="L808" i="4" s="1"/>
  <c r="J816" i="4"/>
  <c r="K816" i="4" s="1"/>
  <c r="M816" i="4" s="1"/>
  <c r="N816" i="4" s="1"/>
  <c r="J832" i="4"/>
  <c r="J840" i="4"/>
  <c r="J848" i="4"/>
  <c r="L848" i="4" s="1"/>
  <c r="J856" i="4"/>
  <c r="J864" i="4"/>
  <c r="K864" i="4" s="1"/>
  <c r="M864" i="4" s="1"/>
  <c r="N864" i="4" s="1"/>
  <c r="J880" i="4"/>
  <c r="J888" i="4"/>
  <c r="J896" i="4"/>
  <c r="K896" i="4" s="1"/>
  <c r="M896" i="4" s="1"/>
  <c r="N896" i="4" s="1"/>
  <c r="J904" i="4"/>
  <c r="J912" i="4"/>
  <c r="L912" i="4" s="1"/>
  <c r="J928" i="4"/>
  <c r="L928" i="4" s="1"/>
  <c r="J944" i="4"/>
  <c r="L944" i="4" s="1"/>
  <c r="J960" i="4"/>
  <c r="J29" i="6"/>
  <c r="K29" i="6" s="1"/>
  <c r="N29" i="6" s="1"/>
  <c r="J382" i="6"/>
  <c r="J572" i="6"/>
  <c r="J1213" i="6"/>
  <c r="J183" i="1"/>
  <c r="J179" i="1"/>
  <c r="J175" i="1"/>
  <c r="J200" i="1"/>
  <c r="J218" i="1"/>
  <c r="J737" i="6"/>
  <c r="J153" i="1"/>
  <c r="J142" i="1"/>
  <c r="J148" i="1"/>
  <c r="J212" i="1"/>
  <c r="J208" i="1"/>
  <c r="J265" i="6"/>
  <c r="J271" i="6"/>
  <c r="J309" i="6"/>
  <c r="J363" i="6"/>
  <c r="J489" i="6"/>
  <c r="K489" i="6" s="1"/>
  <c r="N489" i="6" s="1"/>
  <c r="J491" i="6"/>
  <c r="J553" i="6"/>
  <c r="K553" i="6" s="1"/>
  <c r="N553" i="6" s="1"/>
  <c r="J139" i="1"/>
  <c r="J149" i="1"/>
  <c r="J198" i="1"/>
  <c r="J190" i="1"/>
  <c r="J186" i="1"/>
  <c r="J135" i="1"/>
  <c r="J145" i="1"/>
  <c r="J141" i="1"/>
  <c r="J137" i="1"/>
  <c r="J133" i="1"/>
  <c r="J151" i="1"/>
  <c r="J147" i="1"/>
  <c r="J195" i="1"/>
  <c r="J187" i="1"/>
  <c r="J205" i="1"/>
  <c r="J211" i="1"/>
  <c r="J207" i="1"/>
  <c r="J221" i="1"/>
  <c r="J7" i="6"/>
  <c r="K7" i="6" s="1"/>
  <c r="N7" i="6" s="1"/>
  <c r="J71" i="6"/>
  <c r="K71" i="6" s="1"/>
  <c r="N71" i="6" s="1"/>
  <c r="J779" i="6"/>
  <c r="J875" i="6"/>
  <c r="J224" i="1"/>
  <c r="J235" i="1"/>
  <c r="J228" i="1"/>
  <c r="J233" i="1"/>
  <c r="J229" i="1"/>
  <c r="J234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J237" i="6"/>
  <c r="J268" i="6"/>
  <c r="J140" i="6"/>
  <c r="J375" i="6"/>
  <c r="J389" i="6"/>
  <c r="J123" i="6"/>
  <c r="J218" i="6"/>
  <c r="J449" i="6"/>
  <c r="J597" i="6"/>
  <c r="J837" i="6"/>
  <c r="J695" i="6"/>
  <c r="J1261" i="6"/>
  <c r="J172" i="1"/>
  <c r="J164" i="1"/>
  <c r="J160" i="1"/>
  <c r="H167" i="1"/>
  <c r="J167" i="1" s="1"/>
  <c r="H163" i="1"/>
  <c r="J163" i="1" s="1"/>
  <c r="H177" i="1"/>
  <c r="J177" i="1" s="1"/>
  <c r="J173" i="1"/>
  <c r="J1310" i="6"/>
  <c r="J1312" i="6"/>
  <c r="J1289" i="6"/>
  <c r="J1214" i="6"/>
  <c r="J1150" i="6"/>
  <c r="J1298" i="6"/>
  <c r="J1223" i="6"/>
  <c r="J1159" i="6"/>
  <c r="J1273" i="6"/>
  <c r="J1216" i="6"/>
  <c r="J1152" i="6"/>
  <c r="J1296" i="6"/>
  <c r="J1244" i="6"/>
  <c r="J1257" i="6"/>
  <c r="J1141" i="6"/>
  <c r="J1068" i="6"/>
  <c r="J1293" i="6"/>
  <c r="J1178" i="6"/>
  <c r="J1077" i="6"/>
  <c r="J1013" i="6"/>
  <c r="J949" i="6"/>
  <c r="J1309" i="6"/>
  <c r="J1195" i="6"/>
  <c r="J1106" i="6"/>
  <c r="J1046" i="6"/>
  <c r="J982" i="6"/>
  <c r="J918" i="6"/>
  <c r="J1219" i="6"/>
  <c r="J1303" i="6"/>
  <c r="J1179" i="6"/>
  <c r="J1088" i="6"/>
  <c r="J1024" i="6"/>
  <c r="J960" i="6"/>
  <c r="J896" i="6"/>
  <c r="J1292" i="6"/>
  <c r="J1001" i="6"/>
  <c r="J907" i="6"/>
  <c r="J839" i="6"/>
  <c r="J775" i="6"/>
  <c r="J711" i="6"/>
  <c r="J1081" i="6"/>
  <c r="J971" i="6"/>
  <c r="J856" i="6"/>
  <c r="J792" i="6"/>
  <c r="J728" i="6"/>
  <c r="J1229" i="6"/>
  <c r="J1071" i="6"/>
  <c r="J995" i="6"/>
  <c r="J895" i="6"/>
  <c r="J833" i="6"/>
  <c r="J769" i="6"/>
  <c r="J705" i="6"/>
  <c r="J1146" i="6"/>
  <c r="J1163" i="6"/>
  <c r="J970" i="6"/>
  <c r="J877" i="6"/>
  <c r="J813" i="6"/>
  <c r="J749" i="6"/>
  <c r="J1067" i="6"/>
  <c r="J884" i="6"/>
  <c r="J756" i="6"/>
  <c r="J667" i="6"/>
  <c r="J603" i="6"/>
  <c r="J539" i="6"/>
  <c r="J1043" i="6"/>
  <c r="J812" i="6"/>
  <c r="J682" i="6"/>
  <c r="J620" i="6"/>
  <c r="J556" i="6"/>
  <c r="J492" i="6"/>
  <c r="J945" i="6"/>
  <c r="J782" i="6"/>
  <c r="J669" i="6"/>
  <c r="J605" i="6"/>
  <c r="J541" i="6"/>
  <c r="J1018" i="6"/>
  <c r="J838" i="6"/>
  <c r="J1050" i="6"/>
  <c r="J1302" i="6"/>
  <c r="J1307" i="6"/>
  <c r="J1254" i="6"/>
  <c r="J1182" i="6"/>
  <c r="J1110" i="6"/>
  <c r="J1239" i="6"/>
  <c r="J1167" i="6"/>
  <c r="J1268" i="6"/>
  <c r="J1200" i="6"/>
  <c r="J1128" i="6"/>
  <c r="J1271" i="6"/>
  <c r="J1204" i="6"/>
  <c r="J1154" i="6"/>
  <c r="J1076" i="6"/>
  <c r="J1277" i="6"/>
  <c r="J1165" i="6"/>
  <c r="J1053" i="6"/>
  <c r="J981" i="6"/>
  <c r="J909" i="6"/>
  <c r="J1227" i="6"/>
  <c r="J1113" i="6"/>
  <c r="J1038" i="6"/>
  <c r="J966" i="6"/>
  <c r="J894" i="6"/>
  <c r="J1155" i="6"/>
  <c r="J1211" i="6"/>
  <c r="J1117" i="6"/>
  <c r="J1032" i="6"/>
  <c r="J952" i="6"/>
  <c r="J1301" i="6"/>
  <c r="J1164" i="6"/>
  <c r="J947" i="6"/>
  <c r="J863" i="6"/>
  <c r="J791" i="6"/>
  <c r="J719" i="6"/>
  <c r="J1073" i="6"/>
  <c r="J948" i="6"/>
  <c r="J832" i="6"/>
  <c r="J760" i="6"/>
  <c r="J688" i="6"/>
  <c r="J1101" i="6"/>
  <c r="J999" i="6"/>
  <c r="J891" i="6"/>
  <c r="J817" i="6"/>
  <c r="J745" i="6"/>
  <c r="J1114" i="6"/>
  <c r="J1226" i="6"/>
  <c r="J1009" i="6"/>
  <c r="J885" i="6"/>
  <c r="J805" i="6"/>
  <c r="J733" i="6"/>
  <c r="J969" i="6"/>
  <c r="J820" i="6"/>
  <c r="J692" i="6"/>
  <c r="J619" i="6"/>
  <c r="J547" i="6"/>
  <c r="J1017" i="6"/>
  <c r="J790" i="6"/>
  <c r="J660" i="6"/>
  <c r="J588" i="6"/>
  <c r="J516" i="6"/>
  <c r="J986" i="6"/>
  <c r="J787" i="6"/>
  <c r="J661" i="6"/>
  <c r="J589" i="6"/>
  <c r="J517" i="6"/>
  <c r="J905" i="6"/>
  <c r="J1074" i="6"/>
  <c r="J964" i="6"/>
  <c r="J1003" i="6"/>
  <c r="J962" i="6"/>
  <c r="J819" i="6"/>
  <c r="J702" i="6"/>
  <c r="J625" i="6"/>
  <c r="J561" i="6"/>
  <c r="J497" i="6"/>
  <c r="J664" i="6"/>
  <c r="J543" i="6"/>
  <c r="J473" i="6"/>
  <c r="J409" i="6"/>
  <c r="J345" i="6"/>
  <c r="J281" i="6"/>
  <c r="J217" i="6"/>
  <c r="J153" i="6"/>
  <c r="J1270" i="6"/>
  <c r="J1305" i="6"/>
  <c r="J1222" i="6"/>
  <c r="J1142" i="6"/>
  <c r="J1282" i="6"/>
  <c r="J1199" i="6"/>
  <c r="J1127" i="6"/>
  <c r="J1240" i="6"/>
  <c r="J1168" i="6"/>
  <c r="J1304" i="6"/>
  <c r="J1236" i="6"/>
  <c r="J1218" i="6"/>
  <c r="J1115" i="6"/>
  <c r="J1036" i="6"/>
  <c r="J1210" i="6"/>
  <c r="J1093" i="6"/>
  <c r="J1021" i="6"/>
  <c r="J941" i="6"/>
  <c r="J1284" i="6"/>
  <c r="J1145" i="6"/>
  <c r="J1078" i="6"/>
  <c r="J1006" i="6"/>
  <c r="J934" i="6"/>
  <c r="J1233" i="6"/>
  <c r="J1287" i="6"/>
  <c r="J1156" i="6"/>
  <c r="J1064" i="6"/>
  <c r="J992" i="6"/>
  <c r="J920" i="6"/>
  <c r="J1237" i="6"/>
  <c r="J1010" i="6"/>
  <c r="J897" i="6"/>
  <c r="J823" i="6"/>
  <c r="J751" i="6"/>
  <c r="J1137" i="6"/>
  <c r="J1027" i="6"/>
  <c r="J872" i="6"/>
  <c r="J800" i="6"/>
  <c r="J720" i="6"/>
  <c r="J1217" i="6"/>
  <c r="J1047" i="6"/>
  <c r="J935" i="6"/>
  <c r="J857" i="6"/>
  <c r="J785" i="6"/>
  <c r="J713" i="6"/>
  <c r="J1130" i="6"/>
  <c r="J1098" i="6"/>
  <c r="J953" i="6"/>
  <c r="J845" i="6"/>
  <c r="J773" i="6"/>
  <c r="J1091" i="6"/>
  <c r="J890" i="6"/>
  <c r="J739" i="6"/>
  <c r="J651" i="6"/>
  <c r="J579" i="6"/>
  <c r="J507" i="6"/>
  <c r="J859" i="6"/>
  <c r="J726" i="6"/>
  <c r="J628" i="6"/>
  <c r="J548" i="6"/>
  <c r="J1108" i="6"/>
  <c r="J851" i="6"/>
  <c r="J718" i="6"/>
  <c r="J629" i="6"/>
  <c r="J557" i="6"/>
  <c r="J1033" i="6"/>
  <c r="J818" i="6"/>
  <c r="J996" i="6"/>
  <c r="J852" i="6"/>
  <c r="J922" i="6"/>
  <c r="J883" i="6"/>
  <c r="J755" i="6"/>
  <c r="J657" i="6"/>
  <c r="J593" i="6"/>
  <c r="J529" i="6"/>
  <c r="J766" i="6"/>
  <c r="J632" i="6"/>
  <c r="J502" i="6"/>
  <c r="J441" i="6"/>
  <c r="J377" i="6"/>
  <c r="J313" i="6"/>
  <c r="J249" i="6"/>
  <c r="J185" i="6"/>
  <c r="J121" i="6"/>
  <c r="J57" i="6"/>
  <c r="J811" i="6"/>
  <c r="J584" i="6"/>
  <c r="J1286" i="6"/>
  <c r="J1297" i="6"/>
  <c r="J1190" i="6"/>
  <c r="J1306" i="6"/>
  <c r="J1191" i="6"/>
  <c r="J1103" i="6"/>
  <c r="J1184" i="6"/>
  <c r="J1288" i="6"/>
  <c r="J1212" i="6"/>
  <c r="J1131" i="6"/>
  <c r="J1028" i="6"/>
  <c r="J1171" i="6"/>
  <c r="J1037" i="6"/>
  <c r="J933" i="6"/>
  <c r="J1241" i="6"/>
  <c r="J1094" i="6"/>
  <c r="J998" i="6"/>
  <c r="J902" i="6"/>
  <c r="J1100" i="6"/>
  <c r="J1139" i="6"/>
  <c r="J1040" i="6"/>
  <c r="J936" i="6"/>
  <c r="J1308" i="6"/>
  <c r="J951" i="6"/>
  <c r="J847" i="6"/>
  <c r="J743" i="6"/>
  <c r="J1087" i="6"/>
  <c r="J908" i="6"/>
  <c r="J784" i="6"/>
  <c r="J696" i="6"/>
  <c r="J1063" i="6"/>
  <c r="J931" i="6"/>
  <c r="J825" i="6"/>
  <c r="J729" i="6"/>
  <c r="J1234" i="6"/>
  <c r="J1015" i="6"/>
  <c r="J861" i="6"/>
  <c r="J765" i="6"/>
  <c r="J1051" i="6"/>
  <c r="J798" i="6"/>
  <c r="J643" i="6"/>
  <c r="J555" i="6"/>
  <c r="J899" i="6"/>
  <c r="J706" i="6"/>
  <c r="J596" i="6"/>
  <c r="J500" i="6"/>
  <c r="J846" i="6"/>
  <c r="J677" i="6"/>
  <c r="J573" i="6"/>
  <c r="J1007" i="6"/>
  <c r="J1090" i="6"/>
  <c r="J903" i="6"/>
  <c r="J1042" i="6"/>
  <c r="J836" i="6"/>
  <c r="J673" i="6"/>
  <c r="J585" i="6"/>
  <c r="J505" i="6"/>
  <c r="J648" i="6"/>
  <c r="J494" i="6"/>
  <c r="J417" i="6"/>
  <c r="J329" i="6"/>
  <c r="J241" i="6"/>
  <c r="J161" i="6"/>
  <c r="J81" i="6"/>
  <c r="J983" i="6"/>
  <c r="J592" i="6"/>
  <c r="J450" i="6"/>
  <c r="J386" i="6"/>
  <c r="J322" i="6"/>
  <c r="J258" i="6"/>
  <c r="J194" i="6"/>
  <c r="J130" i="6"/>
  <c r="J66" i="6"/>
  <c r="J930" i="6"/>
  <c r="J654" i="6"/>
  <c r="J560" i="6"/>
  <c r="J467" i="6"/>
  <c r="J403" i="6"/>
  <c r="J339" i="6"/>
  <c r="J275" i="6"/>
  <c r="J211" i="6"/>
  <c r="J147" i="6"/>
  <c r="J83" i="6"/>
  <c r="J19" i="6"/>
  <c r="J691" i="6"/>
  <c r="J519" i="6"/>
  <c r="J476" i="6"/>
  <c r="J412" i="6"/>
  <c r="J348" i="6"/>
  <c r="J780" i="6"/>
  <c r="J566" i="6"/>
  <c r="J461" i="6"/>
  <c r="J397" i="6"/>
  <c r="J333" i="6"/>
  <c r="J647" i="6"/>
  <c r="J615" i="6"/>
  <c r="J470" i="6"/>
  <c r="J406" i="6"/>
  <c r="J342" i="6"/>
  <c r="J763" i="6"/>
  <c r="J583" i="6"/>
  <c r="J487" i="6"/>
  <c r="J423" i="6"/>
  <c r="J359" i="6"/>
  <c r="J295" i="6"/>
  <c r="J231" i="6"/>
  <c r="J167" i="6"/>
  <c r="J103" i="6"/>
  <c r="J39" i="6"/>
  <c r="J526" i="6"/>
  <c r="J213" i="6"/>
  <c r="J172" i="6"/>
  <c r="J126" i="6"/>
  <c r="J85" i="6"/>
  <c r="J44" i="6"/>
  <c r="J294" i="6"/>
  <c r="J480" i="6"/>
  <c r="J200" i="6"/>
  <c r="J72" i="6"/>
  <c r="J408" i="6"/>
  <c r="J260" i="6"/>
  <c r="J236" i="6"/>
  <c r="J189" i="6"/>
  <c r="J148" i="6"/>
  <c r="J464" i="6"/>
  <c r="J293" i="6"/>
  <c r="J261" i="6"/>
  <c r="J160" i="6"/>
  <c r="J32" i="6"/>
  <c r="J20" i="6"/>
  <c r="J102" i="6"/>
  <c r="J11" i="6"/>
  <c r="J45" i="6"/>
  <c r="J1278" i="6"/>
  <c r="J1272" i="6"/>
  <c r="J1158" i="6"/>
  <c r="J1247" i="6"/>
  <c r="J1135" i="6"/>
  <c r="J1208" i="6"/>
  <c r="J1104" i="6"/>
  <c r="J1295" i="6"/>
  <c r="J1109" i="6"/>
  <c r="J1274" i="6"/>
  <c r="J1085" i="6"/>
  <c r="J973" i="6"/>
  <c r="J1269" i="6"/>
  <c r="J1099" i="6"/>
  <c r="J990" i="6"/>
  <c r="J1258" i="6"/>
  <c r="J1245" i="6"/>
  <c r="J1080" i="6"/>
  <c r="J976" i="6"/>
  <c r="J1275" i="6"/>
  <c r="J954" i="6"/>
  <c r="J831" i="6"/>
  <c r="J727" i="6"/>
  <c r="J1049" i="6"/>
  <c r="J840" i="6"/>
  <c r="J736" i="6"/>
  <c r="J1177" i="6"/>
  <c r="J938" i="6"/>
  <c r="J809" i="6"/>
  <c r="J697" i="6"/>
  <c r="J1180" i="6"/>
  <c r="J940" i="6"/>
  <c r="J797" i="6"/>
  <c r="J1075" i="6"/>
  <c r="J803" i="6"/>
  <c r="J635" i="6"/>
  <c r="J523" i="6"/>
  <c r="J834" i="6"/>
  <c r="J644" i="6"/>
  <c r="J532" i="6"/>
  <c r="J919" i="6"/>
  <c r="J693" i="6"/>
  <c r="J565" i="6"/>
  <c r="J943" i="6"/>
  <c r="J1031" i="6"/>
  <c r="J810" i="6"/>
  <c r="J889" i="6"/>
  <c r="J708" i="6"/>
  <c r="J601" i="6"/>
  <c r="J1025" i="6"/>
  <c r="J624" i="6"/>
  <c r="J465" i="6"/>
  <c r="J369" i="6"/>
  <c r="J273" i="6"/>
  <c r="J177" i="6"/>
  <c r="J89" i="6"/>
  <c r="J886" i="6"/>
  <c r="J535" i="6"/>
  <c r="J426" i="6"/>
  <c r="J354" i="6"/>
  <c r="J282" i="6"/>
  <c r="J210" i="6"/>
  <c r="J138" i="6"/>
  <c r="J58" i="6"/>
  <c r="J788" i="6"/>
  <c r="J630" i="6"/>
  <c r="J522" i="6"/>
  <c r="J427" i="6"/>
  <c r="J355" i="6"/>
  <c r="J283" i="6"/>
  <c r="J203" i="6"/>
  <c r="J131" i="6"/>
  <c r="J59" i="6"/>
  <c r="J786" i="6"/>
  <c r="J582" i="6"/>
  <c r="J495" i="6"/>
  <c r="J420" i="6"/>
  <c r="J340" i="6"/>
  <c r="J754" i="6"/>
  <c r="J528" i="6"/>
  <c r="J429" i="6"/>
  <c r="J357" i="6"/>
  <c r="J655" i="6"/>
  <c r="J618" i="6"/>
  <c r="J462" i="6"/>
  <c r="J1294" i="6"/>
  <c r="J1246" i="6"/>
  <c r="J1126" i="6"/>
  <c r="J1207" i="6"/>
  <c r="J1256" i="6"/>
  <c r="J1136" i="6"/>
  <c r="J1228" i="6"/>
  <c r="J1125" i="6"/>
  <c r="J1249" i="6"/>
  <c r="J1061" i="6"/>
  <c r="J925" i="6"/>
  <c r="J1172" i="6"/>
  <c r="J1030" i="6"/>
  <c r="J910" i="6"/>
  <c r="J1250" i="6"/>
  <c r="J1072" i="6"/>
  <c r="J944" i="6"/>
  <c r="J1194" i="6"/>
  <c r="J887" i="6"/>
  <c r="J767" i="6"/>
  <c r="J1065" i="6"/>
  <c r="J848" i="6"/>
  <c r="J712" i="6"/>
  <c r="J1055" i="6"/>
  <c r="J881" i="6"/>
  <c r="J761" i="6"/>
  <c r="J1197" i="6"/>
  <c r="J967" i="6"/>
  <c r="J821" i="6"/>
  <c r="J1059" i="6"/>
  <c r="J734" i="6"/>
  <c r="J595" i="6"/>
  <c r="J1153" i="6"/>
  <c r="J676" i="6"/>
  <c r="J564" i="6"/>
  <c r="J959" i="6"/>
  <c r="J653" i="6"/>
  <c r="J533" i="6"/>
  <c r="J843" i="6"/>
  <c r="J955" i="6"/>
  <c r="J980" i="6"/>
  <c r="J750" i="6"/>
  <c r="J609" i="6"/>
  <c r="J1023" i="6"/>
  <c r="J608" i="6"/>
  <c r="J433" i="6"/>
  <c r="J321" i="6"/>
  <c r="J209" i="6"/>
  <c r="J105" i="6"/>
  <c r="J17" i="6"/>
  <c r="J530" i="6"/>
  <c r="J410" i="6"/>
  <c r="J330" i="6"/>
  <c r="J242" i="6"/>
  <c r="J162" i="6"/>
  <c r="J82" i="6"/>
  <c r="J844" i="6"/>
  <c r="J622" i="6"/>
  <c r="J483" i="6"/>
  <c r="J395" i="6"/>
  <c r="J315" i="6"/>
  <c r="J235" i="6"/>
  <c r="J155" i="6"/>
  <c r="J67" i="6"/>
  <c r="J771" i="6"/>
  <c r="J536" i="6"/>
  <c r="J460" i="6"/>
  <c r="J380" i="6"/>
  <c r="J806" i="6"/>
  <c r="J558" i="6"/>
  <c r="J437" i="6"/>
  <c r="J349" i="6"/>
  <c r="J642" i="6"/>
  <c r="J602" i="6"/>
  <c r="J430" i="6"/>
  <c r="J358" i="6"/>
  <c r="J828" i="6"/>
  <c r="J578" i="6"/>
  <c r="J471" i="6"/>
  <c r="J399" i="6"/>
  <c r="J327" i="6"/>
  <c r="J255" i="6"/>
  <c r="J183" i="6"/>
  <c r="J111" i="6"/>
  <c r="J31" i="6"/>
  <c r="J1262" i="6"/>
  <c r="J1238" i="6"/>
  <c r="J1118" i="6"/>
  <c r="J1183" i="6"/>
  <c r="J1248" i="6"/>
  <c r="J1120" i="6"/>
  <c r="J1220" i="6"/>
  <c r="J1092" i="6"/>
  <c r="J1235" i="6"/>
  <c r="J1045" i="6"/>
  <c r="J917" i="6"/>
  <c r="J1132" i="6"/>
  <c r="J1022" i="6"/>
  <c r="J1264" i="6"/>
  <c r="J1225" i="6"/>
  <c r="J1056" i="6"/>
  <c r="J928" i="6"/>
  <c r="J1121" i="6"/>
  <c r="J879" i="6"/>
  <c r="J759" i="6"/>
  <c r="J1057" i="6"/>
  <c r="J824" i="6"/>
  <c r="J704" i="6"/>
  <c r="J1041" i="6"/>
  <c r="J873" i="6"/>
  <c r="J753" i="6"/>
  <c r="J1124" i="6"/>
  <c r="J963" i="6"/>
  <c r="J789" i="6"/>
  <c r="J939" i="6"/>
  <c r="J714" i="6"/>
  <c r="J587" i="6"/>
  <c r="J916" i="6"/>
  <c r="J668" i="6"/>
  <c r="J540" i="6"/>
  <c r="J868" i="6"/>
  <c r="J645" i="6"/>
  <c r="J525" i="6"/>
  <c r="J796" i="6"/>
  <c r="J874" i="6"/>
  <c r="J927" i="6"/>
  <c r="J730" i="6"/>
  <c r="J577" i="6"/>
  <c r="J956" i="6"/>
  <c r="J538" i="6"/>
  <c r="J425" i="6"/>
  <c r="J305" i="6"/>
  <c r="J201" i="6"/>
  <c r="J97" i="6"/>
  <c r="J747" i="6"/>
  <c r="J482" i="6"/>
  <c r="J402" i="6"/>
  <c r="J314" i="6"/>
  <c r="J234" i="6"/>
  <c r="J154" i="6"/>
  <c r="J74" i="6"/>
  <c r="J732" i="6"/>
  <c r="J614" i="6"/>
  <c r="J475" i="6"/>
  <c r="J387" i="6"/>
  <c r="J307" i="6"/>
  <c r="J227" i="6"/>
  <c r="J139" i="6"/>
  <c r="J51" i="6"/>
  <c r="J758" i="6"/>
  <c r="J514" i="6"/>
  <c r="J452" i="6"/>
  <c r="J372" i="6"/>
  <c r="J802" i="6"/>
  <c r="J550" i="6"/>
  <c r="J421" i="6"/>
  <c r="J341" i="6"/>
  <c r="J639" i="6"/>
  <c r="J542" i="6"/>
  <c r="J422" i="6"/>
  <c r="J350" i="6"/>
  <c r="J746" i="6"/>
  <c r="J575" i="6"/>
  <c r="J463" i="6"/>
  <c r="J391" i="6"/>
  <c r="J319" i="6"/>
  <c r="J247" i="6"/>
  <c r="J175" i="6"/>
  <c r="J95" i="6"/>
  <c r="J23" i="6"/>
  <c r="J360" i="6"/>
  <c r="J190" i="6"/>
  <c r="J142" i="6"/>
  <c r="J94" i="6"/>
  <c r="J46" i="6"/>
  <c r="J286" i="6"/>
  <c r="J336" i="6"/>
  <c r="J152" i="6"/>
  <c r="J14" i="6"/>
  <c r="J284" i="6"/>
  <c r="J344" i="6"/>
  <c r="J196" i="6"/>
  <c r="J141" i="6"/>
  <c r="J352" i="6"/>
  <c r="J280" i="6"/>
  <c r="J224" i="6"/>
  <c r="J80" i="6"/>
  <c r="J229" i="6"/>
  <c r="J61" i="6"/>
  <c r="J54" i="6"/>
  <c r="J68" i="6"/>
  <c r="J1311" i="6"/>
  <c r="J1198" i="6"/>
  <c r="J1231" i="6"/>
  <c r="J1232" i="6"/>
  <c r="J1276" i="6"/>
  <c r="J1161" i="6"/>
  <c r="J1205" i="6"/>
  <c r="J997" i="6"/>
  <c r="J1202" i="6"/>
  <c r="J1014" i="6"/>
  <c r="J1169" i="6"/>
  <c r="J1123" i="6"/>
  <c r="J912" i="6"/>
  <c r="J988" i="6"/>
  <c r="J799" i="6"/>
  <c r="J978" i="6"/>
  <c r="J776" i="6"/>
  <c r="J1181" i="6"/>
  <c r="J865" i="6"/>
  <c r="J1203" i="6"/>
  <c r="J1026" i="6"/>
  <c r="J781" i="6"/>
  <c r="J867" i="6"/>
  <c r="J627" i="6"/>
  <c r="J876" i="6"/>
  <c r="J612" i="6"/>
  <c r="J1011" i="6"/>
  <c r="J637" i="6"/>
  <c r="J493" i="6"/>
  <c r="J979" i="6"/>
  <c r="J906" i="6"/>
  <c r="J649" i="6"/>
  <c r="J521" i="6"/>
  <c r="J518" i="6"/>
  <c r="J385" i="6"/>
  <c r="J233" i="6"/>
  <c r="J73" i="6"/>
  <c r="J681" i="6"/>
  <c r="J434" i="6"/>
  <c r="J306" i="6"/>
  <c r="J202" i="6"/>
  <c r="J98" i="6"/>
  <c r="J724" i="6"/>
  <c r="J552" i="6"/>
  <c r="J419" i="6"/>
  <c r="J299" i="6"/>
  <c r="J187" i="6"/>
  <c r="J91" i="6"/>
  <c r="J722" i="6"/>
  <c r="J503" i="6"/>
  <c r="J396" i="6"/>
  <c r="J774" i="6"/>
  <c r="J477" i="6"/>
  <c r="J373" i="6"/>
  <c r="J634" i="6"/>
  <c r="J478" i="6"/>
  <c r="J374" i="6"/>
  <c r="J710" i="6"/>
  <c r="J512" i="6"/>
  <c r="J415" i="6"/>
  <c r="J311" i="6"/>
  <c r="J215" i="6"/>
  <c r="J127" i="6"/>
  <c r="J822" i="6"/>
  <c r="J312" i="6"/>
  <c r="J174" i="6"/>
  <c r="J117" i="6"/>
  <c r="J62" i="6"/>
  <c r="J368" i="6"/>
  <c r="J448" i="6"/>
  <c r="J136" i="6"/>
  <c r="J8" i="6"/>
  <c r="J252" i="6"/>
  <c r="J214" i="6"/>
  <c r="J164" i="6"/>
  <c r="J559" i="6"/>
  <c r="J285" i="6"/>
  <c r="J208" i="6"/>
  <c r="J48" i="6"/>
  <c r="J116" i="6"/>
  <c r="J70" i="6"/>
  <c r="J13" i="6"/>
  <c r="J1313" i="6"/>
  <c r="J1174" i="6"/>
  <c r="J1215" i="6"/>
  <c r="J1224" i="6"/>
  <c r="J1265" i="6"/>
  <c r="J1147" i="6"/>
  <c r="J1185" i="6"/>
  <c r="J989" i="6"/>
  <c r="J1189" i="6"/>
  <c r="J974" i="6"/>
  <c r="J1162" i="6"/>
  <c r="J1096" i="6"/>
  <c r="J904" i="6"/>
  <c r="J937" i="6"/>
  <c r="J783" i="6"/>
  <c r="J975" i="6"/>
  <c r="J768" i="6"/>
  <c r="J1079" i="6"/>
  <c r="J849" i="6"/>
  <c r="J1201" i="6"/>
  <c r="J1004" i="6"/>
  <c r="J757" i="6"/>
  <c r="J862" i="6"/>
  <c r="J611" i="6"/>
  <c r="J854" i="6"/>
  <c r="J604" i="6"/>
  <c r="J993" i="6"/>
  <c r="J621" i="6"/>
  <c r="J991" i="6"/>
  <c r="J977" i="6"/>
  <c r="J878" i="6"/>
  <c r="J641" i="6"/>
  <c r="J513" i="6"/>
  <c r="J510" i="6"/>
  <c r="J361" i="6"/>
  <c r="J225" i="6"/>
  <c r="J65" i="6"/>
  <c r="J670" i="6"/>
  <c r="J418" i="6"/>
  <c r="J298" i="6"/>
  <c r="J186" i="6"/>
  <c r="J90" i="6"/>
  <c r="J715" i="6"/>
  <c r="J544" i="6"/>
  <c r="J411" i="6"/>
  <c r="J291" i="6"/>
  <c r="J179" i="6"/>
  <c r="J75" i="6"/>
  <c r="J679" i="6"/>
  <c r="J498" i="6"/>
  <c r="J388" i="6"/>
  <c r="J698" i="6"/>
  <c r="J469" i="6"/>
  <c r="J365" i="6"/>
  <c r="J631" i="6"/>
  <c r="J454" i="6"/>
  <c r="J366" i="6"/>
  <c r="J694" i="6"/>
  <c r="J504" i="6"/>
  <c r="J407" i="6"/>
  <c r="J303" i="6"/>
  <c r="J207" i="6"/>
  <c r="J119" i="6"/>
  <c r="J701" i="6"/>
  <c r="J222" i="6"/>
  <c r="J165" i="6"/>
  <c r="J110" i="6"/>
  <c r="J60" i="6"/>
  <c r="J302" i="6"/>
  <c r="J317" i="6"/>
  <c r="J120" i="6"/>
  <c r="J6" i="6"/>
  <c r="J562" i="6"/>
  <c r="J212" i="6"/>
  <c r="J157" i="6"/>
  <c r="J432" i="6"/>
  <c r="J277" i="6"/>
  <c r="J192" i="6"/>
  <c r="J392" i="6"/>
  <c r="J10" i="6"/>
  <c r="J100" i="6"/>
  <c r="J38" i="6"/>
  <c r="J1299" i="6"/>
  <c r="J1166" i="6"/>
  <c r="J1175" i="6"/>
  <c r="J1192" i="6"/>
  <c r="J1260" i="6"/>
  <c r="J1084" i="6"/>
  <c r="J1148" i="6"/>
  <c r="J965" i="6"/>
  <c r="J1129" i="6"/>
  <c r="J958" i="6"/>
  <c r="J1149" i="6"/>
  <c r="J1048" i="6"/>
  <c r="J888" i="6"/>
  <c r="J924" i="6"/>
  <c r="J735" i="6"/>
  <c r="J961" i="6"/>
  <c r="J752" i="6"/>
  <c r="J1019" i="6"/>
  <c r="J841" i="6"/>
  <c r="J1097" i="6"/>
  <c r="J913" i="6"/>
  <c r="J741" i="6"/>
  <c r="J842" i="6"/>
  <c r="J571" i="6"/>
  <c r="J795" i="6"/>
  <c r="J580" i="6"/>
  <c r="J826" i="6"/>
  <c r="J613" i="6"/>
  <c r="J882" i="6"/>
  <c r="J835" i="6"/>
  <c r="J858" i="6"/>
  <c r="J633" i="6"/>
  <c r="J764" i="6"/>
  <c r="J488" i="6"/>
  <c r="J353" i="6"/>
  <c r="J193" i="6"/>
  <c r="J49" i="6"/>
  <c r="J600" i="6"/>
  <c r="J394" i="6"/>
  <c r="J290" i="6"/>
  <c r="J178" i="6"/>
  <c r="J50" i="6"/>
  <c r="J686" i="6"/>
  <c r="J527" i="6"/>
  <c r="J379" i="6"/>
  <c r="J267" i="6"/>
  <c r="J171" i="6"/>
  <c r="J43" i="6"/>
  <c r="J674" i="6"/>
  <c r="J484" i="6"/>
  <c r="J364" i="6"/>
  <c r="J689" i="6"/>
  <c r="J453" i="6"/>
  <c r="J325" i="6"/>
  <c r="J626" i="6"/>
  <c r="J446" i="6"/>
  <c r="J334" i="6"/>
  <c r="J599" i="6"/>
  <c r="J496" i="6"/>
  <c r="J383" i="6"/>
  <c r="J287" i="6"/>
  <c r="J199" i="6"/>
  <c r="J87" i="6"/>
  <c r="J672" i="6"/>
  <c r="J220" i="6"/>
  <c r="J158" i="6"/>
  <c r="J108" i="6"/>
  <c r="J53" i="6"/>
  <c r="J278" i="6"/>
  <c r="J246" i="6"/>
  <c r="J104" i="6"/>
  <c r="J376" i="6"/>
  <c r="J551" i="6"/>
  <c r="J205" i="6"/>
  <c r="J150" i="6"/>
  <c r="J320" i="6"/>
  <c r="J272" i="6"/>
  <c r="J176" i="6"/>
  <c r="J245" i="6"/>
  <c r="J12" i="6"/>
  <c r="J2" i="6"/>
  <c r="J52" i="6"/>
  <c r="J1291" i="6"/>
  <c r="J1267" i="6"/>
  <c r="J1160" i="6"/>
  <c r="J1188" i="6"/>
  <c r="J1069" i="6"/>
  <c r="J1116" i="6"/>
  <c r="J1253" i="6"/>
  <c r="J1008" i="6"/>
  <c r="J1035" i="6"/>
  <c r="J1187" i="6"/>
  <c r="J744" i="6"/>
  <c r="J921" i="6"/>
  <c r="J1251" i="6"/>
  <c r="J829" i="6"/>
  <c r="J687" i="6"/>
  <c r="J770" i="6"/>
  <c r="J1157" i="6"/>
  <c r="J581" i="6"/>
  <c r="J994" i="6"/>
  <c r="J772" i="6"/>
  <c r="J690" i="6"/>
  <c r="J401" i="6"/>
  <c r="J145" i="6"/>
  <c r="J683" i="6"/>
  <c r="J362" i="6"/>
  <c r="J170" i="6"/>
  <c r="J18" i="6"/>
  <c r="J459" i="6"/>
  <c r="J323" i="6"/>
  <c r="J115" i="6"/>
  <c r="J598" i="6"/>
  <c r="J428" i="6"/>
  <c r="J671" i="6"/>
  <c r="J381" i="6"/>
  <c r="J607" i="6"/>
  <c r="J326" i="6"/>
  <c r="J570" i="6"/>
  <c r="J367" i="6"/>
  <c r="J223" i="6"/>
  <c r="J63" i="6"/>
  <c r="J206" i="6"/>
  <c r="J133" i="6"/>
  <c r="J30" i="6"/>
  <c r="J554" i="6"/>
  <c r="J40" i="6"/>
  <c r="J456" i="6"/>
  <c r="J173" i="6"/>
  <c r="J304" i="6"/>
  <c r="J248" i="6"/>
  <c r="J232" i="6"/>
  <c r="J5" i="6"/>
  <c r="J36" i="6"/>
  <c r="J1283" i="6"/>
  <c r="J1255" i="6"/>
  <c r="J1144" i="6"/>
  <c r="J1060" i="6"/>
  <c r="J1029" i="6"/>
  <c r="J1086" i="6"/>
  <c r="J1196" i="6"/>
  <c r="J1000" i="6"/>
  <c r="J911" i="6"/>
  <c r="J1107" i="6"/>
  <c r="J680" i="6"/>
  <c r="J898" i="6"/>
  <c r="J1170" i="6"/>
  <c r="J725" i="6"/>
  <c r="J675" i="6"/>
  <c r="J748" i="6"/>
  <c r="J1039" i="6"/>
  <c r="J549" i="6"/>
  <c r="J830" i="6"/>
  <c r="J685" i="6"/>
  <c r="J678" i="6"/>
  <c r="J393" i="6"/>
  <c r="J137" i="6"/>
  <c r="J576" i="6"/>
  <c r="J346" i="6"/>
  <c r="J146" i="6"/>
  <c r="J932" i="6"/>
  <c r="J451" i="6"/>
  <c r="J259" i="6"/>
  <c r="J107" i="6"/>
  <c r="J590" i="6"/>
  <c r="J404" i="6"/>
  <c r="J666" i="6"/>
  <c r="J716" i="6"/>
  <c r="J520" i="6"/>
  <c r="J318" i="6"/>
  <c r="J534" i="6"/>
  <c r="J351" i="6"/>
  <c r="J191" i="6"/>
  <c r="J55" i="6"/>
  <c r="J204" i="6"/>
  <c r="J124" i="6"/>
  <c r="J28" i="6"/>
  <c r="J238" i="6"/>
  <c r="J24" i="6"/>
  <c r="J416" i="6"/>
  <c r="J166" i="6"/>
  <c r="J301" i="6"/>
  <c r="J144" i="6"/>
  <c r="J3" i="6"/>
  <c r="J84" i="6"/>
  <c r="J1281" i="6"/>
  <c r="J1151" i="6"/>
  <c r="J1112" i="6"/>
  <c r="J1052" i="6"/>
  <c r="J1005" i="6"/>
  <c r="J1070" i="6"/>
  <c r="J1095" i="6"/>
  <c r="J984" i="6"/>
  <c r="J871" i="6"/>
  <c r="J1105" i="6"/>
  <c r="J1266" i="6"/>
  <c r="J801" i="6"/>
  <c r="J1140" i="6"/>
  <c r="J717" i="6"/>
  <c r="J659" i="6"/>
  <c r="J731" i="6"/>
  <c r="J804" i="6"/>
  <c r="J509" i="6"/>
  <c r="J987" i="6"/>
  <c r="J665" i="6"/>
  <c r="J656" i="6"/>
  <c r="J337" i="6"/>
  <c r="J129" i="6"/>
  <c r="J474" i="6"/>
  <c r="J338" i="6"/>
  <c r="J122" i="6"/>
  <c r="J662" i="6"/>
  <c r="J443" i="6"/>
  <c r="J251" i="6"/>
  <c r="J99" i="6"/>
  <c r="J574" i="6"/>
  <c r="J356" i="6"/>
  <c r="J490" i="6"/>
  <c r="J707" i="6"/>
  <c r="J486" i="6"/>
  <c r="J310" i="6"/>
  <c r="J479" i="6"/>
  <c r="J343" i="6"/>
  <c r="J159" i="6"/>
  <c r="J47" i="6"/>
  <c r="J197" i="6"/>
  <c r="J101" i="6"/>
  <c r="J21" i="6"/>
  <c r="J230" i="6"/>
  <c r="J9" i="6"/>
  <c r="J244" i="6"/>
  <c r="J134" i="6"/>
  <c r="J296" i="6"/>
  <c r="J128" i="6"/>
  <c r="J93" i="6"/>
  <c r="J118" i="6"/>
  <c r="J1102" i="6"/>
  <c r="J1263" i="6"/>
  <c r="J1243" i="6"/>
  <c r="J1138" i="6"/>
  <c r="J1300" i="6"/>
  <c r="J942" i="6"/>
  <c r="J1133" i="6"/>
  <c r="J1259" i="6"/>
  <c r="J703" i="6"/>
  <c r="J816" i="6"/>
  <c r="J985" i="6"/>
  <c r="J721" i="6"/>
  <c r="J853" i="6"/>
  <c r="J778" i="6"/>
  <c r="J499" i="6"/>
  <c r="J524" i="6"/>
  <c r="J700" i="6"/>
  <c r="J1066" i="6"/>
  <c r="J814" i="6"/>
  <c r="J545" i="6"/>
  <c r="J457" i="6"/>
  <c r="J257" i="6"/>
  <c r="J25" i="6"/>
  <c r="J378" i="6"/>
  <c r="J226" i="6"/>
  <c r="J34" i="6"/>
  <c r="J568" i="6"/>
  <c r="J347" i="6"/>
  <c r="J163" i="6"/>
  <c r="J850" i="6"/>
  <c r="J444" i="6"/>
  <c r="J915" i="6"/>
  <c r="J405" i="6"/>
  <c r="J623" i="6"/>
  <c r="J390" i="6"/>
  <c r="J591" i="6"/>
  <c r="J431" i="6"/>
  <c r="J263" i="6"/>
  <c r="J79" i="6"/>
  <c r="J440" i="6"/>
  <c r="J149" i="6"/>
  <c r="J69" i="6"/>
  <c r="J254" i="6"/>
  <c r="J88" i="6"/>
  <c r="J276" i="6"/>
  <c r="J182" i="6"/>
  <c r="J742" i="6"/>
  <c r="J256" i="6"/>
  <c r="J240" i="6"/>
  <c r="J86" i="6"/>
  <c r="J22" i="6"/>
  <c r="J1230" i="6"/>
  <c r="J1280" i="6"/>
  <c r="J957" i="6"/>
  <c r="J1193" i="6"/>
  <c r="J855" i="6"/>
  <c r="J1221" i="6"/>
  <c r="J1083" i="6"/>
  <c r="J563" i="6"/>
  <c r="J762" i="6"/>
  <c r="J946" i="6"/>
  <c r="J640" i="6"/>
  <c r="J113" i="6"/>
  <c r="J274" i="6"/>
  <c r="J646" i="6"/>
  <c r="J243" i="6"/>
  <c r="J511" i="6"/>
  <c r="J485" i="6"/>
  <c r="J438" i="6"/>
  <c r="J455" i="6"/>
  <c r="J151" i="6"/>
  <c r="J188" i="6"/>
  <c r="J400" i="6"/>
  <c r="J308" i="6"/>
  <c r="J132" i="6"/>
  <c r="J112" i="6"/>
  <c r="J125" i="6"/>
  <c r="J1206" i="6"/>
  <c r="J1252" i="6"/>
  <c r="J901" i="6"/>
  <c r="J1186" i="6"/>
  <c r="J815" i="6"/>
  <c r="J1209" i="6"/>
  <c r="J900" i="6"/>
  <c r="J531" i="6"/>
  <c r="J740" i="6"/>
  <c r="J929" i="6"/>
  <c r="J616" i="6"/>
  <c r="J41" i="6"/>
  <c r="J266" i="6"/>
  <c r="J638" i="6"/>
  <c r="J219" i="6"/>
  <c r="J506" i="6"/>
  <c r="J445" i="6"/>
  <c r="J414" i="6"/>
  <c r="J447" i="6"/>
  <c r="J143" i="6"/>
  <c r="J181" i="6"/>
  <c r="J270" i="6"/>
  <c r="J300" i="6"/>
  <c r="J424" i="6"/>
  <c r="J96" i="6"/>
  <c r="J4" i="6"/>
  <c r="J1134" i="6"/>
  <c r="J1279" i="6"/>
  <c r="J893" i="6"/>
  <c r="J1173" i="6"/>
  <c r="J807" i="6"/>
  <c r="J1002" i="6"/>
  <c r="J869" i="6"/>
  <c r="J515" i="6"/>
  <c r="J723" i="6"/>
  <c r="J1034" i="6"/>
  <c r="J481" i="6"/>
  <c r="J33" i="6"/>
  <c r="J250" i="6"/>
  <c r="J606" i="6"/>
  <c r="J195" i="6"/>
  <c r="J468" i="6"/>
  <c r="J413" i="6"/>
  <c r="J398" i="6"/>
  <c r="J439" i="6"/>
  <c r="J135" i="6"/>
  <c r="J156" i="6"/>
  <c r="J262" i="6"/>
  <c r="J292" i="6"/>
  <c r="J384" i="6"/>
  <c r="J64" i="6"/>
  <c r="J109" i="6"/>
  <c r="J1176" i="6"/>
  <c r="J1122" i="6"/>
  <c r="J926" i="6"/>
  <c r="J1089" i="6"/>
  <c r="J808" i="6"/>
  <c r="J1082" i="6"/>
  <c r="J699" i="6"/>
  <c r="J508" i="6"/>
  <c r="J1058" i="6"/>
  <c r="J537" i="6"/>
  <c r="J169" i="6"/>
  <c r="J370" i="6"/>
  <c r="J26" i="6"/>
  <c r="J331" i="6"/>
  <c r="J827" i="6"/>
  <c r="J684" i="6"/>
  <c r="J610" i="6"/>
  <c r="J586" i="6"/>
  <c r="J239" i="6"/>
  <c r="J328" i="6"/>
  <c r="J37" i="6"/>
  <c r="J56" i="6"/>
  <c r="J180" i="6"/>
  <c r="J253" i="6"/>
  <c r="J15" i="6"/>
  <c r="J77" i="6"/>
  <c r="J221" i="6"/>
  <c r="J78" i="6"/>
  <c r="J279" i="6"/>
  <c r="J658" i="6"/>
  <c r="J27" i="6"/>
  <c r="J106" i="6"/>
  <c r="J289" i="6"/>
  <c r="J860" i="6"/>
  <c r="J923" i="6"/>
  <c r="J880" i="6"/>
  <c r="J1054" i="6"/>
  <c r="J1119" i="6"/>
  <c r="H185" i="1"/>
  <c r="J185" i="1" s="1"/>
  <c r="H214" i="1"/>
  <c r="J214" i="1" s="1"/>
  <c r="J16" i="6"/>
  <c r="J228" i="6"/>
  <c r="J92" i="6"/>
  <c r="J335" i="6"/>
  <c r="J663" i="6"/>
  <c r="J35" i="6"/>
  <c r="J114" i="6"/>
  <c r="J297" i="6"/>
  <c r="J501" i="6"/>
  <c r="J709" i="6"/>
  <c r="J914" i="6"/>
  <c r="J1062" i="6"/>
  <c r="J1143" i="6"/>
  <c r="J3" i="1" l="1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L1200" i="4"/>
  <c r="K9" i="4"/>
  <c r="M9" i="4" s="1"/>
  <c r="L1136" i="4"/>
  <c r="L1222" i="4"/>
  <c r="K599" i="4"/>
  <c r="M599" i="4" s="1"/>
  <c r="N599" i="4" s="1"/>
  <c r="K908" i="4"/>
  <c r="M908" i="4" s="1"/>
  <c r="N908" i="4" s="1"/>
  <c r="K111" i="4"/>
  <c r="M111" i="4" s="1"/>
  <c r="K119" i="4"/>
  <c r="M119" i="4" s="1"/>
  <c r="N119" i="4" s="1"/>
  <c r="L336" i="4"/>
  <c r="K381" i="4"/>
  <c r="M381" i="4" s="1"/>
  <c r="N381" i="4" s="1"/>
  <c r="K767" i="4"/>
  <c r="M767" i="4" s="1"/>
  <c r="N767" i="4" s="1"/>
  <c r="L292" i="4"/>
  <c r="N292" i="4" s="1"/>
  <c r="L231" i="4"/>
  <c r="N231" i="4" s="1"/>
  <c r="L1192" i="4"/>
  <c r="L1240" i="4"/>
  <c r="L776" i="4"/>
  <c r="K431" i="4"/>
  <c r="M431" i="4" s="1"/>
  <c r="N431" i="4" s="1"/>
  <c r="L1106" i="4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N965" i="4" s="1"/>
  <c r="K1111" i="4"/>
  <c r="M1111" i="4" s="1"/>
  <c r="N1111" i="4" s="1"/>
  <c r="L1177" i="4"/>
  <c r="K786" i="4"/>
  <c r="M786" i="4" s="1"/>
  <c r="N786" i="4" s="1"/>
  <c r="K841" i="4"/>
  <c r="M841" i="4" s="1"/>
  <c r="N841" i="4" s="1"/>
  <c r="K1162" i="4"/>
  <c r="M1162" i="4" s="1"/>
  <c r="N1162" i="4" s="1"/>
  <c r="K824" i="4"/>
  <c r="M824" i="4" s="1"/>
  <c r="N824" i="4" s="1"/>
  <c r="K415" i="4"/>
  <c r="M415" i="4" s="1"/>
  <c r="N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K792" i="4"/>
  <c r="M792" i="4" s="1"/>
  <c r="N792" i="4" s="1"/>
  <c r="K895" i="4"/>
  <c r="M895" i="4" s="1"/>
  <c r="N895" i="4" s="1"/>
  <c r="K505" i="4"/>
  <c r="M505" i="4" s="1"/>
  <c r="N505" i="4" s="1"/>
  <c r="L1036" i="4"/>
  <c r="K516" i="4"/>
  <c r="M516" i="4" s="1"/>
  <c r="N516" i="4" s="1"/>
  <c r="K252" i="4"/>
  <c r="M252" i="4" s="1"/>
  <c r="N252" i="4" s="1"/>
  <c r="L178" i="4"/>
  <c r="N178" i="4" s="1"/>
  <c r="K457" i="4"/>
  <c r="M457" i="4" s="1"/>
  <c r="N457" i="4" s="1"/>
  <c r="L819" i="4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N329" i="4" s="1"/>
  <c r="K529" i="4"/>
  <c r="M529" i="4" s="1"/>
  <c r="N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N686" i="4" s="1"/>
  <c r="L972" i="4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K948" i="4"/>
  <c r="M948" i="4" s="1"/>
  <c r="N948" i="4" s="1"/>
  <c r="K1298" i="4"/>
  <c r="M1298" i="4" s="1"/>
  <c r="N1298" i="4" s="1"/>
  <c r="K389" i="4"/>
  <c r="M389" i="4" s="1"/>
  <c r="N389" i="4" s="1"/>
  <c r="K511" i="4"/>
  <c r="M511" i="4" s="1"/>
  <c r="N511" i="4" s="1"/>
  <c r="K572" i="4"/>
  <c r="M572" i="4" s="1"/>
  <c r="N572" i="4" s="1"/>
  <c r="L87" i="4"/>
  <c r="N87" i="4" s="1"/>
  <c r="L1209" i="4"/>
  <c r="K58" i="4"/>
  <c r="M58" i="4" s="1"/>
  <c r="N58" i="4" s="1"/>
  <c r="K1008" i="4"/>
  <c r="M1008" i="4" s="1"/>
  <c r="N1008" i="4" s="1"/>
  <c r="L989" i="4"/>
  <c r="K673" i="4"/>
  <c r="M673" i="4" s="1"/>
  <c r="N673" i="4" s="1"/>
  <c r="L703" i="4"/>
  <c r="K936" i="4"/>
  <c r="M936" i="4" s="1"/>
  <c r="N936" i="4" s="1"/>
  <c r="L38" i="4"/>
  <c r="N38" i="4" s="1"/>
  <c r="L1305" i="4"/>
  <c r="K167" i="4"/>
  <c r="M167" i="4" s="1"/>
  <c r="N167" i="4" s="1"/>
  <c r="K1095" i="4"/>
  <c r="M1095" i="4" s="1"/>
  <c r="N1095" i="4" s="1"/>
  <c r="L975" i="4"/>
  <c r="L324" i="4"/>
  <c r="L506" i="4"/>
  <c r="K260" i="4"/>
  <c r="M260" i="4" s="1"/>
  <c r="N260" i="4" s="1"/>
  <c r="K1077" i="4"/>
  <c r="M1077" i="4" s="1"/>
  <c r="N1077" i="4" s="1"/>
  <c r="L1272" i="4"/>
  <c r="K849" i="4"/>
  <c r="M849" i="4" s="1"/>
  <c r="N849" i="4" s="1"/>
  <c r="L1044" i="4"/>
  <c r="L441" i="4"/>
  <c r="L1282" i="4"/>
  <c r="K913" i="4"/>
  <c r="M913" i="4" s="1"/>
  <c r="N913" i="4" s="1"/>
  <c r="K103" i="4"/>
  <c r="M103" i="4" s="1"/>
  <c r="N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L917" i="4"/>
  <c r="L1114" i="4"/>
  <c r="K586" i="4"/>
  <c r="M586" i="4" s="1"/>
  <c r="N586" i="4" s="1"/>
  <c r="L545" i="4"/>
  <c r="K150" i="4"/>
  <c r="M150" i="4" s="1"/>
  <c r="N150" i="4" s="1"/>
  <c r="L831" i="4"/>
  <c r="K214" i="4"/>
  <c r="M214" i="4" s="1"/>
  <c r="L81" i="4"/>
  <c r="N81" i="4" s="1"/>
  <c r="K461" i="4"/>
  <c r="M461" i="4" s="1"/>
  <c r="N461" i="4" s="1"/>
  <c r="K335" i="4"/>
  <c r="M335" i="4" s="1"/>
  <c r="N335" i="4" s="1"/>
  <c r="K959" i="4"/>
  <c r="M959" i="4" s="1"/>
  <c r="N959" i="4" s="1"/>
  <c r="K255" i="4"/>
  <c r="M255" i="4" s="1"/>
  <c r="N255" i="4" s="1"/>
  <c r="L1241" i="4"/>
  <c r="K1089" i="4"/>
  <c r="M1089" i="4" s="1"/>
  <c r="N1089" i="4" s="1"/>
  <c r="K867" i="4"/>
  <c r="M867" i="4" s="1"/>
  <c r="N867" i="4" s="1"/>
  <c r="L1310" i="4"/>
  <c r="K124" i="4"/>
  <c r="M124" i="4" s="1"/>
  <c r="N124" i="4" s="1"/>
  <c r="K397" i="4"/>
  <c r="M397" i="4" s="1"/>
  <c r="N397" i="4" s="1"/>
  <c r="K1220" i="4"/>
  <c r="M1220" i="4" s="1"/>
  <c r="N1220" i="4" s="1"/>
  <c r="K1214" i="4"/>
  <c r="M1214" i="4" s="1"/>
  <c r="N1214" i="4" s="1"/>
  <c r="K191" i="4"/>
  <c r="M191" i="4" s="1"/>
  <c r="N191" i="4" s="1"/>
  <c r="K357" i="4"/>
  <c r="M357" i="4" s="1"/>
  <c r="N357" i="4" s="1"/>
  <c r="K1068" i="4"/>
  <c r="M1068" i="4" s="1"/>
  <c r="N1068" i="4" s="1"/>
  <c r="L1308" i="4"/>
  <c r="K446" i="4"/>
  <c r="M446" i="4" s="1"/>
  <c r="N446" i="4" s="1"/>
  <c r="K198" i="4"/>
  <c r="M198" i="4" s="1"/>
  <c r="N198" i="4" s="1"/>
  <c r="K485" i="4"/>
  <c r="M485" i="4" s="1"/>
  <c r="N485" i="4" s="1"/>
  <c r="L1156" i="4"/>
  <c r="L173" i="4"/>
  <c r="N173" i="4" s="1"/>
  <c r="K1066" i="4"/>
  <c r="M1066" i="4" s="1"/>
  <c r="N1066" i="4" s="1"/>
  <c r="K265" i="4"/>
  <c r="M265" i="4" s="1"/>
  <c r="N265" i="4" s="1"/>
  <c r="K854" i="4"/>
  <c r="M854" i="4" s="1"/>
  <c r="N854" i="4" s="1"/>
  <c r="L1249" i="4"/>
  <c r="L617" i="6"/>
  <c r="K273" i="4"/>
  <c r="M273" i="4" s="1"/>
  <c r="N273" i="4" s="1"/>
  <c r="L797" i="4"/>
  <c r="L141" i="4"/>
  <c r="N141" i="4" s="1"/>
  <c r="K449" i="4"/>
  <c r="M449" i="4" s="1"/>
  <c r="N449" i="4" s="1"/>
  <c r="L1191" i="4"/>
  <c r="K1151" i="4"/>
  <c r="M1151" i="4" s="1"/>
  <c r="N1151" i="4" s="1"/>
  <c r="L49" i="4"/>
  <c r="N49" i="4" s="1"/>
  <c r="K478" i="4"/>
  <c r="M478" i="4" s="1"/>
  <c r="N478" i="4" s="1"/>
  <c r="K190" i="4"/>
  <c r="M190" i="4" s="1"/>
  <c r="N190" i="4" s="1"/>
  <c r="K345" i="4"/>
  <c r="M345" i="4" s="1"/>
  <c r="N345" i="4" s="1"/>
  <c r="L18" i="4"/>
  <c r="N18" i="4" s="1"/>
  <c r="K93" i="4"/>
  <c r="M93" i="4" s="1"/>
  <c r="N93" i="4" s="1"/>
  <c r="L342" i="4"/>
  <c r="K1287" i="4"/>
  <c r="M1287" i="4" s="1"/>
  <c r="N1287" i="4" s="1"/>
  <c r="K574" i="4"/>
  <c r="M574" i="4" s="1"/>
  <c r="N574" i="4" s="1"/>
  <c r="K348" i="4"/>
  <c r="M348" i="4" s="1"/>
  <c r="N348" i="4" s="1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L874" i="4"/>
  <c r="K1208" i="4"/>
  <c r="M1208" i="4" s="1"/>
  <c r="N1208" i="4" s="1"/>
  <c r="K1009" i="4"/>
  <c r="M1009" i="4" s="1"/>
  <c r="N1009" i="4" s="1"/>
  <c r="L809" i="4"/>
  <c r="L1020" i="4"/>
  <c r="L196" i="4"/>
  <c r="N196" i="4" s="1"/>
  <c r="L583" i="4"/>
  <c r="L307" i="4"/>
  <c r="L1116" i="4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N1277" i="4" s="1"/>
  <c r="K74" i="4"/>
  <c r="M74" i="4" s="1"/>
  <c r="N74" i="4" s="1"/>
  <c r="K1094" i="4"/>
  <c r="M1094" i="4" s="1"/>
  <c r="N1094" i="4" s="1"/>
  <c r="K97" i="4"/>
  <c r="M97" i="4" s="1"/>
  <c r="N97" i="4" s="1"/>
  <c r="K1033" i="4"/>
  <c r="M1033" i="4" s="1"/>
  <c r="N1033" i="4" s="1"/>
  <c r="K212" i="4"/>
  <c r="M212" i="4" s="1"/>
  <c r="N212" i="4" s="1"/>
  <c r="L992" i="4"/>
  <c r="K374" i="4"/>
  <c r="M374" i="4" s="1"/>
  <c r="N374" i="4" s="1"/>
  <c r="K1060" i="4"/>
  <c r="M1060" i="4" s="1"/>
  <c r="N1060" i="4" s="1"/>
  <c r="L648" i="4"/>
  <c r="L266" i="4"/>
  <c r="N266" i="4" s="1"/>
  <c r="K724" i="4"/>
  <c r="M724" i="4" s="1"/>
  <c r="N724" i="4" s="1"/>
  <c r="K553" i="4"/>
  <c r="M553" i="4" s="1"/>
  <c r="N553" i="4" s="1"/>
  <c r="L1276" i="4"/>
  <c r="L369" i="4"/>
  <c r="L783" i="4"/>
  <c r="K122" i="4"/>
  <c r="M122" i="4" s="1"/>
  <c r="N122" i="4" s="1"/>
  <c r="L951" i="4"/>
  <c r="K1304" i="4"/>
  <c r="M1304" i="4" s="1"/>
  <c r="N1304" i="4" s="1"/>
  <c r="K1260" i="4"/>
  <c r="M1260" i="4" s="1"/>
  <c r="N1260" i="4" s="1"/>
  <c r="L993" i="4"/>
  <c r="K1018" i="4"/>
  <c r="M1018" i="4" s="1"/>
  <c r="N1018" i="4" s="1"/>
  <c r="K225" i="4"/>
  <c r="M225" i="4" s="1"/>
  <c r="N225" i="4" s="1"/>
  <c r="K82" i="4"/>
  <c r="M82" i="4" s="1"/>
  <c r="N82" i="4" s="1"/>
  <c r="K458" i="4"/>
  <c r="M458" i="4" s="1"/>
  <c r="N458" i="4" s="1"/>
  <c r="L909" i="4"/>
  <c r="K691" i="4"/>
  <c r="M691" i="4" s="1"/>
  <c r="N691" i="4" s="1"/>
  <c r="K633" i="4"/>
  <c r="M633" i="4" s="1"/>
  <c r="N633" i="4" s="1"/>
  <c r="L444" i="4"/>
  <c r="K535" i="4"/>
  <c r="M535" i="4" s="1"/>
  <c r="N535" i="4" s="1"/>
  <c r="L788" i="4"/>
  <c r="K598" i="4"/>
  <c r="M598" i="4" s="1"/>
  <c r="N598" i="4" s="1"/>
  <c r="L833" i="4"/>
  <c r="K578" i="4"/>
  <c r="M578" i="4" s="1"/>
  <c r="N578" i="4" s="1"/>
  <c r="L325" i="4"/>
  <c r="K503" i="4"/>
  <c r="M503" i="4" s="1"/>
  <c r="N503" i="4" s="1"/>
  <c r="K1093" i="4"/>
  <c r="M1093" i="4" s="1"/>
  <c r="N1093" i="4" s="1"/>
  <c r="K587" i="4"/>
  <c r="M587" i="4" s="1"/>
  <c r="N587" i="4" s="1"/>
  <c r="L490" i="4"/>
  <c r="L853" i="4"/>
  <c r="K171" i="4"/>
  <c r="M171" i="4" s="1"/>
  <c r="N171" i="4" s="1"/>
  <c r="K530" i="4"/>
  <c r="M530" i="4" s="1"/>
  <c r="N530" i="4" s="1"/>
  <c r="K147" i="4"/>
  <c r="M147" i="4" s="1"/>
  <c r="N147" i="4" s="1"/>
  <c r="L146" i="4"/>
  <c r="N146" i="4" s="1"/>
  <c r="K826" i="4"/>
  <c r="M826" i="4" s="1"/>
  <c r="N826" i="4" s="1"/>
  <c r="L51" i="4"/>
  <c r="N51" i="4" s="1"/>
  <c r="K362" i="4"/>
  <c r="M362" i="4" s="1"/>
  <c r="N362" i="4" s="1"/>
  <c r="K1092" i="4"/>
  <c r="M1092" i="4" s="1"/>
  <c r="N1092" i="4" s="1"/>
  <c r="K79" i="4"/>
  <c r="M79" i="4" s="1"/>
  <c r="N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K388" i="4"/>
  <c r="M388" i="4" s="1"/>
  <c r="N388" i="4" s="1"/>
  <c r="K1293" i="4"/>
  <c r="M1293" i="4" s="1"/>
  <c r="N1293" i="4" s="1"/>
  <c r="L1169" i="4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N1101" i="4" s="1"/>
  <c r="K521" i="4"/>
  <c r="M521" i="4" s="1"/>
  <c r="N521" i="4" s="1"/>
  <c r="L942" i="4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K1128" i="4"/>
  <c r="M1128" i="4" s="1"/>
  <c r="N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L1195" i="4"/>
  <c r="L1042" i="4"/>
  <c r="L986" i="4"/>
  <c r="K626" i="4"/>
  <c r="M626" i="4" s="1"/>
  <c r="N626" i="4" s="1"/>
  <c r="K203" i="4"/>
  <c r="M203" i="4" s="1"/>
  <c r="N203" i="4" s="1"/>
  <c r="L1198" i="4"/>
  <c r="L894" i="4"/>
  <c r="L1037" i="4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K244" i="4"/>
  <c r="M244" i="4" s="1"/>
  <c r="L675" i="4"/>
  <c r="L42" i="4"/>
  <c r="N42" i="4" s="1"/>
  <c r="K1145" i="4"/>
  <c r="M1145" i="4" s="1"/>
  <c r="N1145" i="4" s="1"/>
  <c r="L21" i="4"/>
  <c r="N21" i="4" s="1"/>
  <c r="K120" i="4"/>
  <c r="M120" i="4" s="1"/>
  <c r="N120" i="4" s="1"/>
  <c r="K66" i="4"/>
  <c r="M66" i="4" s="1"/>
  <c r="N66" i="4" s="1"/>
  <c r="K500" i="4"/>
  <c r="M500" i="4" s="1"/>
  <c r="N500" i="4" s="1"/>
  <c r="K1183" i="4"/>
  <c r="M1183" i="4" s="1"/>
  <c r="N1183" i="4" s="1"/>
  <c r="L136" i="4"/>
  <c r="N136" i="4" s="1"/>
  <c r="L339" i="4"/>
  <c r="L763" i="4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L149" i="4"/>
  <c r="N149" i="4" s="1"/>
  <c r="K351" i="4"/>
  <c r="M351" i="4" s="1"/>
  <c r="N351" i="4" s="1"/>
  <c r="L938" i="4"/>
  <c r="L450" i="4"/>
  <c r="L921" i="4"/>
  <c r="L1306" i="4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N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N350" i="4" s="1"/>
  <c r="L1051" i="4"/>
  <c r="L56" i="4"/>
  <c r="N56" i="4" s="1"/>
  <c r="K494" i="4"/>
  <c r="M494" i="4" s="1"/>
  <c r="N494" i="4" s="1"/>
  <c r="L323" i="4"/>
  <c r="K916" i="4"/>
  <c r="M916" i="4" s="1"/>
  <c r="N916" i="4" s="1"/>
  <c r="K709" i="4"/>
  <c r="M709" i="4" s="1"/>
  <c r="N709" i="4" s="1"/>
  <c r="L622" i="4"/>
  <c r="K810" i="4"/>
  <c r="M810" i="4" s="1"/>
  <c r="N810" i="4" s="1"/>
  <c r="K1064" i="4"/>
  <c r="M1064" i="4" s="1"/>
  <c r="N1064" i="4" s="1"/>
  <c r="K106" i="4"/>
  <c r="M106" i="4" s="1"/>
  <c r="N106" i="4" s="1"/>
  <c r="L739" i="4"/>
  <c r="K398" i="4"/>
  <c r="M398" i="4" s="1"/>
  <c r="N398" i="4" s="1"/>
  <c r="K277" i="4"/>
  <c r="M277" i="4" s="1"/>
  <c r="N277" i="4" s="1"/>
  <c r="K77" i="4"/>
  <c r="M77" i="4" s="1"/>
  <c r="N77" i="4" s="1"/>
  <c r="K228" i="4"/>
  <c r="M228" i="4" s="1"/>
  <c r="N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L1161" i="4"/>
  <c r="K865" i="4"/>
  <c r="M865" i="4" s="1"/>
  <c r="N865" i="4" s="1"/>
  <c r="L555" i="4"/>
  <c r="L638" i="4"/>
  <c r="L1163" i="4"/>
  <c r="K45" i="4"/>
  <c r="M45" i="4" s="1"/>
  <c r="N45" i="4" s="1"/>
  <c r="K489" i="4"/>
  <c r="M489" i="4" s="1"/>
  <c r="N489" i="4" s="1"/>
  <c r="K817" i="4"/>
  <c r="M817" i="4" s="1"/>
  <c r="N817" i="4" s="1"/>
  <c r="L653" i="4"/>
  <c r="K188" i="4"/>
  <c r="M188" i="4" s="1"/>
  <c r="N188" i="4" s="1"/>
  <c r="L436" i="4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N17" i="4" s="1"/>
  <c r="K33" i="4"/>
  <c r="M33" i="4" s="1"/>
  <c r="N33" i="4" s="1"/>
  <c r="L570" i="4"/>
  <c r="K1182" i="4"/>
  <c r="M1182" i="4" s="1"/>
  <c r="N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N221" i="4" s="1"/>
  <c r="L1045" i="4"/>
  <c r="K498" i="4"/>
  <c r="M498" i="4" s="1"/>
  <c r="N498" i="4" s="1"/>
  <c r="K858" i="4"/>
  <c r="M858" i="4" s="1"/>
  <c r="N858" i="4" s="1"/>
  <c r="L359" i="4"/>
  <c r="K881" i="4"/>
  <c r="M881" i="4" s="1"/>
  <c r="N881" i="4" s="1"/>
  <c r="K1237" i="4"/>
  <c r="M1237" i="4" s="1"/>
  <c r="N1237" i="4" s="1"/>
  <c r="K877" i="4"/>
  <c r="M877" i="4" s="1"/>
  <c r="N877" i="4" s="1"/>
  <c r="L422" i="4"/>
  <c r="K939" i="4"/>
  <c r="M939" i="4" s="1"/>
  <c r="N939" i="4" s="1"/>
  <c r="K1123" i="4"/>
  <c r="M1123" i="4" s="1"/>
  <c r="N1123" i="4" s="1"/>
  <c r="L317" i="4"/>
  <c r="K716" i="4"/>
  <c r="M716" i="4" s="1"/>
  <c r="N716" i="4" s="1"/>
  <c r="K636" i="4"/>
  <c r="M636" i="4" s="1"/>
  <c r="N636" i="4" s="1"/>
  <c r="L706" i="4"/>
  <c r="K246" i="4"/>
  <c r="M246" i="4" s="1"/>
  <c r="N246" i="4" s="1"/>
  <c r="L465" i="4"/>
  <c r="K679" i="4"/>
  <c r="M679" i="4" s="1"/>
  <c r="N679" i="4" s="1"/>
  <c r="K134" i="4"/>
  <c r="M134" i="4" s="1"/>
  <c r="N134" i="4" s="1"/>
  <c r="K364" i="4"/>
  <c r="M364" i="4" s="1"/>
  <c r="N364" i="4" s="1"/>
  <c r="L1299" i="4"/>
  <c r="K281" i="4"/>
  <c r="M281" i="4" s="1"/>
  <c r="K40" i="4"/>
  <c r="M40" i="4" s="1"/>
  <c r="N40" i="4" s="1"/>
  <c r="L469" i="4"/>
  <c r="K47" i="4"/>
  <c r="M47" i="4" s="1"/>
  <c r="N47" i="4" s="1"/>
  <c r="K702" i="4"/>
  <c r="M702" i="4" s="1"/>
  <c r="N702" i="4" s="1"/>
  <c r="K186" i="4"/>
  <c r="M186" i="4" s="1"/>
  <c r="N186" i="4" s="1"/>
  <c r="L240" i="4"/>
  <c r="L683" i="4"/>
  <c r="K952" i="4"/>
  <c r="M952" i="4" s="1"/>
  <c r="N952" i="4" s="1"/>
  <c r="K254" i="4"/>
  <c r="M254" i="4" s="1"/>
  <c r="N254" i="4" s="1"/>
  <c r="K114" i="4"/>
  <c r="M114" i="4" s="1"/>
  <c r="N114" i="4" s="1"/>
  <c r="K575" i="4"/>
  <c r="M575" i="4" s="1"/>
  <c r="N575" i="4" s="1"/>
  <c r="L661" i="4"/>
  <c r="K334" i="4"/>
  <c r="M334" i="4" s="1"/>
  <c r="N334" i="4" s="1"/>
  <c r="L996" i="4"/>
  <c r="L402" i="4"/>
  <c r="L1132" i="4"/>
  <c r="L878" i="4"/>
  <c r="L525" i="4"/>
  <c r="K1103" i="4"/>
  <c r="M1103" i="4" s="1"/>
  <c r="N1103" i="4" s="1"/>
  <c r="L658" i="4"/>
  <c r="K396" i="4"/>
  <c r="M396" i="4" s="1"/>
  <c r="N396" i="4" s="1"/>
  <c r="K420" i="4"/>
  <c r="M420" i="4" s="1"/>
  <c r="N420" i="4" s="1"/>
  <c r="L366" i="4"/>
  <c r="K439" i="4"/>
  <c r="M439" i="4" s="1"/>
  <c r="N439" i="4" s="1"/>
  <c r="K445" i="4"/>
  <c r="M445" i="4" s="1"/>
  <c r="N445" i="4" s="1"/>
  <c r="L883" i="4"/>
  <c r="K947" i="4"/>
  <c r="M947" i="4" s="1"/>
  <c r="N947" i="4" s="1"/>
  <c r="L834" i="4"/>
  <c r="K83" i="4"/>
  <c r="M83" i="4" s="1"/>
  <c r="N83" i="4" s="1"/>
  <c r="K812" i="4"/>
  <c r="M812" i="4" s="1"/>
  <c r="N812" i="4" s="1"/>
  <c r="L915" i="4"/>
  <c r="L814" i="4"/>
  <c r="K1233" i="4"/>
  <c r="M1233" i="4" s="1"/>
  <c r="N1233" i="4" s="1"/>
  <c r="L802" i="4"/>
  <c r="K1099" i="4"/>
  <c r="M1099" i="4" s="1"/>
  <c r="N1099" i="4" s="1"/>
  <c r="L740" i="4"/>
  <c r="K363" i="4"/>
  <c r="M363" i="4" s="1"/>
  <c r="N363" i="4" s="1"/>
  <c r="L650" i="4"/>
  <c r="L1238" i="4"/>
  <c r="L96" i="4"/>
  <c r="N96" i="4" s="1"/>
  <c r="K372" i="4"/>
  <c r="M372" i="4" s="1"/>
  <c r="N372" i="4" s="1"/>
  <c r="K229" i="4"/>
  <c r="M229" i="4" s="1"/>
  <c r="N229" i="4" s="1"/>
  <c r="L603" i="4"/>
  <c r="K811" i="4"/>
  <c r="M811" i="4" s="1"/>
  <c r="N811" i="4" s="1"/>
  <c r="K531" i="4"/>
  <c r="M531" i="4" s="1"/>
  <c r="N531" i="4" s="1"/>
  <c r="L358" i="4"/>
  <c r="L1112" i="4"/>
  <c r="K889" i="4"/>
  <c r="M889" i="4" s="1"/>
  <c r="N889" i="4" s="1"/>
  <c r="K356" i="4"/>
  <c r="M356" i="4" s="1"/>
  <c r="N356" i="4" s="1"/>
  <c r="K242" i="4"/>
  <c r="M242" i="4" s="1"/>
  <c r="K838" i="4"/>
  <c r="M838" i="4" s="1"/>
  <c r="N838" i="4" s="1"/>
  <c r="K729" i="4"/>
  <c r="M729" i="4" s="1"/>
  <c r="N729" i="4" s="1"/>
  <c r="K8" i="4"/>
  <c r="M8" i="4" s="1"/>
  <c r="N8" i="4" s="1"/>
  <c r="L1181" i="4"/>
  <c r="L950" i="4"/>
  <c r="K115" i="4"/>
  <c r="M115" i="4" s="1"/>
  <c r="N115" i="4" s="1"/>
  <c r="L623" i="4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K844" i="4"/>
  <c r="M844" i="4" s="1"/>
  <c r="N844" i="4" s="1"/>
  <c r="L1285" i="4"/>
  <c r="K926" i="4"/>
  <c r="M926" i="4" s="1"/>
  <c r="N926" i="4" s="1"/>
  <c r="K1184" i="4"/>
  <c r="M1184" i="4" s="1"/>
  <c r="N1184" i="4" s="1"/>
  <c r="L1047" i="4"/>
  <c r="K409" i="4"/>
  <c r="M409" i="4" s="1"/>
  <c r="N409" i="4" s="1"/>
  <c r="L900" i="4"/>
  <c r="L590" i="4"/>
  <c r="L876" i="4"/>
  <c r="K631" i="4"/>
  <c r="M631" i="4" s="1"/>
  <c r="N631" i="4" s="1"/>
  <c r="K34" i="4"/>
  <c r="M34" i="4" s="1"/>
  <c r="N34" i="4" s="1"/>
  <c r="L804" i="4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N355" i="4" s="1"/>
  <c r="K1188" i="4"/>
  <c r="M1188" i="4" s="1"/>
  <c r="N1188" i="4" s="1"/>
  <c r="K69" i="4"/>
  <c r="M69" i="4" s="1"/>
  <c r="N69" i="4" s="1"/>
  <c r="K934" i="4"/>
  <c r="M934" i="4" s="1"/>
  <c r="N934" i="4" s="1"/>
  <c r="L1065" i="4"/>
  <c r="K690" i="4"/>
  <c r="M690" i="4" s="1"/>
  <c r="N690" i="4" s="1"/>
  <c r="K873" i="4"/>
  <c r="M873" i="4" s="1"/>
  <c r="N873" i="4" s="1"/>
  <c r="L723" i="4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L393" i="4"/>
  <c r="K565" i="4"/>
  <c r="M565" i="4" s="1"/>
  <c r="N565" i="4" s="1"/>
  <c r="K285" i="4"/>
  <c r="M285" i="4" s="1"/>
  <c r="N285" i="4" s="1"/>
  <c r="L676" i="4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N176" i="4" s="1"/>
  <c r="L448" i="4"/>
  <c r="K790" i="4"/>
  <c r="M790" i="4" s="1"/>
  <c r="N790" i="4" s="1"/>
  <c r="K850" i="4"/>
  <c r="M850" i="4" s="1"/>
  <c r="N850" i="4" s="1"/>
  <c r="L962" i="4"/>
  <c r="K1196" i="4"/>
  <c r="M1196" i="4" s="1"/>
  <c r="N1196" i="4" s="1"/>
  <c r="K382" i="4"/>
  <c r="M382" i="4" s="1"/>
  <c r="N382" i="4" s="1"/>
  <c r="L787" i="4"/>
  <c r="K406" i="4"/>
  <c r="M406" i="4" s="1"/>
  <c r="N406" i="4" s="1"/>
  <c r="K569" i="4"/>
  <c r="M569" i="4" s="1"/>
  <c r="N569" i="4" s="1"/>
  <c r="L264" i="6"/>
  <c r="K1289" i="4"/>
  <c r="M1289" i="4" s="1"/>
  <c r="N1289" i="4" s="1"/>
  <c r="L310" i="4"/>
  <c r="K131" i="4"/>
  <c r="M131" i="4" s="1"/>
  <c r="N131" i="4" s="1"/>
  <c r="L296" i="4"/>
  <c r="N296" i="4" s="1"/>
  <c r="L384" i="4"/>
  <c r="L711" i="4"/>
  <c r="K44" i="4"/>
  <c r="M44" i="4" s="1"/>
  <c r="N44" i="4" s="1"/>
  <c r="L1081" i="4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N23" i="4" s="1"/>
  <c r="L1147" i="4"/>
  <c r="K368" i="4"/>
  <c r="M368" i="4" s="1"/>
  <c r="N368" i="4" s="1"/>
  <c r="L315" i="4"/>
  <c r="K232" i="4"/>
  <c r="M232" i="4" s="1"/>
  <c r="K1039" i="4"/>
  <c r="M1039" i="4" s="1"/>
  <c r="N1039" i="4" s="1"/>
  <c r="L956" i="4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N57" i="4" s="1"/>
  <c r="L206" i="4"/>
  <c r="N206" i="4" s="1"/>
  <c r="K314" i="4"/>
  <c r="M314" i="4" s="1"/>
  <c r="N314" i="4" s="1"/>
  <c r="L1292" i="4"/>
  <c r="L472" i="6"/>
  <c r="K1254" i="4"/>
  <c r="M1254" i="4" s="1"/>
  <c r="N1254" i="4" s="1"/>
  <c r="K615" i="4"/>
  <c r="M615" i="4" s="1"/>
  <c r="N615" i="4" s="1"/>
  <c r="K216" i="4"/>
  <c r="M216" i="4" s="1"/>
  <c r="N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N62" i="4" s="1"/>
  <c r="L919" i="4"/>
  <c r="K1030" i="4"/>
  <c r="M1030" i="4" s="1"/>
  <c r="N1030" i="4" s="1"/>
  <c r="K1175" i="4"/>
  <c r="M1175" i="4" s="1"/>
  <c r="N1175" i="4" s="1"/>
  <c r="L892" i="6"/>
  <c r="K976" i="4"/>
  <c r="M976" i="4" s="1"/>
  <c r="N976" i="4" s="1"/>
  <c r="K496" i="4"/>
  <c r="M496" i="4" s="1"/>
  <c r="N496" i="4" s="1"/>
  <c r="L495" i="4"/>
  <c r="L837" i="4"/>
  <c r="L247" i="4"/>
  <c r="N247" i="4" s="1"/>
  <c r="K288" i="4"/>
  <c r="M288" i="4" s="1"/>
  <c r="N288" i="4" s="1"/>
  <c r="L816" i="4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K759" i="4"/>
  <c r="M759" i="4" s="1"/>
  <c r="N759" i="4" s="1"/>
  <c r="K576" i="4"/>
  <c r="M576" i="4" s="1"/>
  <c r="N576" i="4" s="1"/>
  <c r="L533" i="4"/>
  <c r="K944" i="4"/>
  <c r="M944" i="4" s="1"/>
  <c r="N944" i="4" s="1"/>
  <c r="K830" i="4"/>
  <c r="M830" i="4" s="1"/>
  <c r="N830" i="4" s="1"/>
  <c r="K179" i="4"/>
  <c r="M179" i="4" s="1"/>
  <c r="N179" i="4" s="1"/>
  <c r="L299" i="4"/>
  <c r="N299" i="4" s="1"/>
  <c r="K779" i="4"/>
  <c r="M779" i="4" s="1"/>
  <c r="N779" i="4" s="1"/>
  <c r="K722" i="4"/>
  <c r="M722" i="4" s="1"/>
  <c r="N722" i="4" s="1"/>
  <c r="L864" i="6"/>
  <c r="L1165" i="4"/>
  <c r="K1073" i="4"/>
  <c r="M1073" i="4" s="1"/>
  <c r="N1073" i="4" s="1"/>
  <c r="L432" i="4"/>
  <c r="K104" i="4"/>
  <c r="M104" i="4" s="1"/>
  <c r="N104" i="4" s="1"/>
  <c r="K721" i="4"/>
  <c r="M721" i="4" s="1"/>
  <c r="N721" i="4" s="1"/>
  <c r="K80" i="4"/>
  <c r="M80" i="4" s="1"/>
  <c r="N80" i="4" s="1"/>
  <c r="K200" i="4"/>
  <c r="M200" i="4" s="1"/>
  <c r="N200" i="4" s="1"/>
  <c r="K297" i="4"/>
  <c r="M297" i="4" s="1"/>
  <c r="N297" i="4" s="1"/>
  <c r="K467" i="4"/>
  <c r="M467" i="4" s="1"/>
  <c r="N467" i="4" s="1"/>
  <c r="L129" i="4"/>
  <c r="N129" i="4" s="1"/>
  <c r="K866" i="6"/>
  <c r="K1285" i="6"/>
  <c r="N1285" i="6" s="1"/>
  <c r="L1285" i="6"/>
  <c r="L1284" i="4"/>
  <c r="K1284" i="4"/>
  <c r="M1284" i="4" s="1"/>
  <c r="N1284" i="4" s="1"/>
  <c r="L836" i="4"/>
  <c r="K836" i="4"/>
  <c r="M836" i="4" s="1"/>
  <c r="N836" i="4" s="1"/>
  <c r="L868" i="4"/>
  <c r="K868" i="4"/>
  <c r="M868" i="4" s="1"/>
  <c r="N868" i="4" s="1"/>
  <c r="L1078" i="4"/>
  <c r="K1078" i="4"/>
  <c r="M1078" i="4" s="1"/>
  <c r="N1078" i="4" s="1"/>
  <c r="L241" i="4"/>
  <c r="K241" i="4"/>
  <c r="M241" i="4" s="1"/>
  <c r="L522" i="4"/>
  <c r="K522" i="4"/>
  <c r="M522" i="4" s="1"/>
  <c r="N522" i="4" s="1"/>
  <c r="L7" i="4"/>
  <c r="K7" i="4"/>
  <c r="M7" i="4" s="1"/>
  <c r="K1210" i="4"/>
  <c r="M1210" i="4" s="1"/>
  <c r="N1210" i="4" s="1"/>
  <c r="L1210" i="4"/>
  <c r="L249" i="4"/>
  <c r="K249" i="4"/>
  <c r="M249" i="4" s="1"/>
  <c r="L1017" i="4"/>
  <c r="K1017" i="4"/>
  <c r="M1017" i="4" s="1"/>
  <c r="N1017" i="4" s="1"/>
  <c r="K1148" i="4"/>
  <c r="M1148" i="4" s="1"/>
  <c r="N1148" i="4" s="1"/>
  <c r="L1148" i="4"/>
  <c r="L1076" i="4"/>
  <c r="K1076" i="4"/>
  <c r="M1076" i="4" s="1"/>
  <c r="N1076" i="4" s="1"/>
  <c r="L1012" i="6"/>
  <c r="L195" i="4"/>
  <c r="N195" i="4" s="1"/>
  <c r="K152" i="4"/>
  <c r="M152" i="4" s="1"/>
  <c r="N152" i="4" s="1"/>
  <c r="K24" i="4"/>
  <c r="M24" i="4" s="1"/>
  <c r="N24" i="4" s="1"/>
  <c r="L651" i="4"/>
  <c r="K483" i="4"/>
  <c r="M483" i="4" s="1"/>
  <c r="N483" i="4" s="1"/>
  <c r="L846" i="4"/>
  <c r="K846" i="4"/>
  <c r="M846" i="4" s="1"/>
  <c r="N846" i="4" s="1"/>
  <c r="L560" i="4"/>
  <c r="K560" i="4"/>
  <c r="M560" i="4" s="1"/>
  <c r="N560" i="4" s="1"/>
  <c r="K1258" i="4"/>
  <c r="M1258" i="4" s="1"/>
  <c r="N1258" i="4" s="1"/>
  <c r="L112" i="4"/>
  <c r="N112" i="4" s="1"/>
  <c r="K39" i="4"/>
  <c r="M39" i="4" s="1"/>
  <c r="N39" i="4" s="1"/>
  <c r="K32" i="4"/>
  <c r="M32" i="4" s="1"/>
  <c r="N32" i="4" s="1"/>
  <c r="K427" i="4"/>
  <c r="M427" i="4" s="1"/>
  <c r="N427" i="4" s="1"/>
  <c r="K741" i="4"/>
  <c r="M741" i="4" s="1"/>
  <c r="N741" i="4" s="1"/>
  <c r="L373" i="4"/>
  <c r="L155" i="4"/>
  <c r="N155" i="4" s="1"/>
  <c r="K1197" i="4"/>
  <c r="M1197" i="4" s="1"/>
  <c r="N1197" i="4" s="1"/>
  <c r="K848" i="4"/>
  <c r="M848" i="4" s="1"/>
  <c r="N848" i="4" s="1"/>
  <c r="L1236" i="4"/>
  <c r="L863" i="4"/>
  <c r="L528" i="4"/>
  <c r="L955" i="4"/>
  <c r="L635" i="4"/>
  <c r="K75" i="4"/>
  <c r="M75" i="4" s="1"/>
  <c r="N75" i="4" s="1"/>
  <c r="L782" i="4"/>
  <c r="K782" i="4"/>
  <c r="M782" i="4" s="1"/>
  <c r="N782" i="4" s="1"/>
  <c r="K580" i="4"/>
  <c r="M580" i="4" s="1"/>
  <c r="N580" i="4" s="1"/>
  <c r="L580" i="4"/>
  <c r="L159" i="4"/>
  <c r="K159" i="4"/>
  <c r="M159" i="4" s="1"/>
  <c r="L12" i="4"/>
  <c r="K12" i="4"/>
  <c r="M12" i="4" s="1"/>
  <c r="L486" i="4"/>
  <c r="K486" i="4"/>
  <c r="M486" i="4" s="1"/>
  <c r="N486" i="4" s="1"/>
  <c r="L708" i="4"/>
  <c r="K708" i="4"/>
  <c r="M708" i="4" s="1"/>
  <c r="N708" i="4" s="1"/>
  <c r="L563" i="4"/>
  <c r="K563" i="4"/>
  <c r="M563" i="4" s="1"/>
  <c r="N563" i="4" s="1"/>
  <c r="L102" i="4"/>
  <c r="K102" i="4"/>
  <c r="M102" i="4" s="1"/>
  <c r="L886" i="4"/>
  <c r="K886" i="4"/>
  <c r="M886" i="4" s="1"/>
  <c r="N886" i="4" s="1"/>
  <c r="L175" i="4"/>
  <c r="K175" i="4"/>
  <c r="M175" i="4" s="1"/>
  <c r="L22" i="4"/>
  <c r="K22" i="4"/>
  <c r="M22" i="4" s="1"/>
  <c r="L1040" i="4"/>
  <c r="K1040" i="4"/>
  <c r="M1040" i="4" s="1"/>
  <c r="N1040" i="4" s="1"/>
  <c r="K548" i="4"/>
  <c r="M548" i="4" s="1"/>
  <c r="N548" i="4" s="1"/>
  <c r="L548" i="4"/>
  <c r="L970" i="4"/>
  <c r="K970" i="4"/>
  <c r="M970" i="4" s="1"/>
  <c r="N970" i="4" s="1"/>
  <c r="L920" i="4"/>
  <c r="K920" i="4"/>
  <c r="M920" i="4" s="1"/>
  <c r="N920" i="4" s="1"/>
  <c r="L471" i="4"/>
  <c r="K471" i="4"/>
  <c r="M471" i="4" s="1"/>
  <c r="N471" i="4" s="1"/>
  <c r="L322" i="4"/>
  <c r="K322" i="4"/>
  <c r="M322" i="4" s="1"/>
  <c r="N322" i="4" s="1"/>
  <c r="L551" i="4"/>
  <c r="K551" i="4"/>
  <c r="M551" i="4" s="1"/>
  <c r="N551" i="4" s="1"/>
  <c r="L414" i="4"/>
  <c r="K414" i="4"/>
  <c r="M414" i="4" s="1"/>
  <c r="N414" i="4" s="1"/>
  <c r="L1054" i="4"/>
  <c r="K1054" i="4"/>
  <c r="M1054" i="4" s="1"/>
  <c r="N1054" i="4" s="1"/>
  <c r="L13" i="4"/>
  <c r="K13" i="4"/>
  <c r="M13" i="4" s="1"/>
  <c r="L1016" i="4"/>
  <c r="K1016" i="4"/>
  <c r="M1016" i="4" s="1"/>
  <c r="N1016" i="4" s="1"/>
  <c r="L174" i="4"/>
  <c r="K174" i="4"/>
  <c r="M174" i="4" s="1"/>
  <c r="L237" i="4"/>
  <c r="K237" i="4"/>
  <c r="M237" i="4" s="1"/>
  <c r="K1290" i="4"/>
  <c r="M1290" i="4" s="1"/>
  <c r="N1290" i="4" s="1"/>
  <c r="L655" i="4"/>
  <c r="K352" i="4"/>
  <c r="M352" i="4" s="1"/>
  <c r="N352" i="4" s="1"/>
  <c r="K699" i="4"/>
  <c r="M699" i="4" s="1"/>
  <c r="N699" i="4" s="1"/>
  <c r="K443" i="4"/>
  <c r="M443" i="4" s="1"/>
  <c r="N443" i="4" s="1"/>
  <c r="L338" i="4"/>
  <c r="L794" i="6"/>
  <c r="L1187" i="4"/>
  <c r="K1187" i="4"/>
  <c r="M1187" i="4" s="1"/>
  <c r="N1187" i="4" s="1"/>
  <c r="L1137" i="4"/>
  <c r="K1137" i="4"/>
  <c r="M1137" i="4" s="1"/>
  <c r="N1137" i="4" s="1"/>
  <c r="L403" i="4"/>
  <c r="K403" i="4"/>
  <c r="M403" i="4" s="1"/>
  <c r="N403" i="4" s="1"/>
  <c r="L621" i="4"/>
  <c r="K621" i="4"/>
  <c r="M621" i="4" s="1"/>
  <c r="N621" i="4" s="1"/>
  <c r="L1091" i="4"/>
  <c r="K1091" i="4"/>
  <c r="M1091" i="4" s="1"/>
  <c r="N1091" i="4" s="1"/>
  <c r="L207" i="4"/>
  <c r="K207" i="4"/>
  <c r="M207" i="4" s="1"/>
  <c r="K264" i="4"/>
  <c r="M264" i="4" s="1"/>
  <c r="N264" i="4" s="1"/>
  <c r="L480" i="4"/>
  <c r="K1180" i="4"/>
  <c r="M1180" i="4" s="1"/>
  <c r="N1180" i="4" s="1"/>
  <c r="L732" i="4"/>
  <c r="K305" i="4"/>
  <c r="M305" i="4" s="1"/>
  <c r="N305" i="4" s="1"/>
  <c r="K371" i="4"/>
  <c r="M371" i="4" s="1"/>
  <c r="N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N558" i="4" s="1"/>
  <c r="L1059" i="4"/>
  <c r="K1059" i="4"/>
  <c r="M1059" i="4" s="1"/>
  <c r="N1059" i="4" s="1"/>
  <c r="L777" i="4"/>
  <c r="K777" i="4"/>
  <c r="M777" i="4" s="1"/>
  <c r="N777" i="4" s="1"/>
  <c r="L968" i="6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N481" i="4" s="1"/>
  <c r="L268" i="4"/>
  <c r="K268" i="4"/>
  <c r="M268" i="4" s="1"/>
  <c r="K65" i="4"/>
  <c r="M65" i="4" s="1"/>
  <c r="L65" i="4"/>
  <c r="L805" i="4"/>
  <c r="K805" i="4"/>
  <c r="M805" i="4" s="1"/>
  <c r="N805" i="4" s="1"/>
  <c r="L278" i="4"/>
  <c r="K278" i="4"/>
  <c r="M278" i="4" s="1"/>
  <c r="K313" i="4"/>
  <c r="M313" i="4" s="1"/>
  <c r="N313" i="4" s="1"/>
  <c r="K318" i="4"/>
  <c r="M318" i="4" s="1"/>
  <c r="N318" i="4" s="1"/>
  <c r="K1129" i="4"/>
  <c r="M1129" i="4" s="1"/>
  <c r="N1129" i="4" s="1"/>
  <c r="L864" i="4"/>
  <c r="K656" i="4"/>
  <c r="M656" i="4" s="1"/>
  <c r="N656" i="4" s="1"/>
  <c r="L751" i="4"/>
  <c r="K720" i="4"/>
  <c r="M720" i="4" s="1"/>
  <c r="N720" i="4" s="1"/>
  <c r="L636" i="6"/>
  <c r="L67" i="4"/>
  <c r="N67" i="4" s="1"/>
  <c r="K963" i="4"/>
  <c r="M963" i="4" s="1"/>
  <c r="N963" i="4" s="1"/>
  <c r="L707" i="4"/>
  <c r="L259" i="4"/>
  <c r="N259" i="4" s="1"/>
  <c r="L493" i="4"/>
  <c r="L405" i="4"/>
  <c r="K1044" i="6"/>
  <c r="N1044" i="6" s="1"/>
  <c r="L1044" i="6"/>
  <c r="L979" i="4"/>
  <c r="K979" i="4"/>
  <c r="M979" i="4" s="1"/>
  <c r="N979" i="4" s="1"/>
  <c r="L154" i="4"/>
  <c r="K154" i="4"/>
  <c r="M154" i="4" s="1"/>
  <c r="L211" i="4"/>
  <c r="K211" i="4"/>
  <c r="M211" i="4" s="1"/>
  <c r="L1179" i="4"/>
  <c r="K1179" i="4"/>
  <c r="M1179" i="4" s="1"/>
  <c r="N1179" i="4" s="1"/>
  <c r="L663" i="4"/>
  <c r="K663" i="4"/>
  <c r="M663" i="4" s="1"/>
  <c r="N663" i="4" s="1"/>
  <c r="L135" i="4"/>
  <c r="K135" i="4"/>
  <c r="M135" i="4" s="1"/>
  <c r="L645" i="4"/>
  <c r="K645" i="4"/>
  <c r="M645" i="4" s="1"/>
  <c r="N645" i="4" s="1"/>
  <c r="L125" i="4"/>
  <c r="K125" i="4"/>
  <c r="M125" i="4" s="1"/>
  <c r="L1062" i="4"/>
  <c r="K1062" i="4"/>
  <c r="M1062" i="4" s="1"/>
  <c r="N1062" i="4" s="1"/>
  <c r="K1301" i="4"/>
  <c r="M1301" i="4" s="1"/>
  <c r="N1301" i="4" s="1"/>
  <c r="L1301" i="4"/>
  <c r="K918" i="4"/>
  <c r="M918" i="4" s="1"/>
  <c r="N918" i="4" s="1"/>
  <c r="L918" i="4"/>
  <c r="L773" i="4"/>
  <c r="K773" i="4"/>
  <c r="M773" i="4" s="1"/>
  <c r="N773" i="4" s="1"/>
  <c r="L1176" i="4"/>
  <c r="K1176" i="4"/>
  <c r="M1176" i="4" s="1"/>
  <c r="N1176" i="4" s="1"/>
  <c r="L967" i="4"/>
  <c r="K967" i="4"/>
  <c r="M967" i="4" s="1"/>
  <c r="N967" i="4" s="1"/>
  <c r="L343" i="4"/>
  <c r="K343" i="4"/>
  <c r="M343" i="4" s="1"/>
  <c r="N343" i="4" s="1"/>
  <c r="L1038" i="4"/>
  <c r="K1038" i="4"/>
  <c r="M1038" i="4" s="1"/>
  <c r="N1038" i="4" s="1"/>
  <c r="L319" i="4"/>
  <c r="K319" i="4"/>
  <c r="M319" i="4" s="1"/>
  <c r="N319" i="4" s="1"/>
  <c r="L1178" i="4"/>
  <c r="K1178" i="4"/>
  <c r="M1178" i="4" s="1"/>
  <c r="N1178" i="4" s="1"/>
  <c r="L180" i="4"/>
  <c r="K180" i="4"/>
  <c r="M180" i="4" s="1"/>
  <c r="L1215" i="4"/>
  <c r="K1215" i="4"/>
  <c r="M1215" i="4" s="1"/>
  <c r="N1215" i="4" s="1"/>
  <c r="L822" i="4"/>
  <c r="K822" i="4"/>
  <c r="M822" i="4" s="1"/>
  <c r="N822" i="4" s="1"/>
  <c r="L1291" i="4"/>
  <c r="K1291" i="4"/>
  <c r="M1291" i="4" s="1"/>
  <c r="N1291" i="4" s="1"/>
  <c r="L666" i="4"/>
  <c r="K666" i="4"/>
  <c r="M666" i="4" s="1"/>
  <c r="N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N743" i="4" s="1"/>
  <c r="L1153" i="4"/>
  <c r="K1153" i="4"/>
  <c r="M1153" i="4" s="1"/>
  <c r="N1153" i="4" s="1"/>
  <c r="L689" i="4"/>
  <c r="K689" i="4"/>
  <c r="M689" i="4" s="1"/>
  <c r="N689" i="4" s="1"/>
  <c r="L573" i="4"/>
  <c r="K573" i="4"/>
  <c r="M573" i="4" s="1"/>
  <c r="N573" i="4" s="1"/>
  <c r="L961" i="4"/>
  <c r="K961" i="4"/>
  <c r="M961" i="4" s="1"/>
  <c r="N961" i="4" s="1"/>
  <c r="L349" i="4"/>
  <c r="K349" i="4"/>
  <c r="M349" i="4" s="1"/>
  <c r="N349" i="4" s="1"/>
  <c r="L710" i="4"/>
  <c r="K710" i="4"/>
  <c r="M710" i="4" s="1"/>
  <c r="N710" i="4" s="1"/>
  <c r="L670" i="4"/>
  <c r="K670" i="4"/>
  <c r="M670" i="4" s="1"/>
  <c r="N670" i="4" s="1"/>
  <c r="L455" i="4"/>
  <c r="K455" i="4"/>
  <c r="M455" i="4" s="1"/>
  <c r="N455" i="4" s="1"/>
  <c r="K1020" i="6"/>
  <c r="N1020" i="6" s="1"/>
  <c r="L1020" i="6"/>
  <c r="K145" i="4"/>
  <c r="M145" i="4" s="1"/>
  <c r="L145" i="4"/>
  <c r="L1302" i="4"/>
  <c r="K1302" i="4"/>
  <c r="M1302" i="4" s="1"/>
  <c r="N1302" i="4" s="1"/>
  <c r="L540" i="4"/>
  <c r="K540" i="4"/>
  <c r="M540" i="4" s="1"/>
  <c r="N540" i="4" s="1"/>
  <c r="L1203" i="4"/>
  <c r="K1203" i="4"/>
  <c r="M1203" i="4" s="1"/>
  <c r="N1203" i="4" s="1"/>
  <c r="K383" i="4"/>
  <c r="M383" i="4" s="1"/>
  <c r="N383" i="4" s="1"/>
  <c r="L383" i="4"/>
  <c r="K375" i="4"/>
  <c r="M375" i="4" s="1"/>
  <c r="N375" i="4" s="1"/>
  <c r="L375" i="4"/>
  <c r="L1143" i="4"/>
  <c r="K1143" i="4"/>
  <c r="M1143" i="4" s="1"/>
  <c r="N1143" i="4" s="1"/>
  <c r="L532" i="4"/>
  <c r="K532" i="4"/>
  <c r="M532" i="4" s="1"/>
  <c r="N532" i="4" s="1"/>
  <c r="L391" i="4"/>
  <c r="K391" i="4"/>
  <c r="M391" i="4" s="1"/>
  <c r="N391" i="4" s="1"/>
  <c r="L665" i="4"/>
  <c r="K665" i="4"/>
  <c r="M665" i="4" s="1"/>
  <c r="N665" i="4" s="1"/>
  <c r="L1172" i="4"/>
  <c r="K1172" i="4"/>
  <c r="M1172" i="4" s="1"/>
  <c r="N1172" i="4" s="1"/>
  <c r="L1011" i="4"/>
  <c r="K1011" i="4"/>
  <c r="M1011" i="4" s="1"/>
  <c r="N1011" i="4" s="1"/>
  <c r="L194" i="4"/>
  <c r="K194" i="4"/>
  <c r="M194" i="4" s="1"/>
  <c r="L6" i="4"/>
  <c r="K6" i="4"/>
  <c r="M6" i="4" s="1"/>
  <c r="L807" i="4"/>
  <c r="K807" i="4"/>
  <c r="M807" i="4" s="1"/>
  <c r="N807" i="4" s="1"/>
  <c r="L1199" i="4"/>
  <c r="K1199" i="4"/>
  <c r="M1199" i="4" s="1"/>
  <c r="N1199" i="4" s="1"/>
  <c r="L839" i="4"/>
  <c r="K839" i="4"/>
  <c r="M839" i="4" s="1"/>
  <c r="N839" i="4" s="1"/>
  <c r="L566" i="4"/>
  <c r="K566" i="4"/>
  <c r="M566" i="4" s="1"/>
  <c r="N566" i="4" s="1"/>
  <c r="L990" i="4"/>
  <c r="K990" i="4"/>
  <c r="M990" i="4" s="1"/>
  <c r="N990" i="4" s="1"/>
  <c r="L799" i="4"/>
  <c r="K799" i="4"/>
  <c r="M799" i="4" s="1"/>
  <c r="N799" i="4" s="1"/>
  <c r="L28" i="4"/>
  <c r="K28" i="4"/>
  <c r="M28" i="4" s="1"/>
  <c r="L286" i="4"/>
  <c r="K286" i="4"/>
  <c r="M286" i="4" s="1"/>
  <c r="L671" i="4"/>
  <c r="K671" i="4"/>
  <c r="M671" i="4" s="1"/>
  <c r="N671" i="4" s="1"/>
  <c r="L862" i="4"/>
  <c r="K862" i="4"/>
  <c r="M862" i="4" s="1"/>
  <c r="N862" i="4" s="1"/>
  <c r="L1134" i="4"/>
  <c r="K1134" i="4"/>
  <c r="M1134" i="4" s="1"/>
  <c r="N1134" i="4" s="1"/>
  <c r="L1070" i="4"/>
  <c r="K1070" i="4"/>
  <c r="M1070" i="4" s="1"/>
  <c r="N1070" i="4" s="1"/>
  <c r="L230" i="4"/>
  <c r="K230" i="4"/>
  <c r="M230" i="4" s="1"/>
  <c r="K88" i="4"/>
  <c r="M88" i="4" s="1"/>
  <c r="L88" i="4"/>
  <c r="L901" i="4"/>
  <c r="K901" i="4"/>
  <c r="M901" i="4" s="1"/>
  <c r="N901" i="4" s="1"/>
  <c r="L842" i="4"/>
  <c r="K842" i="4"/>
  <c r="M842" i="4" s="1"/>
  <c r="N842" i="4" s="1"/>
  <c r="L170" i="4"/>
  <c r="K170" i="4"/>
  <c r="M170" i="4" s="1"/>
  <c r="L1204" i="4"/>
  <c r="K1204" i="4"/>
  <c r="M1204" i="4" s="1"/>
  <c r="N1204" i="4" s="1"/>
  <c r="K855" i="4"/>
  <c r="M855" i="4" s="1"/>
  <c r="N855" i="4" s="1"/>
  <c r="L855" i="4"/>
  <c r="K684" i="4"/>
  <c r="M684" i="4" s="1"/>
  <c r="N684" i="4" s="1"/>
  <c r="L684" i="4"/>
  <c r="L1281" i="4"/>
  <c r="K1281" i="4"/>
  <c r="M1281" i="4" s="1"/>
  <c r="N1281" i="4" s="1"/>
  <c r="L262" i="4"/>
  <c r="K262" i="4"/>
  <c r="M262" i="4" s="1"/>
  <c r="L852" i="4"/>
  <c r="K852" i="4"/>
  <c r="M852" i="4" s="1"/>
  <c r="N852" i="4" s="1"/>
  <c r="L612" i="4"/>
  <c r="K612" i="4"/>
  <c r="M612" i="4" s="1"/>
  <c r="N612" i="4" s="1"/>
  <c r="L1186" i="4"/>
  <c r="K1186" i="4"/>
  <c r="M1186" i="4" s="1"/>
  <c r="N1186" i="4" s="1"/>
  <c r="L156" i="4"/>
  <c r="K156" i="4"/>
  <c r="M156" i="4" s="1"/>
  <c r="L1014" i="4"/>
  <c r="K1014" i="4"/>
  <c r="M1014" i="4" s="1"/>
  <c r="N1014" i="4" s="1"/>
  <c r="L46" i="4"/>
  <c r="K46" i="4"/>
  <c r="M46" i="4" s="1"/>
  <c r="L1205" i="4"/>
  <c r="K1205" i="4"/>
  <c r="M1205" i="4" s="1"/>
  <c r="N1205" i="4" s="1"/>
  <c r="L1206" i="4"/>
  <c r="K1206" i="4"/>
  <c r="M1206" i="4" s="1"/>
  <c r="N1206" i="4" s="1"/>
  <c r="L70" i="4"/>
  <c r="K70" i="4"/>
  <c r="M70" i="4" s="1"/>
  <c r="L775" i="4"/>
  <c r="K775" i="4"/>
  <c r="M775" i="4" s="1"/>
  <c r="N775" i="4" s="1"/>
  <c r="L261" i="4"/>
  <c r="K261" i="4"/>
  <c r="M261" i="4" s="1"/>
  <c r="L399" i="4"/>
  <c r="K399" i="4"/>
  <c r="M399" i="4" s="1"/>
  <c r="N399" i="4" s="1"/>
  <c r="L966" i="4"/>
  <c r="K966" i="4"/>
  <c r="M966" i="4" s="1"/>
  <c r="N966" i="4" s="1"/>
  <c r="L73" i="4"/>
  <c r="K73" i="4"/>
  <c r="M73" i="4" s="1"/>
  <c r="L412" i="4"/>
  <c r="K412" i="4"/>
  <c r="M412" i="4" s="1"/>
  <c r="N412" i="4" s="1"/>
  <c r="L477" i="4"/>
  <c r="K477" i="4"/>
  <c r="M477" i="4" s="1"/>
  <c r="N477" i="4" s="1"/>
  <c r="L199" i="4"/>
  <c r="K199" i="4"/>
  <c r="M199" i="4" s="1"/>
  <c r="L327" i="4"/>
  <c r="K327" i="4"/>
  <c r="M327" i="4" s="1"/>
  <c r="N327" i="4" s="1"/>
  <c r="L435" i="6"/>
  <c r="L184" i="6"/>
  <c r="M184" i="6" s="1"/>
  <c r="P184" i="6" s="1"/>
  <c r="L899" i="4"/>
  <c r="K899" i="4"/>
  <c r="M899" i="4" s="1"/>
  <c r="N899" i="4" s="1"/>
  <c r="L235" i="4"/>
  <c r="K235" i="4"/>
  <c r="M235" i="4" s="1"/>
  <c r="L16" i="4"/>
  <c r="K16" i="4"/>
  <c r="M16" i="4" s="1"/>
  <c r="L1032" i="4"/>
  <c r="K1032" i="4"/>
  <c r="M1032" i="4" s="1"/>
  <c r="N1032" i="4" s="1"/>
  <c r="L502" i="4"/>
  <c r="K502" i="4"/>
  <c r="M502" i="4" s="1"/>
  <c r="N502" i="4" s="1"/>
  <c r="L857" i="4"/>
  <c r="K857" i="4"/>
  <c r="M857" i="4" s="1"/>
  <c r="N857" i="4" s="1"/>
  <c r="L245" i="4"/>
  <c r="K245" i="4"/>
  <c r="M245" i="4" s="1"/>
  <c r="L132" i="4"/>
  <c r="K132" i="4"/>
  <c r="M132" i="4" s="1"/>
  <c r="L515" i="4"/>
  <c r="K515" i="4"/>
  <c r="M515" i="4" s="1"/>
  <c r="N515" i="4" s="1"/>
  <c r="L332" i="4"/>
  <c r="K332" i="4"/>
  <c r="M332" i="4" s="1"/>
  <c r="N332" i="4" s="1"/>
  <c r="K929" i="4"/>
  <c r="M929" i="4" s="1"/>
  <c r="N929" i="4" s="1"/>
  <c r="L929" i="4"/>
  <c r="K980" i="4"/>
  <c r="M980" i="4" s="1"/>
  <c r="N980" i="4" s="1"/>
  <c r="L980" i="4"/>
  <c r="L423" i="4"/>
  <c r="K423" i="4"/>
  <c r="M423" i="4" s="1"/>
  <c r="N423" i="4" s="1"/>
  <c r="L971" i="4"/>
  <c r="K971" i="4"/>
  <c r="M971" i="4" s="1"/>
  <c r="N971" i="4" s="1"/>
  <c r="L523" i="4"/>
  <c r="K523" i="4"/>
  <c r="M523" i="4" s="1"/>
  <c r="N523" i="4" s="1"/>
  <c r="L492" i="4"/>
  <c r="K492" i="4"/>
  <c r="M492" i="4" s="1"/>
  <c r="N492" i="4" s="1"/>
  <c r="L1048" i="4"/>
  <c r="K1048" i="4"/>
  <c r="M1048" i="4" s="1"/>
  <c r="N1048" i="4" s="1"/>
  <c r="L279" i="4"/>
  <c r="K279" i="4"/>
  <c r="M279" i="4" s="1"/>
  <c r="L1216" i="4"/>
  <c r="K1216" i="4"/>
  <c r="M1216" i="4" s="1"/>
  <c r="N1216" i="4" s="1"/>
  <c r="L554" i="4"/>
  <c r="K554" i="4"/>
  <c r="M554" i="4" s="1"/>
  <c r="N554" i="4" s="1"/>
  <c r="L725" i="4"/>
  <c r="K725" i="4"/>
  <c r="M725" i="4" s="1"/>
  <c r="N725" i="4" s="1"/>
  <c r="L974" i="4"/>
  <c r="K974" i="4"/>
  <c r="M974" i="4" s="1"/>
  <c r="N974" i="4" s="1"/>
  <c r="L209" i="4"/>
  <c r="K209" i="4"/>
  <c r="M209" i="4" s="1"/>
  <c r="L643" i="4"/>
  <c r="K643" i="4"/>
  <c r="M643" i="4" s="1"/>
  <c r="N643" i="4" s="1"/>
  <c r="L957" i="4"/>
  <c r="K957" i="4"/>
  <c r="M957" i="4" s="1"/>
  <c r="N957" i="4" s="1"/>
  <c r="L757" i="4"/>
  <c r="K757" i="4"/>
  <c r="M757" i="4" s="1"/>
  <c r="N757" i="4" s="1"/>
  <c r="L1104" i="4"/>
  <c r="K1104" i="4"/>
  <c r="M1104" i="4" s="1"/>
  <c r="N1104" i="4" s="1"/>
  <c r="L1130" i="4"/>
  <c r="K1130" i="4"/>
  <c r="M1130" i="4" s="1"/>
  <c r="N1130" i="4" s="1"/>
  <c r="L677" i="4"/>
  <c r="K677" i="4"/>
  <c r="M677" i="4" s="1"/>
  <c r="N677" i="4" s="1"/>
  <c r="L685" i="4"/>
  <c r="K685" i="4"/>
  <c r="M685" i="4" s="1"/>
  <c r="N685" i="4" s="1"/>
  <c r="L828" i="4"/>
  <c r="K828" i="4"/>
  <c r="M828" i="4" s="1"/>
  <c r="N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N1005" i="4" s="1"/>
  <c r="K497" i="4"/>
  <c r="M497" i="4" s="1"/>
  <c r="N497" i="4" s="1"/>
  <c r="L497" i="4"/>
  <c r="K14" i="4"/>
  <c r="M14" i="4" s="1"/>
  <c r="L14" i="4"/>
  <c r="L859" i="4"/>
  <c r="K859" i="4"/>
  <c r="M859" i="4" s="1"/>
  <c r="N859" i="4" s="1"/>
  <c r="K851" i="4"/>
  <c r="M851" i="4" s="1"/>
  <c r="N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N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N887" i="4" s="1"/>
  <c r="L941" i="4"/>
  <c r="K941" i="4"/>
  <c r="M941" i="4" s="1"/>
  <c r="N941" i="4" s="1"/>
  <c r="L1219" i="4"/>
  <c r="K1219" i="4"/>
  <c r="M1219" i="4" s="1"/>
  <c r="N1219" i="4" s="1"/>
  <c r="L158" i="4"/>
  <c r="K158" i="4"/>
  <c r="M158" i="4" s="1"/>
  <c r="L1296" i="4"/>
  <c r="K1296" i="4"/>
  <c r="M1296" i="4" s="1"/>
  <c r="N1296" i="4" s="1"/>
  <c r="L1261" i="4"/>
  <c r="K1261" i="4"/>
  <c r="M1261" i="4" s="1"/>
  <c r="N1261" i="4" s="1"/>
  <c r="L518" i="4"/>
  <c r="K518" i="4"/>
  <c r="M518" i="4" s="1"/>
  <c r="N518" i="4" s="1"/>
  <c r="L303" i="4"/>
  <c r="K303" i="4"/>
  <c r="M303" i="4" s="1"/>
  <c r="N303" i="4" s="1"/>
  <c r="L84" i="4"/>
  <c r="K84" i="4"/>
  <c r="M84" i="4" s="1"/>
  <c r="L764" i="4"/>
  <c r="K764" i="4"/>
  <c r="M764" i="4" s="1"/>
  <c r="N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N718" i="4" s="1"/>
  <c r="L718" i="4"/>
  <c r="L519" i="4"/>
  <c r="K519" i="4"/>
  <c r="M519" i="4" s="1"/>
  <c r="N519" i="4" s="1"/>
  <c r="L1140" i="4"/>
  <c r="K1140" i="4"/>
  <c r="M1140" i="4" s="1"/>
  <c r="N1140" i="4" s="1"/>
  <c r="L1263" i="4"/>
  <c r="K1263" i="4"/>
  <c r="M1263" i="4" s="1"/>
  <c r="N1263" i="4" s="1"/>
  <c r="L442" i="6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N224" i="4" s="1"/>
  <c r="L896" i="4"/>
  <c r="K664" i="4"/>
  <c r="M664" i="4" s="1"/>
  <c r="N664" i="4" s="1"/>
  <c r="K760" i="4"/>
  <c r="M760" i="4" s="1"/>
  <c r="N760" i="4" s="1"/>
  <c r="L29" i="6"/>
  <c r="M29" i="6" s="1"/>
  <c r="P29" i="6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N835" i="4" s="1"/>
  <c r="L870" i="6"/>
  <c r="L64" i="4"/>
  <c r="K64" i="4"/>
  <c r="M64" i="4" s="1"/>
  <c r="L595" i="4"/>
  <c r="K595" i="4"/>
  <c r="M595" i="4" s="1"/>
  <c r="N595" i="4" s="1"/>
  <c r="L94" i="4"/>
  <c r="K94" i="4"/>
  <c r="M94" i="4" s="1"/>
  <c r="L330" i="4"/>
  <c r="K330" i="4"/>
  <c r="M330" i="4" s="1"/>
  <c r="N330" i="4" s="1"/>
  <c r="L717" i="4"/>
  <c r="K717" i="4"/>
  <c r="M717" i="4" s="1"/>
  <c r="N717" i="4" s="1"/>
  <c r="L86" i="4"/>
  <c r="K86" i="4"/>
  <c r="M86" i="4" s="1"/>
  <c r="L164" i="4"/>
  <c r="K164" i="4"/>
  <c r="M164" i="4" s="1"/>
  <c r="L378" i="4"/>
  <c r="K378" i="4"/>
  <c r="M378" i="4" s="1"/>
  <c r="N378" i="4" s="1"/>
  <c r="L1080" i="4"/>
  <c r="K1080" i="4"/>
  <c r="M1080" i="4" s="1"/>
  <c r="N1080" i="4" s="1"/>
  <c r="L1108" i="4"/>
  <c r="K1108" i="4"/>
  <c r="M1108" i="4" s="1"/>
  <c r="N1108" i="4" s="1"/>
  <c r="L1279" i="4"/>
  <c r="K1279" i="4"/>
  <c r="M1279" i="4" s="1"/>
  <c r="N1279" i="4" s="1"/>
  <c r="L309" i="4"/>
  <c r="K309" i="4"/>
  <c r="M309" i="4" s="1"/>
  <c r="N309" i="4" s="1"/>
  <c r="K795" i="4"/>
  <c r="M795" i="4" s="1"/>
  <c r="N795" i="4" s="1"/>
  <c r="L795" i="4"/>
  <c r="L911" i="4"/>
  <c r="K911" i="4"/>
  <c r="M911" i="4" s="1"/>
  <c r="N911" i="4" s="1"/>
  <c r="L1109" i="4"/>
  <c r="K1109" i="4"/>
  <c r="M1109" i="4" s="1"/>
  <c r="N1109" i="4" s="1"/>
  <c r="L340" i="4"/>
  <c r="K340" i="4"/>
  <c r="M340" i="4" s="1"/>
  <c r="N340" i="4" s="1"/>
  <c r="L263" i="4"/>
  <c r="K263" i="4"/>
  <c r="M263" i="4" s="1"/>
  <c r="L148" i="4"/>
  <c r="K148" i="4"/>
  <c r="M148" i="4" s="1"/>
  <c r="L501" i="4"/>
  <c r="K501" i="4"/>
  <c r="M501" i="4" s="1"/>
  <c r="N501" i="4" s="1"/>
  <c r="L1246" i="4"/>
  <c r="K1246" i="4"/>
  <c r="M1246" i="4" s="1"/>
  <c r="N1246" i="4" s="1"/>
  <c r="L687" i="4"/>
  <c r="K687" i="4"/>
  <c r="M687" i="4" s="1"/>
  <c r="N687" i="4" s="1"/>
  <c r="L290" i="4"/>
  <c r="K290" i="4"/>
  <c r="M290" i="4" s="1"/>
  <c r="L692" i="4"/>
  <c r="K692" i="4"/>
  <c r="M692" i="4" s="1"/>
  <c r="N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N1275" i="4" s="1"/>
  <c r="L269" i="4"/>
  <c r="K269" i="4"/>
  <c r="M269" i="4" s="1"/>
  <c r="L606" i="4"/>
  <c r="K606" i="4"/>
  <c r="M606" i="4" s="1"/>
  <c r="N606" i="4" s="1"/>
  <c r="L609" i="4"/>
  <c r="K609" i="4"/>
  <c r="M609" i="4" s="1"/>
  <c r="N609" i="4" s="1"/>
  <c r="L468" i="4"/>
  <c r="K468" i="4"/>
  <c r="M468" i="4" s="1"/>
  <c r="N468" i="4" s="1"/>
  <c r="L761" i="4"/>
  <c r="K761" i="4"/>
  <c r="M761" i="4" s="1"/>
  <c r="N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L7" i="6"/>
  <c r="M7" i="6" s="1"/>
  <c r="O7" i="6" s="1"/>
  <c r="L198" i="6"/>
  <c r="M198" i="6" s="1"/>
  <c r="P198" i="6" s="1"/>
  <c r="K1082" i="4"/>
  <c r="M1082" i="4" s="1"/>
  <c r="N1082" i="4" s="1"/>
  <c r="K614" i="4"/>
  <c r="M614" i="4" s="1"/>
  <c r="N614" i="4" s="1"/>
  <c r="L614" i="4"/>
  <c r="K1097" i="4"/>
  <c r="M1097" i="4" s="1"/>
  <c r="N1097" i="4" s="1"/>
  <c r="L1097" i="4"/>
  <c r="L582" i="4"/>
  <c r="K582" i="4"/>
  <c r="M582" i="4" s="1"/>
  <c r="N582" i="4" s="1"/>
  <c r="L1002" i="4"/>
  <c r="K1002" i="4"/>
  <c r="M1002" i="4" s="1"/>
  <c r="N1002" i="4" s="1"/>
  <c r="L695" i="4"/>
  <c r="K695" i="4"/>
  <c r="M695" i="4" s="1"/>
  <c r="N695" i="4" s="1"/>
  <c r="K1311" i="4"/>
  <c r="M1311" i="4" s="1"/>
  <c r="N1311" i="4" s="1"/>
  <c r="L1311" i="4"/>
  <c r="L932" i="4"/>
  <c r="K932" i="4"/>
  <c r="M932" i="4" s="1"/>
  <c r="N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N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N367" i="4" s="1"/>
  <c r="L418" i="4"/>
  <c r="K418" i="4"/>
  <c r="M418" i="4" s="1"/>
  <c r="N418" i="4" s="1"/>
  <c r="L884" i="4"/>
  <c r="K884" i="4"/>
  <c r="M884" i="4" s="1"/>
  <c r="N884" i="4" s="1"/>
  <c r="L130" i="4"/>
  <c r="K130" i="4"/>
  <c r="M130" i="4" s="1"/>
  <c r="L1253" i="4"/>
  <c r="K1253" i="4"/>
  <c r="M1253" i="4" s="1"/>
  <c r="N1253" i="4" s="1"/>
  <c r="L1207" i="4"/>
  <c r="K1207" i="4"/>
  <c r="M1207" i="4" s="1"/>
  <c r="N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N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N869" i="4" s="1"/>
  <c r="L1007" i="4"/>
  <c r="K1007" i="4"/>
  <c r="M1007" i="4" s="1"/>
  <c r="N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N438" i="4" s="1"/>
  <c r="K564" i="4"/>
  <c r="M564" i="4" s="1"/>
  <c r="N564" i="4" s="1"/>
  <c r="L584" i="4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N694" i="4" s="1"/>
  <c r="L694" i="4"/>
  <c r="L1023" i="4"/>
  <c r="K1023" i="4"/>
  <c r="M1023" i="4" s="1"/>
  <c r="N1023" i="4" s="1"/>
  <c r="L166" i="4"/>
  <c r="K166" i="4"/>
  <c r="M166" i="4" s="1"/>
  <c r="L785" i="4"/>
  <c r="K785" i="4"/>
  <c r="M785" i="4" s="1"/>
  <c r="N785" i="4" s="1"/>
  <c r="L954" i="4"/>
  <c r="K954" i="4"/>
  <c r="M954" i="4" s="1"/>
  <c r="N954" i="4" s="1"/>
  <c r="L591" i="4"/>
  <c r="K591" i="4"/>
  <c r="M591" i="4" s="1"/>
  <c r="N591" i="4" s="1"/>
  <c r="K1265" i="4"/>
  <c r="M1265" i="4" s="1"/>
  <c r="N1265" i="4" s="1"/>
  <c r="L1265" i="4"/>
  <c r="L890" i="4"/>
  <c r="K890" i="4"/>
  <c r="M890" i="4" s="1"/>
  <c r="N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N1193" i="4" s="1"/>
  <c r="L935" i="4"/>
  <c r="K935" i="4"/>
  <c r="M935" i="4" s="1"/>
  <c r="N935" i="4" s="1"/>
  <c r="K821" i="4"/>
  <c r="M821" i="4" s="1"/>
  <c r="N821" i="4" s="1"/>
  <c r="L821" i="4"/>
  <c r="K879" i="4"/>
  <c r="M879" i="4" s="1"/>
  <c r="N879" i="4" s="1"/>
  <c r="L879" i="4"/>
  <c r="L1271" i="4"/>
  <c r="K1271" i="4"/>
  <c r="M1271" i="4" s="1"/>
  <c r="N1271" i="4" s="1"/>
  <c r="L1239" i="4"/>
  <c r="K1239" i="4"/>
  <c r="M1239" i="4" s="1"/>
  <c r="N1239" i="4" s="1"/>
  <c r="L882" i="4"/>
  <c r="K882" i="4"/>
  <c r="M882" i="4" s="1"/>
  <c r="N882" i="4" s="1"/>
  <c r="L845" i="4"/>
  <c r="K845" i="4"/>
  <c r="M845" i="4" s="1"/>
  <c r="N845" i="4" s="1"/>
  <c r="L401" i="4"/>
  <c r="K401" i="4"/>
  <c r="M401" i="4" s="1"/>
  <c r="N401" i="4" s="1"/>
  <c r="L538" i="4"/>
  <c r="K538" i="4"/>
  <c r="M538" i="4" s="1"/>
  <c r="N538" i="4" s="1"/>
  <c r="L933" i="4"/>
  <c r="K933" i="4"/>
  <c r="M933" i="4" s="1"/>
  <c r="N933" i="4" s="1"/>
  <c r="L793" i="4"/>
  <c r="K793" i="4"/>
  <c r="M793" i="4" s="1"/>
  <c r="N793" i="4" s="1"/>
  <c r="L346" i="4"/>
  <c r="K346" i="4"/>
  <c r="M346" i="4" s="1"/>
  <c r="N346" i="4" s="1"/>
  <c r="L110" i="4"/>
  <c r="K110" i="4"/>
  <c r="M110" i="4" s="1"/>
  <c r="L15" i="4"/>
  <c r="K15" i="4"/>
  <c r="M15" i="4" s="1"/>
  <c r="L1127" i="4"/>
  <c r="K1127" i="4"/>
  <c r="M1127" i="4" s="1"/>
  <c r="N1127" i="4" s="1"/>
  <c r="L753" i="4"/>
  <c r="K753" i="4"/>
  <c r="M753" i="4" s="1"/>
  <c r="N753" i="4" s="1"/>
  <c r="L781" i="4"/>
  <c r="K781" i="4"/>
  <c r="M781" i="4" s="1"/>
  <c r="N781" i="4" s="1"/>
  <c r="L793" i="6"/>
  <c r="K768" i="4"/>
  <c r="M768" i="4" s="1"/>
  <c r="N768" i="4" s="1"/>
  <c r="K304" i="4"/>
  <c r="M304" i="4" s="1"/>
  <c r="N304" i="4" s="1"/>
  <c r="L688" i="4"/>
  <c r="L544" i="4"/>
  <c r="K875" i="6"/>
  <c r="N875" i="6" s="1"/>
  <c r="L875" i="6"/>
  <c r="K265" i="6"/>
  <c r="N265" i="6" s="1"/>
  <c r="L265" i="6"/>
  <c r="L880" i="4"/>
  <c r="K880" i="4"/>
  <c r="M880" i="4" s="1"/>
  <c r="N880" i="4" s="1"/>
  <c r="L784" i="4"/>
  <c r="K784" i="4"/>
  <c r="M784" i="4" s="1"/>
  <c r="N784" i="4" s="1"/>
  <c r="L640" i="4"/>
  <c r="K640" i="4"/>
  <c r="M640" i="4" s="1"/>
  <c r="N640" i="4" s="1"/>
  <c r="K552" i="4"/>
  <c r="M552" i="4" s="1"/>
  <c r="N552" i="4" s="1"/>
  <c r="L552" i="4"/>
  <c r="K344" i="4"/>
  <c r="M344" i="4" s="1"/>
  <c r="N344" i="4" s="1"/>
  <c r="L344" i="4"/>
  <c r="K436" i="6"/>
  <c r="N436" i="6" s="1"/>
  <c r="L436" i="6"/>
  <c r="K652" i="6"/>
  <c r="N652" i="6" s="1"/>
  <c r="L652" i="6"/>
  <c r="K650" i="6"/>
  <c r="N650" i="6" s="1"/>
  <c r="L650" i="6"/>
  <c r="L1029" i="4"/>
  <c r="K1029" i="4"/>
  <c r="M1029" i="4" s="1"/>
  <c r="N1029" i="4" s="1"/>
  <c r="L738" i="4"/>
  <c r="K738" i="4"/>
  <c r="M738" i="4" s="1"/>
  <c r="N738" i="4" s="1"/>
  <c r="L1294" i="4"/>
  <c r="K1294" i="4"/>
  <c r="M1294" i="4" s="1"/>
  <c r="N1294" i="4" s="1"/>
  <c r="K347" i="4"/>
  <c r="M347" i="4" s="1"/>
  <c r="N347" i="4" s="1"/>
  <c r="L347" i="4"/>
  <c r="L637" i="4"/>
  <c r="K637" i="4"/>
  <c r="M637" i="4" s="1"/>
  <c r="N637" i="4" s="1"/>
  <c r="L370" i="4"/>
  <c r="K370" i="4"/>
  <c r="M370" i="4" s="1"/>
  <c r="N370" i="4" s="1"/>
  <c r="L1067" i="4"/>
  <c r="K1067" i="4"/>
  <c r="M1067" i="4" s="1"/>
  <c r="N1067" i="4" s="1"/>
  <c r="L1124" i="4"/>
  <c r="K1124" i="4"/>
  <c r="M1124" i="4" s="1"/>
  <c r="N1124" i="4" s="1"/>
  <c r="L1142" i="4"/>
  <c r="K1142" i="4"/>
  <c r="M1142" i="4" s="1"/>
  <c r="N1142" i="4" s="1"/>
  <c r="L1267" i="4"/>
  <c r="K1267" i="4"/>
  <c r="M1267" i="4" s="1"/>
  <c r="N1267" i="4" s="1"/>
  <c r="L142" i="4"/>
  <c r="K142" i="4"/>
  <c r="M142" i="4" s="1"/>
  <c r="L1015" i="4"/>
  <c r="K1015" i="4"/>
  <c r="M1015" i="4" s="1"/>
  <c r="N1015" i="4" s="1"/>
  <c r="L1313" i="4"/>
  <c r="K1313" i="4"/>
  <c r="M1313" i="4" s="1"/>
  <c r="N1313" i="4" s="1"/>
  <c r="L421" i="4"/>
  <c r="K421" i="4"/>
  <c r="M421" i="4" s="1"/>
  <c r="N421" i="4" s="1"/>
  <c r="L425" i="4"/>
  <c r="K425" i="4"/>
  <c r="M425" i="4" s="1"/>
  <c r="N425" i="4" s="1"/>
  <c r="L1194" i="4"/>
  <c r="K1194" i="4"/>
  <c r="M1194" i="4" s="1"/>
  <c r="N1194" i="4" s="1"/>
  <c r="L470" i="4"/>
  <c r="K470" i="4"/>
  <c r="M470" i="4" s="1"/>
  <c r="N470" i="4" s="1"/>
  <c r="L140" i="4"/>
  <c r="K140" i="4"/>
  <c r="M140" i="4" s="1"/>
  <c r="L925" i="4"/>
  <c r="K925" i="4"/>
  <c r="M925" i="4" s="1"/>
  <c r="N925" i="4" s="1"/>
  <c r="K127" i="4"/>
  <c r="M127" i="4" s="1"/>
  <c r="L127" i="4"/>
  <c r="K1144" i="4"/>
  <c r="M1144" i="4" s="1"/>
  <c r="N1144" i="4" s="1"/>
  <c r="L1144" i="4"/>
  <c r="L326" i="4"/>
  <c r="K326" i="4"/>
  <c r="M326" i="4" s="1"/>
  <c r="N326" i="4" s="1"/>
  <c r="K733" i="4"/>
  <c r="M733" i="4" s="1"/>
  <c r="N733" i="4" s="1"/>
  <c r="L733" i="4"/>
  <c r="L380" i="4"/>
  <c r="K380" i="4"/>
  <c r="M380" i="4" s="1"/>
  <c r="N380" i="4" s="1"/>
  <c r="L121" i="4"/>
  <c r="K121" i="4"/>
  <c r="M121" i="4" s="1"/>
  <c r="L133" i="4"/>
  <c r="K133" i="4"/>
  <c r="M133" i="4" s="1"/>
  <c r="L1141" i="4"/>
  <c r="K1141" i="4"/>
  <c r="M1141" i="4" s="1"/>
  <c r="N1141" i="4" s="1"/>
  <c r="L662" i="4"/>
  <c r="K662" i="4"/>
  <c r="M662" i="4" s="1"/>
  <c r="N662" i="4" s="1"/>
  <c r="L1041" i="4"/>
  <c r="K1041" i="4"/>
  <c r="M1041" i="4" s="1"/>
  <c r="N1041" i="4" s="1"/>
  <c r="L1027" i="4"/>
  <c r="K1027" i="4"/>
  <c r="M1027" i="4" s="1"/>
  <c r="N1027" i="4" s="1"/>
  <c r="L217" i="4"/>
  <c r="K217" i="4"/>
  <c r="M217" i="4" s="1"/>
  <c r="L892" i="4"/>
  <c r="K892" i="4"/>
  <c r="M892" i="4" s="1"/>
  <c r="N892" i="4" s="1"/>
  <c r="L769" i="4"/>
  <c r="K769" i="4"/>
  <c r="M769" i="4" s="1"/>
  <c r="N769" i="4" s="1"/>
  <c r="L1117" i="4"/>
  <c r="K1117" i="4"/>
  <c r="M1117" i="4" s="1"/>
  <c r="N1117" i="4" s="1"/>
  <c r="K875" i="4"/>
  <c r="M875" i="4" s="1"/>
  <c r="N875" i="4" s="1"/>
  <c r="L875" i="4"/>
  <c r="L922" i="4"/>
  <c r="K922" i="4"/>
  <c r="M922" i="4" s="1"/>
  <c r="N922" i="4" s="1"/>
  <c r="L434" i="4"/>
  <c r="K434" i="4"/>
  <c r="M434" i="4" s="1"/>
  <c r="N434" i="4" s="1"/>
  <c r="L1098" i="4"/>
  <c r="K1098" i="4"/>
  <c r="M1098" i="4" s="1"/>
  <c r="N1098" i="4" s="1"/>
  <c r="L697" i="4"/>
  <c r="K697" i="4"/>
  <c r="M697" i="4" s="1"/>
  <c r="N697" i="4" s="1"/>
  <c r="L1227" i="4"/>
  <c r="K1227" i="4"/>
  <c r="M1227" i="4" s="1"/>
  <c r="N1227" i="4" s="1"/>
  <c r="L700" i="4"/>
  <c r="K700" i="4"/>
  <c r="M700" i="4" s="1"/>
  <c r="N700" i="4" s="1"/>
  <c r="L968" i="4"/>
  <c r="K968" i="4"/>
  <c r="M968" i="4" s="1"/>
  <c r="N968" i="4" s="1"/>
  <c r="L463" i="4"/>
  <c r="K463" i="4"/>
  <c r="M463" i="4" s="1"/>
  <c r="N463" i="4" s="1"/>
  <c r="L26" i="4"/>
  <c r="K26" i="4"/>
  <c r="M26" i="4" s="1"/>
  <c r="K779" i="6"/>
  <c r="N779" i="6" s="1"/>
  <c r="L779" i="6"/>
  <c r="L960" i="4"/>
  <c r="K960" i="4"/>
  <c r="M960" i="4" s="1"/>
  <c r="N960" i="4" s="1"/>
  <c r="L704" i="4"/>
  <c r="K704" i="4"/>
  <c r="M704" i="4" s="1"/>
  <c r="N704" i="4" s="1"/>
  <c r="K569" i="6"/>
  <c r="N569" i="6" s="1"/>
  <c r="L569" i="6"/>
  <c r="K567" i="6"/>
  <c r="N567" i="6" s="1"/>
  <c r="L567" i="6"/>
  <c r="K76" i="6"/>
  <c r="N76" i="6" s="1"/>
  <c r="L76" i="6"/>
  <c r="L151" i="4"/>
  <c r="K151" i="4"/>
  <c r="M151" i="4" s="1"/>
  <c r="L1122" i="4"/>
  <c r="K1122" i="4"/>
  <c r="M1122" i="4" s="1"/>
  <c r="N1122" i="4" s="1"/>
  <c r="L177" i="4"/>
  <c r="K177" i="4"/>
  <c r="M177" i="4" s="1"/>
  <c r="L602" i="4"/>
  <c r="K602" i="4"/>
  <c r="M602" i="4" s="1"/>
  <c r="N602" i="4" s="1"/>
  <c r="L567" i="4"/>
  <c r="K567" i="4"/>
  <c r="M567" i="4" s="1"/>
  <c r="N567" i="4" s="1"/>
  <c r="L316" i="4"/>
  <c r="K316" i="4"/>
  <c r="M316" i="4" s="1"/>
  <c r="N316" i="4" s="1"/>
  <c r="L1307" i="4"/>
  <c r="K1307" i="4"/>
  <c r="M1307" i="4" s="1"/>
  <c r="N1307" i="4" s="1"/>
  <c r="L630" i="4"/>
  <c r="K630" i="4"/>
  <c r="M630" i="4" s="1"/>
  <c r="N630" i="4" s="1"/>
  <c r="L508" i="4"/>
  <c r="K508" i="4"/>
  <c r="M508" i="4" s="1"/>
  <c r="N508" i="4" s="1"/>
  <c r="L550" i="4"/>
  <c r="K550" i="4"/>
  <c r="M550" i="4" s="1"/>
  <c r="N550" i="4" s="1"/>
  <c r="L905" i="4"/>
  <c r="K905" i="4"/>
  <c r="M905" i="4" s="1"/>
  <c r="N905" i="4" s="1"/>
  <c r="L772" i="4"/>
  <c r="K772" i="4"/>
  <c r="M772" i="4" s="1"/>
  <c r="N772" i="4" s="1"/>
  <c r="K417" i="4"/>
  <c r="M417" i="4" s="1"/>
  <c r="N417" i="4" s="1"/>
  <c r="L417" i="4"/>
  <c r="L682" i="4"/>
  <c r="K682" i="4"/>
  <c r="M682" i="4" s="1"/>
  <c r="N682" i="4" s="1"/>
  <c r="L1013" i="4"/>
  <c r="K1013" i="4"/>
  <c r="M1013" i="4" s="1"/>
  <c r="N1013" i="4" s="1"/>
  <c r="K411" i="4"/>
  <c r="M411" i="4" s="1"/>
  <c r="N411" i="4" s="1"/>
  <c r="L411" i="4"/>
  <c r="L1157" i="4"/>
  <c r="K1157" i="4"/>
  <c r="M1157" i="4" s="1"/>
  <c r="N1157" i="4" s="1"/>
  <c r="K730" i="4"/>
  <c r="M730" i="4" s="1"/>
  <c r="N730" i="4" s="1"/>
  <c r="L730" i="4"/>
  <c r="K1212" i="4"/>
  <c r="M1212" i="4" s="1"/>
  <c r="N1212" i="4" s="1"/>
  <c r="L1212" i="4"/>
  <c r="L789" i="4"/>
  <c r="K789" i="4"/>
  <c r="M789" i="4" s="1"/>
  <c r="N789" i="4" s="1"/>
  <c r="K139" i="4"/>
  <c r="M139" i="4" s="1"/>
  <c r="L139" i="4"/>
  <c r="K748" i="4"/>
  <c r="M748" i="4" s="1"/>
  <c r="N748" i="4" s="1"/>
  <c r="L748" i="4"/>
  <c r="L157" i="4"/>
  <c r="K157" i="4"/>
  <c r="M157" i="4" s="1"/>
  <c r="K1001" i="4"/>
  <c r="M1001" i="4" s="1"/>
  <c r="N1001" i="4" s="1"/>
  <c r="L1001" i="4"/>
  <c r="L999" i="4"/>
  <c r="K999" i="4"/>
  <c r="M999" i="4" s="1"/>
  <c r="N999" i="4" s="1"/>
  <c r="L1019" i="4"/>
  <c r="K1019" i="4"/>
  <c r="M1019" i="4" s="1"/>
  <c r="N1019" i="4" s="1"/>
  <c r="L953" i="4"/>
  <c r="K953" i="4"/>
  <c r="M953" i="4" s="1"/>
  <c r="N953" i="4" s="1"/>
  <c r="K526" i="4"/>
  <c r="M526" i="4" s="1"/>
  <c r="N526" i="4" s="1"/>
  <c r="L526" i="4"/>
  <c r="L395" i="4"/>
  <c r="K395" i="4"/>
  <c r="M395" i="4" s="1"/>
  <c r="N395" i="4" s="1"/>
  <c r="L1252" i="4"/>
  <c r="K1252" i="4"/>
  <c r="M1252" i="4" s="1"/>
  <c r="N1252" i="4" s="1"/>
  <c r="L639" i="4"/>
  <c r="K639" i="4"/>
  <c r="M639" i="4" s="1"/>
  <c r="N639" i="4" s="1"/>
  <c r="K361" i="4"/>
  <c r="M361" i="4" s="1"/>
  <c r="N361" i="4" s="1"/>
  <c r="L361" i="4"/>
  <c r="L1223" i="4"/>
  <c r="K1223" i="4"/>
  <c r="M1223" i="4" s="1"/>
  <c r="N1223" i="4" s="1"/>
  <c r="L903" i="4"/>
  <c r="K903" i="4"/>
  <c r="M903" i="4" s="1"/>
  <c r="N903" i="4" s="1"/>
  <c r="L843" i="4"/>
  <c r="K843" i="4"/>
  <c r="M843" i="4" s="1"/>
  <c r="N843" i="4" s="1"/>
  <c r="L617" i="4"/>
  <c r="K617" i="4"/>
  <c r="M617" i="4" s="1"/>
  <c r="N617" i="4" s="1"/>
  <c r="L771" i="4"/>
  <c r="K771" i="4"/>
  <c r="M771" i="4" s="1"/>
  <c r="N771" i="4" s="1"/>
  <c r="L193" i="4"/>
  <c r="K193" i="4"/>
  <c r="M193" i="4" s="1"/>
  <c r="L37" i="4"/>
  <c r="K37" i="4"/>
  <c r="M37" i="4" s="1"/>
  <c r="L1024" i="4"/>
  <c r="K1024" i="4"/>
  <c r="M1024" i="4" s="1"/>
  <c r="N1024" i="4" s="1"/>
  <c r="L856" i="4"/>
  <c r="K856" i="4"/>
  <c r="M856" i="4" s="1"/>
  <c r="N856" i="4" s="1"/>
  <c r="L696" i="4"/>
  <c r="K696" i="4"/>
  <c r="M696" i="4" s="1"/>
  <c r="N696" i="4" s="1"/>
  <c r="L624" i="4"/>
  <c r="K624" i="4"/>
  <c r="M624" i="4" s="1"/>
  <c r="N624" i="4" s="1"/>
  <c r="L392" i="4"/>
  <c r="K392" i="4"/>
  <c r="M392" i="4" s="1"/>
  <c r="N392" i="4" s="1"/>
  <c r="L320" i="4"/>
  <c r="K320" i="4"/>
  <c r="M320" i="4" s="1"/>
  <c r="N320" i="4" s="1"/>
  <c r="K332" i="6"/>
  <c r="N332" i="6" s="1"/>
  <c r="L332" i="6"/>
  <c r="K1242" i="6"/>
  <c r="N1242" i="6" s="1"/>
  <c r="L1242" i="6"/>
  <c r="K972" i="6"/>
  <c r="N972" i="6" s="1"/>
  <c r="L972" i="6"/>
  <c r="L479" i="4"/>
  <c r="K479" i="4"/>
  <c r="M479" i="4" s="1"/>
  <c r="N479" i="4" s="1"/>
  <c r="L756" i="4"/>
  <c r="K756" i="4"/>
  <c r="M756" i="4" s="1"/>
  <c r="N756" i="4" s="1"/>
  <c r="L977" i="4"/>
  <c r="K977" i="4"/>
  <c r="M977" i="4" s="1"/>
  <c r="N977" i="4" s="1"/>
  <c r="K218" i="4"/>
  <c r="M218" i="4" s="1"/>
  <c r="L218" i="4"/>
  <c r="L823" i="4"/>
  <c r="K823" i="4"/>
  <c r="M823" i="4" s="1"/>
  <c r="N823" i="4" s="1"/>
  <c r="L541" i="4"/>
  <c r="K541" i="4"/>
  <c r="M541" i="4" s="1"/>
  <c r="N541" i="4" s="1"/>
  <c r="L331" i="4"/>
  <c r="K331" i="4"/>
  <c r="M331" i="4" s="1"/>
  <c r="N331" i="4" s="1"/>
  <c r="L11" i="4"/>
  <c r="K11" i="4"/>
  <c r="M11" i="4" s="1"/>
  <c r="K197" i="4"/>
  <c r="M197" i="4" s="1"/>
  <c r="L197" i="4"/>
  <c r="L907" i="4"/>
  <c r="K907" i="4"/>
  <c r="M907" i="4" s="1"/>
  <c r="N907" i="4" s="1"/>
  <c r="L815" i="4"/>
  <c r="K815" i="4"/>
  <c r="M815" i="4" s="1"/>
  <c r="N815" i="4" s="1"/>
  <c r="K276" i="4"/>
  <c r="M276" i="4" s="1"/>
  <c r="L276" i="4"/>
  <c r="L1278" i="4"/>
  <c r="K1278" i="4"/>
  <c r="M1278" i="4" s="1"/>
  <c r="N1278" i="4" s="1"/>
  <c r="L27" i="4"/>
  <c r="K27" i="4"/>
  <c r="M27" i="4" s="1"/>
  <c r="L1245" i="4"/>
  <c r="K1245" i="4"/>
  <c r="M1245" i="4" s="1"/>
  <c r="N1245" i="4" s="1"/>
  <c r="L429" i="4"/>
  <c r="K429" i="4"/>
  <c r="M429" i="4" s="1"/>
  <c r="N429" i="4" s="1"/>
  <c r="L1139" i="4"/>
  <c r="K1139" i="4"/>
  <c r="M1139" i="4" s="1"/>
  <c r="N1139" i="4" s="1"/>
  <c r="L1072" i="4"/>
  <c r="K1072" i="4"/>
  <c r="M1072" i="4" s="1"/>
  <c r="N1072" i="4" s="1"/>
  <c r="L628" i="4"/>
  <c r="K628" i="4"/>
  <c r="M628" i="4" s="1"/>
  <c r="N628" i="4" s="1"/>
  <c r="L681" i="4"/>
  <c r="K681" i="4"/>
  <c r="M681" i="4" s="1"/>
  <c r="N681" i="4" s="1"/>
  <c r="K117" i="4"/>
  <c r="M117" i="4" s="1"/>
  <c r="L117" i="4"/>
  <c r="L41" i="4"/>
  <c r="K41" i="4"/>
  <c r="M41" i="4" s="1"/>
  <c r="L404" i="4"/>
  <c r="K404" i="4"/>
  <c r="M404" i="4" s="1"/>
  <c r="N404" i="4" s="1"/>
  <c r="L487" i="4"/>
  <c r="K487" i="4"/>
  <c r="M487" i="4" s="1"/>
  <c r="N487" i="4" s="1"/>
  <c r="L994" i="4"/>
  <c r="K994" i="4"/>
  <c r="M994" i="4" s="1"/>
  <c r="N994" i="4" s="1"/>
  <c r="L969" i="4"/>
  <c r="K969" i="4"/>
  <c r="M969" i="4" s="1"/>
  <c r="N969" i="4" s="1"/>
  <c r="L549" i="4"/>
  <c r="K549" i="4"/>
  <c r="M549" i="4" s="1"/>
  <c r="N549" i="4" s="1"/>
  <c r="L202" i="4"/>
  <c r="K202" i="4"/>
  <c r="M202" i="4" s="1"/>
  <c r="K1228" i="4"/>
  <c r="M1228" i="4" s="1"/>
  <c r="N1228" i="4" s="1"/>
  <c r="L1228" i="4"/>
  <c r="L433" i="4"/>
  <c r="K433" i="4"/>
  <c r="M433" i="4" s="1"/>
  <c r="N433" i="4" s="1"/>
  <c r="L52" i="4"/>
  <c r="K52" i="4"/>
  <c r="M52" i="4" s="1"/>
  <c r="L1174" i="4"/>
  <c r="K1174" i="4"/>
  <c r="M1174" i="4" s="1"/>
  <c r="N1174" i="4" s="1"/>
  <c r="L1138" i="4"/>
  <c r="K1138" i="4"/>
  <c r="M1138" i="4" s="1"/>
  <c r="N1138" i="4" s="1"/>
  <c r="L801" i="4"/>
  <c r="K801" i="4"/>
  <c r="M801" i="4" s="1"/>
  <c r="N801" i="4" s="1"/>
  <c r="L746" i="4"/>
  <c r="K746" i="4"/>
  <c r="M746" i="4" s="1"/>
  <c r="N746" i="4" s="1"/>
  <c r="L25" i="4"/>
  <c r="K25" i="4"/>
  <c r="M25" i="4" s="1"/>
  <c r="L185" i="4"/>
  <c r="K185" i="4"/>
  <c r="M185" i="4" s="1"/>
  <c r="L71" i="6"/>
  <c r="M71" i="6" s="1"/>
  <c r="K491" i="6"/>
  <c r="N491" i="6" s="1"/>
  <c r="L491" i="6"/>
  <c r="L752" i="4"/>
  <c r="K752" i="4"/>
  <c r="M752" i="4" s="1"/>
  <c r="N752" i="4" s="1"/>
  <c r="L608" i="4"/>
  <c r="K608" i="4"/>
  <c r="M608" i="4" s="1"/>
  <c r="N608" i="4" s="1"/>
  <c r="L456" i="4"/>
  <c r="K456" i="4"/>
  <c r="M456" i="4" s="1"/>
  <c r="N456" i="4" s="1"/>
  <c r="K546" i="6"/>
  <c r="N546" i="6" s="1"/>
  <c r="L546" i="6"/>
  <c r="K738" i="6"/>
  <c r="N738" i="6" s="1"/>
  <c r="L738" i="6"/>
  <c r="K42" i="6"/>
  <c r="N42" i="6" s="1"/>
  <c r="L42" i="6"/>
  <c r="K371" i="6"/>
  <c r="N371" i="6" s="1"/>
  <c r="L371" i="6"/>
  <c r="L377" i="4"/>
  <c r="K377" i="4"/>
  <c r="M377" i="4" s="1"/>
  <c r="N377" i="4" s="1"/>
  <c r="L162" i="4"/>
  <c r="K162" i="4"/>
  <c r="M162" i="4" s="1"/>
  <c r="L561" i="4"/>
  <c r="K561" i="4"/>
  <c r="M561" i="4" s="1"/>
  <c r="N561" i="4" s="1"/>
  <c r="L727" i="4"/>
  <c r="K727" i="4"/>
  <c r="M727" i="4" s="1"/>
  <c r="N727" i="4" s="1"/>
  <c r="L698" i="4"/>
  <c r="K698" i="4"/>
  <c r="M698" i="4" s="1"/>
  <c r="N698" i="4" s="1"/>
  <c r="L556" i="4"/>
  <c r="K556" i="4"/>
  <c r="M556" i="4" s="1"/>
  <c r="N556" i="4" s="1"/>
  <c r="L731" i="4"/>
  <c r="K731" i="4"/>
  <c r="M731" i="4" s="1"/>
  <c r="N731" i="4" s="1"/>
  <c r="K1084" i="4"/>
  <c r="M1084" i="4" s="1"/>
  <c r="N1084" i="4" s="1"/>
  <c r="L1084" i="4"/>
  <c r="L1251" i="4"/>
  <c r="K1251" i="4"/>
  <c r="M1251" i="4" s="1"/>
  <c r="N1251" i="4" s="1"/>
  <c r="L1010" i="4"/>
  <c r="K1010" i="4"/>
  <c r="M1010" i="4" s="1"/>
  <c r="N1010" i="4" s="1"/>
  <c r="K766" i="4"/>
  <c r="M766" i="4" s="1"/>
  <c r="N766" i="4" s="1"/>
  <c r="L766" i="4"/>
  <c r="L1283" i="4"/>
  <c r="K1283" i="4"/>
  <c r="M1283" i="4" s="1"/>
  <c r="N1283" i="4" s="1"/>
  <c r="L282" i="4"/>
  <c r="K282" i="4"/>
  <c r="M282" i="4" s="1"/>
  <c r="L1171" i="4"/>
  <c r="K1171" i="4"/>
  <c r="M1171" i="4" s="1"/>
  <c r="N1171" i="4" s="1"/>
  <c r="K780" i="4"/>
  <c r="M780" i="4" s="1"/>
  <c r="N780" i="4" s="1"/>
  <c r="L780" i="4"/>
  <c r="L978" i="4"/>
  <c r="K978" i="4"/>
  <c r="M978" i="4" s="1"/>
  <c r="N978" i="4" s="1"/>
  <c r="L1052" i="4"/>
  <c r="K1052" i="4"/>
  <c r="M1052" i="4" s="1"/>
  <c r="N1052" i="4" s="1"/>
  <c r="L749" i="4"/>
  <c r="K749" i="4"/>
  <c r="M749" i="4" s="1"/>
  <c r="N749" i="4" s="1"/>
  <c r="L337" i="4"/>
  <c r="K337" i="4"/>
  <c r="M337" i="4" s="1"/>
  <c r="N337" i="4" s="1"/>
  <c r="L123" i="4"/>
  <c r="K123" i="4"/>
  <c r="M123" i="4" s="1"/>
  <c r="K1235" i="4"/>
  <c r="M1235" i="4" s="1"/>
  <c r="N1235" i="4" s="1"/>
  <c r="L1235" i="4"/>
  <c r="L803" i="4"/>
  <c r="K803" i="4"/>
  <c r="M803" i="4" s="1"/>
  <c r="N803" i="4" s="1"/>
  <c r="L89" i="4"/>
  <c r="K89" i="4"/>
  <c r="M89" i="4" s="1"/>
  <c r="L1266" i="4"/>
  <c r="K1266" i="4"/>
  <c r="M1266" i="4" s="1"/>
  <c r="N1266" i="4" s="1"/>
  <c r="L1135" i="4"/>
  <c r="K1135" i="4"/>
  <c r="M1135" i="4" s="1"/>
  <c r="N1135" i="4" s="1"/>
  <c r="L611" i="4"/>
  <c r="K611" i="4"/>
  <c r="M611" i="4" s="1"/>
  <c r="N611" i="4" s="1"/>
  <c r="K629" i="4"/>
  <c r="M629" i="4" s="1"/>
  <c r="N629" i="4" s="1"/>
  <c r="L629" i="4"/>
  <c r="L588" i="4"/>
  <c r="K588" i="4"/>
  <c r="M588" i="4" s="1"/>
  <c r="N588" i="4" s="1"/>
  <c r="K1055" i="4"/>
  <c r="M1055" i="4" s="1"/>
  <c r="N1055" i="4" s="1"/>
  <c r="L1055" i="4"/>
  <c r="L791" i="4"/>
  <c r="K791" i="4"/>
  <c r="M791" i="4" s="1"/>
  <c r="N791" i="4" s="1"/>
  <c r="L1164" i="4"/>
  <c r="K1164" i="4"/>
  <c r="M1164" i="4" s="1"/>
  <c r="N1164" i="4" s="1"/>
  <c r="L295" i="4"/>
  <c r="K295" i="4"/>
  <c r="M295" i="4" s="1"/>
  <c r="L924" i="4"/>
  <c r="K924" i="4"/>
  <c r="M924" i="4" s="1"/>
  <c r="N924" i="4" s="1"/>
  <c r="L55" i="4"/>
  <c r="K55" i="4"/>
  <c r="M55" i="4" s="1"/>
  <c r="L1110" i="4"/>
  <c r="K1110" i="4"/>
  <c r="M1110" i="4" s="1"/>
  <c r="N1110" i="4" s="1"/>
  <c r="K754" i="4"/>
  <c r="M754" i="4" s="1"/>
  <c r="N754" i="4" s="1"/>
  <c r="L754" i="4"/>
  <c r="L20" i="4"/>
  <c r="K20" i="4"/>
  <c r="M20" i="4" s="1"/>
  <c r="L1268" i="4"/>
  <c r="K1268" i="4"/>
  <c r="M1268" i="4" s="1"/>
  <c r="N1268" i="4" s="1"/>
  <c r="K153" i="4"/>
  <c r="M153" i="4" s="1"/>
  <c r="L153" i="4"/>
  <c r="L840" i="4"/>
  <c r="K840" i="4"/>
  <c r="M840" i="4" s="1"/>
  <c r="N840" i="4" s="1"/>
  <c r="K600" i="4"/>
  <c r="M600" i="4" s="1"/>
  <c r="N600" i="4" s="1"/>
  <c r="L600" i="4"/>
  <c r="L376" i="4"/>
  <c r="K376" i="4"/>
  <c r="M376" i="4" s="1"/>
  <c r="N376" i="4" s="1"/>
  <c r="K777" i="6"/>
  <c r="N777" i="6" s="1"/>
  <c r="L777" i="6"/>
  <c r="K216" i="6"/>
  <c r="N216" i="6" s="1"/>
  <c r="L216" i="6"/>
  <c r="K168" i="6"/>
  <c r="N168" i="6" s="1"/>
  <c r="L168" i="6"/>
  <c r="L553" i="6"/>
  <c r="L1280" i="4"/>
  <c r="K1280" i="4"/>
  <c r="M1280" i="4" s="1"/>
  <c r="N1280" i="4" s="1"/>
  <c r="L53" i="4"/>
  <c r="K53" i="4"/>
  <c r="M53" i="4" s="1"/>
  <c r="L577" i="4"/>
  <c r="K577" i="4"/>
  <c r="M577" i="4" s="1"/>
  <c r="N577" i="4" s="1"/>
  <c r="L1043" i="4"/>
  <c r="K1043" i="4"/>
  <c r="M1043" i="4" s="1"/>
  <c r="N1043" i="4" s="1"/>
  <c r="L452" i="4"/>
  <c r="K452" i="4"/>
  <c r="M452" i="4" s="1"/>
  <c r="N452" i="4" s="1"/>
  <c r="L847" i="4"/>
  <c r="K847" i="4"/>
  <c r="M847" i="4" s="1"/>
  <c r="N847" i="4" s="1"/>
  <c r="L571" i="4"/>
  <c r="K571" i="4"/>
  <c r="M571" i="4" s="1"/>
  <c r="N571" i="4" s="1"/>
  <c r="L937" i="4"/>
  <c r="K937" i="4"/>
  <c r="M937" i="4" s="1"/>
  <c r="N937" i="4" s="1"/>
  <c r="L113" i="4"/>
  <c r="K113" i="4"/>
  <c r="M113" i="4" s="1"/>
  <c r="L108" i="4"/>
  <c r="K108" i="4"/>
  <c r="M108" i="4" s="1"/>
  <c r="L1146" i="4"/>
  <c r="K1146" i="4"/>
  <c r="M1146" i="4" s="1"/>
  <c r="N1146" i="4" s="1"/>
  <c r="L910" i="4"/>
  <c r="K910" i="4"/>
  <c r="M910" i="4" s="1"/>
  <c r="N910" i="4" s="1"/>
  <c r="L476" i="4"/>
  <c r="K476" i="4"/>
  <c r="M476" i="4" s="1"/>
  <c r="N476" i="4" s="1"/>
  <c r="L765" i="4"/>
  <c r="K765" i="4"/>
  <c r="M765" i="4" s="1"/>
  <c r="N765" i="4" s="1"/>
  <c r="L1160" i="4"/>
  <c r="K1160" i="4"/>
  <c r="M1160" i="4" s="1"/>
  <c r="N1160" i="4" s="1"/>
  <c r="L1012" i="4"/>
  <c r="K1012" i="4"/>
  <c r="M1012" i="4" s="1"/>
  <c r="N1012" i="4" s="1"/>
  <c r="L1121" i="4"/>
  <c r="K1121" i="4"/>
  <c r="M1121" i="4" s="1"/>
  <c r="N1121" i="4" s="1"/>
  <c r="K984" i="4"/>
  <c r="M984" i="4" s="1"/>
  <c r="N984" i="4" s="1"/>
  <c r="L984" i="4"/>
  <c r="L36" i="4"/>
  <c r="K36" i="4"/>
  <c r="M36" i="4" s="1"/>
  <c r="K459" i="4"/>
  <c r="M459" i="4" s="1"/>
  <c r="N459" i="4" s="1"/>
  <c r="L459" i="4"/>
  <c r="L667" i="4"/>
  <c r="K667" i="4"/>
  <c r="M667" i="4" s="1"/>
  <c r="N667" i="4" s="1"/>
  <c r="L447" i="4"/>
  <c r="K447" i="4"/>
  <c r="M447" i="4" s="1"/>
  <c r="N447" i="4" s="1"/>
  <c r="L1056" i="4"/>
  <c r="K1056" i="4"/>
  <c r="M1056" i="4" s="1"/>
  <c r="N1056" i="4" s="1"/>
  <c r="L499" i="4"/>
  <c r="K499" i="4"/>
  <c r="M499" i="4" s="1"/>
  <c r="N499" i="4" s="1"/>
  <c r="L906" i="4"/>
  <c r="K906" i="4"/>
  <c r="M906" i="4" s="1"/>
  <c r="N906" i="4" s="1"/>
  <c r="L818" i="4"/>
  <c r="K818" i="4"/>
  <c r="M818" i="4" s="1"/>
  <c r="N818" i="4" s="1"/>
  <c r="L1270" i="4"/>
  <c r="K1270" i="4"/>
  <c r="M1270" i="4" s="1"/>
  <c r="N1270" i="4" s="1"/>
  <c r="L546" i="4"/>
  <c r="K546" i="4"/>
  <c r="M546" i="4" s="1"/>
  <c r="N546" i="4" s="1"/>
  <c r="L813" i="4"/>
  <c r="K813" i="4"/>
  <c r="M813" i="4" s="1"/>
  <c r="N813" i="4" s="1"/>
  <c r="L204" i="4"/>
  <c r="K204" i="4"/>
  <c r="M204" i="4" s="1"/>
  <c r="K735" i="4"/>
  <c r="M735" i="4" s="1"/>
  <c r="N735" i="4" s="1"/>
  <c r="L735" i="4"/>
  <c r="L557" i="4"/>
  <c r="K557" i="4"/>
  <c r="M557" i="4" s="1"/>
  <c r="N557" i="4" s="1"/>
  <c r="L537" i="4"/>
  <c r="K537" i="4"/>
  <c r="M537" i="4" s="1"/>
  <c r="N537" i="4" s="1"/>
  <c r="L987" i="4"/>
  <c r="K987" i="4"/>
  <c r="M987" i="4" s="1"/>
  <c r="N987" i="4" s="1"/>
  <c r="L101" i="4"/>
  <c r="K101" i="4"/>
  <c r="M101" i="4" s="1"/>
  <c r="L1107" i="4"/>
  <c r="K1107" i="4"/>
  <c r="M1107" i="4" s="1"/>
  <c r="N1107" i="4" s="1"/>
  <c r="L1190" i="4"/>
  <c r="K1190" i="4"/>
  <c r="M1190" i="4" s="1"/>
  <c r="N1190" i="4" s="1"/>
  <c r="L386" i="4"/>
  <c r="K386" i="4"/>
  <c r="M386" i="4" s="1"/>
  <c r="N386" i="4" s="1"/>
  <c r="K284" i="4"/>
  <c r="M284" i="4" s="1"/>
  <c r="N284" i="4" s="1"/>
  <c r="L1102" i="4"/>
  <c r="K1102" i="4"/>
  <c r="M1102" i="4" s="1"/>
  <c r="N1102" i="4" s="1"/>
  <c r="L291" i="4"/>
  <c r="K291" i="4"/>
  <c r="M291" i="4" s="1"/>
  <c r="L820" i="4"/>
  <c r="K820" i="4"/>
  <c r="M820" i="4" s="1"/>
  <c r="N820" i="4" s="1"/>
  <c r="K1213" i="6"/>
  <c r="N1213" i="6" s="1"/>
  <c r="L1213" i="6"/>
  <c r="L35" i="4"/>
  <c r="K35" i="4"/>
  <c r="M35" i="4" s="1"/>
  <c r="L324" i="6"/>
  <c r="L489" i="6"/>
  <c r="K248" i="4"/>
  <c r="M248" i="4" s="1"/>
  <c r="N248" i="4" s="1"/>
  <c r="K192" i="4"/>
  <c r="M192" i="4" s="1"/>
  <c r="N192" i="4" s="1"/>
  <c r="L312" i="4"/>
  <c r="K536" i="4"/>
  <c r="M536" i="4" s="1"/>
  <c r="N536" i="4" s="1"/>
  <c r="K912" i="4"/>
  <c r="M912" i="4" s="1"/>
  <c r="N912" i="4" s="1"/>
  <c r="K632" i="4"/>
  <c r="M632" i="4" s="1"/>
  <c r="N632" i="4" s="1"/>
  <c r="K363" i="6"/>
  <c r="N363" i="6" s="1"/>
  <c r="L363" i="6"/>
  <c r="K572" i="6"/>
  <c r="N572" i="6" s="1"/>
  <c r="L572" i="6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N440" i="4" s="1"/>
  <c r="L440" i="4"/>
  <c r="L160" i="4"/>
  <c r="K160" i="4"/>
  <c r="M160" i="4" s="1"/>
  <c r="K466" i="6"/>
  <c r="N466" i="6" s="1"/>
  <c r="L466" i="6"/>
  <c r="K950" i="6"/>
  <c r="N950" i="6" s="1"/>
  <c r="L950" i="6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N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N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N1159" i="4" s="1"/>
  <c r="L1159" i="4"/>
  <c r="L10" i="4"/>
  <c r="K10" i="4"/>
  <c r="M10" i="4" s="1"/>
  <c r="K1189" i="4"/>
  <c r="M1189" i="4" s="1"/>
  <c r="N1189" i="4" s="1"/>
  <c r="L1189" i="4"/>
  <c r="K1150" i="4"/>
  <c r="M1150" i="4" s="1"/>
  <c r="N1150" i="4" s="1"/>
  <c r="L1150" i="4"/>
  <c r="L50" i="4"/>
  <c r="K50" i="4"/>
  <c r="M50" i="4" s="1"/>
  <c r="L308" i="4"/>
  <c r="K308" i="4"/>
  <c r="M308" i="4" s="1"/>
  <c r="N308" i="4" s="1"/>
  <c r="L491" i="4"/>
  <c r="K491" i="4"/>
  <c r="M491" i="4" s="1"/>
  <c r="N491" i="4" s="1"/>
  <c r="L605" i="4"/>
  <c r="K605" i="4"/>
  <c r="M605" i="4" s="1"/>
  <c r="N605" i="4" s="1"/>
  <c r="L98" i="4"/>
  <c r="K98" i="4"/>
  <c r="M98" i="4" s="1"/>
  <c r="L30" i="4"/>
  <c r="K30" i="4"/>
  <c r="M30" i="4" s="1"/>
  <c r="L475" i="4"/>
  <c r="K475" i="4"/>
  <c r="M475" i="4" s="1"/>
  <c r="N475" i="4" s="1"/>
  <c r="L1262" i="4"/>
  <c r="K1262" i="4"/>
  <c r="M1262" i="4" s="1"/>
  <c r="N1262" i="4" s="1"/>
  <c r="L222" i="4"/>
  <c r="K222" i="4"/>
  <c r="M222" i="4" s="1"/>
  <c r="K527" i="4"/>
  <c r="M527" i="4" s="1"/>
  <c r="N527" i="4" s="1"/>
  <c r="L527" i="4"/>
  <c r="L620" i="4"/>
  <c r="K620" i="4"/>
  <c r="M620" i="4" s="1"/>
  <c r="N620" i="4" s="1"/>
  <c r="K1046" i="4"/>
  <c r="M1046" i="4" s="1"/>
  <c r="N1046" i="4" s="1"/>
  <c r="L1046" i="4"/>
  <c r="L1274" i="4"/>
  <c r="K1274" i="4"/>
  <c r="M1274" i="4" s="1"/>
  <c r="N1274" i="4" s="1"/>
  <c r="L1256" i="4"/>
  <c r="K1256" i="4"/>
  <c r="M1256" i="4" s="1"/>
  <c r="N1256" i="4" s="1"/>
  <c r="L107" i="4"/>
  <c r="K107" i="4"/>
  <c r="M107" i="4" s="1"/>
  <c r="L95" i="4"/>
  <c r="K95" i="4"/>
  <c r="M95" i="4" s="1"/>
  <c r="L674" i="4"/>
  <c r="K674" i="4"/>
  <c r="M674" i="4" s="1"/>
  <c r="N674" i="4" s="1"/>
  <c r="L1221" i="4"/>
  <c r="K1221" i="4"/>
  <c r="M1221" i="4" s="1"/>
  <c r="N1221" i="4" s="1"/>
  <c r="L1250" i="4"/>
  <c r="K1250" i="4"/>
  <c r="M1250" i="4" s="1"/>
  <c r="N1250" i="4" s="1"/>
  <c r="L744" i="4"/>
  <c r="K744" i="4"/>
  <c r="M744" i="4" s="1"/>
  <c r="N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N328" i="4" s="1"/>
  <c r="K309" i="6"/>
  <c r="N309" i="6" s="1"/>
  <c r="L309" i="6"/>
  <c r="K737" i="6"/>
  <c r="N737" i="6" s="1"/>
  <c r="L737" i="6"/>
  <c r="K382" i="6"/>
  <c r="N382" i="6" s="1"/>
  <c r="L382" i="6"/>
  <c r="L728" i="4"/>
  <c r="K728" i="4"/>
  <c r="M728" i="4" s="1"/>
  <c r="N728" i="4" s="1"/>
  <c r="K316" i="6"/>
  <c r="N316" i="6" s="1"/>
  <c r="L316" i="6"/>
  <c r="K1290" i="6"/>
  <c r="N1290" i="6" s="1"/>
  <c r="L1290" i="6"/>
  <c r="K1111" i="6"/>
  <c r="N1111" i="6" s="1"/>
  <c r="L1111" i="6"/>
  <c r="L1213" i="4"/>
  <c r="K1213" i="4"/>
  <c r="M1213" i="4" s="1"/>
  <c r="N1213" i="4" s="1"/>
  <c r="L283" i="4"/>
  <c r="K283" i="4"/>
  <c r="M283" i="4" s="1"/>
  <c r="L1309" i="4"/>
  <c r="K1309" i="4"/>
  <c r="M1309" i="4" s="1"/>
  <c r="N1309" i="4" s="1"/>
  <c r="L1173" i="4"/>
  <c r="K1173" i="4"/>
  <c r="M1173" i="4" s="1"/>
  <c r="N1173" i="4" s="1"/>
  <c r="K68" i="4"/>
  <c r="M68" i="4" s="1"/>
  <c r="L68" i="4"/>
  <c r="K118" i="4"/>
  <c r="M118" i="4" s="1"/>
  <c r="L118" i="4"/>
  <c r="K981" i="4"/>
  <c r="M981" i="4" s="1"/>
  <c r="N981" i="4" s="1"/>
  <c r="L981" i="4"/>
  <c r="L473" i="4"/>
  <c r="K473" i="4"/>
  <c r="M473" i="4" s="1"/>
  <c r="N473" i="4" s="1"/>
  <c r="K758" i="4"/>
  <c r="M758" i="4" s="1"/>
  <c r="N758" i="4" s="1"/>
  <c r="L758" i="4"/>
  <c r="L182" i="4"/>
  <c r="K182" i="4"/>
  <c r="M182" i="4" s="1"/>
  <c r="L289" i="4"/>
  <c r="K289" i="4"/>
  <c r="M289" i="4" s="1"/>
  <c r="L1217" i="4"/>
  <c r="K1217" i="4"/>
  <c r="M1217" i="4" s="1"/>
  <c r="N1217" i="4" s="1"/>
  <c r="L579" i="4"/>
  <c r="K579" i="4"/>
  <c r="M579" i="4" s="1"/>
  <c r="N579" i="4" s="1"/>
  <c r="L43" i="4"/>
  <c r="K43" i="4"/>
  <c r="M43" i="4" s="1"/>
  <c r="L997" i="4"/>
  <c r="K997" i="4"/>
  <c r="M997" i="4" s="1"/>
  <c r="N997" i="4" s="1"/>
  <c r="K985" i="4"/>
  <c r="M985" i="4" s="1"/>
  <c r="N985" i="4" s="1"/>
  <c r="L985" i="4"/>
  <c r="L1058" i="4"/>
  <c r="K1058" i="4"/>
  <c r="M1058" i="4" s="1"/>
  <c r="N1058" i="4" s="1"/>
  <c r="L607" i="4"/>
  <c r="K607" i="4"/>
  <c r="M607" i="4" s="1"/>
  <c r="N607" i="4" s="1"/>
  <c r="L1075" i="4"/>
  <c r="K1075" i="4"/>
  <c r="M1075" i="4" s="1"/>
  <c r="N1075" i="4" s="1"/>
  <c r="L187" i="4"/>
  <c r="K187" i="4"/>
  <c r="M187" i="4" s="1"/>
  <c r="L1100" i="4"/>
  <c r="K1100" i="4"/>
  <c r="M1100" i="4" s="1"/>
  <c r="N1100" i="4" s="1"/>
  <c r="L311" i="4"/>
  <c r="K311" i="4"/>
  <c r="M311" i="4" s="1"/>
  <c r="N311" i="4" s="1"/>
  <c r="L1025" i="4"/>
  <c r="K1025" i="4"/>
  <c r="M1025" i="4" s="1"/>
  <c r="N1025" i="4" s="1"/>
  <c r="L387" i="4"/>
  <c r="K387" i="4"/>
  <c r="M387" i="4" s="1"/>
  <c r="N387" i="4" s="1"/>
  <c r="L234" i="4"/>
  <c r="K234" i="4"/>
  <c r="M234" i="4" s="1"/>
  <c r="L774" i="4"/>
  <c r="K774" i="4"/>
  <c r="M774" i="4" s="1"/>
  <c r="N774" i="4" s="1"/>
  <c r="L1096" i="4"/>
  <c r="K1096" i="4"/>
  <c r="M1096" i="4" s="1"/>
  <c r="N1096" i="4" s="1"/>
  <c r="L982" i="4"/>
  <c r="K982" i="4"/>
  <c r="M982" i="4" s="1"/>
  <c r="N982" i="4" s="1"/>
  <c r="L474" i="4"/>
  <c r="K474" i="4"/>
  <c r="M474" i="4" s="1"/>
  <c r="N474" i="4" s="1"/>
  <c r="L726" i="4"/>
  <c r="K726" i="4"/>
  <c r="M726" i="4" s="1"/>
  <c r="N726" i="4" s="1"/>
  <c r="K597" i="4"/>
  <c r="M597" i="4" s="1"/>
  <c r="N597" i="4" s="1"/>
  <c r="L597" i="4"/>
  <c r="L646" i="4"/>
  <c r="K646" i="4"/>
  <c r="M646" i="4" s="1"/>
  <c r="N646" i="4" s="1"/>
  <c r="L251" i="4"/>
  <c r="K251" i="4"/>
  <c r="M251" i="4" s="1"/>
  <c r="K365" i="4"/>
  <c r="M365" i="4" s="1"/>
  <c r="N365" i="4" s="1"/>
  <c r="L365" i="4"/>
  <c r="K762" i="4"/>
  <c r="M762" i="4" s="1"/>
  <c r="N762" i="4" s="1"/>
  <c r="L762" i="4"/>
  <c r="L796" i="4"/>
  <c r="K796" i="4"/>
  <c r="M796" i="4" s="1"/>
  <c r="N796" i="4" s="1"/>
  <c r="L426" i="4"/>
  <c r="K426" i="4"/>
  <c r="M426" i="4" s="1"/>
  <c r="N426" i="4" s="1"/>
  <c r="L1053" i="4"/>
  <c r="K1053" i="4"/>
  <c r="M1053" i="4" s="1"/>
  <c r="N1053" i="4" s="1"/>
  <c r="K354" i="4"/>
  <c r="M354" i="4" s="1"/>
  <c r="N354" i="4" s="1"/>
  <c r="L354" i="4"/>
  <c r="L750" i="4"/>
  <c r="K750" i="4"/>
  <c r="M750" i="4" s="1"/>
  <c r="N750" i="4" s="1"/>
  <c r="L930" i="4"/>
  <c r="K930" i="4"/>
  <c r="M930" i="4" s="1"/>
  <c r="N930" i="4" s="1"/>
  <c r="K680" i="4"/>
  <c r="M680" i="4" s="1"/>
  <c r="N680" i="4" s="1"/>
  <c r="L680" i="4"/>
  <c r="L269" i="6"/>
  <c r="K184" i="4"/>
  <c r="M184" i="4" s="1"/>
  <c r="N184" i="4" s="1"/>
  <c r="K256" i="4"/>
  <c r="M256" i="4" s="1"/>
  <c r="N256" i="4" s="1"/>
  <c r="L1218" i="4"/>
  <c r="K408" i="4"/>
  <c r="M408" i="4" s="1"/>
  <c r="N408" i="4" s="1"/>
  <c r="K271" i="6"/>
  <c r="N271" i="6" s="1"/>
  <c r="L271" i="6"/>
  <c r="L888" i="4"/>
  <c r="K888" i="4"/>
  <c r="M888" i="4" s="1"/>
  <c r="N888" i="4" s="1"/>
  <c r="L488" i="4"/>
  <c r="K488" i="4"/>
  <c r="M488" i="4" s="1"/>
  <c r="N488" i="4" s="1"/>
  <c r="L416" i="4"/>
  <c r="K416" i="4"/>
  <c r="M416" i="4" s="1"/>
  <c r="N416" i="4" s="1"/>
  <c r="L208" i="4"/>
  <c r="K208" i="4"/>
  <c r="M208" i="4" s="1"/>
  <c r="K594" i="6"/>
  <c r="N594" i="6" s="1"/>
  <c r="L594" i="6"/>
  <c r="K458" i="6"/>
  <c r="N458" i="6" s="1"/>
  <c r="L458" i="6"/>
  <c r="K1016" i="6"/>
  <c r="N1016" i="6" s="1"/>
  <c r="L1016" i="6"/>
  <c r="L973" i="4"/>
  <c r="K973" i="4"/>
  <c r="M973" i="4" s="1"/>
  <c r="N973" i="4" s="1"/>
  <c r="L76" i="4"/>
  <c r="K76" i="4"/>
  <c r="M76" i="4" s="1"/>
  <c r="L1230" i="4"/>
  <c r="K1230" i="4"/>
  <c r="M1230" i="4" s="1"/>
  <c r="N1230" i="4" s="1"/>
  <c r="L288" i="6"/>
  <c r="L958" i="4"/>
  <c r="K958" i="4"/>
  <c r="M958" i="4" s="1"/>
  <c r="N958" i="4" s="1"/>
  <c r="K1297" i="4"/>
  <c r="M1297" i="4" s="1"/>
  <c r="N1297" i="4" s="1"/>
  <c r="L1297" i="4"/>
  <c r="L988" i="4"/>
  <c r="K988" i="4"/>
  <c r="M988" i="4" s="1"/>
  <c r="N988" i="4" s="1"/>
  <c r="L1087" i="4"/>
  <c r="K1087" i="4"/>
  <c r="M1087" i="4" s="1"/>
  <c r="N1087" i="4" s="1"/>
  <c r="L302" i="4"/>
  <c r="K302" i="4"/>
  <c r="M302" i="4" s="1"/>
  <c r="N302" i="4" s="1"/>
  <c r="L189" i="4"/>
  <c r="K189" i="4"/>
  <c r="M189" i="4" s="1"/>
  <c r="L870" i="4"/>
  <c r="K870" i="4"/>
  <c r="M870" i="4" s="1"/>
  <c r="N870" i="4" s="1"/>
  <c r="L642" i="4"/>
  <c r="K642" i="4"/>
  <c r="M642" i="4" s="1"/>
  <c r="N642" i="4" s="1"/>
  <c r="L1118" i="4"/>
  <c r="K1118" i="4"/>
  <c r="M1118" i="4" s="1"/>
  <c r="N1118" i="4" s="1"/>
  <c r="L29" i="4"/>
  <c r="K29" i="4"/>
  <c r="M29" i="4" s="1"/>
  <c r="L454" i="4"/>
  <c r="K454" i="4"/>
  <c r="M454" i="4" s="1"/>
  <c r="N454" i="4" s="1"/>
  <c r="L660" i="4"/>
  <c r="K660" i="4"/>
  <c r="M660" i="4" s="1"/>
  <c r="N660" i="4" s="1"/>
  <c r="L270" i="4"/>
  <c r="K270" i="4"/>
  <c r="M270" i="4" s="1"/>
  <c r="K616" i="4"/>
  <c r="M616" i="4" s="1"/>
  <c r="N616" i="4" s="1"/>
  <c r="L616" i="4"/>
  <c r="L520" i="4"/>
  <c r="K520" i="4"/>
  <c r="M520" i="4" s="1"/>
  <c r="N520" i="4" s="1"/>
  <c r="L713" i="4"/>
  <c r="K713" i="4"/>
  <c r="M713" i="4" s="1"/>
  <c r="N713" i="4" s="1"/>
  <c r="K1120" i="4"/>
  <c r="M1120" i="4" s="1"/>
  <c r="N1120" i="4" s="1"/>
  <c r="L1120" i="4"/>
  <c r="L747" i="4"/>
  <c r="K747" i="4"/>
  <c r="M747" i="4" s="1"/>
  <c r="N747" i="4" s="1"/>
  <c r="L466" i="4"/>
  <c r="K466" i="4"/>
  <c r="M466" i="4" s="1"/>
  <c r="N466" i="4" s="1"/>
  <c r="L514" i="4"/>
  <c r="K514" i="4"/>
  <c r="M514" i="4" s="1"/>
  <c r="N514" i="4" s="1"/>
  <c r="L581" i="4"/>
  <c r="K581" i="4"/>
  <c r="M581" i="4" s="1"/>
  <c r="N581" i="4" s="1"/>
  <c r="L1168" i="4"/>
  <c r="K1168" i="4"/>
  <c r="M1168" i="4" s="1"/>
  <c r="N1168" i="4" s="1"/>
  <c r="L333" i="4"/>
  <c r="K333" i="4"/>
  <c r="M333" i="4" s="1"/>
  <c r="N333" i="4" s="1"/>
  <c r="L585" i="4"/>
  <c r="K585" i="4"/>
  <c r="M585" i="4" s="1"/>
  <c r="N585" i="4" s="1"/>
  <c r="L301" i="4"/>
  <c r="K301" i="4"/>
  <c r="M301" i="4" s="1"/>
  <c r="L1152" i="4"/>
  <c r="K1152" i="4"/>
  <c r="M1152" i="4" s="1"/>
  <c r="N1152" i="4" s="1"/>
  <c r="L31" i="4"/>
  <c r="K31" i="4"/>
  <c r="M31" i="4" s="1"/>
  <c r="L1028" i="4"/>
  <c r="K1028" i="4"/>
  <c r="M1028" i="4" s="1"/>
  <c r="N1028" i="4" s="1"/>
  <c r="L1312" i="4"/>
  <c r="K1312" i="4"/>
  <c r="M1312" i="4" s="1"/>
  <c r="N1312" i="4" s="1"/>
  <c r="K964" i="4"/>
  <c r="M964" i="4" s="1"/>
  <c r="N964" i="4" s="1"/>
  <c r="L964" i="4"/>
  <c r="L100" i="4"/>
  <c r="K100" i="4"/>
  <c r="M100" i="4" s="1"/>
  <c r="L931" i="4"/>
  <c r="K931" i="4"/>
  <c r="M931" i="4" s="1"/>
  <c r="N931" i="4" s="1"/>
  <c r="L407" i="4"/>
  <c r="K407" i="4"/>
  <c r="M407" i="4" s="1"/>
  <c r="N407" i="4" s="1"/>
  <c r="L1288" i="4"/>
  <c r="K1288" i="4"/>
  <c r="M1288" i="4" s="1"/>
  <c r="N1288" i="4" s="1"/>
  <c r="L542" i="4"/>
  <c r="K542" i="4"/>
  <c r="M542" i="4" s="1"/>
  <c r="N542" i="4" s="1"/>
  <c r="L219" i="4"/>
  <c r="K219" i="4"/>
  <c r="M219" i="4" s="1"/>
  <c r="K1054" i="6"/>
  <c r="N1054" i="6" s="1"/>
  <c r="L1054" i="6"/>
  <c r="K96" i="6"/>
  <c r="N96" i="6" s="1"/>
  <c r="L96" i="6"/>
  <c r="K207" i="6"/>
  <c r="N207" i="6" s="1"/>
  <c r="L207" i="6"/>
  <c r="K32" i="6"/>
  <c r="N32" i="6" s="1"/>
  <c r="L32" i="6"/>
  <c r="K1032" i="6"/>
  <c r="N1032" i="6" s="1"/>
  <c r="L1032" i="6"/>
  <c r="K1143" i="6"/>
  <c r="N1143" i="6" s="1"/>
  <c r="L1143" i="6"/>
  <c r="K808" i="6"/>
  <c r="N808" i="6" s="1"/>
  <c r="L808" i="6"/>
  <c r="K445" i="6"/>
  <c r="N445" i="6" s="1"/>
  <c r="L445" i="6"/>
  <c r="K957" i="6"/>
  <c r="N957" i="6" s="1"/>
  <c r="L957" i="6"/>
  <c r="K942" i="6"/>
  <c r="N942" i="6" s="1"/>
  <c r="L942" i="6"/>
  <c r="K338" i="6"/>
  <c r="N338" i="6" s="1"/>
  <c r="L338" i="6"/>
  <c r="K1281" i="6"/>
  <c r="N1281" i="6" s="1"/>
  <c r="L1281" i="6"/>
  <c r="K685" i="6"/>
  <c r="N685" i="6" s="1"/>
  <c r="L685" i="6"/>
  <c r="K304" i="6"/>
  <c r="N304" i="6" s="1"/>
  <c r="L304" i="6"/>
  <c r="K770" i="6"/>
  <c r="N770" i="6" s="1"/>
  <c r="L770" i="6"/>
  <c r="K599" i="6"/>
  <c r="N599" i="6" s="1"/>
  <c r="L599" i="6"/>
  <c r="K580" i="6"/>
  <c r="N580" i="6" s="1"/>
  <c r="L580" i="6"/>
  <c r="K1166" i="6"/>
  <c r="N1166" i="6" s="1"/>
  <c r="L1166" i="6"/>
  <c r="K698" i="6"/>
  <c r="N698" i="6" s="1"/>
  <c r="L698" i="6"/>
  <c r="K1201" i="6"/>
  <c r="N1201" i="6" s="1"/>
  <c r="L1201" i="6"/>
  <c r="K448" i="6"/>
  <c r="N448" i="6" s="1"/>
  <c r="L448" i="6"/>
  <c r="K979" i="6"/>
  <c r="N979" i="6" s="1"/>
  <c r="L979" i="6"/>
  <c r="K61" i="6"/>
  <c r="N61" i="6" s="1"/>
  <c r="L61" i="6"/>
  <c r="K341" i="6"/>
  <c r="N341" i="6" s="1"/>
  <c r="L341" i="6"/>
  <c r="K587" i="6"/>
  <c r="N587" i="6" s="1"/>
  <c r="L587" i="6"/>
  <c r="K828" i="6"/>
  <c r="N828" i="6" s="1"/>
  <c r="L828" i="6"/>
  <c r="K330" i="6"/>
  <c r="N330" i="6" s="1"/>
  <c r="L330" i="6"/>
  <c r="K1065" i="6"/>
  <c r="N1065" i="6" s="1"/>
  <c r="L1065" i="6"/>
  <c r="K1274" i="6"/>
  <c r="N1274" i="6" s="1"/>
  <c r="L1274" i="6"/>
  <c r="K880" i="6"/>
  <c r="N880" i="6" s="1"/>
  <c r="L880" i="6"/>
  <c r="K1089" i="6"/>
  <c r="N1089" i="6" s="1"/>
  <c r="L1089" i="6"/>
  <c r="K424" i="6"/>
  <c r="N424" i="6" s="1"/>
  <c r="L424" i="6"/>
  <c r="K438" i="6"/>
  <c r="N438" i="6" s="1"/>
  <c r="L438" i="6"/>
  <c r="K431" i="6"/>
  <c r="N431" i="6" s="1"/>
  <c r="L431" i="6"/>
  <c r="K1300" i="6"/>
  <c r="N1300" i="6" s="1"/>
  <c r="L1300" i="6"/>
  <c r="K731" i="6"/>
  <c r="N731" i="6" s="1"/>
  <c r="L731" i="6"/>
  <c r="K932" i="6"/>
  <c r="N932" i="6" s="1"/>
  <c r="L932" i="6"/>
  <c r="K173" i="6"/>
  <c r="N173" i="6" s="1"/>
  <c r="L173" i="6"/>
  <c r="K145" i="6"/>
  <c r="N145" i="6" s="1"/>
  <c r="L145" i="6"/>
  <c r="K2" i="6"/>
  <c r="N2" i="6" s="1"/>
  <c r="L2" i="6"/>
  <c r="K674" i="6"/>
  <c r="N674" i="6" s="1"/>
  <c r="L674" i="6"/>
  <c r="K752" i="6"/>
  <c r="N752" i="6" s="1"/>
  <c r="L752" i="6"/>
  <c r="K110" i="6"/>
  <c r="N110" i="6" s="1"/>
  <c r="L110" i="6"/>
  <c r="K361" i="6"/>
  <c r="N361" i="6" s="1"/>
  <c r="L361" i="6"/>
  <c r="K285" i="6"/>
  <c r="N285" i="6" s="1"/>
  <c r="L285" i="6"/>
  <c r="K1276" i="6"/>
  <c r="N1276" i="6" s="1"/>
  <c r="L1276" i="6"/>
  <c r="K293" i="6"/>
  <c r="N293" i="6" s="1"/>
  <c r="L293" i="6"/>
  <c r="K114" i="6"/>
  <c r="N114" i="6" s="1"/>
  <c r="L114" i="6"/>
  <c r="K27" i="6"/>
  <c r="N27" i="6" s="1"/>
  <c r="L27" i="6"/>
  <c r="K180" i="6"/>
  <c r="N180" i="6" s="1"/>
  <c r="L180" i="6"/>
  <c r="K827" i="6"/>
  <c r="N827" i="6" s="1"/>
  <c r="L827" i="6"/>
  <c r="K699" i="6"/>
  <c r="N699" i="6" s="1"/>
  <c r="L699" i="6"/>
  <c r="K64" i="6"/>
  <c r="N64" i="6" s="1"/>
  <c r="L64" i="6"/>
  <c r="K413" i="6"/>
  <c r="N413" i="6" s="1"/>
  <c r="L413" i="6"/>
  <c r="K723" i="6"/>
  <c r="N723" i="6" s="1"/>
  <c r="L723" i="6"/>
  <c r="K1134" i="6"/>
  <c r="N1134" i="6" s="1"/>
  <c r="L1134" i="6"/>
  <c r="K447" i="6"/>
  <c r="N447" i="6" s="1"/>
  <c r="L447" i="6"/>
  <c r="K616" i="6"/>
  <c r="N616" i="6" s="1"/>
  <c r="L616" i="6"/>
  <c r="K901" i="6"/>
  <c r="N901" i="6" s="1"/>
  <c r="L901" i="6"/>
  <c r="K188" i="6"/>
  <c r="N188" i="6" s="1"/>
  <c r="L188" i="6"/>
  <c r="K274" i="6"/>
  <c r="N274" i="6" s="1"/>
  <c r="L274" i="6"/>
  <c r="K855" i="6"/>
  <c r="N855" i="6" s="1"/>
  <c r="L855" i="6"/>
  <c r="K256" i="6"/>
  <c r="N256" i="6" s="1"/>
  <c r="L256" i="6"/>
  <c r="K440" i="6"/>
  <c r="N440" i="6" s="1"/>
  <c r="L440" i="6"/>
  <c r="K915" i="6"/>
  <c r="N915" i="6" s="1"/>
  <c r="L915" i="6"/>
  <c r="K378" i="6"/>
  <c r="N378" i="6" s="1"/>
  <c r="L378" i="6"/>
  <c r="K524" i="6"/>
  <c r="N524" i="6" s="1"/>
  <c r="L524" i="6"/>
  <c r="K1259" i="6"/>
  <c r="N1259" i="6" s="1"/>
  <c r="L1259" i="6"/>
  <c r="K118" i="6"/>
  <c r="N118" i="6" s="1"/>
  <c r="L118" i="6"/>
  <c r="K21" i="6"/>
  <c r="N21" i="6" s="1"/>
  <c r="L21" i="6"/>
  <c r="K486" i="6"/>
  <c r="N486" i="6" s="1"/>
  <c r="L486" i="6"/>
  <c r="K662" i="6"/>
  <c r="N662" i="6" s="1"/>
  <c r="L662" i="6"/>
  <c r="K987" i="6"/>
  <c r="N987" i="6" s="1"/>
  <c r="L987" i="6"/>
  <c r="K1266" i="6"/>
  <c r="N1266" i="6" s="1"/>
  <c r="L1266" i="6"/>
  <c r="K1112" i="6"/>
  <c r="N1112" i="6" s="1"/>
  <c r="L1112" i="6"/>
  <c r="K416" i="6"/>
  <c r="N416" i="6" s="1"/>
  <c r="L416" i="6"/>
  <c r="K351" i="6"/>
  <c r="N351" i="6" s="1"/>
  <c r="L351" i="6"/>
  <c r="K107" i="6"/>
  <c r="N107" i="6" s="1"/>
  <c r="L107" i="6"/>
  <c r="K393" i="6"/>
  <c r="N393" i="6" s="1"/>
  <c r="L393" i="6"/>
  <c r="K725" i="6"/>
  <c r="N725" i="6" s="1"/>
  <c r="L725" i="6"/>
  <c r="K1086" i="6"/>
  <c r="N1086" i="6" s="1"/>
  <c r="L1086" i="6"/>
  <c r="K232" i="6"/>
  <c r="N232" i="6" s="1"/>
  <c r="L232" i="6"/>
  <c r="K133" i="6"/>
  <c r="N133" i="6" s="1"/>
  <c r="L133" i="6"/>
  <c r="K381" i="6"/>
  <c r="N381" i="6" s="1"/>
  <c r="L381" i="6"/>
  <c r="K170" i="6"/>
  <c r="N170" i="6" s="1"/>
  <c r="L170" i="6"/>
  <c r="K581" i="6"/>
  <c r="N581" i="6" s="1"/>
  <c r="L581" i="6"/>
  <c r="K1187" i="6"/>
  <c r="N1187" i="6" s="1"/>
  <c r="L1187" i="6"/>
  <c r="K1267" i="6"/>
  <c r="N1267" i="6" s="1"/>
  <c r="L1267" i="6"/>
  <c r="K320" i="6"/>
  <c r="N320" i="6" s="1"/>
  <c r="L320" i="6"/>
  <c r="K53" i="6"/>
  <c r="N53" i="6" s="1"/>
  <c r="L53" i="6"/>
  <c r="K383" i="6"/>
  <c r="N383" i="6" s="1"/>
  <c r="L383" i="6"/>
  <c r="K689" i="6"/>
  <c r="N689" i="6" s="1"/>
  <c r="L689" i="6"/>
  <c r="K527" i="6"/>
  <c r="N527" i="6" s="1"/>
  <c r="L527" i="6"/>
  <c r="K193" i="6"/>
  <c r="N193" i="6" s="1"/>
  <c r="L193" i="6"/>
  <c r="K613" i="6"/>
  <c r="N613" i="6" s="1"/>
  <c r="L613" i="6"/>
  <c r="K1097" i="6"/>
  <c r="N1097" i="6" s="1"/>
  <c r="L1097" i="6"/>
  <c r="K1048" i="6"/>
  <c r="N1048" i="6" s="1"/>
  <c r="L1048" i="6"/>
  <c r="K1192" i="6"/>
  <c r="N1192" i="6" s="1"/>
  <c r="L1192" i="6"/>
  <c r="K192" i="6"/>
  <c r="N192" i="6" s="1"/>
  <c r="L192" i="6"/>
  <c r="K317" i="6"/>
  <c r="N317" i="6" s="1"/>
  <c r="L317" i="6"/>
  <c r="K365" i="6"/>
  <c r="N365" i="6" s="1"/>
  <c r="L365" i="6"/>
  <c r="K291" i="6"/>
  <c r="N291" i="6" s="1"/>
  <c r="L291" i="6"/>
  <c r="K670" i="6"/>
  <c r="N670" i="6" s="1"/>
  <c r="L670" i="6"/>
  <c r="K977" i="6"/>
  <c r="N977" i="6" s="1"/>
  <c r="L977" i="6"/>
  <c r="K757" i="6"/>
  <c r="N757" i="6" s="1"/>
  <c r="L757" i="6"/>
  <c r="K937" i="6"/>
  <c r="N937" i="6" s="1"/>
  <c r="L937" i="6"/>
  <c r="K1147" i="6"/>
  <c r="N1147" i="6" s="1"/>
  <c r="L1147" i="6"/>
  <c r="K116" i="6"/>
  <c r="N116" i="6" s="1"/>
  <c r="L116" i="6"/>
  <c r="K8" i="6"/>
  <c r="N8" i="6" s="1"/>
  <c r="L8" i="6"/>
  <c r="K822" i="6"/>
  <c r="N822" i="6" s="1"/>
  <c r="L822" i="6"/>
  <c r="K478" i="6"/>
  <c r="N478" i="6" s="1"/>
  <c r="L478" i="6"/>
  <c r="K91" i="6"/>
  <c r="N91" i="6" s="1"/>
  <c r="L91" i="6"/>
  <c r="K306" i="6"/>
  <c r="N306" i="6" s="1"/>
  <c r="L306" i="6"/>
  <c r="K649" i="6"/>
  <c r="N649" i="6" s="1"/>
  <c r="L649" i="6"/>
  <c r="K627" i="6"/>
  <c r="N627" i="6" s="1"/>
  <c r="L627" i="6"/>
  <c r="K978" i="6"/>
  <c r="N978" i="6" s="1"/>
  <c r="L978" i="6"/>
  <c r="K997" i="6"/>
  <c r="N997" i="6" s="1"/>
  <c r="L997" i="6"/>
  <c r="K68" i="6"/>
  <c r="N68" i="6" s="1"/>
  <c r="L68" i="6"/>
  <c r="K141" i="6"/>
  <c r="N141" i="6" s="1"/>
  <c r="L141" i="6"/>
  <c r="K46" i="6"/>
  <c r="N46" i="6" s="1"/>
  <c r="L46" i="6"/>
  <c r="K247" i="6"/>
  <c r="N247" i="6" s="1"/>
  <c r="L247" i="6"/>
  <c r="K542" i="6"/>
  <c r="N542" i="6" s="1"/>
  <c r="L542" i="6"/>
  <c r="K514" i="6"/>
  <c r="N514" i="6" s="1"/>
  <c r="L514" i="6"/>
  <c r="K614" i="6"/>
  <c r="N614" i="6" s="1"/>
  <c r="L614" i="6"/>
  <c r="K747" i="6"/>
  <c r="N747" i="6" s="1"/>
  <c r="L747" i="6"/>
  <c r="K730" i="6"/>
  <c r="N730" i="6" s="1"/>
  <c r="L730" i="6"/>
  <c r="K668" i="6"/>
  <c r="N668" i="6" s="1"/>
  <c r="L668" i="6"/>
  <c r="K753" i="6"/>
  <c r="N753" i="6" s="1"/>
  <c r="L753" i="6"/>
  <c r="K1121" i="6"/>
  <c r="N1121" i="6" s="1"/>
  <c r="L1121" i="6"/>
  <c r="K1045" i="6"/>
  <c r="N1045" i="6" s="1"/>
  <c r="L1045" i="6"/>
  <c r="K1238" i="6"/>
  <c r="N1238" i="6" s="1"/>
  <c r="L1238" i="6"/>
  <c r="K471" i="6"/>
  <c r="N471" i="6" s="1"/>
  <c r="L471" i="6"/>
  <c r="K437" i="6"/>
  <c r="N437" i="6" s="1"/>
  <c r="L437" i="6"/>
  <c r="K155" i="6"/>
  <c r="N155" i="6" s="1"/>
  <c r="L155" i="6"/>
  <c r="K162" i="6"/>
  <c r="N162" i="6" s="1"/>
  <c r="L162" i="6"/>
  <c r="K321" i="6"/>
  <c r="N321" i="6" s="1"/>
  <c r="L321" i="6"/>
  <c r="K843" i="6"/>
  <c r="N843" i="6" s="1"/>
  <c r="L843" i="6"/>
  <c r="K734" i="6"/>
  <c r="N734" i="6" s="1"/>
  <c r="L734" i="6"/>
  <c r="K712" i="6"/>
  <c r="N712" i="6" s="1"/>
  <c r="L712" i="6"/>
  <c r="K1250" i="6"/>
  <c r="N1250" i="6" s="1"/>
  <c r="L1250" i="6"/>
  <c r="K1228" i="6"/>
  <c r="N1228" i="6" s="1"/>
  <c r="L1228" i="6"/>
  <c r="K618" i="6"/>
  <c r="N618" i="6" s="1"/>
  <c r="L618" i="6"/>
  <c r="K495" i="6"/>
  <c r="N495" i="6" s="1"/>
  <c r="L495" i="6"/>
  <c r="K427" i="6"/>
  <c r="N427" i="6" s="1"/>
  <c r="L427" i="6"/>
  <c r="K354" i="6"/>
  <c r="N354" i="6" s="1"/>
  <c r="L354" i="6"/>
  <c r="K465" i="6"/>
  <c r="N465" i="6" s="1"/>
  <c r="L465" i="6"/>
  <c r="K943" i="6"/>
  <c r="N943" i="6" s="1"/>
  <c r="L943" i="6"/>
  <c r="K635" i="6"/>
  <c r="N635" i="6" s="1"/>
  <c r="L635" i="6"/>
  <c r="K938" i="6"/>
  <c r="N938" i="6" s="1"/>
  <c r="L938" i="6"/>
  <c r="K1275" i="6"/>
  <c r="N1275" i="6" s="1"/>
  <c r="L1275" i="6"/>
  <c r="K973" i="6"/>
  <c r="N973" i="6" s="1"/>
  <c r="L973" i="6"/>
  <c r="K1247" i="6"/>
  <c r="N1247" i="6" s="1"/>
  <c r="L1247" i="6"/>
  <c r="K260" i="6"/>
  <c r="N260" i="6" s="1"/>
  <c r="L260" i="6"/>
  <c r="K126" i="6"/>
  <c r="N126" i="6" s="1"/>
  <c r="L126" i="6"/>
  <c r="K295" i="6"/>
  <c r="N295" i="6" s="1"/>
  <c r="L295" i="6"/>
  <c r="K470" i="6"/>
  <c r="N470" i="6" s="1"/>
  <c r="L470" i="6"/>
  <c r="K348" i="6"/>
  <c r="N348" i="6" s="1"/>
  <c r="L348" i="6"/>
  <c r="K211" i="6"/>
  <c r="N211" i="6" s="1"/>
  <c r="L211" i="6"/>
  <c r="K66" i="6"/>
  <c r="N66" i="6" s="1"/>
  <c r="L66" i="6"/>
  <c r="K983" i="6"/>
  <c r="N983" i="6" s="1"/>
  <c r="L983" i="6"/>
  <c r="K505" i="6"/>
  <c r="N505" i="6" s="1"/>
  <c r="L505" i="6"/>
  <c r="K573" i="6"/>
  <c r="N573" i="6" s="1"/>
  <c r="L573" i="6"/>
  <c r="K643" i="6"/>
  <c r="N643" i="6" s="1"/>
  <c r="L643" i="6"/>
  <c r="K825" i="6"/>
  <c r="N825" i="6" s="1"/>
  <c r="L825" i="6"/>
  <c r="K847" i="6"/>
  <c r="N847" i="6" s="1"/>
  <c r="L847" i="6"/>
  <c r="K998" i="6"/>
  <c r="N998" i="6" s="1"/>
  <c r="L998" i="6"/>
  <c r="K1212" i="6"/>
  <c r="N1212" i="6" s="1"/>
  <c r="L1212" i="6"/>
  <c r="K1286" i="6"/>
  <c r="N1286" i="6" s="1"/>
  <c r="L1286" i="6"/>
  <c r="K377" i="6"/>
  <c r="N377" i="6" s="1"/>
  <c r="L377" i="6"/>
  <c r="K755" i="6"/>
  <c r="N755" i="6" s="1"/>
  <c r="L755" i="6"/>
  <c r="K629" i="6"/>
  <c r="N629" i="6" s="1"/>
  <c r="L629" i="6"/>
  <c r="K507" i="6"/>
  <c r="N507" i="6" s="1"/>
  <c r="L507" i="6"/>
  <c r="K953" i="6"/>
  <c r="N953" i="6" s="1"/>
  <c r="L953" i="6"/>
  <c r="K1217" i="6"/>
  <c r="N1217" i="6" s="1"/>
  <c r="L1217" i="6"/>
  <c r="K897" i="6"/>
  <c r="N897" i="6" s="1"/>
  <c r="L897" i="6"/>
  <c r="K1233" i="6"/>
  <c r="N1233" i="6" s="1"/>
  <c r="L1233" i="6"/>
  <c r="K1093" i="6"/>
  <c r="N1093" i="6" s="1"/>
  <c r="L1093" i="6"/>
  <c r="K1240" i="6"/>
  <c r="N1240" i="6" s="1"/>
  <c r="L1240" i="6"/>
  <c r="K153" i="6"/>
  <c r="N153" i="6" s="1"/>
  <c r="L153" i="6"/>
  <c r="K497" i="6"/>
  <c r="N497" i="6" s="1"/>
  <c r="L497" i="6"/>
  <c r="K1074" i="6"/>
  <c r="N1074" i="6" s="1"/>
  <c r="L1074" i="6"/>
  <c r="K588" i="6"/>
  <c r="N588" i="6" s="1"/>
  <c r="L588" i="6"/>
  <c r="K969" i="6"/>
  <c r="N969" i="6" s="1"/>
  <c r="L969" i="6"/>
  <c r="K817" i="6"/>
  <c r="N817" i="6" s="1"/>
  <c r="L817" i="6"/>
  <c r="K1073" i="6"/>
  <c r="N1073" i="6" s="1"/>
  <c r="L1073" i="6"/>
  <c r="K1227" i="6"/>
  <c r="N1227" i="6" s="1"/>
  <c r="L1227" i="6"/>
  <c r="K1204" i="6"/>
  <c r="N1204" i="6" s="1"/>
  <c r="L1204" i="6"/>
  <c r="K1182" i="6"/>
  <c r="N1182" i="6" s="1"/>
  <c r="L1182" i="6"/>
  <c r="K605" i="6"/>
  <c r="N605" i="6" s="1"/>
  <c r="L605" i="6"/>
  <c r="K812" i="6"/>
  <c r="N812" i="6" s="1"/>
  <c r="L812" i="6"/>
  <c r="K749" i="6"/>
  <c r="N749" i="6" s="1"/>
  <c r="L749" i="6"/>
  <c r="K833" i="6"/>
  <c r="N833" i="6" s="1"/>
  <c r="L833" i="6"/>
  <c r="K971" i="6"/>
  <c r="N971" i="6" s="1"/>
  <c r="L971" i="6"/>
  <c r="K896" i="6"/>
  <c r="N896" i="6" s="1"/>
  <c r="L896" i="6"/>
  <c r="K982" i="6"/>
  <c r="N982" i="6" s="1"/>
  <c r="L982" i="6"/>
  <c r="K1178" i="6"/>
  <c r="N1178" i="6" s="1"/>
  <c r="L1178" i="6"/>
  <c r="K1216" i="6"/>
  <c r="N1216" i="6" s="1"/>
  <c r="L1216" i="6"/>
  <c r="K1312" i="6"/>
  <c r="N1312" i="6" s="1"/>
  <c r="L1312" i="6"/>
  <c r="K389" i="6"/>
  <c r="N389" i="6" s="1"/>
  <c r="L389" i="6"/>
  <c r="K35" i="6"/>
  <c r="N35" i="6" s="1"/>
  <c r="L35" i="6"/>
  <c r="K1119" i="6"/>
  <c r="N1119" i="6" s="1"/>
  <c r="L1119" i="6"/>
  <c r="K658" i="6"/>
  <c r="N658" i="6" s="1"/>
  <c r="L658" i="6"/>
  <c r="K56" i="6"/>
  <c r="N56" i="6" s="1"/>
  <c r="L56" i="6"/>
  <c r="K331" i="6"/>
  <c r="N331" i="6" s="1"/>
  <c r="L331" i="6"/>
  <c r="K1082" i="6"/>
  <c r="N1082" i="6" s="1"/>
  <c r="L1082" i="6"/>
  <c r="K384" i="6"/>
  <c r="N384" i="6" s="1"/>
  <c r="L384" i="6"/>
  <c r="K468" i="6"/>
  <c r="N468" i="6" s="1"/>
  <c r="L468" i="6"/>
  <c r="K515" i="6"/>
  <c r="N515" i="6" s="1"/>
  <c r="L515" i="6"/>
  <c r="K4" i="6"/>
  <c r="N4" i="6" s="1"/>
  <c r="L4" i="6"/>
  <c r="K414" i="6"/>
  <c r="N414" i="6" s="1"/>
  <c r="L414" i="6"/>
  <c r="K929" i="6"/>
  <c r="N929" i="6" s="1"/>
  <c r="L929" i="6"/>
  <c r="K1252" i="6"/>
  <c r="N1252" i="6" s="1"/>
  <c r="L1252" i="6"/>
  <c r="K151" i="6"/>
  <c r="N151" i="6" s="1"/>
  <c r="L151" i="6"/>
  <c r="K113" i="6"/>
  <c r="N113" i="6" s="1"/>
  <c r="L113" i="6"/>
  <c r="K1193" i="6"/>
  <c r="N1193" i="6" s="1"/>
  <c r="L1193" i="6"/>
  <c r="K742" i="6"/>
  <c r="N742" i="6" s="1"/>
  <c r="L742" i="6"/>
  <c r="K79" i="6"/>
  <c r="N79" i="6" s="1"/>
  <c r="L79" i="6"/>
  <c r="K444" i="6"/>
  <c r="N444" i="6" s="1"/>
  <c r="L444" i="6"/>
  <c r="K25" i="6"/>
  <c r="N25" i="6" s="1"/>
  <c r="L25" i="6"/>
  <c r="K499" i="6"/>
  <c r="N499" i="6" s="1"/>
  <c r="L499" i="6"/>
  <c r="K1133" i="6"/>
  <c r="N1133" i="6" s="1"/>
  <c r="L1133" i="6"/>
  <c r="K93" i="6"/>
  <c r="N93" i="6" s="1"/>
  <c r="L93" i="6"/>
  <c r="K101" i="6"/>
  <c r="N101" i="6" s="1"/>
  <c r="L101" i="6"/>
  <c r="K707" i="6"/>
  <c r="N707" i="6" s="1"/>
  <c r="L707" i="6"/>
  <c r="K122" i="6"/>
  <c r="N122" i="6" s="1"/>
  <c r="L122" i="6"/>
  <c r="K509" i="6"/>
  <c r="N509" i="6" s="1"/>
  <c r="L509" i="6"/>
  <c r="K1105" i="6"/>
  <c r="N1105" i="6" s="1"/>
  <c r="L1105" i="6"/>
  <c r="K1151" i="6"/>
  <c r="N1151" i="6" s="1"/>
  <c r="L1151" i="6"/>
  <c r="K24" i="6"/>
  <c r="N24" i="6" s="1"/>
  <c r="L24" i="6"/>
  <c r="K534" i="6"/>
  <c r="N534" i="6" s="1"/>
  <c r="L534" i="6"/>
  <c r="K259" i="6"/>
  <c r="N259" i="6" s="1"/>
  <c r="L259" i="6"/>
  <c r="K678" i="6"/>
  <c r="N678" i="6" s="1"/>
  <c r="L678" i="6"/>
  <c r="K1170" i="6"/>
  <c r="N1170" i="6" s="1"/>
  <c r="L1170" i="6"/>
  <c r="K1029" i="6"/>
  <c r="N1029" i="6" s="1"/>
  <c r="L1029" i="6"/>
  <c r="K248" i="6"/>
  <c r="N248" i="6" s="1"/>
  <c r="L248" i="6"/>
  <c r="K206" i="6"/>
  <c r="N206" i="6" s="1"/>
  <c r="L206" i="6"/>
  <c r="K671" i="6"/>
  <c r="N671" i="6" s="1"/>
  <c r="L671" i="6"/>
  <c r="K362" i="6"/>
  <c r="N362" i="6" s="1"/>
  <c r="L362" i="6"/>
  <c r="K1157" i="6"/>
  <c r="N1157" i="6" s="1"/>
  <c r="L1157" i="6"/>
  <c r="K1035" i="6"/>
  <c r="N1035" i="6" s="1"/>
  <c r="L1035" i="6"/>
  <c r="K1291" i="6"/>
  <c r="N1291" i="6" s="1"/>
  <c r="L1291" i="6"/>
  <c r="K150" i="6"/>
  <c r="N150" i="6" s="1"/>
  <c r="L150" i="6"/>
  <c r="K108" i="6"/>
  <c r="N108" i="6" s="1"/>
  <c r="L108" i="6"/>
  <c r="K496" i="6"/>
  <c r="N496" i="6" s="1"/>
  <c r="L496" i="6"/>
  <c r="K364" i="6"/>
  <c r="N364" i="6" s="1"/>
  <c r="L364" i="6"/>
  <c r="K686" i="6"/>
  <c r="N686" i="6" s="1"/>
  <c r="L686" i="6"/>
  <c r="K353" i="6"/>
  <c r="N353" i="6" s="1"/>
  <c r="L353" i="6"/>
  <c r="K826" i="6"/>
  <c r="N826" i="6" s="1"/>
  <c r="L826" i="6"/>
  <c r="K841" i="6"/>
  <c r="N841" i="6" s="1"/>
  <c r="L841" i="6"/>
  <c r="K1149" i="6"/>
  <c r="N1149" i="6" s="1"/>
  <c r="L1149" i="6"/>
  <c r="K1175" i="6"/>
  <c r="N1175" i="6" s="1"/>
  <c r="L1175" i="6"/>
  <c r="K277" i="6"/>
  <c r="N277" i="6" s="1"/>
  <c r="L277" i="6"/>
  <c r="K302" i="6"/>
  <c r="N302" i="6" s="1"/>
  <c r="L302" i="6"/>
  <c r="K303" i="6"/>
  <c r="N303" i="6" s="1"/>
  <c r="L303" i="6"/>
  <c r="K469" i="6"/>
  <c r="N469" i="6" s="1"/>
  <c r="L469" i="6"/>
  <c r="K411" i="6"/>
  <c r="N411" i="6" s="1"/>
  <c r="L411" i="6"/>
  <c r="K65" i="6"/>
  <c r="N65" i="6" s="1"/>
  <c r="L65" i="6"/>
  <c r="K991" i="6"/>
  <c r="N991" i="6" s="1"/>
  <c r="L991" i="6"/>
  <c r="K1004" i="6"/>
  <c r="N1004" i="6" s="1"/>
  <c r="L1004" i="6"/>
  <c r="K904" i="6"/>
  <c r="N904" i="6" s="1"/>
  <c r="L904" i="6"/>
  <c r="K1265" i="6"/>
  <c r="N1265" i="6" s="1"/>
  <c r="L1265" i="6"/>
  <c r="K48" i="6"/>
  <c r="N48" i="6" s="1"/>
  <c r="L48" i="6"/>
  <c r="K136" i="6"/>
  <c r="N136" i="6" s="1"/>
  <c r="L136" i="6"/>
  <c r="K127" i="6"/>
  <c r="N127" i="6" s="1"/>
  <c r="L127" i="6"/>
  <c r="K634" i="6"/>
  <c r="N634" i="6" s="1"/>
  <c r="L634" i="6"/>
  <c r="K187" i="6"/>
  <c r="N187" i="6" s="1"/>
  <c r="L187" i="6"/>
  <c r="K434" i="6"/>
  <c r="N434" i="6" s="1"/>
  <c r="L434" i="6"/>
  <c r="K906" i="6"/>
  <c r="N906" i="6" s="1"/>
  <c r="L906" i="6"/>
  <c r="K867" i="6"/>
  <c r="N867" i="6" s="1"/>
  <c r="L867" i="6"/>
  <c r="K799" i="6"/>
  <c r="N799" i="6" s="1"/>
  <c r="L799" i="6"/>
  <c r="K1205" i="6"/>
  <c r="N1205" i="6" s="1"/>
  <c r="L1205" i="6"/>
  <c r="K54" i="6"/>
  <c r="N54" i="6" s="1"/>
  <c r="L54" i="6"/>
  <c r="K196" i="6"/>
  <c r="N196" i="6" s="1"/>
  <c r="L196" i="6"/>
  <c r="K94" i="6"/>
  <c r="N94" i="6" s="1"/>
  <c r="L94" i="6"/>
  <c r="K319" i="6"/>
  <c r="N319" i="6" s="1"/>
  <c r="L319" i="6"/>
  <c r="K639" i="6"/>
  <c r="N639" i="6" s="1"/>
  <c r="L639" i="6"/>
  <c r="K758" i="6"/>
  <c r="N758" i="6" s="1"/>
  <c r="L758" i="6"/>
  <c r="K732" i="6"/>
  <c r="N732" i="6" s="1"/>
  <c r="L732" i="6"/>
  <c r="K97" i="6"/>
  <c r="N97" i="6" s="1"/>
  <c r="L97" i="6"/>
  <c r="K927" i="6"/>
  <c r="N927" i="6" s="1"/>
  <c r="L927" i="6"/>
  <c r="K916" i="6"/>
  <c r="N916" i="6" s="1"/>
  <c r="L916" i="6"/>
  <c r="K873" i="6"/>
  <c r="N873" i="6" s="1"/>
  <c r="L873" i="6"/>
  <c r="K928" i="6"/>
  <c r="N928" i="6" s="1"/>
  <c r="L928" i="6"/>
  <c r="K1235" i="6"/>
  <c r="N1235" i="6" s="1"/>
  <c r="L1235" i="6"/>
  <c r="K1262" i="6"/>
  <c r="N1262" i="6" s="1"/>
  <c r="L1262" i="6"/>
  <c r="K578" i="6"/>
  <c r="N578" i="6" s="1"/>
  <c r="L578" i="6"/>
  <c r="K558" i="6"/>
  <c r="N558" i="6" s="1"/>
  <c r="L558" i="6"/>
  <c r="K235" i="6"/>
  <c r="N235" i="6" s="1"/>
  <c r="L235" i="6"/>
  <c r="K242" i="6"/>
  <c r="N242" i="6" s="1"/>
  <c r="L242" i="6"/>
  <c r="K433" i="6"/>
  <c r="N433" i="6" s="1"/>
  <c r="L433" i="6"/>
  <c r="K533" i="6"/>
  <c r="N533" i="6" s="1"/>
  <c r="L533" i="6"/>
  <c r="K1059" i="6"/>
  <c r="N1059" i="6" s="1"/>
  <c r="L1059" i="6"/>
  <c r="K848" i="6"/>
  <c r="N848" i="6" s="1"/>
  <c r="L848" i="6"/>
  <c r="K910" i="6"/>
  <c r="N910" i="6" s="1"/>
  <c r="L910" i="6"/>
  <c r="K1136" i="6"/>
  <c r="N1136" i="6" s="1"/>
  <c r="L1136" i="6"/>
  <c r="K655" i="6"/>
  <c r="N655" i="6" s="1"/>
  <c r="L655" i="6"/>
  <c r="K582" i="6"/>
  <c r="N582" i="6" s="1"/>
  <c r="L582" i="6"/>
  <c r="K522" i="6"/>
  <c r="N522" i="6" s="1"/>
  <c r="L522" i="6"/>
  <c r="K426" i="6"/>
  <c r="N426" i="6" s="1"/>
  <c r="L426" i="6"/>
  <c r="K624" i="6"/>
  <c r="N624" i="6" s="1"/>
  <c r="L624" i="6"/>
  <c r="K565" i="6"/>
  <c r="N565" i="6" s="1"/>
  <c r="L565" i="6"/>
  <c r="K803" i="6"/>
  <c r="N803" i="6" s="1"/>
  <c r="L803" i="6"/>
  <c r="K1177" i="6"/>
  <c r="N1177" i="6" s="1"/>
  <c r="L1177" i="6"/>
  <c r="K976" i="6"/>
  <c r="N976" i="6" s="1"/>
  <c r="L976" i="6"/>
  <c r="K1085" i="6"/>
  <c r="N1085" i="6" s="1"/>
  <c r="L1085" i="6"/>
  <c r="K1158" i="6"/>
  <c r="N1158" i="6" s="1"/>
  <c r="L1158" i="6"/>
  <c r="K160" i="6"/>
  <c r="N160" i="6" s="1"/>
  <c r="L160" i="6"/>
  <c r="K408" i="6"/>
  <c r="N408" i="6" s="1"/>
  <c r="L408" i="6"/>
  <c r="K172" i="6"/>
  <c r="N172" i="6" s="1"/>
  <c r="L172" i="6"/>
  <c r="K359" i="6"/>
  <c r="N359" i="6" s="1"/>
  <c r="L359" i="6"/>
  <c r="K615" i="6"/>
  <c r="N615" i="6" s="1"/>
  <c r="L615" i="6"/>
  <c r="K412" i="6"/>
  <c r="N412" i="6" s="1"/>
  <c r="L412" i="6"/>
  <c r="K275" i="6"/>
  <c r="N275" i="6" s="1"/>
  <c r="L275" i="6"/>
  <c r="K130" i="6"/>
  <c r="N130" i="6" s="1"/>
  <c r="L130" i="6"/>
  <c r="K81" i="6"/>
  <c r="N81" i="6" s="1"/>
  <c r="L81" i="6"/>
  <c r="K585" i="6"/>
  <c r="N585" i="6" s="1"/>
  <c r="L585" i="6"/>
  <c r="K677" i="6"/>
  <c r="N677" i="6" s="1"/>
  <c r="L677" i="6"/>
  <c r="K798" i="6"/>
  <c r="N798" i="6" s="1"/>
  <c r="L798" i="6"/>
  <c r="K931" i="6"/>
  <c r="N931" i="6" s="1"/>
  <c r="L931" i="6"/>
  <c r="K951" i="6"/>
  <c r="N951" i="6" s="1"/>
  <c r="L951" i="6"/>
  <c r="K1094" i="6"/>
  <c r="N1094" i="6" s="1"/>
  <c r="L1094" i="6"/>
  <c r="K1288" i="6"/>
  <c r="N1288" i="6" s="1"/>
  <c r="L1288" i="6"/>
  <c r="K584" i="6"/>
  <c r="N584" i="6" s="1"/>
  <c r="L584" i="6"/>
  <c r="K441" i="6"/>
  <c r="N441" i="6" s="1"/>
  <c r="L441" i="6"/>
  <c r="K883" i="6"/>
  <c r="N883" i="6" s="1"/>
  <c r="L883" i="6"/>
  <c r="K718" i="6"/>
  <c r="N718" i="6" s="1"/>
  <c r="L718" i="6"/>
  <c r="K579" i="6"/>
  <c r="N579" i="6" s="1"/>
  <c r="L579" i="6"/>
  <c r="K1098" i="6"/>
  <c r="N1098" i="6" s="1"/>
  <c r="L1098" i="6"/>
  <c r="K720" i="6"/>
  <c r="N720" i="6" s="1"/>
  <c r="L720" i="6"/>
  <c r="K1010" i="6"/>
  <c r="N1010" i="6" s="1"/>
  <c r="L1010" i="6"/>
  <c r="K934" i="6"/>
  <c r="N934" i="6" s="1"/>
  <c r="L934" i="6"/>
  <c r="K1210" i="6"/>
  <c r="N1210" i="6" s="1"/>
  <c r="L1210" i="6"/>
  <c r="K1127" i="6"/>
  <c r="N1127" i="6" s="1"/>
  <c r="L1127" i="6"/>
  <c r="K217" i="6"/>
  <c r="N217" i="6" s="1"/>
  <c r="L217" i="6"/>
  <c r="K561" i="6"/>
  <c r="N561" i="6" s="1"/>
  <c r="L561" i="6"/>
  <c r="K905" i="6"/>
  <c r="N905" i="6" s="1"/>
  <c r="L905" i="6"/>
  <c r="K660" i="6"/>
  <c r="N660" i="6" s="1"/>
  <c r="L660" i="6"/>
  <c r="K733" i="6"/>
  <c r="N733" i="6" s="1"/>
  <c r="L733" i="6"/>
  <c r="K891" i="6"/>
  <c r="N891" i="6" s="1"/>
  <c r="L891" i="6"/>
  <c r="K719" i="6"/>
  <c r="N719" i="6" s="1"/>
  <c r="L719" i="6"/>
  <c r="K1117" i="6"/>
  <c r="N1117" i="6" s="1"/>
  <c r="L1117" i="6"/>
  <c r="K909" i="6"/>
  <c r="N909" i="6" s="1"/>
  <c r="L909" i="6"/>
  <c r="K1271" i="6"/>
  <c r="N1271" i="6" s="1"/>
  <c r="L1271" i="6"/>
  <c r="K1254" i="6"/>
  <c r="N1254" i="6" s="1"/>
  <c r="L1254" i="6"/>
  <c r="K669" i="6"/>
  <c r="N669" i="6" s="1"/>
  <c r="L669" i="6"/>
  <c r="K1043" i="6"/>
  <c r="N1043" i="6" s="1"/>
  <c r="L1043" i="6"/>
  <c r="K813" i="6"/>
  <c r="N813" i="6" s="1"/>
  <c r="L813" i="6"/>
  <c r="K895" i="6"/>
  <c r="N895" i="6" s="1"/>
  <c r="L895" i="6"/>
  <c r="K1081" i="6"/>
  <c r="N1081" i="6" s="1"/>
  <c r="L1081" i="6"/>
  <c r="K960" i="6"/>
  <c r="N960" i="6" s="1"/>
  <c r="L960" i="6"/>
  <c r="K1046" i="6"/>
  <c r="N1046" i="6" s="1"/>
  <c r="L1046" i="6"/>
  <c r="K1293" i="6"/>
  <c r="N1293" i="6" s="1"/>
  <c r="L1293" i="6"/>
  <c r="K1273" i="6"/>
  <c r="N1273" i="6" s="1"/>
  <c r="L1273" i="6"/>
  <c r="K1310" i="6"/>
  <c r="N1310" i="6" s="1"/>
  <c r="L1310" i="6"/>
  <c r="K1261" i="6"/>
  <c r="N1261" i="6" s="1"/>
  <c r="L1261" i="6"/>
  <c r="K375" i="6"/>
  <c r="N375" i="6" s="1"/>
  <c r="L375" i="6"/>
  <c r="K263" i="6"/>
  <c r="N263" i="6" s="1"/>
  <c r="L263" i="6"/>
  <c r="K158" i="6"/>
  <c r="N158" i="6" s="1"/>
  <c r="L158" i="6"/>
  <c r="K681" i="6"/>
  <c r="N681" i="6" s="1"/>
  <c r="L681" i="6"/>
  <c r="K1092" i="6"/>
  <c r="N1092" i="6" s="1"/>
  <c r="L1092" i="6"/>
  <c r="K821" i="6"/>
  <c r="N821" i="6" s="1"/>
  <c r="L821" i="6"/>
  <c r="K1256" i="6"/>
  <c r="N1256" i="6" s="1"/>
  <c r="L1256" i="6"/>
  <c r="K357" i="6"/>
  <c r="N357" i="6" s="1"/>
  <c r="L357" i="6"/>
  <c r="K786" i="6"/>
  <c r="N786" i="6" s="1"/>
  <c r="L786" i="6"/>
  <c r="K630" i="6"/>
  <c r="N630" i="6" s="1"/>
  <c r="L630" i="6"/>
  <c r="K535" i="6"/>
  <c r="N535" i="6" s="1"/>
  <c r="L535" i="6"/>
  <c r="K1025" i="6"/>
  <c r="N1025" i="6" s="1"/>
  <c r="L1025" i="6"/>
  <c r="K693" i="6"/>
  <c r="N693" i="6" s="1"/>
  <c r="L693" i="6"/>
  <c r="K1272" i="6"/>
  <c r="N1272" i="6" s="1"/>
  <c r="L1272" i="6"/>
  <c r="K261" i="6"/>
  <c r="N261" i="6" s="1"/>
  <c r="L261" i="6"/>
  <c r="K72" i="6"/>
  <c r="N72" i="6" s="1"/>
  <c r="L72" i="6"/>
  <c r="K213" i="6"/>
  <c r="N213" i="6" s="1"/>
  <c r="L213" i="6"/>
  <c r="K423" i="6"/>
  <c r="N423" i="6" s="1"/>
  <c r="L423" i="6"/>
  <c r="K647" i="6"/>
  <c r="N647" i="6" s="1"/>
  <c r="L647" i="6"/>
  <c r="K476" i="6"/>
  <c r="N476" i="6" s="1"/>
  <c r="L476" i="6"/>
  <c r="K339" i="6"/>
  <c r="N339" i="6" s="1"/>
  <c r="L339" i="6"/>
  <c r="K194" i="6"/>
  <c r="N194" i="6" s="1"/>
  <c r="L194" i="6"/>
  <c r="K161" i="6"/>
  <c r="N161" i="6" s="1"/>
  <c r="L161" i="6"/>
  <c r="L673" i="6"/>
  <c r="K673" i="6"/>
  <c r="N673" i="6" s="1"/>
  <c r="K846" i="6"/>
  <c r="N846" i="6" s="1"/>
  <c r="L846" i="6"/>
  <c r="K1051" i="6"/>
  <c r="N1051" i="6" s="1"/>
  <c r="L1051" i="6"/>
  <c r="K1063" i="6"/>
  <c r="N1063" i="6" s="1"/>
  <c r="L1063" i="6"/>
  <c r="K1308" i="6"/>
  <c r="N1308" i="6" s="1"/>
  <c r="L1308" i="6"/>
  <c r="K1241" i="6"/>
  <c r="N1241" i="6" s="1"/>
  <c r="L1241" i="6"/>
  <c r="K1184" i="6"/>
  <c r="N1184" i="6" s="1"/>
  <c r="L1184" i="6"/>
  <c r="K811" i="6"/>
  <c r="N811" i="6" s="1"/>
  <c r="L811" i="6"/>
  <c r="K502" i="6"/>
  <c r="N502" i="6" s="1"/>
  <c r="L502" i="6"/>
  <c r="K922" i="6"/>
  <c r="N922" i="6" s="1"/>
  <c r="L922" i="6"/>
  <c r="K851" i="6"/>
  <c r="N851" i="6" s="1"/>
  <c r="L851" i="6"/>
  <c r="K651" i="6"/>
  <c r="N651" i="6" s="1"/>
  <c r="L651" i="6"/>
  <c r="K1130" i="6"/>
  <c r="N1130" i="6" s="1"/>
  <c r="L1130" i="6"/>
  <c r="K800" i="6"/>
  <c r="N800" i="6" s="1"/>
  <c r="L800" i="6"/>
  <c r="K1237" i="6"/>
  <c r="N1237" i="6" s="1"/>
  <c r="L1237" i="6"/>
  <c r="K1006" i="6"/>
  <c r="N1006" i="6" s="1"/>
  <c r="L1006" i="6"/>
  <c r="K1036" i="6"/>
  <c r="N1036" i="6" s="1"/>
  <c r="L1036" i="6"/>
  <c r="K1199" i="6"/>
  <c r="N1199" i="6" s="1"/>
  <c r="L1199" i="6"/>
  <c r="K281" i="6"/>
  <c r="N281" i="6" s="1"/>
  <c r="L281" i="6"/>
  <c r="K625" i="6"/>
  <c r="N625" i="6" s="1"/>
  <c r="L625" i="6"/>
  <c r="K517" i="6"/>
  <c r="N517" i="6" s="1"/>
  <c r="L517" i="6"/>
  <c r="K790" i="6"/>
  <c r="N790" i="6" s="1"/>
  <c r="L790" i="6"/>
  <c r="K805" i="6"/>
  <c r="N805" i="6" s="1"/>
  <c r="L805" i="6"/>
  <c r="K999" i="6"/>
  <c r="N999" i="6" s="1"/>
  <c r="L999" i="6"/>
  <c r="K791" i="6"/>
  <c r="N791" i="6" s="1"/>
  <c r="L791" i="6"/>
  <c r="K1211" i="6"/>
  <c r="N1211" i="6" s="1"/>
  <c r="L1211" i="6"/>
  <c r="K981" i="6"/>
  <c r="N981" i="6" s="1"/>
  <c r="L981" i="6"/>
  <c r="K1128" i="6"/>
  <c r="N1128" i="6" s="1"/>
  <c r="L1128" i="6"/>
  <c r="K1307" i="6"/>
  <c r="N1307" i="6" s="1"/>
  <c r="L1307" i="6"/>
  <c r="K782" i="6"/>
  <c r="N782" i="6" s="1"/>
  <c r="L782" i="6"/>
  <c r="K539" i="6"/>
  <c r="N539" i="6" s="1"/>
  <c r="L539" i="6"/>
  <c r="K877" i="6"/>
  <c r="N877" i="6" s="1"/>
  <c r="L877" i="6"/>
  <c r="K995" i="6"/>
  <c r="N995" i="6" s="1"/>
  <c r="L995" i="6"/>
  <c r="K711" i="6"/>
  <c r="N711" i="6" s="1"/>
  <c r="L711" i="6"/>
  <c r="K1024" i="6"/>
  <c r="N1024" i="6" s="1"/>
  <c r="L1024" i="6"/>
  <c r="K1106" i="6"/>
  <c r="N1106" i="6" s="1"/>
  <c r="L1106" i="6"/>
  <c r="K1068" i="6"/>
  <c r="N1068" i="6" s="1"/>
  <c r="L1068" i="6"/>
  <c r="K1159" i="6"/>
  <c r="N1159" i="6" s="1"/>
  <c r="L1159" i="6"/>
  <c r="K695" i="6"/>
  <c r="N695" i="6" s="1"/>
  <c r="L695" i="6"/>
  <c r="K140" i="6"/>
  <c r="N140" i="6" s="1"/>
  <c r="L140" i="6"/>
  <c r="K26" i="6"/>
  <c r="N26" i="6" s="1"/>
  <c r="L26" i="6"/>
  <c r="K1206" i="6"/>
  <c r="N1206" i="6" s="1"/>
  <c r="L1206" i="6"/>
  <c r="K474" i="6"/>
  <c r="N474" i="6" s="1"/>
  <c r="L474" i="6"/>
  <c r="K334" i="6"/>
  <c r="N334" i="6" s="1"/>
  <c r="L334" i="6"/>
  <c r="K368" i="6"/>
  <c r="N368" i="6" s="1"/>
  <c r="L368" i="6"/>
  <c r="K305" i="6"/>
  <c r="N305" i="6" s="1"/>
  <c r="L305" i="6"/>
  <c r="K959" i="6"/>
  <c r="N959" i="6" s="1"/>
  <c r="L959" i="6"/>
  <c r="K601" i="6"/>
  <c r="N601" i="6" s="1"/>
  <c r="L601" i="6"/>
  <c r="K487" i="6"/>
  <c r="N487" i="6" s="1"/>
  <c r="L487" i="6"/>
  <c r="K936" i="6"/>
  <c r="N936" i="6" s="1"/>
  <c r="L936" i="6"/>
  <c r="K713" i="6"/>
  <c r="N713" i="6" s="1"/>
  <c r="L713" i="6"/>
  <c r="K589" i="6"/>
  <c r="N589" i="6" s="1"/>
  <c r="L589" i="6"/>
  <c r="K1053" i="6"/>
  <c r="N1053" i="6" s="1"/>
  <c r="L1053" i="6"/>
  <c r="K970" i="6"/>
  <c r="N970" i="6" s="1"/>
  <c r="L970" i="6"/>
  <c r="K1195" i="6"/>
  <c r="N1195" i="6" s="1"/>
  <c r="L1195" i="6"/>
  <c r="K1223" i="6"/>
  <c r="N1223" i="6" s="1"/>
  <c r="L1223" i="6"/>
  <c r="K837" i="6"/>
  <c r="N837" i="6" s="1"/>
  <c r="L837" i="6"/>
  <c r="K279" i="6"/>
  <c r="N279" i="6" s="1"/>
  <c r="L279" i="6"/>
  <c r="K195" i="6"/>
  <c r="N195" i="6" s="1"/>
  <c r="L195" i="6"/>
  <c r="K455" i="6"/>
  <c r="N455" i="6" s="1"/>
  <c r="L455" i="6"/>
  <c r="K850" i="6"/>
  <c r="N850" i="6" s="1"/>
  <c r="L850" i="6"/>
  <c r="K128" i="6"/>
  <c r="N128" i="6" s="1"/>
  <c r="L128" i="6"/>
  <c r="K871" i="6"/>
  <c r="N871" i="6" s="1"/>
  <c r="L871" i="6"/>
  <c r="K451" i="6"/>
  <c r="N451" i="6" s="1"/>
  <c r="L451" i="6"/>
  <c r="K63" i="6"/>
  <c r="N63" i="6" s="1"/>
  <c r="L63" i="6"/>
  <c r="K1008" i="6"/>
  <c r="N1008" i="6" s="1"/>
  <c r="L1008" i="6"/>
  <c r="K484" i="6"/>
  <c r="N484" i="6" s="1"/>
  <c r="L484" i="6"/>
  <c r="K1019" i="6"/>
  <c r="N1019" i="6" s="1"/>
  <c r="L1019" i="6"/>
  <c r="K60" i="6"/>
  <c r="N60" i="6" s="1"/>
  <c r="L60" i="6"/>
  <c r="K225" i="6"/>
  <c r="N225" i="6" s="1"/>
  <c r="L225" i="6"/>
  <c r="K1224" i="6"/>
  <c r="N1224" i="6" s="1"/>
  <c r="L1224" i="6"/>
  <c r="K373" i="6"/>
  <c r="N373" i="6" s="1"/>
  <c r="L373" i="6"/>
  <c r="K988" i="6"/>
  <c r="N988" i="6" s="1"/>
  <c r="L988" i="6"/>
  <c r="K391" i="6"/>
  <c r="N391" i="6" s="1"/>
  <c r="L391" i="6"/>
  <c r="K201" i="6"/>
  <c r="N201" i="6" s="1"/>
  <c r="L201" i="6"/>
  <c r="K1056" i="6"/>
  <c r="N1056" i="6" s="1"/>
  <c r="L1056" i="6"/>
  <c r="K315" i="6"/>
  <c r="N315" i="6" s="1"/>
  <c r="L315" i="6"/>
  <c r="K1080" i="6"/>
  <c r="N1080" i="6" s="1"/>
  <c r="L1080" i="6"/>
  <c r="K335" i="6"/>
  <c r="N335" i="6" s="1"/>
  <c r="L335" i="6"/>
  <c r="K370" i="6"/>
  <c r="N370" i="6" s="1"/>
  <c r="L370" i="6"/>
  <c r="K1002" i="6"/>
  <c r="N1002" i="6" s="1"/>
  <c r="L1002" i="6"/>
  <c r="K125" i="6"/>
  <c r="N125" i="6" s="1"/>
  <c r="L125" i="6"/>
  <c r="K276" i="6"/>
  <c r="N276" i="6" s="1"/>
  <c r="L276" i="6"/>
  <c r="K853" i="6"/>
  <c r="N853" i="6" s="1"/>
  <c r="L853" i="6"/>
  <c r="K356" i="6"/>
  <c r="N356" i="6" s="1"/>
  <c r="L356" i="6"/>
  <c r="K28" i="6"/>
  <c r="N28" i="6" s="1"/>
  <c r="L28" i="6"/>
  <c r="K1144" i="6"/>
  <c r="N1144" i="6" s="1"/>
  <c r="L1144" i="6"/>
  <c r="K687" i="6"/>
  <c r="N687" i="6" s="1"/>
  <c r="L687" i="6"/>
  <c r="K220" i="6"/>
  <c r="N220" i="6" s="1"/>
  <c r="L220" i="6"/>
  <c r="K795" i="6"/>
  <c r="N795" i="6" s="1"/>
  <c r="L795" i="6"/>
  <c r="K157" i="6"/>
  <c r="N157" i="6" s="1"/>
  <c r="L157" i="6"/>
  <c r="K715" i="6"/>
  <c r="N715" i="6" s="1"/>
  <c r="L715" i="6"/>
  <c r="K1162" i="6"/>
  <c r="N1162" i="6" s="1"/>
  <c r="L1162" i="6"/>
  <c r="K419" i="6"/>
  <c r="N419" i="6" s="1"/>
  <c r="L419" i="6"/>
  <c r="K912" i="6"/>
  <c r="N912" i="6" s="1"/>
  <c r="L912" i="6"/>
  <c r="K190" i="6"/>
  <c r="N190" i="6" s="1"/>
  <c r="L190" i="6"/>
  <c r="K154" i="6"/>
  <c r="N154" i="6" s="1"/>
  <c r="L154" i="6"/>
  <c r="K704" i="6"/>
  <c r="N704" i="6" s="1"/>
  <c r="L704" i="6"/>
  <c r="K1220" i="6"/>
  <c r="N1220" i="6" s="1"/>
  <c r="L1220" i="6"/>
  <c r="K395" i="6"/>
  <c r="N395" i="6" s="1"/>
  <c r="L395" i="6"/>
  <c r="K1023" i="6"/>
  <c r="N1023" i="6" s="1"/>
  <c r="L1023" i="6"/>
  <c r="K767" i="6"/>
  <c r="N767" i="6" s="1"/>
  <c r="L767" i="6"/>
  <c r="K1207" i="6"/>
  <c r="N1207" i="6" s="1"/>
  <c r="L1207" i="6"/>
  <c r="K59" i="6"/>
  <c r="N59" i="6" s="1"/>
  <c r="L59" i="6"/>
  <c r="K886" i="6"/>
  <c r="N886" i="6" s="1"/>
  <c r="L886" i="6"/>
  <c r="K797" i="6"/>
  <c r="N797" i="6" s="1"/>
  <c r="L797" i="6"/>
  <c r="K1245" i="6"/>
  <c r="N1245" i="6" s="1"/>
  <c r="L1245" i="6"/>
  <c r="K1278" i="6"/>
  <c r="N1278" i="6" s="1"/>
  <c r="L1278" i="6"/>
  <c r="K526" i="6"/>
  <c r="N526" i="6" s="1"/>
  <c r="L526" i="6"/>
  <c r="K519" i="6"/>
  <c r="N519" i="6" s="1"/>
  <c r="L519" i="6"/>
  <c r="K241" i="6"/>
  <c r="N241" i="6" s="1"/>
  <c r="L241" i="6"/>
  <c r="K500" i="6"/>
  <c r="N500" i="6" s="1"/>
  <c r="L500" i="6"/>
  <c r="K696" i="6"/>
  <c r="N696" i="6" s="1"/>
  <c r="L696" i="6"/>
  <c r="K1103" i="6"/>
  <c r="N1103" i="6" s="1"/>
  <c r="L1103" i="6"/>
  <c r="K632" i="6"/>
  <c r="N632" i="6" s="1"/>
  <c r="L632" i="6"/>
  <c r="K1108" i="6"/>
  <c r="N1108" i="6" s="1"/>
  <c r="L1108" i="6"/>
  <c r="K872" i="6"/>
  <c r="N872" i="6" s="1"/>
  <c r="L872" i="6"/>
  <c r="K1078" i="6"/>
  <c r="N1078" i="6" s="1"/>
  <c r="L1078" i="6"/>
  <c r="K1282" i="6"/>
  <c r="N1282" i="6" s="1"/>
  <c r="L1282" i="6"/>
  <c r="K702" i="6"/>
  <c r="N702" i="6" s="1"/>
  <c r="L702" i="6"/>
  <c r="K885" i="6"/>
  <c r="N885" i="6" s="1"/>
  <c r="L885" i="6"/>
  <c r="K863" i="6"/>
  <c r="N863" i="6" s="1"/>
  <c r="L863" i="6"/>
  <c r="K1200" i="6"/>
  <c r="N1200" i="6" s="1"/>
  <c r="L1200" i="6"/>
  <c r="K945" i="6"/>
  <c r="N945" i="6" s="1"/>
  <c r="L945" i="6"/>
  <c r="K603" i="6"/>
  <c r="N603" i="6" s="1"/>
  <c r="L603" i="6"/>
  <c r="K1071" i="6"/>
  <c r="N1071" i="6" s="1"/>
  <c r="L1071" i="6"/>
  <c r="K1088" i="6"/>
  <c r="N1088" i="6" s="1"/>
  <c r="L1088" i="6"/>
  <c r="K1141" i="6"/>
  <c r="N1141" i="6" s="1"/>
  <c r="L1141" i="6"/>
  <c r="K914" i="6"/>
  <c r="N914" i="6" s="1"/>
  <c r="L914" i="6"/>
  <c r="K221" i="6"/>
  <c r="N221" i="6" s="1"/>
  <c r="L221" i="6"/>
  <c r="K156" i="6"/>
  <c r="N156" i="6" s="1"/>
  <c r="L156" i="6"/>
  <c r="K300" i="6"/>
  <c r="N300" i="6" s="1"/>
  <c r="L300" i="6"/>
  <c r="K112" i="6"/>
  <c r="N112" i="6" s="1"/>
  <c r="L112" i="6"/>
  <c r="K1230" i="6"/>
  <c r="N1230" i="6" s="1"/>
  <c r="L1230" i="6"/>
  <c r="K347" i="6"/>
  <c r="N347" i="6" s="1"/>
  <c r="L347" i="6"/>
  <c r="K1138" i="6"/>
  <c r="N1138" i="6" s="1"/>
  <c r="L1138" i="6"/>
  <c r="K129" i="6"/>
  <c r="N129" i="6" s="1"/>
  <c r="L129" i="6"/>
  <c r="K3" i="6"/>
  <c r="N3" i="6" s="1"/>
  <c r="L3" i="6"/>
  <c r="K146" i="6"/>
  <c r="N146" i="6" s="1"/>
  <c r="L146" i="6"/>
  <c r="K1255" i="6"/>
  <c r="N1255" i="6" s="1"/>
  <c r="L1255" i="6"/>
  <c r="K401" i="6"/>
  <c r="N401" i="6" s="1"/>
  <c r="L401" i="6"/>
  <c r="K12" i="6"/>
  <c r="N12" i="6" s="1"/>
  <c r="L12" i="6"/>
  <c r="K446" i="6"/>
  <c r="N446" i="6" s="1"/>
  <c r="L446" i="6"/>
  <c r="K633" i="6"/>
  <c r="N633" i="6" s="1"/>
  <c r="L633" i="6"/>
  <c r="K965" i="6"/>
  <c r="N965" i="6" s="1"/>
  <c r="L965" i="6"/>
  <c r="K165" i="6"/>
  <c r="N165" i="6" s="1"/>
  <c r="L165" i="6"/>
  <c r="K90" i="6"/>
  <c r="N90" i="6" s="1"/>
  <c r="L90" i="6"/>
  <c r="K974" i="6"/>
  <c r="N974" i="6" s="1"/>
  <c r="L974" i="6"/>
  <c r="K62" i="6"/>
  <c r="N62" i="6" s="1"/>
  <c r="L62" i="6"/>
  <c r="K233" i="6"/>
  <c r="N233" i="6" s="1"/>
  <c r="L233" i="6"/>
  <c r="K1123" i="6"/>
  <c r="N1123" i="6" s="1"/>
  <c r="L1123" i="6"/>
  <c r="K14" i="6"/>
  <c r="N14" i="6" s="1"/>
  <c r="L14" i="6"/>
  <c r="K550" i="6"/>
  <c r="N550" i="6" s="1"/>
  <c r="L550" i="6"/>
  <c r="K425" i="6"/>
  <c r="N425" i="6" s="1"/>
  <c r="L425" i="6"/>
  <c r="K824" i="6"/>
  <c r="N824" i="6" s="1"/>
  <c r="L824" i="6"/>
  <c r="K183" i="6"/>
  <c r="N183" i="6" s="1"/>
  <c r="L183" i="6"/>
  <c r="K483" i="6"/>
  <c r="N483" i="6" s="1"/>
  <c r="L483" i="6"/>
  <c r="K564" i="6"/>
  <c r="N564" i="6" s="1"/>
  <c r="L564" i="6"/>
  <c r="K925" i="6"/>
  <c r="N925" i="6" s="1"/>
  <c r="L925" i="6"/>
  <c r="K131" i="6"/>
  <c r="N131" i="6" s="1"/>
  <c r="L131" i="6"/>
  <c r="K532" i="6"/>
  <c r="N532" i="6" s="1"/>
  <c r="L532" i="6"/>
  <c r="K1295" i="6"/>
  <c r="N1295" i="6" s="1"/>
  <c r="L1295" i="6"/>
  <c r="K480" i="6"/>
  <c r="N480" i="6" s="1"/>
  <c r="L480" i="6"/>
  <c r="K397" i="6"/>
  <c r="N397" i="6" s="1"/>
  <c r="L397" i="6"/>
  <c r="K329" i="6"/>
  <c r="N329" i="6" s="1"/>
  <c r="L329" i="6"/>
  <c r="K784" i="6"/>
  <c r="N784" i="6" s="1"/>
  <c r="L784" i="6"/>
  <c r="K121" i="6"/>
  <c r="N121" i="6" s="1"/>
  <c r="L121" i="6"/>
  <c r="K890" i="6"/>
  <c r="N890" i="6" s="1"/>
  <c r="L890" i="6"/>
  <c r="K1145" i="6"/>
  <c r="N1145" i="6" s="1"/>
  <c r="L1145" i="6"/>
  <c r="K409" i="6"/>
  <c r="N409" i="6" s="1"/>
  <c r="L409" i="6"/>
  <c r="K1009" i="6"/>
  <c r="N1009" i="6" s="1"/>
  <c r="L1009" i="6"/>
  <c r="K1050" i="6"/>
  <c r="N1050" i="6" s="1"/>
  <c r="L1050" i="6"/>
  <c r="K268" i="6"/>
  <c r="N268" i="6" s="1"/>
  <c r="L268" i="6"/>
  <c r="K923" i="6"/>
  <c r="N923" i="6" s="1"/>
  <c r="L923" i="6"/>
  <c r="K926" i="6"/>
  <c r="N926" i="6" s="1"/>
  <c r="L926" i="6"/>
  <c r="K807" i="6"/>
  <c r="N807" i="6" s="1"/>
  <c r="L807" i="6"/>
  <c r="K900" i="6"/>
  <c r="N900" i="6" s="1"/>
  <c r="L900" i="6"/>
  <c r="K762" i="6"/>
  <c r="N762" i="6" s="1"/>
  <c r="L762" i="6"/>
  <c r="K591" i="6"/>
  <c r="N591" i="6" s="1"/>
  <c r="L591" i="6"/>
  <c r="K721" i="6"/>
  <c r="N721" i="6" s="1"/>
  <c r="L721" i="6"/>
  <c r="K159" i="6"/>
  <c r="N159" i="6" s="1"/>
  <c r="L159" i="6"/>
  <c r="K659" i="6"/>
  <c r="N659" i="6" s="1"/>
  <c r="L659" i="6"/>
  <c r="K716" i="6"/>
  <c r="N716" i="6" s="1"/>
  <c r="L716" i="6"/>
  <c r="K1107" i="6"/>
  <c r="N1107" i="6" s="1"/>
  <c r="L1107" i="6"/>
  <c r="K367" i="6"/>
  <c r="N367" i="6" s="1"/>
  <c r="L367" i="6"/>
  <c r="K829" i="6"/>
  <c r="N829" i="6" s="1"/>
  <c r="L829" i="6"/>
  <c r="K376" i="6"/>
  <c r="N376" i="6" s="1"/>
  <c r="L376" i="6"/>
  <c r="K43" i="6"/>
  <c r="N43" i="6" s="1"/>
  <c r="L43" i="6"/>
  <c r="K571" i="6"/>
  <c r="N571" i="6" s="1"/>
  <c r="L571" i="6"/>
  <c r="K38" i="6"/>
  <c r="N38" i="6" s="1"/>
  <c r="L38" i="6"/>
  <c r="K694" i="6"/>
  <c r="N694" i="6" s="1"/>
  <c r="L694" i="6"/>
  <c r="K510" i="6"/>
  <c r="N510" i="6" s="1"/>
  <c r="L510" i="6"/>
  <c r="K1079" i="6"/>
  <c r="N1079" i="6" s="1"/>
  <c r="L1079" i="6"/>
  <c r="K559" i="6"/>
  <c r="N559" i="6" s="1"/>
  <c r="L559" i="6"/>
  <c r="K774" i="6"/>
  <c r="N774" i="6" s="1"/>
  <c r="L774" i="6"/>
  <c r="K637" i="6"/>
  <c r="N637" i="6" s="1"/>
  <c r="L637" i="6"/>
  <c r="K1232" i="6"/>
  <c r="N1232" i="6" s="1"/>
  <c r="L1232" i="6"/>
  <c r="K360" i="6"/>
  <c r="N360" i="6" s="1"/>
  <c r="L360" i="6"/>
  <c r="K227" i="6"/>
  <c r="N227" i="6" s="1"/>
  <c r="L227" i="6"/>
  <c r="K525" i="6"/>
  <c r="N525" i="6" s="1"/>
  <c r="L525" i="6"/>
  <c r="K1120" i="6"/>
  <c r="N1120" i="6" s="1"/>
  <c r="L1120" i="6"/>
  <c r="K460" i="6"/>
  <c r="N460" i="6" s="1"/>
  <c r="L460" i="6"/>
  <c r="K609" i="6"/>
  <c r="N609" i="6" s="1"/>
  <c r="L609" i="6"/>
  <c r="K887" i="6"/>
  <c r="N887" i="6" s="1"/>
  <c r="L887" i="6"/>
  <c r="K528" i="6"/>
  <c r="N528" i="6" s="1"/>
  <c r="L528" i="6"/>
  <c r="K89" i="6"/>
  <c r="N89" i="6" s="1"/>
  <c r="L89" i="6"/>
  <c r="K1049" i="6"/>
  <c r="N1049" i="6" s="1"/>
  <c r="L1049" i="6"/>
  <c r="K464" i="6"/>
  <c r="N464" i="6" s="1"/>
  <c r="L464" i="6"/>
  <c r="K583" i="6"/>
  <c r="N583" i="6" s="1"/>
  <c r="L583" i="6"/>
  <c r="K467" i="6"/>
  <c r="N467" i="6" s="1"/>
  <c r="L467" i="6"/>
  <c r="K1042" i="6"/>
  <c r="N1042" i="6" s="1"/>
  <c r="L1042" i="6"/>
  <c r="K861" i="6"/>
  <c r="N861" i="6" s="1"/>
  <c r="L861" i="6"/>
  <c r="K1037" i="6"/>
  <c r="N1037" i="6" s="1"/>
  <c r="L1037" i="6"/>
  <c r="K766" i="6"/>
  <c r="N766" i="6" s="1"/>
  <c r="L766" i="6"/>
  <c r="K548" i="6"/>
  <c r="N548" i="6" s="1"/>
  <c r="L548" i="6"/>
  <c r="K1027" i="6"/>
  <c r="N1027" i="6" s="1"/>
  <c r="L1027" i="6"/>
  <c r="K1218" i="6"/>
  <c r="N1218" i="6" s="1"/>
  <c r="L1218" i="6"/>
  <c r="K819" i="6"/>
  <c r="N819" i="6" s="1"/>
  <c r="L819" i="6"/>
  <c r="K547" i="6"/>
  <c r="N547" i="6" s="1"/>
  <c r="L547" i="6"/>
  <c r="K894" i="6"/>
  <c r="N894" i="6" s="1"/>
  <c r="L894" i="6"/>
  <c r="K1268" i="6"/>
  <c r="N1268" i="6" s="1"/>
  <c r="L1268" i="6"/>
  <c r="K667" i="6"/>
  <c r="N667" i="6" s="1"/>
  <c r="L667" i="6"/>
  <c r="K1229" i="6"/>
  <c r="N1229" i="6" s="1"/>
  <c r="L1229" i="6"/>
  <c r="K839" i="6"/>
  <c r="N839" i="6" s="1"/>
  <c r="L839" i="6"/>
  <c r="K1309" i="6"/>
  <c r="N1309" i="6" s="1"/>
  <c r="L1309" i="6"/>
  <c r="K1257" i="6"/>
  <c r="N1257" i="6" s="1"/>
  <c r="L1257" i="6"/>
  <c r="K1298" i="6"/>
  <c r="N1298" i="6" s="1"/>
  <c r="L1298" i="6"/>
  <c r="K597" i="6"/>
  <c r="N597" i="6" s="1"/>
  <c r="L597" i="6"/>
  <c r="K237" i="6"/>
  <c r="N237" i="6" s="1"/>
  <c r="L237" i="6"/>
  <c r="K228" i="6"/>
  <c r="N228" i="6" s="1"/>
  <c r="L228" i="6"/>
  <c r="K537" i="6"/>
  <c r="N537" i="6" s="1"/>
  <c r="L537" i="6"/>
  <c r="K33" i="6"/>
  <c r="N33" i="6" s="1"/>
  <c r="L33" i="6"/>
  <c r="K1209" i="6"/>
  <c r="N1209" i="6" s="1"/>
  <c r="L1209" i="6"/>
  <c r="K563" i="6"/>
  <c r="N563" i="6" s="1"/>
  <c r="L563" i="6"/>
  <c r="K390" i="6"/>
  <c r="N390" i="6" s="1"/>
  <c r="L390" i="6"/>
  <c r="K814" i="6"/>
  <c r="N814" i="6" s="1"/>
  <c r="L814" i="6"/>
  <c r="K1243" i="6"/>
  <c r="N1243" i="6" s="1"/>
  <c r="L1243" i="6"/>
  <c r="K99" i="6"/>
  <c r="N99" i="6" s="1"/>
  <c r="L99" i="6"/>
  <c r="K717" i="6"/>
  <c r="N717" i="6" s="1"/>
  <c r="L717" i="6"/>
  <c r="K144" i="6"/>
  <c r="N144" i="6" s="1"/>
  <c r="L144" i="6"/>
  <c r="K666" i="6"/>
  <c r="N666" i="6" s="1"/>
  <c r="L666" i="6"/>
  <c r="K911" i="6"/>
  <c r="N911" i="6" s="1"/>
  <c r="L911" i="6"/>
  <c r="K40" i="6"/>
  <c r="N40" i="6" s="1"/>
  <c r="L40" i="6"/>
  <c r="K323" i="6"/>
  <c r="N323" i="6" s="1"/>
  <c r="L323" i="6"/>
  <c r="K1251" i="6"/>
  <c r="N1251" i="6" s="1"/>
  <c r="L1251" i="6"/>
  <c r="K104" i="6"/>
  <c r="N104" i="6" s="1"/>
  <c r="L104" i="6"/>
  <c r="K626" i="6"/>
  <c r="N626" i="6" s="1"/>
  <c r="L626" i="6"/>
  <c r="K858" i="6"/>
  <c r="N858" i="6" s="1"/>
  <c r="L858" i="6"/>
  <c r="K735" i="6"/>
  <c r="N735" i="6" s="1"/>
  <c r="L735" i="6"/>
  <c r="K562" i="6"/>
  <c r="N562" i="6" s="1"/>
  <c r="L562" i="6"/>
  <c r="K679" i="6"/>
  <c r="N679" i="6" s="1"/>
  <c r="L679" i="6"/>
  <c r="K513" i="6"/>
  <c r="N513" i="6" s="1"/>
  <c r="L513" i="6"/>
  <c r="K768" i="6"/>
  <c r="N768" i="6" s="1"/>
  <c r="L768" i="6"/>
  <c r="K1313" i="6"/>
  <c r="N1313" i="6" s="1"/>
  <c r="L1313" i="6"/>
  <c r="K164" i="6"/>
  <c r="N164" i="6" s="1"/>
  <c r="L164" i="6"/>
  <c r="K117" i="6"/>
  <c r="N117" i="6" s="1"/>
  <c r="L117" i="6"/>
  <c r="K512" i="6"/>
  <c r="N512" i="6" s="1"/>
  <c r="L512" i="6"/>
  <c r="K396" i="6"/>
  <c r="N396" i="6" s="1"/>
  <c r="L396" i="6"/>
  <c r="K724" i="6"/>
  <c r="N724" i="6" s="1"/>
  <c r="L724" i="6"/>
  <c r="K385" i="6"/>
  <c r="N385" i="6" s="1"/>
  <c r="L385" i="6"/>
  <c r="K1011" i="6"/>
  <c r="N1011" i="6" s="1"/>
  <c r="L1011" i="6"/>
  <c r="K865" i="6"/>
  <c r="N865" i="6" s="1"/>
  <c r="L865" i="6"/>
  <c r="K1169" i="6"/>
  <c r="N1169" i="6" s="1"/>
  <c r="L1169" i="6"/>
  <c r="K1231" i="6"/>
  <c r="N1231" i="6" s="1"/>
  <c r="L1231" i="6"/>
  <c r="K152" i="6"/>
  <c r="N152" i="6" s="1"/>
  <c r="L152" i="6"/>
  <c r="K23" i="6"/>
  <c r="N23" i="6" s="1"/>
  <c r="L23" i="6"/>
  <c r="K746" i="6"/>
  <c r="N746" i="6" s="1"/>
  <c r="L746" i="6"/>
  <c r="K802" i="6"/>
  <c r="N802" i="6" s="1"/>
  <c r="L802" i="6"/>
  <c r="K307" i="6"/>
  <c r="N307" i="6" s="1"/>
  <c r="L307" i="6"/>
  <c r="K314" i="6"/>
  <c r="N314" i="6" s="1"/>
  <c r="L314" i="6"/>
  <c r="K538" i="6"/>
  <c r="N538" i="6" s="1"/>
  <c r="L538" i="6"/>
  <c r="K645" i="6"/>
  <c r="N645" i="6" s="1"/>
  <c r="L645" i="6"/>
  <c r="K789" i="6"/>
  <c r="N789" i="6" s="1"/>
  <c r="L789" i="6"/>
  <c r="K1057" i="6"/>
  <c r="N1057" i="6" s="1"/>
  <c r="L1057" i="6"/>
  <c r="K1022" i="6"/>
  <c r="N1022" i="6" s="1"/>
  <c r="L1022" i="6"/>
  <c r="K1248" i="6"/>
  <c r="N1248" i="6" s="1"/>
  <c r="L1248" i="6"/>
  <c r="K255" i="6"/>
  <c r="N255" i="6" s="1"/>
  <c r="L255" i="6"/>
  <c r="K602" i="6"/>
  <c r="N602" i="6" s="1"/>
  <c r="L602" i="6"/>
  <c r="K536" i="6"/>
  <c r="N536" i="6" s="1"/>
  <c r="L536" i="6"/>
  <c r="K622" i="6"/>
  <c r="N622" i="6" s="1"/>
  <c r="L622" i="6"/>
  <c r="K17" i="6"/>
  <c r="N17" i="6" s="1"/>
  <c r="L17" i="6"/>
  <c r="K750" i="6"/>
  <c r="N750" i="6" s="1"/>
  <c r="L750" i="6"/>
  <c r="K676" i="6"/>
  <c r="N676" i="6" s="1"/>
  <c r="L676" i="6"/>
  <c r="K761" i="6"/>
  <c r="N761" i="6" s="1"/>
  <c r="L761" i="6"/>
  <c r="K1194" i="6"/>
  <c r="N1194" i="6" s="1"/>
  <c r="L1194" i="6"/>
  <c r="K1061" i="6"/>
  <c r="N1061" i="6" s="1"/>
  <c r="L1061" i="6"/>
  <c r="K1246" i="6"/>
  <c r="N1246" i="6" s="1"/>
  <c r="L1246" i="6"/>
  <c r="K754" i="6"/>
  <c r="N754" i="6" s="1"/>
  <c r="L754" i="6"/>
  <c r="K203" i="6"/>
  <c r="N203" i="6" s="1"/>
  <c r="L203" i="6"/>
  <c r="K138" i="6"/>
  <c r="N138" i="6" s="1"/>
  <c r="L138" i="6"/>
  <c r="K177" i="6"/>
  <c r="N177" i="6" s="1"/>
  <c r="L177" i="6"/>
  <c r="K889" i="6"/>
  <c r="N889" i="6" s="1"/>
  <c r="L889" i="6"/>
  <c r="K644" i="6"/>
  <c r="N644" i="6" s="1"/>
  <c r="L644" i="6"/>
  <c r="K1180" i="6"/>
  <c r="N1180" i="6" s="1"/>
  <c r="L1180" i="6"/>
  <c r="K727" i="6"/>
  <c r="N727" i="6" s="1"/>
  <c r="L727" i="6"/>
  <c r="K990" i="6"/>
  <c r="N990" i="6" s="1"/>
  <c r="L990" i="6"/>
  <c r="K1104" i="6"/>
  <c r="N1104" i="6" s="1"/>
  <c r="L1104" i="6"/>
  <c r="K11" i="6"/>
  <c r="N11" i="6" s="1"/>
  <c r="L11" i="6"/>
  <c r="K148" i="6"/>
  <c r="N148" i="6" s="1"/>
  <c r="L148" i="6"/>
  <c r="K294" i="6"/>
  <c r="N294" i="6" s="1"/>
  <c r="L294" i="6"/>
  <c r="L103" i="6"/>
  <c r="K103" i="6"/>
  <c r="N103" i="6" s="1"/>
  <c r="K763" i="6"/>
  <c r="N763" i="6" s="1"/>
  <c r="L763" i="6"/>
  <c r="K461" i="6"/>
  <c r="N461" i="6" s="1"/>
  <c r="L461" i="6"/>
  <c r="K19" i="6"/>
  <c r="N19" i="6" s="1"/>
  <c r="L19" i="6"/>
  <c r="K560" i="6"/>
  <c r="N560" i="6" s="1"/>
  <c r="L560" i="6"/>
  <c r="K386" i="6"/>
  <c r="N386" i="6" s="1"/>
  <c r="L386" i="6"/>
  <c r="K417" i="6"/>
  <c r="N417" i="6" s="1"/>
  <c r="L417" i="6"/>
  <c r="K903" i="6"/>
  <c r="N903" i="6" s="1"/>
  <c r="L903" i="6"/>
  <c r="K706" i="6"/>
  <c r="N706" i="6" s="1"/>
  <c r="L706" i="6"/>
  <c r="K1015" i="6"/>
  <c r="N1015" i="6" s="1"/>
  <c r="L1015" i="6"/>
  <c r="K908" i="6"/>
  <c r="N908" i="6" s="1"/>
  <c r="L908" i="6"/>
  <c r="K1139" i="6"/>
  <c r="N1139" i="6" s="1"/>
  <c r="L1139" i="6"/>
  <c r="K1171" i="6"/>
  <c r="N1171" i="6" s="1"/>
  <c r="L1171" i="6"/>
  <c r="K1306" i="6"/>
  <c r="N1306" i="6" s="1"/>
  <c r="L1306" i="6"/>
  <c r="K185" i="6"/>
  <c r="N185" i="6" s="1"/>
  <c r="L185" i="6"/>
  <c r="K529" i="6"/>
  <c r="N529" i="6" s="1"/>
  <c r="L529" i="6"/>
  <c r="K818" i="6"/>
  <c r="N818" i="6" s="1"/>
  <c r="L818" i="6"/>
  <c r="K628" i="6"/>
  <c r="N628" i="6" s="1"/>
  <c r="L628" i="6"/>
  <c r="K1091" i="6"/>
  <c r="N1091" i="6" s="1"/>
  <c r="L1091" i="6"/>
  <c r="K857" i="6"/>
  <c r="N857" i="6" s="1"/>
  <c r="L857" i="6"/>
  <c r="K1137" i="6"/>
  <c r="N1137" i="6" s="1"/>
  <c r="L1137" i="6"/>
  <c r="K1064" i="6"/>
  <c r="N1064" i="6" s="1"/>
  <c r="L1064" i="6"/>
  <c r="K1284" i="6"/>
  <c r="N1284" i="6" s="1"/>
  <c r="L1284" i="6"/>
  <c r="K1236" i="6"/>
  <c r="N1236" i="6" s="1"/>
  <c r="L1236" i="6"/>
  <c r="K1222" i="6"/>
  <c r="N1222" i="6" s="1"/>
  <c r="L1222" i="6"/>
  <c r="K473" i="6"/>
  <c r="N473" i="6" s="1"/>
  <c r="L473" i="6"/>
  <c r="K962" i="6"/>
  <c r="N962" i="6" s="1"/>
  <c r="L962" i="6"/>
  <c r="K787" i="6"/>
  <c r="N787" i="6" s="1"/>
  <c r="L787" i="6"/>
  <c r="K619" i="6"/>
  <c r="N619" i="6" s="1"/>
  <c r="L619" i="6"/>
  <c r="K1226" i="6"/>
  <c r="N1226" i="6" s="1"/>
  <c r="L1226" i="6"/>
  <c r="K760" i="6"/>
  <c r="N760" i="6" s="1"/>
  <c r="L760" i="6"/>
  <c r="K1164" i="6"/>
  <c r="N1164" i="6" s="1"/>
  <c r="L1164" i="6"/>
  <c r="K966" i="6"/>
  <c r="N966" i="6" s="1"/>
  <c r="L966" i="6"/>
  <c r="K1277" i="6"/>
  <c r="N1277" i="6" s="1"/>
  <c r="L1277" i="6"/>
  <c r="K1167" i="6"/>
  <c r="N1167" i="6" s="1"/>
  <c r="L1167" i="6"/>
  <c r="K838" i="6"/>
  <c r="N838" i="6" s="1"/>
  <c r="L838" i="6"/>
  <c r="K556" i="6"/>
  <c r="N556" i="6" s="1"/>
  <c r="L556" i="6"/>
  <c r="K756" i="6"/>
  <c r="N756" i="6" s="1"/>
  <c r="L756" i="6"/>
  <c r="K1146" i="6"/>
  <c r="N1146" i="6" s="1"/>
  <c r="L1146" i="6"/>
  <c r="K728" i="6"/>
  <c r="N728" i="6" s="1"/>
  <c r="L728" i="6"/>
  <c r="K907" i="6"/>
  <c r="N907" i="6" s="1"/>
  <c r="L907" i="6"/>
  <c r="K1303" i="6"/>
  <c r="N1303" i="6" s="1"/>
  <c r="L1303" i="6"/>
  <c r="K949" i="6"/>
  <c r="N949" i="6" s="1"/>
  <c r="L949" i="6"/>
  <c r="K1244" i="6"/>
  <c r="N1244" i="6" s="1"/>
  <c r="L1244" i="6"/>
  <c r="K1150" i="6"/>
  <c r="N1150" i="6" s="1"/>
  <c r="L1150" i="6"/>
  <c r="K449" i="6"/>
  <c r="N449" i="6" s="1"/>
  <c r="L449" i="6"/>
  <c r="K37" i="6"/>
  <c r="N37" i="6" s="1"/>
  <c r="L37" i="6"/>
  <c r="K869" i="6"/>
  <c r="N869" i="6" s="1"/>
  <c r="L869" i="6"/>
  <c r="K640" i="6"/>
  <c r="N640" i="6" s="1"/>
  <c r="L640" i="6"/>
  <c r="K257" i="6"/>
  <c r="N257" i="6" s="1"/>
  <c r="L257" i="6"/>
  <c r="K197" i="6"/>
  <c r="N197" i="6" s="1"/>
  <c r="L197" i="6"/>
  <c r="K804" i="6"/>
  <c r="N804" i="6" s="1"/>
  <c r="L804" i="6"/>
  <c r="K318" i="6"/>
  <c r="N318" i="6" s="1"/>
  <c r="L318" i="6"/>
  <c r="K1060" i="6"/>
  <c r="N1060" i="6" s="1"/>
  <c r="L1060" i="6"/>
  <c r="K428" i="6"/>
  <c r="N428" i="6" s="1"/>
  <c r="L428" i="6"/>
  <c r="K52" i="6"/>
  <c r="N52" i="6" s="1"/>
  <c r="L52" i="6"/>
  <c r="K50" i="6"/>
  <c r="N50" i="6" s="1"/>
  <c r="L50" i="6"/>
  <c r="K958" i="6"/>
  <c r="N958" i="6" s="1"/>
  <c r="L958" i="6"/>
  <c r="K407" i="6"/>
  <c r="N407" i="6" s="1"/>
  <c r="L407" i="6"/>
  <c r="K621" i="6"/>
  <c r="N621" i="6" s="1"/>
  <c r="L621" i="6"/>
  <c r="K208" i="6"/>
  <c r="N208" i="6" s="1"/>
  <c r="L208" i="6"/>
  <c r="K299" i="6"/>
  <c r="N299" i="6" s="1"/>
  <c r="L299" i="6"/>
  <c r="K1161" i="6"/>
  <c r="N1161" i="6" s="1"/>
  <c r="L1161" i="6"/>
  <c r="K142" i="6"/>
  <c r="N142" i="6" s="1"/>
  <c r="L142" i="6"/>
  <c r="K74" i="6"/>
  <c r="N74" i="6" s="1"/>
  <c r="L74" i="6"/>
  <c r="K1041" i="6"/>
  <c r="N1041" i="6" s="1"/>
  <c r="L1041" i="6"/>
  <c r="K806" i="6"/>
  <c r="N806" i="6" s="1"/>
  <c r="L806" i="6"/>
  <c r="K653" i="6"/>
  <c r="N653" i="6" s="1"/>
  <c r="L653" i="6"/>
  <c r="K1030" i="6"/>
  <c r="N1030" i="6" s="1"/>
  <c r="L1030" i="6"/>
  <c r="K1075" i="6"/>
  <c r="N1075" i="6" s="1"/>
  <c r="L1075" i="6"/>
  <c r="K1062" i="6"/>
  <c r="N1062" i="6" s="1"/>
  <c r="L1062" i="6"/>
  <c r="K328" i="6"/>
  <c r="N328" i="6" s="1"/>
  <c r="L328" i="6"/>
  <c r="K606" i="6"/>
  <c r="N606" i="6" s="1"/>
  <c r="L606" i="6"/>
  <c r="K531" i="6"/>
  <c r="N531" i="6" s="1"/>
  <c r="L531" i="6"/>
  <c r="K1280" i="6"/>
  <c r="N1280" i="6" s="1"/>
  <c r="L1280" i="6"/>
  <c r="K457" i="6"/>
  <c r="N457" i="6" s="1"/>
  <c r="L457" i="6"/>
  <c r="K47" i="6"/>
  <c r="N47" i="6" s="1"/>
  <c r="L47" i="6"/>
  <c r="K984" i="6"/>
  <c r="N984" i="6" s="1"/>
  <c r="L984" i="6"/>
  <c r="K520" i="6"/>
  <c r="N520" i="6" s="1"/>
  <c r="L520" i="6"/>
  <c r="K680" i="6"/>
  <c r="N680" i="6" s="1"/>
  <c r="L680" i="6"/>
  <c r="K598" i="6"/>
  <c r="N598" i="6" s="1"/>
  <c r="L598" i="6"/>
  <c r="K551" i="6"/>
  <c r="N551" i="6" s="1"/>
  <c r="L551" i="6"/>
  <c r="K764" i="6"/>
  <c r="N764" i="6" s="1"/>
  <c r="L764" i="6"/>
  <c r="K1129" i="6"/>
  <c r="N1129" i="6" s="1"/>
  <c r="L1129" i="6"/>
  <c r="K504" i="6"/>
  <c r="N504" i="6" s="1"/>
  <c r="L504" i="6"/>
  <c r="K993" i="6"/>
  <c r="N993" i="6" s="1"/>
  <c r="L993" i="6"/>
  <c r="K1215" i="6"/>
  <c r="N1215" i="6" s="1"/>
  <c r="L1215" i="6"/>
  <c r="K477" i="6"/>
  <c r="N477" i="6" s="1"/>
  <c r="L477" i="6"/>
  <c r="K73" i="6"/>
  <c r="N73" i="6" s="1"/>
  <c r="L73" i="6"/>
  <c r="K1026" i="6"/>
  <c r="N1026" i="6" s="1"/>
  <c r="L1026" i="6"/>
  <c r="K229" i="6"/>
  <c r="N229" i="6" s="1"/>
  <c r="L229" i="6"/>
  <c r="K463" i="6"/>
  <c r="N463" i="6" s="1"/>
  <c r="L463" i="6"/>
  <c r="K139" i="6"/>
  <c r="N139" i="6" s="1"/>
  <c r="L139" i="6"/>
  <c r="K714" i="6"/>
  <c r="N714" i="6" s="1"/>
  <c r="L714" i="6"/>
  <c r="K358" i="6"/>
  <c r="N358" i="6" s="1"/>
  <c r="L358" i="6"/>
  <c r="K258" i="6"/>
  <c r="N258" i="6" s="1"/>
  <c r="L258" i="6"/>
  <c r="K77" i="6"/>
  <c r="N77" i="6" s="1"/>
  <c r="L77" i="6"/>
  <c r="K135" i="6"/>
  <c r="N135" i="6" s="1"/>
  <c r="L135" i="6"/>
  <c r="K270" i="6"/>
  <c r="N270" i="6" s="1"/>
  <c r="L270" i="6"/>
  <c r="K511" i="6"/>
  <c r="N511" i="6" s="1"/>
  <c r="L511" i="6"/>
  <c r="K22" i="6"/>
  <c r="N22" i="6" s="1"/>
  <c r="L22" i="6"/>
  <c r="K568" i="6"/>
  <c r="N568" i="6" s="1"/>
  <c r="L568" i="6"/>
  <c r="K985" i="6"/>
  <c r="N985" i="6" s="1"/>
  <c r="L985" i="6"/>
  <c r="K244" i="6"/>
  <c r="N244" i="6" s="1"/>
  <c r="L244" i="6"/>
  <c r="K343" i="6"/>
  <c r="N343" i="6" s="1"/>
  <c r="L343" i="6"/>
  <c r="K337" i="6"/>
  <c r="N337" i="6" s="1"/>
  <c r="L337" i="6"/>
  <c r="K1070" i="6"/>
  <c r="N1070" i="6" s="1"/>
  <c r="L1070" i="6"/>
  <c r="K204" i="6"/>
  <c r="N204" i="6" s="1"/>
  <c r="L204" i="6"/>
  <c r="K346" i="6"/>
  <c r="N346" i="6" s="1"/>
  <c r="L346" i="6"/>
  <c r="K1039" i="6"/>
  <c r="N1039" i="6" s="1"/>
  <c r="L1039" i="6"/>
  <c r="K1283" i="6"/>
  <c r="N1283" i="6" s="1"/>
  <c r="L1283" i="6"/>
  <c r="K570" i="6"/>
  <c r="N570" i="6" s="1"/>
  <c r="L570" i="6"/>
  <c r="K690" i="6"/>
  <c r="N690" i="6" s="1"/>
  <c r="L690" i="6"/>
  <c r="K1069" i="6"/>
  <c r="N1069" i="6" s="1"/>
  <c r="L1069" i="6"/>
  <c r="K245" i="6"/>
  <c r="N245" i="6" s="1"/>
  <c r="L245" i="6"/>
  <c r="K87" i="6"/>
  <c r="N87" i="6" s="1"/>
  <c r="L87" i="6"/>
  <c r="K171" i="6"/>
  <c r="N171" i="6" s="1"/>
  <c r="L171" i="6"/>
  <c r="K394" i="6"/>
  <c r="N394" i="6" s="1"/>
  <c r="L394" i="6"/>
  <c r="K842" i="6"/>
  <c r="N842" i="6" s="1"/>
  <c r="L842" i="6"/>
  <c r="K1148" i="6"/>
  <c r="N1148" i="6" s="1"/>
  <c r="L1148" i="6"/>
  <c r="K100" i="6"/>
  <c r="N100" i="6" s="1"/>
  <c r="L100" i="6"/>
  <c r="K222" i="6"/>
  <c r="N222" i="6" s="1"/>
  <c r="L222" i="6"/>
  <c r="K366" i="6"/>
  <c r="N366" i="6" s="1"/>
  <c r="L366" i="6"/>
  <c r="K186" i="6"/>
  <c r="N186" i="6" s="1"/>
  <c r="L186" i="6"/>
  <c r="K854" i="6"/>
  <c r="N854" i="6" s="1"/>
  <c r="L854" i="6"/>
  <c r="K1189" i="6"/>
  <c r="N1189" i="6" s="1"/>
  <c r="L1189" i="6"/>
  <c r="K224" i="6"/>
  <c r="N224" i="6" s="1"/>
  <c r="L224" i="6"/>
  <c r="K501" i="6"/>
  <c r="N501" i="6" s="1"/>
  <c r="L501" i="6"/>
  <c r="K16" i="6"/>
  <c r="N16" i="6" s="1"/>
  <c r="L16" i="6"/>
  <c r="K289" i="6"/>
  <c r="N289" i="6" s="1"/>
  <c r="L289" i="6"/>
  <c r="K15" i="6"/>
  <c r="N15" i="6" s="1"/>
  <c r="L15" i="6"/>
  <c r="K610" i="6"/>
  <c r="N610" i="6" s="1"/>
  <c r="L610" i="6"/>
  <c r="K1058" i="6"/>
  <c r="N1058" i="6" s="1"/>
  <c r="L1058" i="6"/>
  <c r="K1176" i="6"/>
  <c r="N1176" i="6" s="1"/>
  <c r="L1176" i="6"/>
  <c r="K439" i="6"/>
  <c r="N439" i="6" s="1"/>
  <c r="L439" i="6"/>
  <c r="K481" i="6"/>
  <c r="N481" i="6" s="1"/>
  <c r="L481" i="6"/>
  <c r="K893" i="6"/>
  <c r="N893" i="6" s="1"/>
  <c r="L893" i="6"/>
  <c r="K181" i="6"/>
  <c r="N181" i="6" s="1"/>
  <c r="L181" i="6"/>
  <c r="K266" i="6"/>
  <c r="N266" i="6" s="1"/>
  <c r="L266" i="6"/>
  <c r="K815" i="6"/>
  <c r="N815" i="6" s="1"/>
  <c r="L815" i="6"/>
  <c r="K308" i="6"/>
  <c r="N308" i="6" s="1"/>
  <c r="L308" i="6"/>
  <c r="K243" i="6"/>
  <c r="N243" i="6" s="1"/>
  <c r="L243" i="6"/>
  <c r="K1083" i="6"/>
  <c r="N1083" i="6" s="1"/>
  <c r="L1083" i="6"/>
  <c r="K86" i="6"/>
  <c r="N86" i="6" s="1"/>
  <c r="L86" i="6"/>
  <c r="K69" i="6"/>
  <c r="N69" i="6" s="1"/>
  <c r="L69" i="6"/>
  <c r="K623" i="6"/>
  <c r="N623" i="6" s="1"/>
  <c r="L623" i="6"/>
  <c r="K34" i="6"/>
  <c r="N34" i="6" s="1"/>
  <c r="L34" i="6"/>
  <c r="K1066" i="6"/>
  <c r="N1066" i="6" s="1"/>
  <c r="L1066" i="6"/>
  <c r="K816" i="6"/>
  <c r="N816" i="6" s="1"/>
  <c r="L816" i="6"/>
  <c r="K1263" i="6"/>
  <c r="N1263" i="6" s="1"/>
  <c r="L1263" i="6"/>
  <c r="K9" i="6"/>
  <c r="N9" i="6" s="1"/>
  <c r="L9" i="6"/>
  <c r="K479" i="6"/>
  <c r="N479" i="6" s="1"/>
  <c r="L479" i="6"/>
  <c r="K251" i="6"/>
  <c r="N251" i="6" s="1"/>
  <c r="L251" i="6"/>
  <c r="K656" i="6"/>
  <c r="N656" i="6" s="1"/>
  <c r="L656" i="6"/>
  <c r="K1140" i="6"/>
  <c r="N1140" i="6" s="1"/>
  <c r="L1140" i="6"/>
  <c r="K1005" i="6"/>
  <c r="N1005" i="6" s="1"/>
  <c r="L1005" i="6"/>
  <c r="K301" i="6"/>
  <c r="N301" i="6" s="1"/>
  <c r="L301" i="6"/>
  <c r="K55" i="6"/>
  <c r="N55" i="6" s="1"/>
  <c r="L55" i="6"/>
  <c r="K404" i="6"/>
  <c r="N404" i="6" s="1"/>
  <c r="L404" i="6"/>
  <c r="K576" i="6"/>
  <c r="N576" i="6" s="1"/>
  <c r="L576" i="6"/>
  <c r="K748" i="6"/>
  <c r="N748" i="6" s="1"/>
  <c r="L748" i="6"/>
  <c r="K1000" i="6"/>
  <c r="N1000" i="6" s="1"/>
  <c r="L1000" i="6"/>
  <c r="K36" i="6"/>
  <c r="N36" i="6" s="1"/>
  <c r="L36" i="6"/>
  <c r="K554" i="6"/>
  <c r="N554" i="6" s="1"/>
  <c r="L554" i="6"/>
  <c r="K326" i="6"/>
  <c r="N326" i="6" s="1"/>
  <c r="L326" i="6"/>
  <c r="K459" i="6"/>
  <c r="N459" i="6" s="1"/>
  <c r="L459" i="6"/>
  <c r="K772" i="6"/>
  <c r="N772" i="6" s="1"/>
  <c r="L772" i="6"/>
  <c r="K921" i="6"/>
  <c r="N921" i="6" s="1"/>
  <c r="L921" i="6"/>
  <c r="K1188" i="6"/>
  <c r="N1188" i="6" s="1"/>
  <c r="L1188" i="6"/>
  <c r="K176" i="6"/>
  <c r="N176" i="6" s="1"/>
  <c r="L176" i="6"/>
  <c r="K246" i="6"/>
  <c r="N246" i="6" s="1"/>
  <c r="L246" i="6"/>
  <c r="K199" i="6"/>
  <c r="N199" i="6" s="1"/>
  <c r="L199" i="6"/>
  <c r="K325" i="6"/>
  <c r="N325" i="6" s="1"/>
  <c r="L325" i="6"/>
  <c r="K267" i="6"/>
  <c r="N267" i="6" s="1"/>
  <c r="L267" i="6"/>
  <c r="K600" i="6"/>
  <c r="N600" i="6" s="1"/>
  <c r="L600" i="6"/>
  <c r="K835" i="6"/>
  <c r="N835" i="6" s="1"/>
  <c r="L835" i="6"/>
  <c r="K741" i="6"/>
  <c r="N741" i="6" s="1"/>
  <c r="L741" i="6"/>
  <c r="K924" i="6"/>
  <c r="N924" i="6" s="1"/>
  <c r="L924" i="6"/>
  <c r="K1084" i="6"/>
  <c r="N1084" i="6" s="1"/>
  <c r="L1084" i="6"/>
  <c r="K10" i="6"/>
  <c r="N10" i="6" s="1"/>
  <c r="L10" i="6"/>
  <c r="K6" i="6"/>
  <c r="N6" i="6" s="1"/>
  <c r="L6" i="6"/>
  <c r="K701" i="6"/>
  <c r="N701" i="6" s="1"/>
  <c r="L701" i="6"/>
  <c r="K454" i="6"/>
  <c r="N454" i="6" s="1"/>
  <c r="L454" i="6"/>
  <c r="K75" i="6"/>
  <c r="N75" i="6" s="1"/>
  <c r="L75" i="6"/>
  <c r="K298" i="6"/>
  <c r="N298" i="6" s="1"/>
  <c r="L298" i="6"/>
  <c r="K641" i="6"/>
  <c r="N641" i="6" s="1"/>
  <c r="L641" i="6"/>
  <c r="K611" i="6"/>
  <c r="N611" i="6" s="1"/>
  <c r="L611" i="6"/>
  <c r="K975" i="6"/>
  <c r="N975" i="6" s="1"/>
  <c r="L975" i="6"/>
  <c r="K989" i="6"/>
  <c r="N989" i="6" s="1"/>
  <c r="L989" i="6"/>
  <c r="K13" i="6"/>
  <c r="N13" i="6" s="1"/>
  <c r="L13" i="6"/>
  <c r="K214" i="6"/>
  <c r="N214" i="6" s="1"/>
  <c r="L214" i="6"/>
  <c r="K174" i="6"/>
  <c r="N174" i="6" s="1"/>
  <c r="L174" i="6"/>
  <c r="K710" i="6"/>
  <c r="N710" i="6" s="1"/>
  <c r="L710" i="6"/>
  <c r="K503" i="6"/>
  <c r="N503" i="6" s="1"/>
  <c r="L503" i="6"/>
  <c r="K98" i="6"/>
  <c r="N98" i="6" s="1"/>
  <c r="L98" i="6"/>
  <c r="K518" i="6"/>
  <c r="N518" i="6" s="1"/>
  <c r="L518" i="6"/>
  <c r="K612" i="6"/>
  <c r="N612" i="6" s="1"/>
  <c r="L612" i="6"/>
  <c r="K1181" i="6"/>
  <c r="N1181" i="6" s="1"/>
  <c r="L1181" i="6"/>
  <c r="K1014" i="6"/>
  <c r="N1014" i="6" s="1"/>
  <c r="L1014" i="6"/>
  <c r="K1198" i="6"/>
  <c r="N1198" i="6" s="1"/>
  <c r="L1198" i="6"/>
  <c r="K280" i="6"/>
  <c r="N280" i="6" s="1"/>
  <c r="L280" i="6"/>
  <c r="K336" i="6"/>
  <c r="N336" i="6" s="1"/>
  <c r="L336" i="6"/>
  <c r="K95" i="6"/>
  <c r="N95" i="6" s="1"/>
  <c r="L95" i="6"/>
  <c r="K350" i="6"/>
  <c r="N350" i="6" s="1"/>
  <c r="L350" i="6"/>
  <c r="K372" i="6"/>
  <c r="N372" i="6" s="1"/>
  <c r="L372" i="6"/>
  <c r="K387" i="6"/>
  <c r="N387" i="6" s="1"/>
  <c r="L387" i="6"/>
  <c r="K402" i="6"/>
  <c r="N402" i="6" s="1"/>
  <c r="L402" i="6"/>
  <c r="K956" i="6"/>
  <c r="N956" i="6" s="1"/>
  <c r="L956" i="6"/>
  <c r="K868" i="6"/>
  <c r="N868" i="6" s="1"/>
  <c r="L868" i="6"/>
  <c r="K963" i="6"/>
  <c r="N963" i="6" s="1"/>
  <c r="L963" i="6"/>
  <c r="K759" i="6"/>
  <c r="N759" i="6" s="1"/>
  <c r="L759" i="6"/>
  <c r="K1132" i="6"/>
  <c r="N1132" i="6" s="1"/>
  <c r="L1132" i="6"/>
  <c r="K1183" i="6"/>
  <c r="N1183" i="6" s="1"/>
  <c r="L1183" i="6"/>
  <c r="K327" i="6"/>
  <c r="N327" i="6" s="1"/>
  <c r="L327" i="6"/>
  <c r="K642" i="6"/>
  <c r="N642" i="6" s="1"/>
  <c r="L642" i="6"/>
  <c r="K771" i="6"/>
  <c r="N771" i="6" s="1"/>
  <c r="L771" i="6"/>
  <c r="K844" i="6"/>
  <c r="N844" i="6" s="1"/>
  <c r="L844" i="6"/>
  <c r="K105" i="6"/>
  <c r="N105" i="6" s="1"/>
  <c r="L105" i="6"/>
  <c r="K980" i="6"/>
  <c r="N980" i="6" s="1"/>
  <c r="L980" i="6"/>
  <c r="K1153" i="6"/>
  <c r="N1153" i="6" s="1"/>
  <c r="L1153" i="6"/>
  <c r="K881" i="6"/>
  <c r="N881" i="6" s="1"/>
  <c r="L881" i="6"/>
  <c r="K944" i="6"/>
  <c r="N944" i="6" s="1"/>
  <c r="L944" i="6"/>
  <c r="K1249" i="6"/>
  <c r="N1249" i="6" s="1"/>
  <c r="L1249" i="6"/>
  <c r="K1294" i="6"/>
  <c r="N1294" i="6" s="1"/>
  <c r="L1294" i="6"/>
  <c r="K340" i="6"/>
  <c r="N340" i="6" s="1"/>
  <c r="L340" i="6"/>
  <c r="K283" i="6"/>
  <c r="N283" i="6" s="1"/>
  <c r="L283" i="6"/>
  <c r="K210" i="6"/>
  <c r="N210" i="6" s="1"/>
  <c r="L210" i="6"/>
  <c r="K273" i="6"/>
  <c r="N273" i="6" s="1"/>
  <c r="L273" i="6"/>
  <c r="K810" i="6"/>
  <c r="N810" i="6" s="1"/>
  <c r="L810" i="6"/>
  <c r="K834" i="6"/>
  <c r="N834" i="6" s="1"/>
  <c r="L834" i="6"/>
  <c r="K697" i="6"/>
  <c r="N697" i="6" s="1"/>
  <c r="L697" i="6"/>
  <c r="K831" i="6"/>
  <c r="N831" i="6" s="1"/>
  <c r="L831" i="6"/>
  <c r="K1099" i="6"/>
  <c r="N1099" i="6" s="1"/>
  <c r="L1099" i="6"/>
  <c r="K1208" i="6"/>
  <c r="N1208" i="6" s="1"/>
  <c r="L1208" i="6"/>
  <c r="K102" i="6"/>
  <c r="N102" i="6" s="1"/>
  <c r="L102" i="6"/>
  <c r="K189" i="6"/>
  <c r="N189" i="6" s="1"/>
  <c r="L189" i="6"/>
  <c r="K44" i="6"/>
  <c r="N44" i="6" s="1"/>
  <c r="L44" i="6"/>
  <c r="K167" i="6"/>
  <c r="N167" i="6" s="1"/>
  <c r="L167" i="6"/>
  <c r="K342" i="6"/>
  <c r="N342" i="6" s="1"/>
  <c r="L342" i="6"/>
  <c r="K566" i="6"/>
  <c r="N566" i="6" s="1"/>
  <c r="L566" i="6"/>
  <c r="K83" i="6"/>
  <c r="N83" i="6" s="1"/>
  <c r="L83" i="6"/>
  <c r="K654" i="6"/>
  <c r="N654" i="6" s="1"/>
  <c r="L654" i="6"/>
  <c r="K450" i="6"/>
  <c r="N450" i="6" s="1"/>
  <c r="L450" i="6"/>
  <c r="K494" i="6"/>
  <c r="N494" i="6" s="1"/>
  <c r="L494" i="6"/>
  <c r="K1090" i="6"/>
  <c r="N1090" i="6" s="1"/>
  <c r="L1090" i="6"/>
  <c r="K899" i="6"/>
  <c r="N899" i="6" s="1"/>
  <c r="L899" i="6"/>
  <c r="K1234" i="6"/>
  <c r="N1234" i="6" s="1"/>
  <c r="L1234" i="6"/>
  <c r="K1087" i="6"/>
  <c r="N1087" i="6" s="1"/>
  <c r="L1087" i="6"/>
  <c r="K1100" i="6"/>
  <c r="N1100" i="6" s="1"/>
  <c r="L1100" i="6"/>
  <c r="K1028" i="6"/>
  <c r="N1028" i="6" s="1"/>
  <c r="L1028" i="6"/>
  <c r="K1190" i="6"/>
  <c r="N1190" i="6" s="1"/>
  <c r="L1190" i="6"/>
  <c r="K249" i="6"/>
  <c r="N249" i="6" s="1"/>
  <c r="L249" i="6"/>
  <c r="K593" i="6"/>
  <c r="N593" i="6" s="1"/>
  <c r="L593" i="6"/>
  <c r="K1033" i="6"/>
  <c r="N1033" i="6" s="1"/>
  <c r="L1033" i="6"/>
  <c r="K726" i="6"/>
  <c r="N726" i="6" s="1"/>
  <c r="L726" i="6"/>
  <c r="K773" i="6"/>
  <c r="N773" i="6" s="1"/>
  <c r="L773" i="6"/>
  <c r="K935" i="6"/>
  <c r="N935" i="6" s="1"/>
  <c r="L935" i="6"/>
  <c r="K751" i="6"/>
  <c r="N751" i="6" s="1"/>
  <c r="L751" i="6"/>
  <c r="K1156" i="6"/>
  <c r="N1156" i="6" s="1"/>
  <c r="L1156" i="6"/>
  <c r="K941" i="6"/>
  <c r="N941" i="6" s="1"/>
  <c r="L941" i="6"/>
  <c r="K1304" i="6"/>
  <c r="N1304" i="6" s="1"/>
  <c r="L1304" i="6"/>
  <c r="K1305" i="6"/>
  <c r="N1305" i="6" s="1"/>
  <c r="L1305" i="6"/>
  <c r="K543" i="6"/>
  <c r="N543" i="6" s="1"/>
  <c r="L543" i="6"/>
  <c r="K1003" i="6"/>
  <c r="N1003" i="6" s="1"/>
  <c r="L1003" i="6"/>
  <c r="K986" i="6"/>
  <c r="N986" i="6" s="1"/>
  <c r="L986" i="6"/>
  <c r="K692" i="6"/>
  <c r="N692" i="6" s="1"/>
  <c r="L692" i="6"/>
  <c r="K1114" i="6"/>
  <c r="N1114" i="6" s="1"/>
  <c r="L1114" i="6"/>
  <c r="K832" i="6"/>
  <c r="N832" i="6" s="1"/>
  <c r="L832" i="6"/>
  <c r="K1301" i="6"/>
  <c r="N1301" i="6" s="1"/>
  <c r="L1301" i="6"/>
  <c r="K1038" i="6"/>
  <c r="N1038" i="6" s="1"/>
  <c r="L1038" i="6"/>
  <c r="K1076" i="6"/>
  <c r="N1076" i="6" s="1"/>
  <c r="L1076" i="6"/>
  <c r="K1239" i="6"/>
  <c r="N1239" i="6" s="1"/>
  <c r="L1239" i="6"/>
  <c r="K1018" i="6"/>
  <c r="N1018" i="6" s="1"/>
  <c r="L1018" i="6"/>
  <c r="K620" i="6"/>
  <c r="N620" i="6" s="1"/>
  <c r="L620" i="6"/>
  <c r="K884" i="6"/>
  <c r="N884" i="6" s="1"/>
  <c r="L884" i="6"/>
  <c r="K705" i="6"/>
  <c r="N705" i="6" s="1"/>
  <c r="L705" i="6"/>
  <c r="K792" i="6"/>
  <c r="N792" i="6" s="1"/>
  <c r="L792" i="6"/>
  <c r="K1001" i="6"/>
  <c r="N1001" i="6" s="1"/>
  <c r="L1001" i="6"/>
  <c r="K1219" i="6"/>
  <c r="N1219" i="6" s="1"/>
  <c r="L1219" i="6"/>
  <c r="K1013" i="6"/>
  <c r="N1013" i="6" s="1"/>
  <c r="L1013" i="6"/>
  <c r="K1296" i="6"/>
  <c r="N1296" i="6" s="1"/>
  <c r="L1296" i="6"/>
  <c r="K1214" i="6"/>
  <c r="N1214" i="6" s="1"/>
  <c r="L1214" i="6"/>
  <c r="K218" i="6"/>
  <c r="N218" i="6" s="1"/>
  <c r="L218" i="6"/>
  <c r="K663" i="6"/>
  <c r="N663" i="6" s="1"/>
  <c r="L663" i="6"/>
  <c r="K292" i="6"/>
  <c r="N292" i="6" s="1"/>
  <c r="L292" i="6"/>
  <c r="K740" i="6"/>
  <c r="N740" i="6" s="1"/>
  <c r="L740" i="6"/>
  <c r="K182" i="6"/>
  <c r="N182" i="6" s="1"/>
  <c r="L182" i="6"/>
  <c r="K778" i="6"/>
  <c r="N778" i="6" s="1"/>
  <c r="L778" i="6"/>
  <c r="K490" i="6"/>
  <c r="N490" i="6" s="1"/>
  <c r="L490" i="6"/>
  <c r="K238" i="6"/>
  <c r="N238" i="6" s="1"/>
  <c r="L238" i="6"/>
  <c r="K898" i="6"/>
  <c r="N898" i="6" s="1"/>
  <c r="L898" i="6"/>
  <c r="K683" i="6"/>
  <c r="N683" i="6" s="1"/>
  <c r="L683" i="6"/>
  <c r="K205" i="6"/>
  <c r="N205" i="6" s="1"/>
  <c r="L205" i="6"/>
  <c r="K488" i="6"/>
  <c r="N488" i="6" s="1"/>
  <c r="L488" i="6"/>
  <c r="K432" i="6"/>
  <c r="N432" i="6" s="1"/>
  <c r="L432" i="6"/>
  <c r="K544" i="6"/>
  <c r="N544" i="6" s="1"/>
  <c r="L544" i="6"/>
  <c r="K1096" i="6"/>
  <c r="N1096" i="6" s="1"/>
  <c r="L1096" i="6"/>
  <c r="K215" i="6"/>
  <c r="N215" i="6" s="1"/>
  <c r="L215" i="6"/>
  <c r="K781" i="6"/>
  <c r="N781" i="6" s="1"/>
  <c r="L781" i="6"/>
  <c r="K344" i="6"/>
  <c r="N344" i="6" s="1"/>
  <c r="L344" i="6"/>
  <c r="K51" i="6"/>
  <c r="N51" i="6" s="1"/>
  <c r="L51" i="6"/>
  <c r="K874" i="6"/>
  <c r="N874" i="6" s="1"/>
  <c r="L874" i="6"/>
  <c r="K31" i="6"/>
  <c r="N31" i="6" s="1"/>
  <c r="L31" i="6"/>
  <c r="K608" i="6"/>
  <c r="N608" i="6" s="1"/>
  <c r="L608" i="6"/>
  <c r="K736" i="6"/>
  <c r="N736" i="6" s="1"/>
  <c r="L736" i="6"/>
  <c r="K78" i="6"/>
  <c r="N78" i="6" s="1"/>
  <c r="L78" i="6"/>
  <c r="K262" i="6"/>
  <c r="N262" i="6" s="1"/>
  <c r="L262" i="6"/>
  <c r="K506" i="6"/>
  <c r="N506" i="6" s="1"/>
  <c r="L506" i="6"/>
  <c r="K946" i="6"/>
  <c r="N946" i="6" s="1"/>
  <c r="L946" i="6"/>
  <c r="K163" i="6"/>
  <c r="N163" i="6" s="1"/>
  <c r="L163" i="6"/>
  <c r="K296" i="6"/>
  <c r="N296" i="6" s="1"/>
  <c r="L296" i="6"/>
  <c r="K84" i="6"/>
  <c r="N84" i="6" s="1"/>
  <c r="L84" i="6"/>
  <c r="K830" i="6"/>
  <c r="N830" i="6" s="1"/>
  <c r="L830" i="6"/>
  <c r="K223" i="6"/>
  <c r="N223" i="6" s="1"/>
  <c r="L223" i="6"/>
  <c r="K1253" i="6"/>
  <c r="N1253" i="6" s="1"/>
  <c r="L1253" i="6"/>
  <c r="K178" i="6"/>
  <c r="N178" i="6" s="1"/>
  <c r="L178" i="6"/>
  <c r="K1299" i="6"/>
  <c r="N1299" i="6" s="1"/>
  <c r="L1299" i="6"/>
  <c r="K388" i="6"/>
  <c r="N388" i="6" s="1"/>
  <c r="L388" i="6"/>
  <c r="K849" i="6"/>
  <c r="N849" i="6" s="1"/>
  <c r="L849" i="6"/>
  <c r="K311" i="6"/>
  <c r="N311" i="6" s="1"/>
  <c r="L311" i="6"/>
  <c r="K493" i="6"/>
  <c r="N493" i="6" s="1"/>
  <c r="L493" i="6"/>
  <c r="K284" i="6"/>
  <c r="N284" i="6" s="1"/>
  <c r="L284" i="6"/>
  <c r="K421" i="6"/>
  <c r="N421" i="6" s="1"/>
  <c r="L421" i="6"/>
  <c r="K796" i="6"/>
  <c r="N796" i="6" s="1"/>
  <c r="L796" i="6"/>
  <c r="K1225" i="6"/>
  <c r="N1225" i="6" s="1"/>
  <c r="L1225" i="6"/>
  <c r="K111" i="6"/>
  <c r="N111" i="6" s="1"/>
  <c r="L111" i="6"/>
  <c r="K380" i="6"/>
  <c r="N380" i="6" s="1"/>
  <c r="L380" i="6"/>
  <c r="K410" i="6"/>
  <c r="N410" i="6" s="1"/>
  <c r="L410" i="6"/>
  <c r="K967" i="6"/>
  <c r="N967" i="6" s="1"/>
  <c r="L967" i="6"/>
  <c r="K1172" i="6"/>
  <c r="N1172" i="6" s="1"/>
  <c r="L1172" i="6"/>
  <c r="K429" i="6"/>
  <c r="N429" i="6" s="1"/>
  <c r="L429" i="6"/>
  <c r="K788" i="6"/>
  <c r="N788" i="6" s="1"/>
  <c r="L788" i="6"/>
  <c r="K919" i="6"/>
  <c r="N919" i="6" s="1"/>
  <c r="L919" i="6"/>
  <c r="K840" i="6"/>
  <c r="N840" i="6" s="1"/>
  <c r="L840" i="6"/>
  <c r="K1109" i="6"/>
  <c r="N1109" i="6" s="1"/>
  <c r="L1109" i="6"/>
  <c r="K200" i="6"/>
  <c r="N200" i="6" s="1"/>
  <c r="L200" i="6"/>
  <c r="K333" i="6"/>
  <c r="N333" i="6" s="1"/>
  <c r="L333" i="6"/>
  <c r="K403" i="6"/>
  <c r="N403" i="6" s="1"/>
  <c r="L403" i="6"/>
  <c r="K836" i="6"/>
  <c r="N836" i="6" s="1"/>
  <c r="L836" i="6"/>
  <c r="K765" i="6"/>
  <c r="N765" i="6" s="1"/>
  <c r="L765" i="6"/>
  <c r="K933" i="6"/>
  <c r="N933" i="6" s="1"/>
  <c r="L933" i="6"/>
  <c r="K57" i="6"/>
  <c r="N57" i="6" s="1"/>
  <c r="L57" i="6"/>
  <c r="K852" i="6"/>
  <c r="N852" i="6" s="1"/>
  <c r="L852" i="6"/>
  <c r="K739" i="6"/>
  <c r="N739" i="6" s="1"/>
  <c r="L739" i="6"/>
  <c r="K920" i="6"/>
  <c r="N920" i="6" s="1"/>
  <c r="L920" i="6"/>
  <c r="K1115" i="6"/>
  <c r="N1115" i="6" s="1"/>
  <c r="L1115" i="6"/>
  <c r="K345" i="6"/>
  <c r="N345" i="6" s="1"/>
  <c r="L345" i="6"/>
  <c r="K1017" i="6"/>
  <c r="N1017" i="6" s="1"/>
  <c r="L1017" i="6"/>
  <c r="K1101" i="6"/>
  <c r="N1101" i="6" s="1"/>
  <c r="L1101" i="6"/>
  <c r="K1155" i="6"/>
  <c r="N1155" i="6" s="1"/>
  <c r="L1155" i="6"/>
  <c r="K1302" i="6"/>
  <c r="N1302" i="6" s="1"/>
  <c r="L1302" i="6"/>
  <c r="K775" i="6"/>
  <c r="N775" i="6" s="1"/>
  <c r="L775" i="6"/>
  <c r="K92" i="6"/>
  <c r="N92" i="6" s="1"/>
  <c r="L92" i="6"/>
  <c r="K239" i="6"/>
  <c r="N239" i="6" s="1"/>
  <c r="L239" i="6"/>
  <c r="K169" i="6"/>
  <c r="N169" i="6" s="1"/>
  <c r="L169" i="6"/>
  <c r="K250" i="6"/>
  <c r="N250" i="6" s="1"/>
  <c r="L250" i="6"/>
  <c r="K219" i="6"/>
  <c r="N219" i="6" s="1"/>
  <c r="L219" i="6"/>
  <c r="K485" i="6"/>
  <c r="N485" i="6" s="1"/>
  <c r="L485" i="6"/>
  <c r="K88" i="6"/>
  <c r="N88" i="6" s="1"/>
  <c r="L88" i="6"/>
  <c r="K545" i="6"/>
  <c r="N545" i="6" s="1"/>
  <c r="L545" i="6"/>
  <c r="K134" i="6"/>
  <c r="N134" i="6" s="1"/>
  <c r="L134" i="6"/>
  <c r="K574" i="6"/>
  <c r="N574" i="6" s="1"/>
  <c r="L574" i="6"/>
  <c r="K1095" i="6"/>
  <c r="N1095" i="6" s="1"/>
  <c r="L1095" i="6"/>
  <c r="K124" i="6"/>
  <c r="N124" i="6" s="1"/>
  <c r="L124" i="6"/>
  <c r="K549" i="6"/>
  <c r="N549" i="6" s="1"/>
  <c r="L549" i="6"/>
  <c r="K456" i="6"/>
  <c r="N456" i="6" s="1"/>
  <c r="L456" i="6"/>
  <c r="K115" i="6"/>
  <c r="N115" i="6" s="1"/>
  <c r="L115" i="6"/>
  <c r="K1116" i="6"/>
  <c r="N1116" i="6" s="1"/>
  <c r="L1116" i="6"/>
  <c r="K672" i="6"/>
  <c r="N672" i="6" s="1"/>
  <c r="L672" i="6"/>
  <c r="K290" i="6"/>
  <c r="N290" i="6" s="1"/>
  <c r="L290" i="6"/>
  <c r="K961" i="6"/>
  <c r="N961" i="6" s="1"/>
  <c r="L961" i="6"/>
  <c r="K212" i="6"/>
  <c r="N212" i="6" s="1"/>
  <c r="L212" i="6"/>
  <c r="K498" i="6"/>
  <c r="N498" i="6" s="1"/>
  <c r="L498" i="6"/>
  <c r="K604" i="6"/>
  <c r="N604" i="6" s="1"/>
  <c r="L604" i="6"/>
  <c r="K1174" i="6"/>
  <c r="N1174" i="6" s="1"/>
  <c r="L1174" i="6"/>
  <c r="K415" i="6"/>
  <c r="N415" i="6" s="1"/>
  <c r="L415" i="6"/>
  <c r="K552" i="6"/>
  <c r="N552" i="6" s="1"/>
  <c r="L552" i="6"/>
  <c r="K1203" i="6"/>
  <c r="N1203" i="6" s="1"/>
  <c r="L1203" i="6"/>
  <c r="K80" i="6"/>
  <c r="N80" i="6" s="1"/>
  <c r="L80" i="6"/>
  <c r="K575" i="6"/>
  <c r="N575" i="6" s="1"/>
  <c r="L575" i="6"/>
  <c r="K234" i="6"/>
  <c r="N234" i="6" s="1"/>
  <c r="L234" i="6"/>
  <c r="K939" i="6"/>
  <c r="N939" i="6" s="1"/>
  <c r="L939" i="6"/>
  <c r="K1264" i="6"/>
  <c r="N1264" i="6" s="1"/>
  <c r="L1264" i="6"/>
  <c r="K430" i="6"/>
  <c r="N430" i="6" s="1"/>
  <c r="L430" i="6"/>
  <c r="K530" i="6"/>
  <c r="N530" i="6" s="1"/>
  <c r="L530" i="6"/>
  <c r="K1197" i="6"/>
  <c r="N1197" i="6" s="1"/>
  <c r="L1197" i="6"/>
  <c r="K1126" i="6"/>
  <c r="N1126" i="6" s="1"/>
  <c r="L1126" i="6"/>
  <c r="K58" i="6"/>
  <c r="N58" i="6" s="1"/>
  <c r="L58" i="6"/>
  <c r="K708" i="6"/>
  <c r="N708" i="6" s="1"/>
  <c r="L708" i="6"/>
  <c r="K940" i="6"/>
  <c r="N940" i="6" s="1"/>
  <c r="L940" i="6"/>
  <c r="K1258" i="6"/>
  <c r="N1258" i="6" s="1"/>
  <c r="L1258" i="6"/>
  <c r="K45" i="6"/>
  <c r="N45" i="6" s="1"/>
  <c r="L45" i="6"/>
  <c r="K39" i="6"/>
  <c r="N39" i="6" s="1"/>
  <c r="L39" i="6"/>
  <c r="K691" i="6"/>
  <c r="N691" i="6" s="1"/>
  <c r="L691" i="6"/>
  <c r="K322" i="6"/>
  <c r="N322" i="6" s="1"/>
  <c r="L322" i="6"/>
  <c r="K596" i="6"/>
  <c r="N596" i="6" s="1"/>
  <c r="L596" i="6"/>
  <c r="K1040" i="6"/>
  <c r="N1040" i="6" s="1"/>
  <c r="L1040" i="6"/>
  <c r="K1191" i="6"/>
  <c r="N1191" i="6" s="1"/>
  <c r="L1191" i="6"/>
  <c r="K996" i="6"/>
  <c r="N996" i="6" s="1"/>
  <c r="L996" i="6"/>
  <c r="K785" i="6"/>
  <c r="N785" i="6" s="1"/>
  <c r="L785" i="6"/>
  <c r="K992" i="6"/>
  <c r="N992" i="6" s="1"/>
  <c r="L992" i="6"/>
  <c r="K1142" i="6"/>
  <c r="N1142" i="6" s="1"/>
  <c r="L1142" i="6"/>
  <c r="K661" i="6"/>
  <c r="N661" i="6" s="1"/>
  <c r="L661" i="6"/>
  <c r="K688" i="6"/>
  <c r="N688" i="6" s="1"/>
  <c r="L688" i="6"/>
  <c r="K947" i="6"/>
  <c r="N947" i="6" s="1"/>
  <c r="L947" i="6"/>
  <c r="K1165" i="6"/>
  <c r="N1165" i="6" s="1"/>
  <c r="L1165" i="6"/>
  <c r="K492" i="6"/>
  <c r="N492" i="6" s="1"/>
  <c r="L492" i="6"/>
  <c r="K1163" i="6"/>
  <c r="N1163" i="6" s="1"/>
  <c r="L1163" i="6"/>
  <c r="K1179" i="6"/>
  <c r="N1179" i="6" s="1"/>
  <c r="L1179" i="6"/>
  <c r="K709" i="6"/>
  <c r="N709" i="6" s="1"/>
  <c r="L709" i="6"/>
  <c r="K860" i="6"/>
  <c r="N860" i="6" s="1"/>
  <c r="L860" i="6"/>
  <c r="K586" i="6"/>
  <c r="N586" i="6" s="1"/>
  <c r="L586" i="6"/>
  <c r="K1122" i="6"/>
  <c r="N1122" i="6" s="1"/>
  <c r="L1122" i="6"/>
  <c r="K1173" i="6"/>
  <c r="N1173" i="6" s="1"/>
  <c r="L1173" i="6"/>
  <c r="K638" i="6"/>
  <c r="N638" i="6" s="1"/>
  <c r="L638" i="6"/>
  <c r="K132" i="6"/>
  <c r="N132" i="6" s="1"/>
  <c r="L132" i="6"/>
  <c r="K254" i="6"/>
  <c r="N254" i="6" s="1"/>
  <c r="L254" i="6"/>
  <c r="K297" i="6"/>
  <c r="N297" i="6" s="1"/>
  <c r="L297" i="6"/>
  <c r="K106" i="6"/>
  <c r="N106" i="6" s="1"/>
  <c r="L106" i="6"/>
  <c r="K253" i="6"/>
  <c r="N253" i="6" s="1"/>
  <c r="L253" i="6"/>
  <c r="K684" i="6"/>
  <c r="N684" i="6" s="1"/>
  <c r="L684" i="6"/>
  <c r="K508" i="6"/>
  <c r="N508" i="6" s="1"/>
  <c r="L508" i="6"/>
  <c r="K109" i="6"/>
  <c r="N109" i="6" s="1"/>
  <c r="L109" i="6"/>
  <c r="K398" i="6"/>
  <c r="N398" i="6" s="1"/>
  <c r="L398" i="6"/>
  <c r="K1034" i="6"/>
  <c r="N1034" i="6" s="1"/>
  <c r="L1034" i="6"/>
  <c r="K1279" i="6"/>
  <c r="N1279" i="6" s="1"/>
  <c r="L1279" i="6"/>
  <c r="K143" i="6"/>
  <c r="N143" i="6" s="1"/>
  <c r="L143" i="6"/>
  <c r="K41" i="6"/>
  <c r="N41" i="6" s="1"/>
  <c r="L41" i="6"/>
  <c r="K1186" i="6"/>
  <c r="N1186" i="6" s="1"/>
  <c r="L1186" i="6"/>
  <c r="K400" i="6"/>
  <c r="N400" i="6" s="1"/>
  <c r="L400" i="6"/>
  <c r="K646" i="6"/>
  <c r="N646" i="6" s="1"/>
  <c r="L646" i="6"/>
  <c r="K1221" i="6"/>
  <c r="N1221" i="6" s="1"/>
  <c r="L1221" i="6"/>
  <c r="K240" i="6"/>
  <c r="N240" i="6" s="1"/>
  <c r="L240" i="6"/>
  <c r="K149" i="6"/>
  <c r="N149" i="6" s="1"/>
  <c r="L149" i="6"/>
  <c r="K405" i="6"/>
  <c r="N405" i="6" s="1"/>
  <c r="L405" i="6"/>
  <c r="K226" i="6"/>
  <c r="N226" i="6" s="1"/>
  <c r="L226" i="6"/>
  <c r="K700" i="6"/>
  <c r="N700" i="6" s="1"/>
  <c r="L700" i="6"/>
  <c r="K703" i="6"/>
  <c r="N703" i="6" s="1"/>
  <c r="L703" i="6"/>
  <c r="K1102" i="6"/>
  <c r="N1102" i="6" s="1"/>
  <c r="L1102" i="6"/>
  <c r="K230" i="6"/>
  <c r="N230" i="6" s="1"/>
  <c r="L230" i="6"/>
  <c r="K310" i="6"/>
  <c r="N310" i="6" s="1"/>
  <c r="L310" i="6"/>
  <c r="K443" i="6"/>
  <c r="N443" i="6" s="1"/>
  <c r="L443" i="6"/>
  <c r="K665" i="6"/>
  <c r="N665" i="6" s="1"/>
  <c r="L665" i="6"/>
  <c r="K801" i="6"/>
  <c r="N801" i="6" s="1"/>
  <c r="L801" i="6"/>
  <c r="K1052" i="6"/>
  <c r="N1052" i="6" s="1"/>
  <c r="L1052" i="6"/>
  <c r="K166" i="6"/>
  <c r="N166" i="6" s="1"/>
  <c r="L166" i="6"/>
  <c r="K191" i="6"/>
  <c r="N191" i="6" s="1"/>
  <c r="L191" i="6"/>
  <c r="K590" i="6"/>
  <c r="N590" i="6" s="1"/>
  <c r="L590" i="6"/>
  <c r="K137" i="6"/>
  <c r="N137" i="6" s="1"/>
  <c r="L137" i="6"/>
  <c r="K675" i="6"/>
  <c r="N675" i="6" s="1"/>
  <c r="L675" i="6"/>
  <c r="K1196" i="6"/>
  <c r="N1196" i="6" s="1"/>
  <c r="L1196" i="6"/>
  <c r="K5" i="6"/>
  <c r="N5" i="6" s="1"/>
  <c r="L5" i="6"/>
  <c r="K30" i="6"/>
  <c r="N30" i="6" s="1"/>
  <c r="L30" i="6"/>
  <c r="K607" i="6"/>
  <c r="N607" i="6" s="1"/>
  <c r="L607" i="6"/>
  <c r="K18" i="6"/>
  <c r="N18" i="6" s="1"/>
  <c r="L18" i="6"/>
  <c r="K994" i="6"/>
  <c r="N994" i="6" s="1"/>
  <c r="L994" i="6"/>
  <c r="K744" i="6"/>
  <c r="N744" i="6" s="1"/>
  <c r="L744" i="6"/>
  <c r="K1160" i="6"/>
  <c r="N1160" i="6" s="1"/>
  <c r="L1160" i="6"/>
  <c r="K272" i="6"/>
  <c r="N272" i="6" s="1"/>
  <c r="L272" i="6"/>
  <c r="K278" i="6"/>
  <c r="N278" i="6" s="1"/>
  <c r="L278" i="6"/>
  <c r="K287" i="6"/>
  <c r="N287" i="6" s="1"/>
  <c r="L287" i="6"/>
  <c r="K453" i="6"/>
  <c r="N453" i="6" s="1"/>
  <c r="L453" i="6"/>
  <c r="K379" i="6"/>
  <c r="N379" i="6" s="1"/>
  <c r="L379" i="6"/>
  <c r="K49" i="6"/>
  <c r="N49" i="6" s="1"/>
  <c r="L49" i="6"/>
  <c r="K882" i="6"/>
  <c r="N882" i="6" s="1"/>
  <c r="L882" i="6"/>
  <c r="K913" i="6"/>
  <c r="N913" i="6" s="1"/>
  <c r="L913" i="6"/>
  <c r="K888" i="6"/>
  <c r="N888" i="6" s="1"/>
  <c r="L888" i="6"/>
  <c r="K1260" i="6"/>
  <c r="N1260" i="6" s="1"/>
  <c r="L1260" i="6"/>
  <c r="K392" i="6"/>
  <c r="N392" i="6" s="1"/>
  <c r="L392" i="6"/>
  <c r="K120" i="6"/>
  <c r="N120" i="6" s="1"/>
  <c r="L120" i="6"/>
  <c r="K119" i="6"/>
  <c r="N119" i="6" s="1"/>
  <c r="L119" i="6"/>
  <c r="K631" i="6"/>
  <c r="N631" i="6" s="1"/>
  <c r="L631" i="6"/>
  <c r="K179" i="6"/>
  <c r="N179" i="6" s="1"/>
  <c r="L179" i="6"/>
  <c r="K418" i="6"/>
  <c r="N418" i="6" s="1"/>
  <c r="L418" i="6"/>
  <c r="K878" i="6"/>
  <c r="N878" i="6" s="1"/>
  <c r="L878" i="6"/>
  <c r="K862" i="6"/>
  <c r="N862" i="6" s="1"/>
  <c r="L862" i="6"/>
  <c r="K783" i="6"/>
  <c r="N783" i="6" s="1"/>
  <c r="L783" i="6"/>
  <c r="K1185" i="6"/>
  <c r="N1185" i="6" s="1"/>
  <c r="L1185" i="6"/>
  <c r="K70" i="6"/>
  <c r="N70" i="6" s="1"/>
  <c r="L70" i="6"/>
  <c r="K252" i="6"/>
  <c r="N252" i="6" s="1"/>
  <c r="L252" i="6"/>
  <c r="K312" i="6"/>
  <c r="N312" i="6" s="1"/>
  <c r="L312" i="6"/>
  <c r="K374" i="6"/>
  <c r="N374" i="6" s="1"/>
  <c r="L374" i="6"/>
  <c r="K722" i="6"/>
  <c r="N722" i="6" s="1"/>
  <c r="L722" i="6"/>
  <c r="K202" i="6"/>
  <c r="N202" i="6" s="1"/>
  <c r="L202" i="6"/>
  <c r="K521" i="6"/>
  <c r="N521" i="6" s="1"/>
  <c r="L521" i="6"/>
  <c r="K876" i="6"/>
  <c r="N876" i="6" s="1"/>
  <c r="L876" i="6"/>
  <c r="K776" i="6"/>
  <c r="N776" i="6" s="1"/>
  <c r="L776" i="6"/>
  <c r="K1202" i="6"/>
  <c r="N1202" i="6" s="1"/>
  <c r="L1202" i="6"/>
  <c r="K1311" i="6"/>
  <c r="N1311" i="6" s="1"/>
  <c r="L1311" i="6"/>
  <c r="K352" i="6"/>
  <c r="N352" i="6" s="1"/>
  <c r="L352" i="6"/>
  <c r="K286" i="6"/>
  <c r="N286" i="6" s="1"/>
  <c r="L286" i="6"/>
  <c r="K175" i="6"/>
  <c r="N175" i="6" s="1"/>
  <c r="L175" i="6"/>
  <c r="K422" i="6"/>
  <c r="N422" i="6" s="1"/>
  <c r="L422" i="6"/>
  <c r="K452" i="6"/>
  <c r="N452" i="6" s="1"/>
  <c r="L452" i="6"/>
  <c r="K475" i="6"/>
  <c r="N475" i="6" s="1"/>
  <c r="L475" i="6"/>
  <c r="K482" i="6"/>
  <c r="N482" i="6" s="1"/>
  <c r="L482" i="6"/>
  <c r="K577" i="6"/>
  <c r="N577" i="6" s="1"/>
  <c r="L577" i="6"/>
  <c r="K540" i="6"/>
  <c r="N540" i="6" s="1"/>
  <c r="L540" i="6"/>
  <c r="K1124" i="6"/>
  <c r="N1124" i="6" s="1"/>
  <c r="L1124" i="6"/>
  <c r="K879" i="6"/>
  <c r="N879" i="6" s="1"/>
  <c r="L879" i="6"/>
  <c r="K917" i="6"/>
  <c r="N917" i="6" s="1"/>
  <c r="L917" i="6"/>
  <c r="K1118" i="6"/>
  <c r="N1118" i="6" s="1"/>
  <c r="L1118" i="6"/>
  <c r="K399" i="6"/>
  <c r="N399" i="6" s="1"/>
  <c r="L399" i="6"/>
  <c r="K349" i="6"/>
  <c r="N349" i="6" s="1"/>
  <c r="L349" i="6"/>
  <c r="K67" i="6"/>
  <c r="N67" i="6" s="1"/>
  <c r="L67" i="6"/>
  <c r="K82" i="6"/>
  <c r="N82" i="6" s="1"/>
  <c r="L82" i="6"/>
  <c r="K209" i="6"/>
  <c r="N209" i="6" s="1"/>
  <c r="L209" i="6"/>
  <c r="K955" i="6"/>
  <c r="N955" i="6" s="1"/>
  <c r="L955" i="6"/>
  <c r="K595" i="6"/>
  <c r="N595" i="6" s="1"/>
  <c r="L595" i="6"/>
  <c r="K1055" i="6"/>
  <c r="N1055" i="6" s="1"/>
  <c r="L1055" i="6"/>
  <c r="K1072" i="6"/>
  <c r="N1072" i="6" s="1"/>
  <c r="L1072" i="6"/>
  <c r="K1125" i="6"/>
  <c r="N1125" i="6" s="1"/>
  <c r="L1125" i="6"/>
  <c r="K462" i="6"/>
  <c r="N462" i="6" s="1"/>
  <c r="L462" i="6"/>
  <c r="K420" i="6"/>
  <c r="N420" i="6" s="1"/>
  <c r="L420" i="6"/>
  <c r="K355" i="6"/>
  <c r="N355" i="6" s="1"/>
  <c r="L355" i="6"/>
  <c r="K282" i="6"/>
  <c r="N282" i="6" s="1"/>
  <c r="L282" i="6"/>
  <c r="K369" i="6"/>
  <c r="N369" i="6" s="1"/>
  <c r="L369" i="6"/>
  <c r="K1031" i="6"/>
  <c r="N1031" i="6" s="1"/>
  <c r="L1031" i="6"/>
  <c r="K523" i="6"/>
  <c r="N523" i="6" s="1"/>
  <c r="L523" i="6"/>
  <c r="K809" i="6"/>
  <c r="N809" i="6" s="1"/>
  <c r="L809" i="6"/>
  <c r="K954" i="6"/>
  <c r="N954" i="6" s="1"/>
  <c r="L954" i="6"/>
  <c r="K1269" i="6"/>
  <c r="N1269" i="6" s="1"/>
  <c r="L1269" i="6"/>
  <c r="K1135" i="6"/>
  <c r="N1135" i="6" s="1"/>
  <c r="L1135" i="6"/>
  <c r="K20" i="6"/>
  <c r="N20" i="6" s="1"/>
  <c r="L20" i="6"/>
  <c r="K236" i="6"/>
  <c r="N236" i="6" s="1"/>
  <c r="L236" i="6"/>
  <c r="K85" i="6"/>
  <c r="N85" i="6" s="1"/>
  <c r="L85" i="6"/>
  <c r="K231" i="6"/>
  <c r="N231" i="6" s="1"/>
  <c r="L231" i="6"/>
  <c r="K406" i="6"/>
  <c r="N406" i="6" s="1"/>
  <c r="L406" i="6"/>
  <c r="K780" i="6"/>
  <c r="N780" i="6" s="1"/>
  <c r="L780" i="6"/>
  <c r="K147" i="6"/>
  <c r="N147" i="6" s="1"/>
  <c r="L147" i="6"/>
  <c r="K930" i="6"/>
  <c r="N930" i="6" s="1"/>
  <c r="L930" i="6"/>
  <c r="K592" i="6"/>
  <c r="N592" i="6" s="1"/>
  <c r="L592" i="6"/>
  <c r="K648" i="6"/>
  <c r="N648" i="6" s="1"/>
  <c r="L648" i="6"/>
  <c r="K1007" i="6"/>
  <c r="N1007" i="6" s="1"/>
  <c r="L1007" i="6"/>
  <c r="K555" i="6"/>
  <c r="N555" i="6" s="1"/>
  <c r="L555" i="6"/>
  <c r="K729" i="6"/>
  <c r="N729" i="6" s="1"/>
  <c r="L729" i="6"/>
  <c r="K743" i="6"/>
  <c r="N743" i="6" s="1"/>
  <c r="L743" i="6"/>
  <c r="K902" i="6"/>
  <c r="N902" i="6" s="1"/>
  <c r="L902" i="6"/>
  <c r="K1131" i="6"/>
  <c r="N1131" i="6" s="1"/>
  <c r="L1131" i="6"/>
  <c r="K1297" i="6"/>
  <c r="N1297" i="6" s="1"/>
  <c r="L1297" i="6"/>
  <c r="K313" i="6"/>
  <c r="N313" i="6" s="1"/>
  <c r="L313" i="6"/>
  <c r="K657" i="6"/>
  <c r="N657" i="6" s="1"/>
  <c r="L657" i="6"/>
  <c r="K557" i="6"/>
  <c r="N557" i="6" s="1"/>
  <c r="L557" i="6"/>
  <c r="K859" i="6"/>
  <c r="N859" i="6" s="1"/>
  <c r="L859" i="6"/>
  <c r="K845" i="6"/>
  <c r="N845" i="6" s="1"/>
  <c r="L845" i="6"/>
  <c r="K1047" i="6"/>
  <c r="N1047" i="6" s="1"/>
  <c r="L1047" i="6"/>
  <c r="K823" i="6"/>
  <c r="N823" i="6" s="1"/>
  <c r="L823" i="6"/>
  <c r="K1287" i="6"/>
  <c r="N1287" i="6" s="1"/>
  <c r="L1287" i="6"/>
  <c r="K1021" i="6"/>
  <c r="N1021" i="6" s="1"/>
  <c r="L1021" i="6"/>
  <c r="K1168" i="6"/>
  <c r="N1168" i="6" s="1"/>
  <c r="L1168" i="6"/>
  <c r="K1270" i="6"/>
  <c r="N1270" i="6" s="1"/>
  <c r="L1270" i="6"/>
  <c r="K664" i="6"/>
  <c r="N664" i="6" s="1"/>
  <c r="L664" i="6"/>
  <c r="K964" i="6"/>
  <c r="N964" i="6" s="1"/>
  <c r="L964" i="6"/>
  <c r="K516" i="6"/>
  <c r="N516" i="6" s="1"/>
  <c r="L516" i="6"/>
  <c r="K820" i="6"/>
  <c r="N820" i="6" s="1"/>
  <c r="L820" i="6"/>
  <c r="K745" i="6"/>
  <c r="N745" i="6" s="1"/>
  <c r="L745" i="6"/>
  <c r="K948" i="6"/>
  <c r="N948" i="6" s="1"/>
  <c r="L948" i="6"/>
  <c r="K952" i="6"/>
  <c r="N952" i="6" s="1"/>
  <c r="L952" i="6"/>
  <c r="K1113" i="6"/>
  <c r="N1113" i="6" s="1"/>
  <c r="L1113" i="6"/>
  <c r="K1154" i="6"/>
  <c r="N1154" i="6" s="1"/>
  <c r="L1154" i="6"/>
  <c r="K1110" i="6"/>
  <c r="N1110" i="6" s="1"/>
  <c r="L1110" i="6"/>
  <c r="K541" i="6"/>
  <c r="N541" i="6" s="1"/>
  <c r="L541" i="6"/>
  <c r="K682" i="6"/>
  <c r="N682" i="6" s="1"/>
  <c r="L682" i="6"/>
  <c r="K1067" i="6"/>
  <c r="N1067" i="6" s="1"/>
  <c r="L1067" i="6"/>
  <c r="K769" i="6"/>
  <c r="N769" i="6" s="1"/>
  <c r="L769" i="6"/>
  <c r="K856" i="6"/>
  <c r="N856" i="6" s="1"/>
  <c r="L856" i="6"/>
  <c r="K1292" i="6"/>
  <c r="N1292" i="6" s="1"/>
  <c r="L1292" i="6"/>
  <c r="K918" i="6"/>
  <c r="N918" i="6" s="1"/>
  <c r="L918" i="6"/>
  <c r="K1077" i="6"/>
  <c r="N1077" i="6" s="1"/>
  <c r="L1077" i="6"/>
  <c r="K1152" i="6"/>
  <c r="N1152" i="6" s="1"/>
  <c r="L1152" i="6"/>
  <c r="K1289" i="6"/>
  <c r="N1289" i="6" s="1"/>
  <c r="L1289" i="6"/>
  <c r="K123" i="6"/>
  <c r="N123" i="6" s="1"/>
  <c r="L123" i="6"/>
  <c r="N280" i="4" l="1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T4" i="4"/>
  <c r="T3" i="4"/>
  <c r="N240" i="4"/>
  <c r="Q1310" i="6"/>
  <c r="Q960" i="6"/>
  <c r="Q1043" i="6"/>
  <c r="Q909" i="6"/>
  <c r="Q733" i="6"/>
  <c r="Q1010" i="6"/>
  <c r="Q718" i="6"/>
  <c r="Q1288" i="6"/>
  <c r="Q798" i="6"/>
  <c r="Q359" i="6"/>
  <c r="Q1158" i="6"/>
  <c r="Q803" i="6"/>
  <c r="Q522" i="6"/>
  <c r="Q910" i="6"/>
  <c r="Q433" i="6"/>
  <c r="Q578" i="6"/>
  <c r="Q873" i="6"/>
  <c r="Q732" i="6"/>
  <c r="Q799" i="6"/>
  <c r="Q991" i="6"/>
  <c r="Q303" i="6"/>
  <c r="Q1149" i="6"/>
  <c r="Q686" i="6"/>
  <c r="Q362" i="6"/>
  <c r="Q1029" i="6"/>
  <c r="Q534" i="6"/>
  <c r="Q509" i="6"/>
  <c r="Q444" i="6"/>
  <c r="Q414" i="6"/>
  <c r="Q384" i="6"/>
  <c r="Q658" i="6"/>
  <c r="Q1312" i="6"/>
  <c r="Q896" i="6"/>
  <c r="Q812" i="6"/>
  <c r="Q1227" i="6"/>
  <c r="Q588" i="6"/>
  <c r="Q1240" i="6"/>
  <c r="Q1217" i="6"/>
  <c r="Q755" i="6"/>
  <c r="Q998" i="6"/>
  <c r="Q573" i="6"/>
  <c r="Q1275" i="6"/>
  <c r="Q465" i="6"/>
  <c r="Q1152" i="6"/>
  <c r="Q856" i="6"/>
  <c r="Q541" i="6"/>
  <c r="Q952" i="6"/>
  <c r="Q516" i="6"/>
  <c r="Q1168" i="6"/>
  <c r="Q1047" i="6"/>
  <c r="Q657" i="6"/>
  <c r="Q902" i="6"/>
  <c r="Q1007" i="6"/>
  <c r="Q1269" i="6"/>
  <c r="Q1031" i="6"/>
  <c r="Q420" i="6"/>
  <c r="Q1055" i="6"/>
  <c r="Q1118" i="6"/>
  <c r="Q540" i="6"/>
  <c r="Q452" i="6"/>
  <c r="Q352" i="6"/>
  <c r="Q876" i="6"/>
  <c r="Q374" i="6"/>
  <c r="Q1185" i="6"/>
  <c r="Q418" i="6"/>
  <c r="Q913" i="6"/>
  <c r="Q453" i="6"/>
  <c r="Q1160" i="6"/>
  <c r="Q607" i="6"/>
  <c r="Q675" i="6"/>
  <c r="Q443" i="6"/>
  <c r="Q703" i="6"/>
  <c r="Q400" i="6"/>
  <c r="Q1279" i="6"/>
  <c r="Q508" i="6"/>
  <c r="Q297" i="6"/>
  <c r="Q1173" i="6"/>
  <c r="Q709" i="6"/>
  <c r="Q1165" i="6"/>
  <c r="Q1142" i="6"/>
  <c r="Q1191" i="6"/>
  <c r="Q691" i="6"/>
  <c r="Q940" i="6"/>
  <c r="Q1197" i="6"/>
  <c r="Q939" i="6"/>
  <c r="Q1203" i="6"/>
  <c r="Q604" i="6"/>
  <c r="Q290" i="6"/>
  <c r="Q456" i="6"/>
  <c r="Q574" i="6"/>
  <c r="Q485" i="6"/>
  <c r="Q239" i="6"/>
  <c r="Q1155" i="6"/>
  <c r="Q1115" i="6"/>
  <c r="Q403" i="6"/>
  <c r="Q840" i="6"/>
  <c r="Q1172" i="6"/>
  <c r="Q284" i="6"/>
  <c r="Q388" i="6"/>
  <c r="Q874" i="6"/>
  <c r="Q488" i="6"/>
  <c r="Q238" i="6"/>
  <c r="Q740" i="6"/>
  <c r="Q1214" i="6"/>
  <c r="Q1001" i="6"/>
  <c r="Q620" i="6"/>
  <c r="Q1038" i="6"/>
  <c r="Q692" i="6"/>
  <c r="Q1305" i="6"/>
  <c r="Q751" i="6"/>
  <c r="Q1033" i="6"/>
  <c r="Q1028" i="6"/>
  <c r="Q899" i="6"/>
  <c r="Q654" i="6"/>
  <c r="Q1208" i="6"/>
  <c r="Q834" i="6"/>
  <c r="Q283" i="6"/>
  <c r="Q944" i="6"/>
  <c r="Q327" i="6"/>
  <c r="Q963" i="6"/>
  <c r="Q387" i="6"/>
  <c r="Q336" i="6"/>
  <c r="Q1181" i="6"/>
  <c r="Q503" i="6"/>
  <c r="Q641" i="6"/>
  <c r="Q701" i="6"/>
  <c r="Q924" i="6"/>
  <c r="Q567" i="6"/>
  <c r="Q779" i="6"/>
  <c r="Q1242" i="6"/>
  <c r="Q267" i="6"/>
  <c r="Q459" i="6"/>
  <c r="Q1000" i="6"/>
  <c r="Q656" i="6"/>
  <c r="Q1263" i="6"/>
  <c r="Q623" i="6"/>
  <c r="Q243" i="6"/>
  <c r="Q1176" i="6"/>
  <c r="Q289" i="6"/>
  <c r="Q1189" i="6"/>
  <c r="Q394" i="6"/>
  <c r="Q1069" i="6"/>
  <c r="Q1039" i="6"/>
  <c r="Q337" i="6"/>
  <c r="Q568" i="6"/>
  <c r="Q714" i="6"/>
  <c r="Q1026" i="6"/>
  <c r="Q993" i="6"/>
  <c r="Q551" i="6"/>
  <c r="Q984" i="6"/>
  <c r="Q531" i="6"/>
  <c r="Q1075" i="6"/>
  <c r="Q1041" i="6"/>
  <c r="Q299" i="6"/>
  <c r="Q958" i="6"/>
  <c r="Q1060" i="6"/>
  <c r="Q257" i="6"/>
  <c r="Q449" i="6"/>
  <c r="Q1303" i="6"/>
  <c r="Q756" i="6"/>
  <c r="Q1277" i="6"/>
  <c r="Q1226" i="6"/>
  <c r="Q473" i="6"/>
  <c r="Q1064" i="6"/>
  <c r="Q628" i="6"/>
  <c r="Q1306" i="6"/>
  <c r="Q1015" i="6"/>
  <c r="Q386" i="6"/>
  <c r="Q763" i="6"/>
  <c r="Q1180" i="6"/>
  <c r="Q1061" i="6"/>
  <c r="Q750" i="6"/>
  <c r="Q602" i="6"/>
  <c r="Q1057" i="6"/>
  <c r="Q314" i="6"/>
  <c r="Q865" i="6"/>
  <c r="Q396" i="6"/>
  <c r="Q1313" i="6"/>
  <c r="Q562" i="6"/>
  <c r="Q911" i="6"/>
  <c r="Q563" i="6"/>
  <c r="Q1257" i="6"/>
  <c r="Q667" i="6"/>
  <c r="Q819" i="6"/>
  <c r="Q766" i="6"/>
  <c r="Q467" i="6"/>
  <c r="Q460" i="6"/>
  <c r="Q360" i="6"/>
  <c r="Q559" i="6"/>
  <c r="Q829" i="6"/>
  <c r="Q659" i="6"/>
  <c r="Q762" i="6"/>
  <c r="Q923" i="6"/>
  <c r="Q409" i="6"/>
  <c r="Q784" i="6"/>
  <c r="Q1295" i="6"/>
  <c r="Q564" i="6"/>
  <c r="Q425" i="6"/>
  <c r="Q233" i="6"/>
  <c r="Q1230" i="6"/>
  <c r="Q1071" i="6"/>
  <c r="Q863" i="6"/>
  <c r="Q1078" i="6"/>
  <c r="Q1103" i="6"/>
  <c r="Q519" i="6"/>
  <c r="Q797" i="6"/>
  <c r="Q767" i="6"/>
  <c r="Q704" i="6"/>
  <c r="Q419" i="6"/>
  <c r="Q795" i="6"/>
  <c r="Q1080" i="6"/>
  <c r="Q391" i="6"/>
  <c r="Q618" i="6"/>
  <c r="Q734" i="6"/>
  <c r="Q1045" i="6"/>
  <c r="Q730" i="6"/>
  <c r="Q542" i="6"/>
  <c r="Q649" i="6"/>
  <c r="Q822" i="6"/>
  <c r="Q937" i="6"/>
  <c r="Q291" i="6"/>
  <c r="Q1192" i="6"/>
  <c r="Q581" i="6"/>
  <c r="Q232" i="6"/>
  <c r="Q1266" i="6"/>
  <c r="Q378" i="6"/>
  <c r="Q855" i="6"/>
  <c r="Q616" i="6"/>
  <c r="Q413" i="6"/>
  <c r="Q1276" i="6"/>
  <c r="Q752" i="6"/>
  <c r="Q431" i="6"/>
  <c r="Q880" i="6"/>
  <c r="Q828" i="6"/>
  <c r="Q979" i="6"/>
  <c r="Q1166" i="6"/>
  <c r="Q304" i="6"/>
  <c r="Q942" i="6"/>
  <c r="Q1143" i="6"/>
  <c r="Q594" i="6"/>
  <c r="Q371" i="6"/>
  <c r="Q650" i="6"/>
  <c r="Q1111" i="6"/>
  <c r="Q382" i="6"/>
  <c r="Q1008" i="6"/>
  <c r="Q279" i="6"/>
  <c r="Q970" i="6"/>
  <c r="Q936" i="6"/>
  <c r="Q305" i="6"/>
  <c r="Q1206" i="6"/>
  <c r="Q1159" i="6"/>
  <c r="Q711" i="6"/>
  <c r="Q782" i="6"/>
  <c r="Q1211" i="6"/>
  <c r="Q790" i="6"/>
  <c r="Q1199" i="6"/>
  <c r="Q800" i="6"/>
  <c r="Q922" i="6"/>
  <c r="Q1241" i="6"/>
  <c r="Q846" i="6"/>
  <c r="Q339" i="6"/>
  <c r="Q693" i="6"/>
  <c r="Q786" i="6"/>
  <c r="Q1092" i="6"/>
  <c r="Q466" i="6"/>
  <c r="Q363" i="6"/>
  <c r="Q972" i="6"/>
  <c r="Q777" i="6"/>
  <c r="Q918" i="6"/>
  <c r="Q1067" i="6"/>
  <c r="Q1154" i="6"/>
  <c r="Q745" i="6"/>
  <c r="Q664" i="6"/>
  <c r="Q1287" i="6"/>
  <c r="Q859" i="6"/>
  <c r="Q1297" i="6"/>
  <c r="Q729" i="6"/>
  <c r="Q592" i="6"/>
  <c r="Q406" i="6"/>
  <c r="Q809" i="6"/>
  <c r="Q282" i="6"/>
  <c r="Q1125" i="6"/>
  <c r="Q955" i="6"/>
  <c r="Q349" i="6"/>
  <c r="Q879" i="6"/>
  <c r="Q482" i="6"/>
  <c r="Q1202" i="6"/>
  <c r="Q252" i="6"/>
  <c r="Q862" i="6"/>
  <c r="Q631" i="6"/>
  <c r="Q1260" i="6"/>
  <c r="Q278" i="6"/>
  <c r="Q994" i="6"/>
  <c r="Q590" i="6"/>
  <c r="Q801" i="6"/>
  <c r="Q1221" i="6"/>
  <c r="Q398" i="6"/>
  <c r="Q253" i="6"/>
  <c r="Q586" i="6"/>
  <c r="Q1163" i="6"/>
  <c r="Q688" i="6"/>
  <c r="Q785" i="6"/>
  <c r="Q596" i="6"/>
  <c r="Q430" i="6"/>
  <c r="Q575" i="6"/>
  <c r="Q415" i="6"/>
  <c r="Q1116" i="6"/>
  <c r="Q545" i="6"/>
  <c r="Q250" i="6"/>
  <c r="Q775" i="6"/>
  <c r="Q1017" i="6"/>
  <c r="Q739" i="6"/>
  <c r="Q765" i="6"/>
  <c r="Q788" i="6"/>
  <c r="Q410" i="6"/>
  <c r="Q796" i="6"/>
  <c r="Q311" i="6"/>
  <c r="Q506" i="6"/>
  <c r="Q608" i="6"/>
  <c r="Q344" i="6"/>
  <c r="Q544" i="6"/>
  <c r="Q683" i="6"/>
  <c r="Q778" i="6"/>
  <c r="Q663" i="6"/>
  <c r="Q1013" i="6"/>
  <c r="Q705" i="6"/>
  <c r="Q1239" i="6"/>
  <c r="Q832" i="6"/>
  <c r="Q1003" i="6"/>
  <c r="Q941" i="6"/>
  <c r="Q773" i="6"/>
  <c r="Q249" i="6"/>
  <c r="Q1087" i="6"/>
  <c r="Q494" i="6"/>
  <c r="Q566" i="6"/>
  <c r="Q831" i="6"/>
  <c r="Q273" i="6"/>
  <c r="Q1294" i="6"/>
  <c r="Q1153" i="6"/>
  <c r="Q771" i="6"/>
  <c r="Q1132" i="6"/>
  <c r="Q956" i="6"/>
  <c r="Q350" i="6"/>
  <c r="Q1198" i="6"/>
  <c r="Q518" i="6"/>
  <c r="Q975" i="6"/>
  <c r="Q835" i="6"/>
  <c r="Q921" i="6"/>
  <c r="Q554" i="6"/>
  <c r="Q576" i="6"/>
  <c r="Q673" i="6"/>
  <c r="Q1005" i="6"/>
  <c r="Q479" i="6"/>
  <c r="Q1066" i="6"/>
  <c r="Q815" i="6"/>
  <c r="Q481" i="6"/>
  <c r="Q610" i="6"/>
  <c r="Q501" i="6"/>
  <c r="Q1148" i="6"/>
  <c r="Q570" i="6"/>
  <c r="Q244" i="6"/>
  <c r="Q511" i="6"/>
  <c r="Q258" i="6"/>
  <c r="Q463" i="6"/>
  <c r="Q477" i="6"/>
  <c r="Q1129" i="6"/>
  <c r="Q680" i="6"/>
  <c r="Q457" i="6"/>
  <c r="Q328" i="6"/>
  <c r="Q653" i="6"/>
  <c r="Q621" i="6"/>
  <c r="Q804" i="6"/>
  <c r="Q869" i="6"/>
  <c r="Q1244" i="6"/>
  <c r="Q728" i="6"/>
  <c r="Q838" i="6"/>
  <c r="Q1164" i="6"/>
  <c r="Q787" i="6"/>
  <c r="Q1236" i="6"/>
  <c r="Q857" i="6"/>
  <c r="Q529" i="6"/>
  <c r="Q1139" i="6"/>
  <c r="Q903" i="6"/>
  <c r="Q294" i="6"/>
  <c r="Q990" i="6"/>
  <c r="Q889" i="6"/>
  <c r="Q754" i="6"/>
  <c r="Q761" i="6"/>
  <c r="Q622" i="6"/>
  <c r="Q1248" i="6"/>
  <c r="Q645" i="6"/>
  <c r="Q802" i="6"/>
  <c r="Q1231" i="6"/>
  <c r="Q385" i="6"/>
  <c r="Q513" i="6"/>
  <c r="Q858" i="6"/>
  <c r="Q323" i="6"/>
  <c r="Q814" i="6"/>
  <c r="Q597" i="6"/>
  <c r="Q839" i="6"/>
  <c r="Q894" i="6"/>
  <c r="Q1027" i="6"/>
  <c r="Q861" i="6"/>
  <c r="Q464" i="6"/>
  <c r="Q887" i="6"/>
  <c r="Q525" i="6"/>
  <c r="Q637" i="6"/>
  <c r="Q510" i="6"/>
  <c r="Q1107" i="6"/>
  <c r="Q721" i="6"/>
  <c r="Q807" i="6"/>
  <c r="Q1050" i="6"/>
  <c r="Q890" i="6"/>
  <c r="Q397" i="6"/>
  <c r="Q974" i="6"/>
  <c r="Q633" i="6"/>
  <c r="Q1255" i="6"/>
  <c r="Q1138" i="6"/>
  <c r="Q300" i="6"/>
  <c r="Q1141" i="6"/>
  <c r="Q945" i="6"/>
  <c r="Q702" i="6"/>
  <c r="Q332" i="6"/>
  <c r="Q569" i="6"/>
  <c r="Q375" i="6"/>
  <c r="Q1293" i="6"/>
  <c r="Q895" i="6"/>
  <c r="Q1254" i="6"/>
  <c r="Q719" i="6"/>
  <c r="Q905" i="6"/>
  <c r="Q1210" i="6"/>
  <c r="Q1098" i="6"/>
  <c r="Q441" i="6"/>
  <c r="Q951" i="6"/>
  <c r="Q585" i="6"/>
  <c r="Q412" i="6"/>
  <c r="Q408" i="6"/>
  <c r="Q976" i="6"/>
  <c r="Q624" i="6"/>
  <c r="Q655" i="6"/>
  <c r="Q1059" i="6"/>
  <c r="Q235" i="6"/>
  <c r="Q1235" i="6"/>
  <c r="Q927" i="6"/>
  <c r="Q639" i="6"/>
  <c r="Q906" i="6"/>
  <c r="Q904" i="6"/>
  <c r="Q411" i="6"/>
  <c r="Q277" i="6"/>
  <c r="Q826" i="6"/>
  <c r="Q496" i="6"/>
  <c r="Q1035" i="6"/>
  <c r="Q678" i="6"/>
  <c r="Q1151" i="6"/>
  <c r="Q707" i="6"/>
  <c r="Q499" i="6"/>
  <c r="Q742" i="6"/>
  <c r="Q1252" i="6"/>
  <c r="Q515" i="6"/>
  <c r="Q331" i="6"/>
  <c r="Q1178" i="6"/>
  <c r="Q833" i="6"/>
  <c r="Q1182" i="6"/>
  <c r="Q1077" i="6"/>
  <c r="Q769" i="6"/>
  <c r="Q1110" i="6"/>
  <c r="Q948" i="6"/>
  <c r="Q964" i="6"/>
  <c r="Q1021" i="6"/>
  <c r="Q845" i="6"/>
  <c r="Q313" i="6"/>
  <c r="Q743" i="6"/>
  <c r="Q648" i="6"/>
  <c r="Q780" i="6"/>
  <c r="Q236" i="6"/>
  <c r="Q954" i="6"/>
  <c r="Q369" i="6"/>
  <c r="Q462" i="6"/>
  <c r="Q595" i="6"/>
  <c r="Q917" i="6"/>
  <c r="Q577" i="6"/>
  <c r="Q422" i="6"/>
  <c r="Q1311" i="6"/>
  <c r="Q521" i="6"/>
  <c r="Q312" i="6"/>
  <c r="Q783" i="6"/>
  <c r="Q392" i="6"/>
  <c r="Q882" i="6"/>
  <c r="Q287" i="6"/>
  <c r="Q744" i="6"/>
  <c r="Q1052" i="6"/>
  <c r="Q310" i="6"/>
  <c r="Q700" i="6"/>
  <c r="Q240" i="6"/>
  <c r="Q1186" i="6"/>
  <c r="Q1034" i="6"/>
  <c r="Q684" i="6"/>
  <c r="Q254" i="6"/>
  <c r="Q1122" i="6"/>
  <c r="Q1179" i="6"/>
  <c r="Q947" i="6"/>
  <c r="Q992" i="6"/>
  <c r="Q1040" i="6"/>
  <c r="Q708" i="6"/>
  <c r="Q530" i="6"/>
  <c r="Q234" i="6"/>
  <c r="Q552" i="6"/>
  <c r="Q498" i="6"/>
  <c r="Q672" i="6"/>
  <c r="Q549" i="6"/>
  <c r="Q1101" i="6"/>
  <c r="Q920" i="6"/>
  <c r="Q933" i="6"/>
  <c r="Q333" i="6"/>
  <c r="Q919" i="6"/>
  <c r="Q967" i="6"/>
  <c r="Q1225" i="6"/>
  <c r="Q493" i="6"/>
  <c r="Q1299" i="6"/>
  <c r="Q830" i="6"/>
  <c r="Q946" i="6"/>
  <c r="Q736" i="6"/>
  <c r="Q1096" i="6"/>
  <c r="Q490" i="6"/>
  <c r="Q292" i="6"/>
  <c r="Q1296" i="6"/>
  <c r="Q792" i="6"/>
  <c r="Q1018" i="6"/>
  <c r="Q1301" i="6"/>
  <c r="Q986" i="6"/>
  <c r="Q1304" i="6"/>
  <c r="Q935" i="6"/>
  <c r="Q593" i="6"/>
  <c r="Q1100" i="6"/>
  <c r="Q1090" i="6"/>
  <c r="Q1108" i="6"/>
  <c r="Q500" i="6"/>
  <c r="Q1278" i="6"/>
  <c r="Q395" i="6"/>
  <c r="Q715" i="6"/>
  <c r="Q687" i="6"/>
  <c r="Q853" i="6"/>
  <c r="Q370" i="6"/>
  <c r="Q1056" i="6"/>
  <c r="Q373" i="6"/>
  <c r="Q1019" i="6"/>
  <c r="Q451" i="6"/>
  <c r="Q455" i="6"/>
  <c r="Q1223" i="6"/>
  <c r="Q589" i="6"/>
  <c r="Q601" i="6"/>
  <c r="Q334" i="6"/>
  <c r="Q1290" i="6"/>
  <c r="Q737" i="6"/>
  <c r="Q1213" i="6"/>
  <c r="N235" i="4"/>
  <c r="Q652" i="6"/>
  <c r="Q875" i="6"/>
  <c r="Q1020" i="6"/>
  <c r="Q1044" i="6"/>
  <c r="Q817" i="6"/>
  <c r="Q497" i="6"/>
  <c r="Q1233" i="6"/>
  <c r="Q507" i="6"/>
  <c r="Q1286" i="6"/>
  <c r="Q825" i="6"/>
  <c r="Q983" i="6"/>
  <c r="Q470" i="6"/>
  <c r="Q1247" i="6"/>
  <c r="Q635" i="6"/>
  <c r="Q427" i="6"/>
  <c r="Q1250" i="6"/>
  <c r="Q321" i="6"/>
  <c r="Q471" i="6"/>
  <c r="Q753" i="6"/>
  <c r="Q614" i="6"/>
  <c r="Q978" i="6"/>
  <c r="Q977" i="6"/>
  <c r="Q317" i="6"/>
  <c r="Q1097" i="6"/>
  <c r="Q689" i="6"/>
  <c r="Q1267" i="6"/>
  <c r="Q381" i="6"/>
  <c r="Q725" i="6"/>
  <c r="Q416" i="6"/>
  <c r="Q662" i="6"/>
  <c r="Q1259" i="6"/>
  <c r="Q440" i="6"/>
  <c r="Q1134" i="6"/>
  <c r="Q699" i="6"/>
  <c r="Q1099" i="6"/>
  <c r="Q810" i="6"/>
  <c r="Q340" i="6"/>
  <c r="Q881" i="6"/>
  <c r="Q844" i="6"/>
  <c r="Q1183" i="6"/>
  <c r="Q868" i="6"/>
  <c r="Q372" i="6"/>
  <c r="Q280" i="6"/>
  <c r="Q612" i="6"/>
  <c r="Q710" i="6"/>
  <c r="Q989" i="6"/>
  <c r="Q298" i="6"/>
  <c r="Q741" i="6"/>
  <c r="Q325" i="6"/>
  <c r="Q1188" i="6"/>
  <c r="Q326" i="6"/>
  <c r="Q748" i="6"/>
  <c r="Q301" i="6"/>
  <c r="Q251" i="6"/>
  <c r="Q816" i="6"/>
  <c r="Q308" i="6"/>
  <c r="Q893" i="6"/>
  <c r="Q1058" i="6"/>
  <c r="Q854" i="6"/>
  <c r="Q690" i="6"/>
  <c r="Q346" i="6"/>
  <c r="Q343" i="6"/>
  <c r="Q504" i="6"/>
  <c r="Q598" i="6"/>
  <c r="Q606" i="6"/>
  <c r="Q1030" i="6"/>
  <c r="Q318" i="6"/>
  <c r="Q640" i="6"/>
  <c r="Q1150" i="6"/>
  <c r="Q907" i="6"/>
  <c r="Q556" i="6"/>
  <c r="Q966" i="6"/>
  <c r="Q619" i="6"/>
  <c r="Q1222" i="6"/>
  <c r="Q1137" i="6"/>
  <c r="Q818" i="6"/>
  <c r="Q1171" i="6"/>
  <c r="Q706" i="6"/>
  <c r="Q560" i="6"/>
  <c r="Q1104" i="6"/>
  <c r="Q644" i="6"/>
  <c r="Q1194" i="6"/>
  <c r="Q255" i="6"/>
  <c r="Q789" i="6"/>
  <c r="Q307" i="6"/>
  <c r="Q1011" i="6"/>
  <c r="Q512" i="6"/>
  <c r="Q768" i="6"/>
  <c r="Q735" i="6"/>
  <c r="Q1251" i="6"/>
  <c r="Q666" i="6"/>
  <c r="Q1243" i="6"/>
  <c r="Q1209" i="6"/>
  <c r="Q237" i="6"/>
  <c r="Q1309" i="6"/>
  <c r="Q1268" i="6"/>
  <c r="Q1218" i="6"/>
  <c r="Q1037" i="6"/>
  <c r="Q583" i="6"/>
  <c r="Q528" i="6"/>
  <c r="Q1120" i="6"/>
  <c r="Q1232" i="6"/>
  <c r="Q1079" i="6"/>
  <c r="Q571" i="6"/>
  <c r="Q367" i="6"/>
  <c r="Q900" i="6"/>
  <c r="Q268" i="6"/>
  <c r="Q1145" i="6"/>
  <c r="Q329" i="6"/>
  <c r="Q532" i="6"/>
  <c r="Q483" i="6"/>
  <c r="Q550" i="6"/>
  <c r="Q965" i="6"/>
  <c r="Q401" i="6"/>
  <c r="Q914" i="6"/>
  <c r="Q603" i="6"/>
  <c r="Q885" i="6"/>
  <c r="Q872" i="6"/>
  <c r="Q696" i="6"/>
  <c r="Q526" i="6"/>
  <c r="Q886" i="6"/>
  <c r="Q1023" i="6"/>
  <c r="Q1162" i="6"/>
  <c r="Q356" i="6"/>
  <c r="Q1002" i="6"/>
  <c r="Q315" i="6"/>
  <c r="Q988" i="6"/>
  <c r="Q850" i="6"/>
  <c r="Q837" i="6"/>
  <c r="Q1053" i="6"/>
  <c r="Q487" i="6"/>
  <c r="Q368" i="6"/>
  <c r="Q1068" i="6"/>
  <c r="Q995" i="6"/>
  <c r="Q1307" i="6"/>
  <c r="Q791" i="6"/>
  <c r="Q517" i="6"/>
  <c r="Q1036" i="6"/>
  <c r="Q1130" i="6"/>
  <c r="Q502" i="6"/>
  <c r="Q1308" i="6"/>
  <c r="Q476" i="6"/>
  <c r="Q1025" i="6"/>
  <c r="Q357" i="6"/>
  <c r="Q681" i="6"/>
  <c r="Q1261" i="6"/>
  <c r="Q1046" i="6"/>
  <c r="Q813" i="6"/>
  <c r="Q1271" i="6"/>
  <c r="Q891" i="6"/>
  <c r="Q561" i="6"/>
  <c r="Q934" i="6"/>
  <c r="Q579" i="6"/>
  <c r="Q584" i="6"/>
  <c r="Q931" i="6"/>
  <c r="Q615" i="6"/>
  <c r="Q1177" i="6"/>
  <c r="Q426" i="6"/>
  <c r="Q1136" i="6"/>
  <c r="Q533" i="6"/>
  <c r="Q558" i="6"/>
  <c r="Q928" i="6"/>
  <c r="Q319" i="6"/>
  <c r="Q1205" i="6"/>
  <c r="Q434" i="6"/>
  <c r="Q1004" i="6"/>
  <c r="Q469" i="6"/>
  <c r="Q1175" i="6"/>
  <c r="Q353" i="6"/>
  <c r="Q1157" i="6"/>
  <c r="Q248" i="6"/>
  <c r="Q259" i="6"/>
  <c r="Q1105" i="6"/>
  <c r="Q1193" i="6"/>
  <c r="Q929" i="6"/>
  <c r="Q468" i="6"/>
  <c r="Q389" i="6"/>
  <c r="Q982" i="6"/>
  <c r="Q749" i="6"/>
  <c r="Q1204" i="6"/>
  <c r="Q969" i="6"/>
  <c r="Q897" i="6"/>
  <c r="Q629" i="6"/>
  <c r="Q1212" i="6"/>
  <c r="Q643" i="6"/>
  <c r="Q295" i="6"/>
  <c r="Q973" i="6"/>
  <c r="Q943" i="6"/>
  <c r="Q495" i="6"/>
  <c r="Q712" i="6"/>
  <c r="Q1238" i="6"/>
  <c r="Q668" i="6"/>
  <c r="Q514" i="6"/>
  <c r="Q627" i="6"/>
  <c r="Q1106" i="6"/>
  <c r="Q877" i="6"/>
  <c r="Q1128" i="6"/>
  <c r="Q999" i="6"/>
  <c r="Q625" i="6"/>
  <c r="Q1006" i="6"/>
  <c r="Q651" i="6"/>
  <c r="Q811" i="6"/>
  <c r="Q1063" i="6"/>
  <c r="Q647" i="6"/>
  <c r="Q261" i="6"/>
  <c r="Q535" i="6"/>
  <c r="Q1256" i="6"/>
  <c r="Q1289" i="6"/>
  <c r="Q1292" i="6"/>
  <c r="Q682" i="6"/>
  <c r="Q1113" i="6"/>
  <c r="Q820" i="6"/>
  <c r="Q1270" i="6"/>
  <c r="Q823" i="6"/>
  <c r="Q557" i="6"/>
  <c r="Q1131" i="6"/>
  <c r="Q555" i="6"/>
  <c r="Q930" i="6"/>
  <c r="Q1135" i="6"/>
  <c r="Q523" i="6"/>
  <c r="Q355" i="6"/>
  <c r="Q1072" i="6"/>
  <c r="Q399" i="6"/>
  <c r="Q1124" i="6"/>
  <c r="Q475" i="6"/>
  <c r="Q286" i="6"/>
  <c r="Q776" i="6"/>
  <c r="Q722" i="6"/>
  <c r="Q878" i="6"/>
  <c r="Q888" i="6"/>
  <c r="Q379" i="6"/>
  <c r="Q272" i="6"/>
  <c r="Q1196" i="6"/>
  <c r="Q665" i="6"/>
  <c r="Q1102" i="6"/>
  <c r="Q405" i="6"/>
  <c r="Q646" i="6"/>
  <c r="Q638" i="6"/>
  <c r="Q860" i="6"/>
  <c r="Q492" i="6"/>
  <c r="Q661" i="6"/>
  <c r="Q996" i="6"/>
  <c r="Q322" i="6"/>
  <c r="Q1258" i="6"/>
  <c r="Q1126" i="6"/>
  <c r="Q1264" i="6"/>
  <c r="Q1174" i="6"/>
  <c r="Q961" i="6"/>
  <c r="Q1095" i="6"/>
  <c r="Q1302" i="6"/>
  <c r="Q345" i="6"/>
  <c r="Q852" i="6"/>
  <c r="Q836" i="6"/>
  <c r="Q1109" i="6"/>
  <c r="Q429" i="6"/>
  <c r="Q380" i="6"/>
  <c r="Q421" i="6"/>
  <c r="Q849" i="6"/>
  <c r="Q1253" i="6"/>
  <c r="Q296" i="6"/>
  <c r="Q262" i="6"/>
  <c r="Q781" i="6"/>
  <c r="Q432" i="6"/>
  <c r="Q898" i="6"/>
  <c r="Q1219" i="6"/>
  <c r="Q884" i="6"/>
  <c r="Q1076" i="6"/>
  <c r="Q1114" i="6"/>
  <c r="Q543" i="6"/>
  <c r="Q1156" i="6"/>
  <c r="Q726" i="6"/>
  <c r="Q1190" i="6"/>
  <c r="Q1234" i="6"/>
  <c r="Q450" i="6"/>
  <c r="Q342" i="6"/>
  <c r="Q697" i="6"/>
  <c r="Q1249" i="6"/>
  <c r="Q980" i="6"/>
  <c r="Q642" i="6"/>
  <c r="Q759" i="6"/>
  <c r="Q402" i="6"/>
  <c r="Q1014" i="6"/>
  <c r="Q611" i="6"/>
  <c r="Q454" i="6"/>
  <c r="Q1084" i="6"/>
  <c r="Q600" i="6"/>
  <c r="Q246" i="6"/>
  <c r="Q772" i="6"/>
  <c r="Q404" i="6"/>
  <c r="Q1140" i="6"/>
  <c r="Q1083" i="6"/>
  <c r="Q266" i="6"/>
  <c r="Q439" i="6"/>
  <c r="Q366" i="6"/>
  <c r="Q842" i="6"/>
  <c r="Q245" i="6"/>
  <c r="Q1283" i="6"/>
  <c r="Q1070" i="6"/>
  <c r="Q985" i="6"/>
  <c r="Q270" i="6"/>
  <c r="Q358" i="6"/>
  <c r="Q1215" i="6"/>
  <c r="Q764" i="6"/>
  <c r="Q520" i="6"/>
  <c r="Q1280" i="6"/>
  <c r="Q1062" i="6"/>
  <c r="Q806" i="6"/>
  <c r="Q1161" i="6"/>
  <c r="Q407" i="6"/>
  <c r="Q428" i="6"/>
  <c r="Q949" i="6"/>
  <c r="Q1146" i="6"/>
  <c r="Q1167" i="6"/>
  <c r="Q760" i="6"/>
  <c r="Q962" i="6"/>
  <c r="Q1284" i="6"/>
  <c r="Q1091" i="6"/>
  <c r="Q908" i="6"/>
  <c r="Q417" i="6"/>
  <c r="Q461" i="6"/>
  <c r="Q727" i="6"/>
  <c r="Q1246" i="6"/>
  <c r="Q676" i="6"/>
  <c r="Q536" i="6"/>
  <c r="Q1022" i="6"/>
  <c r="Q538" i="6"/>
  <c r="Q746" i="6"/>
  <c r="Q1273" i="6"/>
  <c r="Q1081" i="6"/>
  <c r="Q669" i="6"/>
  <c r="Q1117" i="6"/>
  <c r="Q660" i="6"/>
  <c r="Q1127" i="6"/>
  <c r="Q720" i="6"/>
  <c r="Q883" i="6"/>
  <c r="Q1094" i="6"/>
  <c r="Q677" i="6"/>
  <c r="Q275" i="6"/>
  <c r="Q1085" i="6"/>
  <c r="Q565" i="6"/>
  <c r="Q582" i="6"/>
  <c r="Q848" i="6"/>
  <c r="Q242" i="6"/>
  <c r="Q1262" i="6"/>
  <c r="Q916" i="6"/>
  <c r="Q758" i="6"/>
  <c r="Q867" i="6"/>
  <c r="Q634" i="6"/>
  <c r="Q1265" i="6"/>
  <c r="Q302" i="6"/>
  <c r="Q841" i="6"/>
  <c r="Q364" i="6"/>
  <c r="Q1291" i="6"/>
  <c r="Q671" i="6"/>
  <c r="Q1170" i="6"/>
  <c r="Q1133" i="6"/>
  <c r="Q1082" i="6"/>
  <c r="Q1119" i="6"/>
  <c r="Q1216" i="6"/>
  <c r="Q971" i="6"/>
  <c r="Q605" i="6"/>
  <c r="Q1073" i="6"/>
  <c r="Q1074" i="6"/>
  <c r="Q1093" i="6"/>
  <c r="Q953" i="6"/>
  <c r="Q377" i="6"/>
  <c r="Q847" i="6"/>
  <c r="Q505" i="6"/>
  <c r="Q348" i="6"/>
  <c r="Q260" i="6"/>
  <c r="Q938" i="6"/>
  <c r="Q354" i="6"/>
  <c r="Q1228" i="6"/>
  <c r="Q843" i="6"/>
  <c r="Q437" i="6"/>
  <c r="Q1121" i="6"/>
  <c r="Q747" i="6"/>
  <c r="Q247" i="6"/>
  <c r="Q997" i="6"/>
  <c r="Q306" i="6"/>
  <c r="Q757" i="6"/>
  <c r="Q365" i="6"/>
  <c r="Q1048" i="6"/>
  <c r="Q527" i="6"/>
  <c r="Q320" i="6"/>
  <c r="Q1086" i="6"/>
  <c r="Q351" i="6"/>
  <c r="Q987" i="6"/>
  <c r="Q915" i="6"/>
  <c r="Q274" i="6"/>
  <c r="Q447" i="6"/>
  <c r="Q285" i="6"/>
  <c r="Q674" i="6"/>
  <c r="Q932" i="6"/>
  <c r="Q438" i="6"/>
  <c r="Q1274" i="6"/>
  <c r="Q587" i="6"/>
  <c r="Q448" i="6"/>
  <c r="Q580" i="6"/>
  <c r="Q685" i="6"/>
  <c r="Q957" i="6"/>
  <c r="Q1032" i="6"/>
  <c r="Q1054" i="6"/>
  <c r="Q271" i="6"/>
  <c r="Q361" i="6"/>
  <c r="Q731" i="6"/>
  <c r="Q424" i="6"/>
  <c r="Q1065" i="6"/>
  <c r="Q341" i="6"/>
  <c r="Q1201" i="6"/>
  <c r="Q599" i="6"/>
  <c r="Q1281" i="6"/>
  <c r="Q445" i="6"/>
  <c r="Q1016" i="6"/>
  <c r="N234" i="4"/>
  <c r="Q738" i="6"/>
  <c r="Q478" i="6"/>
  <c r="Q1147" i="6"/>
  <c r="Q670" i="6"/>
  <c r="Q613" i="6"/>
  <c r="Q383" i="6"/>
  <c r="Q1187" i="6"/>
  <c r="Q393" i="6"/>
  <c r="Q1112" i="6"/>
  <c r="Q486" i="6"/>
  <c r="Q524" i="6"/>
  <c r="Q256" i="6"/>
  <c r="Q901" i="6"/>
  <c r="Q723" i="6"/>
  <c r="Q827" i="6"/>
  <c r="Q293" i="6"/>
  <c r="Q1300" i="6"/>
  <c r="Q1089" i="6"/>
  <c r="Q330" i="6"/>
  <c r="Q698" i="6"/>
  <c r="Q770" i="6"/>
  <c r="Q338" i="6"/>
  <c r="Q808" i="6"/>
  <c r="Q458" i="6"/>
  <c r="Q546" i="6"/>
  <c r="Q491" i="6"/>
  <c r="N238" i="4"/>
  <c r="Q1169" i="6"/>
  <c r="Q724" i="6"/>
  <c r="Q679" i="6"/>
  <c r="Q626" i="6"/>
  <c r="Q717" i="6"/>
  <c r="Q390" i="6"/>
  <c r="Q537" i="6"/>
  <c r="Q1298" i="6"/>
  <c r="Q1229" i="6"/>
  <c r="Q547" i="6"/>
  <c r="Q548" i="6"/>
  <c r="Q1042" i="6"/>
  <c r="Q1049" i="6"/>
  <c r="Q609" i="6"/>
  <c r="Q774" i="6"/>
  <c r="Q694" i="6"/>
  <c r="Q376" i="6"/>
  <c r="Q716" i="6"/>
  <c r="Q591" i="6"/>
  <c r="Q926" i="6"/>
  <c r="Q1009" i="6"/>
  <c r="Q480" i="6"/>
  <c r="Q925" i="6"/>
  <c r="Q824" i="6"/>
  <c r="Q1123" i="6"/>
  <c r="Q446" i="6"/>
  <c r="Q347" i="6"/>
  <c r="Q1088" i="6"/>
  <c r="Q1200" i="6"/>
  <c r="Q1282" i="6"/>
  <c r="Q632" i="6"/>
  <c r="Q241" i="6"/>
  <c r="Q1245" i="6"/>
  <c r="Q1207" i="6"/>
  <c r="Q1220" i="6"/>
  <c r="Q912" i="6"/>
  <c r="Q1144" i="6"/>
  <c r="Q276" i="6"/>
  <c r="Q335" i="6"/>
  <c r="Q1224" i="6"/>
  <c r="Q484" i="6"/>
  <c r="Q871" i="6"/>
  <c r="Q1195" i="6"/>
  <c r="Q713" i="6"/>
  <c r="Q959" i="6"/>
  <c r="Q474" i="6"/>
  <c r="Q695" i="6"/>
  <c r="Q1024" i="6"/>
  <c r="Q539" i="6"/>
  <c r="Q981" i="6"/>
  <c r="Q805" i="6"/>
  <c r="Q281" i="6"/>
  <c r="Q1237" i="6"/>
  <c r="Q851" i="6"/>
  <c r="Q1184" i="6"/>
  <c r="Q1051" i="6"/>
  <c r="Q423" i="6"/>
  <c r="Q1272" i="6"/>
  <c r="Q630" i="6"/>
  <c r="Q821" i="6"/>
  <c r="Q263" i="6"/>
  <c r="Q316" i="6"/>
  <c r="Q309" i="6"/>
  <c r="Q950" i="6"/>
  <c r="Q572" i="6"/>
  <c r="N243" i="4"/>
  <c r="M866" i="6"/>
  <c r="P866" i="6" s="1"/>
  <c r="N866" i="6"/>
  <c r="Q866" i="6" s="1"/>
  <c r="N233" i="4"/>
  <c r="N242" i="4"/>
  <c r="Q436" i="6"/>
  <c r="N244" i="4"/>
  <c r="Q265" i="6"/>
  <c r="N239" i="4"/>
  <c r="N237" i="4"/>
  <c r="N241" i="4"/>
  <c r="N232" i="4"/>
  <c r="Q1285" i="6"/>
  <c r="N236" i="4"/>
  <c r="M553" i="6"/>
  <c r="Q553" i="6"/>
  <c r="M435" i="6"/>
  <c r="Q435" i="6"/>
  <c r="M324" i="6"/>
  <c r="Q324" i="6"/>
  <c r="M864" i="6"/>
  <c r="Q864" i="6"/>
  <c r="M472" i="6"/>
  <c r="Q472" i="6"/>
  <c r="M288" i="6"/>
  <c r="Q288" i="6"/>
  <c r="M264" i="6"/>
  <c r="Q264" i="6"/>
  <c r="M269" i="6"/>
  <c r="Q269" i="6"/>
  <c r="M793" i="6"/>
  <c r="Q793" i="6"/>
  <c r="M442" i="6"/>
  <c r="Q442" i="6"/>
  <c r="M794" i="6"/>
  <c r="Q794" i="6"/>
  <c r="M1012" i="6"/>
  <c r="Q1012" i="6"/>
  <c r="M870" i="6"/>
  <c r="Q870" i="6"/>
  <c r="M968" i="6"/>
  <c r="Q968" i="6"/>
  <c r="M636" i="6"/>
  <c r="Q636" i="6"/>
  <c r="M892" i="6"/>
  <c r="Q892" i="6"/>
  <c r="M489" i="6"/>
  <c r="Q489" i="6"/>
  <c r="N2" i="4"/>
  <c r="M617" i="6"/>
  <c r="Q617" i="6"/>
  <c r="Q60" i="6"/>
  <c r="Q63" i="6"/>
  <c r="M1152" i="6"/>
  <c r="M856" i="6"/>
  <c r="M541" i="6"/>
  <c r="M952" i="6"/>
  <c r="M516" i="6"/>
  <c r="M1168" i="6"/>
  <c r="M1047" i="6"/>
  <c r="M657" i="6"/>
  <c r="M902" i="6"/>
  <c r="M1007" i="6"/>
  <c r="M147" i="6"/>
  <c r="P147" i="6" s="1"/>
  <c r="M85" i="6"/>
  <c r="O85" i="6" s="1"/>
  <c r="M1269" i="6"/>
  <c r="M1031" i="6"/>
  <c r="M420" i="6"/>
  <c r="M1055" i="6"/>
  <c r="M82" i="6"/>
  <c r="P82" i="6" s="1"/>
  <c r="M1118" i="6"/>
  <c r="M540" i="6"/>
  <c r="M452" i="6"/>
  <c r="M352" i="6"/>
  <c r="M876" i="6"/>
  <c r="M374" i="6"/>
  <c r="M1185" i="6"/>
  <c r="M418" i="6"/>
  <c r="M120" i="6"/>
  <c r="P120" i="6" s="1"/>
  <c r="M695" i="6"/>
  <c r="M1024" i="6"/>
  <c r="M539" i="6"/>
  <c r="M981" i="6"/>
  <c r="M805" i="6"/>
  <c r="M281" i="6"/>
  <c r="M1237" i="6"/>
  <c r="M851" i="6"/>
  <c r="M1184" i="6"/>
  <c r="M1051" i="6"/>
  <c r="M194" i="6"/>
  <c r="O194" i="6" s="1"/>
  <c r="M423" i="6"/>
  <c r="M1272" i="6"/>
  <c r="M630" i="6"/>
  <c r="M821" i="6"/>
  <c r="M263" i="6"/>
  <c r="M1261" i="6"/>
  <c r="M1046" i="6"/>
  <c r="M813" i="6"/>
  <c r="M1271" i="6"/>
  <c r="M891" i="6"/>
  <c r="M561" i="6"/>
  <c r="M934" i="6"/>
  <c r="M579" i="6"/>
  <c r="M584" i="6"/>
  <c r="M931" i="6"/>
  <c r="M81" i="6"/>
  <c r="O81" i="6" s="1"/>
  <c r="M615" i="6"/>
  <c r="M160" i="6"/>
  <c r="P160" i="6" s="1"/>
  <c r="M1177" i="6"/>
  <c r="M426" i="6"/>
  <c r="M1136" i="6"/>
  <c r="M533" i="6"/>
  <c r="M558" i="6"/>
  <c r="M928" i="6"/>
  <c r="M97" i="6"/>
  <c r="O97" i="6" s="1"/>
  <c r="M319" i="6"/>
  <c r="M1205" i="6"/>
  <c r="M434" i="6"/>
  <c r="M136" i="6"/>
  <c r="O136" i="6" s="1"/>
  <c r="M1004" i="6"/>
  <c r="M469" i="6"/>
  <c r="M1175" i="6"/>
  <c r="M353" i="6"/>
  <c r="M108" i="6"/>
  <c r="P108" i="6" s="1"/>
  <c r="M1157" i="6"/>
  <c r="M248" i="6"/>
  <c r="M259" i="6"/>
  <c r="M1105" i="6"/>
  <c r="M101" i="6"/>
  <c r="P101" i="6" s="1"/>
  <c r="M25" i="6"/>
  <c r="O25" i="6" s="1"/>
  <c r="M1193" i="6"/>
  <c r="M929" i="6"/>
  <c r="M468" i="6"/>
  <c r="M56" i="6"/>
  <c r="P56" i="6" s="1"/>
  <c r="M389" i="6"/>
  <c r="M913" i="6"/>
  <c r="M453" i="6"/>
  <c r="M1160" i="6"/>
  <c r="M607" i="6"/>
  <c r="M675" i="6"/>
  <c r="M166" i="6"/>
  <c r="O166" i="6" s="1"/>
  <c r="M443" i="6"/>
  <c r="M703" i="6"/>
  <c r="M149" i="6"/>
  <c r="O149" i="6" s="1"/>
  <c r="M400" i="6"/>
  <c r="M1279" i="6"/>
  <c r="M508" i="6"/>
  <c r="Q29" i="6"/>
  <c r="M297" i="6"/>
  <c r="M1173" i="6"/>
  <c r="M709" i="6"/>
  <c r="M1165" i="6"/>
  <c r="M1142" i="6"/>
  <c r="M1191" i="6"/>
  <c r="M691" i="6"/>
  <c r="M940" i="6"/>
  <c r="M1197" i="6"/>
  <c r="M939" i="6"/>
  <c r="M1203" i="6"/>
  <c r="M604" i="6"/>
  <c r="M290" i="6"/>
  <c r="M456" i="6"/>
  <c r="M574" i="6"/>
  <c r="M485" i="6"/>
  <c r="M239" i="6"/>
  <c r="M1155" i="6"/>
  <c r="M1115" i="6"/>
  <c r="M57" i="6"/>
  <c r="O57" i="6" s="1"/>
  <c r="M403" i="6"/>
  <c r="M840" i="6"/>
  <c r="M1172" i="6"/>
  <c r="M111" i="6"/>
  <c r="O111" i="6" s="1"/>
  <c r="M284" i="6"/>
  <c r="M388" i="6"/>
  <c r="M223" i="6"/>
  <c r="O223" i="6" s="1"/>
  <c r="M163" i="6"/>
  <c r="P163" i="6" s="1"/>
  <c r="M78" i="6"/>
  <c r="O78" i="6" s="1"/>
  <c r="M874" i="6"/>
  <c r="M215" i="6"/>
  <c r="O215" i="6" s="1"/>
  <c r="M488" i="6"/>
  <c r="M238" i="6"/>
  <c r="M740" i="6"/>
  <c r="M982" i="6"/>
  <c r="M749" i="6"/>
  <c r="M1204" i="6"/>
  <c r="M969" i="6"/>
  <c r="M153" i="6"/>
  <c r="P153" i="6" s="1"/>
  <c r="M897" i="6"/>
  <c r="M629" i="6"/>
  <c r="M1212" i="6"/>
  <c r="M643" i="6"/>
  <c r="M66" i="6"/>
  <c r="O66" i="6" s="1"/>
  <c r="M295" i="6"/>
  <c r="M973" i="6"/>
  <c r="M943" i="6"/>
  <c r="M495" i="6"/>
  <c r="M712" i="6"/>
  <c r="M162" i="6"/>
  <c r="P162" i="6" s="1"/>
  <c r="M1238" i="6"/>
  <c r="M668" i="6"/>
  <c r="M514" i="6"/>
  <c r="M141" i="6"/>
  <c r="P141" i="6" s="1"/>
  <c r="M627" i="6"/>
  <c r="M478" i="6"/>
  <c r="M1147" i="6"/>
  <c r="M670" i="6"/>
  <c r="M192" i="6"/>
  <c r="P192" i="6" s="1"/>
  <c r="M613" i="6"/>
  <c r="M383" i="6"/>
  <c r="M1187" i="6"/>
  <c r="M133" i="6"/>
  <c r="O133" i="6" s="1"/>
  <c r="M393" i="6"/>
  <c r="M1112" i="6"/>
  <c r="M486" i="6"/>
  <c r="M524" i="6"/>
  <c r="M256" i="6"/>
  <c r="M901" i="6"/>
  <c r="M723" i="6"/>
  <c r="M827" i="6"/>
  <c r="M293" i="6"/>
  <c r="M110" i="6"/>
  <c r="O110" i="6" s="1"/>
  <c r="M145" i="6"/>
  <c r="P145" i="6" s="1"/>
  <c r="M1300" i="6"/>
  <c r="M1089" i="6"/>
  <c r="M330" i="6"/>
  <c r="M61" i="6"/>
  <c r="O61" i="6" s="1"/>
  <c r="M698" i="6"/>
  <c r="M770" i="6"/>
  <c r="M338" i="6"/>
  <c r="M808" i="6"/>
  <c r="M207" i="6"/>
  <c r="P207" i="6" s="1"/>
  <c r="M271" i="6"/>
  <c r="M1290" i="6"/>
  <c r="M140" i="6"/>
  <c r="O140" i="6" s="1"/>
  <c r="M1106" i="6"/>
  <c r="M877" i="6"/>
  <c r="M1128" i="6"/>
  <c r="M999" i="6"/>
  <c r="M625" i="6"/>
  <c r="M1006" i="6"/>
  <c r="M651" i="6"/>
  <c r="M811" i="6"/>
  <c r="M1063" i="6"/>
  <c r="M161" i="6"/>
  <c r="P161" i="6" s="1"/>
  <c r="M647" i="6"/>
  <c r="M261" i="6"/>
  <c r="M535" i="6"/>
  <c r="N219" i="4"/>
  <c r="O198" i="6"/>
  <c r="Q198" i="6"/>
  <c r="O184" i="6"/>
  <c r="P7" i="6"/>
  <c r="M1077" i="6"/>
  <c r="M769" i="6"/>
  <c r="M1110" i="6"/>
  <c r="M948" i="6"/>
  <c r="M964" i="6"/>
  <c r="M1021" i="6"/>
  <c r="M845" i="6"/>
  <c r="M313" i="6"/>
  <c r="M743" i="6"/>
  <c r="M648" i="6"/>
  <c r="M780" i="6"/>
  <c r="M236" i="6"/>
  <c r="M954" i="6"/>
  <c r="M369" i="6"/>
  <c r="M462" i="6"/>
  <c r="M595" i="6"/>
  <c r="M67" i="6"/>
  <c r="O67" i="6" s="1"/>
  <c r="M917" i="6"/>
  <c r="M577" i="6"/>
  <c r="M1159" i="6"/>
  <c r="M711" i="6"/>
  <c r="M782" i="6"/>
  <c r="M1211" i="6"/>
  <c r="M790" i="6"/>
  <c r="M1199" i="6"/>
  <c r="M800" i="6"/>
  <c r="M922" i="6"/>
  <c r="N64" i="4"/>
  <c r="N16" i="4"/>
  <c r="M777" i="6"/>
  <c r="N86" i="4"/>
  <c r="N132" i="4"/>
  <c r="Q220" i="6"/>
  <c r="M1068" i="6"/>
  <c r="M995" i="6"/>
  <c r="M1307" i="6"/>
  <c r="M791" i="6"/>
  <c r="M517" i="6"/>
  <c r="M1036" i="6"/>
  <c r="M1130" i="6"/>
  <c r="M502" i="6"/>
  <c r="M1308" i="6"/>
  <c r="M476" i="6"/>
  <c r="M72" i="6"/>
  <c r="O72" i="6" s="1"/>
  <c r="M1025" i="6"/>
  <c r="M357" i="6"/>
  <c r="M681" i="6"/>
  <c r="M1273" i="6"/>
  <c r="M1081" i="6"/>
  <c r="M669" i="6"/>
  <c r="M1117" i="6"/>
  <c r="M660" i="6"/>
  <c r="M1127" i="6"/>
  <c r="M720" i="6"/>
  <c r="M883" i="6"/>
  <c r="M1094" i="6"/>
  <c r="M677" i="6"/>
  <c r="M275" i="6"/>
  <c r="M172" i="6"/>
  <c r="P172" i="6" s="1"/>
  <c r="M1085" i="6"/>
  <c r="M565" i="6"/>
  <c r="M582" i="6"/>
  <c r="M848" i="6"/>
  <c r="M242" i="6"/>
  <c r="Q154" i="6"/>
  <c r="Q138" i="6"/>
  <c r="Q23" i="6"/>
  <c r="Q104" i="6"/>
  <c r="Q99" i="6"/>
  <c r="Q228" i="6"/>
  <c r="Q89" i="6"/>
  <c r="Q38" i="6"/>
  <c r="Q165" i="6"/>
  <c r="Q12" i="6"/>
  <c r="Q3" i="6"/>
  <c r="Q221" i="6"/>
  <c r="Q28" i="6"/>
  <c r="Q125" i="6"/>
  <c r="Q225" i="6"/>
  <c r="Q128" i="6"/>
  <c r="Q178" i="6"/>
  <c r="Q208" i="6"/>
  <c r="N89" i="4"/>
  <c r="M371" i="6"/>
  <c r="Q200" i="6"/>
  <c r="Q50" i="6"/>
  <c r="Q74" i="6"/>
  <c r="Q84" i="6"/>
  <c r="Q11" i="6"/>
  <c r="Q203" i="6"/>
  <c r="Q17" i="6"/>
  <c r="Q152" i="6"/>
  <c r="Q159" i="6"/>
  <c r="Q62" i="6"/>
  <c r="Q129" i="6"/>
  <c r="Q112" i="6"/>
  <c r="N15" i="4"/>
  <c r="N158" i="4"/>
  <c r="N169" i="4"/>
  <c r="N28" i="4"/>
  <c r="N194" i="4"/>
  <c r="M1285" i="6"/>
  <c r="N25" i="4"/>
  <c r="N202" i="4"/>
  <c r="N11" i="4"/>
  <c r="M972" i="6"/>
  <c r="M1214" i="6"/>
  <c r="M1001" i="6"/>
  <c r="M620" i="6"/>
  <c r="M1038" i="6"/>
  <c r="M692" i="6"/>
  <c r="M1305" i="6"/>
  <c r="M751" i="6"/>
  <c r="M1033" i="6"/>
  <c r="M1028" i="6"/>
  <c r="M899" i="6"/>
  <c r="M654" i="6"/>
  <c r="M167" i="6"/>
  <c r="P167" i="6" s="1"/>
  <c r="M1208" i="6"/>
  <c r="M834" i="6"/>
  <c r="M283" i="6"/>
  <c r="M944" i="6"/>
  <c r="M105" i="6"/>
  <c r="P105" i="6" s="1"/>
  <c r="M327" i="6"/>
  <c r="M963" i="6"/>
  <c r="M387" i="6"/>
  <c r="M336" i="6"/>
  <c r="M1181" i="6"/>
  <c r="M503" i="6"/>
  <c r="M13" i="6"/>
  <c r="O13" i="6" s="1"/>
  <c r="M641" i="6"/>
  <c r="M701" i="6"/>
  <c r="Q171" i="6"/>
  <c r="Q22" i="6"/>
  <c r="Q139" i="6"/>
  <c r="Q47" i="6"/>
  <c r="M218" i="6"/>
  <c r="O218" i="6" s="1"/>
  <c r="M1219" i="6"/>
  <c r="M884" i="6"/>
  <c r="M1076" i="6"/>
  <c r="M1114" i="6"/>
  <c r="M543" i="6"/>
  <c r="M1156" i="6"/>
  <c r="M726" i="6"/>
  <c r="M1190" i="6"/>
  <c r="M1234" i="6"/>
  <c r="M450" i="6"/>
  <c r="M342" i="6"/>
  <c r="M102" i="6"/>
  <c r="O102" i="6" s="1"/>
  <c r="M697" i="6"/>
  <c r="M210" i="6"/>
  <c r="P210" i="6" s="1"/>
  <c r="M1249" i="6"/>
  <c r="M422" i="6"/>
  <c r="M1311" i="6"/>
  <c r="M521" i="6"/>
  <c r="M312" i="6"/>
  <c r="M783" i="6"/>
  <c r="M179" i="6"/>
  <c r="O179" i="6" s="1"/>
  <c r="M392" i="6"/>
  <c r="M882" i="6"/>
  <c r="M287" i="6"/>
  <c r="M744" i="6"/>
  <c r="M30" i="6"/>
  <c r="O30" i="6" s="1"/>
  <c r="M1241" i="6"/>
  <c r="M846" i="6"/>
  <c r="M339" i="6"/>
  <c r="M213" i="6"/>
  <c r="P213" i="6" s="1"/>
  <c r="M693" i="6"/>
  <c r="M786" i="6"/>
  <c r="M1092" i="6"/>
  <c r="Q69" i="6"/>
  <c r="Q16" i="6"/>
  <c r="Q100" i="6"/>
  <c r="Q77" i="6"/>
  <c r="Q73" i="6"/>
  <c r="M1310" i="6"/>
  <c r="M960" i="6"/>
  <c r="M1043" i="6"/>
  <c r="M909" i="6"/>
  <c r="M733" i="6"/>
  <c r="M217" i="6"/>
  <c r="O217" i="6" s="1"/>
  <c r="M1010" i="6"/>
  <c r="M718" i="6"/>
  <c r="M1288" i="6"/>
  <c r="M798" i="6"/>
  <c r="M130" i="6"/>
  <c r="P130" i="6" s="1"/>
  <c r="M359" i="6"/>
  <c r="M1158" i="6"/>
  <c r="M803" i="6"/>
  <c r="M522" i="6"/>
  <c r="M910" i="6"/>
  <c r="M433" i="6"/>
  <c r="M578" i="6"/>
  <c r="M873" i="6"/>
  <c r="M732" i="6"/>
  <c r="M94" i="6"/>
  <c r="P94" i="6" s="1"/>
  <c r="M799" i="6"/>
  <c r="M187" i="6"/>
  <c r="O187" i="6" s="1"/>
  <c r="M48" i="6"/>
  <c r="O48" i="6" s="1"/>
  <c r="M991" i="6"/>
  <c r="M303" i="6"/>
  <c r="M1149" i="6"/>
  <c r="M686" i="6"/>
  <c r="M150" i="6"/>
  <c r="P150" i="6" s="1"/>
  <c r="M362" i="6"/>
  <c r="M1029" i="6"/>
  <c r="M534" i="6"/>
  <c r="M509" i="6"/>
  <c r="M93" i="6"/>
  <c r="O93" i="6" s="1"/>
  <c r="M444" i="6"/>
  <c r="M113" i="6"/>
  <c r="O113" i="6" s="1"/>
  <c r="M414" i="6"/>
  <c r="M384" i="6"/>
  <c r="M658" i="6"/>
  <c r="M1312" i="6"/>
  <c r="M896" i="6"/>
  <c r="M812" i="6"/>
  <c r="M1227" i="6"/>
  <c r="M588" i="6"/>
  <c r="M1240" i="6"/>
  <c r="M1217" i="6"/>
  <c r="M755" i="6"/>
  <c r="M998" i="6"/>
  <c r="M573" i="6"/>
  <c r="M211" i="6"/>
  <c r="O211" i="6" s="1"/>
  <c r="M126" i="6"/>
  <c r="P126" i="6" s="1"/>
  <c r="M1275" i="6"/>
  <c r="M465" i="6"/>
  <c r="M618" i="6"/>
  <c r="M734" i="6"/>
  <c r="M155" i="6"/>
  <c r="O155" i="6" s="1"/>
  <c r="M1045" i="6"/>
  <c r="M730" i="6"/>
  <c r="M542" i="6"/>
  <c r="M68" i="6"/>
  <c r="O68" i="6" s="1"/>
  <c r="M649" i="6"/>
  <c r="M822" i="6"/>
  <c r="M937" i="6"/>
  <c r="M291" i="6"/>
  <c r="M1192" i="6"/>
  <c r="M193" i="6"/>
  <c r="P193" i="6" s="1"/>
  <c r="M53" i="6"/>
  <c r="O53" i="6" s="1"/>
  <c r="M581" i="6"/>
  <c r="M232" i="6"/>
  <c r="M107" i="6"/>
  <c r="P107" i="6" s="1"/>
  <c r="M1266" i="6"/>
  <c r="M21" i="6"/>
  <c r="P21" i="6" s="1"/>
  <c r="M378" i="6"/>
  <c r="M855" i="6"/>
  <c r="M616" i="6"/>
  <c r="M413" i="6"/>
  <c r="M180" i="6"/>
  <c r="O180" i="6" s="1"/>
  <c r="M1276" i="6"/>
  <c r="Q184" i="6"/>
  <c r="N110" i="4"/>
  <c r="N90" i="4"/>
  <c r="N116" i="4"/>
  <c r="N13" i="4"/>
  <c r="N159" i="4"/>
  <c r="N7" i="4"/>
  <c r="O29" i="6"/>
  <c r="N102" i="4"/>
  <c r="M1289" i="6"/>
  <c r="M1292" i="6"/>
  <c r="M682" i="6"/>
  <c r="M1113" i="6"/>
  <c r="M820" i="6"/>
  <c r="M1270" i="6"/>
  <c r="M823" i="6"/>
  <c r="M557" i="6"/>
  <c r="M1131" i="6"/>
  <c r="M555" i="6"/>
  <c r="M930" i="6"/>
  <c r="M231" i="6"/>
  <c r="P231" i="6" s="1"/>
  <c r="M1135" i="6"/>
  <c r="M523" i="6"/>
  <c r="M355" i="6"/>
  <c r="M1072" i="6"/>
  <c r="M209" i="6"/>
  <c r="P209" i="6" s="1"/>
  <c r="M399" i="6"/>
  <c r="M1124" i="6"/>
  <c r="M475" i="6"/>
  <c r="M286" i="6"/>
  <c r="M776" i="6"/>
  <c r="M722" i="6"/>
  <c r="M70" i="6"/>
  <c r="P70" i="6" s="1"/>
  <c r="M878" i="6"/>
  <c r="M119" i="6"/>
  <c r="O119" i="6" s="1"/>
  <c r="M888" i="6"/>
  <c r="M379" i="6"/>
  <c r="M272" i="6"/>
  <c r="M18" i="6"/>
  <c r="O18" i="6" s="1"/>
  <c r="M1196" i="6"/>
  <c r="M191" i="6"/>
  <c r="O191" i="6" s="1"/>
  <c r="M665" i="6"/>
  <c r="M1102" i="6"/>
  <c r="M405" i="6"/>
  <c r="M646" i="6"/>
  <c r="M143" i="6"/>
  <c r="P143" i="6" s="1"/>
  <c r="M109" i="6"/>
  <c r="O109" i="6" s="1"/>
  <c r="M106" i="6"/>
  <c r="O106" i="6" s="1"/>
  <c r="M638" i="6"/>
  <c r="M860" i="6"/>
  <c r="M492" i="6"/>
  <c r="M661" i="6"/>
  <c r="M996" i="6"/>
  <c r="M322" i="6"/>
  <c r="M1258" i="6"/>
  <c r="M1126" i="6"/>
  <c r="M1264" i="6"/>
  <c r="M80" i="6"/>
  <c r="P80" i="6" s="1"/>
  <c r="M1174" i="6"/>
  <c r="M961" i="6"/>
  <c r="M115" i="6"/>
  <c r="P115" i="6" s="1"/>
  <c r="M1095" i="6"/>
  <c r="M88" i="6"/>
  <c r="P88" i="6" s="1"/>
  <c r="M169" i="6"/>
  <c r="O169" i="6" s="1"/>
  <c r="M1302" i="6"/>
  <c r="M345" i="6"/>
  <c r="M852" i="6"/>
  <c r="M836" i="6"/>
  <c r="M1109" i="6"/>
  <c r="M429" i="6"/>
  <c r="M380" i="6"/>
  <c r="M421" i="6"/>
  <c r="M849" i="6"/>
  <c r="M1253" i="6"/>
  <c r="M296" i="6"/>
  <c r="M262" i="6"/>
  <c r="M31" i="6"/>
  <c r="O31" i="6" s="1"/>
  <c r="M781" i="6"/>
  <c r="M432" i="6"/>
  <c r="M898" i="6"/>
  <c r="M182" i="6"/>
  <c r="O182" i="6" s="1"/>
  <c r="M1256" i="6"/>
  <c r="M158" i="6"/>
  <c r="O158" i="6" s="1"/>
  <c r="M375" i="6"/>
  <c r="M1293" i="6"/>
  <c r="M895" i="6"/>
  <c r="Q124" i="6"/>
  <c r="M1254" i="6"/>
  <c r="M719" i="6"/>
  <c r="M905" i="6"/>
  <c r="M1210" i="6"/>
  <c r="M1098" i="6"/>
  <c r="M441" i="6"/>
  <c r="M951" i="6"/>
  <c r="M585" i="6"/>
  <c r="M412" i="6"/>
  <c r="M408" i="6"/>
  <c r="M976" i="6"/>
  <c r="M624" i="6"/>
  <c r="M655" i="6"/>
  <c r="M1059" i="6"/>
  <c r="M235" i="6"/>
  <c r="M1235" i="6"/>
  <c r="M927" i="6"/>
  <c r="M639" i="6"/>
  <c r="M54" i="6"/>
  <c r="O54" i="6" s="1"/>
  <c r="M906" i="6"/>
  <c r="M127" i="6"/>
  <c r="P127" i="6" s="1"/>
  <c r="M904" i="6"/>
  <c r="M411" i="6"/>
  <c r="M277" i="6"/>
  <c r="M826" i="6"/>
  <c r="M496" i="6"/>
  <c r="M1035" i="6"/>
  <c r="M206" i="6"/>
  <c r="O206" i="6" s="1"/>
  <c r="M678" i="6"/>
  <c r="M1151" i="6"/>
  <c r="M707" i="6"/>
  <c r="M499" i="6"/>
  <c r="M742" i="6"/>
  <c r="M1252" i="6"/>
  <c r="M515" i="6"/>
  <c r="M331" i="6"/>
  <c r="M35" i="6"/>
  <c r="P35" i="6" s="1"/>
  <c r="M1178" i="6"/>
  <c r="M833" i="6"/>
  <c r="M1182" i="6"/>
  <c r="M817" i="6"/>
  <c r="M497" i="6"/>
  <c r="M1233" i="6"/>
  <c r="M507" i="6"/>
  <c r="M1286" i="6"/>
  <c r="M825" i="6"/>
  <c r="M983" i="6"/>
  <c r="M470" i="6"/>
  <c r="M1247" i="6"/>
  <c r="M635" i="6"/>
  <c r="M427" i="6"/>
  <c r="M1250" i="6"/>
  <c r="M321" i="6"/>
  <c r="M471" i="6"/>
  <c r="M753" i="6"/>
  <c r="M614" i="6"/>
  <c r="M46" i="6"/>
  <c r="O46" i="6" s="1"/>
  <c r="M978" i="6"/>
  <c r="M91" i="6"/>
  <c r="O91" i="6" s="1"/>
  <c r="M116" i="6"/>
  <c r="O116" i="6" s="1"/>
  <c r="M977" i="6"/>
  <c r="M317" i="6"/>
  <c r="M1097" i="6"/>
  <c r="M689" i="6"/>
  <c r="M1267" i="6"/>
  <c r="M381" i="6"/>
  <c r="M725" i="6"/>
  <c r="M416" i="6"/>
  <c r="M662" i="6"/>
  <c r="M1259" i="6"/>
  <c r="M440" i="6"/>
  <c r="M188" i="6"/>
  <c r="P188" i="6" s="1"/>
  <c r="M1134" i="6"/>
  <c r="M699" i="6"/>
  <c r="M114" i="6"/>
  <c r="O114" i="6" s="1"/>
  <c r="M361" i="6"/>
  <c r="M2" i="6"/>
  <c r="O2" i="6" s="1"/>
  <c r="M731" i="6"/>
  <c r="M424" i="6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M737" i="6"/>
  <c r="N95" i="4"/>
  <c r="N215" i="4"/>
  <c r="N160" i="4"/>
  <c r="N35" i="4"/>
  <c r="N113" i="4"/>
  <c r="N123" i="4"/>
  <c r="M546" i="6"/>
  <c r="M491" i="6"/>
  <c r="N164" i="4"/>
  <c r="N94" i="4"/>
  <c r="N22" i="4"/>
  <c r="Q76" i="6"/>
  <c r="N175" i="4"/>
  <c r="M436" i="6"/>
  <c r="N48" i="4"/>
  <c r="N209" i="4"/>
  <c r="N211" i="4"/>
  <c r="Q212" i="6"/>
  <c r="M950" i="6"/>
  <c r="M572" i="6"/>
  <c r="N36" i="4"/>
  <c r="Q168" i="6"/>
  <c r="N55" i="4"/>
  <c r="M42" i="6"/>
  <c r="P42" i="6" s="1"/>
  <c r="N170" i="4"/>
  <c r="N230" i="4"/>
  <c r="N180" i="4"/>
  <c r="N208" i="4"/>
  <c r="M382" i="6"/>
  <c r="N222" i="4"/>
  <c r="N98" i="4"/>
  <c r="N50" i="4"/>
  <c r="M466" i="6"/>
  <c r="M363" i="6"/>
  <c r="N204" i="4"/>
  <c r="N108" i="4"/>
  <c r="N53" i="4"/>
  <c r="Q216" i="6"/>
  <c r="N20" i="4"/>
  <c r="N162" i="4"/>
  <c r="M738" i="6"/>
  <c r="N117" i="4"/>
  <c r="N197" i="4"/>
  <c r="N193" i="4"/>
  <c r="M569" i="6"/>
  <c r="N84" i="4"/>
  <c r="N73" i="4"/>
  <c r="N46" i="4"/>
  <c r="N130" i="4"/>
  <c r="N223" i="4"/>
  <c r="N126" i="4"/>
  <c r="N135" i="4"/>
  <c r="N154" i="4"/>
  <c r="Q229" i="6"/>
  <c r="Q197" i="6"/>
  <c r="Q37" i="6"/>
  <c r="Q19" i="6"/>
  <c r="Q117" i="6"/>
  <c r="Q144" i="6"/>
  <c r="Q33" i="6"/>
  <c r="Q43" i="6"/>
  <c r="Q131" i="6"/>
  <c r="Q183" i="6"/>
  <c r="Q14" i="6"/>
  <c r="Q59" i="6"/>
  <c r="Q190" i="6"/>
  <c r="Q26" i="6"/>
  <c r="N139" i="4"/>
  <c r="N127" i="4"/>
  <c r="N14" i="4"/>
  <c r="N145" i="4"/>
  <c r="N92" i="4"/>
  <c r="M924" i="6"/>
  <c r="M267" i="6"/>
  <c r="M176" i="6"/>
  <c r="O176" i="6" s="1"/>
  <c r="M459" i="6"/>
  <c r="M1213" i="6"/>
  <c r="N71" i="4"/>
  <c r="N156" i="4"/>
  <c r="Q7" i="6"/>
  <c r="M652" i="6"/>
  <c r="M875" i="6"/>
  <c r="N181" i="4"/>
  <c r="N61" i="4"/>
  <c r="N201" i="4"/>
  <c r="N148" i="4"/>
  <c r="N88" i="4"/>
  <c r="M1020" i="6"/>
  <c r="N105" i="4"/>
  <c r="N125" i="4"/>
  <c r="M1044" i="6"/>
  <c r="Q44" i="6"/>
  <c r="Q75" i="6"/>
  <c r="Q199" i="6"/>
  <c r="Q186" i="6"/>
  <c r="Q142" i="6"/>
  <c r="M123" i="6"/>
  <c r="O123" i="6" s="1"/>
  <c r="M918" i="6"/>
  <c r="M1067" i="6"/>
  <c r="M1154" i="6"/>
  <c r="M745" i="6"/>
  <c r="M664" i="6"/>
  <c r="M1287" i="6"/>
  <c r="M859" i="6"/>
  <c r="M1297" i="6"/>
  <c r="M729" i="6"/>
  <c r="M592" i="6"/>
  <c r="M406" i="6"/>
  <c r="M20" i="6"/>
  <c r="P20" i="6" s="1"/>
  <c r="M809" i="6"/>
  <c r="M282" i="6"/>
  <c r="M1125" i="6"/>
  <c r="M955" i="6"/>
  <c r="M349" i="6"/>
  <c r="M879" i="6"/>
  <c r="M482" i="6"/>
  <c r="M175" i="6"/>
  <c r="O175" i="6" s="1"/>
  <c r="M1202" i="6"/>
  <c r="M202" i="6"/>
  <c r="O202" i="6" s="1"/>
  <c r="M252" i="6"/>
  <c r="M862" i="6"/>
  <c r="M631" i="6"/>
  <c r="M1260" i="6"/>
  <c r="M49" i="6"/>
  <c r="P49" i="6" s="1"/>
  <c r="M278" i="6"/>
  <c r="M994" i="6"/>
  <c r="M5" i="6"/>
  <c r="O5" i="6" s="1"/>
  <c r="M590" i="6"/>
  <c r="M801" i="6"/>
  <c r="M230" i="6"/>
  <c r="P230" i="6" s="1"/>
  <c r="M226" i="6"/>
  <c r="P226" i="6" s="1"/>
  <c r="M1221" i="6"/>
  <c r="M41" i="6"/>
  <c r="P41" i="6" s="1"/>
  <c r="M398" i="6"/>
  <c r="M253" i="6"/>
  <c r="M132" i="6"/>
  <c r="O132" i="6" s="1"/>
  <c r="M586" i="6"/>
  <c r="M1163" i="6"/>
  <c r="M688" i="6"/>
  <c r="M785" i="6"/>
  <c r="M596" i="6"/>
  <c r="M45" i="6"/>
  <c r="P45" i="6" s="1"/>
  <c r="M58" i="6"/>
  <c r="P58" i="6" s="1"/>
  <c r="M430" i="6"/>
  <c r="M1262" i="6"/>
  <c r="M916" i="6"/>
  <c r="M758" i="6"/>
  <c r="M196" i="6"/>
  <c r="O196" i="6" s="1"/>
  <c r="M867" i="6"/>
  <c r="M634" i="6"/>
  <c r="M1265" i="6"/>
  <c r="M65" i="6"/>
  <c r="P65" i="6" s="1"/>
  <c r="M302" i="6"/>
  <c r="M841" i="6"/>
  <c r="M364" i="6"/>
  <c r="M1291" i="6"/>
  <c r="M671" i="6"/>
  <c r="M1170" i="6"/>
  <c r="M24" i="6"/>
  <c r="P24" i="6" s="1"/>
  <c r="M122" i="6"/>
  <c r="P122" i="6" s="1"/>
  <c r="M1133" i="6"/>
  <c r="M79" i="6"/>
  <c r="O79" i="6" s="1"/>
  <c r="M151" i="6"/>
  <c r="O151" i="6" s="1"/>
  <c r="M4" i="6"/>
  <c r="O4" i="6" s="1"/>
  <c r="M1082" i="6"/>
  <c r="M1119" i="6"/>
  <c r="M1216" i="6"/>
  <c r="M971" i="6"/>
  <c r="M605" i="6"/>
  <c r="M1073" i="6"/>
  <c r="M1074" i="6"/>
  <c r="M1093" i="6"/>
  <c r="M953" i="6"/>
  <c r="M377" i="6"/>
  <c r="M847" i="6"/>
  <c r="M505" i="6"/>
  <c r="M348" i="6"/>
  <c r="M260" i="6"/>
  <c r="M938" i="6"/>
  <c r="M354" i="6"/>
  <c r="M1228" i="6"/>
  <c r="M843" i="6"/>
  <c r="M437" i="6"/>
  <c r="M1121" i="6"/>
  <c r="M747" i="6"/>
  <c r="M247" i="6"/>
  <c r="M997" i="6"/>
  <c r="M306" i="6"/>
  <c r="M8" i="6"/>
  <c r="O8" i="6" s="1"/>
  <c r="M757" i="6"/>
  <c r="M365" i="6"/>
  <c r="M1048" i="6"/>
  <c r="M527" i="6"/>
  <c r="M320" i="6"/>
  <c r="M170" i="6"/>
  <c r="O170" i="6" s="1"/>
  <c r="M1086" i="6"/>
  <c r="M351" i="6"/>
  <c r="M987" i="6"/>
  <c r="M118" i="6"/>
  <c r="P118" i="6" s="1"/>
  <c r="M915" i="6"/>
  <c r="M274" i="6"/>
  <c r="M447" i="6"/>
  <c r="M64" i="6"/>
  <c r="P64" i="6" s="1"/>
  <c r="M27" i="6"/>
  <c r="O27" i="6" s="1"/>
  <c r="M285" i="6"/>
  <c r="M674" i="6"/>
  <c r="M932" i="6"/>
  <c r="M438" i="6"/>
  <c r="M1274" i="6"/>
  <c r="M587" i="6"/>
  <c r="M448" i="6"/>
  <c r="M580" i="6"/>
  <c r="M685" i="6"/>
  <c r="M957" i="6"/>
  <c r="M1032" i="6"/>
  <c r="M1054" i="6"/>
  <c r="N29" i="4"/>
  <c r="N189" i="4"/>
  <c r="N68" i="4"/>
  <c r="M168" i="6"/>
  <c r="N153" i="4"/>
  <c r="N41" i="4"/>
  <c r="N27" i="4"/>
  <c r="M332" i="6"/>
  <c r="M76" i="6"/>
  <c r="N217" i="4"/>
  <c r="N142" i="4"/>
  <c r="N76" i="4"/>
  <c r="M594" i="6"/>
  <c r="N187" i="4"/>
  <c r="N30" i="4"/>
  <c r="N10" i="4"/>
  <c r="N78" i="4"/>
  <c r="N101" i="4"/>
  <c r="M1065" i="6"/>
  <c r="M341" i="6"/>
  <c r="M1201" i="6"/>
  <c r="M599" i="6"/>
  <c r="M1281" i="6"/>
  <c r="M445" i="6"/>
  <c r="M32" i="6"/>
  <c r="O32" i="6" s="1"/>
  <c r="M1111" i="6"/>
  <c r="M216" i="6"/>
  <c r="Q42" i="6"/>
  <c r="N185" i="4"/>
  <c r="N37" i="4"/>
  <c r="N157" i="4"/>
  <c r="N177" i="4"/>
  <c r="M567" i="6"/>
  <c r="M779" i="6"/>
  <c r="N133" i="4"/>
  <c r="N140" i="4"/>
  <c r="Q87" i="6"/>
  <c r="M103" i="6"/>
  <c r="P103" i="6" s="1"/>
  <c r="Q174" i="6"/>
  <c r="Q10" i="6"/>
  <c r="Q86" i="6"/>
  <c r="Q204" i="6"/>
  <c r="Q52" i="6"/>
  <c r="M980" i="6"/>
  <c r="M642" i="6"/>
  <c r="M759" i="6"/>
  <c r="M402" i="6"/>
  <c r="M95" i="6"/>
  <c r="P95" i="6" s="1"/>
  <c r="M1014" i="6"/>
  <c r="M98" i="6"/>
  <c r="O98" i="6" s="1"/>
  <c r="M214" i="6"/>
  <c r="P214" i="6" s="1"/>
  <c r="M611" i="6"/>
  <c r="M454" i="6"/>
  <c r="M1084" i="6"/>
  <c r="M600" i="6"/>
  <c r="M246" i="6"/>
  <c r="M772" i="6"/>
  <c r="M36" i="6"/>
  <c r="O36" i="6" s="1"/>
  <c r="M404" i="6"/>
  <c r="M1140" i="6"/>
  <c r="M9" i="6"/>
  <c r="O9" i="6" s="1"/>
  <c r="M34" i="6"/>
  <c r="P34" i="6" s="1"/>
  <c r="M1083" i="6"/>
  <c r="M266" i="6"/>
  <c r="M439" i="6"/>
  <c r="M15" i="6"/>
  <c r="O15" i="6" s="1"/>
  <c r="M224" i="6"/>
  <c r="O224" i="6" s="1"/>
  <c r="M366" i="6"/>
  <c r="M842" i="6"/>
  <c r="M245" i="6"/>
  <c r="M1283" i="6"/>
  <c r="M1016" i="6"/>
  <c r="N218" i="4"/>
  <c r="Q83" i="6"/>
  <c r="M137" i="6"/>
  <c r="P137" i="6" s="1"/>
  <c r="M1052" i="6"/>
  <c r="M310" i="6"/>
  <c r="M700" i="6"/>
  <c r="M240" i="6"/>
  <c r="M1186" i="6"/>
  <c r="M1034" i="6"/>
  <c r="M684" i="6"/>
  <c r="M254" i="6"/>
  <c r="M1122" i="6"/>
  <c r="M1179" i="6"/>
  <c r="M947" i="6"/>
  <c r="M992" i="6"/>
  <c r="M1040" i="6"/>
  <c r="M39" i="6"/>
  <c r="O39" i="6" s="1"/>
  <c r="M708" i="6"/>
  <c r="M530" i="6"/>
  <c r="M234" i="6"/>
  <c r="M552" i="6"/>
  <c r="M498" i="6"/>
  <c r="M672" i="6"/>
  <c r="M549" i="6"/>
  <c r="M134" i="6"/>
  <c r="P134" i="6" s="1"/>
  <c r="M219" i="6"/>
  <c r="P219" i="6" s="1"/>
  <c r="M92" i="6"/>
  <c r="P92" i="6" s="1"/>
  <c r="M1101" i="6"/>
  <c r="M920" i="6"/>
  <c r="M933" i="6"/>
  <c r="M333" i="6"/>
  <c r="M919" i="6"/>
  <c r="M967" i="6"/>
  <c r="M1225" i="6"/>
  <c r="M493" i="6"/>
  <c r="M1299" i="6"/>
  <c r="M830" i="6"/>
  <c r="M946" i="6"/>
  <c r="M736" i="6"/>
  <c r="M51" i="6"/>
  <c r="O51" i="6" s="1"/>
  <c r="M1096" i="6"/>
  <c r="M205" i="6"/>
  <c r="O205" i="6" s="1"/>
  <c r="M490" i="6"/>
  <c r="M292" i="6"/>
  <c r="M752" i="6"/>
  <c r="M173" i="6"/>
  <c r="P173" i="6" s="1"/>
  <c r="M431" i="6"/>
  <c r="M880" i="6"/>
  <c r="M828" i="6"/>
  <c r="M979" i="6"/>
  <c r="M1166" i="6"/>
  <c r="M304" i="6"/>
  <c r="M942" i="6"/>
  <c r="M1143" i="6"/>
  <c r="M96" i="6"/>
  <c r="P96" i="6" s="1"/>
  <c r="N100" i="4"/>
  <c r="N31" i="4"/>
  <c r="N118" i="4"/>
  <c r="M316" i="6"/>
  <c r="N52" i="4"/>
  <c r="M1242" i="6"/>
  <c r="Q71" i="6"/>
  <c r="N151" i="4"/>
  <c r="N26" i="4"/>
  <c r="M650" i="6"/>
  <c r="Q6" i="6"/>
  <c r="Q189" i="6"/>
  <c r="M1000" i="6"/>
  <c r="M55" i="6"/>
  <c r="P55" i="6" s="1"/>
  <c r="M656" i="6"/>
  <c r="M1263" i="6"/>
  <c r="M623" i="6"/>
  <c r="M243" i="6"/>
  <c r="M181" i="6"/>
  <c r="O181" i="6" s="1"/>
  <c r="M1176" i="6"/>
  <c r="M289" i="6"/>
  <c r="M1189" i="6"/>
  <c r="M222" i="6"/>
  <c r="P222" i="6" s="1"/>
  <c r="M394" i="6"/>
  <c r="M1069" i="6"/>
  <c r="M1039" i="6"/>
  <c r="M337" i="6"/>
  <c r="M568" i="6"/>
  <c r="M135" i="6"/>
  <c r="P135" i="6" s="1"/>
  <c r="M714" i="6"/>
  <c r="M1026" i="6"/>
  <c r="M993" i="6"/>
  <c r="M551" i="6"/>
  <c r="M984" i="6"/>
  <c r="M531" i="6"/>
  <c r="M1075" i="6"/>
  <c r="M1041" i="6"/>
  <c r="M299" i="6"/>
  <c r="M958" i="6"/>
  <c r="M1060" i="6"/>
  <c r="M257" i="6"/>
  <c r="M949" i="6"/>
  <c r="M1146" i="6"/>
  <c r="M1167" i="6"/>
  <c r="M760" i="6"/>
  <c r="M962" i="6"/>
  <c r="M1284" i="6"/>
  <c r="M1091" i="6"/>
  <c r="M185" i="6"/>
  <c r="P185" i="6" s="1"/>
  <c r="M908" i="6"/>
  <c r="M417" i="6"/>
  <c r="M461" i="6"/>
  <c r="M148" i="6"/>
  <c r="P148" i="6" s="1"/>
  <c r="M727" i="6"/>
  <c r="M177" i="6"/>
  <c r="O177" i="6" s="1"/>
  <c r="M1246" i="6"/>
  <c r="M676" i="6"/>
  <c r="M536" i="6"/>
  <c r="M1022" i="6"/>
  <c r="M538" i="6"/>
  <c r="M746" i="6"/>
  <c r="M1169" i="6"/>
  <c r="M724" i="6"/>
  <c r="M164" i="6"/>
  <c r="P164" i="6" s="1"/>
  <c r="M679" i="6"/>
  <c r="M626" i="6"/>
  <c r="M40" i="6"/>
  <c r="P40" i="6" s="1"/>
  <c r="M717" i="6"/>
  <c r="M390" i="6"/>
  <c r="M537" i="6"/>
  <c r="M1298" i="6"/>
  <c r="M1229" i="6"/>
  <c r="M547" i="6"/>
  <c r="M548" i="6"/>
  <c r="M1042" i="6"/>
  <c r="M1049" i="6"/>
  <c r="M609" i="6"/>
  <c r="M227" i="6"/>
  <c r="O227" i="6" s="1"/>
  <c r="M774" i="6"/>
  <c r="M694" i="6"/>
  <c r="M376" i="6"/>
  <c r="M716" i="6"/>
  <c r="M591" i="6"/>
  <c r="M926" i="6"/>
  <c r="M1009" i="6"/>
  <c r="M121" i="6"/>
  <c r="P121" i="6" s="1"/>
  <c r="M480" i="6"/>
  <c r="M925" i="6"/>
  <c r="M824" i="6"/>
  <c r="M1123" i="6"/>
  <c r="M90" i="6"/>
  <c r="O90" i="6" s="1"/>
  <c r="M446" i="6"/>
  <c r="M146" i="6"/>
  <c r="P146" i="6" s="1"/>
  <c r="M347" i="6"/>
  <c r="M156" i="6"/>
  <c r="P156" i="6" s="1"/>
  <c r="M1088" i="6"/>
  <c r="M1200" i="6"/>
  <c r="M1282" i="6"/>
  <c r="M632" i="6"/>
  <c r="M241" i="6"/>
  <c r="M1245" i="6"/>
  <c r="M1207" i="6"/>
  <c r="M1220" i="6"/>
  <c r="M912" i="6"/>
  <c r="M157" i="6"/>
  <c r="P157" i="6" s="1"/>
  <c r="M1144" i="6"/>
  <c r="M276" i="6"/>
  <c r="M335" i="6"/>
  <c r="M201" i="6"/>
  <c r="O201" i="6" s="1"/>
  <c r="M1224" i="6"/>
  <c r="M484" i="6"/>
  <c r="M871" i="6"/>
  <c r="M195" i="6"/>
  <c r="P195" i="6" s="1"/>
  <c r="M1223" i="6"/>
  <c r="M589" i="6"/>
  <c r="M601" i="6"/>
  <c r="M334" i="6"/>
  <c r="M458" i="6"/>
  <c r="M309" i="6"/>
  <c r="N107" i="4"/>
  <c r="O71" i="6"/>
  <c r="P71" i="6"/>
  <c r="M265" i="6"/>
  <c r="Q120" i="6"/>
  <c r="Q163" i="6"/>
  <c r="Q179" i="6"/>
  <c r="Q30" i="6"/>
  <c r="Q219" i="6"/>
  <c r="Q102" i="6"/>
  <c r="Q214" i="6"/>
  <c r="Q36" i="6"/>
  <c r="Q34" i="6"/>
  <c r="Q137" i="6"/>
  <c r="Q205" i="6"/>
  <c r="Q231" i="6"/>
  <c r="Q209" i="6"/>
  <c r="Q70" i="6"/>
  <c r="Q119" i="6"/>
  <c r="Q18" i="6"/>
  <c r="Q191" i="6"/>
  <c r="Q143" i="6"/>
  <c r="Q109" i="6"/>
  <c r="Q106" i="6"/>
  <c r="Q80" i="6"/>
  <c r="Q115" i="6"/>
  <c r="Q88" i="6"/>
  <c r="Q169" i="6"/>
  <c r="Q31" i="6"/>
  <c r="Q182" i="6"/>
  <c r="M1013" i="6"/>
  <c r="M705" i="6"/>
  <c r="M1239" i="6"/>
  <c r="M832" i="6"/>
  <c r="M1003" i="6"/>
  <c r="M941" i="6"/>
  <c r="M773" i="6"/>
  <c r="M249" i="6"/>
  <c r="M1087" i="6"/>
  <c r="M494" i="6"/>
  <c r="M566" i="6"/>
  <c r="M189" i="6"/>
  <c r="M831" i="6"/>
  <c r="M273" i="6"/>
  <c r="M1294" i="6"/>
  <c r="M1153" i="6"/>
  <c r="M771" i="6"/>
  <c r="M1132" i="6"/>
  <c r="M956" i="6"/>
  <c r="M350" i="6"/>
  <c r="M1198" i="6"/>
  <c r="M518" i="6"/>
  <c r="M174" i="6"/>
  <c r="M975" i="6"/>
  <c r="M75" i="6"/>
  <c r="M10" i="6"/>
  <c r="M835" i="6"/>
  <c r="M199" i="6"/>
  <c r="M921" i="6"/>
  <c r="M554" i="6"/>
  <c r="M576" i="6"/>
  <c r="M1005" i="6"/>
  <c r="M479" i="6"/>
  <c r="M1066" i="6"/>
  <c r="M86" i="6"/>
  <c r="M815" i="6"/>
  <c r="M481" i="6"/>
  <c r="M610" i="6"/>
  <c r="M501" i="6"/>
  <c r="M186" i="6"/>
  <c r="M1148" i="6"/>
  <c r="M87" i="6"/>
  <c r="M570" i="6"/>
  <c r="M204" i="6"/>
  <c r="M244" i="6"/>
  <c r="M511" i="6"/>
  <c r="M258" i="6"/>
  <c r="M463" i="6"/>
  <c r="M477" i="6"/>
  <c r="M1129" i="6"/>
  <c r="M680" i="6"/>
  <c r="M457" i="6"/>
  <c r="M328" i="6"/>
  <c r="M653" i="6"/>
  <c r="M142" i="6"/>
  <c r="M621" i="6"/>
  <c r="M52" i="6"/>
  <c r="M804" i="6"/>
  <c r="M869" i="6"/>
  <c r="M1150" i="6"/>
  <c r="M907" i="6"/>
  <c r="M556" i="6"/>
  <c r="M966" i="6"/>
  <c r="M619" i="6"/>
  <c r="M1222" i="6"/>
  <c r="M1137" i="6"/>
  <c r="M818" i="6"/>
  <c r="M1171" i="6"/>
  <c r="M706" i="6"/>
  <c r="M560" i="6"/>
  <c r="Q103" i="6"/>
  <c r="M1104" i="6"/>
  <c r="M644" i="6"/>
  <c r="M203" i="6"/>
  <c r="M1194" i="6"/>
  <c r="M17" i="6"/>
  <c r="M255" i="6"/>
  <c r="M789" i="6"/>
  <c r="M307" i="6"/>
  <c r="M152" i="6"/>
  <c r="M1011" i="6"/>
  <c r="M512" i="6"/>
  <c r="M768" i="6"/>
  <c r="M735" i="6"/>
  <c r="M1251" i="6"/>
  <c r="M666" i="6"/>
  <c r="M1243" i="6"/>
  <c r="M1209" i="6"/>
  <c r="M237" i="6"/>
  <c r="M1309" i="6"/>
  <c r="M1268" i="6"/>
  <c r="M1218" i="6"/>
  <c r="M1037" i="6"/>
  <c r="M583" i="6"/>
  <c r="M528" i="6"/>
  <c r="M1120" i="6"/>
  <c r="M1232" i="6"/>
  <c r="M1079" i="6"/>
  <c r="M571" i="6"/>
  <c r="M367" i="6"/>
  <c r="M159" i="6"/>
  <c r="M900" i="6"/>
  <c r="M268" i="6"/>
  <c r="M1145" i="6"/>
  <c r="M329" i="6"/>
  <c r="M532" i="6"/>
  <c r="M483" i="6"/>
  <c r="M550" i="6"/>
  <c r="M62" i="6"/>
  <c r="M965" i="6"/>
  <c r="M401" i="6"/>
  <c r="M129" i="6"/>
  <c r="M112" i="6"/>
  <c r="M914" i="6"/>
  <c r="M603" i="6"/>
  <c r="M885" i="6"/>
  <c r="M872" i="6"/>
  <c r="M696" i="6"/>
  <c r="M526" i="6"/>
  <c r="M886" i="6"/>
  <c r="M1023" i="6"/>
  <c r="M154" i="6"/>
  <c r="M1162" i="6"/>
  <c r="M220" i="6"/>
  <c r="M356" i="6"/>
  <c r="M1002" i="6"/>
  <c r="M315" i="6"/>
  <c r="M988" i="6"/>
  <c r="M60" i="6"/>
  <c r="M63" i="6"/>
  <c r="M850" i="6"/>
  <c r="M970" i="6"/>
  <c r="M936" i="6"/>
  <c r="M305" i="6"/>
  <c r="M1206" i="6"/>
  <c r="Q140" i="6"/>
  <c r="Q161" i="6"/>
  <c r="Q158" i="6"/>
  <c r="Q54" i="6"/>
  <c r="Q127" i="6"/>
  <c r="Q206" i="6"/>
  <c r="Q35" i="6"/>
  <c r="Q46" i="6"/>
  <c r="Q91" i="6"/>
  <c r="Q116" i="6"/>
  <c r="Q188" i="6"/>
  <c r="Q114" i="6"/>
  <c r="Q2" i="6"/>
  <c r="Q32" i="6"/>
  <c r="Q147" i="6"/>
  <c r="Q166" i="6"/>
  <c r="M1070" i="6"/>
  <c r="M985" i="6"/>
  <c r="M270" i="6"/>
  <c r="M358" i="6"/>
  <c r="M229" i="6"/>
  <c r="M1215" i="6"/>
  <c r="M764" i="6"/>
  <c r="M520" i="6"/>
  <c r="M1280" i="6"/>
  <c r="M1062" i="6"/>
  <c r="M806" i="6"/>
  <c r="M1161" i="6"/>
  <c r="M407" i="6"/>
  <c r="M428" i="6"/>
  <c r="M197" i="6"/>
  <c r="M37" i="6"/>
  <c r="M1244" i="6"/>
  <c r="M728" i="6"/>
  <c r="M838" i="6"/>
  <c r="M1164" i="6"/>
  <c r="M787" i="6"/>
  <c r="M1236" i="6"/>
  <c r="M857" i="6"/>
  <c r="M529" i="6"/>
  <c r="M1139" i="6"/>
  <c r="M903" i="6"/>
  <c r="M19" i="6"/>
  <c r="M294" i="6"/>
  <c r="M990" i="6"/>
  <c r="M889" i="6"/>
  <c r="M754" i="6"/>
  <c r="M761" i="6"/>
  <c r="M622" i="6"/>
  <c r="M1248" i="6"/>
  <c r="M645" i="6"/>
  <c r="M802" i="6"/>
  <c r="M1231" i="6"/>
  <c r="M385" i="6"/>
  <c r="M117" i="6"/>
  <c r="M513" i="6"/>
  <c r="M858" i="6"/>
  <c r="M323" i="6"/>
  <c r="M144" i="6"/>
  <c r="M814" i="6"/>
  <c r="M33" i="6"/>
  <c r="M597" i="6"/>
  <c r="M839" i="6"/>
  <c r="M894" i="6"/>
  <c r="M1027" i="6"/>
  <c r="M861" i="6"/>
  <c r="M464" i="6"/>
  <c r="M887" i="6"/>
  <c r="M525" i="6"/>
  <c r="M637" i="6"/>
  <c r="M510" i="6"/>
  <c r="M43" i="6"/>
  <c r="M1107" i="6"/>
  <c r="M721" i="6"/>
  <c r="M807" i="6"/>
  <c r="M1050" i="6"/>
  <c r="M890" i="6"/>
  <c r="M397" i="6"/>
  <c r="M131" i="6"/>
  <c r="M183" i="6"/>
  <c r="M14" i="6"/>
  <c r="M974" i="6"/>
  <c r="M633" i="6"/>
  <c r="M1255" i="6"/>
  <c r="M1138" i="6"/>
  <c r="M300" i="6"/>
  <c r="M1141" i="6"/>
  <c r="M945" i="6"/>
  <c r="M702" i="6"/>
  <c r="M1108" i="6"/>
  <c r="M500" i="6"/>
  <c r="M1278" i="6"/>
  <c r="M59" i="6"/>
  <c r="M395" i="6"/>
  <c r="M190" i="6"/>
  <c r="M715" i="6"/>
  <c r="M687" i="6"/>
  <c r="M853" i="6"/>
  <c r="M370" i="6"/>
  <c r="M1056" i="6"/>
  <c r="M373" i="6"/>
  <c r="M1019" i="6"/>
  <c r="M451" i="6"/>
  <c r="M455" i="6"/>
  <c r="M837" i="6"/>
  <c r="M1053" i="6"/>
  <c r="M487" i="6"/>
  <c r="M368" i="6"/>
  <c r="M26" i="6"/>
  <c r="Q194" i="6"/>
  <c r="Q81" i="6"/>
  <c r="Q160" i="6"/>
  <c r="Q97" i="6"/>
  <c r="Q136" i="6"/>
  <c r="Q108" i="6"/>
  <c r="Q101" i="6"/>
  <c r="Q25" i="6"/>
  <c r="Q56" i="6"/>
  <c r="Q153" i="6"/>
  <c r="Q66" i="6"/>
  <c r="Q162" i="6"/>
  <c r="Q141" i="6"/>
  <c r="Q192" i="6"/>
  <c r="Q133" i="6"/>
  <c r="Q110" i="6"/>
  <c r="Q145" i="6"/>
  <c r="Q61" i="6"/>
  <c r="Q207" i="6"/>
  <c r="Q85" i="6"/>
  <c r="Q111" i="6"/>
  <c r="Q213" i="6"/>
  <c r="Q217" i="6"/>
  <c r="Q130" i="6"/>
  <c r="Q94" i="6"/>
  <c r="Q187" i="6"/>
  <c r="Q48" i="6"/>
  <c r="Q150" i="6"/>
  <c r="Q93" i="6"/>
  <c r="Q113" i="6"/>
  <c r="Q211" i="6"/>
  <c r="Q126" i="6"/>
  <c r="Q155" i="6"/>
  <c r="Q68" i="6"/>
  <c r="Q193" i="6"/>
  <c r="Q53" i="6"/>
  <c r="Q107" i="6"/>
  <c r="Q21" i="6"/>
  <c r="Q180" i="6"/>
  <c r="Q173" i="6"/>
  <c r="Q96" i="6"/>
  <c r="Q82" i="6"/>
  <c r="Q78" i="6"/>
  <c r="Q210" i="6"/>
  <c r="Q95" i="6"/>
  <c r="Q9" i="6"/>
  <c r="Q15" i="6"/>
  <c r="Q67" i="6"/>
  <c r="Q134" i="6"/>
  <c r="Q51" i="6"/>
  <c r="M575" i="6"/>
  <c r="M415" i="6"/>
  <c r="M212" i="6"/>
  <c r="M1116" i="6"/>
  <c r="M124" i="6"/>
  <c r="M545" i="6"/>
  <c r="M250" i="6"/>
  <c r="M775" i="6"/>
  <c r="M1017" i="6"/>
  <c r="M739" i="6"/>
  <c r="M765" i="6"/>
  <c r="M200" i="6"/>
  <c r="M788" i="6"/>
  <c r="M410" i="6"/>
  <c r="M796" i="6"/>
  <c r="M311" i="6"/>
  <c r="M178" i="6"/>
  <c r="M84" i="6"/>
  <c r="M506" i="6"/>
  <c r="M608" i="6"/>
  <c r="M344" i="6"/>
  <c r="M544" i="6"/>
  <c r="M683" i="6"/>
  <c r="M778" i="6"/>
  <c r="M663" i="6"/>
  <c r="Q167" i="6"/>
  <c r="Q105" i="6"/>
  <c r="Q13" i="6"/>
  <c r="Q176" i="6"/>
  <c r="Q55" i="6"/>
  <c r="Q181" i="6"/>
  <c r="Q222" i="6"/>
  <c r="Q135" i="6"/>
  <c r="Q185" i="6"/>
  <c r="Q148" i="6"/>
  <c r="Q177" i="6"/>
  <c r="Q164" i="6"/>
  <c r="Q40" i="6"/>
  <c r="Q227" i="6"/>
  <c r="Q121" i="6"/>
  <c r="Q90" i="6"/>
  <c r="Q146" i="6"/>
  <c r="Q156" i="6"/>
  <c r="Q157" i="6"/>
  <c r="Q201" i="6"/>
  <c r="Q195" i="6"/>
  <c r="Q149" i="6"/>
  <c r="Q57" i="6"/>
  <c r="Q223" i="6"/>
  <c r="Q215" i="6"/>
  <c r="Q218" i="6"/>
  <c r="Q98" i="6"/>
  <c r="Q224" i="6"/>
  <c r="Q39" i="6"/>
  <c r="Q92" i="6"/>
  <c r="Q123" i="6"/>
  <c r="Q20" i="6"/>
  <c r="Q175" i="6"/>
  <c r="Q202" i="6"/>
  <c r="Q49" i="6"/>
  <c r="Q5" i="6"/>
  <c r="Q230" i="6"/>
  <c r="Q226" i="6"/>
  <c r="Q41" i="6"/>
  <c r="Q132" i="6"/>
  <c r="Q45" i="6"/>
  <c r="Q58" i="6"/>
  <c r="M1296" i="6"/>
  <c r="M792" i="6"/>
  <c r="M1018" i="6"/>
  <c r="M1301" i="6"/>
  <c r="M986" i="6"/>
  <c r="M1304" i="6"/>
  <c r="M935" i="6"/>
  <c r="M593" i="6"/>
  <c r="M1100" i="6"/>
  <c r="M1090" i="6"/>
  <c r="M83" i="6"/>
  <c r="M44" i="6"/>
  <c r="M1099" i="6"/>
  <c r="M810" i="6"/>
  <c r="M340" i="6"/>
  <c r="M881" i="6"/>
  <c r="M844" i="6"/>
  <c r="M1183" i="6"/>
  <c r="M868" i="6"/>
  <c r="M372" i="6"/>
  <c r="M280" i="6"/>
  <c r="M612" i="6"/>
  <c r="M710" i="6"/>
  <c r="M989" i="6"/>
  <c r="M298" i="6"/>
  <c r="M6" i="6"/>
  <c r="M741" i="6"/>
  <c r="M325" i="6"/>
  <c r="M1188" i="6"/>
  <c r="M326" i="6"/>
  <c r="M748" i="6"/>
  <c r="M301" i="6"/>
  <c r="M251" i="6"/>
  <c r="M816" i="6"/>
  <c r="M69" i="6"/>
  <c r="M308" i="6"/>
  <c r="M893" i="6"/>
  <c r="M1058" i="6"/>
  <c r="M16" i="6"/>
  <c r="M854" i="6"/>
  <c r="M100" i="6"/>
  <c r="M171" i="6"/>
  <c r="M690" i="6"/>
  <c r="M346" i="6"/>
  <c r="M343" i="6"/>
  <c r="M22" i="6"/>
  <c r="M77" i="6"/>
  <c r="M139" i="6"/>
  <c r="M73" i="6"/>
  <c r="M504" i="6"/>
  <c r="M598" i="6"/>
  <c r="M47" i="6"/>
  <c r="M606" i="6"/>
  <c r="M1030" i="6"/>
  <c r="M74" i="6"/>
  <c r="M208" i="6"/>
  <c r="M50" i="6"/>
  <c r="M318" i="6"/>
  <c r="M640" i="6"/>
  <c r="M449" i="6"/>
  <c r="M1303" i="6"/>
  <c r="M756" i="6"/>
  <c r="M1277" i="6"/>
  <c r="M1226" i="6"/>
  <c r="M473" i="6"/>
  <c r="M1064" i="6"/>
  <c r="M628" i="6"/>
  <c r="M1306" i="6"/>
  <c r="M1015" i="6"/>
  <c r="M386" i="6"/>
  <c r="M763" i="6"/>
  <c r="M11" i="6"/>
  <c r="M1180" i="6"/>
  <c r="M138" i="6"/>
  <c r="M1061" i="6"/>
  <c r="M750" i="6"/>
  <c r="M602" i="6"/>
  <c r="M1057" i="6"/>
  <c r="M314" i="6"/>
  <c r="M23" i="6"/>
  <c r="M865" i="6"/>
  <c r="M396" i="6"/>
  <c r="M1313" i="6"/>
  <c r="M562" i="6"/>
  <c r="M104" i="6"/>
  <c r="M911" i="6"/>
  <c r="M99" i="6"/>
  <c r="M563" i="6"/>
  <c r="M228" i="6"/>
  <c r="M1257" i="6"/>
  <c r="M667" i="6"/>
  <c r="M819" i="6"/>
  <c r="M766" i="6"/>
  <c r="M467" i="6"/>
  <c r="M89" i="6"/>
  <c r="M460" i="6"/>
  <c r="M360" i="6"/>
  <c r="M559" i="6"/>
  <c r="M38" i="6"/>
  <c r="M829" i="6"/>
  <c r="M659" i="6"/>
  <c r="M762" i="6"/>
  <c r="M923" i="6"/>
  <c r="M409" i="6"/>
  <c r="M784" i="6"/>
  <c r="M1295" i="6"/>
  <c r="M564" i="6"/>
  <c r="M425" i="6"/>
  <c r="M233" i="6"/>
  <c r="M165" i="6"/>
  <c r="M12" i="6"/>
  <c r="M3" i="6"/>
  <c r="M1230" i="6"/>
  <c r="M221" i="6"/>
  <c r="M1071" i="6"/>
  <c r="M863" i="6"/>
  <c r="M1078" i="6"/>
  <c r="M1103" i="6"/>
  <c r="M519" i="6"/>
  <c r="M797" i="6"/>
  <c r="M767" i="6"/>
  <c r="M704" i="6"/>
  <c r="M419" i="6"/>
  <c r="M795" i="6"/>
  <c r="M28" i="6"/>
  <c r="M125" i="6"/>
  <c r="M1080" i="6"/>
  <c r="M391" i="6"/>
  <c r="M225" i="6"/>
  <c r="M1008" i="6"/>
  <c r="M128" i="6"/>
  <c r="M279" i="6"/>
  <c r="M1195" i="6"/>
  <c r="M713" i="6"/>
  <c r="M959" i="6"/>
  <c r="M474" i="6"/>
  <c r="M673" i="6"/>
  <c r="Q72" i="6"/>
  <c r="Q172" i="6"/>
  <c r="Q196" i="6"/>
  <c r="Q65" i="6"/>
  <c r="Q24" i="6"/>
  <c r="Q122" i="6"/>
  <c r="Q79" i="6"/>
  <c r="Q151" i="6"/>
  <c r="Q4" i="6"/>
  <c r="Q8" i="6"/>
  <c r="Q170" i="6"/>
  <c r="Q118" i="6"/>
  <c r="Q64" i="6"/>
  <c r="Q27" i="6"/>
  <c r="T8" i="4" l="1"/>
  <c r="T5" i="4"/>
  <c r="T6" i="4" s="1"/>
  <c r="V4" i="6"/>
  <c r="P67" i="6"/>
  <c r="P110" i="6"/>
  <c r="P166" i="6"/>
  <c r="O192" i="6"/>
  <c r="V3" i="6"/>
  <c r="O56" i="6"/>
  <c r="P111" i="6"/>
  <c r="O82" i="6"/>
  <c r="O866" i="6"/>
  <c r="P1295" i="6"/>
  <c r="O1295" i="6"/>
  <c r="P792" i="6"/>
  <c r="O792" i="6"/>
  <c r="P796" i="6"/>
  <c r="O796" i="6"/>
  <c r="P1141" i="6"/>
  <c r="O1141" i="6"/>
  <c r="P764" i="6"/>
  <c r="O764" i="6"/>
  <c r="P936" i="6"/>
  <c r="O936" i="6"/>
  <c r="P255" i="6"/>
  <c r="O255" i="6"/>
  <c r="P244" i="6"/>
  <c r="O244" i="6"/>
  <c r="P1198" i="6"/>
  <c r="O1198" i="6"/>
  <c r="P335" i="6"/>
  <c r="O335" i="6"/>
  <c r="P717" i="6"/>
  <c r="O717" i="6"/>
  <c r="P1167" i="6"/>
  <c r="O1167" i="6"/>
  <c r="P448" i="6"/>
  <c r="O448" i="6"/>
  <c r="P688" i="6"/>
  <c r="O688" i="6"/>
  <c r="P1260" i="6"/>
  <c r="O1260" i="6"/>
  <c r="P592" i="6"/>
  <c r="O592" i="6"/>
  <c r="P950" i="6"/>
  <c r="O950" i="6"/>
  <c r="P499" i="6"/>
  <c r="O499" i="6"/>
  <c r="P784" i="6"/>
  <c r="O784" i="6"/>
  <c r="P1180" i="6"/>
  <c r="O1180" i="6"/>
  <c r="P298" i="6"/>
  <c r="O298" i="6"/>
  <c r="P844" i="6"/>
  <c r="O844" i="6"/>
  <c r="P545" i="6"/>
  <c r="O545" i="6"/>
  <c r="P1019" i="6"/>
  <c r="O1019" i="6"/>
  <c r="P397" i="6"/>
  <c r="O397" i="6"/>
  <c r="P889" i="6"/>
  <c r="O889" i="6"/>
  <c r="P367" i="6"/>
  <c r="O367" i="6"/>
  <c r="P1195" i="6"/>
  <c r="O1195" i="6"/>
  <c r="P1078" i="6"/>
  <c r="O1078" i="6"/>
  <c r="P233" i="6"/>
  <c r="O233" i="6"/>
  <c r="P659" i="6"/>
  <c r="O659" i="6"/>
  <c r="P766" i="6"/>
  <c r="O766" i="6"/>
  <c r="P602" i="6"/>
  <c r="O602" i="6"/>
  <c r="P1015" i="6"/>
  <c r="O1015" i="6"/>
  <c r="P1303" i="6"/>
  <c r="O1303" i="6"/>
  <c r="P606" i="6"/>
  <c r="O606" i="6"/>
  <c r="P893" i="6"/>
  <c r="O893" i="6"/>
  <c r="P1188" i="6"/>
  <c r="O1188" i="6"/>
  <c r="P280" i="6"/>
  <c r="O280" i="6"/>
  <c r="P1099" i="6"/>
  <c r="O1099" i="6"/>
  <c r="P739" i="6"/>
  <c r="O739" i="6"/>
  <c r="P1053" i="6"/>
  <c r="O1053" i="6"/>
  <c r="P853" i="6"/>
  <c r="O853" i="6"/>
  <c r="P974" i="6"/>
  <c r="O974" i="6"/>
  <c r="P721" i="6"/>
  <c r="O721" i="6"/>
  <c r="P323" i="6"/>
  <c r="O323" i="6"/>
  <c r="P1248" i="6"/>
  <c r="O1248" i="6"/>
  <c r="P728" i="6"/>
  <c r="O728" i="6"/>
  <c r="P1062" i="6"/>
  <c r="O1062" i="6"/>
  <c r="P988" i="6"/>
  <c r="O988" i="6"/>
  <c r="P886" i="6"/>
  <c r="O886" i="6"/>
  <c r="P1145" i="6"/>
  <c r="O1145" i="6"/>
  <c r="P1120" i="6"/>
  <c r="O1120" i="6"/>
  <c r="P1104" i="6"/>
  <c r="O1104" i="6"/>
  <c r="P621" i="6"/>
  <c r="O621" i="6"/>
  <c r="P463" i="6"/>
  <c r="O463" i="6"/>
  <c r="P1005" i="6"/>
  <c r="O1005" i="6"/>
  <c r="P975" i="6"/>
  <c r="O975" i="6"/>
  <c r="P249" i="6"/>
  <c r="O249" i="6"/>
  <c r="P309" i="6"/>
  <c r="O309" i="6"/>
  <c r="P484" i="6"/>
  <c r="O484" i="6"/>
  <c r="P1220" i="6"/>
  <c r="O1220" i="6"/>
  <c r="P480" i="6"/>
  <c r="O480" i="6"/>
  <c r="P774" i="6"/>
  <c r="O774" i="6"/>
  <c r="P1298" i="6"/>
  <c r="O1298" i="6"/>
  <c r="P724" i="6"/>
  <c r="O724" i="6"/>
  <c r="P1284" i="6"/>
  <c r="O1284" i="6"/>
  <c r="P958" i="6"/>
  <c r="O958" i="6"/>
  <c r="P656" i="6"/>
  <c r="O656" i="6"/>
  <c r="P946" i="6"/>
  <c r="O946" i="6"/>
  <c r="P933" i="6"/>
  <c r="O933" i="6"/>
  <c r="P498" i="6"/>
  <c r="O498" i="6"/>
  <c r="P947" i="6"/>
  <c r="O947" i="6"/>
  <c r="P700" i="6"/>
  <c r="O700" i="6"/>
  <c r="P245" i="6"/>
  <c r="O245" i="6"/>
  <c r="P1084" i="6"/>
  <c r="O1084" i="6"/>
  <c r="P759" i="6"/>
  <c r="O759" i="6"/>
  <c r="P599" i="6"/>
  <c r="O599" i="6"/>
  <c r="P957" i="6"/>
  <c r="O957" i="6"/>
  <c r="P674" i="6"/>
  <c r="O674" i="6"/>
  <c r="P757" i="6"/>
  <c r="O757" i="6"/>
  <c r="P843" i="6"/>
  <c r="O843" i="6"/>
  <c r="P377" i="6"/>
  <c r="O377" i="6"/>
  <c r="P1119" i="6"/>
  <c r="O1119" i="6"/>
  <c r="P1170" i="6"/>
  <c r="O1170" i="6"/>
  <c r="P634" i="6"/>
  <c r="O634" i="6"/>
  <c r="P398" i="6"/>
  <c r="O398" i="6"/>
  <c r="P994" i="6"/>
  <c r="O994" i="6"/>
  <c r="P1202" i="6"/>
  <c r="O1202" i="6"/>
  <c r="P809" i="6"/>
  <c r="O809" i="6"/>
  <c r="P664" i="6"/>
  <c r="O664" i="6"/>
  <c r="P279" i="6"/>
  <c r="O279" i="6"/>
  <c r="P795" i="6"/>
  <c r="O795" i="6"/>
  <c r="P863" i="6"/>
  <c r="O863" i="6"/>
  <c r="P425" i="6"/>
  <c r="O425" i="6"/>
  <c r="P829" i="6"/>
  <c r="O829" i="6"/>
  <c r="P819" i="6"/>
  <c r="O819" i="6"/>
  <c r="P562" i="6"/>
  <c r="O562" i="6"/>
  <c r="P750" i="6"/>
  <c r="O750" i="6"/>
  <c r="P1306" i="6"/>
  <c r="O1306" i="6"/>
  <c r="P449" i="6"/>
  <c r="O449" i="6"/>
  <c r="P346" i="6"/>
  <c r="O346" i="6"/>
  <c r="P308" i="6"/>
  <c r="O308" i="6"/>
  <c r="P325" i="6"/>
  <c r="O325" i="6"/>
  <c r="P372" i="6"/>
  <c r="O372" i="6"/>
  <c r="P1301" i="6"/>
  <c r="O1301" i="6"/>
  <c r="P663" i="6"/>
  <c r="O663" i="6"/>
  <c r="P1017" i="6"/>
  <c r="O1017" i="6"/>
  <c r="P575" i="6"/>
  <c r="O575" i="6"/>
  <c r="P837" i="6"/>
  <c r="O837" i="6"/>
  <c r="P687" i="6"/>
  <c r="O687" i="6"/>
  <c r="P702" i="6"/>
  <c r="O702" i="6"/>
  <c r="P1107" i="6"/>
  <c r="O1107" i="6"/>
  <c r="P1027" i="6"/>
  <c r="O1027" i="6"/>
  <c r="P858" i="6"/>
  <c r="O858" i="6"/>
  <c r="P622" i="6"/>
  <c r="O622" i="6"/>
  <c r="P1139" i="6"/>
  <c r="O1139" i="6"/>
  <c r="P1244" i="6"/>
  <c r="O1244" i="6"/>
  <c r="P1280" i="6"/>
  <c r="O1280" i="6"/>
  <c r="P1070" i="6"/>
  <c r="O1070" i="6"/>
  <c r="P1206" i="6"/>
  <c r="O1206" i="6"/>
  <c r="P315" i="6"/>
  <c r="O315" i="6"/>
  <c r="P526" i="6"/>
  <c r="O526" i="6"/>
  <c r="P401" i="6"/>
  <c r="O401" i="6"/>
  <c r="P268" i="6"/>
  <c r="O268" i="6"/>
  <c r="P528" i="6"/>
  <c r="O528" i="6"/>
  <c r="P1243" i="6"/>
  <c r="O1243" i="6"/>
  <c r="P307" i="6"/>
  <c r="O307" i="6"/>
  <c r="P966" i="6"/>
  <c r="O966" i="6"/>
  <c r="P258" i="6"/>
  <c r="O258" i="6"/>
  <c r="P501" i="6"/>
  <c r="O501" i="6"/>
  <c r="P576" i="6"/>
  <c r="O576" i="6"/>
  <c r="P1294" i="6"/>
  <c r="O1294" i="6"/>
  <c r="P773" i="6"/>
  <c r="O773" i="6"/>
  <c r="P458" i="6"/>
  <c r="O458" i="6"/>
  <c r="P1224" i="6"/>
  <c r="O1224" i="6"/>
  <c r="P1207" i="6"/>
  <c r="O1207" i="6"/>
  <c r="P347" i="6"/>
  <c r="O347" i="6"/>
  <c r="P537" i="6"/>
  <c r="O537" i="6"/>
  <c r="P1169" i="6"/>
  <c r="O1169" i="6"/>
  <c r="P727" i="6"/>
  <c r="O727" i="6"/>
  <c r="P962" i="6"/>
  <c r="O962" i="6"/>
  <c r="P299" i="6"/>
  <c r="O299" i="6"/>
  <c r="P714" i="6"/>
  <c r="O714" i="6"/>
  <c r="P1189" i="6"/>
  <c r="O1189" i="6"/>
  <c r="P1242" i="6"/>
  <c r="O1242" i="6"/>
  <c r="P942" i="6"/>
  <c r="O942" i="6"/>
  <c r="P752" i="6"/>
  <c r="O752" i="6"/>
  <c r="P830" i="6"/>
  <c r="O830" i="6"/>
  <c r="P920" i="6"/>
  <c r="O920" i="6"/>
  <c r="P552" i="6"/>
  <c r="O552" i="6"/>
  <c r="P1179" i="6"/>
  <c r="O1179" i="6"/>
  <c r="P310" i="6"/>
  <c r="O310" i="6"/>
  <c r="P842" i="6"/>
  <c r="O842" i="6"/>
  <c r="P454" i="6"/>
  <c r="O454" i="6"/>
  <c r="P642" i="6"/>
  <c r="O642" i="6"/>
  <c r="P1201" i="6"/>
  <c r="O1201" i="6"/>
  <c r="P594" i="6"/>
  <c r="O594" i="6"/>
  <c r="P685" i="6"/>
  <c r="O685" i="6"/>
  <c r="P285" i="6"/>
  <c r="O285" i="6"/>
  <c r="P351" i="6"/>
  <c r="O351" i="6"/>
  <c r="P1228" i="6"/>
  <c r="O1228" i="6"/>
  <c r="P953" i="6"/>
  <c r="O953" i="6"/>
  <c r="P1082" i="6"/>
  <c r="O1082" i="6"/>
  <c r="P671" i="6"/>
  <c r="O671" i="6"/>
  <c r="P867" i="6"/>
  <c r="O867" i="6"/>
  <c r="P596" i="6"/>
  <c r="O596" i="6"/>
  <c r="P278" i="6"/>
  <c r="O278" i="6"/>
  <c r="P745" i="6"/>
  <c r="O745" i="6"/>
  <c r="P1213" i="6"/>
  <c r="O1213" i="6"/>
  <c r="P569" i="6"/>
  <c r="O569" i="6"/>
  <c r="P382" i="6"/>
  <c r="O382" i="6"/>
  <c r="P699" i="6"/>
  <c r="O699" i="6"/>
  <c r="P381" i="6"/>
  <c r="O381" i="6"/>
  <c r="P978" i="6"/>
  <c r="O978" i="6"/>
  <c r="P635" i="6"/>
  <c r="O635" i="6"/>
  <c r="P497" i="6"/>
  <c r="O497" i="6"/>
  <c r="P1252" i="6"/>
  <c r="O1252" i="6"/>
  <c r="P496" i="6"/>
  <c r="O496" i="6"/>
  <c r="P639" i="6"/>
  <c r="O639" i="6"/>
  <c r="P408" i="6"/>
  <c r="O408" i="6"/>
  <c r="P719" i="6"/>
  <c r="O719" i="6"/>
  <c r="P849" i="6"/>
  <c r="O849" i="6"/>
  <c r="P1302" i="6"/>
  <c r="O1302" i="6"/>
  <c r="P1264" i="6"/>
  <c r="O1264" i="6"/>
  <c r="P638" i="6"/>
  <c r="O638" i="6"/>
  <c r="P1072" i="6"/>
  <c r="O1072" i="6"/>
  <c r="P557" i="6"/>
  <c r="O557" i="6"/>
  <c r="P1266" i="6"/>
  <c r="O1266" i="6"/>
  <c r="P937" i="6"/>
  <c r="O937" i="6"/>
  <c r="P734" i="6"/>
  <c r="O734" i="6"/>
  <c r="P755" i="6"/>
  <c r="O755" i="6"/>
  <c r="P658" i="6"/>
  <c r="O658" i="6"/>
  <c r="P1029" i="6"/>
  <c r="O1029" i="6"/>
  <c r="P522" i="6"/>
  <c r="O522" i="6"/>
  <c r="P1010" i="6"/>
  <c r="O1010" i="6"/>
  <c r="P339" i="6"/>
  <c r="O339" i="6"/>
  <c r="P697" i="6"/>
  <c r="O697" i="6"/>
  <c r="P543" i="6"/>
  <c r="O543" i="6"/>
  <c r="P387" i="6"/>
  <c r="O387" i="6"/>
  <c r="P1038" i="6"/>
  <c r="O1038" i="6"/>
  <c r="P1285" i="6"/>
  <c r="O1285" i="6"/>
  <c r="P582" i="6"/>
  <c r="O582" i="6"/>
  <c r="P720" i="6"/>
  <c r="O720" i="6"/>
  <c r="P357" i="6"/>
  <c r="O357" i="6"/>
  <c r="P517" i="6"/>
  <c r="O517" i="6"/>
  <c r="P777" i="6"/>
  <c r="O777" i="6"/>
  <c r="P782" i="6"/>
  <c r="O782" i="6"/>
  <c r="P369" i="6"/>
  <c r="O369" i="6"/>
  <c r="P1021" i="6"/>
  <c r="O1021" i="6"/>
  <c r="P811" i="6"/>
  <c r="O811" i="6"/>
  <c r="P723" i="6"/>
  <c r="O723" i="6"/>
  <c r="P1187" i="6"/>
  <c r="O1187" i="6"/>
  <c r="P973" i="6"/>
  <c r="O973" i="6"/>
  <c r="P969" i="6"/>
  <c r="O969" i="6"/>
  <c r="P874" i="6"/>
  <c r="O874" i="6"/>
  <c r="P840" i="6"/>
  <c r="O840" i="6"/>
  <c r="P456" i="6"/>
  <c r="O456" i="6"/>
  <c r="P1191" i="6"/>
  <c r="O1191" i="6"/>
  <c r="P1279" i="6"/>
  <c r="O1279" i="6"/>
  <c r="P1160" i="6"/>
  <c r="O1160" i="6"/>
  <c r="P1175" i="6"/>
  <c r="O1175" i="6"/>
  <c r="P928" i="6"/>
  <c r="O928" i="6"/>
  <c r="P813" i="6"/>
  <c r="O813" i="6"/>
  <c r="P539" i="6"/>
  <c r="O539" i="6"/>
  <c r="P352" i="6"/>
  <c r="O352" i="6"/>
  <c r="P1269" i="6"/>
  <c r="O1269" i="6"/>
  <c r="P516" i="6"/>
  <c r="O516" i="6"/>
  <c r="P617" i="6"/>
  <c r="O617" i="6"/>
  <c r="P1064" i="6"/>
  <c r="O1064" i="6"/>
  <c r="P419" i="6"/>
  <c r="O419" i="6"/>
  <c r="P1071" i="6"/>
  <c r="O1071" i="6"/>
  <c r="P564" i="6"/>
  <c r="O564" i="6"/>
  <c r="P667" i="6"/>
  <c r="O667" i="6"/>
  <c r="P1313" i="6"/>
  <c r="O1313" i="6"/>
  <c r="P1061" i="6"/>
  <c r="O1061" i="6"/>
  <c r="P628" i="6"/>
  <c r="O628" i="6"/>
  <c r="P640" i="6"/>
  <c r="O640" i="6"/>
  <c r="P598" i="6"/>
  <c r="O598" i="6"/>
  <c r="P690" i="6"/>
  <c r="O690" i="6"/>
  <c r="P741" i="6"/>
  <c r="O741" i="6"/>
  <c r="P868" i="6"/>
  <c r="O868" i="6"/>
  <c r="P1018" i="6"/>
  <c r="O1018" i="6"/>
  <c r="P778" i="6"/>
  <c r="O778" i="6"/>
  <c r="P311" i="6"/>
  <c r="O311" i="6"/>
  <c r="P775" i="6"/>
  <c r="O775" i="6"/>
  <c r="P455" i="6"/>
  <c r="O455" i="6"/>
  <c r="P715" i="6"/>
  <c r="O715" i="6"/>
  <c r="P945" i="6"/>
  <c r="O945" i="6"/>
  <c r="P894" i="6"/>
  <c r="O894" i="6"/>
  <c r="P513" i="6"/>
  <c r="O513" i="6"/>
  <c r="P761" i="6"/>
  <c r="O761" i="6"/>
  <c r="P529" i="6"/>
  <c r="O529" i="6"/>
  <c r="P520" i="6"/>
  <c r="O520" i="6"/>
  <c r="P305" i="6"/>
  <c r="O305" i="6"/>
  <c r="P1002" i="6"/>
  <c r="O1002" i="6"/>
  <c r="P696" i="6"/>
  <c r="O696" i="6"/>
  <c r="P965" i="6"/>
  <c r="O965" i="6"/>
  <c r="P900" i="6"/>
  <c r="O900" i="6"/>
  <c r="P583" i="6"/>
  <c r="O583" i="6"/>
  <c r="P666" i="6"/>
  <c r="O666" i="6"/>
  <c r="P789" i="6"/>
  <c r="O789" i="6"/>
  <c r="P560" i="6"/>
  <c r="O560" i="6"/>
  <c r="P556" i="6"/>
  <c r="O556" i="6"/>
  <c r="P653" i="6"/>
  <c r="O653" i="6"/>
  <c r="P511" i="6"/>
  <c r="O511" i="6"/>
  <c r="P610" i="6"/>
  <c r="O610" i="6"/>
  <c r="P554" i="6"/>
  <c r="O554" i="6"/>
  <c r="P518" i="6"/>
  <c r="O518" i="6"/>
  <c r="P273" i="6"/>
  <c r="O273" i="6"/>
  <c r="P941" i="6"/>
  <c r="O941" i="6"/>
  <c r="P334" i="6"/>
  <c r="O334" i="6"/>
  <c r="P1245" i="6"/>
  <c r="O1245" i="6"/>
  <c r="P1009" i="6"/>
  <c r="O1009" i="6"/>
  <c r="P609" i="6"/>
  <c r="O609" i="6"/>
  <c r="P390" i="6"/>
  <c r="O390" i="6"/>
  <c r="P746" i="6"/>
  <c r="O746" i="6"/>
  <c r="P760" i="6"/>
  <c r="O760" i="6"/>
  <c r="P1041" i="6"/>
  <c r="O1041" i="6"/>
  <c r="P289" i="6"/>
  <c r="O289" i="6"/>
  <c r="P1000" i="6"/>
  <c r="O1000" i="6"/>
  <c r="P304" i="6"/>
  <c r="O304" i="6"/>
  <c r="P292" i="6"/>
  <c r="O292" i="6"/>
  <c r="P1299" i="6"/>
  <c r="O1299" i="6"/>
  <c r="P1101" i="6"/>
  <c r="O1101" i="6"/>
  <c r="P234" i="6"/>
  <c r="O234" i="6"/>
  <c r="P1122" i="6"/>
  <c r="O1122" i="6"/>
  <c r="P1052" i="6"/>
  <c r="O1052" i="6"/>
  <c r="P366" i="6"/>
  <c r="O366" i="6"/>
  <c r="P1140" i="6"/>
  <c r="O1140" i="6"/>
  <c r="P611" i="6"/>
  <c r="O611" i="6"/>
  <c r="P980" i="6"/>
  <c r="O980" i="6"/>
  <c r="P341" i="6"/>
  <c r="O341" i="6"/>
  <c r="P580" i="6"/>
  <c r="O580" i="6"/>
  <c r="P1086" i="6"/>
  <c r="O1086" i="6"/>
  <c r="P306" i="6"/>
  <c r="O306" i="6"/>
  <c r="P354" i="6"/>
  <c r="O354" i="6"/>
  <c r="P1093" i="6"/>
  <c r="O1093" i="6"/>
  <c r="P1291" i="6"/>
  <c r="O1291" i="6"/>
  <c r="P785" i="6"/>
  <c r="O785" i="6"/>
  <c r="P1221" i="6"/>
  <c r="O1221" i="6"/>
  <c r="P482" i="6"/>
  <c r="O482" i="6"/>
  <c r="P406" i="6"/>
  <c r="O406" i="6"/>
  <c r="P1154" i="6"/>
  <c r="O1154" i="6"/>
  <c r="P459" i="6"/>
  <c r="O459" i="6"/>
  <c r="P572" i="6"/>
  <c r="O572" i="6"/>
  <c r="P1134" i="6"/>
  <c r="O1134" i="6"/>
  <c r="P1267" i="6"/>
  <c r="O1267" i="6"/>
  <c r="P1247" i="6"/>
  <c r="O1247" i="6"/>
  <c r="P817" i="6"/>
  <c r="O817" i="6"/>
  <c r="P742" i="6"/>
  <c r="O742" i="6"/>
  <c r="P826" i="6"/>
  <c r="O826" i="6"/>
  <c r="P927" i="6"/>
  <c r="O927" i="6"/>
  <c r="P412" i="6"/>
  <c r="O412" i="6"/>
  <c r="P1254" i="6"/>
  <c r="O1254" i="6"/>
  <c r="P898" i="6"/>
  <c r="O898" i="6"/>
  <c r="P421" i="6"/>
  <c r="O421" i="6"/>
  <c r="P1126" i="6"/>
  <c r="O1126" i="6"/>
  <c r="P1196" i="6"/>
  <c r="O1196" i="6"/>
  <c r="P722" i="6"/>
  <c r="O722" i="6"/>
  <c r="P355" i="6"/>
  <c r="O355" i="6"/>
  <c r="P823" i="6"/>
  <c r="O823" i="6"/>
  <c r="P1276" i="6"/>
  <c r="O1276" i="6"/>
  <c r="P822" i="6"/>
  <c r="O822" i="6"/>
  <c r="P618" i="6"/>
  <c r="O618" i="6"/>
  <c r="P1217" i="6"/>
  <c r="O1217" i="6"/>
  <c r="P384" i="6"/>
  <c r="O384" i="6"/>
  <c r="P362" i="6"/>
  <c r="O362" i="6"/>
  <c r="P799" i="6"/>
  <c r="O799" i="6"/>
  <c r="P803" i="6"/>
  <c r="O803" i="6"/>
  <c r="P846" i="6"/>
  <c r="O846" i="6"/>
  <c r="P783" i="6"/>
  <c r="O783" i="6"/>
  <c r="P1114" i="6"/>
  <c r="O1114" i="6"/>
  <c r="P963" i="6"/>
  <c r="O963" i="6"/>
  <c r="P654" i="6"/>
  <c r="O654" i="6"/>
  <c r="P620" i="6"/>
  <c r="O620" i="6"/>
  <c r="P565" i="6"/>
  <c r="O565" i="6"/>
  <c r="P1127" i="6"/>
  <c r="O1127" i="6"/>
  <c r="P1025" i="6"/>
  <c r="O1025" i="6"/>
  <c r="P791" i="6"/>
  <c r="O791" i="6"/>
  <c r="P711" i="6"/>
  <c r="O711" i="6"/>
  <c r="P954" i="6"/>
  <c r="O954" i="6"/>
  <c r="P964" i="6"/>
  <c r="O964" i="6"/>
  <c r="P651" i="6"/>
  <c r="O651" i="6"/>
  <c r="P1290" i="6"/>
  <c r="O1290" i="6"/>
  <c r="P330" i="6"/>
  <c r="O330" i="6"/>
  <c r="P901" i="6"/>
  <c r="O901" i="6"/>
  <c r="P383" i="6"/>
  <c r="O383" i="6"/>
  <c r="P514" i="6"/>
  <c r="O514" i="6"/>
  <c r="P295" i="6"/>
  <c r="O295" i="6"/>
  <c r="P1204" i="6"/>
  <c r="O1204" i="6"/>
  <c r="P403" i="6"/>
  <c r="O403" i="6"/>
  <c r="P290" i="6"/>
  <c r="O290" i="6"/>
  <c r="P1142" i="6"/>
  <c r="O1142" i="6"/>
  <c r="P400" i="6"/>
  <c r="O400" i="6"/>
  <c r="P453" i="6"/>
  <c r="O453" i="6"/>
  <c r="P469" i="6"/>
  <c r="O469" i="6"/>
  <c r="P558" i="6"/>
  <c r="O558" i="6"/>
  <c r="P931" i="6"/>
  <c r="O931" i="6"/>
  <c r="P1046" i="6"/>
  <c r="O1046" i="6"/>
  <c r="P1051" i="6"/>
  <c r="O1051" i="6"/>
  <c r="P1024" i="6"/>
  <c r="O1024" i="6"/>
  <c r="P452" i="6"/>
  <c r="O452" i="6"/>
  <c r="P952" i="6"/>
  <c r="O952" i="6"/>
  <c r="P892" i="6"/>
  <c r="O892" i="6"/>
  <c r="P1012" i="6"/>
  <c r="O1012" i="6"/>
  <c r="P269" i="6"/>
  <c r="O269" i="6"/>
  <c r="P864" i="6"/>
  <c r="O864" i="6"/>
  <c r="P706" i="6"/>
  <c r="O706" i="6"/>
  <c r="P926" i="6"/>
  <c r="O926" i="6"/>
  <c r="P1176" i="6"/>
  <c r="O1176" i="6"/>
  <c r="P1065" i="6"/>
  <c r="O1065" i="6"/>
  <c r="P938" i="6"/>
  <c r="O938" i="6"/>
  <c r="P1044" i="6"/>
  <c r="O1044" i="6"/>
  <c r="P614" i="6"/>
  <c r="O614" i="6"/>
  <c r="P277" i="6"/>
  <c r="O277" i="6"/>
  <c r="P1235" i="6"/>
  <c r="O1235" i="6"/>
  <c r="P585" i="6"/>
  <c r="O585" i="6"/>
  <c r="P432" i="6"/>
  <c r="O432" i="6"/>
  <c r="P380" i="6"/>
  <c r="O380" i="6"/>
  <c r="P1258" i="6"/>
  <c r="O1258" i="6"/>
  <c r="P776" i="6"/>
  <c r="O776" i="6"/>
  <c r="P523" i="6"/>
  <c r="O523" i="6"/>
  <c r="P1270" i="6"/>
  <c r="O1270" i="6"/>
  <c r="P232" i="6"/>
  <c r="O232" i="6"/>
  <c r="P649" i="6"/>
  <c r="O649" i="6"/>
  <c r="P465" i="6"/>
  <c r="O465" i="6"/>
  <c r="P1240" i="6"/>
  <c r="O1240" i="6"/>
  <c r="P414" i="6"/>
  <c r="O414" i="6"/>
  <c r="P1158" i="6"/>
  <c r="O1158" i="6"/>
  <c r="P733" i="6"/>
  <c r="O733" i="6"/>
  <c r="P1241" i="6"/>
  <c r="O1241" i="6"/>
  <c r="P312" i="6"/>
  <c r="O312" i="6"/>
  <c r="P342" i="6"/>
  <c r="O342" i="6"/>
  <c r="P1076" i="6"/>
  <c r="O1076" i="6"/>
  <c r="P701" i="6"/>
  <c r="O701" i="6"/>
  <c r="P327" i="6"/>
  <c r="O327" i="6"/>
  <c r="P899" i="6"/>
  <c r="O899" i="6"/>
  <c r="P1001" i="6"/>
  <c r="O1001" i="6"/>
  <c r="P371" i="6"/>
  <c r="O371" i="6"/>
  <c r="P1085" i="6"/>
  <c r="O1085" i="6"/>
  <c r="P660" i="6"/>
  <c r="O660" i="6"/>
  <c r="P1307" i="6"/>
  <c r="O1307" i="6"/>
  <c r="P1159" i="6"/>
  <c r="O1159" i="6"/>
  <c r="P236" i="6"/>
  <c r="O236" i="6"/>
  <c r="P948" i="6"/>
  <c r="O948" i="6"/>
  <c r="P1006" i="6"/>
  <c r="O1006" i="6"/>
  <c r="P271" i="6"/>
  <c r="O271" i="6"/>
  <c r="P1089" i="6"/>
  <c r="O1089" i="6"/>
  <c r="P256" i="6"/>
  <c r="O256" i="6"/>
  <c r="P613" i="6"/>
  <c r="O613" i="6"/>
  <c r="P668" i="6"/>
  <c r="O668" i="6"/>
  <c r="P749" i="6"/>
  <c r="O749" i="6"/>
  <c r="P604" i="6"/>
  <c r="O604" i="6"/>
  <c r="P1165" i="6"/>
  <c r="O1165" i="6"/>
  <c r="P913" i="6"/>
  <c r="O913" i="6"/>
  <c r="P1105" i="6"/>
  <c r="O1105" i="6"/>
  <c r="P1004" i="6"/>
  <c r="O1004" i="6"/>
  <c r="P533" i="6"/>
  <c r="O533" i="6"/>
  <c r="P584" i="6"/>
  <c r="O584" i="6"/>
  <c r="P1261" i="6"/>
  <c r="O1261" i="6"/>
  <c r="P1184" i="6"/>
  <c r="O1184" i="6"/>
  <c r="P695" i="6"/>
  <c r="O695" i="6"/>
  <c r="P540" i="6"/>
  <c r="O540" i="6"/>
  <c r="P541" i="6"/>
  <c r="O541" i="6"/>
  <c r="P559" i="6"/>
  <c r="O559" i="6"/>
  <c r="P396" i="6"/>
  <c r="O396" i="6"/>
  <c r="P504" i="6"/>
  <c r="O504" i="6"/>
  <c r="P1183" i="6"/>
  <c r="O1183" i="6"/>
  <c r="P754" i="6"/>
  <c r="O754" i="6"/>
  <c r="P831" i="6"/>
  <c r="O831" i="6"/>
  <c r="P970" i="6"/>
  <c r="O970" i="6"/>
  <c r="P550" i="6"/>
  <c r="O550" i="6"/>
  <c r="P1218" i="6"/>
  <c r="O1218" i="6"/>
  <c r="P1171" i="6"/>
  <c r="O1171" i="6"/>
  <c r="P1150" i="6"/>
  <c r="O1150" i="6"/>
  <c r="P457" i="6"/>
  <c r="O457" i="6"/>
  <c r="P815" i="6"/>
  <c r="O815" i="6"/>
  <c r="P350" i="6"/>
  <c r="O350" i="6"/>
  <c r="P832" i="6"/>
  <c r="O832" i="6"/>
  <c r="P265" i="6"/>
  <c r="O265" i="6"/>
  <c r="P589" i="6"/>
  <c r="O589" i="6"/>
  <c r="P276" i="6"/>
  <c r="O276" i="6"/>
  <c r="P632" i="6"/>
  <c r="O632" i="6"/>
  <c r="P591" i="6"/>
  <c r="O591" i="6"/>
  <c r="P1042" i="6"/>
  <c r="O1042" i="6"/>
  <c r="P1022" i="6"/>
  <c r="O1022" i="6"/>
  <c r="P417" i="6"/>
  <c r="O417" i="6"/>
  <c r="P1146" i="6"/>
  <c r="O1146" i="6"/>
  <c r="P531" i="6"/>
  <c r="O531" i="6"/>
  <c r="P337" i="6"/>
  <c r="O337" i="6"/>
  <c r="P979" i="6"/>
  <c r="O979" i="6"/>
  <c r="P1225" i="6"/>
  <c r="O1225" i="6"/>
  <c r="P708" i="6"/>
  <c r="O708" i="6"/>
  <c r="P684" i="6"/>
  <c r="O684" i="6"/>
  <c r="P779" i="6"/>
  <c r="O779" i="6"/>
  <c r="P1111" i="6"/>
  <c r="O1111" i="6"/>
  <c r="P587" i="6"/>
  <c r="O587" i="6"/>
  <c r="P447" i="6"/>
  <c r="O447" i="6"/>
  <c r="P320" i="6"/>
  <c r="O320" i="6"/>
  <c r="P247" i="6"/>
  <c r="O247" i="6"/>
  <c r="P260" i="6"/>
  <c r="O260" i="6"/>
  <c r="P1073" i="6"/>
  <c r="O1073" i="6"/>
  <c r="P841" i="6"/>
  <c r="O841" i="6"/>
  <c r="P916" i="6"/>
  <c r="O916" i="6"/>
  <c r="P1163" i="6"/>
  <c r="O1163" i="6"/>
  <c r="P631" i="6"/>
  <c r="O631" i="6"/>
  <c r="P349" i="6"/>
  <c r="O349" i="6"/>
  <c r="P729" i="6"/>
  <c r="O729" i="6"/>
  <c r="P918" i="6"/>
  <c r="O918" i="6"/>
  <c r="P875" i="6"/>
  <c r="O875" i="6"/>
  <c r="P267" i="6"/>
  <c r="O267" i="6"/>
  <c r="P363" i="6"/>
  <c r="O363" i="6"/>
  <c r="P424" i="6"/>
  <c r="O424" i="6"/>
  <c r="P440" i="6"/>
  <c r="O440" i="6"/>
  <c r="P1097" i="6"/>
  <c r="O1097" i="6"/>
  <c r="P753" i="6"/>
  <c r="O753" i="6"/>
  <c r="P983" i="6"/>
  <c r="O983" i="6"/>
  <c r="P833" i="6"/>
  <c r="O833" i="6"/>
  <c r="P707" i="6"/>
  <c r="O707" i="6"/>
  <c r="P411" i="6"/>
  <c r="O411" i="6"/>
  <c r="P235" i="6"/>
  <c r="O235" i="6"/>
  <c r="P951" i="6"/>
  <c r="O951" i="6"/>
  <c r="P895" i="6"/>
  <c r="O895" i="6"/>
  <c r="P781" i="6"/>
  <c r="O781" i="6"/>
  <c r="P429" i="6"/>
  <c r="O429" i="6"/>
  <c r="P1095" i="6"/>
  <c r="O1095" i="6"/>
  <c r="P322" i="6"/>
  <c r="O322" i="6"/>
  <c r="P272" i="6"/>
  <c r="O272" i="6"/>
  <c r="P286" i="6"/>
  <c r="O286" i="6"/>
  <c r="P1135" i="6"/>
  <c r="O1135" i="6"/>
  <c r="P820" i="6"/>
  <c r="O820" i="6"/>
  <c r="P413" i="6"/>
  <c r="O413" i="6"/>
  <c r="P581" i="6"/>
  <c r="O581" i="6"/>
  <c r="P1275" i="6"/>
  <c r="O1275" i="6"/>
  <c r="P588" i="6"/>
  <c r="O588" i="6"/>
  <c r="P686" i="6"/>
  <c r="O686" i="6"/>
  <c r="P732" i="6"/>
  <c r="O732" i="6"/>
  <c r="P359" i="6"/>
  <c r="O359" i="6"/>
  <c r="P909" i="6"/>
  <c r="O909" i="6"/>
  <c r="P521" i="6"/>
  <c r="O521" i="6"/>
  <c r="P450" i="6"/>
  <c r="O450" i="6"/>
  <c r="P884" i="6"/>
  <c r="O884" i="6"/>
  <c r="P641" i="6"/>
  <c r="O641" i="6"/>
  <c r="P1028" i="6"/>
  <c r="O1028" i="6"/>
  <c r="P1214" i="6"/>
  <c r="O1214" i="6"/>
  <c r="P1117" i="6"/>
  <c r="O1117" i="6"/>
  <c r="P476" i="6"/>
  <c r="O476" i="6"/>
  <c r="P995" i="6"/>
  <c r="O995" i="6"/>
  <c r="P922" i="6"/>
  <c r="O922" i="6"/>
  <c r="P577" i="6"/>
  <c r="O577" i="6"/>
  <c r="P780" i="6"/>
  <c r="O780" i="6"/>
  <c r="P1110" i="6"/>
  <c r="O1110" i="6"/>
  <c r="P535" i="6"/>
  <c r="O535" i="6"/>
  <c r="P625" i="6"/>
  <c r="O625" i="6"/>
  <c r="P1300" i="6"/>
  <c r="O1300" i="6"/>
  <c r="P524" i="6"/>
  <c r="O524" i="6"/>
  <c r="P1238" i="6"/>
  <c r="O1238" i="6"/>
  <c r="P643" i="6"/>
  <c r="O643" i="6"/>
  <c r="P982" i="6"/>
  <c r="O982" i="6"/>
  <c r="P1115" i="6"/>
  <c r="O1115" i="6"/>
  <c r="P1203" i="6"/>
  <c r="O1203" i="6"/>
  <c r="P709" i="6"/>
  <c r="O709" i="6"/>
  <c r="P703" i="6"/>
  <c r="O703" i="6"/>
  <c r="P389" i="6"/>
  <c r="O389" i="6"/>
  <c r="P259" i="6"/>
  <c r="O259" i="6"/>
  <c r="P1136" i="6"/>
  <c r="O1136" i="6"/>
  <c r="P579" i="6"/>
  <c r="O579" i="6"/>
  <c r="P263" i="6"/>
  <c r="O263" i="6"/>
  <c r="P851" i="6"/>
  <c r="O851" i="6"/>
  <c r="P1118" i="6"/>
  <c r="O1118" i="6"/>
  <c r="P1007" i="6"/>
  <c r="O1007" i="6"/>
  <c r="P856" i="6"/>
  <c r="O856" i="6"/>
  <c r="P636" i="6"/>
  <c r="O636" i="6"/>
  <c r="P794" i="6"/>
  <c r="O794" i="6"/>
  <c r="P264" i="6"/>
  <c r="O264" i="6"/>
  <c r="P324" i="6"/>
  <c r="O324" i="6"/>
  <c r="P704" i="6"/>
  <c r="O704" i="6"/>
  <c r="P839" i="6"/>
  <c r="O839" i="6"/>
  <c r="P356" i="6"/>
  <c r="O356" i="6"/>
  <c r="P907" i="6"/>
  <c r="O907" i="6"/>
  <c r="P446" i="6"/>
  <c r="O446" i="6"/>
  <c r="P1075" i="6"/>
  <c r="O1075" i="6"/>
  <c r="P493" i="6"/>
  <c r="O493" i="6"/>
  <c r="P404" i="6"/>
  <c r="O404" i="6"/>
  <c r="P758" i="6"/>
  <c r="O758" i="6"/>
  <c r="P689" i="6"/>
  <c r="O689" i="6"/>
  <c r="P673" i="6"/>
  <c r="O673" i="6"/>
  <c r="P360" i="6"/>
  <c r="O360" i="6"/>
  <c r="P544" i="6"/>
  <c r="O544" i="6"/>
  <c r="P637" i="6"/>
  <c r="O637" i="6"/>
  <c r="P428" i="6"/>
  <c r="O428" i="6"/>
  <c r="P474" i="6"/>
  <c r="O474" i="6"/>
  <c r="P563" i="6"/>
  <c r="O563" i="6"/>
  <c r="P1226" i="6"/>
  <c r="O1226" i="6"/>
  <c r="P854" i="6"/>
  <c r="O854" i="6"/>
  <c r="P881" i="6"/>
  <c r="O881" i="6"/>
  <c r="P788" i="6"/>
  <c r="O788" i="6"/>
  <c r="P890" i="6"/>
  <c r="O890" i="6"/>
  <c r="P1231" i="6"/>
  <c r="O1231" i="6"/>
  <c r="P407" i="6"/>
  <c r="O407" i="6"/>
  <c r="P1162" i="6"/>
  <c r="O1162" i="6"/>
  <c r="P1268" i="6"/>
  <c r="O1268" i="6"/>
  <c r="P818" i="6"/>
  <c r="O818" i="6"/>
  <c r="P570" i="6"/>
  <c r="O570" i="6"/>
  <c r="P566" i="6"/>
  <c r="O566" i="6"/>
  <c r="P1223" i="6"/>
  <c r="O1223" i="6"/>
  <c r="P1282" i="6"/>
  <c r="O1282" i="6"/>
  <c r="P548" i="6"/>
  <c r="O548" i="6"/>
  <c r="P626" i="6"/>
  <c r="O626" i="6"/>
  <c r="P536" i="6"/>
  <c r="O536" i="6"/>
  <c r="P908" i="6"/>
  <c r="O908" i="6"/>
  <c r="P984" i="6"/>
  <c r="O984" i="6"/>
  <c r="P1039" i="6"/>
  <c r="O1039" i="6"/>
  <c r="P243" i="6"/>
  <c r="O243" i="6"/>
  <c r="P650" i="6"/>
  <c r="O650" i="6"/>
  <c r="P828" i="6"/>
  <c r="O828" i="6"/>
  <c r="P1096" i="6"/>
  <c r="O1096" i="6"/>
  <c r="P967" i="6"/>
  <c r="O967" i="6"/>
  <c r="P1034" i="6"/>
  <c r="O1034" i="6"/>
  <c r="P439" i="6"/>
  <c r="O439" i="6"/>
  <c r="P772" i="6"/>
  <c r="O772" i="6"/>
  <c r="P1014" i="6"/>
  <c r="O1014" i="6"/>
  <c r="P567" i="6"/>
  <c r="O567" i="6"/>
  <c r="P1274" i="6"/>
  <c r="O1274" i="6"/>
  <c r="P274" i="6"/>
  <c r="O274" i="6"/>
  <c r="P527" i="6"/>
  <c r="O527" i="6"/>
  <c r="P747" i="6"/>
  <c r="O747" i="6"/>
  <c r="P348" i="6"/>
  <c r="O348" i="6"/>
  <c r="P605" i="6"/>
  <c r="O605" i="6"/>
  <c r="P1133" i="6"/>
  <c r="O1133" i="6"/>
  <c r="P302" i="6"/>
  <c r="O302" i="6"/>
  <c r="P1262" i="6"/>
  <c r="O1262" i="6"/>
  <c r="P586" i="6"/>
  <c r="O586" i="6"/>
  <c r="P801" i="6"/>
  <c r="O801" i="6"/>
  <c r="P862" i="6"/>
  <c r="O862" i="6"/>
  <c r="P955" i="6"/>
  <c r="O955" i="6"/>
  <c r="P1297" i="6"/>
  <c r="O1297" i="6"/>
  <c r="P652" i="6"/>
  <c r="O652" i="6"/>
  <c r="P924" i="6"/>
  <c r="O924" i="6"/>
  <c r="P738" i="6"/>
  <c r="O738" i="6"/>
  <c r="P466" i="6"/>
  <c r="O466" i="6"/>
  <c r="P731" i="6"/>
  <c r="O731" i="6"/>
  <c r="P1259" i="6"/>
  <c r="O1259" i="6"/>
  <c r="P317" i="6"/>
  <c r="O317" i="6"/>
  <c r="P471" i="6"/>
  <c r="O471" i="6"/>
  <c r="P825" i="6"/>
  <c r="O825" i="6"/>
  <c r="P1178" i="6"/>
  <c r="O1178" i="6"/>
  <c r="P1151" i="6"/>
  <c r="O1151" i="6"/>
  <c r="P904" i="6"/>
  <c r="O904" i="6"/>
  <c r="P1059" i="6"/>
  <c r="O1059" i="6"/>
  <c r="P441" i="6"/>
  <c r="O441" i="6"/>
  <c r="P1293" i="6"/>
  <c r="O1293" i="6"/>
  <c r="P1109" i="6"/>
  <c r="O1109" i="6"/>
  <c r="P996" i="6"/>
  <c r="O996" i="6"/>
  <c r="P646" i="6"/>
  <c r="O646" i="6"/>
  <c r="P379" i="6"/>
  <c r="O379" i="6"/>
  <c r="P475" i="6"/>
  <c r="O475" i="6"/>
  <c r="P1113" i="6"/>
  <c r="O1113" i="6"/>
  <c r="P616" i="6"/>
  <c r="O616" i="6"/>
  <c r="P542" i="6"/>
  <c r="O542" i="6"/>
  <c r="P1227" i="6"/>
  <c r="O1227" i="6"/>
  <c r="P444" i="6"/>
  <c r="O444" i="6"/>
  <c r="P1149" i="6"/>
  <c r="O1149" i="6"/>
  <c r="P873" i="6"/>
  <c r="O873" i="6"/>
  <c r="P1043" i="6"/>
  <c r="O1043" i="6"/>
  <c r="P1092" i="6"/>
  <c r="O1092" i="6"/>
  <c r="P744" i="6"/>
  <c r="O744" i="6"/>
  <c r="P1311" i="6"/>
  <c r="O1311" i="6"/>
  <c r="P1234" i="6"/>
  <c r="O1234" i="6"/>
  <c r="P1219" i="6"/>
  <c r="O1219" i="6"/>
  <c r="P944" i="6"/>
  <c r="O944" i="6"/>
  <c r="P1033" i="6"/>
  <c r="O1033" i="6"/>
  <c r="P972" i="6"/>
  <c r="O972" i="6"/>
  <c r="P275" i="6"/>
  <c r="O275" i="6"/>
  <c r="P669" i="6"/>
  <c r="O669" i="6"/>
  <c r="P1308" i="6"/>
  <c r="O1308" i="6"/>
  <c r="P1068" i="6"/>
  <c r="O1068" i="6"/>
  <c r="P800" i="6"/>
  <c r="O800" i="6"/>
  <c r="P917" i="6"/>
  <c r="O917" i="6"/>
  <c r="P648" i="6"/>
  <c r="O648" i="6"/>
  <c r="P769" i="6"/>
  <c r="O769" i="6"/>
  <c r="P261" i="6"/>
  <c r="O261" i="6"/>
  <c r="P999" i="6"/>
  <c r="O999" i="6"/>
  <c r="P808" i="6"/>
  <c r="O808" i="6"/>
  <c r="P486" i="6"/>
  <c r="O486" i="6"/>
  <c r="P670" i="6"/>
  <c r="O670" i="6"/>
  <c r="P1212" i="6"/>
  <c r="O1212" i="6"/>
  <c r="P740" i="6"/>
  <c r="O740" i="6"/>
  <c r="P388" i="6"/>
  <c r="O388" i="6"/>
  <c r="P1155" i="6"/>
  <c r="O1155" i="6"/>
  <c r="P939" i="6"/>
  <c r="O939" i="6"/>
  <c r="P1173" i="6"/>
  <c r="O1173" i="6"/>
  <c r="P443" i="6"/>
  <c r="O443" i="6"/>
  <c r="P248" i="6"/>
  <c r="O248" i="6"/>
  <c r="P434" i="6"/>
  <c r="O434" i="6"/>
  <c r="P426" i="6"/>
  <c r="O426" i="6"/>
  <c r="P934" i="6"/>
  <c r="O934" i="6"/>
  <c r="P821" i="6"/>
  <c r="O821" i="6"/>
  <c r="P1237" i="6"/>
  <c r="O1237" i="6"/>
  <c r="P418" i="6"/>
  <c r="O418" i="6"/>
  <c r="P902" i="6"/>
  <c r="O902" i="6"/>
  <c r="P1152" i="6"/>
  <c r="O1152" i="6"/>
  <c r="P1116" i="6"/>
  <c r="O1116" i="6"/>
  <c r="P1255" i="6"/>
  <c r="O1255" i="6"/>
  <c r="P802" i="6"/>
  <c r="O802" i="6"/>
  <c r="P532" i="6"/>
  <c r="O532" i="6"/>
  <c r="P1066" i="6"/>
  <c r="O1066" i="6"/>
  <c r="P824" i="6"/>
  <c r="O824" i="6"/>
  <c r="P676" i="6"/>
  <c r="O676" i="6"/>
  <c r="P1069" i="6"/>
  <c r="O1069" i="6"/>
  <c r="P919" i="6"/>
  <c r="O919" i="6"/>
  <c r="P1186" i="6"/>
  <c r="O1186" i="6"/>
  <c r="P246" i="6"/>
  <c r="O246" i="6"/>
  <c r="P438" i="6"/>
  <c r="O438" i="6"/>
  <c r="P1048" i="6"/>
  <c r="O1048" i="6"/>
  <c r="P1121" i="6"/>
  <c r="O1121" i="6"/>
  <c r="P505" i="6"/>
  <c r="O505" i="6"/>
  <c r="P971" i="6"/>
  <c r="O971" i="6"/>
  <c r="P430" i="6"/>
  <c r="O430" i="6"/>
  <c r="P590" i="6"/>
  <c r="O590" i="6"/>
  <c r="P252" i="6"/>
  <c r="O252" i="6"/>
  <c r="P1125" i="6"/>
  <c r="O1125" i="6"/>
  <c r="P859" i="6"/>
  <c r="O859" i="6"/>
  <c r="P1020" i="6"/>
  <c r="O1020" i="6"/>
  <c r="P491" i="6"/>
  <c r="O491" i="6"/>
  <c r="P737" i="6"/>
  <c r="O737" i="6"/>
  <c r="P662" i="6"/>
  <c r="O662" i="6"/>
  <c r="P977" i="6"/>
  <c r="O977" i="6"/>
  <c r="P321" i="6"/>
  <c r="O321" i="6"/>
  <c r="P1286" i="6"/>
  <c r="O1286" i="6"/>
  <c r="P678" i="6"/>
  <c r="O678" i="6"/>
  <c r="P655" i="6"/>
  <c r="O655" i="6"/>
  <c r="P1098" i="6"/>
  <c r="O1098" i="6"/>
  <c r="P375" i="6"/>
  <c r="O375" i="6"/>
  <c r="P262" i="6"/>
  <c r="O262" i="6"/>
  <c r="P836" i="6"/>
  <c r="O836" i="6"/>
  <c r="P961" i="6"/>
  <c r="O961" i="6"/>
  <c r="P661" i="6"/>
  <c r="O661" i="6"/>
  <c r="P405" i="6"/>
  <c r="O405" i="6"/>
  <c r="P888" i="6"/>
  <c r="O888" i="6"/>
  <c r="P1124" i="6"/>
  <c r="O1124" i="6"/>
  <c r="P930" i="6"/>
  <c r="O930" i="6"/>
  <c r="P682" i="6"/>
  <c r="O682" i="6"/>
  <c r="P855" i="6"/>
  <c r="O855" i="6"/>
  <c r="P730" i="6"/>
  <c r="O730" i="6"/>
  <c r="P812" i="6"/>
  <c r="O812" i="6"/>
  <c r="P303" i="6"/>
  <c r="O303" i="6"/>
  <c r="P578" i="6"/>
  <c r="O578" i="6"/>
  <c r="P798" i="6"/>
  <c r="O798" i="6"/>
  <c r="P960" i="6"/>
  <c r="O960" i="6"/>
  <c r="P786" i="6"/>
  <c r="O786" i="6"/>
  <c r="P287" i="6"/>
  <c r="O287" i="6"/>
  <c r="P422" i="6"/>
  <c r="O422" i="6"/>
  <c r="P1190" i="6"/>
  <c r="O1190" i="6"/>
  <c r="P503" i="6"/>
  <c r="O503" i="6"/>
  <c r="P283" i="6"/>
  <c r="O283" i="6"/>
  <c r="P751" i="6"/>
  <c r="O751" i="6"/>
  <c r="P677" i="6"/>
  <c r="O677" i="6"/>
  <c r="P1081" i="6"/>
  <c r="O1081" i="6"/>
  <c r="P502" i="6"/>
  <c r="O502" i="6"/>
  <c r="P1199" i="6"/>
  <c r="O1199" i="6"/>
  <c r="P743" i="6"/>
  <c r="O743" i="6"/>
  <c r="P1077" i="6"/>
  <c r="O1077" i="6"/>
  <c r="P647" i="6"/>
  <c r="O647" i="6"/>
  <c r="P1128" i="6"/>
  <c r="O1128" i="6"/>
  <c r="P338" i="6"/>
  <c r="O338" i="6"/>
  <c r="P1112" i="6"/>
  <c r="O1112" i="6"/>
  <c r="P1147" i="6"/>
  <c r="O1147" i="6"/>
  <c r="P712" i="6"/>
  <c r="O712" i="6"/>
  <c r="P629" i="6"/>
  <c r="O629" i="6"/>
  <c r="P238" i="6"/>
  <c r="O238" i="6"/>
  <c r="P284" i="6"/>
  <c r="O284" i="6"/>
  <c r="P239" i="6"/>
  <c r="O239" i="6"/>
  <c r="P1197" i="6"/>
  <c r="O1197" i="6"/>
  <c r="P297" i="6"/>
  <c r="O297" i="6"/>
  <c r="P468" i="6"/>
  <c r="O468" i="6"/>
  <c r="P1157" i="6"/>
  <c r="O1157" i="6"/>
  <c r="P1205" i="6"/>
  <c r="O1205" i="6"/>
  <c r="P1177" i="6"/>
  <c r="O1177" i="6"/>
  <c r="P561" i="6"/>
  <c r="O561" i="6"/>
  <c r="P630" i="6"/>
  <c r="O630" i="6"/>
  <c r="P281" i="6"/>
  <c r="O281" i="6"/>
  <c r="P1185" i="6"/>
  <c r="O1185" i="6"/>
  <c r="P1055" i="6"/>
  <c r="O1055" i="6"/>
  <c r="P657" i="6"/>
  <c r="O657" i="6"/>
  <c r="P968" i="6"/>
  <c r="O968" i="6"/>
  <c r="P442" i="6"/>
  <c r="O442" i="6"/>
  <c r="P288" i="6"/>
  <c r="O288" i="6"/>
  <c r="P435" i="6"/>
  <c r="O435" i="6"/>
  <c r="P1257" i="6"/>
  <c r="O1257" i="6"/>
  <c r="P318" i="6"/>
  <c r="O318" i="6"/>
  <c r="P1090" i="6"/>
  <c r="O1090" i="6"/>
  <c r="P250" i="6"/>
  <c r="O250" i="6"/>
  <c r="P451" i="6"/>
  <c r="O451" i="6"/>
  <c r="P510" i="6"/>
  <c r="O510" i="6"/>
  <c r="P857" i="6"/>
  <c r="O857" i="6"/>
  <c r="P872" i="6"/>
  <c r="O872" i="6"/>
  <c r="P1251" i="6"/>
  <c r="O1251" i="6"/>
  <c r="P328" i="6"/>
  <c r="O328" i="6"/>
  <c r="P921" i="6"/>
  <c r="O921" i="6"/>
  <c r="P1003" i="6"/>
  <c r="O1003" i="6"/>
  <c r="P241" i="6"/>
  <c r="O241" i="6"/>
  <c r="P1049" i="6"/>
  <c r="O1049" i="6"/>
  <c r="P461" i="6"/>
  <c r="O461" i="6"/>
  <c r="P568" i="6"/>
  <c r="O568" i="6"/>
  <c r="P316" i="6"/>
  <c r="O316" i="6"/>
  <c r="P490" i="6"/>
  <c r="O490" i="6"/>
  <c r="P530" i="6"/>
  <c r="O530" i="6"/>
  <c r="P254" i="6"/>
  <c r="O254" i="6"/>
  <c r="P997" i="6"/>
  <c r="O997" i="6"/>
  <c r="P1074" i="6"/>
  <c r="O1074" i="6"/>
  <c r="P364" i="6"/>
  <c r="O364" i="6"/>
  <c r="P879" i="6"/>
  <c r="O879" i="6"/>
  <c r="P470" i="6"/>
  <c r="O470" i="6"/>
  <c r="P767" i="6"/>
  <c r="O767" i="6"/>
  <c r="P1230" i="6"/>
  <c r="O1230" i="6"/>
  <c r="P865" i="6"/>
  <c r="O865" i="6"/>
  <c r="P473" i="6"/>
  <c r="O473" i="6"/>
  <c r="P251" i="6"/>
  <c r="O251" i="6"/>
  <c r="P1100" i="6"/>
  <c r="O1100" i="6"/>
  <c r="P395" i="6"/>
  <c r="O395" i="6"/>
  <c r="P597" i="6"/>
  <c r="O597" i="6"/>
  <c r="P385" i="6"/>
  <c r="O385" i="6"/>
  <c r="P1215" i="6"/>
  <c r="O1215" i="6"/>
  <c r="P735" i="6"/>
  <c r="O735" i="6"/>
  <c r="P391" i="6"/>
  <c r="O391" i="6"/>
  <c r="P797" i="6"/>
  <c r="O797" i="6"/>
  <c r="P409" i="6"/>
  <c r="O409" i="6"/>
  <c r="P460" i="6"/>
  <c r="O460" i="6"/>
  <c r="P301" i="6"/>
  <c r="O301" i="6"/>
  <c r="P989" i="6"/>
  <c r="O989" i="6"/>
  <c r="P593" i="6"/>
  <c r="O593" i="6"/>
  <c r="P344" i="6"/>
  <c r="O344" i="6"/>
  <c r="P373" i="6"/>
  <c r="O373" i="6"/>
  <c r="P1138" i="6"/>
  <c r="O1138" i="6"/>
  <c r="P525" i="6"/>
  <c r="O525" i="6"/>
  <c r="P990" i="6"/>
  <c r="O990" i="6"/>
  <c r="P787" i="6"/>
  <c r="O787" i="6"/>
  <c r="P850" i="6"/>
  <c r="O850" i="6"/>
  <c r="P603" i="6"/>
  <c r="O603" i="6"/>
  <c r="P483" i="6"/>
  <c r="O483" i="6"/>
  <c r="P571" i="6"/>
  <c r="O571" i="6"/>
  <c r="P768" i="6"/>
  <c r="O768" i="6"/>
  <c r="P1194" i="6"/>
  <c r="O1194" i="6"/>
  <c r="P869" i="6"/>
  <c r="O869" i="6"/>
  <c r="P680" i="6"/>
  <c r="O680" i="6"/>
  <c r="P835" i="6"/>
  <c r="O835" i="6"/>
  <c r="P956" i="6"/>
  <c r="O956" i="6"/>
  <c r="P1239" i="6"/>
  <c r="O1239" i="6"/>
  <c r="P1144" i="6"/>
  <c r="O1144" i="6"/>
  <c r="P1123" i="6"/>
  <c r="O1123" i="6"/>
  <c r="P716" i="6"/>
  <c r="O716" i="6"/>
  <c r="P949" i="6"/>
  <c r="O949" i="6"/>
  <c r="P959" i="6"/>
  <c r="O959" i="6"/>
  <c r="P1080" i="6"/>
  <c r="O1080" i="6"/>
  <c r="P519" i="6"/>
  <c r="O519" i="6"/>
  <c r="P923" i="6"/>
  <c r="O923" i="6"/>
  <c r="P314" i="6"/>
  <c r="O314" i="6"/>
  <c r="P763" i="6"/>
  <c r="O763" i="6"/>
  <c r="P1277" i="6"/>
  <c r="O1277" i="6"/>
  <c r="P748" i="6"/>
  <c r="O748" i="6"/>
  <c r="P710" i="6"/>
  <c r="O710" i="6"/>
  <c r="P340" i="6"/>
  <c r="O340" i="6"/>
  <c r="P935" i="6"/>
  <c r="O935" i="6"/>
  <c r="P608" i="6"/>
  <c r="O608" i="6"/>
  <c r="P368" i="6"/>
  <c r="O368" i="6"/>
  <c r="P1056" i="6"/>
  <c r="O1056" i="6"/>
  <c r="P1278" i="6"/>
  <c r="O1278" i="6"/>
  <c r="P1050" i="6"/>
  <c r="O1050" i="6"/>
  <c r="P887" i="6"/>
  <c r="O887" i="6"/>
  <c r="P814" i="6"/>
  <c r="O814" i="6"/>
  <c r="P294" i="6"/>
  <c r="O294" i="6"/>
  <c r="P1164" i="6"/>
  <c r="O1164" i="6"/>
  <c r="P1161" i="6"/>
  <c r="O1161" i="6"/>
  <c r="P358" i="6"/>
  <c r="O358" i="6"/>
  <c r="P914" i="6"/>
  <c r="O914" i="6"/>
  <c r="P1079" i="6"/>
  <c r="O1079" i="6"/>
  <c r="P1309" i="6"/>
  <c r="O1309" i="6"/>
  <c r="P512" i="6"/>
  <c r="O512" i="6"/>
  <c r="P1137" i="6"/>
  <c r="O1137" i="6"/>
  <c r="P804" i="6"/>
  <c r="O804" i="6"/>
  <c r="P1129" i="6"/>
  <c r="O1129" i="6"/>
  <c r="P1132" i="6"/>
  <c r="O1132" i="6"/>
  <c r="P494" i="6"/>
  <c r="O494" i="6"/>
  <c r="P705" i="6"/>
  <c r="O705" i="6"/>
  <c r="P1200" i="6"/>
  <c r="O1200" i="6"/>
  <c r="P376" i="6"/>
  <c r="O376" i="6"/>
  <c r="P547" i="6"/>
  <c r="O547" i="6"/>
  <c r="P679" i="6"/>
  <c r="O679" i="6"/>
  <c r="P257" i="6"/>
  <c r="O257" i="6"/>
  <c r="P551" i="6"/>
  <c r="O551" i="6"/>
  <c r="P623" i="6"/>
  <c r="O623" i="6"/>
  <c r="P880" i="6"/>
  <c r="O880" i="6"/>
  <c r="P549" i="6"/>
  <c r="O549" i="6"/>
  <c r="P1040" i="6"/>
  <c r="O1040" i="6"/>
  <c r="P1016" i="6"/>
  <c r="O1016" i="6"/>
  <c r="P266" i="6"/>
  <c r="O266" i="6"/>
  <c r="P445" i="6"/>
  <c r="O445" i="6"/>
  <c r="P332" i="6"/>
  <c r="O332" i="6"/>
  <c r="P1054" i="6"/>
  <c r="O1054" i="6"/>
  <c r="P915" i="6"/>
  <c r="O915" i="6"/>
  <c r="P713" i="6"/>
  <c r="O713" i="6"/>
  <c r="P1103" i="6"/>
  <c r="O1103" i="6"/>
  <c r="P762" i="6"/>
  <c r="O762" i="6"/>
  <c r="P467" i="6"/>
  <c r="O467" i="6"/>
  <c r="P911" i="6"/>
  <c r="O911" i="6"/>
  <c r="P1057" i="6"/>
  <c r="O1057" i="6"/>
  <c r="P386" i="6"/>
  <c r="O386" i="6"/>
  <c r="P756" i="6"/>
  <c r="O756" i="6"/>
  <c r="P1030" i="6"/>
  <c r="O1030" i="6"/>
  <c r="P1058" i="6"/>
  <c r="O1058" i="6"/>
  <c r="P326" i="6"/>
  <c r="O326" i="6"/>
  <c r="P612" i="6"/>
  <c r="O612" i="6"/>
  <c r="P810" i="6"/>
  <c r="O810" i="6"/>
  <c r="P1304" i="6"/>
  <c r="O1304" i="6"/>
  <c r="P506" i="6"/>
  <c r="O506" i="6"/>
  <c r="P765" i="6"/>
  <c r="O765" i="6"/>
  <c r="P487" i="6"/>
  <c r="O487" i="6"/>
  <c r="P370" i="6"/>
  <c r="O370" i="6"/>
  <c r="P500" i="6"/>
  <c r="O500" i="6"/>
  <c r="P633" i="6"/>
  <c r="O633" i="6"/>
  <c r="P807" i="6"/>
  <c r="O807" i="6"/>
  <c r="P464" i="6"/>
  <c r="O464" i="6"/>
  <c r="P645" i="6"/>
  <c r="O645" i="6"/>
  <c r="P838" i="6"/>
  <c r="O838" i="6"/>
  <c r="P806" i="6"/>
  <c r="O806" i="6"/>
  <c r="P270" i="6"/>
  <c r="O270" i="6"/>
  <c r="P1023" i="6"/>
  <c r="O1023" i="6"/>
  <c r="P329" i="6"/>
  <c r="O329" i="6"/>
  <c r="P1232" i="6"/>
  <c r="O1232" i="6"/>
  <c r="P237" i="6"/>
  <c r="O237" i="6"/>
  <c r="P1011" i="6"/>
  <c r="O1011" i="6"/>
  <c r="P644" i="6"/>
  <c r="O644" i="6"/>
  <c r="P1222" i="6"/>
  <c r="O1222" i="6"/>
  <c r="P477" i="6"/>
  <c r="O477" i="6"/>
  <c r="P1148" i="6"/>
  <c r="O1148" i="6"/>
  <c r="P479" i="6"/>
  <c r="O479" i="6"/>
  <c r="P771" i="6"/>
  <c r="O771" i="6"/>
  <c r="P1087" i="6"/>
  <c r="O1087" i="6"/>
  <c r="P1013" i="6"/>
  <c r="O1013" i="6"/>
  <c r="P871" i="6"/>
  <c r="O871" i="6"/>
  <c r="P912" i="6"/>
  <c r="O912" i="6"/>
  <c r="P1088" i="6"/>
  <c r="O1088" i="6"/>
  <c r="P925" i="6"/>
  <c r="O925" i="6"/>
  <c r="P694" i="6"/>
  <c r="O694" i="6"/>
  <c r="P1229" i="6"/>
  <c r="O1229" i="6"/>
  <c r="P1246" i="6"/>
  <c r="O1246" i="6"/>
  <c r="P1091" i="6"/>
  <c r="O1091" i="6"/>
  <c r="P1060" i="6"/>
  <c r="O1060" i="6"/>
  <c r="P993" i="6"/>
  <c r="O993" i="6"/>
  <c r="P394" i="6"/>
  <c r="O394" i="6"/>
  <c r="P1263" i="6"/>
  <c r="O1263" i="6"/>
  <c r="P431" i="6"/>
  <c r="O431" i="6"/>
  <c r="P736" i="6"/>
  <c r="O736" i="6"/>
  <c r="P333" i="6"/>
  <c r="O333" i="6"/>
  <c r="P672" i="6"/>
  <c r="O672" i="6"/>
  <c r="P992" i="6"/>
  <c r="O992" i="6"/>
  <c r="P240" i="6"/>
  <c r="O240" i="6"/>
  <c r="P1283" i="6"/>
  <c r="O1283" i="6"/>
  <c r="P1083" i="6"/>
  <c r="O1083" i="6"/>
  <c r="P600" i="6"/>
  <c r="O600" i="6"/>
  <c r="P402" i="6"/>
  <c r="O402" i="6"/>
  <c r="P1281" i="6"/>
  <c r="O1281" i="6"/>
  <c r="P1032" i="6"/>
  <c r="O1032" i="6"/>
  <c r="P932" i="6"/>
  <c r="O932" i="6"/>
  <c r="P365" i="6"/>
  <c r="O365" i="6"/>
  <c r="P437" i="6"/>
  <c r="O437" i="6"/>
  <c r="P847" i="6"/>
  <c r="O847" i="6"/>
  <c r="P1216" i="6"/>
  <c r="O1216" i="6"/>
  <c r="P1265" i="6"/>
  <c r="O1265" i="6"/>
  <c r="P253" i="6"/>
  <c r="O253" i="6"/>
  <c r="P282" i="6"/>
  <c r="O282" i="6"/>
  <c r="P1287" i="6"/>
  <c r="O1287" i="6"/>
  <c r="P546" i="6"/>
  <c r="O546" i="6"/>
  <c r="P361" i="6"/>
  <c r="O361" i="6"/>
  <c r="P416" i="6"/>
  <c r="O416" i="6"/>
  <c r="P1250" i="6"/>
  <c r="O1250" i="6"/>
  <c r="P507" i="6"/>
  <c r="O507" i="6"/>
  <c r="P331" i="6"/>
  <c r="O331" i="6"/>
  <c r="P906" i="6"/>
  <c r="O906" i="6"/>
  <c r="P624" i="6"/>
  <c r="O624" i="6"/>
  <c r="P1210" i="6"/>
  <c r="O1210" i="6"/>
  <c r="P296" i="6"/>
  <c r="O296" i="6"/>
  <c r="P852" i="6"/>
  <c r="O852" i="6"/>
  <c r="P1174" i="6"/>
  <c r="O1174" i="6"/>
  <c r="P492" i="6"/>
  <c r="O492" i="6"/>
  <c r="P1102" i="6"/>
  <c r="O1102" i="6"/>
  <c r="P399" i="6"/>
  <c r="O399" i="6"/>
  <c r="P555" i="6"/>
  <c r="O555" i="6"/>
  <c r="P1292" i="6"/>
  <c r="O1292" i="6"/>
  <c r="P378" i="6"/>
  <c r="O378" i="6"/>
  <c r="P1192" i="6"/>
  <c r="O1192" i="6"/>
  <c r="P1045" i="6"/>
  <c r="O1045" i="6"/>
  <c r="P573" i="6"/>
  <c r="O573" i="6"/>
  <c r="P896" i="6"/>
  <c r="O896" i="6"/>
  <c r="P509" i="6"/>
  <c r="O509" i="6"/>
  <c r="P991" i="6"/>
  <c r="O991" i="6"/>
  <c r="P433" i="6"/>
  <c r="O433" i="6"/>
  <c r="P1288" i="6"/>
  <c r="O1288" i="6"/>
  <c r="P1310" i="6"/>
  <c r="O1310" i="6"/>
  <c r="P693" i="6"/>
  <c r="O693" i="6"/>
  <c r="P882" i="6"/>
  <c r="O882" i="6"/>
  <c r="P1249" i="6"/>
  <c r="O1249" i="6"/>
  <c r="P726" i="6"/>
  <c r="O726" i="6"/>
  <c r="P1181" i="6"/>
  <c r="O1181" i="6"/>
  <c r="P834" i="6"/>
  <c r="O834" i="6"/>
  <c r="P1305" i="6"/>
  <c r="O1305" i="6"/>
  <c r="P242" i="6"/>
  <c r="O242" i="6"/>
  <c r="P1094" i="6"/>
  <c r="O1094" i="6"/>
  <c r="P1273" i="6"/>
  <c r="O1273" i="6"/>
  <c r="P1130" i="6"/>
  <c r="O1130" i="6"/>
  <c r="P790" i="6"/>
  <c r="O790" i="6"/>
  <c r="P595" i="6"/>
  <c r="O595" i="6"/>
  <c r="P313" i="6"/>
  <c r="O313" i="6"/>
  <c r="P877" i="6"/>
  <c r="O877" i="6"/>
  <c r="P770" i="6"/>
  <c r="O770" i="6"/>
  <c r="P293" i="6"/>
  <c r="O293" i="6"/>
  <c r="P393" i="6"/>
  <c r="O393" i="6"/>
  <c r="P478" i="6"/>
  <c r="O478" i="6"/>
  <c r="P495" i="6"/>
  <c r="O495" i="6"/>
  <c r="P897" i="6"/>
  <c r="O897" i="6"/>
  <c r="P488" i="6"/>
  <c r="O488" i="6"/>
  <c r="P485" i="6"/>
  <c r="O485" i="6"/>
  <c r="P940" i="6"/>
  <c r="O940" i="6"/>
  <c r="P675" i="6"/>
  <c r="O675" i="6"/>
  <c r="P929" i="6"/>
  <c r="O929" i="6"/>
  <c r="P319" i="6"/>
  <c r="O319" i="6"/>
  <c r="P891" i="6"/>
  <c r="O891" i="6"/>
  <c r="P1272" i="6"/>
  <c r="O1272" i="6"/>
  <c r="P805" i="6"/>
  <c r="O805" i="6"/>
  <c r="P374" i="6"/>
  <c r="O374" i="6"/>
  <c r="P420" i="6"/>
  <c r="O420" i="6"/>
  <c r="P1047" i="6"/>
  <c r="O1047" i="6"/>
  <c r="P1008" i="6"/>
  <c r="O1008" i="6"/>
  <c r="P816" i="6"/>
  <c r="O816" i="6"/>
  <c r="P683" i="6"/>
  <c r="O683" i="6"/>
  <c r="P1037" i="6"/>
  <c r="O1037" i="6"/>
  <c r="P481" i="6"/>
  <c r="O481" i="6"/>
  <c r="P601" i="6"/>
  <c r="O601" i="6"/>
  <c r="P538" i="6"/>
  <c r="O538" i="6"/>
  <c r="P1166" i="6"/>
  <c r="O1166" i="6"/>
  <c r="P1067" i="6"/>
  <c r="O1067" i="6"/>
  <c r="P1182" i="6"/>
  <c r="O1182" i="6"/>
  <c r="P1296" i="6"/>
  <c r="O1296" i="6"/>
  <c r="P410" i="6"/>
  <c r="O410" i="6"/>
  <c r="P300" i="6"/>
  <c r="O300" i="6"/>
  <c r="P1236" i="6"/>
  <c r="O1236" i="6"/>
  <c r="P885" i="6"/>
  <c r="O885" i="6"/>
  <c r="P343" i="6"/>
  <c r="O343" i="6"/>
  <c r="P986" i="6"/>
  <c r="O986" i="6"/>
  <c r="P415" i="6"/>
  <c r="O415" i="6"/>
  <c r="P1108" i="6"/>
  <c r="O1108" i="6"/>
  <c r="P861" i="6"/>
  <c r="O861" i="6"/>
  <c r="P903" i="6"/>
  <c r="O903" i="6"/>
  <c r="P985" i="6"/>
  <c r="O985" i="6"/>
  <c r="P1209" i="6"/>
  <c r="O1209" i="6"/>
  <c r="P619" i="6"/>
  <c r="O619" i="6"/>
  <c r="P1153" i="6"/>
  <c r="O1153" i="6"/>
  <c r="P1026" i="6"/>
  <c r="O1026" i="6"/>
  <c r="P1143" i="6"/>
  <c r="O1143" i="6"/>
  <c r="P987" i="6"/>
  <c r="O987" i="6"/>
  <c r="P436" i="6"/>
  <c r="O436" i="6"/>
  <c r="P725" i="6"/>
  <c r="O725" i="6"/>
  <c r="P427" i="6"/>
  <c r="O427" i="6"/>
  <c r="P1233" i="6"/>
  <c r="O1233" i="6"/>
  <c r="P515" i="6"/>
  <c r="O515" i="6"/>
  <c r="P1035" i="6"/>
  <c r="O1035" i="6"/>
  <c r="P976" i="6"/>
  <c r="O976" i="6"/>
  <c r="P905" i="6"/>
  <c r="O905" i="6"/>
  <c r="P1256" i="6"/>
  <c r="O1256" i="6"/>
  <c r="P1253" i="6"/>
  <c r="O1253" i="6"/>
  <c r="P345" i="6"/>
  <c r="O345" i="6"/>
  <c r="P860" i="6"/>
  <c r="O860" i="6"/>
  <c r="P665" i="6"/>
  <c r="O665" i="6"/>
  <c r="P878" i="6"/>
  <c r="O878" i="6"/>
  <c r="P1131" i="6"/>
  <c r="O1131" i="6"/>
  <c r="P1289" i="6"/>
  <c r="O1289" i="6"/>
  <c r="P291" i="6"/>
  <c r="O291" i="6"/>
  <c r="P998" i="6"/>
  <c r="O998" i="6"/>
  <c r="P1312" i="6"/>
  <c r="O1312" i="6"/>
  <c r="P534" i="6"/>
  <c r="O534" i="6"/>
  <c r="P910" i="6"/>
  <c r="O910" i="6"/>
  <c r="P718" i="6"/>
  <c r="O718" i="6"/>
  <c r="P392" i="6"/>
  <c r="O392" i="6"/>
  <c r="P1156" i="6"/>
  <c r="O1156" i="6"/>
  <c r="P336" i="6"/>
  <c r="O336" i="6"/>
  <c r="P1208" i="6"/>
  <c r="O1208" i="6"/>
  <c r="P692" i="6"/>
  <c r="O692" i="6"/>
  <c r="P848" i="6"/>
  <c r="O848" i="6"/>
  <c r="P883" i="6"/>
  <c r="O883" i="6"/>
  <c r="P681" i="6"/>
  <c r="O681" i="6"/>
  <c r="P1036" i="6"/>
  <c r="O1036" i="6"/>
  <c r="P1211" i="6"/>
  <c r="O1211" i="6"/>
  <c r="P462" i="6"/>
  <c r="O462" i="6"/>
  <c r="P845" i="6"/>
  <c r="O845" i="6"/>
  <c r="P1063" i="6"/>
  <c r="O1063" i="6"/>
  <c r="P1106" i="6"/>
  <c r="O1106" i="6"/>
  <c r="P698" i="6"/>
  <c r="O698" i="6"/>
  <c r="P827" i="6"/>
  <c r="O827" i="6"/>
  <c r="P627" i="6"/>
  <c r="O627" i="6"/>
  <c r="P943" i="6"/>
  <c r="O943" i="6"/>
  <c r="P1172" i="6"/>
  <c r="O1172" i="6"/>
  <c r="P574" i="6"/>
  <c r="O574" i="6"/>
  <c r="P691" i="6"/>
  <c r="O691" i="6"/>
  <c r="P508" i="6"/>
  <c r="O508" i="6"/>
  <c r="P607" i="6"/>
  <c r="O607" i="6"/>
  <c r="P1193" i="6"/>
  <c r="O1193" i="6"/>
  <c r="P353" i="6"/>
  <c r="O353" i="6"/>
  <c r="P615" i="6"/>
  <c r="O615" i="6"/>
  <c r="P1271" i="6"/>
  <c r="O1271" i="6"/>
  <c r="P423" i="6"/>
  <c r="O423" i="6"/>
  <c r="P981" i="6"/>
  <c r="O981" i="6"/>
  <c r="P876" i="6"/>
  <c r="O876" i="6"/>
  <c r="P1031" i="6"/>
  <c r="O1031" i="6"/>
  <c r="P1168" i="6"/>
  <c r="O1168" i="6"/>
  <c r="P489" i="6"/>
  <c r="O489" i="6"/>
  <c r="P870" i="6"/>
  <c r="O870" i="6"/>
  <c r="P793" i="6"/>
  <c r="O793" i="6"/>
  <c r="P472" i="6"/>
  <c r="O472" i="6"/>
  <c r="P553" i="6"/>
  <c r="O553" i="6"/>
  <c r="P136" i="6"/>
  <c r="O207" i="6"/>
  <c r="P158" i="6"/>
  <c r="P78" i="6"/>
  <c r="P57" i="6"/>
  <c r="O130" i="6"/>
  <c r="O172" i="6"/>
  <c r="O163" i="6"/>
  <c r="P223" i="6"/>
  <c r="P149" i="6"/>
  <c r="O105" i="6"/>
  <c r="O222" i="6"/>
  <c r="O147" i="6"/>
  <c r="P66" i="6"/>
  <c r="O120" i="6"/>
  <c r="P218" i="6"/>
  <c r="P85" i="6"/>
  <c r="O150" i="6"/>
  <c r="P53" i="6"/>
  <c r="P180" i="6"/>
  <c r="O126" i="6"/>
  <c r="P211" i="6"/>
  <c r="P93" i="6"/>
  <c r="P194" i="6"/>
  <c r="O160" i="6"/>
  <c r="O108" i="6"/>
  <c r="O21" i="6"/>
  <c r="O213" i="6"/>
  <c r="P5" i="6"/>
  <c r="P13" i="6"/>
  <c r="O210" i="6"/>
  <c r="P48" i="6"/>
  <c r="P155" i="6"/>
  <c r="O161" i="6"/>
  <c r="P54" i="6"/>
  <c r="O80" i="6"/>
  <c r="P202" i="6"/>
  <c r="P140" i="6"/>
  <c r="P72" i="6"/>
  <c r="P61" i="6"/>
  <c r="O141" i="6"/>
  <c r="P25" i="6"/>
  <c r="O193" i="6"/>
  <c r="O94" i="6"/>
  <c r="O145" i="6"/>
  <c r="O162" i="6"/>
  <c r="O101" i="6"/>
  <c r="P81" i="6"/>
  <c r="P30" i="6"/>
  <c r="P113" i="6"/>
  <c r="P68" i="6"/>
  <c r="P215" i="6"/>
  <c r="O24" i="6"/>
  <c r="P119" i="6"/>
  <c r="O41" i="6"/>
  <c r="P31" i="6"/>
  <c r="P133" i="6"/>
  <c r="O226" i="6"/>
  <c r="P123" i="6"/>
  <c r="P32" i="6"/>
  <c r="P97" i="6"/>
  <c r="O20" i="6"/>
  <c r="O167" i="6"/>
  <c r="O188" i="6"/>
  <c r="P179" i="6"/>
  <c r="O195" i="6"/>
  <c r="P187" i="6"/>
  <c r="O153" i="6"/>
  <c r="O35" i="6"/>
  <c r="P175" i="6"/>
  <c r="P205" i="6"/>
  <c r="O219" i="6"/>
  <c r="P170" i="6"/>
  <c r="O115" i="6"/>
  <c r="P151" i="6"/>
  <c r="P109" i="6"/>
  <c r="O214" i="6"/>
  <c r="O70" i="6"/>
  <c r="O143" i="6"/>
  <c r="O230" i="6"/>
  <c r="O231" i="6"/>
  <c r="P79" i="6"/>
  <c r="P98" i="6"/>
  <c r="P15" i="6"/>
  <c r="P182" i="6"/>
  <c r="P18" i="6"/>
  <c r="P217" i="6"/>
  <c r="P102" i="6"/>
  <c r="O107" i="6"/>
  <c r="P191" i="6"/>
  <c r="O209" i="6"/>
  <c r="O64" i="6"/>
  <c r="P9" i="6"/>
  <c r="O118" i="6"/>
  <c r="P90" i="6"/>
  <c r="P36" i="6"/>
  <c r="O40" i="6"/>
  <c r="P206" i="6"/>
  <c r="O58" i="6"/>
  <c r="O134" i="6"/>
  <c r="O49" i="6"/>
  <c r="P46" i="6"/>
  <c r="O88" i="6"/>
  <c r="O137" i="6"/>
  <c r="P169" i="6"/>
  <c r="P106" i="6"/>
  <c r="P201" i="6"/>
  <c r="P116" i="6"/>
  <c r="P176" i="6"/>
  <c r="P224" i="6"/>
  <c r="O92" i="6"/>
  <c r="P27" i="6"/>
  <c r="P181" i="6"/>
  <c r="P4" i="6"/>
  <c r="P196" i="6"/>
  <c r="O173" i="6"/>
  <c r="P114" i="6"/>
  <c r="O96" i="6"/>
  <c r="O55" i="6"/>
  <c r="P8" i="6"/>
  <c r="O122" i="6"/>
  <c r="O157" i="6"/>
  <c r="O95" i="6"/>
  <c r="P227" i="6"/>
  <c r="O135" i="6"/>
  <c r="O121" i="6"/>
  <c r="P39" i="6"/>
  <c r="O185" i="6"/>
  <c r="P51" i="6"/>
  <c r="O146" i="6"/>
  <c r="O65" i="6"/>
  <c r="O45" i="6"/>
  <c r="O156" i="6"/>
  <c r="O34" i="6"/>
  <c r="O103" i="6"/>
  <c r="P2" i="6"/>
  <c r="P91" i="6"/>
  <c r="O127" i="6"/>
  <c r="O148" i="6"/>
  <c r="O42" i="6"/>
  <c r="P132" i="6"/>
  <c r="P177" i="6"/>
  <c r="P76" i="6"/>
  <c r="O76" i="6"/>
  <c r="O164" i="6"/>
  <c r="O216" i="6"/>
  <c r="P216" i="6"/>
  <c r="V13" i="6" a="1"/>
  <c r="V13" i="6" s="1"/>
  <c r="P168" i="6"/>
  <c r="O168" i="6"/>
  <c r="P212" i="6"/>
  <c r="O212" i="6"/>
  <c r="O60" i="6"/>
  <c r="P60" i="6"/>
  <c r="O112" i="6"/>
  <c r="P112" i="6"/>
  <c r="P52" i="6"/>
  <c r="O52" i="6"/>
  <c r="O75" i="6"/>
  <c r="P75" i="6"/>
  <c r="P47" i="6"/>
  <c r="O47" i="6"/>
  <c r="O44" i="6"/>
  <c r="P44" i="6"/>
  <c r="P84" i="6"/>
  <c r="O84" i="6"/>
  <c r="O144" i="6"/>
  <c r="P144" i="6"/>
  <c r="P19" i="6"/>
  <c r="O19" i="6"/>
  <c r="O129" i="6"/>
  <c r="P129" i="6"/>
  <c r="O152" i="6"/>
  <c r="P152" i="6"/>
  <c r="O186" i="6"/>
  <c r="P186" i="6"/>
  <c r="O69" i="6"/>
  <c r="P69" i="6"/>
  <c r="P142" i="6"/>
  <c r="O142" i="6"/>
  <c r="O174" i="6"/>
  <c r="P174" i="6"/>
  <c r="O6" i="6"/>
  <c r="P6" i="6"/>
  <c r="O14" i="6"/>
  <c r="P14" i="6"/>
  <c r="V8" i="6"/>
  <c r="P62" i="6"/>
  <c r="O62" i="6"/>
  <c r="P159" i="6"/>
  <c r="O159" i="6"/>
  <c r="O220" i="6"/>
  <c r="P220" i="6"/>
  <c r="P17" i="6"/>
  <c r="O17" i="6"/>
  <c r="O204" i="6"/>
  <c r="P204" i="6"/>
  <c r="O199" i="6"/>
  <c r="P199" i="6"/>
  <c r="O189" i="6"/>
  <c r="P189" i="6"/>
  <c r="O104" i="6"/>
  <c r="P104" i="6"/>
  <c r="P83" i="6"/>
  <c r="O83" i="6"/>
  <c r="P178" i="6"/>
  <c r="O178" i="6"/>
  <c r="O225" i="6"/>
  <c r="P225" i="6"/>
  <c r="O228" i="6"/>
  <c r="P228" i="6"/>
  <c r="P73" i="6"/>
  <c r="O73" i="6"/>
  <c r="P100" i="6"/>
  <c r="O100" i="6"/>
  <c r="O183" i="6"/>
  <c r="P183" i="6"/>
  <c r="O139" i="6"/>
  <c r="P139" i="6"/>
  <c r="P117" i="6"/>
  <c r="O117" i="6"/>
  <c r="O197" i="6"/>
  <c r="P197" i="6"/>
  <c r="P12" i="6"/>
  <c r="O12" i="6"/>
  <c r="O89" i="6"/>
  <c r="P89" i="6"/>
  <c r="O99" i="6"/>
  <c r="P99" i="6"/>
  <c r="O74" i="6"/>
  <c r="P74" i="6"/>
  <c r="O77" i="6"/>
  <c r="P77" i="6"/>
  <c r="P16" i="6"/>
  <c r="O16" i="6"/>
  <c r="P124" i="6"/>
  <c r="O124" i="6"/>
  <c r="O86" i="6"/>
  <c r="P86" i="6"/>
  <c r="O28" i="6"/>
  <c r="P28" i="6"/>
  <c r="O128" i="6"/>
  <c r="P128" i="6"/>
  <c r="P38" i="6"/>
  <c r="O38" i="6"/>
  <c r="O221" i="6"/>
  <c r="P221" i="6"/>
  <c r="P138" i="6"/>
  <c r="O138" i="6"/>
  <c r="P171" i="6"/>
  <c r="O171" i="6"/>
  <c r="P50" i="6"/>
  <c r="O50" i="6"/>
  <c r="O43" i="6"/>
  <c r="P43" i="6"/>
  <c r="O37" i="6"/>
  <c r="P37" i="6"/>
  <c r="O3" i="6"/>
  <c r="P3" i="6"/>
  <c r="O23" i="6"/>
  <c r="P23" i="6"/>
  <c r="O11" i="6"/>
  <c r="P11" i="6"/>
  <c r="P208" i="6"/>
  <c r="O208" i="6"/>
  <c r="O190" i="6"/>
  <c r="P190" i="6"/>
  <c r="P131" i="6"/>
  <c r="O131" i="6"/>
  <c r="P125" i="6"/>
  <c r="O125" i="6"/>
  <c r="P165" i="6"/>
  <c r="O165" i="6"/>
  <c r="P22" i="6"/>
  <c r="O22" i="6"/>
  <c r="O200" i="6"/>
  <c r="P200" i="6"/>
  <c r="P26" i="6"/>
  <c r="O26" i="6"/>
  <c r="P59" i="6"/>
  <c r="O59" i="6"/>
  <c r="P33" i="6"/>
  <c r="O33" i="6"/>
  <c r="O229" i="6"/>
  <c r="P229" i="6"/>
  <c r="O63" i="6"/>
  <c r="P63" i="6"/>
  <c r="P154" i="6"/>
  <c r="O154" i="6"/>
  <c r="P203" i="6"/>
  <c r="O203" i="6"/>
  <c r="P87" i="6"/>
  <c r="O87" i="6"/>
  <c r="O10" i="6"/>
  <c r="P10" i="6"/>
  <c r="V5" i="6" l="1"/>
  <c r="V6" i="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<sst xmlns="http://schemas.openxmlformats.org/spreadsheetml/2006/main" count="15036" uniqueCount="266">
  <si>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</si>
  <si>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</si>
  <si>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</si>
  <si>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</si>
  <si>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</si>
  <si>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</si>
  <si>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</si>
  <si>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</si>
  <si>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</si>
  <si>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</si>
  <si>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</si>
  <si>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</si>
  <si>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</si>
  <si>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</si>
  <si>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</si>
  <si>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</si>
  <si>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</si>
  <si>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</si>
  <si>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</si>
  <si>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</si>
  <si>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</si>
  <si>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</si>
  <si>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</si>
  <si>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</si>
  <si>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</si>
  <si>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</si>
  <si>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</si>
  <si>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</si>
  <si>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</si>
  <si>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</si>
  <si>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</si>
  <si>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</si>
  <si>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</si>
  <si>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</si>
  <si>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</si>
  <si>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</si>
  <si>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</si>
  <si>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</si>
  <si>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</si>
  <si>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</si>
  <si>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</si>
  <si>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</si>
  <si>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</si>
  <si>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</si>
  <si>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</si>
  <si>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</si>
  <si>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</si>
  <si>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</si>
  <si>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</si>
  <si>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</si>
  <si>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</si>
  <si>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</si>
  <si>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</si>
  <si>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</si>
  <si>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</si>
  <si>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</si>
  <si>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</si>
  <si>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</si>
  <si>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</si>
  <si>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</si>
  <si>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</si>
  <si>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</si>
  <si>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</si>
  <si>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</si>
  <si>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</si>
  <si>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</si>
  <si>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</si>
  <si>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</si>
  <si>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</si>
  <si>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</si>
  <si>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</si>
  <si>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</si>
  <si>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</si>
  <si>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</si>
  <si>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</si>
  <si>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</si>
  <si>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</si>
  <si>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</si>
  <si>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</si>
  <si>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</si>
  <si>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</si>
  <si>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</si>
  <si>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</si>
  <si>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</si>
  <si>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</si>
  <si>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</si>
  <si>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</si>
  <si>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</si>
  <si>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</si>
  <si>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</si>
  <si>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</si>
  <si>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</si>
  <si>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</si>
  <si>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</si>
  <si>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</si>
  <si>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</si>
  <si>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</si>
  <si>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</si>
  <si>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</si>
  <si>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</si>
  <si>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</si>
  <si>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</si>
  <si>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</si>
  <si>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</si>
  <si>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</si>
  <si>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</si>
  <si>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</si>
  <si>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</si>
  <si>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</si>
  <si>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</si>
  <si>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</si>
  <si>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</si>
  <si>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</si>
  <si>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</si>
  <si>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</si>
  <si>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</si>
  <si>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</si>
  <si>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</si>
  <si>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</si>
  <si>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</si>
  <si>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</si>
  <si>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</si>
  <si>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</si>
  <si>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</si>
  <si>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</si>
  <si>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</si>
  <si>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</si>
  <si>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</si>
  <si>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</si>
  <si>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</si>
  <si>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</si>
  <si>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</si>
  <si>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</si>
  <si>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</si>
  <si>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</si>
  <si>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</si>
  <si>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</si>
  <si>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</si>
  <si>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</si>
  <si>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</si>
  <si>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</si>
  <si>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</si>
  <si>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</si>
  <si>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</si>
  <si>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</si>
  <si>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</si>
  <si>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</si>
  <si>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</si>
  <si>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</si>
  <si>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</si>
  <si>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</si>
  <si>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</si>
  <si>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</si>
  <si>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</si>
  <si>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</si>
  <si>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</si>
  <si>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</si>
  <si>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</si>
  <si>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</si>
  <si>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</si>
  <si>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</si>
  <si>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</si>
  <si>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</si>
  <si>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</si>
  <si>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</si>
  <si>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</si>
  <si>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</si>
  <si>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</si>
  <si>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</si>
  <si>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</si>
  <si>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</si>
  <si>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</si>
  <si>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</si>
  <si>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</si>
  <si>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</si>
  <si>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</si>
  <si>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</si>
  <si>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</si>
  <si>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</si>
  <si>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</si>
  <si>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</si>
  <si>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</si>
  <si>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</si>
  <si>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</si>
  <si>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</si>
  <si>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</si>
  <si>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</si>
  <si>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</si>
  <si>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</si>
  <si>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</si>
  <si>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</si>
  <si>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</si>
  <si>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</si>
  <si>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</si>
  <si>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</si>
  <si>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</si>
  <si>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</si>
  <si>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</si>
  <si>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</si>
  <si>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</si>
  <si>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</si>
  <si>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</si>
  <si>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</si>
  <si>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</si>
  <si>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</si>
  <si>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</si>
  <si>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</si>
  <si>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</si>
  <si>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</si>
  <si>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</si>
  <si>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</si>
  <si>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</si>
  <si>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</si>
  <si>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</si>
  <si>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</si>
  <si>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</si>
  <si>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</si>
  <si>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</si>
  <si>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</si>
  <si>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</si>
  <si>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</si>
  <si>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</si>
  <si>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</si>
  <si>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</si>
  <si>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</si>
  <si>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</si>
  <si>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</si>
  <si>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</si>
  <si>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</si>
  <si>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</si>
  <si>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</si>
  <si>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</si>
  <si>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</si>
  <si>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</si>
  <si>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</si>
  <si>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</si>
  <si>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</si>
  <si>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</si>
  <si>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</si>
  <si>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</si>
  <si>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</si>
  <si>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</si>
  <si>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</si>
  <si>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</si>
  <si>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</si>
  <si>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</si>
  <si>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</si>
  <si>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</si>
  <si>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</si>
  <si>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</si>
  <si>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</si>
  <si>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</si>
  <si>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</si>
  <si>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</si>
  <si>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</si>
  <si>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Prob Winner</t>
  </si>
  <si>
    <t>Adjusted Predicted Correct</t>
  </si>
  <si>
    <t>Adjusted Prob Correct</t>
  </si>
  <si>
    <t>Important Games for Model</t>
  </si>
  <si>
    <t>locked correct</t>
  </si>
  <si>
    <t>prob correct</t>
  </si>
  <si>
    <t>Locked Strength of Win</t>
  </si>
  <si>
    <t>Home Goals per Game</t>
  </si>
  <si>
    <t>Away Goals per Game</t>
  </si>
  <si>
    <t>Home Goals Against</t>
  </si>
  <si>
    <t>Away Goals Against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</si>
</sst>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</cellXfs>
  <cellStyles count="2">
    <cellStyle name="Normal" xfId="0" builtinId="0"/>
    <cellStyle name="Percent" xfId="1" builtinId="5"/>
  </cellStyles>
  <dxfs count="7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3" formatCode="0%"/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685185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2.0022540417261516" maxValue="0.751393668295676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67589123806071094"/>
  </r>
  <r>
    <x v="1"/>
    <n v="-0.36229703367336352"/>
  </r>
  <r>
    <x v="2"/>
    <n v="-0.98107012063491528"/>
  </r>
  <r>
    <x v="3"/>
    <n v="-1.6364974858741121"/>
  </r>
  <r>
    <x v="4"/>
    <n v="0.75139366829567689"/>
  </r>
  <r>
    <x v="5"/>
    <n v="-0.12943750136512031"/>
  </r>
  <r>
    <x v="6"/>
    <n v="0.7236021009982504"/>
  </r>
  <r>
    <x v="7"/>
    <n v="-0.67350769084089512"/>
  </r>
  <r>
    <x v="8"/>
    <n v="-0.8442242291169858"/>
  </r>
  <r>
    <x v="9"/>
    <n v="-0.72507871760130671"/>
  </r>
  <r>
    <x v="10"/>
    <n v="-0.89465487798910692"/>
  </r>
  <r>
    <x v="11"/>
    <n v="-0.55913244459734224"/>
  </r>
  <r>
    <x v="12"/>
    <n v="-0.82572272961247006"/>
  </r>
  <r>
    <x v="13"/>
    <n v="-1.129650014050841"/>
  </r>
  <r>
    <x v="14"/>
    <n v="-0.3325615497694045"/>
  </r>
  <r>
    <x v="15"/>
    <n v="-1.5502901879355027"/>
  </r>
  <r>
    <x v="16"/>
    <n v="0.30391099573521668"/>
  </r>
  <r>
    <x v="17"/>
    <n v="-0.89477420677894726"/>
  </r>
  <r>
    <x v="18"/>
    <n v="-0.58422894442043993"/>
  </r>
  <r>
    <x v="19"/>
    <n v="-0.9519500606481569"/>
  </r>
  <r>
    <x v="20"/>
    <n v="-0.38938029723699569"/>
  </r>
  <r>
    <x v="21"/>
    <n v="0.1156804124763835"/>
  </r>
  <r>
    <x v="22"/>
    <n v="-0.51314575972450138"/>
  </r>
  <r>
    <x v="23"/>
    <n v="-0.74912552763444196"/>
  </r>
  <r>
    <x v="24"/>
    <n v="-2.0022540417261516"/>
  </r>
  <r>
    <x v="25"/>
    <n v="-1.0848625138064328E-3"/>
  </r>
  <r>
    <x v="26"/>
    <n v="-0.5832533324245347"/>
  </r>
  <r>
    <x v="27"/>
    <n v="-3.8449595931531758E-2"/>
  </r>
  <r>
    <x v="28"/>
    <n v="-1.4294227670343234"/>
  </r>
  <r>
    <x v="29"/>
    <n v="4.1921578688071317E-4"/>
  </r>
  <r>
    <x v="30"/>
    <n v="-0.48470977774289092"/>
  </r>
  <r>
    <x v="31"/>
    <n v="-1.542283927006498E-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4B5A51-8B25-8647-BC5C-349A970C94E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0EE1C3-D699-A548-BC43-CC53F3BA6C4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6"/>
    <tableColumn id="3" xr3:uid="{2C87C5E2-BA51-8A42-89C8-535F9675CB8F}" uniqueName="3" name="Visitor" queryTableFieldId="3" dataDxfId="75"/>
    <tableColumn id="4" xr3:uid="{CE6ABB56-546F-BB46-9A09-2A1A92669C31}" uniqueName="4" name="G" queryTableFieldId="4" dataDxfId="74"/>
    <tableColumn id="5" xr3:uid="{C1234731-C200-EA4C-B756-2CA67776A39C}" uniqueName="5" name="Home" queryTableFieldId="5" dataDxfId="73"/>
    <tableColumn id="6" xr3:uid="{339325E9-BBA1-9A48-8657-C4AC5A969A45}" uniqueName="6" name="G_1" queryTableFieldId="6" dataDxfId="72"/>
    <tableColumn id="11" xr3:uid="{D5C53254-CDEF-7A46-97BA-0F3F94C9C0F8}" uniqueName="11" name="Column1" queryTableFieldId="11" dataDxfId="71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0"/>
    <tableColumn id="10" xr3:uid="{D8B4237A-01AB-6648-9F38-4F24C83C2F02}" uniqueName="10" name="Losing_G" queryTableFieldId="10" dataDxfId="6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8" headerRowBorderDxfId="67" tableBorderDxfId="66">
  <autoFilter ref="D6:J1318" xr:uid="{082AB263-30A0-9143-A4CB-E8E85CF645DA}"/>
  <tableColumns count="7">
    <tableColumn id="1" xr3:uid="{A2DA1977-C625-F248-8922-D45BEAE345E6}" name="Visitor" dataDxfId="65"/>
    <tableColumn id="2" xr3:uid="{7F142366-1AE0-5D45-A506-465FBF578C3A}" name="G" dataDxfId="64"/>
    <tableColumn id="3" xr3:uid="{F73B07A5-94FF-C843-900F-F37684899EAA}" name="Home" dataDxfId="63"/>
    <tableColumn id="4" xr3:uid="{7D6FADB5-28D9-9449-ADC0-599788BF0B16}" name="G_1" dataDxfId="62"/>
    <tableColumn id="5" xr3:uid="{98CF2B62-3F88-D44B-AF59-BE4BB5C0604E}" name="HomeMargin" dataDxfId="61">
      <calculatedColumnFormula>Table3[[#This Row],[G_1]]-Table3[[#This Row],[G]]</calculatedColumnFormula>
    </tableColumn>
    <tableColumn id="6" xr3:uid="{FD0EC919-55F2-CA43-8B92-CA3E6283FCFD}" name="HomeForecast" dataDxfId="60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9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8" dataDxfId="57">
  <autoFilter ref="D1:R1313" xr:uid="{B940C27F-1AFD-1A45-A69A-42FED3D3591C}"/>
  <tableColumns count="15">
    <tableColumn id="1" xr3:uid="{27200A7D-FC6F-7D47-A38B-8116F873A9D8}" name="Date" dataDxfId="56"/>
    <tableColumn id="2" xr3:uid="{E6247AA5-111B-9544-9F6D-FFC524512888}" name="Time" dataDxfId="55"/>
    <tableColumn id="3" xr3:uid="{EDCD8AB3-2C72-284E-B537-7168C3C8687B}" name="Home" dataDxfId="54"/>
    <tableColumn id="4" xr3:uid="{EC6C1412-AAC2-6646-BF48-0D4526947D52}" name="Home Differential" dataDxfId="53">
      <calculatedColumnFormula>VLOOKUP(Table4[[#This Row],[Home]],'NHL Model'!$A$6:$B$38,2,FALSE)</calculatedColumnFormula>
    </tableColumn>
    <tableColumn id="5" xr3:uid="{67F5F1C4-5CC9-B648-BE7C-7E4EF3A85290}" name="Visitor" dataDxfId="52"/>
    <tableColumn id="6" xr3:uid="{84F489BE-33B4-0E4D-959D-E87A85C1D38D}" name="Away Differential" dataDxfId="51">
      <calculatedColumnFormula>VLOOKUP(Table4[[#This Row],[Visitor]],'NHL Model'!$A$6:$B$38,2,FALSE)</calculatedColumnFormula>
    </tableColumn>
    <tableColumn id="7" xr3:uid="{A6F9ABE3-1844-E54D-9016-325B538D2969}" name="HomeIce Differential" dataDxfId="50">
      <calculatedColumnFormula>($B$1+Table4[[#This Row],[Home Differential]])-Table4[[#This Row],[Away Differential]]</calculatedColumnFormula>
    </tableColumn>
    <tableColumn id="8" xr3:uid="{8FFD520F-0CF9-9D4A-93B6-B45373384612}" name="Predicted Winner" dataDxfId="49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8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7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6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5"/>
    <tableColumn id="13" xr3:uid="{F50D85A3-D772-F247-BFBE-86E765FD0BF6}" name="Locked Correct" dataDxfId="44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B9AD295-003C-D746-BD94-BF402107189C}" name="Table46" displayName="Table46" ref="D1:T1313" totalsRowShown="0" headerRowDxfId="43" dataDxfId="42">
  <autoFilter ref="D1:T1313" xr:uid="{B940C27F-1AFD-1A45-A69A-42FED3D3591C}"/>
  <tableColumns count="17">
    <tableColumn id="1" xr3:uid="{A3D1281C-6A4B-CC4C-A6B2-916D8BF32B2B}" name="Date" dataDxfId="41"/>
    <tableColumn id="2" xr3:uid="{B32513AB-ED04-5E46-9FBA-13BE7246726B}" name="Time" dataDxfId="40"/>
    <tableColumn id="3" xr3:uid="{8AB350DF-CAB4-4744-9408-603C4906E0A3}" name="Home" dataDxfId="39"/>
    <tableColumn id="4" xr3:uid="{91423E03-0DD7-6B46-A6A3-4D7255DEF2EB}" name="Home Differential" dataDxfId="38">
      <calculatedColumnFormula>VLOOKUP(Table46[[#This Row],[Home]],'NHL Model'!$A$6:$B$38,2,FALSE)</calculatedColumnFormula>
    </tableColumn>
    <tableColumn id="5" xr3:uid="{4B3C8E0D-1866-4F45-93F8-D870EBC5A172}" name="Visitor" dataDxfId="37"/>
    <tableColumn id="6" xr3:uid="{37560573-E086-CA47-AB18-41F598E9057C}" name="Away Differential" dataDxfId="36">
      <calculatedColumnFormula>VLOOKUP(Table46[[#This Row],[Visitor]],'NHL Model'!$A$6:$B$38,2,FALSE)</calculatedColumnFormula>
    </tableColumn>
    <tableColumn id="7" xr3:uid="{22035BC5-B1D1-2740-8F6B-D26266BA2726}" name="HomeIce Differential" dataDxfId="35">
      <calculatedColumnFormula>($B$1+Table46[[#This Row],[Home Differential]])-Table46[[#This Row],[Away Differential]]</calculatedColumnFormula>
    </tableColumn>
    <tableColumn id="8" xr3:uid="{5B32F4DC-C8CC-8B43-8F80-EE3B2CBF6E3A}" name="Predicted Winner" dataDxfId="34">
      <calculatedColumnFormula>IF(Table46[[#This Row],[HomeIce Differential]]&gt;0,Table46[[#This Row],[Home]],Table46[[#This Row],[Visitor]])</calculatedColumnFormula>
    </tableColumn>
    <tableColumn id="11" xr3:uid="{8F6B3A43-9BFB-AD4F-B210-400CEC47F72E}" name="Strength of Win" dataDxfId="33" dataCellStyle="Percent">
      <calculatedColumnFormula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calculatedColumnFormula>
    </tableColumn>
    <tableColumn id="16" xr3:uid="{0D030B94-E67C-E84B-BD93-A17BEA8FC764}" name="Prob Winner" dataDxfId="32" dataCellStyle="Percent">
      <calculatedColumnFormula>IF(Table46[[#This Row],[Strength of Win]]&gt; 0.5,Table46[[#This Row],[Predicted Winner]], IF(Table46[[#This Row],[Home]]=Table46[[#This Row],[Predicted Winner]],Table46[[#This Row],[Visitor]],Table46[[#This Row],[Home]]))</calculatedColumnFormula>
    </tableColumn>
    <tableColumn id="9" xr3:uid="{392673FA-6B6B-BB48-98C2-E0C0155A2372}" name="Adjusted Predicted Correct" dataDxfId="31">
      <calculatedColumnFormula>IF(OR((NHL2025_26Results[[#This Row],[Winning Team]]="")),"-",IF(Table46[[#This Row],[Predicted Winner]]=NHL2025_26Results[[#This Row],[Winning Team]],"YES","NO"))</calculatedColumnFormula>
    </tableColumn>
    <tableColumn id="17" xr3:uid="{4E6552C4-62ED-1C4A-9D8B-707CE935FC51}" name="Adjusted Prob Correct" dataDxfId="30">
      <calculatedColumnFormula>IF(OR((NHL2025_26Results[[#This Row],[Winning Team]]="")),"-",IF(Table46[[#This Row],[Prob Winner]]=NHL2025_26Results[[#This Row],[Winning Team]],"YES","NO"))</calculatedColumnFormula>
    </tableColumn>
    <tableColumn id="18" xr3:uid="{69A2ED13-8C1D-2049-A136-E986A4C8BC3A}" name="Important Games for Model" dataDxfId="29">
      <calculatedColumnFormula>IF(Table46[[#This Row],[Locked Prediction]]&lt;&gt;Table46[[#This Row],[Prob Winner]], "Changed", "Same")</calculatedColumnFormula>
    </tableColumn>
    <tableColumn id="12" xr3:uid="{97386131-B038-C347-A700-237C94FFAEEB}" name="Error" dataDxfId="28">
      <calculatedColumnFormula>IF(Table46[[#This Row],[Adjusted Predicted Correct]]="-", "",IF(Table46[[#This Row],[Adjusted Predicted Correct]]="YES",(Table46[[#This Row],[Strength of Win]]-1)^2,(Table46[[#This Row],[Strength of Win]]-0)^2))</calculatedColumnFormula>
    </tableColumn>
    <tableColumn id="14" xr3:uid="{B1BD48C5-3DAC-D049-B6D3-A94338798D5D}" name="Locked HomeIce Differential"/>
    <tableColumn id="10" xr3:uid="{8B21A7FE-1364-1D4A-AA68-A768708D21A2}" name="Locked Prediction" dataDxfId="27"/>
    <tableColumn id="13" xr3:uid="{8FDC486E-7DC5-1F4F-9E2A-9922AFC029D3}" name="Locked Correct" dataDxfId="26"/>
  </tableColumns>
  <tableStyleInfo name="TableStyleLight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25">
  <autoFilter ref="A1:R33" xr:uid="{1B34B514-E1CC-0949-A7DD-8D37387465DD}"/>
  <tableColumns count="18">
    <tableColumn id="1" xr3:uid="{C9F77F0F-7B0D-CC44-9D34-395D1E3FA55B}" name="Team" dataDxfId="24"/>
    <tableColumn id="2" xr3:uid="{4080CFDD-7980-DD4D-A4DE-25DB03E50B7C}" name="GP" dataDxfId="23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22">
      <calculatedColumnFormula>COUNTIFS('NHL2025-26Results'!$H:$H,A2,'NHL2025-26Results'!$F:$F,"")</calculatedColumnFormula>
    </tableColumn>
    <tableColumn id="5" xr3:uid="{5EA2DCC3-F71A-5A40-B3F3-8F2F8CB0A7CE}" name="OTL" dataDxfId="21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20">
      <calculatedColumnFormula>(Table1[[#This Row],[W]]*2)+Table1[[#This Row],[OTL]]</calculatedColumnFormula>
    </tableColumn>
    <tableColumn id="7" xr3:uid="{40EA95E8-9958-E040-A5BE-EC17EEDC1CBD}" name="HomeWins" dataDxfId="19">
      <calculatedColumnFormula>COUNTIFS('NHL2025-26Results'!$D:$D,A2,'NHL2025-26Results'!$G:$G,A2)</calculatedColumnFormula>
    </tableColumn>
    <tableColumn id="9" xr3:uid="{F3FA5C24-502A-6446-A4B9-25DB670D2CB7}" name="HomeLoss" dataDxfId="18">
      <calculatedColumnFormula>COUNTIFS('NHL2025-26Results'!$D:$D,A2,'NHL2025-26Results'!$H:$H,A2,'NHL2025-26Results'!$F:$F,"")</calculatedColumnFormula>
    </tableColumn>
    <tableColumn id="8" xr3:uid="{999F1273-113E-7F4B-990E-AC7B23C4A496}" name="HomeOTL" dataDxfId="17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16">
      <calculatedColumnFormula>COUNTIFS('NHL2025-26Results'!$B:$B,A2,'NHL2025-26Results'!$G:$G,A2)</calculatedColumnFormula>
    </tableColumn>
    <tableColumn id="10" xr3:uid="{1A63BDD0-5CF0-0C48-B684-3675FC716427}" name="AwayLoss" dataDxfId="15">
      <calculatedColumnFormula>COUNTIFS('NHL2025-26Results'!$B:$B,A2,'NHL2025-26Results'!$H:$H,A2,'NHL2025-26Results'!$F:$F,"")</calculatedColumnFormula>
    </tableColumn>
    <tableColumn id="12" xr3:uid="{59628040-0BA7-5042-BB5A-1E9D40ABC469}" name="AwayOTL" dataDxfId="14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13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12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11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10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284" workbookViewId="0">
      <selection activeCell="G302" sqref="G302:H131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D302" t="s">
        <v>31</v>
      </c>
      <c r="F302" t="s">
        <v>60</v>
      </c>
    </row>
    <row r="303" spans="1:10" x14ac:dyDescent="0.2">
      <c r="A303" s="1" t="s">
        <v>216</v>
      </c>
      <c r="B303" t="s">
        <v>25</v>
      </c>
      <c r="D303" t="s">
        <v>21</v>
      </c>
      <c r="F303" t="s">
        <v>60</v>
      </c>
    </row>
    <row r="304" spans="1:10" x14ac:dyDescent="0.2">
      <c r="A304" s="1" t="s">
        <v>216</v>
      </c>
      <c r="B304" t="s">
        <v>17</v>
      </c>
      <c r="D304" t="s">
        <v>23</v>
      </c>
      <c r="F304" t="s">
        <v>60</v>
      </c>
    </row>
    <row r="305" spans="1:6" x14ac:dyDescent="0.2">
      <c r="A305" s="1" t="s">
        <v>216</v>
      </c>
      <c r="B305" t="s">
        <v>18</v>
      </c>
      <c r="D305" t="s">
        <v>28</v>
      </c>
      <c r="F305" t="s">
        <v>60</v>
      </c>
    </row>
    <row r="306" spans="1:6" x14ac:dyDescent="0.2">
      <c r="A306" s="1" t="s">
        <v>216</v>
      </c>
      <c r="B306" t="s">
        <v>38</v>
      </c>
      <c r="D306" t="s">
        <v>11</v>
      </c>
      <c r="F306" t="s">
        <v>60</v>
      </c>
    </row>
    <row r="307" spans="1:6" x14ac:dyDescent="0.2">
      <c r="A307" s="1" t="s">
        <v>216</v>
      </c>
      <c r="B307" t="s">
        <v>13</v>
      </c>
      <c r="D307" t="s">
        <v>22</v>
      </c>
      <c r="F307" t="s">
        <v>60</v>
      </c>
    </row>
    <row r="308" spans="1:6" x14ac:dyDescent="0.2">
      <c r="A308" s="1" t="s">
        <v>217</v>
      </c>
      <c r="B308" t="s">
        <v>16</v>
      </c>
      <c r="D308" t="s">
        <v>10</v>
      </c>
      <c r="F308" t="s">
        <v>60</v>
      </c>
    </row>
    <row r="309" spans="1:6" x14ac:dyDescent="0.2">
      <c r="A309" s="1" t="s">
        <v>217</v>
      </c>
      <c r="B309" t="s">
        <v>30</v>
      </c>
      <c r="D309" t="s">
        <v>39</v>
      </c>
      <c r="F309" t="s">
        <v>60</v>
      </c>
    </row>
    <row r="310" spans="1:6" x14ac:dyDescent="0.2">
      <c r="A310" s="1" t="s">
        <v>217</v>
      </c>
      <c r="B310" t="s">
        <v>32</v>
      </c>
      <c r="D310" t="s">
        <v>26</v>
      </c>
      <c r="F310" t="s">
        <v>60</v>
      </c>
    </row>
    <row r="311" spans="1:6" x14ac:dyDescent="0.2">
      <c r="A311" s="1" t="s">
        <v>217</v>
      </c>
      <c r="B311" t="s">
        <v>55</v>
      </c>
      <c r="D311" t="s">
        <v>33</v>
      </c>
      <c r="F311" t="s">
        <v>60</v>
      </c>
    </row>
    <row r="312" spans="1:6" x14ac:dyDescent="0.2">
      <c r="A312" s="1" t="s">
        <v>217</v>
      </c>
      <c r="B312" t="s">
        <v>24</v>
      </c>
      <c r="D312" t="s">
        <v>37</v>
      </c>
      <c r="F312" t="s">
        <v>60</v>
      </c>
    </row>
    <row r="313" spans="1:6" x14ac:dyDescent="0.2">
      <c r="A313" s="1" t="s">
        <v>217</v>
      </c>
      <c r="B313" t="s">
        <v>35</v>
      </c>
      <c r="D313" t="s">
        <v>19</v>
      </c>
      <c r="F313" t="s">
        <v>60</v>
      </c>
    </row>
    <row r="314" spans="1:6" x14ac:dyDescent="0.2">
      <c r="A314" s="1" t="s">
        <v>217</v>
      </c>
      <c r="B314" t="s">
        <v>15</v>
      </c>
      <c r="D314" t="s">
        <v>20</v>
      </c>
      <c r="F314" t="s">
        <v>60</v>
      </c>
    </row>
    <row r="315" spans="1:6" x14ac:dyDescent="0.2">
      <c r="A315" s="1" t="s">
        <v>217</v>
      </c>
      <c r="B315" t="s">
        <v>28</v>
      </c>
      <c r="D315" t="s">
        <v>40</v>
      </c>
      <c r="F315" t="s">
        <v>60</v>
      </c>
    </row>
    <row r="316" spans="1:6" x14ac:dyDescent="0.2">
      <c r="A316" s="1" t="s">
        <v>218</v>
      </c>
      <c r="B316" t="s">
        <v>21</v>
      </c>
      <c r="D316" t="s">
        <v>31</v>
      </c>
      <c r="F316" t="s">
        <v>60</v>
      </c>
    </row>
    <row r="317" spans="1:6" x14ac:dyDescent="0.2">
      <c r="A317" s="1" t="s">
        <v>218</v>
      </c>
      <c r="B317" t="s">
        <v>16</v>
      </c>
      <c r="D317" t="s">
        <v>23</v>
      </c>
      <c r="F317" t="s">
        <v>60</v>
      </c>
    </row>
    <row r="318" spans="1:6" x14ac:dyDescent="0.2">
      <c r="A318" s="1" t="s">
        <v>218</v>
      </c>
      <c r="B318" t="s">
        <v>25</v>
      </c>
      <c r="D318" t="s">
        <v>34</v>
      </c>
      <c r="F318" t="s">
        <v>60</v>
      </c>
    </row>
    <row r="319" spans="1:6" x14ac:dyDescent="0.2">
      <c r="A319" s="1" t="s">
        <v>218</v>
      </c>
      <c r="B319" t="s">
        <v>17</v>
      </c>
      <c r="D319" t="s">
        <v>22</v>
      </c>
      <c r="F319" t="s">
        <v>60</v>
      </c>
    </row>
    <row r="320" spans="1:6" x14ac:dyDescent="0.2">
      <c r="A320" s="1" t="s">
        <v>219</v>
      </c>
      <c r="B320" t="s">
        <v>36</v>
      </c>
      <c r="D320" t="s">
        <v>31</v>
      </c>
      <c r="F320" t="s">
        <v>60</v>
      </c>
    </row>
    <row r="321" spans="1:6" x14ac:dyDescent="0.2">
      <c r="A321" s="1" t="s">
        <v>219</v>
      </c>
      <c r="B321" t="s">
        <v>32</v>
      </c>
      <c r="D321" t="s">
        <v>10</v>
      </c>
      <c r="F321" t="s">
        <v>60</v>
      </c>
    </row>
    <row r="322" spans="1:6" x14ac:dyDescent="0.2">
      <c r="A322" s="1" t="s">
        <v>219</v>
      </c>
      <c r="B322" t="s">
        <v>15</v>
      </c>
      <c r="D322" t="s">
        <v>12</v>
      </c>
      <c r="F322" t="s">
        <v>60</v>
      </c>
    </row>
    <row r="323" spans="1:6" x14ac:dyDescent="0.2">
      <c r="A323" s="1" t="s">
        <v>219</v>
      </c>
      <c r="B323" t="s">
        <v>30</v>
      </c>
      <c r="D323" t="s">
        <v>26</v>
      </c>
      <c r="F323" t="s">
        <v>60</v>
      </c>
    </row>
    <row r="324" spans="1:6" x14ac:dyDescent="0.2">
      <c r="A324" s="1" t="s">
        <v>219</v>
      </c>
      <c r="B324" t="s">
        <v>24</v>
      </c>
      <c r="D324" t="s">
        <v>11</v>
      </c>
      <c r="F324" t="s">
        <v>60</v>
      </c>
    </row>
    <row r="325" spans="1:6" x14ac:dyDescent="0.2">
      <c r="A325" s="1" t="s">
        <v>219</v>
      </c>
      <c r="B325" t="s">
        <v>22</v>
      </c>
      <c r="D325" t="s">
        <v>18</v>
      </c>
      <c r="F325" t="s">
        <v>60</v>
      </c>
    </row>
    <row r="326" spans="1:6" x14ac:dyDescent="0.2">
      <c r="A326" s="1" t="s">
        <v>219</v>
      </c>
      <c r="B326" t="s">
        <v>35</v>
      </c>
      <c r="D326" t="s">
        <v>27</v>
      </c>
      <c r="F326" t="s">
        <v>60</v>
      </c>
    </row>
    <row r="327" spans="1:6" x14ac:dyDescent="0.2">
      <c r="A327" s="1" t="s">
        <v>219</v>
      </c>
      <c r="B327" t="s">
        <v>13</v>
      </c>
      <c r="D327" t="s">
        <v>33</v>
      </c>
      <c r="F327" t="s">
        <v>60</v>
      </c>
    </row>
    <row r="328" spans="1:6" x14ac:dyDescent="0.2">
      <c r="A328" s="1" t="s">
        <v>219</v>
      </c>
      <c r="B328" t="s">
        <v>17</v>
      </c>
      <c r="D328" t="s">
        <v>37</v>
      </c>
      <c r="F328" t="s">
        <v>60</v>
      </c>
    </row>
    <row r="329" spans="1:6" x14ac:dyDescent="0.2">
      <c r="A329" s="1" t="s">
        <v>219</v>
      </c>
      <c r="B329" t="s">
        <v>28</v>
      </c>
      <c r="D329" t="s">
        <v>19</v>
      </c>
      <c r="F329" t="s">
        <v>60</v>
      </c>
    </row>
    <row r="330" spans="1:6" x14ac:dyDescent="0.2">
      <c r="A330" s="1" t="s">
        <v>219</v>
      </c>
      <c r="B330" t="s">
        <v>20</v>
      </c>
      <c r="D330" t="s">
        <v>55</v>
      </c>
      <c r="F330" t="s">
        <v>60</v>
      </c>
    </row>
    <row r="331" spans="1:6" x14ac:dyDescent="0.2">
      <c r="A331" s="1" t="s">
        <v>219</v>
      </c>
      <c r="B331" t="s">
        <v>39</v>
      </c>
      <c r="D331" t="s">
        <v>38</v>
      </c>
      <c r="F331" t="s">
        <v>60</v>
      </c>
    </row>
    <row r="332" spans="1:6" x14ac:dyDescent="0.2">
      <c r="A332" s="1" t="s">
        <v>220</v>
      </c>
      <c r="B332" t="s">
        <v>10</v>
      </c>
      <c r="D332" t="s">
        <v>23</v>
      </c>
      <c r="F332" t="s">
        <v>60</v>
      </c>
    </row>
    <row r="333" spans="1:6" x14ac:dyDescent="0.2">
      <c r="A333" s="1" t="s">
        <v>220</v>
      </c>
      <c r="B333" t="s">
        <v>21</v>
      </c>
      <c r="D333" t="s">
        <v>13</v>
      </c>
      <c r="F333" t="s">
        <v>60</v>
      </c>
    </row>
    <row r="334" spans="1:6" x14ac:dyDescent="0.2">
      <c r="A334" s="1" t="s">
        <v>220</v>
      </c>
      <c r="B334" t="s">
        <v>34</v>
      </c>
      <c r="D334" t="s">
        <v>14</v>
      </c>
      <c r="F334" t="s">
        <v>60</v>
      </c>
    </row>
    <row r="335" spans="1:6" x14ac:dyDescent="0.2">
      <c r="A335" s="1" t="s">
        <v>220</v>
      </c>
      <c r="B335" t="s">
        <v>25</v>
      </c>
      <c r="D335" t="s">
        <v>40</v>
      </c>
      <c r="F335" t="s">
        <v>60</v>
      </c>
    </row>
    <row r="336" spans="1:6" x14ac:dyDescent="0.2">
      <c r="A336" s="1" t="s">
        <v>221</v>
      </c>
      <c r="B336" t="s">
        <v>20</v>
      </c>
      <c r="D336" t="s">
        <v>31</v>
      </c>
      <c r="F336" t="s">
        <v>60</v>
      </c>
    </row>
    <row r="337" spans="1:6" x14ac:dyDescent="0.2">
      <c r="A337" s="1" t="s">
        <v>221</v>
      </c>
      <c r="B337" t="s">
        <v>39</v>
      </c>
      <c r="D337" t="s">
        <v>16</v>
      </c>
      <c r="F337" t="s">
        <v>60</v>
      </c>
    </row>
    <row r="338" spans="1:6" x14ac:dyDescent="0.2">
      <c r="A338" s="1" t="s">
        <v>221</v>
      </c>
      <c r="B338" t="s">
        <v>28</v>
      </c>
      <c r="D338" t="s">
        <v>26</v>
      </c>
      <c r="F338" t="s">
        <v>60</v>
      </c>
    </row>
    <row r="339" spans="1:6" x14ac:dyDescent="0.2">
      <c r="A339" s="1" t="s">
        <v>221</v>
      </c>
      <c r="B339" t="s">
        <v>17</v>
      </c>
      <c r="D339" t="s">
        <v>11</v>
      </c>
      <c r="F339" t="s">
        <v>60</v>
      </c>
    </row>
    <row r="340" spans="1:6" x14ac:dyDescent="0.2">
      <c r="A340" s="1" t="s">
        <v>221</v>
      </c>
      <c r="B340" t="s">
        <v>19</v>
      </c>
      <c r="D340" t="s">
        <v>18</v>
      </c>
      <c r="F340" t="s">
        <v>60</v>
      </c>
    </row>
    <row r="341" spans="1:6" x14ac:dyDescent="0.2">
      <c r="A341" s="1" t="s">
        <v>221</v>
      </c>
      <c r="B341" t="s">
        <v>12</v>
      </c>
      <c r="D341" t="s">
        <v>29</v>
      </c>
      <c r="F341" t="s">
        <v>60</v>
      </c>
    </row>
    <row r="342" spans="1:6" x14ac:dyDescent="0.2">
      <c r="A342" s="1" t="s">
        <v>221</v>
      </c>
      <c r="B342" t="s">
        <v>35</v>
      </c>
      <c r="D342" t="s">
        <v>30</v>
      </c>
      <c r="F342" t="s">
        <v>60</v>
      </c>
    </row>
    <row r="343" spans="1:6" x14ac:dyDescent="0.2">
      <c r="A343" s="1" t="s">
        <v>221</v>
      </c>
      <c r="B343" t="s">
        <v>24</v>
      </c>
      <c r="D343" t="s">
        <v>27</v>
      </c>
      <c r="F343" t="s">
        <v>60</v>
      </c>
    </row>
    <row r="344" spans="1:6" x14ac:dyDescent="0.2">
      <c r="A344" s="1" t="s">
        <v>221</v>
      </c>
      <c r="B344" t="s">
        <v>32</v>
      </c>
      <c r="D344" t="s">
        <v>14</v>
      </c>
      <c r="F344" t="s">
        <v>60</v>
      </c>
    </row>
    <row r="345" spans="1:6" x14ac:dyDescent="0.2">
      <c r="A345" s="1" t="s">
        <v>221</v>
      </c>
      <c r="B345" t="s">
        <v>36</v>
      </c>
      <c r="D345" t="s">
        <v>33</v>
      </c>
      <c r="F345" t="s">
        <v>60</v>
      </c>
    </row>
    <row r="346" spans="1:6" x14ac:dyDescent="0.2">
      <c r="A346" s="1" t="s">
        <v>221</v>
      </c>
      <c r="B346" t="s">
        <v>15</v>
      </c>
      <c r="D346" t="s">
        <v>55</v>
      </c>
      <c r="F346" t="s">
        <v>60</v>
      </c>
    </row>
    <row r="347" spans="1:6" x14ac:dyDescent="0.2">
      <c r="A347" s="1" t="s">
        <v>221</v>
      </c>
      <c r="B347" t="s">
        <v>37</v>
      </c>
      <c r="D347" t="s">
        <v>22</v>
      </c>
      <c r="F347" t="s">
        <v>60</v>
      </c>
    </row>
    <row r="348" spans="1:6" x14ac:dyDescent="0.2">
      <c r="A348" s="1" t="s">
        <v>222</v>
      </c>
      <c r="B348" t="s">
        <v>25</v>
      </c>
      <c r="D348" t="s">
        <v>23</v>
      </c>
      <c r="F348" t="s">
        <v>60</v>
      </c>
    </row>
    <row r="349" spans="1:6" x14ac:dyDescent="0.2">
      <c r="A349" s="1" t="s">
        <v>222</v>
      </c>
      <c r="B349" t="s">
        <v>12</v>
      </c>
      <c r="D349" t="s">
        <v>10</v>
      </c>
      <c r="F349" t="s">
        <v>60</v>
      </c>
    </row>
    <row r="350" spans="1:6" x14ac:dyDescent="0.2">
      <c r="A350" s="1" t="s">
        <v>222</v>
      </c>
      <c r="B350" t="s">
        <v>32</v>
      </c>
      <c r="D350" t="s">
        <v>30</v>
      </c>
      <c r="F350" t="s">
        <v>60</v>
      </c>
    </row>
    <row r="351" spans="1:6" x14ac:dyDescent="0.2">
      <c r="A351" s="1" t="s">
        <v>222</v>
      </c>
      <c r="B351" t="s">
        <v>21</v>
      </c>
      <c r="D351" t="s">
        <v>33</v>
      </c>
      <c r="F351" t="s">
        <v>60</v>
      </c>
    </row>
    <row r="352" spans="1:6" x14ac:dyDescent="0.2">
      <c r="A352" s="1" t="s">
        <v>222</v>
      </c>
      <c r="B352" t="s">
        <v>16</v>
      </c>
      <c r="D352" t="s">
        <v>38</v>
      </c>
      <c r="F352" t="s">
        <v>60</v>
      </c>
    </row>
    <row r="353" spans="1:6" x14ac:dyDescent="0.2">
      <c r="A353" s="1" t="s">
        <v>222</v>
      </c>
      <c r="B353" t="s">
        <v>34</v>
      </c>
      <c r="D353" t="s">
        <v>40</v>
      </c>
      <c r="F353" t="s">
        <v>60</v>
      </c>
    </row>
    <row r="354" spans="1:6" x14ac:dyDescent="0.2">
      <c r="A354" s="1" t="s">
        <v>223</v>
      </c>
      <c r="B354" t="s">
        <v>36</v>
      </c>
      <c r="D354" t="s">
        <v>13</v>
      </c>
      <c r="F354" t="s">
        <v>60</v>
      </c>
    </row>
    <row r="355" spans="1:6" x14ac:dyDescent="0.2">
      <c r="A355" s="1" t="s">
        <v>223</v>
      </c>
      <c r="B355" t="s">
        <v>26</v>
      </c>
      <c r="D355" t="s">
        <v>24</v>
      </c>
      <c r="F355" t="s">
        <v>60</v>
      </c>
    </row>
    <row r="356" spans="1:6" x14ac:dyDescent="0.2">
      <c r="A356" s="1" t="s">
        <v>223</v>
      </c>
      <c r="B356" t="s">
        <v>11</v>
      </c>
      <c r="D356" t="s">
        <v>29</v>
      </c>
      <c r="F356" t="s">
        <v>60</v>
      </c>
    </row>
    <row r="357" spans="1:6" x14ac:dyDescent="0.2">
      <c r="A357" s="1" t="s">
        <v>223</v>
      </c>
      <c r="B357" t="s">
        <v>35</v>
      </c>
      <c r="D357" t="s">
        <v>15</v>
      </c>
      <c r="F357" t="s">
        <v>60</v>
      </c>
    </row>
    <row r="358" spans="1:6" x14ac:dyDescent="0.2">
      <c r="A358" s="1" t="s">
        <v>223</v>
      </c>
      <c r="B358" t="s">
        <v>27</v>
      </c>
      <c r="D358" t="s">
        <v>37</v>
      </c>
      <c r="F358" t="s">
        <v>60</v>
      </c>
    </row>
    <row r="359" spans="1:6" x14ac:dyDescent="0.2">
      <c r="A359" s="1" t="s">
        <v>223</v>
      </c>
      <c r="B359" t="s">
        <v>20</v>
      </c>
      <c r="D359" t="s">
        <v>55</v>
      </c>
      <c r="F359" t="s">
        <v>60</v>
      </c>
    </row>
    <row r="360" spans="1:6" x14ac:dyDescent="0.2">
      <c r="A360" s="1" t="s">
        <v>223</v>
      </c>
      <c r="B360" t="s">
        <v>28</v>
      </c>
      <c r="D360" t="s">
        <v>22</v>
      </c>
      <c r="F360" t="s">
        <v>60</v>
      </c>
    </row>
    <row r="361" spans="1:6" x14ac:dyDescent="0.2">
      <c r="A361" s="1" t="s">
        <v>224</v>
      </c>
      <c r="B361" t="s">
        <v>39</v>
      </c>
      <c r="D361" t="s">
        <v>17</v>
      </c>
      <c r="F361" t="s">
        <v>60</v>
      </c>
    </row>
    <row r="362" spans="1:6" x14ac:dyDescent="0.2">
      <c r="A362" s="1" t="s">
        <v>225</v>
      </c>
      <c r="B362" t="s">
        <v>38</v>
      </c>
      <c r="D362" t="s">
        <v>31</v>
      </c>
      <c r="F362" t="s">
        <v>60</v>
      </c>
    </row>
    <row r="363" spans="1:6" x14ac:dyDescent="0.2">
      <c r="A363" s="1" t="s">
        <v>225</v>
      </c>
      <c r="B363" t="s">
        <v>15</v>
      </c>
      <c r="D363" t="s">
        <v>25</v>
      </c>
      <c r="F363" t="s">
        <v>60</v>
      </c>
    </row>
    <row r="364" spans="1:6" x14ac:dyDescent="0.2">
      <c r="A364" s="1" t="s">
        <v>225</v>
      </c>
      <c r="B364" t="s">
        <v>19</v>
      </c>
      <c r="D364" t="s">
        <v>28</v>
      </c>
      <c r="F364" t="s">
        <v>60</v>
      </c>
    </row>
    <row r="365" spans="1:6" x14ac:dyDescent="0.2">
      <c r="A365" s="1" t="s">
        <v>225</v>
      </c>
      <c r="B365" t="s">
        <v>34</v>
      </c>
      <c r="D365" t="s">
        <v>10</v>
      </c>
      <c r="F365" t="s">
        <v>60</v>
      </c>
    </row>
    <row r="366" spans="1:6" x14ac:dyDescent="0.2">
      <c r="A366" s="1" t="s">
        <v>225</v>
      </c>
      <c r="B366" t="s">
        <v>33</v>
      </c>
      <c r="D366" t="s">
        <v>12</v>
      </c>
      <c r="F366" t="s">
        <v>60</v>
      </c>
    </row>
    <row r="367" spans="1:6" x14ac:dyDescent="0.2">
      <c r="A367" s="1" t="s">
        <v>225</v>
      </c>
      <c r="B367" t="s">
        <v>29</v>
      </c>
      <c r="D367" t="s">
        <v>26</v>
      </c>
      <c r="F367" t="s">
        <v>60</v>
      </c>
    </row>
    <row r="368" spans="1:6" x14ac:dyDescent="0.2">
      <c r="A368" s="1" t="s">
        <v>225</v>
      </c>
      <c r="B368" t="s">
        <v>27</v>
      </c>
      <c r="D368" t="s">
        <v>11</v>
      </c>
      <c r="F368" t="s">
        <v>60</v>
      </c>
    </row>
    <row r="369" spans="1:6" x14ac:dyDescent="0.2">
      <c r="A369" s="1" t="s">
        <v>225</v>
      </c>
      <c r="B369" t="s">
        <v>35</v>
      </c>
      <c r="D369" t="s">
        <v>24</v>
      </c>
      <c r="F369" t="s">
        <v>60</v>
      </c>
    </row>
    <row r="370" spans="1:6" x14ac:dyDescent="0.2">
      <c r="A370" s="1" t="s">
        <v>225</v>
      </c>
      <c r="B370" t="s">
        <v>21</v>
      </c>
      <c r="D370" t="s">
        <v>30</v>
      </c>
      <c r="F370" t="s">
        <v>60</v>
      </c>
    </row>
    <row r="371" spans="1:6" x14ac:dyDescent="0.2">
      <c r="A371" s="1" t="s">
        <v>225</v>
      </c>
      <c r="B371" t="s">
        <v>23</v>
      </c>
      <c r="D371" t="s">
        <v>14</v>
      </c>
      <c r="F371" t="s">
        <v>60</v>
      </c>
    </row>
    <row r="372" spans="1:6" x14ac:dyDescent="0.2">
      <c r="A372" s="1" t="s">
        <v>225</v>
      </c>
      <c r="B372" t="s">
        <v>39</v>
      </c>
      <c r="D372" t="s">
        <v>32</v>
      </c>
      <c r="F372" t="s">
        <v>60</v>
      </c>
    </row>
    <row r="373" spans="1:6" x14ac:dyDescent="0.2">
      <c r="A373" s="1" t="s">
        <v>225</v>
      </c>
      <c r="B373" t="s">
        <v>16</v>
      </c>
      <c r="D373" t="s">
        <v>37</v>
      </c>
      <c r="F373" t="s">
        <v>60</v>
      </c>
    </row>
    <row r="374" spans="1:6" x14ac:dyDescent="0.2">
      <c r="A374" s="1" t="s">
        <v>225</v>
      </c>
      <c r="B374" t="s">
        <v>18</v>
      </c>
      <c r="D374" t="s">
        <v>55</v>
      </c>
      <c r="F374" t="s">
        <v>60</v>
      </c>
    </row>
    <row r="375" spans="1:6" x14ac:dyDescent="0.2">
      <c r="A375" s="1" t="s">
        <v>225</v>
      </c>
      <c r="B375" t="s">
        <v>36</v>
      </c>
      <c r="D375" t="s">
        <v>20</v>
      </c>
      <c r="F375" t="s">
        <v>60</v>
      </c>
    </row>
    <row r="376" spans="1:6" x14ac:dyDescent="0.2">
      <c r="A376" s="1" t="s">
        <v>225</v>
      </c>
      <c r="B376" t="s">
        <v>40</v>
      </c>
      <c r="D376" t="s">
        <v>22</v>
      </c>
      <c r="F376" t="s">
        <v>60</v>
      </c>
    </row>
    <row r="377" spans="1:6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6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6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6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6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6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6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6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0.16257230966231839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1518.8042896773281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0.51775546328552802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-0.42419661760732491</v>
      </c>
      <c r="J7">
        <f>(Table3[[#This Row],[HomeMargin]]-Table3[[#This Row],[HomeForecast]])^2</f>
        <v>2.0283360056041446</v>
      </c>
    </row>
    <row r="8" spans="1:10" x14ac:dyDescent="0.2">
      <c r="A8" s="4" t="s">
        <v>21</v>
      </c>
      <c r="B8">
        <v>4.029141914856392E-2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-1.4603887577856522</v>
      </c>
      <c r="J8">
        <f>(Table3[[#This Row],[HomeMargin]]-Table3[[#This Row],[HomeForecast]])^2</f>
        <v>2.3704027771528069</v>
      </c>
    </row>
    <row r="9" spans="1:10" x14ac:dyDescent="0.2">
      <c r="A9" s="4" t="s">
        <v>23</v>
      </c>
      <c r="B9">
        <v>-0.8683412362501769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-0.40751525529682864</v>
      </c>
      <c r="J9">
        <f>(Table3[[#This Row],[HomeMargin]]-Table3[[#This Row],[HomeForecast]])^2</f>
        <v>6.7209771515186674</v>
      </c>
    </row>
    <row r="10" spans="1:10" x14ac:dyDescent="0.2">
      <c r="A10" s="4" t="s">
        <v>16</v>
      </c>
      <c r="B10">
        <v>-1.3903684122795328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0.93313268056620835</v>
      </c>
      <c r="J10">
        <f>(Table3[[#This Row],[HomeMargin]]-Table3[[#This Row],[HomeForecast]])^2</f>
        <v>3.7370019606730942</v>
      </c>
    </row>
    <row r="11" spans="1:10" x14ac:dyDescent="0.2">
      <c r="A11" s="4" t="s">
        <v>25</v>
      </c>
      <c r="B11">
        <v>0.67193921242367816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5.1384028202819731E-2</v>
      </c>
      <c r="J11">
        <f>(Table3[[#This Row],[HomeMargin]]-Table3[[#This Row],[HomeForecast]])^2</f>
        <v>8.6943361491374294</v>
      </c>
    </row>
    <row r="12" spans="1:10" x14ac:dyDescent="0.2">
      <c r="A12" s="4" t="s">
        <v>10</v>
      </c>
      <c r="B12">
        <v>0.30570968833820172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0.23739456005112031</v>
      </c>
      <c r="J12">
        <f>(Table3[[#This Row],[HomeMargin]]-Table3[[#This Row],[HomeForecast]])^2</f>
        <v>1.5311452972441055</v>
      </c>
    </row>
    <row r="13" spans="1:10" x14ac:dyDescent="0.2">
      <c r="A13" s="4" t="s">
        <v>12</v>
      </c>
      <c r="B13">
        <v>1.5475013591489768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6.0972051026969773E-2</v>
      </c>
      <c r="J13">
        <f>(Table3[[#This Row],[HomeMargin]]-Table3[[#This Row],[HomeForecast]])^2</f>
        <v>4.2476057951143149</v>
      </c>
    </row>
    <row r="14" spans="1:10" x14ac:dyDescent="0.2">
      <c r="A14" s="4" t="s">
        <v>28</v>
      </c>
      <c r="B14">
        <v>-0.40822279081308277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-0.1028459595273194</v>
      </c>
      <c r="J14">
        <f>(Table3[[#This Row],[HomeMargin]]-Table3[[#This Row],[HomeForecast]])^2</f>
        <v>1.216269210445734</v>
      </c>
    </row>
    <row r="15" spans="1:10" x14ac:dyDescent="0.2">
      <c r="A15" s="4" t="s">
        <v>39</v>
      </c>
      <c r="B15">
        <v>0.19809534061227302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-0.39857227355746849</v>
      </c>
      <c r="J15">
        <f>(Table3[[#This Row],[HomeMargin]]-Table3[[#This Row],[HomeForecast]])^2</f>
        <v>12.970281668789022</v>
      </c>
    </row>
    <row r="16" spans="1:10" x14ac:dyDescent="0.2">
      <c r="A16" s="4" t="s">
        <v>26</v>
      </c>
      <c r="B16">
        <v>-0.513643833119658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0.27507035871204355</v>
      </c>
      <c r="J16">
        <f>(Table3[[#This Row],[HomeMargin]]-Table3[[#This Row],[HomeForecast]])^2</f>
        <v>7.4252415499697113</v>
      </c>
    </row>
    <row r="17" spans="1:10" x14ac:dyDescent="0.2">
      <c r="A17" s="4" t="s">
        <v>17</v>
      </c>
      <c r="B17">
        <v>-0.61980804137564283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1.8321967883598134</v>
      </c>
      <c r="J17">
        <f>(Table3[[#This Row],[HomeMargin]]-Table3[[#This Row],[HomeForecast]])^2</f>
        <v>0.69255149455638798</v>
      </c>
    </row>
    <row r="18" spans="1:10" x14ac:dyDescent="0.2">
      <c r="A18" s="4" t="s">
        <v>11</v>
      </c>
      <c r="B18">
        <v>-0.28105923893144158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0.17330573856114273</v>
      </c>
      <c r="J18">
        <f>(Table3[[#This Row],[HomeMargin]]-Table3[[#This Row],[HomeForecast]])^2</f>
        <v>17.416480787507368</v>
      </c>
    </row>
    <row r="19" spans="1:10" x14ac:dyDescent="0.2">
      <c r="A19" s="4" t="s">
        <v>13</v>
      </c>
      <c r="B19">
        <v>-7.5459708298993802E-2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0.39509897570525299</v>
      </c>
      <c r="J19">
        <f>(Table3[[#This Row],[HomeMargin]]-Table3[[#This Row],[HomeForecast]])^2</f>
        <v>0.36590524919283413</v>
      </c>
    </row>
    <row r="20" spans="1:10" x14ac:dyDescent="0.2">
      <c r="A20" s="4" t="s">
        <v>34</v>
      </c>
      <c r="B20">
        <v>-0.53650300840565446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-0.78082997023065948</v>
      </c>
      <c r="J20">
        <f>(Table3[[#This Row],[HomeMargin]]-Table3[[#This Row],[HomeForecast]])^2</f>
        <v>3.1713553828717318</v>
      </c>
    </row>
    <row r="21" spans="1:10" x14ac:dyDescent="0.2">
      <c r="A21" s="4" t="s">
        <v>18</v>
      </c>
      <c r="B21">
        <v>-0.52437726201848234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0.49019278240943442</v>
      </c>
      <c r="J21">
        <f>(Table3[[#This Row],[HomeMargin]]-Table3[[#This Row],[HomeForecast]])^2</f>
        <v>0.25990339910743426</v>
      </c>
    </row>
    <row r="22" spans="1:10" x14ac:dyDescent="0.2">
      <c r="A22" s="4" t="s">
        <v>29</v>
      </c>
      <c r="B22">
        <v>-1.3516250707060606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-0.71654446280165263</v>
      </c>
      <c r="J22">
        <f>(Table3[[#This Row],[HomeMargin]]-Table3[[#This Row],[HomeForecast]])^2</f>
        <v>7.3796138183783206</v>
      </c>
    </row>
    <row r="23" spans="1:10" x14ac:dyDescent="0.2">
      <c r="A23" s="4" t="s">
        <v>24</v>
      </c>
      <c r="B23">
        <v>0.559441163373953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-0.23097200496757456</v>
      </c>
      <c r="J23">
        <f>(Table3[[#This Row],[HomeMargin]]-Table3[[#This Row],[HomeForecast]])^2</f>
        <v>0.59140405714359223</v>
      </c>
    </row>
    <row r="24" spans="1:10" x14ac:dyDescent="0.2">
      <c r="A24" s="4" t="s">
        <v>30</v>
      </c>
      <c r="B24">
        <v>-6.4729560818359025E-2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-0.92208210597012774</v>
      </c>
      <c r="J24">
        <f>(Table3[[#This Row],[HomeMargin]]-Table3[[#This Row],[HomeForecast]])^2</f>
        <v>16.629414350449032</v>
      </c>
    </row>
    <row r="25" spans="1:10" x14ac:dyDescent="0.2">
      <c r="A25" s="4" t="s">
        <v>15</v>
      </c>
      <c r="B25">
        <v>-0.30719665303039001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0.45599732671999299</v>
      </c>
      <c r="J25">
        <f>(Table3[[#This Row],[HomeMargin]]-Table3[[#This Row],[HomeForecast]])^2</f>
        <v>2.1199282154157664</v>
      </c>
    </row>
    <row r="26" spans="1:10" x14ac:dyDescent="0.2">
      <c r="A26" s="4" t="s">
        <v>36</v>
      </c>
      <c r="B26">
        <v>-0.40651947573390851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0.86273189084837087</v>
      </c>
      <c r="J26">
        <f>(Table3[[#This Row],[HomeMargin]]-Table3[[#This Row],[HomeForecast]])^2</f>
        <v>9.8424511886998385</v>
      </c>
    </row>
    <row r="27" spans="1:10" x14ac:dyDescent="0.2">
      <c r="A27" s="4" t="s">
        <v>27</v>
      </c>
      <c r="B27">
        <v>-0.51358590497437617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6.9582227419810405E-2</v>
      </c>
      <c r="J27">
        <f>(Table3[[#This Row],[HomeMargin]]-Table3[[#This Row],[HomeForecast]])^2</f>
        <v>1.1440061412123228</v>
      </c>
    </row>
    <row r="28" spans="1:10" x14ac:dyDescent="0.2">
      <c r="A28" s="4" t="s">
        <v>14</v>
      </c>
      <c r="B28">
        <v>0.26289091192875702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1.0712049650610593</v>
      </c>
      <c r="J28">
        <f>(Table3[[#This Row],[HomeMargin]]-Table3[[#This Row],[HomeForecast]])^2</f>
        <v>0.86266021692722805</v>
      </c>
    </row>
    <row r="29" spans="1:10" x14ac:dyDescent="0.2">
      <c r="A29" s="4" t="s">
        <v>33</v>
      </c>
      <c r="B29">
        <v>-0.39418177254008485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1.3480974270603727</v>
      </c>
      <c r="J29">
        <f>(Table3[[#This Row],[HomeMargin]]-Table3[[#This Row],[HomeForecast]])^2</f>
        <v>0.12117181872605151</v>
      </c>
    </row>
    <row r="30" spans="1:10" x14ac:dyDescent="0.2">
      <c r="A30" s="4" t="s">
        <v>32</v>
      </c>
      <c r="B30">
        <v>-0.361361309178443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0.3933613214208862</v>
      </c>
      <c r="J30">
        <f>(Table3[[#This Row],[HomeMargin]]-Table3[[#This Row],[HomeForecast]])^2</f>
        <v>5.7281784148735291</v>
      </c>
    </row>
    <row r="31" spans="1:10" x14ac:dyDescent="0.2">
      <c r="A31" s="4" t="s">
        <v>35</v>
      </c>
      <c r="B31">
        <v>-1.6211574240381006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0.99265926001900251</v>
      </c>
      <c r="J31">
        <f>(Table3[[#This Row],[HomeMargin]]-Table3[[#This Row],[HomeForecast]])^2</f>
        <v>3.9706909265394787</v>
      </c>
    </row>
    <row r="32" spans="1:10" x14ac:dyDescent="0.2">
      <c r="A32" s="4" t="s">
        <v>37</v>
      </c>
      <c r="B32">
        <v>-0.11309445867623392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1.5119783281990222</v>
      </c>
      <c r="J32">
        <f>(Table3[[#This Row],[HomeMargin]]-Table3[[#This Row],[HomeForecast]])^2</f>
        <v>6.3100351213415546</v>
      </c>
    </row>
    <row r="33" spans="1:10" x14ac:dyDescent="0.2">
      <c r="A33" s="4" t="s">
        <v>19</v>
      </c>
      <c r="B33">
        <v>-0.635565543477981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0.28449402002064139</v>
      </c>
      <c r="J33">
        <f>(Table3[[#This Row],[HomeMargin]]-Table3[[#This Row],[HomeForecast]])^2</f>
        <v>7.3739727273036557</v>
      </c>
    </row>
    <row r="34" spans="1:10" x14ac:dyDescent="0.2">
      <c r="A34" t="s">
        <v>55</v>
      </c>
      <c r="B34">
        <v>-0.12212311954851815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0.23297309938015587</v>
      </c>
      <c r="J34">
        <f>(Table3[[#This Row],[HomeMargin]]-Table3[[#This Row],[HomeForecast]])^2</f>
        <v>3.1223840675141723</v>
      </c>
    </row>
    <row r="35" spans="1:10" x14ac:dyDescent="0.2">
      <c r="A35" s="4" t="s">
        <v>38</v>
      </c>
      <c r="B35">
        <v>-0.6902088310934803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0.28803254646478532</v>
      </c>
      <c r="J35">
        <f>(Table3[[#This Row],[HomeMargin]]-Table3[[#This Row],[HomeForecast]])^2</f>
        <v>13.778702376104707</v>
      </c>
    </row>
    <row r="36" spans="1:10" x14ac:dyDescent="0.2">
      <c r="A36" s="4" t="s">
        <v>20</v>
      </c>
      <c r="B36">
        <v>-6.3745791019188943E-4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3.4292092069746705E-2</v>
      </c>
      <c r="J36">
        <f>(Table3[[#This Row],[HomeMargin]]-Table3[[#This Row],[HomeForecast]])^2</f>
        <v>9.2069284999969998</v>
      </c>
    </row>
    <row r="37" spans="1:10" x14ac:dyDescent="0.2">
      <c r="A37" s="4" t="s">
        <v>22</v>
      </c>
      <c r="B37">
        <v>-6.1308839486784707E-2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-1.0669296414952241</v>
      </c>
      <c r="J37">
        <f>(Table3[[#This Row],[HomeMargin]]-Table3[[#This Row],[HomeForecast]])^2</f>
        <v>4.4795769106792194E-3</v>
      </c>
    </row>
    <row r="38" spans="1:10" x14ac:dyDescent="0.2">
      <c r="A38" s="4" t="s">
        <v>40</v>
      </c>
      <c r="B38">
        <v>0.105105258369765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0.15915158833074408</v>
      </c>
      <c r="J38">
        <f>(Table3[[#This Row],[HomeMargin]]-Table3[[#This Row],[HomeForecast]])^2</f>
        <v>4.6619355813911749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0.73265987462146542</v>
      </c>
      <c r="J39">
        <f>(Table3[[#This Row],[HomeMargin]]-Table3[[#This Row],[HomeForecast]])^2</f>
        <v>32.863389238094989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-0.19815154160593271</v>
      </c>
      <c r="J40">
        <f>(Table3[[#This Row],[HomeMargin]]-Table3[[#This Row],[HomeForecast]])^2</f>
        <v>1.4355671166526731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-0.74936492616329442</v>
      </c>
      <c r="J41">
        <f>(Table3[[#This Row],[HomeMargin]]-Table3[[#This Row],[HomeForecast]])^2</f>
        <v>6.2817940237130859E-2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-0.50996331238786852</v>
      </c>
      <c r="J42">
        <f>(Table3[[#This Row],[HomeMargin]]-Table3[[#This Row],[HomeForecast]])^2</f>
        <v>2.2202093304301331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0.34313727633107721</v>
      </c>
      <c r="J43">
        <f>(Table3[[#This Row],[HomeMargin]]-Table3[[#This Row],[HomeForecast]])^2</f>
        <v>0.43146863774575567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-8.3315503881286918E-2</v>
      </c>
      <c r="J44">
        <f>(Table3[[#This Row],[HomeMargin]]-Table3[[#This Row],[HomeForecast]])^2</f>
        <v>0.8403104654244189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0.31595818748711624</v>
      </c>
      <c r="J45">
        <f>(Table3[[#This Row],[HomeMargin]]-Table3[[#This Row],[HomeForecast]])^2</f>
        <v>1.7317459512143762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-2.2532702857368352</v>
      </c>
      <c r="J46">
        <f>(Table3[[#This Row],[HomeMargin]]-Table3[[#This Row],[HomeForecast]])^2</f>
        <v>6.4145837637218137E-2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-0.80509164452471738</v>
      </c>
      <c r="J47">
        <f>(Table3[[#This Row],[HomeMargin]]-Table3[[#This Row],[HomeForecast]])^2</f>
        <v>3.7989267034079136E-2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0.59040511754903824</v>
      </c>
      <c r="J48">
        <f>(Table3[[#This Row],[HomeMargin]]-Table3[[#This Row],[HomeForecast]])^2</f>
        <v>1.986957732631941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-0.29847099044434228</v>
      </c>
      <c r="J49">
        <f>(Table3[[#This Row],[HomeMargin]]-Table3[[#This Row],[HomeForecast]])^2</f>
        <v>1.6860269130255114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-7.2625095258056355E-3</v>
      </c>
      <c r="J50">
        <f>(Table3[[#This Row],[HomeMargin]]-Table3[[#This Row],[HomeForecast]])^2</f>
        <v>8.9564776868897802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1.1076779046344705</v>
      </c>
      <c r="J51">
        <f>(Table3[[#This Row],[HomeMargin]]-Table3[[#This Row],[HomeForecast]])^2</f>
        <v>16.873017768222233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-6.9954356380616201E-2</v>
      </c>
      <c r="J52">
        <f>(Table3[[#This Row],[HomeMargin]]-Table3[[#This Row],[HomeForecast]])^2</f>
        <v>9.4246197502603231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4.0650599303995394E-2</v>
      </c>
      <c r="J53">
        <f>(Table3[[#This Row],[HomeMargin]]-Table3[[#This Row],[HomeForecast]])^2</f>
        <v>1.0829536698317648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1.0935209026069388</v>
      </c>
      <c r="J54">
        <f>(Table3[[#This Row],[HomeMargin]]-Table3[[#This Row],[HomeForecast]])^2</f>
        <v>16.756913380079922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0.41743686101908939</v>
      </c>
      <c r="J55">
        <f>(Table3[[#This Row],[HomeMargin]]-Table3[[#This Row],[HomeForecast]])^2</f>
        <v>0.33937981089929176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-1.2271586447070224</v>
      </c>
      <c r="J56">
        <f>(Table3[[#This Row],[HomeMargin]]-Table3[[#This Row],[HomeForecast]])^2</f>
        <v>0.59728376045108644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0.89717065868024592</v>
      </c>
      <c r="J57">
        <f>(Table3[[#This Row],[HomeMargin]]-Table3[[#This Row],[HomeForecast]])^2</f>
        <v>4.4218912387152711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-4.4364317772094264E-4</v>
      </c>
      <c r="J58">
        <f>(Table3[[#This Row],[HomeMargin]]-Table3[[#This Row],[HomeForecast]])^2</f>
        <v>1.0008874831747112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0.47518369800757121</v>
      </c>
      <c r="J59">
        <f>(Table3[[#This Row],[HomeMargin]]-Table3[[#This Row],[HomeForecast]])^2</f>
        <v>6.1265343388824354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-0.90354867530144456</v>
      </c>
      <c r="J60">
        <f>(Table3[[#This Row],[HomeMargin]]-Table3[[#This Row],[HomeForecast]])^2</f>
        <v>9.5880108062274374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0.87863183689039803</v>
      </c>
      <c r="J61">
        <f>(Table3[[#This Row],[HomeMargin]]-Table3[[#This Row],[HomeForecast]])^2</f>
        <v>4.5002028834550059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0.21435792885176763</v>
      </c>
      <c r="J62">
        <f>(Table3[[#This Row],[HomeMargin]]-Table3[[#This Row],[HomeForecast]])^2</f>
        <v>0.61723346395808421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-0.29924945085394999</v>
      </c>
      <c r="J63">
        <f>(Table3[[#This Row],[HomeMargin]]-Table3[[#This Row],[HomeForecast]])^2</f>
        <v>18.483545840667993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-7.0012284525898028E-2</v>
      </c>
      <c r="J64">
        <f>(Table3[[#This Row],[HomeMargin]]-Table3[[#This Row],[HomeForecast]])^2</f>
        <v>9.4249754271399233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-1.764294802713984</v>
      </c>
      <c r="J65">
        <f>(Table3[[#This Row],[HomeMargin]]-Table3[[#This Row],[HomeForecast]])^2</f>
        <v>10.469788123743736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1.430817602393333</v>
      </c>
      <c r="J66">
        <f>(Table3[[#This Row],[HomeMargin]]-Table3[[#This Row],[HomeForecast]])^2</f>
        <v>0.32396860174527398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8.3885605241682537E-3</v>
      </c>
      <c r="J67">
        <f>(Table3[[#This Row],[HomeMargin]]-Table3[[#This Row],[HomeForecast]])^2</f>
        <v>9.0504017310926788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-1.7931518402997413</v>
      </c>
      <c r="J68">
        <f>(Table3[[#This Row],[HomeMargin]]-Table3[[#This Row],[HomeForecast]])^2</f>
        <v>1.4564824805719012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1.0508764813680718</v>
      </c>
      <c r="J69">
        <f>(Table3[[#This Row],[HomeMargin]]-Table3[[#This Row],[HomeForecast]])^2</f>
        <v>9.3078473045648256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-0.17577831056543242</v>
      </c>
      <c r="J70">
        <f>(Table3[[#This Row],[HomeMargin]]-Table3[[#This Row],[HomeForecast]])^2</f>
        <v>3.3277847722035077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0.98982011834989669</v>
      </c>
      <c r="J71">
        <f>(Table3[[#This Row],[HomeMargin]]-Table3[[#This Row],[HomeForecast]])^2</f>
        <v>1.0362999041011001E-4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1.003072711967713</v>
      </c>
      <c r="J72">
        <f>(Table3[[#This Row],[HomeMargin]]-Table3[[#This Row],[HomeForecast]])^2</f>
        <v>0.99386401762341059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0.71765079021960221</v>
      </c>
      <c r="J73">
        <f>(Table3[[#This Row],[HomeMargin]]-Table3[[#This Row],[HomeForecast]])^2</f>
        <v>1.6444194958244109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0.11741414310685289</v>
      </c>
      <c r="J74">
        <f>(Table3[[#This Row],[HomeMargin]]-Table3[[#This Row],[HomeForecast]])^2</f>
        <v>0.77895779478781069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-0.45611885368182281</v>
      </c>
      <c r="J75">
        <f>(Table3[[#This Row],[HomeMargin]]-Table3[[#This Row],[HomeForecast]])^2</f>
        <v>6.4713312865930819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-0.1657965807852726</v>
      </c>
      <c r="J76">
        <f>(Table3[[#This Row],[HomeMargin]]-Table3[[#This Row],[HomeForecast]])^2</f>
        <v>1.3590816677706326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0.12164343260356257</v>
      </c>
      <c r="J77">
        <f>(Table3[[#This Row],[HomeMargin]]-Table3[[#This Row],[HomeForecast]])^2</f>
        <v>0.77151025948845231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1.1584908290940004</v>
      </c>
      <c r="J78">
        <f>(Table3[[#This Row],[HomeMargin]]-Table3[[#This Row],[HomeForecast]])^2</f>
        <v>4.6590826592829044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-0.2379770647811057</v>
      </c>
      <c r="J79">
        <f>(Table3[[#This Row],[HomeMargin]]-Table3[[#This Row],[HomeForecast]])^2</f>
        <v>1.5325872129240419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0.43463096265388512</v>
      </c>
      <c r="J80">
        <f>(Table3[[#This Row],[HomeMargin]]-Table3[[#This Row],[HomeForecast]])^2</f>
        <v>6.5811182977741334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0.63776647858118818</v>
      </c>
      <c r="J81">
        <f>(Table3[[#This Row],[HomeMargin]]-Table3[[#This Row],[HomeForecast]])^2</f>
        <v>11.304614252552344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-0.42470968765641692</v>
      </c>
      <c r="J82">
        <f>(Table3[[#This Row],[HomeMargin]]-Table3[[#This Row],[HomeForecast]])^2</f>
        <v>11.728636444727714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-0.13255602247453047</v>
      </c>
      <c r="J83">
        <f>(Table3[[#This Row],[HomeMargin]]-Table3[[#This Row],[HomeForecast]])^2</f>
        <v>1.2826831440433288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1.6697822496627313</v>
      </c>
      <c r="J84">
        <f>(Table3[[#This Row],[HomeMargin]]-Table3[[#This Row],[HomeForecast]])^2</f>
        <v>1.7694792633123442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-0.58482661106035361</v>
      </c>
      <c r="J85">
        <f>(Table3[[#This Row],[HomeMargin]]-Table3[[#This Row],[HomeForecast]])^2</f>
        <v>0.17236894288363089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-5.4608299325773935E-2</v>
      </c>
      <c r="J86">
        <f>(Table3[[#This Row],[HomeMargin]]-Table3[[#This Row],[HomeForecast]])^2</f>
        <v>0.89376546770370546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1.3418215144119143</v>
      </c>
      <c r="J87">
        <f>(Table3[[#This Row],[HomeMargin]]-Table3[[#This Row],[HomeForecast]])^2</f>
        <v>0.43319891889102591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-0.1792176052532311</v>
      </c>
      <c r="J88">
        <f>(Table3[[#This Row],[HomeMargin]]-Table3[[#This Row],[HomeForecast]])^2</f>
        <v>0.67368373952624083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0.18548941309359668</v>
      </c>
      <c r="J89">
        <f>(Table3[[#This Row],[HomeMargin]]-Table3[[#This Row],[HomeForecast]])^2</f>
        <v>0.66342749618261365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-0.49450037480652348</v>
      </c>
      <c r="J90">
        <f>(Table3[[#This Row],[HomeMargin]]-Table3[[#This Row],[HomeForecast]])^2</f>
        <v>6.2775283718446513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-1.6566804549880552</v>
      </c>
      <c r="J91">
        <f>(Table3[[#This Row],[HomeMargin]]-Table3[[#This Row],[HomeForecast]])^2</f>
        <v>13.371311949891648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-0.1116319246372196</v>
      </c>
      <c r="J92">
        <f>(Table3[[#This Row],[HomeMargin]]-Table3[[#This Row],[HomeForecast]])^2</f>
        <v>0.78919783732377069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1.5523032640316592</v>
      </c>
      <c r="J93">
        <f>(Table3[[#This Row],[HomeMargin]]-Table3[[#This Row],[HomeForecast]])^2</f>
        <v>11.886612783206752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1.619302638738144</v>
      </c>
      <c r="J94">
        <f>(Table3[[#This Row],[HomeMargin]]-Table3[[#This Row],[HomeForecast]])^2</f>
        <v>1.9063252033954523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-4.94734652850079E-2</v>
      </c>
      <c r="J95">
        <f>(Table3[[#This Row],[HomeMargin]]-Table3[[#This Row],[HomeForecast]])^2</f>
        <v>1.1013945543373227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0.26873651791830322</v>
      </c>
      <c r="J96">
        <f>(Table3[[#This Row],[HomeMargin]]-Table3[[#This Row],[HomeForecast]])^2</f>
        <v>2.9972732443896417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1.5777096523632295E-4</v>
      </c>
      <c r="J97">
        <f>(Table3[[#This Row],[HomeMargin]]-Table3[[#This Row],[HomeForecast]])^2</f>
        <v>0.99968448296120493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0.79147230126901402</v>
      </c>
      <c r="J98">
        <f>(Table3[[#This Row],[HomeMargin]]-Table3[[#This Row],[HomeForecast]])^2</f>
        <v>3.2093730062140966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-1.3329013609869793</v>
      </c>
      <c r="J99">
        <f>(Table3[[#This Row],[HomeMargin]]-Table3[[#This Row],[HomeForecast]])^2</f>
        <v>0.11082331614698311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0.50653628389401295</v>
      </c>
      <c r="J100">
        <f>(Table3[[#This Row],[HomeMargin]]-Table3[[#This Row],[HomeForecast]])^2</f>
        <v>2.2304338713251046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0.39187866503758284</v>
      </c>
      <c r="J101">
        <f>(Table3[[#This Row],[HomeMargin]]-Table3[[#This Row],[HomeForecast]])^2</f>
        <v>5.7210835482619702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1.0347713866385222E-2</v>
      </c>
      <c r="J102">
        <f>(Table3[[#This Row],[HomeMargin]]-Table3[[#This Row],[HomeForecast]])^2</f>
        <v>8.9380207919839503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-0.51000436067155164</v>
      </c>
      <c r="J103">
        <f>(Table3[[#This Row],[HomeMargin]]-Table3[[#This Row],[HomeForecast]])^2</f>
        <v>12.320130611933308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0.48392296774232391</v>
      </c>
      <c r="J104">
        <f>(Table3[[#This Row],[HomeMargin]]-Table3[[#This Row],[HomeForecast]])^2</f>
        <v>2.2020273741931859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0.76889044108767424</v>
      </c>
      <c r="J105">
        <f>(Table3[[#This Row],[HomeMargin]]-Table3[[#This Row],[HomeForecast]])^2</f>
        <v>22.742316039097389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-1.7068082243292704</v>
      </c>
      <c r="J106">
        <f>(Table3[[#This Row],[HomeMargin]]-Table3[[#This Row],[HomeForecast]])^2</f>
        <v>1.6723449686624148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0.49202452138404423</v>
      </c>
      <c r="J107">
        <f>(Table3[[#This Row],[HomeMargin]]-Table3[[#This Row],[HomeForecast]])^2</f>
        <v>0.2580390868751094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0.37586087530405271</v>
      </c>
      <c r="J108">
        <f>(Table3[[#This Row],[HomeMargin]]-Table3[[#This Row],[HomeForecast]])^2</f>
        <v>1.892993148192434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1.1156720526845558</v>
      </c>
      <c r="J109">
        <f>(Table3[[#This Row],[HomeMargin]]-Table3[[#This Row],[HomeForecast]])^2</f>
        <v>8.3193477076649245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-1.3831254060767884</v>
      </c>
      <c r="J110">
        <f>(Table3[[#This Row],[HomeMargin]]-Table3[[#This Row],[HomeForecast]])^2</f>
        <v>0.14678507678150399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-1.0324343971896157</v>
      </c>
      <c r="J111">
        <f>(Table3[[#This Row],[HomeMargin]]-Table3[[#This Row],[HomeForecast]])^2</f>
        <v>3.8713144013625911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-1.5070521690351766</v>
      </c>
      <c r="J112">
        <f>(Table3[[#This Row],[HomeMargin]]-Table3[[#This Row],[HomeForecast]])^2</f>
        <v>6.2853105782639851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0.46262477935397672</v>
      </c>
      <c r="J113">
        <f>(Table3[[#This Row],[HomeMargin]]-Table3[[#This Row],[HomeForecast]])^2</f>
        <v>6.4382730103484551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-0.1921250934682005</v>
      </c>
      <c r="J114">
        <f>(Table3[[#This Row],[HomeMargin]]-Table3[[#This Row],[HomeForecast]])^2</f>
        <v>4.8054124254129675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-0.70341884059873205</v>
      </c>
      <c r="J115">
        <f>(Table3[[#This Row],[HomeMargin]]-Table3[[#This Row],[HomeForecast]])^2</f>
        <v>8.7960384111800308E-2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1.2585164814419258</v>
      </c>
      <c r="J116">
        <f>(Table3[[#This Row],[HomeMargin]]-Table3[[#This Row],[HomeForecast]])^2</f>
        <v>3.0327648454094103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-0.31489173447464569</v>
      </c>
      <c r="J117">
        <f>(Table3[[#This Row],[HomeMargin]]-Table3[[#This Row],[HomeForecast]])^2</f>
        <v>2.8395898665418677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1.0381344563876169</v>
      </c>
      <c r="J118">
        <f>(Table3[[#This Row],[HomeMargin]]-Table3[[#This Row],[HomeForecast]])^2</f>
        <v>4.1539920623144466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0.4361273585735852</v>
      </c>
      <c r="J119">
        <f>(Table3[[#This Row],[HomeMargin]]-Table3[[#This Row],[HomeForecast]])^2</f>
        <v>2.0624617900435429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6.7141530305157904E-2</v>
      </c>
      <c r="J120">
        <f>(Table3[[#This Row],[HomeMargin]]-Table3[[#This Row],[HomeForecast]])^2</f>
        <v>0.87022492448140265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-0.38137784119788021</v>
      </c>
      <c r="J121">
        <f>(Table3[[#This Row],[HomeMargin]]-Table3[[#This Row],[HomeForecast]])^2</f>
        <v>2.6199376929652343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-0.49884392995026194</v>
      </c>
      <c r="J122">
        <f>(Table3[[#This Row],[HomeMargin]]-Table3[[#This Row],[HomeForecast]])^2</f>
        <v>2.246533126348746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0.61148658196361738</v>
      </c>
      <c r="J123">
        <f>(Table3[[#This Row],[HomeMargin]]-Table3[[#This Row],[HomeForecast]])^2</f>
        <v>19.259050020285375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0.24955742917201323</v>
      </c>
      <c r="J124">
        <f>(Table3[[#This Row],[HomeMargin]]-Table3[[#This Row],[HomeForecast]])^2</f>
        <v>1.561393768798971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0.26963873890278606</v>
      </c>
      <c r="J125">
        <f>(Table3[[#This Row],[HomeMargin]]-Table3[[#This Row],[HomeForecast]])^2</f>
        <v>0.53342757171151267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-1.336461994827264</v>
      </c>
      <c r="J126">
        <f>(Table3[[#This Row],[HomeMargin]]-Table3[[#This Row],[HomeForecast]])^2</f>
        <v>2.7673586946540856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-0.25623183735211724</v>
      </c>
      <c r="J127">
        <f>(Table3[[#This Row],[HomeMargin]]-Table3[[#This Row],[HomeForecast]])^2</f>
        <v>0.55319107976860726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0.62903887721052643</v>
      </c>
      <c r="J128">
        <f>(Table3[[#This Row],[HomeMargin]]-Table3[[#This Row],[HomeForecast]])^2</f>
        <v>13.169923172305438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-7.0203383109877504E-2</v>
      </c>
      <c r="J129">
        <f>(Table3[[#This Row],[HomeMargin]]-Table3[[#This Row],[HomeForecast]])^2</f>
        <v>4.285742047439582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-0.18434164166397968</v>
      </c>
      <c r="J130">
        <f>(Table3[[#This Row],[HomeMargin]]-Table3[[#This Row],[HomeForecast]])^2</f>
        <v>14.559248707539535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1.1161952455763562</v>
      </c>
      <c r="J131">
        <f>(Table3[[#This Row],[HomeMargin]]-Table3[[#This Row],[HomeForecast]])^2</f>
        <v>0.78111084394183738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1.6580459803116163</v>
      </c>
      <c r="J132">
        <f>(Table3[[#This Row],[HomeMargin]]-Table3[[#This Row],[HomeForecast]])^2</f>
        <v>0.1169325515810435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-1.3446376303380945</v>
      </c>
      <c r="J133">
        <f>(Table3[[#This Row],[HomeMargin]]-Table3[[#This Row],[HomeForecast]])^2</f>
        <v>5.4973256175974337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-0.31127156214908674</v>
      </c>
      <c r="J134">
        <f>(Table3[[#This Row],[HomeMargin]]-Table3[[#This Row],[HomeForecast]])^2</f>
        <v>1.7194331097009061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1.270085900580761</v>
      </c>
      <c r="J135">
        <f>(Table3[[#This Row],[HomeMargin]]-Table3[[#This Row],[HomeForecast]])^2</f>
        <v>0.53277459253099879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-0.1178494713589313</v>
      </c>
      <c r="J136">
        <f>(Table3[[#This Row],[HomeMargin]]-Table3[[#This Row],[HomeForecast]])^2</f>
        <v>9.7209853260531656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-0.25180757919481789</v>
      </c>
      <c r="J137">
        <f>(Table3[[#This Row],[HomeMargin]]-Table3[[#This Row],[HomeForecast]])^2</f>
        <v>14.048946423381413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-1.1135930527447484</v>
      </c>
      <c r="J138">
        <f>(Table3[[#This Row],[HomeMargin]]-Table3[[#This Row],[HomeForecast]])^2</f>
        <v>4.4672755926108652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-0.28628403449369877</v>
      </c>
      <c r="J139">
        <f>(Table3[[#This Row],[HomeMargin]]-Table3[[#This Row],[HomeForecast]])^2</f>
        <v>1.6545266173933868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0.83368601240415818</v>
      </c>
      <c r="J140">
        <f>(Table3[[#This Row],[HomeMargin]]-Table3[[#This Row],[HomeForecast]])^2</f>
        <v>3.3624043920866629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0.42101904185951822</v>
      </c>
      <c r="J141">
        <f>(Table3[[#This Row],[HomeMargin]]-Table3[[#This Row],[HomeForecast]])^2</f>
        <v>0.33521894988927031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-0.46827761229944354</v>
      </c>
      <c r="J142">
        <f>(Table3[[#This Row],[HomeMargin]]-Table3[[#This Row],[HomeForecast]])^2</f>
        <v>2.1558391467797553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0.39534800243451429</v>
      </c>
      <c r="J143">
        <f>(Table3[[#This Row],[HomeMargin]]-Table3[[#This Row],[HomeForecast]])^2</f>
        <v>0.36560403815993214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-3.2592594126795715E-3</v>
      </c>
      <c r="J144">
        <f>(Table3[[#This Row],[HomeMargin]]-Table3[[#This Row],[HomeForecast]])^2</f>
        <v>0.99349210394655996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0.50778294590944217</v>
      </c>
      <c r="J145">
        <f>(Table3[[#This Row],[HomeMargin]]-Table3[[#This Row],[HomeForecast]])^2</f>
        <v>42.351238871069775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-0.92059944958682438</v>
      </c>
      <c r="J146">
        <f>(Table3[[#This Row],[HomeMargin]]-Table3[[#This Row],[HomeForecast]])^2</f>
        <v>24.212298943274156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0.5437417062995139</v>
      </c>
      <c r="J147">
        <f>(Table3[[#This Row],[HomeMargin]]-Table3[[#This Row],[HomeForecast]])^2</f>
        <v>6.4706218683675623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2.0251073796748786E-2</v>
      </c>
      <c r="J148">
        <f>(Table3[[#This Row],[HomeMargin]]-Table3[[#This Row],[HomeForecast]])^2</f>
        <v>1.0409122535834188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-0.8254878861127054</v>
      </c>
      <c r="J149">
        <f>(Table3[[#This Row],[HomeMargin]]-Table3[[#This Row],[HomeForecast]])^2</f>
        <v>3.3324060223442333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-1.3871481016560152</v>
      </c>
      <c r="J150">
        <f>(Table3[[#This Row],[HomeMargin]]-Table3[[#This Row],[HomeForecast]])^2</f>
        <v>0.14988365261585629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5.0115308896276356E-2</v>
      </c>
      <c r="J151">
        <f>(Table3[[#This Row],[HomeMargin]]-Table3[[#This Row],[HomeForecast]])^2</f>
        <v>0.90228092639321644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9.2171519944480917E-2</v>
      </c>
      <c r="J152">
        <f>(Table3[[#This Row],[HomeMargin]]-Table3[[#This Row],[HomeForecast]])^2</f>
        <v>0.82415254919991399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0.3898006875806016</v>
      </c>
      <c r="J153">
        <f>(Table3[[#This Row],[HomeMargin]]-Table3[[#This Row],[HomeForecast]])^2</f>
        <v>1.9315459511995128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-0.28423858522015405</v>
      </c>
      <c r="J154">
        <f>(Table3[[#This Row],[HomeMargin]]-Table3[[#This Row],[HomeForecast]])^2</f>
        <v>27.923177425529499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2.0466206456291758</v>
      </c>
      <c r="J155">
        <f>(Table3[[#This Row],[HomeMargin]]-Table3[[#This Row],[HomeForecast]])^2</f>
        <v>0.90893219334052966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0.26759328962924134</v>
      </c>
      <c r="J156">
        <f>(Table3[[#This Row],[HomeMargin]]-Table3[[#This Row],[HomeForecast]])^2</f>
        <v>7.4660464308791514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-0.29754613577477573</v>
      </c>
      <c r="J157">
        <f>(Table3[[#This Row],[HomeMargin]]-Table3[[#This Row],[HomeForecast]])^2</f>
        <v>0.49344143136494983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0.83514897999618842</v>
      </c>
      <c r="J158">
        <f>(Table3[[#This Row],[HomeMargin]]-Table3[[#This Row],[HomeForecast]])^2</f>
        <v>14.708367698765805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0.87480147373442863</v>
      </c>
      <c r="J159">
        <f>(Table3[[#This Row],[HomeMargin]]-Table3[[#This Row],[HomeForecast]])^2</f>
        <v>9.7668658285724987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1.1506325054373421</v>
      </c>
      <c r="J160">
        <f>(Table3[[#This Row],[HomeMargin]]-Table3[[#This Row],[HomeForecast]])^2</f>
        <v>8.1188951190702792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0.42197648976137614</v>
      </c>
      <c r="J161">
        <f>(Table3[[#This Row],[HomeMargin]]-Table3[[#This Row],[HomeForecast]])^2</f>
        <v>0.33411117838858051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-0.33511261216480626</v>
      </c>
      <c r="J162">
        <f>(Table3[[#This Row],[HomeMargin]]-Table3[[#This Row],[HomeForecast]])^2</f>
        <v>11.122976135820759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-0.6362423925546512</v>
      </c>
      <c r="J163">
        <f>(Table3[[#This Row],[HomeMargin]]-Table3[[#This Row],[HomeForecast]])^2</f>
        <v>0.13231959697436446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-0.4790359571131011</v>
      </c>
      <c r="J164">
        <f>(Table3[[#This Row],[HomeMargin]]-Table3[[#This Row],[HomeForecast]])^2</f>
        <v>0.27140353398106265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-1.0759583023675083</v>
      </c>
      <c r="J165">
        <f>(Table3[[#This Row],[HomeMargin]]-Table3[[#This Row],[HomeForecast]])^2</f>
        <v>3.7019364542285205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-0.6139045072408148</v>
      </c>
      <c r="J166">
        <f>(Table3[[#This Row],[HomeMargin]]-Table3[[#This Row],[HomeForecast]])^2</f>
        <v>2.6046877584922177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0.32558826250235773</v>
      </c>
      <c r="J167">
        <f>(Table3[[#This Row],[HomeMargin]]-Table3[[#This Row],[HomeForecast]])^2</f>
        <v>1.75718424168402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-0.15614975457877267</v>
      </c>
      <c r="J168">
        <f>(Table3[[#This Row],[HomeMargin]]-Table3[[#This Row],[HomeForecast]])^2</f>
        <v>0.71208323669746565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-0.9449412812561242</v>
      </c>
      <c r="J169">
        <f>(Table3[[#This Row],[HomeMargin]]-Table3[[#This Row],[HomeForecast]])^2</f>
        <v>4.2232663374852208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0.91737517846387018</v>
      </c>
      <c r="J170">
        <f>(Table3[[#This Row],[HomeMargin]]-Table3[[#This Row],[HomeForecast]])^2</f>
        <v>6.8268611338773025E-3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-0.2204398684007719</v>
      </c>
      <c r="J171">
        <f>(Table3[[#This Row],[HomeMargin]]-Table3[[#This Row],[HomeForecast]])^2</f>
        <v>3.1668342619774617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0.38991506232721662</v>
      </c>
      <c r="J172">
        <f>(Table3[[#This Row],[HomeMargin]]-Table3[[#This Row],[HomeForecast]])^2</f>
        <v>6.8125433818663383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1.0712049650610593</v>
      </c>
      <c r="J173">
        <f>(Table3[[#This Row],[HomeMargin]]-Table3[[#This Row],[HomeForecast]])^2</f>
        <v>5.0701470493466801E-3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0.89924108290435556</v>
      </c>
      <c r="J174">
        <f>(Table3[[#This Row],[HomeMargin]]-Table3[[#This Row],[HomeForecast]])^2</f>
        <v>9.6147058619481545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-0.15003907868293442</v>
      </c>
      <c r="J175">
        <f>(Table3[[#This Row],[HomeMargin]]-Table3[[#This Row],[HomeForecast]])^2</f>
        <v>0.72243356776615497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0.60075643448298255</v>
      </c>
      <c r="J176">
        <f>(Table3[[#This Row],[HomeMargin]]-Table3[[#This Row],[HomeForecast]])^2</f>
        <v>2.562421162538671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-0.63682161067209309</v>
      </c>
      <c r="J177">
        <f>(Table3[[#This Row],[HomeMargin]]-Table3[[#This Row],[HomeForecast]])^2</f>
        <v>5.5846120997864395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1.1464212462079426</v>
      </c>
      <c r="J178">
        <f>(Table3[[#This Row],[HomeMargin]]-Table3[[#This Row],[HomeForecast]])^2</f>
        <v>2.1439181341086948E-2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1.000611475394003</v>
      </c>
      <c r="J179">
        <f>(Table3[[#This Row],[HomeMargin]]-Table3[[#This Row],[HomeForecast]])^2</f>
        <v>3.9975544723261458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-0.7910506262517194</v>
      </c>
      <c r="J180">
        <f>(Table3[[#This Row],[HomeMargin]]-Table3[[#This Row],[HomeForecast]])^2</f>
        <v>14.372064850803552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-0.7683762832823019</v>
      </c>
      <c r="J181">
        <f>(Table3[[#This Row],[HomeMargin]]-Table3[[#This Row],[HomeForecast]])^2</f>
        <v>5.3649546146120462E-2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-0.14861748962618854</v>
      </c>
      <c r="J182">
        <f>(Table3[[#This Row],[HomeMargin]]-Table3[[#This Row],[HomeForecast]])^2</f>
        <v>1.3193221374751671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-3.80321203061183E-2</v>
      </c>
      <c r="J183">
        <f>(Table3[[#This Row],[HomeMargin]]-Table3[[#This Row],[HomeForecast]])^2</f>
        <v>9.2296391640116884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1.1939716060675045</v>
      </c>
      <c r="J184">
        <f>(Table3[[#This Row],[HomeMargin]]-Table3[[#This Row],[HomeForecast]])^2</f>
        <v>3.2617385596903889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-1.3855665073968504</v>
      </c>
      <c r="J185">
        <f>(Table3[[#This Row],[HomeMargin]]-Table3[[#This Row],[HomeForecast]])^2</f>
        <v>0.37752851683250471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0.16599303099389273</v>
      </c>
      <c r="J186">
        <f>(Table3[[#This Row],[HomeMargin]]-Table3[[#This Row],[HomeForecast]])^2</f>
        <v>4.6915258103141095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-0.46907548361279583</v>
      </c>
      <c r="J187">
        <f>(Table3[[#This Row],[HomeMargin]]-Table3[[#This Row],[HomeForecast]])^2</f>
        <v>2.1581827765521697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-0.64446008710107383</v>
      </c>
      <c r="J188">
        <f>(Table3[[#This Row],[HomeMargin]]-Table3[[#This Row],[HomeForecast]])^2</f>
        <v>2.7042489780684718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1.3755069428873363</v>
      </c>
      <c r="J189">
        <f>(Table3[[#This Row],[HomeMargin]]-Table3[[#This Row],[HomeForecast]])^2</f>
        <v>0.14100546415659326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-0.76294542005152621</v>
      </c>
      <c r="J190">
        <f>(Table3[[#This Row],[HomeMargin]]-Table3[[#This Row],[HomeForecast]])^2</f>
        <v>3.1079765540806523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-0.31658226988139621</v>
      </c>
      <c r="J191">
        <f>(Table3[[#This Row],[HomeMargin]]-Table3[[#This Row],[HomeForecast]])^2</f>
        <v>1.7333888733660496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-0.47232856201062839</v>
      </c>
      <c r="J192">
        <f>(Table3[[#This Row],[HomeMargin]]-Table3[[#This Row],[HomeForecast]])^2</f>
        <v>6.3891228984272583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0.31627813235014424</v>
      </c>
      <c r="J193">
        <f>(Table3[[#This Row],[HomeMargin]]-Table3[[#This Row],[HomeForecast]])^2</f>
        <v>7.2023630629020303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4.4714523377744564E-2</v>
      </c>
      <c r="J194">
        <f>(Table3[[#This Row],[HomeMargin]]-Table3[[#This Row],[HomeForecast]])^2</f>
        <v>0.91257034184540964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0.20131565123579054</v>
      </c>
      <c r="J195">
        <f>(Table3[[#This Row],[HomeMargin]]-Table3[[#This Row],[HomeForecast]])^2</f>
        <v>3.2352653864893282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0.28455194816592322</v>
      </c>
      <c r="J196">
        <f>(Table3[[#This Row],[HomeMargin]]-Table3[[#This Row],[HomeForecast]])^2</f>
        <v>10.788281500200561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0.1084076535142654</v>
      </c>
      <c r="J197">
        <f>(Table3[[#This Row],[HomeMargin]]-Table3[[#This Row],[HomeForecast]])^2</f>
        <v>1.2285675263690001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-1.7791108220267433</v>
      </c>
      <c r="J198">
        <f>(Table3[[#This Row],[HomeMargin]]-Table3[[#This Row],[HomeForecast]])^2</f>
        <v>7.7234569611061605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4.7866561033264032E-3</v>
      </c>
      <c r="J199">
        <f>(Table3[[#This Row],[HomeMargin]]-Table3[[#This Row],[HomeForecast]])^2</f>
        <v>8.9713029754566929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0.12088660957389341</v>
      </c>
      <c r="J200">
        <f>(Table3[[#This Row],[HomeMargin]]-Table3[[#This Row],[HomeForecast]])^2</f>
        <v>8.2892939149309122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0.50606553965704215</v>
      </c>
      <c r="J201">
        <f>(Table3[[#This Row],[HomeMargin]]-Table3[[#This Row],[HomeForecast]])^2</f>
        <v>0.243971251114289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1.0393548169674749</v>
      </c>
      <c r="J202">
        <f>(Table3[[#This Row],[HomeMargin]]-Table3[[#This Row],[HomeForecast]])^2</f>
        <v>4.1589680694884432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0.28203437024189154</v>
      </c>
      <c r="J203">
        <f>(Table3[[#This Row],[HomeMargin]]-Table3[[#This Row],[HomeForecast]])^2</f>
        <v>1.6436121264815233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0.15354364879003418</v>
      </c>
      <c r="J204">
        <f>(Table3[[#This Row],[HomeMargin]]-Table3[[#This Row],[HomeForecast]])^2</f>
        <v>4.6377502472438943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-0.49884392995026194</v>
      </c>
      <c r="J205">
        <f>(Table3[[#This Row],[HomeMargin]]-Table3[[#This Row],[HomeForecast]])^2</f>
        <v>0.25115740654769797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-0.50449868785432628</v>
      </c>
      <c r="J206">
        <f>(Table3[[#This Row],[HomeMargin]]-Table3[[#This Row],[HomeForecast]])^2</f>
        <v>6.2725136774640422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-0.83877707300013937</v>
      </c>
      <c r="J207">
        <f>(Table3[[#This Row],[HomeMargin]]-Table3[[#This Row],[HomeForecast]])^2</f>
        <v>3.3811011241909599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-0.73588414574441963</v>
      </c>
      <c r="J208">
        <f>(Table3[[#This Row],[HomeMargin]]-Table3[[#This Row],[HomeForecast]])^2</f>
        <v>3.0132937674468336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0.96138701187928799</v>
      </c>
      <c r="J209">
        <f>(Table3[[#This Row],[HomeMargin]]-Table3[[#This Row],[HomeForecast]])^2</f>
        <v>9.2331688915758825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-0.58364580703934033</v>
      </c>
      <c r="J210">
        <f>(Table3[[#This Row],[HomeMargin]]-Table3[[#This Row],[HomeForecast]])^2</f>
        <v>0.17335081399592223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1.8231681274875291</v>
      </c>
      <c r="J211">
        <f>(Table3[[#This Row],[HomeMargin]]-Table3[[#This Row],[HomeForecast]])^2</f>
        <v>0.67760576611132495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0.98047569165023418</v>
      </c>
      <c r="J212">
        <f>(Table3[[#This Row],[HomeMargin]]-Table3[[#This Row],[HomeForecast]])^2</f>
        <v>3.811986165367352E-4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-1.7992657006440413E-2</v>
      </c>
      <c r="J213">
        <f>(Table3[[#This Row],[HomeMargin]]-Table3[[#This Row],[HomeForecast]])^2</f>
        <v>9.1082796777447932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0.97769437196272457</v>
      </c>
      <c r="J214">
        <f>(Table3[[#This Row],[HomeMargin]]-Table3[[#This Row],[HomeForecast]])^2</f>
        <v>4.9754104213728758E-4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0.15178095261821223</v>
      </c>
      <c r="J215">
        <f>(Table3[[#This Row],[HomeMargin]]-Table3[[#This Row],[HomeForecast]])^2</f>
        <v>1.3265993628141166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5.7551329695395448E-2</v>
      </c>
      <c r="J216">
        <f>(Table3[[#This Row],[HomeMargin]]-Table3[[#This Row],[HomeForecast]])^2</f>
        <v>1.1184148149404993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-0.81656355579174977</v>
      </c>
      <c r="J217">
        <f>(Table3[[#This Row],[HomeMargin]]-Table3[[#This Row],[HomeForecast]])^2</f>
        <v>4.7673947058967672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0.67557868487178452</v>
      </c>
      <c r="J218">
        <f>(Table3[[#This Row],[HomeMargin]]-Table3[[#This Row],[HomeForecast]])^2</f>
        <v>0.10524918970952089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-0.81957331180413162</v>
      </c>
      <c r="J219">
        <f>(Table3[[#This Row],[HomeMargin]]-Table3[[#This Row],[HomeForecast]])^2</f>
        <v>23.228286907854649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0.19539277302396024</v>
      </c>
      <c r="J220">
        <f>(Table3[[#This Row],[HomeMargin]]-Table3[[#This Row],[HomeForecast]])^2</f>
        <v>26.992106065989596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-0.35087011426714443</v>
      </c>
      <c r="J221">
        <f>(Table3[[#This Row],[HomeMargin]]-Table3[[#This Row],[HomeForecast]])^2</f>
        <v>5.5265902941544178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-0.83334620976936358</v>
      </c>
      <c r="J222">
        <f>(Table3[[#This Row],[HomeMargin]]-Table3[[#This Row],[HomeForecast]])^2</f>
        <v>4.6943886467207836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1.7224208942136343</v>
      </c>
      <c r="J223">
        <f>(Table3[[#This Row],[HomeMargin]]-Table3[[#This Row],[HomeForecast]])^2</f>
        <v>10.742524794687352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0.60938320454479089</v>
      </c>
      <c r="J224">
        <f>(Table3[[#This Row],[HomeMargin]]-Table3[[#This Row],[HomeForecast]])^2</f>
        <v>0.15258148089169668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0.91538849745024209</v>
      </c>
      <c r="J225">
        <f>(Table3[[#This Row],[HomeMargin]]-Table3[[#This Row],[HomeForecast]])^2</f>
        <v>15.330267085965664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1.371014530491651</v>
      </c>
      <c r="J226">
        <f>(Table3[[#This Row],[HomeMargin]]-Table3[[#This Row],[HomeForecast]])^2</f>
        <v>0.13765178183594023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-0.15708781301093661</v>
      </c>
      <c r="J227">
        <f>(Table3[[#This Row],[HomeMargin]]-Table3[[#This Row],[HomeForecast]])^2</f>
        <v>3.3963253289528126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0.36817184029476618</v>
      </c>
      <c r="J228">
        <f>(Table3[[#This Row],[HomeMargin]]-Table3[[#This Row],[HomeForecast]])^2</f>
        <v>11.344581545754631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1.2463907350547538</v>
      </c>
      <c r="J229">
        <f>(Table3[[#This Row],[HomeMargin]]-Table3[[#This Row],[HomeForecast]])^2</f>
        <v>6.0708394320821903E-2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-0.67546685606936607</v>
      </c>
      <c r="J230">
        <f>(Table3[[#This Row],[HomeMargin]]-Table3[[#This Row],[HomeForecast]])^2</f>
        <v>1.7543880493707691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0.48677206107786014</v>
      </c>
      <c r="J231">
        <f>(Table3[[#This Row],[HomeMargin]]-Table3[[#This Row],[HomeForecast]])^2</f>
        <v>2.2898587951345477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0.27502931042836043</v>
      </c>
      <c r="J232">
        <f>(Table3[[#This Row],[HomeMargin]]-Table3[[#This Row],[HomeForecast]])^2</f>
        <v>10.725816984164862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-1.5335057909554162</v>
      </c>
      <c r="J233">
        <f>(Table3[[#This Row],[HomeMargin]]-Table3[[#This Row],[HomeForecast]])^2</f>
        <v>6.0835936832504673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-4.3874870426949597E-2</v>
      </c>
      <c r="J234">
        <f>(Table3[[#This Row],[HomeMargin]]-Table3[[#This Row],[HomeForecast]])^2</f>
        <v>8.7386757816932832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0.63434575724961384</v>
      </c>
      <c r="J235">
        <f>(Table3[[#This Row],[HomeMargin]]-Table3[[#This Row],[HomeForecast]])^2</f>
        <v>13.208469083238269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-0.33671472124753143</v>
      </c>
      <c r="J236">
        <f>(Table3[[#This Row],[HomeMargin]]-Table3[[#This Row],[HomeForecast]])^2</f>
        <v>1.7868062459998657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1.7028527583361734</v>
      </c>
      <c r="J237">
        <f>(Table3[[#This Row],[HomeMargin]]-Table3[[#This Row],[HomeForecast]])^2</f>
        <v>1.6825909665560737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-2.0047370908623012</v>
      </c>
      <c r="J238">
        <f>(Table3[[#This Row],[HomeMargin]]-Table3[[#This Row],[HomeForecast]])^2</f>
        <v>35.943177349682223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-0.23968183280764579</v>
      </c>
      <c r="J239">
        <f>(Table3[[#This Row],[HomeMargin]]-Table3[[#This Row],[HomeForecast]])^2</f>
        <v>17.974902043439201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0.45912256110751437</v>
      </c>
      <c r="J240">
        <f>(Table3[[#This Row],[HomeMargin]]-Table3[[#This Row],[HomeForecast]])^2</f>
        <v>0.29254840390289455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-1.3871481016560152</v>
      </c>
      <c r="J241">
        <f>(Table3[[#This Row],[HomeMargin]]-Table3[[#This Row],[HomeForecast]])^2</f>
        <v>0.14988365261585629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-7.9894782549712592E-2</v>
      </c>
      <c r="J242">
        <f>(Table3[[#This Row],[HomeMargin]]-Table3[[#This Row],[HomeForecast]])^2</f>
        <v>24.207435350781541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5.5505880421850728E-2</v>
      </c>
      <c r="J243">
        <f>(Table3[[#This Row],[HomeMargin]]-Table3[[#This Row],[HomeForecast]])^2</f>
        <v>1.1140926636051061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4.9449776053675121E-2</v>
      </c>
      <c r="J244">
        <f>(Table3[[#This Row],[HomeMargin]]-Table3[[#This Row],[HomeForecast]])^2</f>
        <v>3.8046461761370578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-1.0972238051973391</v>
      </c>
      <c r="J245">
        <f>(Table3[[#This Row],[HomeMargin]]-Table3[[#This Row],[HomeForecast]])^2</f>
        <v>9.4524682970501383E-3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0.11078669047286918</v>
      </c>
      <c r="J246">
        <f>(Table3[[#This Row],[HomeMargin]]-Table3[[#This Row],[HomeForecast]])^2</f>
        <v>0.79070030984019302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-0.51328465296422654</v>
      </c>
      <c r="J247">
        <f>(Table3[[#This Row],[HomeMargin]]-Table3[[#This Row],[HomeForecast]])^2</f>
        <v>2.2103225231117003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-0.11941373061807914</v>
      </c>
      <c r="J248">
        <f>(Table3[[#This Row],[HomeMargin]]-Table3[[#This Row],[HomeForecast]])^2</f>
        <v>1.2530871002962853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-0.3558206115334015</v>
      </c>
      <c r="J249">
        <f>(Table3[[#This Row],[HomeMargin]]-Table3[[#This Row],[HomeForecast]])^2</f>
        <v>0.41496708452520081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0.57522251457808138</v>
      </c>
      <c r="J250">
        <f>(Table3[[#This Row],[HomeMargin]]-Table3[[#This Row],[HomeForecast]])^2</f>
        <v>5.8795458538090415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0.72202895945303447</v>
      </c>
      <c r="J251">
        <f>(Table3[[#This Row],[HomeMargin]]-Table3[[#This Row],[HomeForecast]])^2</f>
        <v>7.7267899382762753E-2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-0.65678121179554139</v>
      </c>
      <c r="J252">
        <f>(Table3[[#This Row],[HomeMargin]]-Table3[[#This Row],[HomeForecast]])^2</f>
        <v>11.177111865803287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1.0164377135361966</v>
      </c>
      <c r="J253">
        <f>(Table3[[#This Row],[HomeMargin]]-Table3[[#This Row],[HomeForecast]])^2</f>
        <v>0.96739477135390484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-0.12182404652307197</v>
      </c>
      <c r="J254">
        <f>(Table3[[#This Row],[HomeMargin]]-Table3[[#This Row],[HomeForecast]])^2</f>
        <v>4.5021372844035428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0.50092292989006926</v>
      </c>
      <c r="J255">
        <f>(Table3[[#This Row],[HomeMargin]]-Table3[[#This Row],[HomeForecast]])^2</f>
        <v>2.25276964146979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-1.1449324462393409</v>
      </c>
      <c r="J256">
        <f>(Table3[[#This Row],[HomeMargin]]-Table3[[#This Row],[HomeForecast]])^2</f>
        <v>2.1005413972919433E-2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-2.0751378805801388</v>
      </c>
      <c r="J257">
        <f>(Table3[[#This Row],[HomeMargin]]-Table3[[#This Row],[HomeForecast]])^2</f>
        <v>1.1559214622583529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-4.9012940900241664E-2</v>
      </c>
      <c r="J258">
        <f>(Table3[[#This Row],[HomeMargin]]-Table3[[#This Row],[HomeForecast]])^2</f>
        <v>1.1004281501761737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0.7867430338546304</v>
      </c>
      <c r="J259">
        <f>(Table3[[#This Row],[HomeMargin]]-Table3[[#This Row],[HomeForecast]])^2</f>
        <v>3.192450669028049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1.207000727337989</v>
      </c>
      <c r="J260">
        <f>(Table3[[#This Row],[HomeMargin]]-Table3[[#This Row],[HomeForecast]])^2</f>
        <v>3.2148463917665002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0.4429940906835681</v>
      </c>
      <c r="J261">
        <f>(Table3[[#This Row],[HomeMargin]]-Table3[[#This Row],[HomeForecast]])^2</f>
        <v>2.0822319457476977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0.83842927228886333</v>
      </c>
      <c r="J262">
        <f>(Table3[[#This Row],[HomeMargin]]-Table3[[#This Row],[HomeForecast]])^2</f>
        <v>1.3492465554753796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0.89582036157278122</v>
      </c>
      <c r="J263">
        <f>(Table3[[#This Row],[HomeMargin]]-Table3[[#This Row],[HomeForecast]])^2</f>
        <v>15.177416289645075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1.1923182055257673</v>
      </c>
      <c r="J264">
        <f>(Table3[[#This Row],[HomeMargin]]-Table3[[#This Row],[HomeForecast]])^2</f>
        <v>3.2677134700735819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2.0251073796748786E-2</v>
      </c>
      <c r="J265">
        <f>(Table3[[#This Row],[HomeMargin]]-Table3[[#This Row],[HomeForecast]])^2</f>
        <v>1.0409122535834188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-0.28634524405717016</v>
      </c>
      <c r="J266">
        <f>(Table3[[#This Row],[HomeMargin]]-Table3[[#This Row],[HomeForecast]])^2</f>
        <v>13.791231646336797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-0.44204250668386313</v>
      </c>
      <c r="J267">
        <f>(Table3[[#This Row],[HomeMargin]]-Table3[[#This Row],[HomeForecast]])^2</f>
        <v>0.31131656434762689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0.20943379129695816</v>
      </c>
      <c r="J268">
        <f>(Table3[[#This Row],[HomeMargin]]-Table3[[#This Row],[HomeForecast]])^2</f>
        <v>1.4627300955309341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-6.8216702096249415E-2</v>
      </c>
      <c r="J269">
        <f>(Table3[[#This Row],[HomeMargin]]-Table3[[#This Row],[HomeForecast]])^2</f>
        <v>1.1410869226373872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-0.63274177980092694</v>
      </c>
      <c r="J270">
        <f>(Table3[[#This Row],[HomeMargin]]-Table3[[#This Row],[HomeForecast]])^2</f>
        <v>1.8693950407019368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-9.1159165373432882E-2</v>
      </c>
      <c r="J271">
        <f>(Table3[[#This Row],[HomeMargin]]-Table3[[#This Row],[HomeForecast]])^2</f>
        <v>0.82599166268471502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0.26879444606358505</v>
      </c>
      <c r="J272">
        <f>(Table3[[#This Row],[HomeMargin]]-Table3[[#This Row],[HomeForecast]])^2</f>
        <v>1.6098393463617993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0.35667450401647449</v>
      </c>
      <c r="J273">
        <f>(Table3[[#This Row],[HomeMargin]]-Table3[[#This Row],[HomeForecast]])^2</f>
        <v>18.980612733947197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0.90879042636397711</v>
      </c>
      <c r="J274">
        <f>(Table3[[#This Row],[HomeMargin]]-Table3[[#This Row],[HomeForecast]])^2</f>
        <v>4.373157480866956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0.37415756022487845</v>
      </c>
      <c r="J275">
        <f>(Table3[[#This Row],[HomeMargin]]-Table3[[#This Row],[HomeForecast]])^2</f>
        <v>0.39167875942367664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-0.83361433007712948</v>
      </c>
      <c r="J276">
        <f>(Table3[[#This Row],[HomeMargin]]-Table3[[#This Row],[HomeForecast]])^2</f>
        <v>8.02937017161846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2.578414905061472</v>
      </c>
      <c r="J277">
        <f>(Table3[[#This Row],[HomeMargin]]-Table3[[#This Row],[HomeForecast]])^2</f>
        <v>0.17773399227432768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-0.86882698674286762</v>
      </c>
      <c r="J278">
        <f>(Table3[[#This Row],[HomeMargin]]-Table3[[#This Row],[HomeForecast]])^2</f>
        <v>14.967822253349897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-5.717808978233848E-2</v>
      </c>
      <c r="J279">
        <f>(Table3[[#This Row],[HomeMargin]]-Table3[[#This Row],[HomeForecast]])^2</f>
        <v>9.3463378726451882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-0.55990029296843691</v>
      </c>
      <c r="J280">
        <f>(Table3[[#This Row],[HomeMargin]]-Table3[[#This Row],[HomeForecast]])^2</f>
        <v>41.474884236508025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-0.28423858522015405</v>
      </c>
      <c r="J281">
        <f>(Table3[[#This Row],[HomeMargin]]-Table3[[#This Row],[HomeForecast]])^2</f>
        <v>5.21774591420857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-0.30389425788588964</v>
      </c>
      <c r="J282">
        <f>(Table3[[#This Row],[HomeMargin]]-Table3[[#This Row],[HomeForecast]])^2</f>
        <v>5.3079287515195741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-0.39753352551666882</v>
      </c>
      <c r="J283">
        <f>(Table3[[#This Row],[HomeMargin]]-Table3[[#This Row],[HomeForecast]])^2</f>
        <v>0.3629658528763744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0.22666441257048553</v>
      </c>
      <c r="J284">
        <f>(Table3[[#This Row],[HomeMargin]]-Table3[[#This Row],[HomeForecast]])^2</f>
        <v>1.5047055810668943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1.5247203531794769</v>
      </c>
      <c r="J285">
        <f>(Table3[[#This Row],[HomeMargin]]-Table3[[#This Row],[HomeForecast]])^2</f>
        <v>0.27533144904079493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-1.4519436729724993</v>
      </c>
      <c r="J286">
        <f>(Table3[[#This Row],[HomeMargin]]-Table3[[#This Row],[HomeForecast]])^2</f>
        <v>6.0120277754298694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-0.94499920940140603</v>
      </c>
      <c r="J287">
        <f>(Table3[[#This Row],[HomeMargin]]-Table3[[#This Row],[HomeForecast]])^2</f>
        <v>3.0250869664703831E-3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0.10517875093215927</v>
      </c>
      <c r="J288">
        <f>(Table3[[#This Row],[HomeMargin]]-Table3[[#This Row],[HomeForecast]])^2</f>
        <v>1.2214200715119679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1.4543195634616395</v>
      </c>
      <c r="J289">
        <f>(Table3[[#This Row],[HomeMargin]]-Table3[[#This Row],[HomeForecast]])^2</f>
        <v>6.0236845195905326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6.1546171879625633E-2</v>
      </c>
      <c r="J290">
        <f>(Table3[[#This Row],[HomeMargin]]-Table3[[#This Row],[HomeForecast]])^2</f>
        <v>1.1268802750322875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-1.3329013609869793</v>
      </c>
      <c r="J291">
        <f>(Table3[[#This Row],[HomeMargin]]-Table3[[#This Row],[HomeForecast]])^2</f>
        <v>0.11082331614698311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1.1038475414785012</v>
      </c>
      <c r="J292">
        <f>(Table3[[#This Row],[HomeMargin]]-Table3[[#This Row],[HomeForecast]])^2</f>
        <v>1.0784311871129021E-2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0.87425355524896764</v>
      </c>
      <c r="J293">
        <f>(Table3[[#This Row],[HomeMargin]]-Table3[[#This Row],[HomeForecast]])^2</f>
        <v>9.770290836873718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0.51726971279283729</v>
      </c>
      <c r="J294">
        <f>(Table3[[#This Row],[HomeMargin]]-Table3[[#This Row],[HomeForecast]])^2</f>
        <v>2.3021073813584594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-5.3924705928892619E-3</v>
      </c>
      <c r="J295">
        <f>(Table3[[#This Row],[HomeMargin]]-Table3[[#This Row],[HomeForecast]])^2</f>
        <v>3.9784591963675386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-0.89168616202886408</v>
      </c>
      <c r="J296">
        <f>(Table3[[#This Row],[HomeMargin]]-Table3[[#This Row],[HomeForecast]])^2</f>
        <v>8.3618488596692213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-0.40209637150472788</v>
      </c>
      <c r="J297">
        <f>(Table3[[#This Row],[HomeMargin]]-Table3[[#This Row],[HomeForecast]])^2</f>
        <v>0.35748874896781235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-0.16848745777259633</v>
      </c>
      <c r="J298">
        <f>(Table3[[#This Row],[HomeMargin]]-Table3[[#This Row],[HomeForecast]])^2</f>
        <v>0.6914131078814798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0.19539277302396024</v>
      </c>
      <c r="J299">
        <f>(Table3[[#This Row],[HomeMargin]]-Table3[[#This Row],[HomeForecast]])^2</f>
        <v>7.8658216976062301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-1.4579476564655902</v>
      </c>
      <c r="J300">
        <f>(Table3[[#This Row],[HomeMargin]]-Table3[[#This Row],[HomeForecast]])^2</f>
        <v>2.3779254301999653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-0.45817769319841928</v>
      </c>
      <c r="J301">
        <f>(Table3[[#This Row],[HomeMargin]]-Table3[[#This Row],[HomeForecast]])^2</f>
        <v>0.29357141214778626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1.7748032296296543</v>
      </c>
      <c r="J302">
        <f>(Table3[[#This Row],[HomeMargin]]-Table3[[#This Row],[HomeForecast]])^2</f>
        <v>1.5011071261259257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-0.37329324083314419</v>
      </c>
      <c r="J303">
        <f>(Table3[[#This Row],[HomeMargin]]-Table3[[#This Row],[HomeForecast]])^2</f>
        <v>1.8859343253180001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0.36901948975158638</v>
      </c>
      <c r="J304">
        <f>(Table3[[#This Row],[HomeMargin]]-Table3[[#This Row],[HomeForecast]])^2</f>
        <v>1.8742143633196939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1.7770882922971361</v>
      </c>
      <c r="J305">
        <f>(Table3[[#This Row],[HomeMargin]]-Table3[[#This Row],[HomeForecast]])^2</f>
        <v>4.9413364602424634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0.73968668207956478</v>
      </c>
      <c r="J306">
        <f>(Table3[[#This Row],[HomeMargin]]-Table3[[#This Row],[HomeForecast]])^2</f>
        <v>22.464629844282396</v>
      </c>
    </row>
    <row r="307" spans="4:10" x14ac:dyDescent="0.2">
      <c r="D307" t="s">
        <v>55</v>
      </c>
      <c r="F307" t="s">
        <v>31</v>
      </c>
    </row>
    <row r="308" spans="4:10" x14ac:dyDescent="0.2">
      <c r="D308" t="s">
        <v>25</v>
      </c>
      <c r="F308" t="s">
        <v>21</v>
      </c>
    </row>
    <row r="309" spans="4:10" x14ac:dyDescent="0.2">
      <c r="D309" t="s">
        <v>17</v>
      </c>
      <c r="F309" t="s">
        <v>23</v>
      </c>
    </row>
    <row r="310" spans="4:10" x14ac:dyDescent="0.2">
      <c r="D310" t="s">
        <v>18</v>
      </c>
      <c r="F310" t="s">
        <v>28</v>
      </c>
    </row>
    <row r="311" spans="4:10" x14ac:dyDescent="0.2">
      <c r="D311" t="s">
        <v>38</v>
      </c>
      <c r="F311" t="s">
        <v>11</v>
      </c>
    </row>
    <row r="312" spans="4:10" x14ac:dyDescent="0.2">
      <c r="D312" t="s">
        <v>13</v>
      </c>
      <c r="F312" t="s">
        <v>22</v>
      </c>
    </row>
    <row r="313" spans="4:10" x14ac:dyDescent="0.2">
      <c r="D313" t="s">
        <v>16</v>
      </c>
      <c r="F313" t="s">
        <v>10</v>
      </c>
    </row>
    <row r="314" spans="4:10" x14ac:dyDescent="0.2">
      <c r="D314" t="s">
        <v>30</v>
      </c>
      <c r="F314" t="s">
        <v>39</v>
      </c>
    </row>
    <row r="315" spans="4:10" x14ac:dyDescent="0.2">
      <c r="D315" t="s">
        <v>32</v>
      </c>
      <c r="F315" t="s">
        <v>26</v>
      </c>
    </row>
    <row r="316" spans="4:10" x14ac:dyDescent="0.2">
      <c r="D316" t="s">
        <v>55</v>
      </c>
      <c r="F316" t="s">
        <v>33</v>
      </c>
    </row>
    <row r="317" spans="4:10" x14ac:dyDescent="0.2">
      <c r="D317" t="s">
        <v>24</v>
      </c>
      <c r="F317" t="s">
        <v>37</v>
      </c>
    </row>
    <row r="318" spans="4:10" x14ac:dyDescent="0.2">
      <c r="D318" t="s">
        <v>35</v>
      </c>
      <c r="F318" t="s">
        <v>19</v>
      </c>
    </row>
    <row r="319" spans="4:10" x14ac:dyDescent="0.2">
      <c r="D319" t="s">
        <v>15</v>
      </c>
      <c r="F319" t="s">
        <v>20</v>
      </c>
    </row>
    <row r="320" spans="4:10" x14ac:dyDescent="0.2">
      <c r="D320" t="s">
        <v>28</v>
      </c>
      <c r="F320" t="s">
        <v>40</v>
      </c>
    </row>
    <row r="321" spans="4:6" x14ac:dyDescent="0.2">
      <c r="D321" t="s">
        <v>21</v>
      </c>
      <c r="F321" t="s">
        <v>31</v>
      </c>
    </row>
    <row r="322" spans="4:6" x14ac:dyDescent="0.2">
      <c r="D322" t="s">
        <v>16</v>
      </c>
      <c r="F322" t="s">
        <v>23</v>
      </c>
    </row>
    <row r="323" spans="4:6" x14ac:dyDescent="0.2">
      <c r="D323" t="s">
        <v>25</v>
      </c>
      <c r="F323" t="s">
        <v>34</v>
      </c>
    </row>
    <row r="324" spans="4:6" x14ac:dyDescent="0.2">
      <c r="D324" t="s">
        <v>17</v>
      </c>
      <c r="F324" t="s">
        <v>22</v>
      </c>
    </row>
    <row r="325" spans="4:6" x14ac:dyDescent="0.2">
      <c r="D325" t="s">
        <v>36</v>
      </c>
      <c r="F325" t="s">
        <v>31</v>
      </c>
    </row>
    <row r="326" spans="4:6" x14ac:dyDescent="0.2">
      <c r="D326" t="s">
        <v>32</v>
      </c>
      <c r="F326" t="s">
        <v>10</v>
      </c>
    </row>
    <row r="327" spans="4:6" x14ac:dyDescent="0.2">
      <c r="D327" t="s">
        <v>15</v>
      </c>
      <c r="F327" t="s">
        <v>12</v>
      </c>
    </row>
    <row r="328" spans="4:6" x14ac:dyDescent="0.2">
      <c r="D328" t="s">
        <v>30</v>
      </c>
      <c r="F328" t="s">
        <v>26</v>
      </c>
    </row>
    <row r="329" spans="4:6" x14ac:dyDescent="0.2">
      <c r="D329" t="s">
        <v>24</v>
      </c>
      <c r="F329" t="s">
        <v>11</v>
      </c>
    </row>
    <row r="330" spans="4:6" x14ac:dyDescent="0.2">
      <c r="D330" t="s">
        <v>22</v>
      </c>
      <c r="F330" t="s">
        <v>18</v>
      </c>
    </row>
    <row r="331" spans="4:6" x14ac:dyDescent="0.2">
      <c r="D331" t="s">
        <v>35</v>
      </c>
      <c r="F331" t="s">
        <v>27</v>
      </c>
    </row>
    <row r="332" spans="4:6" x14ac:dyDescent="0.2">
      <c r="D332" t="s">
        <v>13</v>
      </c>
      <c r="F332" t="s">
        <v>33</v>
      </c>
    </row>
    <row r="333" spans="4:6" x14ac:dyDescent="0.2">
      <c r="D333" t="s">
        <v>17</v>
      </c>
      <c r="F333" t="s">
        <v>37</v>
      </c>
    </row>
    <row r="334" spans="4:6" x14ac:dyDescent="0.2">
      <c r="D334" t="s">
        <v>28</v>
      </c>
      <c r="F334" t="s">
        <v>19</v>
      </c>
    </row>
    <row r="335" spans="4:6" x14ac:dyDescent="0.2">
      <c r="D335" t="s">
        <v>20</v>
      </c>
      <c r="F335" t="s">
        <v>55</v>
      </c>
    </row>
    <row r="336" spans="4:6" x14ac:dyDescent="0.2">
      <c r="D336" t="s">
        <v>39</v>
      </c>
      <c r="F336" t="s">
        <v>38</v>
      </c>
    </row>
    <row r="337" spans="4:6" x14ac:dyDescent="0.2">
      <c r="D337" t="s">
        <v>10</v>
      </c>
      <c r="F337" t="s">
        <v>23</v>
      </c>
    </row>
    <row r="338" spans="4:6" x14ac:dyDescent="0.2">
      <c r="D338" t="s">
        <v>21</v>
      </c>
      <c r="F338" t="s">
        <v>13</v>
      </c>
    </row>
    <row r="339" spans="4:6" x14ac:dyDescent="0.2">
      <c r="D339" t="s">
        <v>34</v>
      </c>
      <c r="F339" t="s">
        <v>14</v>
      </c>
    </row>
    <row r="340" spans="4:6" x14ac:dyDescent="0.2">
      <c r="D340" t="s">
        <v>25</v>
      </c>
      <c r="F340" t="s">
        <v>40</v>
      </c>
    </row>
    <row r="341" spans="4:6" x14ac:dyDescent="0.2">
      <c r="D341" t="s">
        <v>20</v>
      </c>
      <c r="F341" t="s">
        <v>31</v>
      </c>
    </row>
    <row r="342" spans="4:6" x14ac:dyDescent="0.2">
      <c r="D342" t="s">
        <v>39</v>
      </c>
      <c r="F342" t="s">
        <v>16</v>
      </c>
    </row>
    <row r="343" spans="4:6" x14ac:dyDescent="0.2">
      <c r="D343" t="s">
        <v>28</v>
      </c>
      <c r="F343" t="s">
        <v>26</v>
      </c>
    </row>
    <row r="344" spans="4:6" x14ac:dyDescent="0.2">
      <c r="D344" t="s">
        <v>17</v>
      </c>
      <c r="F344" t="s">
        <v>11</v>
      </c>
    </row>
    <row r="345" spans="4:6" x14ac:dyDescent="0.2">
      <c r="D345" t="s">
        <v>19</v>
      </c>
      <c r="F345" t="s">
        <v>18</v>
      </c>
    </row>
    <row r="346" spans="4:6" x14ac:dyDescent="0.2">
      <c r="D346" t="s">
        <v>12</v>
      </c>
      <c r="F346" t="s">
        <v>29</v>
      </c>
    </row>
    <row r="347" spans="4:6" x14ac:dyDescent="0.2">
      <c r="D347" t="s">
        <v>35</v>
      </c>
      <c r="F347" t="s">
        <v>30</v>
      </c>
    </row>
    <row r="348" spans="4:6" x14ac:dyDescent="0.2">
      <c r="D348" t="s">
        <v>24</v>
      </c>
      <c r="F348" t="s">
        <v>27</v>
      </c>
    </row>
    <row r="349" spans="4:6" x14ac:dyDescent="0.2">
      <c r="D349" t="s">
        <v>32</v>
      </c>
      <c r="F349" t="s">
        <v>14</v>
      </c>
    </row>
    <row r="350" spans="4:6" x14ac:dyDescent="0.2">
      <c r="D350" t="s">
        <v>36</v>
      </c>
      <c r="F350" t="s">
        <v>33</v>
      </c>
    </row>
    <row r="351" spans="4:6" x14ac:dyDescent="0.2">
      <c r="D351" t="s">
        <v>15</v>
      </c>
      <c r="F351" t="s">
        <v>55</v>
      </c>
    </row>
    <row r="352" spans="4:6" x14ac:dyDescent="0.2">
      <c r="D352" t="s">
        <v>37</v>
      </c>
      <c r="F352" t="s">
        <v>22</v>
      </c>
    </row>
    <row r="353" spans="4:6" x14ac:dyDescent="0.2">
      <c r="D353" t="s">
        <v>25</v>
      </c>
      <c r="F353" t="s">
        <v>23</v>
      </c>
    </row>
    <row r="354" spans="4:6" x14ac:dyDescent="0.2">
      <c r="D354" t="s">
        <v>12</v>
      </c>
      <c r="F354" t="s">
        <v>10</v>
      </c>
    </row>
    <row r="355" spans="4:6" x14ac:dyDescent="0.2">
      <c r="D355" t="s">
        <v>32</v>
      </c>
      <c r="F355" t="s">
        <v>30</v>
      </c>
    </row>
    <row r="356" spans="4:6" x14ac:dyDescent="0.2">
      <c r="D356" t="s">
        <v>21</v>
      </c>
      <c r="F356" t="s">
        <v>33</v>
      </c>
    </row>
    <row r="357" spans="4:6" x14ac:dyDescent="0.2">
      <c r="D357" t="s">
        <v>16</v>
      </c>
      <c r="F357" t="s">
        <v>38</v>
      </c>
    </row>
    <row r="358" spans="4:6" x14ac:dyDescent="0.2">
      <c r="D358" t="s">
        <v>34</v>
      </c>
      <c r="F358" t="s">
        <v>40</v>
      </c>
    </row>
    <row r="359" spans="4:6" x14ac:dyDescent="0.2">
      <c r="D359" t="s">
        <v>36</v>
      </c>
      <c r="F359" t="s">
        <v>13</v>
      </c>
    </row>
    <row r="360" spans="4:6" x14ac:dyDescent="0.2">
      <c r="D360" t="s">
        <v>26</v>
      </c>
      <c r="F360" t="s">
        <v>24</v>
      </c>
    </row>
    <row r="361" spans="4:6" x14ac:dyDescent="0.2">
      <c r="D361" t="s">
        <v>11</v>
      </c>
      <c r="F361" t="s">
        <v>29</v>
      </c>
    </row>
    <row r="362" spans="4:6" x14ac:dyDescent="0.2">
      <c r="D362" t="s">
        <v>35</v>
      </c>
      <c r="F362" t="s">
        <v>15</v>
      </c>
    </row>
    <row r="363" spans="4:6" x14ac:dyDescent="0.2">
      <c r="D363" t="s">
        <v>27</v>
      </c>
      <c r="F363" t="s">
        <v>37</v>
      </c>
    </row>
    <row r="364" spans="4:6" x14ac:dyDescent="0.2">
      <c r="D364" t="s">
        <v>20</v>
      </c>
      <c r="F364" t="s">
        <v>55</v>
      </c>
    </row>
    <row r="365" spans="4:6" x14ac:dyDescent="0.2">
      <c r="D365" t="s">
        <v>28</v>
      </c>
      <c r="F365" t="s">
        <v>22</v>
      </c>
    </row>
    <row r="366" spans="4:6" x14ac:dyDescent="0.2">
      <c r="D366" t="s">
        <v>39</v>
      </c>
      <c r="F366" t="s">
        <v>17</v>
      </c>
    </row>
    <row r="367" spans="4:6" x14ac:dyDescent="0.2">
      <c r="D367" t="s">
        <v>38</v>
      </c>
      <c r="F367" t="s">
        <v>31</v>
      </c>
    </row>
    <row r="368" spans="4:6" x14ac:dyDescent="0.2">
      <c r="D368" t="s">
        <v>15</v>
      </c>
      <c r="F368" t="s">
        <v>25</v>
      </c>
    </row>
    <row r="369" spans="4:6" x14ac:dyDescent="0.2">
      <c r="D369" t="s">
        <v>19</v>
      </c>
      <c r="F369" t="s">
        <v>28</v>
      </c>
    </row>
    <row r="370" spans="4:6" x14ac:dyDescent="0.2">
      <c r="D370" t="s">
        <v>34</v>
      </c>
      <c r="F370" t="s">
        <v>10</v>
      </c>
    </row>
    <row r="371" spans="4:6" x14ac:dyDescent="0.2">
      <c r="D371" t="s">
        <v>33</v>
      </c>
      <c r="F371" t="s">
        <v>12</v>
      </c>
    </row>
    <row r="372" spans="4:6" x14ac:dyDescent="0.2">
      <c r="D372" t="s">
        <v>29</v>
      </c>
      <c r="F372" t="s">
        <v>26</v>
      </c>
    </row>
    <row r="373" spans="4:6" x14ac:dyDescent="0.2">
      <c r="D373" t="s">
        <v>27</v>
      </c>
      <c r="F373" t="s">
        <v>11</v>
      </c>
    </row>
    <row r="374" spans="4:6" x14ac:dyDescent="0.2">
      <c r="D374" t="s">
        <v>35</v>
      </c>
      <c r="F374" t="s">
        <v>24</v>
      </c>
    </row>
    <row r="375" spans="4:6" x14ac:dyDescent="0.2">
      <c r="D375" t="s">
        <v>21</v>
      </c>
      <c r="F375" t="s">
        <v>30</v>
      </c>
    </row>
    <row r="376" spans="4:6" x14ac:dyDescent="0.2">
      <c r="D376" t="s">
        <v>23</v>
      </c>
      <c r="F376" t="s">
        <v>14</v>
      </c>
    </row>
    <row r="377" spans="4:6" x14ac:dyDescent="0.2">
      <c r="D377" t="s">
        <v>39</v>
      </c>
      <c r="F377" t="s">
        <v>32</v>
      </c>
    </row>
    <row r="378" spans="4:6" x14ac:dyDescent="0.2">
      <c r="D378" t="s">
        <v>16</v>
      </c>
      <c r="F378" t="s">
        <v>37</v>
      </c>
    </row>
    <row r="379" spans="4:6" x14ac:dyDescent="0.2">
      <c r="D379" t="s">
        <v>18</v>
      </c>
      <c r="F379" t="s">
        <v>55</v>
      </c>
    </row>
    <row r="380" spans="4:6" x14ac:dyDescent="0.2">
      <c r="D380" t="s">
        <v>36</v>
      </c>
      <c r="F380" t="s">
        <v>20</v>
      </c>
    </row>
    <row r="381" spans="4:6" x14ac:dyDescent="0.2">
      <c r="D381" t="s">
        <v>40</v>
      </c>
      <c r="F381" t="s">
        <v>22</v>
      </c>
    </row>
    <row r="382" spans="4:6" x14ac:dyDescent="0.2">
      <c r="D382" t="s">
        <v>13</v>
      </c>
      <c r="F382" t="s">
        <v>31</v>
      </c>
    </row>
    <row r="383" spans="4:6" x14ac:dyDescent="0.2">
      <c r="D383" t="s">
        <v>15</v>
      </c>
      <c r="F383" t="s">
        <v>21</v>
      </c>
    </row>
    <row r="384" spans="4:6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abSelected="1" zoomScale="66" workbookViewId="0">
      <pane ySplit="1" topLeftCell="A273" activePane="bottomLeft" state="frozen"/>
      <selection activeCell="I1" sqref="I1"/>
      <selection pane="bottomLeft" activeCell="O302" sqref="O302:O30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0.16257230966231839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261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-0.28105923893144158</v>
      </c>
      <c r="H2" t="s">
        <v>10</v>
      </c>
      <c r="I2">
        <f>VLOOKUP(Table4[[#This Row],[Visitor]],'NHL Model'!$A$6:$B$38,2,FALSE)</f>
        <v>0.30570968833820172</v>
      </c>
      <c r="J2">
        <f>($B$1+Table4[[#This Row],[Home Differential]])-Table4[[#This Row],[Away Differential]]</f>
        <v>-0.42419661760732491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0.48734754521829909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0.23750762983030207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-7.5459708298993802E-2</v>
      </c>
      <c r="H3" t="s">
        <v>12</v>
      </c>
      <c r="I3">
        <f>VLOOKUP(Table4[[#This Row],[Visitor]],'NHL Model'!$A$6:$B$38,2,FALSE)</f>
        <v>1.5475013591489768</v>
      </c>
      <c r="J3">
        <f>($B$1+Table4[[#This Row],[Home Differential]])-Table4[[#This Row],[Away Differential]]</f>
        <v>-1.4603887577856522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0.72866530480349623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7.3622516817379607E-2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174</v>
      </c>
      <c r="V3">
        <f>COUNTIF(Table4[Locked Correct],"YES")</f>
        <v>188</v>
      </c>
    </row>
    <row r="4" spans="1:22" x14ac:dyDescent="0.2">
      <c r="A4" s="4" t="s">
        <v>31</v>
      </c>
      <c r="B4">
        <v>0.67589123806071094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-0.30719665303039001</v>
      </c>
      <c r="H4" t="s">
        <v>14</v>
      </c>
      <c r="I4">
        <f>VLOOKUP(Table4[[#This Row],[Visitor]],'NHL Model'!$A$6:$B$38,2,FALSE)</f>
        <v>0.26289091192875702</v>
      </c>
      <c r="J4">
        <f>($B$1+Table4[[#This Row],[Home Differential]])-Table4[[#This Row],[Away Differential]]</f>
        <v>-0.40751525529682864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0.51646476936993857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0.23380631926046669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126</v>
      </c>
      <c r="V4">
        <f>COUNTIF(Table4[Locked Correct],"NO")</f>
        <v>112</v>
      </c>
    </row>
    <row r="5" spans="1:22" x14ac:dyDescent="0.2">
      <c r="A5" s="4" t="s">
        <v>21</v>
      </c>
      <c r="B5">
        <v>-0.36229703367336352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-0.61980804137564283</v>
      </c>
      <c r="H5" t="s">
        <v>16</v>
      </c>
      <c r="I5">
        <f>VLOOKUP(Table4[[#This Row],[Visitor]],'NHL Model'!$A$6:$B$38,2,FALSE)</f>
        <v>-1.3903684122795328</v>
      </c>
      <c r="J5">
        <f>($B$1+Table4[[#This Row],[Home Differential]])-Table4[[#This Row],[Away Differential]]</f>
        <v>0.93313268056620835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0.70533048399676823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0.49749109165511535</v>
      </c>
      <c r="O5">
        <v>-4.1674767740132361E-3</v>
      </c>
      <c r="P5" s="11"/>
      <c r="Q5" t="s">
        <v>16</v>
      </c>
      <c r="R5" t="s">
        <v>248</v>
      </c>
      <c r="T5">
        <f>SUM(T3:T4)</f>
        <v>300</v>
      </c>
      <c r="V5">
        <f>SUM(V3:V4)</f>
        <v>300</v>
      </c>
    </row>
    <row r="6" spans="1:22" x14ac:dyDescent="0.2">
      <c r="A6" s="4" t="s">
        <v>23</v>
      </c>
      <c r="B6">
        <v>-0.98107012063491528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-0.635565543477981</v>
      </c>
      <c r="H6" t="s">
        <v>18</v>
      </c>
      <c r="I6">
        <f>VLOOKUP(Table4[[#This Row],[Visitor]],'NHL Model'!$A$6:$B$38,2,FALSE)</f>
        <v>-0.52437726201848234</v>
      </c>
      <c r="J6">
        <f>($B$1+Table4[[#This Row],[Home Differential]])-Table4[[#This Row],[Away Differential]]</f>
        <v>5.1384028202819731E-2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0.47063901560803068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0.28022305179643481</v>
      </c>
      <c r="O6">
        <v>-4.4363714293103977E-3</v>
      </c>
      <c r="P6" s="11"/>
      <c r="Q6" t="s">
        <v>18</v>
      </c>
      <c r="R6" t="s">
        <v>249</v>
      </c>
      <c r="T6" s="13">
        <f>T3/T5</f>
        <v>0.57999999999999996</v>
      </c>
      <c r="V6" s="13">
        <f>V3/V5</f>
        <v>0.62666666666666671</v>
      </c>
    </row>
    <row r="7" spans="1:22" x14ac:dyDescent="0.2">
      <c r="A7" s="4" t="s">
        <v>16</v>
      </c>
      <c r="B7">
        <v>-1.6364974858741121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-6.3745791019188943E-4</v>
      </c>
      <c r="H7" t="s">
        <v>13</v>
      </c>
      <c r="I7">
        <f>VLOOKUP(Table4[[#This Row],[Visitor]],'NHL Model'!$A$6:$B$38,2,FALSE)</f>
        <v>-7.5459708298993802E-2</v>
      </c>
      <c r="J7">
        <f>($B$1+Table4[[#This Row],[Home Differential]])-Table4[[#This Row],[Away Differential]]</f>
        <v>0.23739456005112031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0.45149772426554102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0.2038501950169625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0.75139366829567689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-6.1308839486784707E-2</v>
      </c>
      <c r="H8" t="s">
        <v>21</v>
      </c>
      <c r="I8">
        <f>VLOOKUP(Table4[[#This Row],[Visitor]],'NHL Model'!$A$6:$B$38,2,FALSE)</f>
        <v>4.029141914856392E-2</v>
      </c>
      <c r="J8">
        <f>($B$1+Table4[[#This Row],[Home Differential]])-Table4[[#This Row],[Away Differential]]</f>
        <v>6.0972051026969773E-2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0.54844820593708155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0.30079543459560343</v>
      </c>
      <c r="O8">
        <v>-4.9858230986448791E-3</v>
      </c>
      <c r="P8" s="11"/>
      <c r="Q8" t="s">
        <v>21</v>
      </c>
      <c r="R8" t="s">
        <v>248</v>
      </c>
      <c r="T8">
        <f>SUM(Table4[Error])</f>
        <v>65.735979342654218</v>
      </c>
      <c r="V8">
        <f>COUNTIF(Table4[Locked Correct],"")</f>
        <v>1012</v>
      </c>
    </row>
    <row r="9" spans="1:22" x14ac:dyDescent="0.2">
      <c r="A9" s="4" t="s">
        <v>10</v>
      </c>
      <c r="B9">
        <v>-0.12943750136512031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4.029141914856392E-2</v>
      </c>
      <c r="H9" t="s">
        <v>10</v>
      </c>
      <c r="I9">
        <f>VLOOKUP(Table4[[#This Row],[Visitor]],'NHL Model'!$A$6:$B$38,2,FALSE)</f>
        <v>0.30570968833820172</v>
      </c>
      <c r="J9">
        <f>($B$1+Table4[[#This Row],[Home Differential]])-Table4[[#This Row],[Away Differential]]</f>
        <v>-0.1028459595273194</v>
      </c>
      <c r="K9" t="str">
        <f>IF(Table4[[#This Row],[HomeIce Differential]]&gt;0,Table4[[#This Row],[Home]],Table4[[#This Row],[Visitor]])</f>
        <v>Chicago Blackhawks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0.42165760616649495</v>
      </c>
      <c r="M9" t="str">
        <f>IF(OR((NHL2025_26Results[[#This Row],[Winning Team]]="")),"-",IF(Table4[[#This Row],[Predicted Winner]]=NHL2025_26Results[[#This Row],[Winning Team]],"YES","NO"))</f>
        <v>NO</v>
      </c>
      <c r="N9">
        <f>IF(Table4[[#This Row],[Adjusted Correct]]="-", "",IF(Table4[[#This Row],[Adjusted Correct]]="YES",(Table4[[#This Row],[Strength of Win]]-1)^2,(Table4[[#This Row],[Strength of Win]]-0)^2))</f>
        <v>0.17779513683805895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0.7236021009982504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-0.8683412362501769</v>
      </c>
      <c r="H10" t="s">
        <v>15</v>
      </c>
      <c r="I10">
        <f>VLOOKUP(Table4[[#This Row],[Visitor]],'NHL Model'!$A$6:$B$38,2,FALSE)</f>
        <v>-0.30719665303039001</v>
      </c>
      <c r="J10">
        <f>($B$1+Table4[[#This Row],[Home Differential]])-Table4[[#This Row],[Away Differential]]</f>
        <v>-0.39857227355746849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0.65763528032137464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0.11721360128062372</v>
      </c>
      <c r="O10">
        <v>2.893763878885032E-2</v>
      </c>
      <c r="P10" s="11"/>
      <c r="Q10" t="s">
        <v>23</v>
      </c>
      <c r="R10" t="s">
        <v>249</v>
      </c>
      <c r="T10">
        <v>0.13855866408929984</v>
      </c>
    </row>
    <row r="11" spans="1:22" x14ac:dyDescent="0.2">
      <c r="A11" s="4" t="s">
        <v>28</v>
      </c>
      <c r="B11">
        <v>-0.67350769084089512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0.67193921242367816</v>
      </c>
      <c r="H11" t="s">
        <v>24</v>
      </c>
      <c r="I11">
        <f>VLOOKUP(Table4[[#This Row],[Visitor]],'NHL Model'!$A$6:$B$38,2,FALSE)</f>
        <v>0.559441163373953</v>
      </c>
      <c r="J11">
        <f>($B$1+Table4[[#This Row],[Home Differential]])-Table4[[#This Row],[Away Differential]]</f>
        <v>0.27507035871204355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0.56442917090738942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0.18972194715642418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-0.8442242291169858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1.5475013591489768</v>
      </c>
      <c r="H12" t="s">
        <v>55</v>
      </c>
      <c r="I12">
        <f>VLOOKUP(Table4[[#This Row],[Visitor]],'NHL Model'!$A$6:$B$38,2,FALSE)</f>
        <v>-0.12212311954851815</v>
      </c>
      <c r="J12">
        <f>($B$1+Table4[[#This Row],[Home Differential]])-Table4[[#This Row],[Away Differential]]</f>
        <v>1.8321967883598134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0.88223298709967612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1.3869069327465049E-2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-0.72507871760130671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-0.513643833119658</v>
      </c>
      <c r="H13" t="s">
        <v>18</v>
      </c>
      <c r="I13">
        <f>VLOOKUP(Table4[[#This Row],[Visitor]],'NHL Model'!$A$6:$B$38,2,FALSE)</f>
        <v>-0.52437726201848234</v>
      </c>
      <c r="J13">
        <f>($B$1+Table4[[#This Row],[Home Differential]])-Table4[[#This Row],[Away Differential]]</f>
        <v>0.17330573856114273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0.51380892998138827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0.26399961652861914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-0.89465487798910692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-0.28105923893144158</v>
      </c>
      <c r="H14" t="s">
        <v>27</v>
      </c>
      <c r="I14">
        <f>VLOOKUP(Table4[[#This Row],[Visitor]],'NHL Model'!$A$6:$B$38,2,FALSE)</f>
        <v>-0.51358590497437617</v>
      </c>
      <c r="J14">
        <f>($B$1+Table4[[#This Row],[Home Differential]])-Table4[[#This Row],[Away Differential]]</f>
        <v>0.39509897570525299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0.64646036258813144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0.12499027522131549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-0.55913244459734224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-1.3516250707060606</v>
      </c>
      <c r="H15" t="s">
        <v>28</v>
      </c>
      <c r="I15">
        <f>VLOOKUP(Table4[[#This Row],[Visitor]],'NHL Model'!$A$6:$B$38,2,FALSE)</f>
        <v>-0.40822279081308277</v>
      </c>
      <c r="J15">
        <f>($B$1+Table4[[#This Row],[Home Differential]])-Table4[[#This Row],[Away Differential]]</f>
        <v>-0.78082997023065948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0.58895998832527863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0.34687386784811236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-0.82572272961247006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0.26289091192875702</v>
      </c>
      <c r="H16" t="s">
        <v>30</v>
      </c>
      <c r="I16">
        <f>VLOOKUP(Table4[[#This Row],[Visitor]],'NHL Model'!$A$6:$B$38,2,FALSE)</f>
        <v>-6.4729560818359025E-2</v>
      </c>
      <c r="J16">
        <f>($B$1+Table4[[#This Row],[Home Differential]])-Table4[[#This Row],[Away Differential]]</f>
        <v>0.49019278240943442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0.60190103960113994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0.15848278227065316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-1.129650014050841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-0.361361309178443</v>
      </c>
      <c r="H17" t="s">
        <v>31</v>
      </c>
      <c r="I17">
        <f>VLOOKUP(Table4[[#This Row],[Visitor]],'NHL Model'!$A$6:$B$38,2,FALSE)</f>
        <v>0.51775546328552802</v>
      </c>
      <c r="J17">
        <f>($B$1+Table4[[#This Row],[Home Differential]])-Table4[[#This Row],[Away Differential]]</f>
        <v>-0.71654446280165263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0.55382889807183655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0.30672644833946472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-0.3325615497694045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-0.39418177254008485</v>
      </c>
      <c r="H18" t="s">
        <v>20</v>
      </c>
      <c r="I18">
        <f>VLOOKUP(Table4[[#This Row],[Visitor]],'NHL Model'!$A$6:$B$38,2,FALSE)</f>
        <v>-6.3745791019188943E-4</v>
      </c>
      <c r="J18">
        <f>($B$1+Table4[[#This Row],[Home Differential]])-Table4[[#This Row],[Away Differential]]</f>
        <v>-0.23097200496757456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0.51277240321956497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0.2373907310644382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-1.5502901879355027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-1.6211574240381006</v>
      </c>
      <c r="H19" t="s">
        <v>34</v>
      </c>
      <c r="I19">
        <f>VLOOKUP(Table4[[#This Row],[Visitor]],'NHL Model'!$A$6:$B$38,2,FALSE)</f>
        <v>-0.53650300840565446</v>
      </c>
      <c r="J19">
        <f>($B$1+Table4[[#This Row],[Home Differential]])-Table4[[#This Row],[Away Differential]]</f>
        <v>-0.92208210597012774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0.58776246478386907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0.1699397854410708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0.30391099573521668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-0.11309445867623392</v>
      </c>
      <c r="H20" t="s">
        <v>36</v>
      </c>
      <c r="I20">
        <f>VLOOKUP(Table4[[#This Row],[Visitor]],'NHL Model'!$A$6:$B$38,2,FALSE)</f>
        <v>-0.40651947573390851</v>
      </c>
      <c r="J20">
        <f>($B$1+Table4[[#This Row],[Home Differential]])-Table4[[#This Row],[Away Differential]]</f>
        <v>0.45599732671999299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0.60318238041861427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0.36382898404746589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-0.89477420677894726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-0.6902088310934803</v>
      </c>
      <c r="H21" t="s">
        <v>16</v>
      </c>
      <c r="I21">
        <f>VLOOKUP(Table4[[#This Row],[Visitor]],'NHL Model'!$A$6:$B$38,2,FALSE)</f>
        <v>-1.3903684122795328</v>
      </c>
      <c r="J21">
        <f>($B$1+Table4[[#This Row],[Home Differential]])-Table4[[#This Row],[Away Differential]]</f>
        <v>0.86273189084837087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0.65953897826318597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0.11591370732207536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-0.58422894442043993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0.105105258369765</v>
      </c>
      <c r="H22" t="s">
        <v>39</v>
      </c>
      <c r="I22">
        <f>VLOOKUP(Table4[[#This Row],[Visitor]],'NHL Model'!$A$6:$B$38,2,FALSE)</f>
        <v>0.19809534061227302</v>
      </c>
      <c r="J22">
        <f>($B$1+Table4[[#This Row],[Home Differential]])-Table4[[#This Row],[Away Differential]]</f>
        <v>6.9582227419810405E-2</v>
      </c>
      <c r="K22" t="str">
        <f>IF(Table4[[#This Row],[HomeIce Differential]]&gt;0,Table4[[#This Row],[Home]],Table4[[#This Row],[Visitor]])</f>
        <v>Winnipeg Jets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0.49351218821758236</v>
      </c>
      <c r="M22" t="str">
        <f>IF(OR((NHL2025_26Results[[#This Row],[Winning Team]]="")),"-",IF(Table4[[#This Row],[Predicted Winner]]=NHL2025_26Results[[#This Row],[Winning Team]],"YES","NO"))</f>
        <v>NO</v>
      </c>
      <c r="N22">
        <f>IF(Table4[[#This Row],[Adjusted Correct]]="-", "",IF(Table4[[#This Row],[Adjusted Correct]]="YES",(Table4[[#This Row],[Strength of Win]]-1)^2,(Table4[[#This Row],[Strength of Win]]-0)^2))</f>
        <v>0.24355427991930645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-0.9519500606481569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4.029141914856392E-2</v>
      </c>
      <c r="H23" t="s">
        <v>23</v>
      </c>
      <c r="I23">
        <f>VLOOKUP(Table4[[#This Row],[Visitor]],'NHL Model'!$A$6:$B$38,2,FALSE)</f>
        <v>-0.8683412362501769</v>
      </c>
      <c r="J23">
        <f>($B$1+Table4[[#This Row],[Home Differential]])-Table4[[#This Row],[Away Differential]]</f>
        <v>1.0712049650610593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0.76098215618349108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5.7129529662693052E-2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-0.38938029723699569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0.67193921242367816</v>
      </c>
      <c r="H24" t="s">
        <v>27</v>
      </c>
      <c r="I24">
        <f>VLOOKUP(Table4[[#This Row],[Visitor]],'NHL Model'!$A$6:$B$38,2,FALSE)</f>
        <v>-0.51358590497437617</v>
      </c>
      <c r="J24">
        <f>($B$1+Table4[[#This Row],[Home Differential]])-Table4[[#This Row],[Away Differential]]</f>
        <v>1.3480974270603727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0.77850655488706844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4.9059346227995231E-2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0.1156804124763835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-1.3903684122795328</v>
      </c>
      <c r="H25" t="s">
        <v>35</v>
      </c>
      <c r="I25">
        <f>VLOOKUP(Table4[[#This Row],[Visitor]],'NHL Model'!$A$6:$B$38,2,FALSE)</f>
        <v>-1.6211574240381006</v>
      </c>
      <c r="J25">
        <f>($B$1+Table4[[#This Row],[Home Differential]])-Table4[[#This Row],[Away Differential]]</f>
        <v>0.3933613214208862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0.59450361920047967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0.35343455324246892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-0.51314575972450138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0.30570968833820172</v>
      </c>
      <c r="H26" t="s">
        <v>18</v>
      </c>
      <c r="I26">
        <f>VLOOKUP(Table4[[#This Row],[Visitor]],'NHL Model'!$A$6:$B$38,2,FALSE)</f>
        <v>-0.52437726201848234</v>
      </c>
      <c r="J26">
        <f>($B$1+Table4[[#This Row],[Home Differential]])-Table4[[#This Row],[Away Differential]]</f>
        <v>0.99265926001900251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0.60106085426882694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0.36127415053437201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-0.74912552763444196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1.5475013591489768</v>
      </c>
      <c r="H27" t="s">
        <v>39</v>
      </c>
      <c r="I27">
        <f>VLOOKUP(Table4[[#This Row],[Visitor]],'NHL Model'!$A$6:$B$38,2,FALSE)</f>
        <v>0.19809534061227302</v>
      </c>
      <c r="J27">
        <f>($B$1+Table4[[#This Row],[Home Differential]])-Table4[[#This Row],[Away Differential]]</f>
        <v>1.5119783281990222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0.74795923574876788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0.55944301834188093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-2.0022540417261516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-0.513643833119658</v>
      </c>
      <c r="H28" t="s">
        <v>19</v>
      </c>
      <c r="I28">
        <f>VLOOKUP(Table4[[#This Row],[Visitor]],'NHL Model'!$A$6:$B$38,2,FALSE)</f>
        <v>-0.635565543477981</v>
      </c>
      <c r="J28">
        <f>($B$1+Table4[[#This Row],[Home Differential]])-Table4[[#This Row],[Away Differential]]</f>
        <v>0.28449402002064139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0.60545684720451121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0.15566429941780441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-1.0848625138064328E-3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-0.61980804137564283</v>
      </c>
      <c r="H29" t="s">
        <v>38</v>
      </c>
      <c r="I29">
        <f>VLOOKUP(Table4[[#This Row],[Visitor]],'NHL Model'!$A$6:$B$38,2,FALSE)</f>
        <v>-0.6902088310934803</v>
      </c>
      <c r="J29">
        <f>($B$1+Table4[[#This Row],[Home Differential]])-Table4[[#This Row],[Away Differential]]</f>
        <v>0.23297309938015587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0.56626102394312994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0.18812949935086209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-0.5832533324245347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-0.28105923893144158</v>
      </c>
      <c r="H30" t="s">
        <v>36</v>
      </c>
      <c r="I30">
        <f>VLOOKUP(Table4[[#This Row],[Visitor]],'NHL Model'!$A$6:$B$38,2,FALSE)</f>
        <v>-0.40651947573390851</v>
      </c>
      <c r="J30">
        <f>($B$1+Table4[[#This Row],[Home Differential]])-Table4[[#This Row],[Away Differential]]</f>
        <v>0.28803254646478532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0.63162538118376066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0.13569985978800964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-3.8449595931531758E-2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-0.53650300840565446</v>
      </c>
      <c r="H31" t="s">
        <v>28</v>
      </c>
      <c r="I31">
        <f>VLOOKUP(Table4[[#This Row],[Visitor]],'NHL Model'!$A$6:$B$38,2,FALSE)</f>
        <v>-0.40822279081308277</v>
      </c>
      <c r="J31">
        <f>($B$1+Table4[[#This Row],[Home Differential]])-Table4[[#This Row],[Away Differential]]</f>
        <v>3.4292092069746705E-2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0.5239822356967806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0.27455738332579654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-1.4294227670343234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-1.3516250707060606</v>
      </c>
      <c r="H32" t="s">
        <v>55</v>
      </c>
      <c r="I32">
        <f>VLOOKUP(Table4[[#This Row],[Visitor]],'NHL Model'!$A$6:$B$38,2,FALSE)</f>
        <v>-0.12212311954851815</v>
      </c>
      <c r="J32">
        <f>($B$1+Table4[[#This Row],[Home Differential]])-Table4[[#This Row],[Away Differential]]</f>
        <v>-1.0669296414952241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0.60783234580285384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0.15379546899849242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4.1921578688071317E-4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-6.4729560818359025E-2</v>
      </c>
      <c r="H33" t="s">
        <v>22</v>
      </c>
      <c r="I33">
        <f>VLOOKUP(Table4[[#This Row],[Visitor]],'NHL Model'!$A$6:$B$38,2,FALSE)</f>
        <v>-6.1308839486784707E-2</v>
      </c>
      <c r="J33">
        <f>($B$1+Table4[[#This Row],[Home Differential]])-Table4[[#This Row],[Away Differential]]</f>
        <v>0.15915158833074408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0.56205183146679816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0.31590226125518206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-0.48470977774289092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0.26289091192875702</v>
      </c>
      <c r="H34" t="s">
        <v>15</v>
      </c>
      <c r="I34">
        <f>VLOOKUP(Table4[[#This Row],[Visitor]],'NHL Model'!$A$6:$B$38,2,FALSE)</f>
        <v>-0.30719665303039001</v>
      </c>
      <c r="J34">
        <f>($B$1+Table4[[#This Row],[Home Differential]])-Table4[[#This Row],[Away Differential]]</f>
        <v>0.73265987462146542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0.53458723960111643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0.28578351674434144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-1.542283927006498E-2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-0.361361309178443</v>
      </c>
      <c r="H35" t="s">
        <v>20</v>
      </c>
      <c r="I35">
        <f>VLOOKUP(Table4[[#This Row],[Visitor]],'NHL Model'!$A$6:$B$38,2,FALSE)</f>
        <v>-6.3745791019188943E-4</v>
      </c>
      <c r="J35">
        <f>($B$1+Table4[[#This Row],[Home Differential]])-Table4[[#This Row],[Away Differential]]</f>
        <v>-0.19815154160593271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0.4820010674376079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0.23232502901099344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-16.710428964795035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-0.39418177254008485</v>
      </c>
      <c r="H36" t="s">
        <v>31</v>
      </c>
      <c r="I36">
        <f>VLOOKUP(Table4[[#This Row],[Visitor]],'NHL Model'!$A$6:$B$38,2,FALSE)</f>
        <v>0.51775546328552802</v>
      </c>
      <c r="J36">
        <f>($B$1+Table4[[#This Row],[Home Differential]])-Table4[[#This Row],[Away Differential]]</f>
        <v>-0.74936492616329442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0.58460023385379367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0.17255696571432291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-0.11309445867623392</v>
      </c>
      <c r="H37" t="s">
        <v>24</v>
      </c>
      <c r="I37">
        <f>VLOOKUP(Table4[[#This Row],[Visitor]],'NHL Model'!$A$6:$B$38,2,FALSE)</f>
        <v>0.559441163373953</v>
      </c>
      <c r="J37">
        <f>($B$1+Table4[[#This Row],[Home Differential]])-Table4[[#This Row],[Away Differential]]</f>
        <v>-0.50996331238786852</v>
      </c>
      <c r="K37" t="str">
        <f>IF(Table4[[#This Row],[HomeIce Differential]]&gt;0,Table4[[#This Row],[Home]],Table4[[#This Row],[Visitor]])</f>
        <v>New Jersey Devils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0.5969756247727015</v>
      </c>
      <c r="M37" t="str">
        <f>IF(OR((NHL2025_26Results[[#This Row],[Winning Team]]="")),"-",IF(Table4[[#This Row],[Predicted Winner]]=NHL2025_26Results[[#This Row],[Winning Team]],"YES","NO"))</f>
        <v>YES</v>
      </c>
      <c r="N37">
        <f>IF(Table4[[#This Row],[Adjusted Correct]]="-", "",IF(Table4[[#This Row],[Adjusted Correct]]="YES",(Table4[[#This Row],[Strength of Win]]-1)^2,(Table4[[#This Row],[Strength of Win]]-0)^2))</f>
        <v>0.16242864702735429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0.105105258369765</v>
      </c>
      <c r="H38" t="s">
        <v>13</v>
      </c>
      <c r="I38">
        <f>VLOOKUP(Table4[[#This Row],[Visitor]],'NHL Model'!$A$6:$B$38,2,FALSE)</f>
        <v>-7.5459708298993802E-2</v>
      </c>
      <c r="J38">
        <f>($B$1+Table4[[#This Row],[Home Differential]])-Table4[[#This Row],[Away Differential]]</f>
        <v>0.34313727633107721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0.50209009715312947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0.24791427135298005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-0.30719665303039001</v>
      </c>
      <c r="H39" t="s">
        <v>22</v>
      </c>
      <c r="I39">
        <f>VLOOKUP(Table4[[#This Row],[Visitor]],'NHL Model'!$A$6:$B$38,2,FALSE)</f>
        <v>-6.1308839486784707E-2</v>
      </c>
      <c r="J39">
        <f>($B$1+Table4[[#This Row],[Home Differential]])-Table4[[#This Row],[Away Differential]]</f>
        <v>-8.3315503881286918E-2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0.47154408491571803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0.27926565418756588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4.029141914856392E-2</v>
      </c>
      <c r="H40" t="s">
        <v>37</v>
      </c>
      <c r="I40">
        <f>VLOOKUP(Table4[[#This Row],[Visitor]],'NHL Model'!$A$6:$B$38,2,FALSE)</f>
        <v>-0.11309445867623392</v>
      </c>
      <c r="J40">
        <f>($B$1+Table4[[#This Row],[Home Differential]])-Table4[[#This Row],[Away Differential]]</f>
        <v>0.31595818748711624</v>
      </c>
      <c r="K40" t="str">
        <f>IF(Table4[[#This Row],[HomeIce Differential]]&gt;0,Table4[[#This Row],[Home]],Table4[[#This Row],[Visitor]])</f>
        <v>Boston Bruins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0.61070787822455908</v>
      </c>
      <c r="M40" t="str">
        <f>IF(OR((NHL2025_26Results[[#This Row],[Winning Team]]="")),"-",IF(Table4[[#This Row],[Predicted Winner]]=NHL2025_26Results[[#This Row],[Winning Team]],"YES","NO"))</f>
        <v>NO</v>
      </c>
      <c r="N40">
        <f>IF(Table4[[#This Row],[Adjusted Correct]]="-", "",IF(Table4[[#This Row],[Adjusted Correct]]="YES",(Table4[[#This Row],[Strength of Win]]-1)^2,(Table4[[#This Row],[Strength of Win]]-0)^2))</f>
        <v>0.3729641125255429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-0.8683412362501769</v>
      </c>
      <c r="H41" t="s">
        <v>12</v>
      </c>
      <c r="I41">
        <f>VLOOKUP(Table4[[#This Row],[Visitor]],'NHL Model'!$A$6:$B$38,2,FALSE)</f>
        <v>1.5475013591489768</v>
      </c>
      <c r="J41">
        <f>($B$1+Table4[[#This Row],[Home Differential]])-Table4[[#This Row],[Away Differential]]</f>
        <v>-2.2532702857368352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0.838525910097495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2.6073881709842268E-2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-0.40822279081308277</v>
      </c>
      <c r="H42" t="s">
        <v>24</v>
      </c>
      <c r="I42">
        <f>VLOOKUP(Table4[[#This Row],[Visitor]],'NHL Model'!$A$6:$B$38,2,FALSE)</f>
        <v>0.559441163373953</v>
      </c>
      <c r="J42">
        <f>($B$1+Table4[[#This Row],[Home Differential]])-Table4[[#This Row],[Away Differential]]</f>
        <v>-0.80509164452471738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0.63786821220848644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0.1311394317290778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0.30570968833820172</v>
      </c>
      <c r="H43" t="s">
        <v>55</v>
      </c>
      <c r="I43">
        <f>VLOOKUP(Table4[[#This Row],[Visitor]],'NHL Model'!$A$6:$B$38,2,FALSE)</f>
        <v>-0.12212311954851815</v>
      </c>
      <c r="J43">
        <f>($B$1+Table4[[#This Row],[Home Differential]])-Table4[[#This Row],[Away Differential]]</f>
        <v>0.59040511754903824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0.62180574435908076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0.14303089499978897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-0.53650300840565446</v>
      </c>
      <c r="H44" t="s">
        <v>13</v>
      </c>
      <c r="I44">
        <f>VLOOKUP(Table4[[#This Row],[Visitor]],'NHL Model'!$A$6:$B$38,2,FALSE)</f>
        <v>-7.5459708298993802E-2</v>
      </c>
      <c r="J44">
        <f>($B$1+Table4[[#This Row],[Home Differential]])-Table4[[#This Row],[Away Differential]]</f>
        <v>-0.29847099044434228</v>
      </c>
      <c r="K44" t="str">
        <f>IF(Table4[[#This Row],[HomeIce Differential]]&gt;0,Table4[[#This Row],[Home]],Table4[[#This Row],[Visitor]])</f>
        <v>Los Angeles Kings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0.62275109054258759</v>
      </c>
      <c r="M44" t="str">
        <f>IF(OR((NHL2025_26Results[[#This Row],[Winning Team]]="")),"-",IF(Table4[[#This Row],[Predicted Winner]]=NHL2025_26Results[[#This Row],[Winning Team]],"YES","NO"))</f>
        <v>NO</v>
      </c>
      <c r="N44">
        <f>IF(Table4[[#This Row],[Adjusted Correct]]="-", "",IF(Table4[[#This Row],[Adjusted Correct]]="YES",(Table4[[#This Row],[Strength of Win]]-1)^2,(Table4[[#This Row],[Strength of Win]]-0)^2))</f>
        <v>0.38781892077198216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-6.4729560818359025E-2</v>
      </c>
      <c r="H45" t="s">
        <v>40</v>
      </c>
      <c r="I45">
        <f>VLOOKUP(Table4[[#This Row],[Visitor]],'NHL Model'!$A$6:$B$38,2,FALSE)</f>
        <v>0.105105258369765</v>
      </c>
      <c r="J45">
        <f>($B$1+Table4[[#This Row],[Home Differential]])-Table4[[#This Row],[Away Differential]]</f>
        <v>-7.2625095258056355E-3</v>
      </c>
      <c r="K45" t="str">
        <f>IF(Table4[[#This Row],[HomeIce Differential]]&gt;0,Table4[[#This Row],[Home]],Table4[[#This Row],[Visitor]])</f>
        <v>Winnipeg Jets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0.52732207309151558</v>
      </c>
      <c r="M45" t="str">
        <f>IF(OR((NHL2025_26Results[[#This Row],[Winning Team]]="")),"-",IF(Table4[[#This Row],[Predicted Winner]]=NHL2025_26Results[[#This Row],[Winning Team]],"YES","NO"))</f>
        <v>YES</v>
      </c>
      <c r="N45">
        <f>IF(Table4[[#This Row],[Adjusted Correct]]="-", "",IF(Table4[[#This Row],[Adjusted Correct]]="YES",(Table4[[#This Row],[Strength of Win]]-1)^2,(Table4[[#This Row],[Strength of Win]]-0)^2))</f>
        <v>0.22342442258650255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-0.40651947573390851</v>
      </c>
      <c r="H46" t="s">
        <v>29</v>
      </c>
      <c r="I46">
        <f>VLOOKUP(Table4[[#This Row],[Visitor]],'NHL Model'!$A$6:$B$38,2,FALSE)</f>
        <v>-1.3516250707060606</v>
      </c>
      <c r="J46">
        <f>($B$1+Table4[[#This Row],[Home Differential]])-Table4[[#This Row],[Away Differential]]</f>
        <v>1.1076779046344705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0.69597384991172706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0.48437959976095118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-0.51358590497437617</v>
      </c>
      <c r="H47" t="s">
        <v>11</v>
      </c>
      <c r="I47">
        <f>VLOOKUP(Table4[[#This Row],[Visitor]],'NHL Model'!$A$6:$B$38,2,FALSE)</f>
        <v>-0.28105923893144158</v>
      </c>
      <c r="J47">
        <f>($B$1+Table4[[#This Row],[Home Differential]])-Table4[[#This Row],[Away Differential]]</f>
        <v>-6.9954356380616201E-2</v>
      </c>
      <c r="K47" t="str">
        <f>IF(Table4[[#This Row],[HomeIce Differential]]&gt;0,Table4[[#This Row],[Home]],Table4[[#This Row],[Visitor]])</f>
        <v>Florida Panthers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0.46719730296298501</v>
      </c>
      <c r="M47" t="str">
        <f>IF(OR((NHL2025_26Results[[#This Row],[Winning Team]]="")),"-",IF(Table4[[#This Row],[Predicted Winner]]=NHL2025_26Results[[#This Row],[Winning Team]],"YES","NO"))</f>
        <v>NO</v>
      </c>
      <c r="N47">
        <f>IF(Table4[[#This Row],[Adjusted Correct]]="-", "",IF(Table4[[#This Row],[Adjusted Correct]]="YES",(Table4[[#This Row],[Strength of Win]]-1)^2,(Table4[[#This Row],[Strength of Win]]-0)^2))</f>
        <v>0.21827331989588719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-0.635565543477981</v>
      </c>
      <c r="H48" t="s">
        <v>26</v>
      </c>
      <c r="I48">
        <f>VLOOKUP(Table4[[#This Row],[Visitor]],'NHL Model'!$A$6:$B$38,2,FALSE)</f>
        <v>-0.513643833119658</v>
      </c>
      <c r="J48">
        <f>($B$1+Table4[[#This Row],[Home Differential]])-Table4[[#This Row],[Away Differential]]</f>
        <v>4.0650599303995394E-2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0.49853310125326078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0.24853525304519397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-0.6902088310934803</v>
      </c>
      <c r="H49" t="s">
        <v>35</v>
      </c>
      <c r="I49">
        <f>VLOOKUP(Table4[[#This Row],[Visitor]],'NHL Model'!$A$6:$B$38,2,FALSE)</f>
        <v>-1.6211574240381006</v>
      </c>
      <c r="J49">
        <f>($B$1+Table4[[#This Row],[Home Differential]])-Table4[[#This Row],[Away Differential]]</f>
        <v>1.0935209026069388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0.69151679541894284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0.47819547834648407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0.51775546328552802</v>
      </c>
      <c r="H50" t="s">
        <v>14</v>
      </c>
      <c r="I50">
        <f>VLOOKUP(Table4[[#This Row],[Visitor]],'NHL Model'!$A$6:$B$38,2,FALSE)</f>
        <v>0.26289091192875702</v>
      </c>
      <c r="J50">
        <f>($B$1+Table4[[#This Row],[Home Differential]])-Table4[[#This Row],[Away Differential]]</f>
        <v>0.41743686101908939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0.70216939071165219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8.8703071829068489E-2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-1.3903684122795328</v>
      </c>
      <c r="H51" t="s">
        <v>20</v>
      </c>
      <c r="I51">
        <f>VLOOKUP(Table4[[#This Row],[Visitor]],'NHL Model'!$A$6:$B$38,2,FALSE)</f>
        <v>-6.3745791019188943E-4</v>
      </c>
      <c r="J51">
        <f>($B$1+Table4[[#This Row],[Home Differential]])-Table4[[#This Row],[Away Differential]]</f>
        <v>-1.2271586447070224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0.65080269320547146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0.12193875907255208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0.19809534061227302</v>
      </c>
      <c r="H52" t="s">
        <v>34</v>
      </c>
      <c r="I52">
        <f>VLOOKUP(Table4[[#This Row],[Visitor]],'NHL Model'!$A$6:$B$38,2,FALSE)</f>
        <v>-0.53650300840565446</v>
      </c>
      <c r="J52">
        <f>($B$1+Table4[[#This Row],[Home Differential]])-Table4[[#This Row],[Away Differential]]</f>
        <v>0.89717065868024592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0.69034850377590873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9.5884049113818412E-2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-0.52437726201848234</v>
      </c>
      <c r="H53" t="s">
        <v>32</v>
      </c>
      <c r="I53">
        <f>VLOOKUP(Table4[[#This Row],[Visitor]],'NHL Model'!$A$6:$B$38,2,FALSE)</f>
        <v>-0.361361309178443</v>
      </c>
      <c r="J53">
        <f>($B$1+Table4[[#This Row],[Home Differential]])-Table4[[#This Row],[Away Differential]]</f>
        <v>-4.4364317772094264E-4</v>
      </c>
      <c r="K53" t="str">
        <f>IF(Table4[[#This Row],[HomeIce Differential]]&gt;0,Table4[[#This Row],[Home]],Table4[[#This Row],[Visitor]])</f>
        <v>Seattle Kraken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0.46006147060603736</v>
      </c>
      <c r="M53" t="str">
        <f>IF(OR((NHL2025_26Results[[#This Row],[Winning Team]]="")),"-",IF(Table4[[#This Row],[Predicted Winner]]=NHL2025_26Results[[#This Row],[Winning Team]],"YES","NO"))</f>
        <v>NO</v>
      </c>
      <c r="N53">
        <f>IF(Table4[[#This Row],[Adjusted Correct]]="-", "",IF(Table4[[#This Row],[Adjusted Correct]]="YES",(Table4[[#This Row],[Strength of Win]]-1)^2,(Table4[[#This Row],[Strength of Win]]-0)^2))</f>
        <v>0.21165655673618977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-0.30719665303039001</v>
      </c>
      <c r="H54" t="s">
        <v>17</v>
      </c>
      <c r="I54">
        <f>VLOOKUP(Table4[[#This Row],[Visitor]],'NHL Model'!$A$6:$B$38,2,FALSE)</f>
        <v>-0.61980804137564283</v>
      </c>
      <c r="J54">
        <f>($B$1+Table4[[#This Row],[Home Differential]])-Table4[[#This Row],[Away Differential]]</f>
        <v>0.47518369800757121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0.60584081839294235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0.36704309723103012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-0.39418177254008485</v>
      </c>
      <c r="H55" t="s">
        <v>25</v>
      </c>
      <c r="I55">
        <f>VLOOKUP(Table4[[#This Row],[Visitor]],'NHL Model'!$A$6:$B$38,2,FALSE)</f>
        <v>0.67193921242367816</v>
      </c>
      <c r="J55">
        <f>($B$1+Table4[[#This Row],[Home Differential]])-Table4[[#This Row],[Away Differential]]</f>
        <v>-0.90354867530144456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0.67768068523472857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0.10388974067075411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-0.635565543477981</v>
      </c>
      <c r="H56" t="s">
        <v>29</v>
      </c>
      <c r="I56">
        <f>VLOOKUP(Table4[[#This Row],[Visitor]],'NHL Model'!$A$6:$B$38,2,FALSE)</f>
        <v>-1.3516250707060606</v>
      </c>
      <c r="J56">
        <f>($B$1+Table4[[#This Row],[Home Differential]])-Table4[[#This Row],[Away Differential]]</f>
        <v>0.87863183689039803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0.66174205354586113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0.11441843833937108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-6.1308839486784707E-2</v>
      </c>
      <c r="H57" t="s">
        <v>37</v>
      </c>
      <c r="I57">
        <f>VLOOKUP(Table4[[#This Row],[Visitor]],'NHL Model'!$A$6:$B$38,2,FALSE)</f>
        <v>-0.11309445867623392</v>
      </c>
      <c r="J57">
        <f>($B$1+Table4[[#This Row],[Home Differential]])-Table4[[#This Row],[Away Differential]]</f>
        <v>0.21435792885176763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0.52260175677791987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0.22790908263152837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-0.8683412362501769</v>
      </c>
      <c r="H58" t="s">
        <v>36</v>
      </c>
      <c r="I58">
        <f>VLOOKUP(Table4[[#This Row],[Visitor]],'NHL Model'!$A$6:$B$38,2,FALSE)</f>
        <v>-0.40651947573390851</v>
      </c>
      <c r="J58">
        <f>($B$1+Table4[[#This Row],[Home Differential]])-Table4[[#This Row],[Away Differential]]</f>
        <v>-0.29924945085394999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0.50146360413977997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0.25146574627685797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-0.513643833119658</v>
      </c>
      <c r="H59" t="s">
        <v>11</v>
      </c>
      <c r="I59">
        <f>VLOOKUP(Table4[[#This Row],[Visitor]],'NHL Model'!$A$6:$B$38,2,FALSE)</f>
        <v>-0.28105923893144158</v>
      </c>
      <c r="J59">
        <f>($B$1+Table4[[#This Row],[Home Differential]])-Table4[[#This Row],[Away Differential]]</f>
        <v>-7.0012284525898028E-2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0.4436630727646918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0.19683692213500822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-1.6211574240381006</v>
      </c>
      <c r="H60" t="s">
        <v>10</v>
      </c>
      <c r="I60">
        <f>VLOOKUP(Table4[[#This Row],[Visitor]],'NHL Model'!$A$6:$B$38,2,FALSE)</f>
        <v>0.30570968833820172</v>
      </c>
      <c r="J60">
        <f>($B$1+Table4[[#This Row],[Home Differential]])-Table4[[#This Row],[Away Differential]]</f>
        <v>-1.764294802713984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0.7252275616929752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7.5499892853187756E-2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-0.12212311954851815</v>
      </c>
      <c r="H61" t="s">
        <v>16</v>
      </c>
      <c r="I61">
        <f>VLOOKUP(Table4[[#This Row],[Visitor]],'NHL Model'!$A$6:$B$38,2,FALSE)</f>
        <v>-1.3903684122795328</v>
      </c>
      <c r="J61">
        <f>($B$1+Table4[[#This Row],[Home Differential]])-Table4[[#This Row],[Away Differential]]</f>
        <v>1.430817602393333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0.80652468162580015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3.7432698819997993E-2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0.51775546328552802</v>
      </c>
      <c r="H62" t="s">
        <v>25</v>
      </c>
      <c r="I62">
        <f>VLOOKUP(Table4[[#This Row],[Visitor]],'NHL Model'!$A$6:$B$38,2,FALSE)</f>
        <v>0.67193921242367816</v>
      </c>
      <c r="J62">
        <f>($B$1+Table4[[#This Row],[Home Differential]])-Table4[[#This Row],[Away Differential]]</f>
        <v>8.3885605241682537E-3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0.55671786329541662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0.30993477931221419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-0.40822279081308277</v>
      </c>
      <c r="H63" t="s">
        <v>12</v>
      </c>
      <c r="I63">
        <f>VLOOKUP(Table4[[#This Row],[Visitor]],'NHL Model'!$A$6:$B$38,2,FALSE)</f>
        <v>1.5475013591489768</v>
      </c>
      <c r="J63">
        <f>($B$1+Table4[[#This Row],[Home Differential]])-Table4[[#This Row],[Away Differential]]</f>
        <v>-1.7931518402997413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0.77477251297488592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5.0727420911647933E-2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0.19809534061227302</v>
      </c>
      <c r="H64" t="s">
        <v>38</v>
      </c>
      <c r="I64">
        <f>VLOOKUP(Table4[[#This Row],[Visitor]],'NHL Model'!$A$6:$B$38,2,FALSE)</f>
        <v>-0.6902088310934803</v>
      </c>
      <c r="J64">
        <f>($B$1+Table4[[#This Row],[Home Differential]])-Table4[[#This Row],[Away Differential]]</f>
        <v>1.0508764813680718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0.66941756519074769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0.44811987658590891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-7.5459708298993802E-2</v>
      </c>
      <c r="H65" t="s">
        <v>14</v>
      </c>
      <c r="I65">
        <f>VLOOKUP(Table4[[#This Row],[Visitor]],'NHL Model'!$A$6:$B$38,2,FALSE)</f>
        <v>0.26289091192875702</v>
      </c>
      <c r="J65">
        <f>($B$1+Table4[[#This Row],[Home Differential]])-Table4[[#This Row],[Away Differential]]</f>
        <v>-0.17577831056543242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0.48435560788782039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0.26588913911673923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-0.52437726201848234</v>
      </c>
      <c r="H66" t="s">
        <v>29</v>
      </c>
      <c r="I66">
        <f>VLOOKUP(Table4[[#This Row],[Visitor]],'NHL Model'!$A$6:$B$38,2,FALSE)</f>
        <v>-1.3516250707060606</v>
      </c>
      <c r="J66">
        <f>($B$1+Table4[[#This Row],[Home Differential]])-Table4[[#This Row],[Away Differential]]</f>
        <v>0.98982011834989669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0.6771481532872744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0.10423331492581726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0.559441163373953</v>
      </c>
      <c r="H67" t="s">
        <v>11</v>
      </c>
      <c r="I67">
        <f>VLOOKUP(Table4[[#This Row],[Visitor]],'NHL Model'!$A$6:$B$38,2,FALSE)</f>
        <v>-0.28105923893144158</v>
      </c>
      <c r="J67">
        <f>($B$1+Table4[[#This Row],[Home Differential]])-Table4[[#This Row],[Away Differential]]</f>
        <v>1.003072711967713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0.79441512656516433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4.2265140185217404E-2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-6.4729560818359025E-2</v>
      </c>
      <c r="H68" t="s">
        <v>17</v>
      </c>
      <c r="I68">
        <f>VLOOKUP(Table4[[#This Row],[Visitor]],'NHL Model'!$A$6:$B$38,2,FALSE)</f>
        <v>-0.61980804137564283</v>
      </c>
      <c r="J68">
        <f>($B$1+Table4[[#This Row],[Home Differential]])-Table4[[#This Row],[Away Differential]]</f>
        <v>0.71765079021960221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0.63943673477545848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0.13000586822938306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-0.40651947573390851</v>
      </c>
      <c r="H69" t="s">
        <v>32</v>
      </c>
      <c r="I69">
        <f>VLOOKUP(Table4[[#This Row],[Visitor]],'NHL Model'!$A$6:$B$38,2,FALSE)</f>
        <v>-0.361361309178443</v>
      </c>
      <c r="J69">
        <f>($B$1+Table4[[#This Row],[Home Differential]])-Table4[[#This Row],[Away Differential]]</f>
        <v>0.11741414310685289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0.55876422601841536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0.19468900824112806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-0.51358590497437617</v>
      </c>
      <c r="H70" t="s">
        <v>40</v>
      </c>
      <c r="I70">
        <f>VLOOKUP(Table4[[#This Row],[Visitor]],'NHL Model'!$A$6:$B$38,2,FALSE)</f>
        <v>0.105105258369765</v>
      </c>
      <c r="J70">
        <f>($B$1+Table4[[#This Row],[Home Differential]])-Table4[[#This Row],[Away Differential]]</f>
        <v>-0.45611885368182281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0.58700874284161997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0.17056177848925919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-0.635565543477981</v>
      </c>
      <c r="H71" t="s">
        <v>15</v>
      </c>
      <c r="I71">
        <f>VLOOKUP(Table4[[#This Row],[Visitor]],'NHL Model'!$A$6:$B$38,2,FALSE)</f>
        <v>-0.30719665303039001</v>
      </c>
      <c r="J71">
        <f>($B$1+Table4[[#This Row],[Home Differential]])-Table4[[#This Row],[Away Differential]]</f>
        <v>-0.1657965807852726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0.62538219129839789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0.39110288519318592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-6.3745791019188943E-4</v>
      </c>
      <c r="H72" t="s">
        <v>21</v>
      </c>
      <c r="I72">
        <f>VLOOKUP(Table4[[#This Row],[Visitor]],'NHL Model'!$A$6:$B$38,2,FALSE)</f>
        <v>4.029141914856392E-2</v>
      </c>
      <c r="J72">
        <f>($B$1+Table4[[#This Row],[Home Differential]])-Table4[[#This Row],[Away Differential]]</f>
        <v>0.12164343260356257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0.55685475151678643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0.1963777112532491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0.30570968833820172</v>
      </c>
      <c r="H73" t="s">
        <v>38</v>
      </c>
      <c r="I73">
        <f>VLOOKUP(Table4[[#This Row],[Visitor]],'NHL Model'!$A$6:$B$38,2,FALSE)</f>
        <v>-0.6902088310934803</v>
      </c>
      <c r="J73">
        <f>($B$1+Table4[[#This Row],[Home Differential]])-Table4[[#This Row],[Away Differential]]</f>
        <v>1.1584908290940004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0.65800637882489976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0.43297239457425751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-0.513643833119658</v>
      </c>
      <c r="H74" t="s">
        <v>37</v>
      </c>
      <c r="I74">
        <f>VLOOKUP(Table4[[#This Row],[Visitor]],'NHL Model'!$A$6:$B$38,2,FALSE)</f>
        <v>-0.11309445867623392</v>
      </c>
      <c r="J74">
        <f>($B$1+Table4[[#This Row],[Home Differential]])-Table4[[#This Row],[Away Differential]]</f>
        <v>-0.2379770647811057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0.51374301494919361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0.26393188540908735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-0.12212311954851815</v>
      </c>
      <c r="H75" t="s">
        <v>33</v>
      </c>
      <c r="I75">
        <f>VLOOKUP(Table4[[#This Row],[Visitor]],'NHL Model'!$A$6:$B$38,2,FALSE)</f>
        <v>-0.39418177254008485</v>
      </c>
      <c r="J75">
        <f>($B$1+Table4[[#This Row],[Home Differential]])-Table4[[#This Row],[Away Differential]]</f>
        <v>0.43463096265388512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0.66849439163989366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0.10989596837420421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-6.1308839486784707E-2</v>
      </c>
      <c r="H76" t="s">
        <v>34</v>
      </c>
      <c r="I76">
        <f>VLOOKUP(Table4[[#This Row],[Visitor]],'NHL Model'!$A$6:$B$38,2,FALSE)</f>
        <v>-0.53650300840565446</v>
      </c>
      <c r="J76">
        <f>($B$1+Table4[[#This Row],[Home Differential]])-Table4[[#This Row],[Away Differential]]</f>
        <v>0.63776647858118818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0.62836807127314653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0.13811029044924109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-0.8683412362501769</v>
      </c>
      <c r="H77" t="s">
        <v>11</v>
      </c>
      <c r="I77">
        <f>VLOOKUP(Table4[[#This Row],[Visitor]],'NHL Model'!$A$6:$B$38,2,FALSE)</f>
        <v>-0.28105923893144158</v>
      </c>
      <c r="J77">
        <f>($B$1+Table4[[#This Row],[Home Differential]])-Table4[[#This Row],[Away Differential]]</f>
        <v>-0.42470968765641692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0.51884720694745701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0.26920242415717727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-0.40822279081308277</v>
      </c>
      <c r="H78" t="s">
        <v>37</v>
      </c>
      <c r="I78">
        <f>VLOOKUP(Table4[[#This Row],[Visitor]],'NHL Model'!$A$6:$B$38,2,FALSE)</f>
        <v>-0.11309445867623392</v>
      </c>
      <c r="J78">
        <f>($B$1+Table4[[#This Row],[Home Differential]])-Table4[[#This Row],[Away Differential]]</f>
        <v>-0.13255602247453047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0.52546617687179242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0.27611470303625785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1.5475013591489768</v>
      </c>
      <c r="H79" t="s">
        <v>21</v>
      </c>
      <c r="I79">
        <f>VLOOKUP(Table4[[#This Row],[Visitor]],'NHL Model'!$A$6:$B$38,2,FALSE)</f>
        <v>4.029141914856392E-2</v>
      </c>
      <c r="J79">
        <f>($B$1+Table4[[#This Row],[Home Differential]])-Table4[[#This Row],[Away Differential]]</f>
        <v>1.6697822496627313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0.85972904558912866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1.9675940651336744E-2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-7.5459708298993802E-2</v>
      </c>
      <c r="H80" t="s">
        <v>25</v>
      </c>
      <c r="I80">
        <f>VLOOKUP(Table4[[#This Row],[Visitor]],'NHL Model'!$A$6:$B$38,2,FALSE)</f>
        <v>0.67193921242367816</v>
      </c>
      <c r="J80">
        <f>($B$1+Table4[[#This Row],[Home Differential]])-Table4[[#This Row],[Away Differential]]</f>
        <v>-0.58482661106035361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0.63351898179769905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0.13430833670259523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-0.52437726201848234</v>
      </c>
      <c r="H81" t="s">
        <v>15</v>
      </c>
      <c r="I81">
        <f>VLOOKUP(Table4[[#This Row],[Visitor]],'NHL Model'!$A$6:$B$38,2,FALSE)</f>
        <v>-0.30719665303039001</v>
      </c>
      <c r="J81">
        <f>($B$1+Table4[[#This Row],[Home Differential]])-Table4[[#This Row],[Away Differential]]</f>
        <v>-5.4608299325773935E-2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0.60997609155698462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0.15211864915716564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0.559441163373953</v>
      </c>
      <c r="H82" t="s">
        <v>17</v>
      </c>
      <c r="I82">
        <f>VLOOKUP(Table4[[#This Row],[Visitor]],'NHL Model'!$A$6:$B$38,2,FALSE)</f>
        <v>-0.61980804137564283</v>
      </c>
      <c r="J82">
        <f>($B$1+Table4[[#This Row],[Home Differential]])-Table4[[#This Row],[Away Differential]]</f>
        <v>1.3418215144119143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0.84135170809368298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2.5169280524791973E-2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-0.40651947573390851</v>
      </c>
      <c r="H83" t="s">
        <v>30</v>
      </c>
      <c r="I83">
        <f>VLOOKUP(Table4[[#This Row],[Visitor]],'NHL Model'!$A$6:$B$38,2,FALSE)</f>
        <v>-6.4729560818359025E-2</v>
      </c>
      <c r="J83">
        <f>($B$1+Table4[[#This Row],[Home Differential]])-Table4[[#This Row],[Away Differential]]</f>
        <v>-0.1792176052532311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0.52483215196517119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0.22578448380605018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-0.51358590497437617</v>
      </c>
      <c r="H84" t="s">
        <v>34</v>
      </c>
      <c r="I84">
        <f>VLOOKUP(Table4[[#This Row],[Visitor]],'NHL Model'!$A$6:$B$38,2,FALSE)</f>
        <v>-0.53650300840565446</v>
      </c>
      <c r="J84">
        <f>($B$1+Table4[[#This Row],[Home Differential]])-Table4[[#This Row],[Away Differential]]</f>
        <v>0.18548941309359668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0.56819664448529694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0.18645413783375703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-0.39418177254008485</v>
      </c>
      <c r="H85" t="s">
        <v>14</v>
      </c>
      <c r="I85">
        <f>VLOOKUP(Table4[[#This Row],[Visitor]],'NHL Model'!$A$6:$B$38,2,FALSE)</f>
        <v>0.26289091192875702</v>
      </c>
      <c r="J85">
        <f>($B$1+Table4[[#This Row],[Home Differential]])-Table4[[#This Row],[Away Differential]]</f>
        <v>-0.49450037480652348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0.52851731132485003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0.2222959257203484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-1.6211574240381006</v>
      </c>
      <c r="H86" t="s">
        <v>39</v>
      </c>
      <c r="I86">
        <f>VLOOKUP(Table4[[#This Row],[Visitor]],'NHL Model'!$A$6:$B$38,2,FALSE)</f>
        <v>0.19809534061227302</v>
      </c>
      <c r="J86">
        <f>($B$1+Table4[[#This Row],[Home Differential]])-Table4[[#This Row],[Away Differential]]</f>
        <v>-1.6566804549880552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0.78203361851130226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0.61157658048188102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-0.635565543477981</v>
      </c>
      <c r="H87" t="s">
        <v>32</v>
      </c>
      <c r="I87">
        <f>VLOOKUP(Table4[[#This Row],[Visitor]],'NHL Model'!$A$6:$B$38,2,FALSE)</f>
        <v>-0.361361309178443</v>
      </c>
      <c r="J87">
        <f>($B$1+Table4[[#This Row],[Home Differential]])-Table4[[#This Row],[Away Differential]]</f>
        <v>-0.1116319246372196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0.47546757034745057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0.27513426975720673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-6.3745791019188943E-4</v>
      </c>
      <c r="H88" t="s">
        <v>16</v>
      </c>
      <c r="I88">
        <f>VLOOKUP(Table4[[#This Row],[Visitor]],'NHL Model'!$A$6:$B$38,2,FALSE)</f>
        <v>-1.3903684122795328</v>
      </c>
      <c r="J88">
        <f>($B$1+Table4[[#This Row],[Home Differential]])-Table4[[#This Row],[Away Differential]]</f>
        <v>1.5523032640316592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0.75508506652568641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5.998332463872745E-2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0.105105258369765</v>
      </c>
      <c r="H89" t="s">
        <v>29</v>
      </c>
      <c r="I89">
        <f>VLOOKUP(Table4[[#This Row],[Visitor]],'NHL Model'!$A$6:$B$38,2,FALSE)</f>
        <v>-1.3516250707060606</v>
      </c>
      <c r="J89">
        <f>($B$1+Table4[[#This Row],[Home Differential]])-Table4[[#This Row],[Away Differential]]</f>
        <v>1.619302638738144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0.80040527673928241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3.9838053553522441E-2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0.30570968833820172</v>
      </c>
      <c r="H90" t="s">
        <v>31</v>
      </c>
      <c r="I90">
        <f>VLOOKUP(Table4[[#This Row],[Visitor]],'NHL Model'!$A$6:$B$38,2,FALSE)</f>
        <v>0.51775546328552802</v>
      </c>
      <c r="J90">
        <f>($B$1+Table4[[#This Row],[Home Differential]])-Table4[[#This Row],[Away Differential]]</f>
        <v>-4.94734652850079E-2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0.48762420802698975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0.23777736825394896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-0.513643833119658</v>
      </c>
      <c r="H91" t="s">
        <v>17</v>
      </c>
      <c r="I91">
        <f>VLOOKUP(Table4[[#This Row],[Visitor]],'NHL Model'!$A$6:$B$38,2,FALSE)</f>
        <v>-0.61980804137564283</v>
      </c>
      <c r="J91">
        <f>($B$1+Table4[[#This Row],[Home Differential]])-Table4[[#This Row],[Away Differential]]</f>
        <v>0.26873651791830322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0.6032735087638269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0.15739190884856533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-0.12212311954851815</v>
      </c>
      <c r="H92" t="s">
        <v>21</v>
      </c>
      <c r="I92">
        <f>VLOOKUP(Table4[[#This Row],[Visitor]],'NHL Model'!$A$6:$B$38,2,FALSE)</f>
        <v>4.029141914856392E-2</v>
      </c>
      <c r="J92">
        <f>($B$1+Table4[[#This Row],[Home Differential]])-Table4[[#This Row],[Away Differential]]</f>
        <v>1.5777096523632295E-4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0.60829436661690017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0.15343330322405541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-6.1308839486784707E-2</v>
      </c>
      <c r="H93" t="s">
        <v>38</v>
      </c>
      <c r="I93">
        <f>VLOOKUP(Table4[[#This Row],[Visitor]],'NHL Model'!$A$6:$B$38,2,FALSE)</f>
        <v>-0.6902088310934803</v>
      </c>
      <c r="J93">
        <f>($B$1+Table4[[#This Row],[Home Differential]])-Table4[[#This Row],[Away Differential]]</f>
        <v>0.79147230126901402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0.60715278191344813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0.36863450058523911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-1.3903684122795328</v>
      </c>
      <c r="H94" t="s">
        <v>40</v>
      </c>
      <c r="I94">
        <f>VLOOKUP(Table4[[#This Row],[Visitor]],'NHL Model'!$A$6:$B$38,2,FALSE)</f>
        <v>0.105105258369765</v>
      </c>
      <c r="J94">
        <f>($B$1+Table4[[#This Row],[Home Differential]])-Table4[[#This Row],[Away Differential]]</f>
        <v>-1.3329013609869793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0.71100082141484966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8.352052522289162E-2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-0.52437726201848234</v>
      </c>
      <c r="H95" t="s">
        <v>23</v>
      </c>
      <c r="I95">
        <f>VLOOKUP(Table4[[#This Row],[Visitor]],'NHL Model'!$A$6:$B$38,2,FALSE)</f>
        <v>-0.8683412362501769</v>
      </c>
      <c r="J95">
        <f>($B$1+Table4[[#This Row],[Home Differential]])-Table4[[#This Row],[Away Differential]]</f>
        <v>0.50653628389401295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0.61018499080911281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0.15195574139049145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-0.30719665303039001</v>
      </c>
      <c r="H96" t="s">
        <v>34</v>
      </c>
      <c r="I96">
        <f>VLOOKUP(Table4[[#This Row],[Visitor]],'NHL Model'!$A$6:$B$38,2,FALSE)</f>
        <v>-0.53650300840565446</v>
      </c>
      <c r="J96">
        <f>($B$1+Table4[[#This Row],[Home Differential]])-Table4[[#This Row],[Away Differential]]</f>
        <v>0.39187866503758284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0.59429818431270576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0.3531903318773788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-0.51358590497437617</v>
      </c>
      <c r="H97" t="s">
        <v>32</v>
      </c>
      <c r="I97">
        <f>VLOOKUP(Table4[[#This Row],[Visitor]],'NHL Model'!$A$6:$B$38,2,FALSE)</f>
        <v>-0.361361309178443</v>
      </c>
      <c r="J97">
        <f>($B$1+Table4[[#This Row],[Home Differential]])-Table4[[#This Row],[Away Differential]]</f>
        <v>1.0347713866385222E-2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0.54392924461404457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0.20800053391831599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-6.3745791019188943E-4</v>
      </c>
      <c r="H98" t="s">
        <v>25</v>
      </c>
      <c r="I98">
        <f>VLOOKUP(Table4[[#This Row],[Visitor]],'NHL Model'!$A$6:$B$38,2,FALSE)</f>
        <v>0.67193921242367816</v>
      </c>
      <c r="J98">
        <f>($B$1+Table4[[#This Row],[Home Differential]])-Table4[[#This Row],[Away Differential]]</f>
        <v>-0.51000436067155164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0.62315171073967157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0.38831805459777929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4.029141914856392E-2</v>
      </c>
      <c r="H99" t="s">
        <v>11</v>
      </c>
      <c r="I99">
        <f>VLOOKUP(Table4[[#This Row],[Visitor]],'NHL Model'!$A$6:$B$38,2,FALSE)</f>
        <v>-0.28105923893144158</v>
      </c>
      <c r="J99">
        <f>($B$1+Table4[[#This Row],[Home Differential]])-Table4[[#This Row],[Away Differential]]</f>
        <v>0.48392296774232391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0.67960914719131127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0.46186859294610139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0.19809534061227302</v>
      </c>
      <c r="H100" t="s">
        <v>28</v>
      </c>
      <c r="I100">
        <f>VLOOKUP(Table4[[#This Row],[Visitor]],'NHL Model'!$A$6:$B$38,2,FALSE)</f>
        <v>-0.40822279081308277</v>
      </c>
      <c r="J100">
        <f>($B$1+Table4[[#This Row],[Home Differential]])-Table4[[#This Row],[Away Differential]]</f>
        <v>0.76889044108767424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0.651990977802686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0.42509223513610261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-1.3516250707060606</v>
      </c>
      <c r="H101" t="s">
        <v>31</v>
      </c>
      <c r="I101">
        <f>VLOOKUP(Table4[[#This Row],[Visitor]],'NHL Model'!$A$6:$B$38,2,FALSE)</f>
        <v>0.51775546328552802</v>
      </c>
      <c r="J101">
        <f>($B$1+Table4[[#This Row],[Home Differential]])-Table4[[#This Row],[Away Differential]]</f>
        <v>-1.7068082243292704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0.7172622981889244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7.9940608025408699E-2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-6.4729560818359025E-2</v>
      </c>
      <c r="H102" t="s">
        <v>33</v>
      </c>
      <c r="I102">
        <f>VLOOKUP(Table4[[#This Row],[Visitor]],'NHL Model'!$A$6:$B$38,2,FALSE)</f>
        <v>-0.39418177254008485</v>
      </c>
      <c r="J102">
        <f>($B$1+Table4[[#This Row],[Home Differential]])-Table4[[#This Row],[Away Differential]]</f>
        <v>0.49202452138404423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0.60817426038215039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0.15352741022707489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-0.40651947573390851</v>
      </c>
      <c r="H103" t="s">
        <v>17</v>
      </c>
      <c r="I103">
        <f>VLOOKUP(Table4[[#This Row],[Visitor]],'NHL Model'!$A$6:$B$38,2,FALSE)</f>
        <v>-0.61980804137564283</v>
      </c>
      <c r="J103">
        <f>($B$1+Table4[[#This Row],[Home Differential]])-Table4[[#This Row],[Away Differential]]</f>
        <v>0.37586087530405271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0.59457425996990443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0.35351855061875948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0.26289091192875702</v>
      </c>
      <c r="H104" t="s">
        <v>38</v>
      </c>
      <c r="I104">
        <f>VLOOKUP(Table4[[#This Row],[Visitor]],'NHL Model'!$A$6:$B$38,2,FALSE)</f>
        <v>-0.6902088310934803</v>
      </c>
      <c r="J104">
        <f>($B$1+Table4[[#This Row],[Home Differential]])-Table4[[#This Row],[Away Differential]]</f>
        <v>1.1156720526845558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0.68856661170601086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9.6990755344274621E-2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-1.6211574240381006</v>
      </c>
      <c r="H105" t="s">
        <v>13</v>
      </c>
      <c r="I105">
        <f>VLOOKUP(Table4[[#This Row],[Visitor]],'NHL Model'!$A$6:$B$38,2,FALSE)</f>
        <v>-7.5459708298993802E-2</v>
      </c>
      <c r="J105">
        <f>($B$1+Table4[[#This Row],[Home Differential]])-Table4[[#This Row],[Away Differential]]</f>
        <v>-1.3831254060767884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0.77303935737117946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5.1511133302487189E-2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-0.635565543477981</v>
      </c>
      <c r="H106" t="s">
        <v>24</v>
      </c>
      <c r="I106">
        <f>VLOOKUP(Table4[[#This Row],[Visitor]],'NHL Model'!$A$6:$B$38,2,FALSE)</f>
        <v>0.559441163373953</v>
      </c>
      <c r="J106">
        <f>($B$1+Table4[[#This Row],[Home Differential]])-Table4[[#This Row],[Away Differential]]</f>
        <v>-1.0324343971896157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0.66936852030811889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0.1093171753632428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-0.12212311954851815</v>
      </c>
      <c r="H107" t="s">
        <v>12</v>
      </c>
      <c r="I107">
        <f>VLOOKUP(Table4[[#This Row],[Visitor]],'NHL Model'!$A$6:$B$38,2,FALSE)</f>
        <v>1.5475013591489768</v>
      </c>
      <c r="J107">
        <f>($B$1+Table4[[#This Row],[Home Differential]])-Table4[[#This Row],[Away Differential]]</f>
        <v>-1.5070521690351766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0.66533687438483047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0.44267315641617566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-6.1308839486784707E-2</v>
      </c>
      <c r="H108" t="s">
        <v>32</v>
      </c>
      <c r="I108">
        <f>VLOOKUP(Table4[[#This Row],[Visitor]],'NHL Model'!$A$6:$B$38,2,FALSE)</f>
        <v>-0.361361309178443</v>
      </c>
      <c r="J108">
        <f>($B$1+Table4[[#This Row],[Home Differential]])-Table4[[#This Row],[Away Differential]]</f>
        <v>0.46262477935397672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0.60410067140189416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0.15673627838443099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-0.8683412362501769</v>
      </c>
      <c r="H109" t="s">
        <v>26</v>
      </c>
      <c r="I109">
        <f>VLOOKUP(Table4[[#This Row],[Visitor]],'NHL Model'!$A$6:$B$38,2,FALSE)</f>
        <v>-0.513643833119658</v>
      </c>
      <c r="J109">
        <f>($B$1+Table4[[#This Row],[Home Differential]])-Table4[[#This Row],[Away Differential]]</f>
        <v>-0.1921250934682005</v>
      </c>
      <c r="K109" t="str">
        <f>IF(Table4[[#This Row],[HomeIce Differential]]&gt;0,Table4[[#This Row],[Home]],Table4[[#This Row],[Visitor]])</f>
        <v>Detroit Red Wings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0.53371998776971596</v>
      </c>
      <c r="M109" t="str">
        <f>IF(OR((NHL2025_26Results[[#This Row],[Winning Team]]="")),"-",IF(Table4[[#This Row],[Predicted Winner]]=NHL2025_26Results[[#This Row],[Winning Team]],"YES","NO"))</f>
        <v>NO</v>
      </c>
      <c r="N109">
        <f>IF(Table4[[#This Row],[Adjusted Correct]]="-", "",IF(Table4[[#This Row],[Adjusted Correct]]="YES",(Table4[[#This Row],[Strength of Win]]-1)^2,(Table4[[#This Row],[Strength of Win]]-0)^2))</f>
        <v>0.28485702534490576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-1.3903684122795328</v>
      </c>
      <c r="H110" t="s">
        <v>18</v>
      </c>
      <c r="I110">
        <f>VLOOKUP(Table4[[#This Row],[Visitor]],'NHL Model'!$A$6:$B$38,2,FALSE)</f>
        <v>-0.52437726201848234</v>
      </c>
      <c r="J110">
        <f>($B$1+Table4[[#This Row],[Home Differential]])-Table4[[#This Row],[Away Differential]]</f>
        <v>-0.70341884059873205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0.63394546154388343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0.13399592512432051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0.559441163373953</v>
      </c>
      <c r="H111" t="s">
        <v>34</v>
      </c>
      <c r="I111">
        <f>VLOOKUP(Table4[[#This Row],[Visitor]],'NHL Model'!$A$6:$B$38,2,FALSE)</f>
        <v>-0.53650300840565446</v>
      </c>
      <c r="J111">
        <f>($B$1+Table4[[#This Row],[Home Differential]])-Table4[[#This Row],[Away Differential]]</f>
        <v>1.2585164814419258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0.82980907401344628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2.8964951288160606E-2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4.029141914856392E-2</v>
      </c>
      <c r="H112" t="s">
        <v>31</v>
      </c>
      <c r="I112">
        <f>VLOOKUP(Table4[[#This Row],[Visitor]],'NHL Model'!$A$6:$B$38,2,FALSE)</f>
        <v>0.51775546328552802</v>
      </c>
      <c r="J112">
        <f>($B$1+Table4[[#This Row],[Home Differential]])-Table4[[#This Row],[Away Differential]]</f>
        <v>-0.31489173447464569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0.45103838546897679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0.30135885422850772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1.5475013591489768</v>
      </c>
      <c r="H113" t="s">
        <v>25</v>
      </c>
      <c r="I113">
        <f>VLOOKUP(Table4[[#This Row],[Visitor]],'NHL Model'!$A$6:$B$38,2,FALSE)</f>
        <v>0.67193921242367816</v>
      </c>
      <c r="J113">
        <f>($B$1+Table4[[#This Row],[Home Differential]])-Table4[[#This Row],[Away Differential]]</f>
        <v>1.0381344563876169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0.6823040618836782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0.46553883286296616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0.19809534061227302</v>
      </c>
      <c r="H114" t="s">
        <v>13</v>
      </c>
      <c r="I114">
        <f>VLOOKUP(Table4[[#This Row],[Visitor]],'NHL Model'!$A$6:$B$38,2,FALSE)</f>
        <v>-7.5459708298993802E-2</v>
      </c>
      <c r="J114">
        <f>($B$1+Table4[[#This Row],[Home Differential]])-Table4[[#This Row],[Away Differential]]</f>
        <v>0.4361273585735852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0.50487366862119543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0.25489742126702464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-0.61980804137564283</v>
      </c>
      <c r="H115" t="s">
        <v>18</v>
      </c>
      <c r="I115">
        <f>VLOOKUP(Table4[[#This Row],[Visitor]],'NHL Model'!$A$6:$B$38,2,FALSE)</f>
        <v>-0.52437726201848234</v>
      </c>
      <c r="J115">
        <f>($B$1+Table4[[#This Row],[Home Differential]])-Table4[[#This Row],[Away Differential]]</f>
        <v>6.7141530305157904E-2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0.50930304074399391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0.24078350582309049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-0.28105923893144158</v>
      </c>
      <c r="H116" t="s">
        <v>14</v>
      </c>
      <c r="I116">
        <f>VLOOKUP(Table4[[#This Row],[Visitor]],'NHL Model'!$A$6:$B$38,2,FALSE)</f>
        <v>0.26289091192875702</v>
      </c>
      <c r="J116">
        <f>($B$1+Table4[[#This Row],[Home Differential]])-Table4[[#This Row],[Away Differential]]</f>
        <v>-0.38137784119788021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0.46112722785827853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0.29038386455570364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-1.3516250707060606</v>
      </c>
      <c r="H117" t="s">
        <v>38</v>
      </c>
      <c r="I117">
        <f>VLOOKUP(Table4[[#This Row],[Visitor]],'NHL Model'!$A$6:$B$38,2,FALSE)</f>
        <v>-0.6902088310934803</v>
      </c>
      <c r="J117">
        <f>($B$1+Table4[[#This Row],[Home Differential]])-Table4[[#This Row],[Away Differential]]</f>
        <v>-0.49884392995026194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0.57163171133703483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0.32676281340610713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-6.4729560818359025E-2</v>
      </c>
      <c r="H118" t="s">
        <v>26</v>
      </c>
      <c r="I118">
        <f>VLOOKUP(Table4[[#This Row],[Visitor]],'NHL Model'!$A$6:$B$38,2,FALSE)</f>
        <v>-0.513643833119658</v>
      </c>
      <c r="J118">
        <f>($B$1+Table4[[#This Row],[Home Differential]])-Table4[[#This Row],[Away Differential]]</f>
        <v>0.61148658196361738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0.57762737242468076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0.17839863652487933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-0.30719665303039001</v>
      </c>
      <c r="H119" t="s">
        <v>33</v>
      </c>
      <c r="I119">
        <f>VLOOKUP(Table4[[#This Row],[Visitor]],'NHL Model'!$A$6:$B$38,2,FALSE)</f>
        <v>-0.39418177254008485</v>
      </c>
      <c r="J119">
        <f>($B$1+Table4[[#This Row],[Home Differential]])-Table4[[#This Row],[Away Differential]]</f>
        <v>0.24955742917201323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0.57457834399963426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0.33014027339336205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-0.40651947573390851</v>
      </c>
      <c r="H120" t="s">
        <v>27</v>
      </c>
      <c r="I120">
        <f>VLOOKUP(Table4[[#This Row],[Visitor]],'NHL Model'!$A$6:$B$38,2,FALSE)</f>
        <v>-0.51358590497437617</v>
      </c>
      <c r="J120">
        <f>($B$1+Table4[[#This Row],[Home Differential]])-Table4[[#This Row],[Away Differential]]</f>
        <v>0.26963873890278606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0.57985626265343349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0.17652076003154066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-1.6211574240381006</v>
      </c>
      <c r="H121" t="s">
        <v>55</v>
      </c>
      <c r="I121">
        <f>VLOOKUP(Table4[[#This Row],[Visitor]],'NHL Model'!$A$6:$B$38,2,FALSE)</f>
        <v>-0.12212311954851815</v>
      </c>
      <c r="J121">
        <f>($B$1+Table4[[#This Row],[Home Differential]])-Table4[[#This Row],[Away Differential]]</f>
        <v>-1.336461994827264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0.64517838860938648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0.12589837590983155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-0.11309445867623392</v>
      </c>
      <c r="H122" t="s">
        <v>10</v>
      </c>
      <c r="I122">
        <f>VLOOKUP(Table4[[#This Row],[Visitor]],'NHL Model'!$A$6:$B$38,2,FALSE)</f>
        <v>0.30570968833820172</v>
      </c>
      <c r="J122">
        <f>($B$1+Table4[[#This Row],[Home Differential]])-Table4[[#This Row],[Away Differential]]</f>
        <v>-0.25623183735211724</v>
      </c>
      <c r="K122" t="str">
        <f>IF(Table4[[#This Row],[HomeIce Differential]]&gt;0,Table4[[#This Row],[Home]],Table4[[#This Row],[Visitor]])</f>
        <v>Chicago Blackhawks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0.51627237184988684</v>
      </c>
      <c r="M122" t="str">
        <f>IF(OR((NHL2025_26Results[[#This Row],[Winning Team]]="")),"-",IF(Table4[[#This Row],[Predicted Winner]]=NHL2025_26Results[[#This Row],[Winning Team]],"YES","NO"))</f>
        <v>YES</v>
      </c>
      <c r="N122">
        <f>IF(Table4[[#This Row],[Adjusted Correct]]="-", "",IF(Table4[[#This Row],[Adjusted Correct]]="YES",(Table4[[#This Row],[Strength of Win]]-1)^2,(Table4[[#This Row],[Strength of Win]]-0)^2))</f>
        <v>0.23399241823573416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0.105105258369765</v>
      </c>
      <c r="H123" t="s">
        <v>32</v>
      </c>
      <c r="I123">
        <f>VLOOKUP(Table4[[#This Row],[Visitor]],'NHL Model'!$A$6:$B$38,2,FALSE)</f>
        <v>-0.361361309178443</v>
      </c>
      <c r="J123">
        <f>($B$1+Table4[[#This Row],[Home Differential]])-Table4[[#This Row],[Away Differential]]</f>
        <v>0.62903887721052643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0.66319565284597071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0.43982847395379332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-0.8683412362501769</v>
      </c>
      <c r="H124" t="s">
        <v>19</v>
      </c>
      <c r="I124">
        <f>VLOOKUP(Table4[[#This Row],[Visitor]],'NHL Model'!$A$6:$B$38,2,FALSE)</f>
        <v>-0.635565543477981</v>
      </c>
      <c r="J124">
        <f>($B$1+Table4[[#This Row],[Home Differential]])-Table4[[#This Row],[Away Differential]]</f>
        <v>-7.0203383109877504E-2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0.46972728697825394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0.22064372413195094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-0.40822279081308277</v>
      </c>
      <c r="H125" t="s">
        <v>22</v>
      </c>
      <c r="I125">
        <f>VLOOKUP(Table4[[#This Row],[Visitor]],'NHL Model'!$A$6:$B$38,2,FALSE)</f>
        <v>-6.1308839486784707E-2</v>
      </c>
      <c r="J125">
        <f>($B$1+Table4[[#This Row],[Home Differential]])-Table4[[#This Row],[Away Differential]]</f>
        <v>-0.18434164166397968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0.48554213160498944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0.26466689835353796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0.559441163373953</v>
      </c>
      <c r="H126" t="s">
        <v>33</v>
      </c>
      <c r="I126">
        <f>VLOOKUP(Table4[[#This Row],[Visitor]],'NHL Model'!$A$6:$B$38,2,FALSE)</f>
        <v>-0.39418177254008485</v>
      </c>
      <c r="J126">
        <f>($B$1+Table4[[#This Row],[Home Differential]])-Table4[[#This Row],[Away Differential]]</f>
        <v>1.1161952455763562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0.81008923370037489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3.6066099156510822E-2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0.105105258369765</v>
      </c>
      <c r="H127" t="s">
        <v>16</v>
      </c>
      <c r="I127">
        <f>VLOOKUP(Table4[[#This Row],[Visitor]],'NHL Model'!$A$6:$B$38,2,FALSE)</f>
        <v>-1.3903684122795328</v>
      </c>
      <c r="J127">
        <f>($B$1+Table4[[#This Row],[Home Differential]])-Table4[[#This Row],[Away Differential]]</f>
        <v>1.6580459803116163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0.80577350239005818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3.7723932373824737E-2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4.029141914856392E-2</v>
      </c>
      <c r="H128" t="s">
        <v>12</v>
      </c>
      <c r="I128">
        <f>VLOOKUP(Table4[[#This Row],[Visitor]],'NHL Model'!$A$6:$B$38,2,FALSE)</f>
        <v>1.5475013591489768</v>
      </c>
      <c r="J128">
        <f>($B$1+Table4[[#This Row],[Home Differential]])-Table4[[#This Row],[Away Differential]]</f>
        <v>-1.3446376303380945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0.63836598826439617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0.40751113497277919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0.19809534061227302</v>
      </c>
      <c r="H129" t="s">
        <v>25</v>
      </c>
      <c r="I129">
        <f>VLOOKUP(Table4[[#This Row],[Visitor]],'NHL Model'!$A$6:$B$38,2,FALSE)</f>
        <v>0.67193921242367816</v>
      </c>
      <c r="J129">
        <f>($B$1+Table4[[#This Row],[Home Differential]])-Table4[[#This Row],[Away Differential]]</f>
        <v>-0.31127156214908674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0.56944516129405109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0.32426779172120784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-0.513643833119658</v>
      </c>
      <c r="H130" t="s">
        <v>35</v>
      </c>
      <c r="I130">
        <f>VLOOKUP(Table4[[#This Row],[Visitor]],'NHL Model'!$A$6:$B$38,2,FALSE)</f>
        <v>-1.6211574240381006</v>
      </c>
      <c r="J130">
        <f>($B$1+Table4[[#This Row],[Home Differential]])-Table4[[#This Row],[Away Differential]]</f>
        <v>1.270085900580761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0.74201914151218218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6.655412334611148E-2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-0.28105923893144158</v>
      </c>
      <c r="H131" t="s">
        <v>20</v>
      </c>
      <c r="I131">
        <f>VLOOKUP(Table4[[#This Row],[Visitor]],'NHL Model'!$A$6:$B$38,2,FALSE)</f>
        <v>-6.3745791019188943E-4</v>
      </c>
      <c r="J131">
        <f>($B$1+Table4[[#This Row],[Home Differential]])-Table4[[#This Row],[Away Differential]]</f>
        <v>-0.1178494713589313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0.44490049388655234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0.19793644946049821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-0.53650300840565446</v>
      </c>
      <c r="H132" t="s">
        <v>55</v>
      </c>
      <c r="I132">
        <f>VLOOKUP(Table4[[#This Row],[Visitor]],'NHL Model'!$A$6:$B$38,2,FALSE)</f>
        <v>-0.12212311954851815</v>
      </c>
      <c r="J132">
        <f>($B$1+Table4[[#This Row],[Home Differential]])-Table4[[#This Row],[Away Differential]]</f>
        <v>-0.25180757919481789</v>
      </c>
      <c r="K132" t="str">
        <f>IF(Table4[[#This Row],[HomeIce Differential]]&gt;0,Table4[[#This Row],[Home]],Table4[[#This Row],[Visitor]])</f>
        <v>Utah Mammoth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0.49489012178079456</v>
      </c>
      <c r="M132" t="str">
        <f>IF(OR((NHL2025_26Results[[#This Row],[Winning Team]]="")),"-",IF(Table4[[#This Row],[Predicted Winner]]=NHL2025_26Results[[#This Row],[Winning Team]],"YES","NO"))</f>
        <v>YES</v>
      </c>
      <c r="N132">
        <f>IF(Table4[[#This Row],[Adjusted Correct]]="-", "",IF(Table4[[#This Row],[Adjusted Correct]]="YES",(Table4[[#This Row],[Strength of Win]]-1)^2,(Table4[[#This Row],[Strength of Win]]-0)^2))</f>
        <v>0.25513598907462048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-1.3516250707060606</v>
      </c>
      <c r="H133" t="s">
        <v>13</v>
      </c>
      <c r="I133">
        <f>VLOOKUP(Table4[[#This Row],[Visitor]],'NHL Model'!$A$6:$B$38,2,FALSE)</f>
        <v>-7.5459708298993802E-2</v>
      </c>
      <c r="J133">
        <f>($B$1+Table4[[#This Row],[Home Differential]])-Table4[[#This Row],[Away Differential]]</f>
        <v>-1.1135930527447484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0.73569331456464693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0.54124465309511649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-0.51358590497437617</v>
      </c>
      <c r="H134" t="s">
        <v>30</v>
      </c>
      <c r="I134">
        <f>VLOOKUP(Table4[[#This Row],[Visitor]],'NHL Model'!$A$6:$B$38,2,FALSE)</f>
        <v>-6.4729560818359025E-2</v>
      </c>
      <c r="J134">
        <f>($B$1+Table4[[#This Row],[Home Differential]])-Table4[[#This Row],[Away Differential]]</f>
        <v>-0.28628403449369877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0.53966713336954197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0.29124061483929903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0.26289091192875702</v>
      </c>
      <c r="H135" t="s">
        <v>28</v>
      </c>
      <c r="I135">
        <f>VLOOKUP(Table4[[#This Row],[Visitor]],'NHL Model'!$A$6:$B$38,2,FALSE)</f>
        <v>-0.40822279081308277</v>
      </c>
      <c r="J135">
        <f>($B$1+Table4[[#This Row],[Home Differential]])-Table4[[#This Row],[Away Differential]]</f>
        <v>0.83368601240415818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0.67106997570421123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0.45033491229165062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-0.361361309178443</v>
      </c>
      <c r="H136" t="s">
        <v>17</v>
      </c>
      <c r="I136">
        <f>VLOOKUP(Table4[[#This Row],[Visitor]],'NHL Model'!$A$6:$B$38,2,FALSE)</f>
        <v>-0.61980804137564283</v>
      </c>
      <c r="J136">
        <f>($B$1+Table4[[#This Row],[Home Differential]])-Table4[[#This Row],[Away Differential]]</f>
        <v>0.42101904185951822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0.62437357184526843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0.14109521352828172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-0.11309445867623392</v>
      </c>
      <c r="H137" t="s">
        <v>31</v>
      </c>
      <c r="I137">
        <f>VLOOKUP(Table4[[#This Row],[Visitor]],'NHL Model'!$A$6:$B$38,2,FALSE)</f>
        <v>0.51775546328552802</v>
      </c>
      <c r="J137">
        <f>($B$1+Table4[[#This Row],[Home Differential]])-Table4[[#This Row],[Away Differential]]</f>
        <v>-0.46827761229944354</v>
      </c>
      <c r="K137" t="str">
        <f>IF(Table4[[#This Row],[HomeIce Differential]]&gt;0,Table4[[#This Row],[Home]],Table4[[#This Row],[Visitor]])</f>
        <v>Anaheim Ducks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0.54565315115236868</v>
      </c>
      <c r="M137" t="str">
        <f>IF(OR((NHL2025_26Results[[#This Row],[Winning Team]]="")),"-",IF(Table4[[#This Row],[Predicted Winner]]=NHL2025_26Results[[#This Row],[Winning Team]],"YES","NO"))</f>
        <v>NO</v>
      </c>
      <c r="N137">
        <f>IF(Table4[[#This Row],[Adjusted Correct]]="-", "",IF(Table4[[#This Row],[Adjusted Correct]]="YES",(Table4[[#This Row],[Strength of Win]]-1)^2,(Table4[[#This Row],[Strength of Win]]-0)^2))</f>
        <v>0.29773736136250972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-0.635565543477981</v>
      </c>
      <c r="H138" t="s">
        <v>23</v>
      </c>
      <c r="I138">
        <f>VLOOKUP(Table4[[#This Row],[Visitor]],'NHL Model'!$A$6:$B$38,2,FALSE)</f>
        <v>-0.8683412362501769</v>
      </c>
      <c r="J138">
        <f>($B$1+Table4[[#This Row],[Home Differential]])-Table4[[#This Row],[Away Differential]]</f>
        <v>0.39534800243451429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0.59477889106769966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0.16420414712432321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-0.6902088310934803</v>
      </c>
      <c r="H139" t="s">
        <v>18</v>
      </c>
      <c r="I139">
        <f>VLOOKUP(Table4[[#This Row],[Visitor]],'NHL Model'!$A$6:$B$38,2,FALSE)</f>
        <v>-0.52437726201848234</v>
      </c>
      <c r="J139">
        <f>($B$1+Table4[[#This Row],[Home Differential]])-Table4[[#This Row],[Away Differential]]</f>
        <v>-3.2592594126795715E-3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0.53693228532542026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0.21443170837393799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-6.1308839486784707E-2</v>
      </c>
      <c r="H140" t="s">
        <v>36</v>
      </c>
      <c r="I140">
        <f>VLOOKUP(Table4[[#This Row],[Visitor]],'NHL Model'!$A$6:$B$38,2,FALSE)</f>
        <v>-0.40651947573390851</v>
      </c>
      <c r="J140">
        <f>($B$1+Table4[[#This Row],[Home Differential]])-Table4[[#This Row],[Away Differential]]</f>
        <v>0.50778294590944217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0.61035772663254151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0.37253655446004424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-1.3903684122795328</v>
      </c>
      <c r="H141" t="s">
        <v>15</v>
      </c>
      <c r="I141">
        <f>VLOOKUP(Table4[[#This Row],[Visitor]],'NHL Model'!$A$6:$B$38,2,FALSE)</f>
        <v>-0.30719665303039001</v>
      </c>
      <c r="J141">
        <f>($B$1+Table4[[#This Row],[Home Differential]])-Table4[[#This Row],[Away Differential]]</f>
        <v>-0.92059944958682438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0.72996666845031188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0.53285133704844756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0.30570968833820172</v>
      </c>
      <c r="H142" t="s">
        <v>13</v>
      </c>
      <c r="I142">
        <f>VLOOKUP(Table4[[#This Row],[Visitor]],'NHL Model'!$A$6:$B$38,2,FALSE)</f>
        <v>-7.5459708298993802E-2</v>
      </c>
      <c r="J142">
        <f>($B$1+Table4[[#This Row],[Home Differential]])-Table4[[#This Row],[Away Differential]]</f>
        <v>0.5437417062995139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0.49394477559728778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0.24398144133985497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-0.53650300840565446</v>
      </c>
      <c r="H143" t="s">
        <v>33</v>
      </c>
      <c r="I143">
        <f>VLOOKUP(Table4[[#This Row],[Visitor]],'NHL Model'!$A$6:$B$38,2,FALSE)</f>
        <v>-0.39418177254008485</v>
      </c>
      <c r="J143">
        <f>($B$1+Table4[[#This Row],[Home Differential]])-Table4[[#This Row],[Away Differential]]</f>
        <v>2.0251073796748786E-2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0.54280596173165141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0.29463831209142299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0.559441163373953</v>
      </c>
      <c r="H144" t="s">
        <v>12</v>
      </c>
      <c r="I144">
        <f>VLOOKUP(Table4[[#This Row],[Visitor]],'NHL Model'!$A$6:$B$38,2,FALSE)</f>
        <v>1.5475013591489768</v>
      </c>
      <c r="J144">
        <f>($B$1+Table4[[#This Row],[Home Differential]])-Table4[[#This Row],[Away Differential]]</f>
        <v>-0.8254878861127054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0.52115815973862567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0.2716058274621509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-1.3516250707060606</v>
      </c>
      <c r="H145" t="s">
        <v>39</v>
      </c>
      <c r="I145">
        <f>VLOOKUP(Table4[[#This Row],[Visitor]],'NHL Model'!$A$6:$B$38,2,FALSE)</f>
        <v>0.19809534061227302</v>
      </c>
      <c r="J145">
        <f>($B$1+Table4[[#This Row],[Home Differential]])-Table4[[#This Row],[Away Differential]]</f>
        <v>-1.3871481016560152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0.74468757570476962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6.518443399950774E-2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-0.11309445867623392</v>
      </c>
      <c r="H146" t="s">
        <v>20</v>
      </c>
      <c r="I146">
        <f>VLOOKUP(Table4[[#This Row],[Visitor]],'NHL Model'!$A$6:$B$38,2,FALSE)</f>
        <v>-6.3745791019188943E-4</v>
      </c>
      <c r="J146">
        <f>($B$1+Table4[[#This Row],[Home Differential]])-Table4[[#This Row],[Away Differential]]</f>
        <v>5.0115308896276356E-2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0.52617467948185992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0.22451043436411819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-0.6902088310934803</v>
      </c>
      <c r="H147" t="s">
        <v>17</v>
      </c>
      <c r="I147">
        <f>VLOOKUP(Table4[[#This Row],[Visitor]],'NHL Model'!$A$6:$B$38,2,FALSE)</f>
        <v>-0.61980804137564283</v>
      </c>
      <c r="J147">
        <f>($B$1+Table4[[#This Row],[Home Differential]])-Table4[[#This Row],[Away Differential]]</f>
        <v>9.2171519944480917E-2</v>
      </c>
      <c r="K147" t="str">
        <f>IF(Table4[[#This Row],[HomeIce Differential]]&gt;0,Table4[[#This Row],[Home]],Table4[[#This Row],[Visitor]])</f>
        <v>Vancouver Canucks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0.55277116267058757</v>
      </c>
      <c r="M147" t="str">
        <f>IF(OR((NHL2025_26Results[[#This Row],[Winning Team]]="")),"-",IF(Table4[[#This Row],[Predicted Winner]]=NHL2025_26Results[[#This Row],[Winning Team]],"YES","NO"))</f>
        <v>YES</v>
      </c>
      <c r="N147">
        <f>IF(Table4[[#This Row],[Adjusted Correct]]="-", "",IF(Table4[[#This Row],[Adjusted Correct]]="YES",(Table4[[#This Row],[Strength of Win]]-1)^2,(Table4[[#This Row],[Strength of Win]]-0)^2))</f>
        <v>0.20001363293901805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0.105105258369765</v>
      </c>
      <c r="H148" t="s">
        <v>55</v>
      </c>
      <c r="I148">
        <f>VLOOKUP(Table4[[#This Row],[Visitor]],'NHL Model'!$A$6:$B$38,2,FALSE)</f>
        <v>-0.12212311954851815</v>
      </c>
      <c r="J148">
        <f>($B$1+Table4[[#This Row],[Home Differential]])-Table4[[#This Row],[Away Differential]]</f>
        <v>0.3898006875806016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0.63004712889170578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0.39695938462468172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-0.40651947573390851</v>
      </c>
      <c r="H149" t="s">
        <v>21</v>
      </c>
      <c r="I149">
        <f>VLOOKUP(Table4[[#This Row],[Visitor]],'NHL Model'!$A$6:$B$38,2,FALSE)</f>
        <v>4.029141914856392E-2</v>
      </c>
      <c r="J149">
        <f>($B$1+Table4[[#This Row],[Home Differential]])-Table4[[#This Row],[Away Differential]]</f>
        <v>-0.28423858522015405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0.49688823944639721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0.24689792250014017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0.26289091192875702</v>
      </c>
      <c r="H150" t="s">
        <v>35</v>
      </c>
      <c r="I150">
        <f>VLOOKUP(Table4[[#This Row],[Visitor]],'NHL Model'!$A$6:$B$38,2,FALSE)</f>
        <v>-1.6211574240381006</v>
      </c>
      <c r="J150">
        <f>($B$1+Table4[[#This Row],[Home Differential]])-Table4[[#This Row],[Away Differential]]</f>
        <v>2.0466206456291758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0.85961388891540602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1.9708260185455961E-2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4.029141914856392E-2</v>
      </c>
      <c r="H151" t="s">
        <v>30</v>
      </c>
      <c r="I151">
        <f>VLOOKUP(Table4[[#This Row],[Visitor]],'NHL Model'!$A$6:$B$38,2,FALSE)</f>
        <v>-6.4729560818359025E-2</v>
      </c>
      <c r="J151">
        <f>($B$1+Table4[[#This Row],[Home Differential]])-Table4[[#This Row],[Away Differential]]</f>
        <v>0.26759328962924134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0.60850594015886028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0.15326759889089789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-0.8683412362501769</v>
      </c>
      <c r="H152" t="s">
        <v>28</v>
      </c>
      <c r="I152">
        <f>VLOOKUP(Table4[[#This Row],[Visitor]],'NHL Model'!$A$6:$B$38,2,FALSE)</f>
        <v>-0.40822279081308277</v>
      </c>
      <c r="J152">
        <f>($B$1+Table4[[#This Row],[Home Differential]])-Table4[[#This Row],[Away Differential]]</f>
        <v>-0.29754613577477573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0.52199682584711704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0.22848703450023136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0.67193921242367816</v>
      </c>
      <c r="H153" t="s">
        <v>20</v>
      </c>
      <c r="I153">
        <f>VLOOKUP(Table4[[#This Row],[Visitor]],'NHL Model'!$A$6:$B$38,2,FALSE)</f>
        <v>-6.3745791019188943E-4</v>
      </c>
      <c r="J153">
        <f>($B$1+Table4[[#This Row],[Home Differential]])-Table4[[#This Row],[Away Differential]]</f>
        <v>0.83514897999618842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0.68714569841238482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0.47216921084664409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0.30570968833820172</v>
      </c>
      <c r="H154" t="s">
        <v>36</v>
      </c>
      <c r="I154">
        <f>VLOOKUP(Table4[[#This Row],[Visitor]],'NHL Model'!$A$6:$B$38,2,FALSE)</f>
        <v>-0.40651947573390851</v>
      </c>
      <c r="J154">
        <f>($B$1+Table4[[#This Row],[Home Differential]])-Table4[[#This Row],[Away Differential]]</f>
        <v>0.87480147373442863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0.66121132354399315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0.1147777672948129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1.5475013591489768</v>
      </c>
      <c r="H155" t="s">
        <v>24</v>
      </c>
      <c r="I155">
        <f>VLOOKUP(Table4[[#This Row],[Visitor]],'NHL Model'!$A$6:$B$38,2,FALSE)</f>
        <v>0.559441163373953</v>
      </c>
      <c r="J155">
        <f>($B$1+Table4[[#This Row],[Home Differential]])-Table4[[#This Row],[Away Differential]]</f>
        <v>1.1506325054373421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0.72394623184338025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7.620568291346877E-2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0.19809534061227302</v>
      </c>
      <c r="H156" t="s">
        <v>22</v>
      </c>
      <c r="I156">
        <f>VLOOKUP(Table4[[#This Row],[Visitor]],'NHL Model'!$A$6:$B$38,2,FALSE)</f>
        <v>-6.1308839486784707E-2</v>
      </c>
      <c r="J156">
        <f>($B$1+Table4[[#This Row],[Home Differential]])-Table4[[#This Row],[Away Differential]]</f>
        <v>0.42197648976137614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0.624506234547485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0.14099556789370835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-0.61980804137564283</v>
      </c>
      <c r="H157" t="s">
        <v>55</v>
      </c>
      <c r="I157">
        <f>VLOOKUP(Table4[[#This Row],[Visitor]],'NHL Model'!$A$6:$B$38,2,FALSE)</f>
        <v>-0.12212311954851815</v>
      </c>
      <c r="J157">
        <f>($B$1+Table4[[#This Row],[Home Differential]])-Table4[[#This Row],[Away Differential]]</f>
        <v>-0.33511261216480626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0.47039588950158423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0.22127229285998665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-0.28105923893144158</v>
      </c>
      <c r="H158" t="s">
        <v>31</v>
      </c>
      <c r="I158">
        <f>VLOOKUP(Table4[[#This Row],[Visitor]],'NHL Model'!$A$6:$B$38,2,FALSE)</f>
        <v>0.51775546328552802</v>
      </c>
      <c r="J158">
        <f>($B$1+Table4[[#This Row],[Home Differential]])-Table4[[#This Row],[Away Differential]]</f>
        <v>-0.6362423925546512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0.51672832452078099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0.23355151232049157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-0.53650300840565446</v>
      </c>
      <c r="H159" t="s">
        <v>40</v>
      </c>
      <c r="I159">
        <f>VLOOKUP(Table4[[#This Row],[Visitor]],'NHL Model'!$A$6:$B$38,2,FALSE)</f>
        <v>0.105105258369765</v>
      </c>
      <c r="J159">
        <f>($B$1+Table4[[#This Row],[Home Differential]])-Table4[[#This Row],[Away Differential]]</f>
        <v>-0.4790359571131011</v>
      </c>
      <c r="K159" t="str">
        <f>IF(Table4[[#This Row],[HomeIce Differential]]&gt;0,Table4[[#This Row],[Home]],Table4[[#This Row],[Visitor]])</f>
        <v>Winnipeg Jets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0.59269037174201455</v>
      </c>
      <c r="M159" t="str">
        <f>IF(OR((NHL2025_26Results[[#This Row],[Winning Team]]="")),"-",IF(Table4[[#This Row],[Predicted Winner]]=NHL2025_26Results[[#This Row],[Winning Team]],"YES","NO"))</f>
        <v>YES</v>
      </c>
      <c r="N159">
        <f>IF(Table4[[#This Row],[Adjusted Correct]]="-", "",IF(Table4[[#This Row],[Adjusted Correct]]="YES",(Table4[[#This Row],[Strength of Win]]-1)^2,(Table4[[#This Row],[Strength of Win]]-0)^2))</f>
        <v>0.16590113327165829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-1.3516250707060606</v>
      </c>
      <c r="H160" t="s">
        <v>37</v>
      </c>
      <c r="I160">
        <f>VLOOKUP(Table4[[#This Row],[Visitor]],'NHL Model'!$A$6:$B$38,2,FALSE)</f>
        <v>-0.11309445867623392</v>
      </c>
      <c r="J160">
        <f>($B$1+Table4[[#This Row],[Home Differential]])-Table4[[#This Row],[Away Differential]]</f>
        <v>-1.0759583023675083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0.6561827364725632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0.11821031069949492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-0.51358590497437617</v>
      </c>
      <c r="H161" t="s">
        <v>14</v>
      </c>
      <c r="I161">
        <f>VLOOKUP(Table4[[#This Row],[Visitor]],'NHL Model'!$A$6:$B$38,2,FALSE)</f>
        <v>0.26289091192875702</v>
      </c>
      <c r="J161">
        <f>($B$1+Table4[[#This Row],[Home Differential]])-Table4[[#This Row],[Away Differential]]</f>
        <v>-0.6139045072408148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0.54256630919734727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0.29437819987603142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-0.361361309178443</v>
      </c>
      <c r="H162" t="s">
        <v>18</v>
      </c>
      <c r="I162">
        <f>VLOOKUP(Table4[[#This Row],[Visitor]],'NHL Model'!$A$6:$B$38,2,FALSE)</f>
        <v>-0.52437726201848234</v>
      </c>
      <c r="J162">
        <f>($B$1+Table4[[#This Row],[Home Differential]])-Table4[[#This Row],[Away Differential]]</f>
        <v>0.32558826250235773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0.5349089930628298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0.2861276308594905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-0.39418177254008485</v>
      </c>
      <c r="H163" t="s">
        <v>13</v>
      </c>
      <c r="I163">
        <f>VLOOKUP(Table4[[#This Row],[Visitor]],'NHL Model'!$A$6:$B$38,2,FALSE)</f>
        <v>-7.5459708298993802E-2</v>
      </c>
      <c r="J163">
        <f>($B$1+Table4[[#This Row],[Home Differential]])-Table4[[#This Row],[Away Differential]]</f>
        <v>-0.15614975457877267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0.60303125022951609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0.15758418829434107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-1.6211574240381006</v>
      </c>
      <c r="H164" t="s">
        <v>26</v>
      </c>
      <c r="I164">
        <f>VLOOKUP(Table4[[#This Row],[Visitor]],'NHL Model'!$A$6:$B$38,2,FALSE)</f>
        <v>-0.513643833119658</v>
      </c>
      <c r="J164">
        <f>($B$1+Table4[[#This Row],[Home Differential]])-Table4[[#This Row],[Away Differential]]</f>
        <v>-0.9449412812561242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0.63802919305441019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0.13102286508084143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-0.635565543477981</v>
      </c>
      <c r="H165" t="s">
        <v>16</v>
      </c>
      <c r="I165">
        <f>VLOOKUP(Table4[[#This Row],[Visitor]],'NHL Model'!$A$6:$B$38,2,FALSE)</f>
        <v>-1.3903684122795328</v>
      </c>
      <c r="J165">
        <f>($B$1+Table4[[#This Row],[Home Differential]])-Table4[[#This Row],[Away Differential]]</f>
        <v>0.91737517846387018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0.6671102791966369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0.11081556621654104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-0.6902088310934803</v>
      </c>
      <c r="H166" t="s">
        <v>15</v>
      </c>
      <c r="I166">
        <f>VLOOKUP(Table4[[#This Row],[Visitor]],'NHL Model'!$A$6:$B$38,2,FALSE)</f>
        <v>-0.30719665303039001</v>
      </c>
      <c r="J166">
        <f>($B$1+Table4[[#This Row],[Home Differential]])-Table4[[#This Row],[Away Differential]]</f>
        <v>-0.2204398684007719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0.63295349223184882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0.13472313886479545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-0.40822279081308277</v>
      </c>
      <c r="H167" t="s">
        <v>19</v>
      </c>
      <c r="I167">
        <f>VLOOKUP(Table4[[#This Row],[Visitor]],'NHL Model'!$A$6:$B$38,2,FALSE)</f>
        <v>-0.635565543477981</v>
      </c>
      <c r="J167">
        <f>($B$1+Table4[[#This Row],[Home Differential]])-Table4[[#This Row],[Away Differential]]</f>
        <v>0.38991506232721662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0.59402611014435525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0.16481479924452319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4.029141914856392E-2</v>
      </c>
      <c r="H168" t="s">
        <v>23</v>
      </c>
      <c r="I168">
        <f>VLOOKUP(Table4[[#This Row],[Visitor]],'NHL Model'!$A$6:$B$38,2,FALSE)</f>
        <v>-0.8683412362501769</v>
      </c>
      <c r="J168">
        <f>($B$1+Table4[[#This Row],[Home Differential]])-Table4[[#This Row],[Away Differential]]</f>
        <v>1.0712049650610593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0.76098215618349108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5.7129529662693052E-2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0.67193921242367816</v>
      </c>
      <c r="H169" t="s">
        <v>30</v>
      </c>
      <c r="I169">
        <f>VLOOKUP(Table4[[#This Row],[Visitor]],'NHL Model'!$A$6:$B$38,2,FALSE)</f>
        <v>-6.4729560818359025E-2</v>
      </c>
      <c r="J169">
        <f>($B$1+Table4[[#This Row],[Home Differential]])-Table4[[#This Row],[Away Differential]]</f>
        <v>0.89924108290435556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0.67459764314144288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0.10588669384910375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-0.61980804137564283</v>
      </c>
      <c r="H170" t="s">
        <v>15</v>
      </c>
      <c r="I170">
        <f>VLOOKUP(Table4[[#This Row],[Visitor]],'NHL Model'!$A$6:$B$38,2,FALSE)</f>
        <v>-0.30719665303039001</v>
      </c>
      <c r="J170">
        <f>($B$1+Table4[[#This Row],[Home Differential]])-Table4[[#This Row],[Away Differential]]</f>
        <v>-0.15003907868293442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0.58771834816176449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0.16997616044246405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-7.5459708298993802E-2</v>
      </c>
      <c r="H171" t="s">
        <v>26</v>
      </c>
      <c r="I171">
        <f>VLOOKUP(Table4[[#This Row],[Visitor]],'NHL Model'!$A$6:$B$38,2,FALSE)</f>
        <v>-0.513643833119658</v>
      </c>
      <c r="J171">
        <f>($B$1+Table4[[#This Row],[Home Differential]])-Table4[[#This Row],[Away Differential]]</f>
        <v>0.60075643448298255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0.57614061752428281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0.33193801116126193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-0.53650300840565446</v>
      </c>
      <c r="H172" t="s">
        <v>14</v>
      </c>
      <c r="I172">
        <f>VLOOKUP(Table4[[#This Row],[Visitor]],'NHL Model'!$A$6:$B$38,2,FALSE)</f>
        <v>0.26289091192875702</v>
      </c>
      <c r="J172">
        <f>($B$1+Table4[[#This Row],[Home Differential]])-Table4[[#This Row],[Away Differential]]</f>
        <v>-0.63682161067209309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0.54823715163792142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0.20408967116021842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-0.40651947573390851</v>
      </c>
      <c r="H173" t="s">
        <v>16</v>
      </c>
      <c r="I173">
        <f>VLOOKUP(Table4[[#This Row],[Visitor]],'NHL Model'!$A$6:$B$38,2,FALSE)</f>
        <v>-1.3903684122795328</v>
      </c>
      <c r="J173">
        <f>($B$1+Table4[[#This Row],[Home Differential]])-Table4[[#This Row],[Away Differential]]</f>
        <v>1.1464212462079426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0.70134207556250283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8.9196555829313767E-2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-0.51358590497437617</v>
      </c>
      <c r="H174" t="s">
        <v>29</v>
      </c>
      <c r="I174">
        <f>VLOOKUP(Table4[[#This Row],[Visitor]],'NHL Model'!$A$6:$B$38,2,FALSE)</f>
        <v>-1.3516250707060606</v>
      </c>
      <c r="J174">
        <f>($B$1+Table4[[#This Row],[Home Differential]])-Table4[[#This Row],[Away Differential]]</f>
        <v>1.000611475394003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0.68113886850735628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0.10167242117676903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-0.39418177254008485</v>
      </c>
      <c r="H175" t="s">
        <v>24</v>
      </c>
      <c r="I175">
        <f>VLOOKUP(Table4[[#This Row],[Visitor]],'NHL Model'!$A$6:$B$38,2,FALSE)</f>
        <v>0.559441163373953</v>
      </c>
      <c r="J175">
        <f>($B$1+Table4[[#This Row],[Home Differential]])-Table4[[#This Row],[Away Differential]]</f>
        <v>-0.7910506262517194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0.63592270747412649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0.40439768988122343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-1.6211574240381006</v>
      </c>
      <c r="H176" t="s">
        <v>38</v>
      </c>
      <c r="I176">
        <f>VLOOKUP(Table4[[#This Row],[Visitor]],'NHL Model'!$A$6:$B$38,2,FALSE)</f>
        <v>-0.6902088310934803</v>
      </c>
      <c r="J176">
        <f>($B$1+Table4[[#This Row],[Home Differential]])-Table4[[#This Row],[Away Differential]]</f>
        <v>-0.7683762832823019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0.60897775414356747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0.15289839675460837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-0.11309445867623392</v>
      </c>
      <c r="H177" t="s">
        <v>39</v>
      </c>
      <c r="I177">
        <f>VLOOKUP(Table4[[#This Row],[Visitor]],'NHL Model'!$A$6:$B$38,2,FALSE)</f>
        <v>0.19809534061227302</v>
      </c>
      <c r="J177">
        <f>($B$1+Table4[[#This Row],[Home Differential]])-Table4[[#This Row],[Away Differential]]</f>
        <v>-0.14861748962618854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0.57307842866821401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0.32841888540482927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0.105105258369765</v>
      </c>
      <c r="H178" t="s">
        <v>10</v>
      </c>
      <c r="I178">
        <f>VLOOKUP(Table4[[#This Row],[Visitor]],'NHL Model'!$A$6:$B$38,2,FALSE)</f>
        <v>0.30570968833820172</v>
      </c>
      <c r="J178">
        <f>($B$1+Table4[[#This Row],[Home Differential]])-Table4[[#This Row],[Away Differential]]</f>
        <v>-3.80321203061183E-2</v>
      </c>
      <c r="K178" t="str">
        <f>IF(Table4[[#This Row],[HomeIce Differential]]&gt;0,Table4[[#This Row],[Home]],Table4[[#This Row],[Visitor]])</f>
        <v>Chicago Blackhawks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0.44971412422654372</v>
      </c>
      <c r="M178" t="str">
        <f>IF(OR((NHL2025_26Results[[#This Row],[Winning Team]]="")),"-",IF(Table4[[#This Row],[Predicted Winner]]=NHL2025_26Results[[#This Row],[Winning Team]],"YES","NO"))</f>
        <v>NO</v>
      </c>
      <c r="N178">
        <f>IF(Table4[[#This Row],[Adjusted Correct]]="-", "",IF(Table4[[#This Row],[Adjusted Correct]]="YES",(Table4[[#This Row],[Strength of Win]]-1)^2,(Table4[[#This Row],[Strength of Win]]-0)^2))</f>
        <v>0.20224279352884719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0.51775546328552802</v>
      </c>
      <c r="H179" t="s">
        <v>26</v>
      </c>
      <c r="I179">
        <f>VLOOKUP(Table4[[#This Row],[Visitor]],'NHL Model'!$A$6:$B$38,2,FALSE)</f>
        <v>-0.513643833119658</v>
      </c>
      <c r="J179">
        <f>($B$1+Table4[[#This Row],[Home Differential]])-Table4[[#This Row],[Away Differential]]</f>
        <v>1.1939716060675045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0.76543511069726933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5.5020687293602294E-2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-6.3745791019188943E-4</v>
      </c>
      <c r="H180" t="s">
        <v>12</v>
      </c>
      <c r="I180">
        <f>VLOOKUP(Table4[[#This Row],[Visitor]],'NHL Model'!$A$6:$B$38,2,FALSE)</f>
        <v>1.5475013591489768</v>
      </c>
      <c r="J180">
        <f>($B$1+Table4[[#This Row],[Home Differential]])-Table4[[#This Row],[Away Differential]]</f>
        <v>-1.3855665073968504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0.71829803374546874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7.9355997791669061E-2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-6.1308839486784707E-2</v>
      </c>
      <c r="H181" t="s">
        <v>30</v>
      </c>
      <c r="I181">
        <f>VLOOKUP(Table4[[#This Row],[Visitor]],'NHL Model'!$A$6:$B$38,2,FALSE)</f>
        <v>-6.4729560818359025E-2</v>
      </c>
      <c r="J181">
        <f>($B$1+Table4[[#This Row],[Home Differential]])-Table4[[#This Row],[Away Differential]]</f>
        <v>0.16599303099389273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0.52048720980857721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0.27090693557431789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4.029141914856392E-2</v>
      </c>
      <c r="H182" t="s">
        <v>25</v>
      </c>
      <c r="I182">
        <f>VLOOKUP(Table4[[#This Row],[Visitor]],'NHL Model'!$A$6:$B$38,2,FALSE)</f>
        <v>0.67193921242367816</v>
      </c>
      <c r="J182">
        <f>($B$1+Table4[[#This Row],[Home Differential]])-Table4[[#This Row],[Away Differential]]</f>
        <v>-0.46907548361279583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0.54325534193164859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0.29512636653727242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-0.8683412362501769</v>
      </c>
      <c r="H183" t="s">
        <v>22</v>
      </c>
      <c r="I183">
        <f>VLOOKUP(Table4[[#This Row],[Visitor]],'NHL Model'!$A$6:$B$38,2,FALSE)</f>
        <v>-6.1308839486784707E-2</v>
      </c>
      <c r="J183">
        <f>($B$1+Table4[[#This Row],[Home Differential]])-Table4[[#This Row],[Away Differential]]</f>
        <v>-0.64446008710107383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0.54929552872759868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0.30172557788013221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-0.40822279081308277</v>
      </c>
      <c r="H184" t="s">
        <v>35</v>
      </c>
      <c r="I184">
        <f>VLOOKUP(Table4[[#This Row],[Visitor]],'NHL Model'!$A$6:$B$38,2,FALSE)</f>
        <v>-1.6211574240381006</v>
      </c>
      <c r="J184">
        <f>($B$1+Table4[[#This Row],[Home Differential]])-Table4[[#This Row],[Away Differential]]</f>
        <v>1.3755069428873363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0.73058840445202622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7.2582607815705011E-2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-0.61980804137564283</v>
      </c>
      <c r="H185" t="s">
        <v>10</v>
      </c>
      <c r="I185">
        <f>VLOOKUP(Table4[[#This Row],[Visitor]],'NHL Model'!$A$6:$B$38,2,FALSE)</f>
        <v>0.30570968833820172</v>
      </c>
      <c r="J185">
        <f>($B$1+Table4[[#This Row],[Home Differential]])-Table4[[#This Row],[Away Differential]]</f>
        <v>-0.76294542005152621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0.55015714261983362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0.30267288157561995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-0.28105923893144158</v>
      </c>
      <c r="H186" t="s">
        <v>39</v>
      </c>
      <c r="I186">
        <f>VLOOKUP(Table4[[#This Row],[Visitor]],'NHL Model'!$A$6:$B$38,2,FALSE)</f>
        <v>0.19809534061227302</v>
      </c>
      <c r="J186">
        <f>($B$1+Table4[[#This Row],[Home Differential]])-Table4[[#This Row],[Away Differential]]</f>
        <v>-0.31658226988139621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0.54386521638912444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0.29578937359798912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-7.5459708298993802E-2</v>
      </c>
      <c r="H187" t="s">
        <v>24</v>
      </c>
      <c r="I187">
        <f>VLOOKUP(Table4[[#This Row],[Visitor]],'NHL Model'!$A$6:$B$38,2,FALSE)</f>
        <v>0.559441163373953</v>
      </c>
      <c r="J187">
        <f>($B$1+Table4[[#This Row],[Home Differential]])-Table4[[#This Row],[Away Differential]]</f>
        <v>-0.47232856201062839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0.59176100403709686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0.16665907782479925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-0.53650300840565446</v>
      </c>
      <c r="H188" t="s">
        <v>38</v>
      </c>
      <c r="I188">
        <f>VLOOKUP(Table4[[#This Row],[Visitor]],'NHL Model'!$A$6:$B$38,2,FALSE)</f>
        <v>-0.6902088310934803</v>
      </c>
      <c r="J188">
        <f>($B$1+Table4[[#This Row],[Home Differential]])-Table4[[#This Row],[Away Differential]]</f>
        <v>0.31627813235014424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0.54131051268502439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0.21039604577327517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-0.52437726201848234</v>
      </c>
      <c r="H189" t="s">
        <v>36</v>
      </c>
      <c r="I189">
        <f>VLOOKUP(Table4[[#This Row],[Visitor]],'NHL Model'!$A$6:$B$38,2,FALSE)</f>
        <v>-0.40651947573390851</v>
      </c>
      <c r="J189">
        <f>($B$1+Table4[[#This Row],[Home Differential]])-Table4[[#This Row],[Away Differential]]</f>
        <v>4.4714523377744564E-2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0.54619558462461004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0.20593844741419948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-1.3516250707060606</v>
      </c>
      <c r="H190" t="s">
        <v>16</v>
      </c>
      <c r="I190">
        <f>VLOOKUP(Table4[[#This Row],[Visitor]],'NHL Model'!$A$6:$B$38,2,FALSE)</f>
        <v>-1.3903684122795328</v>
      </c>
      <c r="J190">
        <f>($B$1+Table4[[#This Row],[Home Differential]])-Table4[[#This Row],[Away Differential]]</f>
        <v>0.20131565123579054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0.56789402769549857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0.18671557130121855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-0.51358590497437617</v>
      </c>
      <c r="H191" t="s">
        <v>19</v>
      </c>
      <c r="I191">
        <f>VLOOKUP(Table4[[#This Row],[Visitor]],'NHL Model'!$A$6:$B$38,2,FALSE)</f>
        <v>-0.635565543477981</v>
      </c>
      <c r="J191">
        <f>($B$1+Table4[[#This Row],[Home Differential]])-Table4[[#This Row],[Away Differential]]</f>
        <v>0.28455194816592322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0.58192261700621795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0.3386339321833654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-0.361361309178443</v>
      </c>
      <c r="H192" t="s">
        <v>15</v>
      </c>
      <c r="I192">
        <f>VLOOKUP(Table4[[#This Row],[Visitor]],'NHL Model'!$A$6:$B$38,2,FALSE)</f>
        <v>-0.30719665303039001</v>
      </c>
      <c r="J192">
        <f>($B$1+Table4[[#This Row],[Home Differential]])-Table4[[#This Row],[Away Differential]]</f>
        <v>0.1084076535142654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0.43809774272491536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0.19192963218066614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-0.39418177254008485</v>
      </c>
      <c r="H193" t="s">
        <v>12</v>
      </c>
      <c r="I193">
        <f>VLOOKUP(Table4[[#This Row],[Visitor]],'NHL Model'!$A$6:$B$38,2,FALSE)</f>
        <v>1.5475013591489768</v>
      </c>
      <c r="J193">
        <f>($B$1+Table4[[#This Row],[Home Differential]])-Table4[[#This Row],[Away Differential]]</f>
        <v>-1.7791108220267433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0.77282700824052586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0.59726158466600188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0.105105258369765</v>
      </c>
      <c r="H194" t="s">
        <v>14</v>
      </c>
      <c r="I194">
        <f>VLOOKUP(Table4[[#This Row],[Visitor]],'NHL Model'!$A$6:$B$38,2,FALSE)</f>
        <v>0.26289091192875702</v>
      </c>
      <c r="J194">
        <f>($B$1+Table4[[#This Row],[Home Differential]])-Table4[[#This Row],[Away Differential]]</f>
        <v>4.7866561033264032E-3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0.57670009903457886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0.17918280615733534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0.51775546328552802</v>
      </c>
      <c r="H195" t="s">
        <v>24</v>
      </c>
      <c r="I195">
        <f>VLOOKUP(Table4[[#This Row],[Visitor]],'NHL Model'!$A$6:$B$38,2,FALSE)</f>
        <v>0.559441163373953</v>
      </c>
      <c r="J195">
        <f>($B$1+Table4[[#This Row],[Home Differential]])-Table4[[#This Row],[Away Differential]]</f>
        <v>0.12088660957389341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0.59814523596605274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0.16148725137677944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-6.4729560818359025E-2</v>
      </c>
      <c r="H196" t="s">
        <v>28</v>
      </c>
      <c r="I196">
        <f>VLOOKUP(Table4[[#This Row],[Visitor]],'NHL Model'!$A$6:$B$38,2,FALSE)</f>
        <v>-0.40822279081308277</v>
      </c>
      <c r="J196">
        <f>($B$1+Table4[[#This Row],[Home Differential]])-Table4[[#This Row],[Away Differential]]</f>
        <v>0.50606553965704215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0.58935053434727958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0.16863298364086482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-0.51358590497437617</v>
      </c>
      <c r="H197" t="s">
        <v>16</v>
      </c>
      <c r="I197">
        <f>VLOOKUP(Table4[[#This Row],[Visitor]],'NHL Model'!$A$6:$B$38,2,FALSE)</f>
        <v>-1.3903684122795328</v>
      </c>
      <c r="J197">
        <f>($B$1+Table4[[#This Row],[Home Differential]])-Table4[[#This Row],[Away Differential]]</f>
        <v>1.0393548169674749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0.68650709415813205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0.47129199032944236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-0.39418177254008485</v>
      </c>
      <c r="H198" t="s">
        <v>26</v>
      </c>
      <c r="I198">
        <f>VLOOKUP(Table4[[#This Row],[Visitor]],'NHL Model'!$A$6:$B$38,2,FALSE)</f>
        <v>-0.513643833119658</v>
      </c>
      <c r="J198">
        <f>($B$1+Table4[[#This Row],[Home Differential]])-Table4[[#This Row],[Away Differential]]</f>
        <v>0.28203437024189154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0.53197891408725329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0.2830015650334532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-0.12212311954851815</v>
      </c>
      <c r="H199" t="s">
        <v>37</v>
      </c>
      <c r="I199">
        <f>VLOOKUP(Table4[[#This Row],[Visitor]],'NHL Model'!$A$6:$B$38,2,FALSE)</f>
        <v>-0.11309445867623392</v>
      </c>
      <c r="J199">
        <f>($B$1+Table4[[#This Row],[Home Differential]])-Table4[[#This Row],[Away Differential]]</f>
        <v>0.15354364879003418</v>
      </c>
      <c r="K199" t="str">
        <f>IF(Table4[[#This Row],[HomeIce Differential]]&gt;0,Table4[[#This Row],[Home]],Table4[[#This Row],[Visitor]])</f>
        <v>Utah Mammoth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0.58377480285574379</v>
      </c>
      <c r="M199" t="str">
        <f>IF(OR((NHL2025_26Results[[#This Row],[Winning Team]]="")),"-",IF(Table4[[#This Row],[Predicted Winner]]=NHL2025_26Results[[#This Row],[Winning Team]],"YES","NO"))</f>
        <v>NO</v>
      </c>
      <c r="N199">
        <f>IF(Table4[[#This Row],[Adjusted Correct]]="-", "",IF(Table4[[#This Row],[Adjusted Correct]]="YES",(Table4[[#This Row],[Strength of Win]]-1)^2,(Table4[[#This Row],[Strength of Win]]-0)^2))</f>
        <v>0.34079302044926252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-1.3516250707060606</v>
      </c>
      <c r="H200" t="s">
        <v>38</v>
      </c>
      <c r="I200">
        <f>VLOOKUP(Table4[[#This Row],[Visitor]],'NHL Model'!$A$6:$B$38,2,FALSE)</f>
        <v>-0.6902088310934803</v>
      </c>
      <c r="J200">
        <f>($B$1+Table4[[#This Row],[Home Differential]])-Table4[[#This Row],[Away Differential]]</f>
        <v>-0.49884392995026194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0.57163171133703483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0.18349939073203744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-0.361361309178443</v>
      </c>
      <c r="H201" t="s">
        <v>10</v>
      </c>
      <c r="I201">
        <f>VLOOKUP(Table4[[#This Row],[Visitor]],'NHL Model'!$A$6:$B$38,2,FALSE)</f>
        <v>0.30570968833820172</v>
      </c>
      <c r="J201">
        <f>($B$1+Table4[[#This Row],[Home Differential]])-Table4[[#This Row],[Away Differential]]</f>
        <v>-0.50449868785432628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0.5244481187693546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0.27504582928071508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-1.6211574240381006</v>
      </c>
      <c r="H202" t="s">
        <v>17</v>
      </c>
      <c r="I202">
        <f>VLOOKUP(Table4[[#This Row],[Visitor]],'NHL Model'!$A$6:$B$38,2,FALSE)</f>
        <v>-0.61980804137564283</v>
      </c>
      <c r="J202">
        <f>($B$1+Table4[[#This Row],[Home Differential]])-Table4[[#This Row],[Away Differential]]</f>
        <v>-0.83877707300013937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0.57621983070363247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0.33202929329612285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-0.635565543477981</v>
      </c>
      <c r="H203" t="s">
        <v>14</v>
      </c>
      <c r="I203">
        <f>VLOOKUP(Table4[[#This Row],[Visitor]],'NHL Model'!$A$6:$B$38,2,FALSE)</f>
        <v>0.26289091192875702</v>
      </c>
      <c r="J203">
        <f>($B$1+Table4[[#This Row],[Home Differential]])-Table4[[#This Row],[Away Differential]]</f>
        <v>-0.73588414574441963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0.56196312415884242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0.31580255291436654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0.51775546328552802</v>
      </c>
      <c r="H204" t="s">
        <v>11</v>
      </c>
      <c r="I204">
        <f>VLOOKUP(Table4[[#This Row],[Visitor]],'NHL Model'!$A$6:$B$38,2,FALSE)</f>
        <v>-0.28105923893144158</v>
      </c>
      <c r="J204">
        <f>($B$1+Table4[[#This Row],[Home Differential]])-Table4[[#This Row],[Away Differential]]</f>
        <v>0.96138701187928799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0.77753839694601434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4.9489164833349079E-2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-0.8683412362501769</v>
      </c>
      <c r="H205" t="s">
        <v>55</v>
      </c>
      <c r="I205">
        <f>VLOOKUP(Table4[[#This Row],[Visitor]],'NHL Model'!$A$6:$B$38,2,FALSE)</f>
        <v>-0.12212311954851815</v>
      </c>
      <c r="J205">
        <f>($B$1+Table4[[#This Row],[Home Differential]])-Table4[[#This Row],[Away Differential]]</f>
        <v>-0.58364580703934033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0.54086918332469225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0.21080110682093506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1.5475013591489768</v>
      </c>
      <c r="H206" t="s">
        <v>37</v>
      </c>
      <c r="I206">
        <f>VLOOKUP(Table4[[#This Row],[Visitor]],'NHL Model'!$A$6:$B$38,2,FALSE)</f>
        <v>-0.11309445867623392</v>
      </c>
      <c r="J206">
        <f>($B$1+Table4[[#This Row],[Home Differential]])-Table4[[#This Row],[Away Differential]]</f>
        <v>1.8231681274875291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0.83594907348819558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2.6912706489381454E-2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0.19809534061227302</v>
      </c>
      <c r="H207" t="s">
        <v>17</v>
      </c>
      <c r="I207">
        <f>VLOOKUP(Table4[[#This Row],[Visitor]],'NHL Model'!$A$6:$B$38,2,FALSE)</f>
        <v>-0.61980804137564283</v>
      </c>
      <c r="J207">
        <f>($B$1+Table4[[#This Row],[Home Differential]])-Table4[[#This Row],[Away Differential]]</f>
        <v>0.98047569165023418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0.70189113785614532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8.8868893688703751E-2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-7.5459708298993802E-2</v>
      </c>
      <c r="H208" t="s">
        <v>40</v>
      </c>
      <c r="I208">
        <f>VLOOKUP(Table4[[#This Row],[Visitor]],'NHL Model'!$A$6:$B$38,2,FALSE)</f>
        <v>0.105105258369765</v>
      </c>
      <c r="J208">
        <f>($B$1+Table4[[#This Row],[Home Differential]])-Table4[[#This Row],[Away Differential]]</f>
        <v>-1.7992657006440413E-2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0.52880882799191353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0.27963877656218117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-0.53650300840565446</v>
      </c>
      <c r="H209" t="s">
        <v>29</v>
      </c>
      <c r="I209">
        <f>VLOOKUP(Table4[[#This Row],[Visitor]],'NHL Model'!$A$6:$B$38,2,FALSE)</f>
        <v>-1.3516250707060606</v>
      </c>
      <c r="J209">
        <f>($B$1+Table4[[#This Row],[Home Differential]])-Table4[[#This Row],[Away Differential]]</f>
        <v>0.97769437196272457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0.67546802606678213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0.1053210021049908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-0.52437726201848234</v>
      </c>
      <c r="H210" t="s">
        <v>27</v>
      </c>
      <c r="I210">
        <f>VLOOKUP(Table4[[#This Row],[Visitor]],'NHL Model'!$A$6:$B$38,2,FALSE)</f>
        <v>-0.51358590497437617</v>
      </c>
      <c r="J210">
        <f>($B$1+Table4[[#This Row],[Home Differential]])-Table4[[#This Row],[Away Differential]]</f>
        <v>0.15178095261821223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0.56103056602898083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0.31475529601879859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-6.4729560818359025E-2</v>
      </c>
      <c r="H211" t="s">
        <v>21</v>
      </c>
      <c r="I211">
        <f>VLOOKUP(Table4[[#This Row],[Visitor]],'NHL Model'!$A$6:$B$38,2,FALSE)</f>
        <v>4.029141914856392E-2</v>
      </c>
      <c r="J211">
        <f>($B$1+Table4[[#This Row],[Home Differential]])-Table4[[#This Row],[Away Differential]]</f>
        <v>5.7551329695395448E-2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0.5479742353591569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0.3002757626174527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-0.30719665303039001</v>
      </c>
      <c r="H212" t="s">
        <v>25</v>
      </c>
      <c r="I212">
        <f>VLOOKUP(Table4[[#This Row],[Visitor]],'NHL Model'!$A$6:$B$38,2,FALSE)</f>
        <v>0.67193921242367816</v>
      </c>
      <c r="J212">
        <f>($B$1+Table4[[#This Row],[Home Differential]])-Table4[[#This Row],[Away Differential]]</f>
        <v>-0.81656355579174977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0.66562814327981723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0.11180453856650244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-6.3745791019188943E-4</v>
      </c>
      <c r="H213" t="s">
        <v>26</v>
      </c>
      <c r="I213">
        <f>VLOOKUP(Table4[[#This Row],[Visitor]],'NHL Model'!$A$6:$B$38,2,FALSE)</f>
        <v>-0.513643833119658</v>
      </c>
      <c r="J213">
        <f>($B$1+Table4[[#This Row],[Home Differential]])-Table4[[#This Row],[Away Differential]]</f>
        <v>0.67557868487178452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0.58650788858231029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0.17097572620465912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-1.3903684122795328</v>
      </c>
      <c r="H214" t="s">
        <v>28</v>
      </c>
      <c r="I214">
        <f>VLOOKUP(Table4[[#This Row],[Visitor]],'NHL Model'!$A$6:$B$38,2,FALSE)</f>
        <v>-0.40822279081308277</v>
      </c>
      <c r="J214">
        <f>($B$1+Table4[[#This Row],[Home Differential]])-Table4[[#This Row],[Away Differential]]</f>
        <v>-0.81957331180413162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0.5943282139760544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0.3532260259279667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-0.361361309178443</v>
      </c>
      <c r="H215" t="s">
        <v>33</v>
      </c>
      <c r="I215">
        <f>VLOOKUP(Table4[[#This Row],[Visitor]],'NHL Model'!$A$6:$B$38,2,FALSE)</f>
        <v>-0.39418177254008485</v>
      </c>
      <c r="J215">
        <f>($B$1+Table4[[#This Row],[Home Differential]])-Table4[[#This Row],[Away Differential]]</f>
        <v>0.19539277302396024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0.59311109745196033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0.35178077392066881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-0.635565543477981</v>
      </c>
      <c r="H216" t="s">
        <v>55</v>
      </c>
      <c r="I216">
        <f>VLOOKUP(Table4[[#This Row],[Visitor]],'NHL Model'!$A$6:$B$38,2,FALSE)</f>
        <v>-0.12212311954851815</v>
      </c>
      <c r="J216">
        <f>($B$1+Table4[[#This Row],[Home Differential]])-Table4[[#This Row],[Away Differential]]</f>
        <v>-0.35087011426714443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0.5086160943017155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0.25869033138273156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-0.6902088310934803</v>
      </c>
      <c r="H217" t="s">
        <v>10</v>
      </c>
      <c r="I217">
        <f>VLOOKUP(Table4[[#This Row],[Visitor]],'NHL Model'!$A$6:$B$38,2,FALSE)</f>
        <v>0.30570968833820172</v>
      </c>
      <c r="J217">
        <f>($B$1+Table4[[#This Row],[Home Differential]])-Table4[[#This Row],[Away Differential]]</f>
        <v>-0.83334620976936358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0.59623656831875516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0.16302490876301529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-6.1308839486784707E-2</v>
      </c>
      <c r="H218" t="s">
        <v>35</v>
      </c>
      <c r="I218">
        <f>VLOOKUP(Table4[[#This Row],[Visitor]],'NHL Model'!$A$6:$B$38,2,FALSE)</f>
        <v>-1.6211574240381006</v>
      </c>
      <c r="J218">
        <f>($B$1+Table4[[#This Row],[Home Differential]])-Table4[[#This Row],[Away Differential]]</f>
        <v>1.7224208942136343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0.7786563381017384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4.8993016662531946E-2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4.029141914856392E-2</v>
      </c>
      <c r="H219" t="s">
        <v>36</v>
      </c>
      <c r="I219">
        <f>VLOOKUP(Table4[[#This Row],[Visitor]],'NHL Model'!$A$6:$B$38,2,FALSE)</f>
        <v>-0.40651947573390851</v>
      </c>
      <c r="J219">
        <f>($B$1+Table4[[#This Row],[Home Differential]])-Table4[[#This Row],[Away Differential]]</f>
        <v>0.60938320454479089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0.6969927499989883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9.181339355317561E-2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-0.8683412362501769</v>
      </c>
      <c r="H220" t="s">
        <v>35</v>
      </c>
      <c r="I220">
        <f>VLOOKUP(Table4[[#This Row],[Visitor]],'NHL Model'!$A$6:$B$38,2,FALSE)</f>
        <v>-1.6211574240381006</v>
      </c>
      <c r="J220">
        <f>($B$1+Table4[[#This Row],[Home Differential]])-Table4[[#This Row],[Away Differential]]</f>
        <v>0.91538849745024209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0.66683500732941703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0.44466892700002364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0.67193921242367816</v>
      </c>
      <c r="H221" t="s">
        <v>34</v>
      </c>
      <c r="I221">
        <f>VLOOKUP(Table4[[#This Row],[Visitor]],'NHL Model'!$A$6:$B$38,2,FALSE)</f>
        <v>-0.53650300840565446</v>
      </c>
      <c r="J221">
        <f>($B$1+Table4[[#This Row],[Home Differential]])-Table4[[#This Row],[Away Differential]]</f>
        <v>1.371014530491651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0.78168191812330268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4.7662784874320317E-2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0.19809534061227302</v>
      </c>
      <c r="H222" t="s">
        <v>31</v>
      </c>
      <c r="I222">
        <f>VLOOKUP(Table4[[#This Row],[Visitor]],'NHL Model'!$A$6:$B$38,2,FALSE)</f>
        <v>0.51775546328552802</v>
      </c>
      <c r="J222">
        <f>($B$1+Table4[[#This Row],[Home Differential]])-Table4[[#This Row],[Away Differential]]</f>
        <v>-0.15708781301093661</v>
      </c>
      <c r="K222" t="str">
        <f>IF(Table4[[#This Row],[HomeIce Differential]]&gt;0,Table4[[#This Row],[Home]],Table4[[#This Row],[Visitor]])</f>
        <v>Anaheim Ducks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0.47631133206095966</v>
      </c>
      <c r="M222" t="str">
        <f>IF(OR((NHL2025_26Results[[#This Row],[Winning Team]]="")),"-",IF(Table4[[#This Row],[Predicted Winner]]=NHL2025_26Results[[#This Row],[Winning Team]],"YES","NO"))</f>
        <v>YES</v>
      </c>
      <c r="N222">
        <f>IF(Table4[[#This Row],[Adjusted Correct]]="-", "",IF(Table4[[#This Row],[Adjusted Correct]]="YES",(Table4[[#This Row],[Strength of Win]]-1)^2,(Table4[[#This Row],[Strength of Win]]-0)^2))</f>
        <v>0.27424982092776645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-7.5459708298993802E-2</v>
      </c>
      <c r="H223" t="s">
        <v>11</v>
      </c>
      <c r="I223">
        <f>VLOOKUP(Table4[[#This Row],[Visitor]],'NHL Model'!$A$6:$B$38,2,FALSE)</f>
        <v>-0.28105923893144158</v>
      </c>
      <c r="J223">
        <f>($B$1+Table4[[#This Row],[Home Differential]])-Table4[[#This Row],[Away Differential]]</f>
        <v>0.36817184029476618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0.59101339834654187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0.3492968370251282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0.559441163373953</v>
      </c>
      <c r="H224" t="s">
        <v>18</v>
      </c>
      <c r="I224">
        <f>VLOOKUP(Table4[[#This Row],[Visitor]],'NHL Model'!$A$6:$B$38,2,FALSE)</f>
        <v>-0.52437726201848234</v>
      </c>
      <c r="J224">
        <f>($B$1+Table4[[#This Row],[Home Differential]])-Table4[[#This Row],[Away Differential]]</f>
        <v>1.2463907350547538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0.75603156851580056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5.952059556086052E-2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-1.3516250707060606</v>
      </c>
      <c r="H225" t="s">
        <v>27</v>
      </c>
      <c r="I225">
        <f>VLOOKUP(Table4[[#This Row],[Visitor]],'NHL Model'!$A$6:$B$38,2,FALSE)</f>
        <v>-0.51358590497437617</v>
      </c>
      <c r="J225">
        <f>($B$1+Table4[[#This Row],[Home Differential]])-Table4[[#This Row],[Away Differential]]</f>
        <v>-0.67546685606936607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0.55359178521357078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0.19928029422880672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0.26289091192875702</v>
      </c>
      <c r="H226" t="s">
        <v>22</v>
      </c>
      <c r="I226">
        <f>VLOOKUP(Table4[[#This Row],[Visitor]],'NHL Model'!$A$6:$B$38,2,FALSE)</f>
        <v>-6.1308839486784707E-2</v>
      </c>
      <c r="J226">
        <f>($B$1+Table4[[#This Row],[Home Differential]])-Table4[[#This Row],[Away Differential]]</f>
        <v>0.48677206107786014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0.64348335285839042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0.12710411968909496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-6.3745791019188943E-4</v>
      </c>
      <c r="H227" t="s">
        <v>37</v>
      </c>
      <c r="I227">
        <f>VLOOKUP(Table4[[#This Row],[Visitor]],'NHL Model'!$A$6:$B$38,2,FALSE)</f>
        <v>-0.11309445867623392</v>
      </c>
      <c r="J227">
        <f>($B$1+Table4[[#This Row],[Home Differential]])-Table4[[#This Row],[Away Differential]]</f>
        <v>0.27502931042836043</v>
      </c>
      <c r="K227" t="str">
        <f>IF(Table4[[#This Row],[HomeIce Differential]]&gt;0,Table4[[#This Row],[Home]],Table4[[#This Row],[Visitor]])</f>
        <v>Vegas Golden Knights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0.53100830235762475</v>
      </c>
      <c r="M227" t="str">
        <f>IF(OR((NHL2025_26Results[[#This Row],[Winning Team]]="")),"-",IF(Table4[[#This Row],[Predicted Winner]]=NHL2025_26Results[[#This Row],[Winning Team]],"YES","NO"))</f>
        <v>NO</v>
      </c>
      <c r="N227">
        <f>IF(Table4[[#This Row],[Adjusted Correct]]="-", "",IF(Table4[[#This Row],[Adjusted Correct]]="YES",(Table4[[#This Row],[Strength of Win]]-1)^2,(Table4[[#This Row],[Strength of Win]]-0)^2))</f>
        <v>0.28196981717272662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-1.3903684122795328</v>
      </c>
      <c r="H228" t="s">
        <v>10</v>
      </c>
      <c r="I228">
        <f>VLOOKUP(Table4[[#This Row],[Visitor]],'NHL Model'!$A$6:$B$38,2,FALSE)</f>
        <v>0.30570968833820172</v>
      </c>
      <c r="J228">
        <f>($B$1+Table4[[#This Row],[Home Differential]])-Table4[[#This Row],[Away Differential]]</f>
        <v>-1.5335057909554162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0.69324974453721833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9.4095719226481814E-2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-0.513643833119658</v>
      </c>
      <c r="H229" t="s">
        <v>15</v>
      </c>
      <c r="I229">
        <f>VLOOKUP(Table4[[#This Row],[Visitor]],'NHL Model'!$A$6:$B$38,2,FALSE)</f>
        <v>-0.30719665303039001</v>
      </c>
      <c r="J229">
        <f>($B$1+Table4[[#This Row],[Home Differential]])-Table4[[#This Row],[Away Differential]]</f>
        <v>-4.3874870426949597E-2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0.58300232035652622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0.1738870648280412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-6.4729560818359025E-2</v>
      </c>
      <c r="H230" t="s">
        <v>34</v>
      </c>
      <c r="I230">
        <f>VLOOKUP(Table4[[#This Row],[Visitor]],'NHL Model'!$A$6:$B$38,2,FALSE)</f>
        <v>-0.53650300840565446</v>
      </c>
      <c r="J230">
        <f>($B$1+Table4[[#This Row],[Home Differential]])-Table4[[#This Row],[Away Differential]]</f>
        <v>0.63434575724961384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0.62789410069522178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0.39425100168786131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-0.39418177254008485</v>
      </c>
      <c r="H231" t="s">
        <v>40</v>
      </c>
      <c r="I231">
        <f>VLOOKUP(Table4[[#This Row],[Visitor]],'NHL Model'!$A$6:$B$38,2,FALSE)</f>
        <v>0.105105258369765</v>
      </c>
      <c r="J231">
        <f>($B$1+Table4[[#This Row],[Home Differential]])-Table4[[#This Row],[Away Differential]]</f>
        <v>-0.33671472124753143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0.57297053142894316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0.32829522988596554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0.67193921242367816</v>
      </c>
      <c r="H232" t="s">
        <v>23</v>
      </c>
      <c r="I232">
        <f>VLOOKUP(Table4[[#This Row],[Visitor]],'NHL Model'!$A$6:$B$38,2,FALSE)</f>
        <v>-0.8683412362501769</v>
      </c>
      <c r="J232">
        <f>($B$1+Table4[[#This Row],[Home Differential]])-Table4[[#This Row],[Away Differential]]</f>
        <v>1.7028527583361734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0.82766097966720042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2.9700737929269104E-2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-0.61980804137564283</v>
      </c>
      <c r="H233" t="s">
        <v>12</v>
      </c>
      <c r="I233">
        <f>VLOOKUP(Table4[[#This Row],[Visitor]],'NHL Model'!$A$6:$B$38,2,FALSE)</f>
        <v>1.5475013591489768</v>
      </c>
      <c r="J233">
        <f>($B$1+Table4[[#This Row],[Home Differential]])-Table4[[#This Row],[Away Differential]]</f>
        <v>-2.0047370908623012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0.76756961152749659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5.4023885485478845E-2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-0.52437726201848234</v>
      </c>
      <c r="H234" t="s">
        <v>55</v>
      </c>
      <c r="I234">
        <f>VLOOKUP(Table4[[#This Row],[Visitor]],'NHL Model'!$A$6:$B$38,2,FALSE)</f>
        <v>-0.12212311954851815</v>
      </c>
      <c r="J234">
        <f>($B$1+Table4[[#This Row],[Home Differential]])-Table4[[#This Row],[Away Differential]]</f>
        <v>-0.23968183280764579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0.49320999456030234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0.24325609873417348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0.559441163373953</v>
      </c>
      <c r="H235" t="s">
        <v>14</v>
      </c>
      <c r="I235">
        <f>VLOOKUP(Table4[[#This Row],[Visitor]],'NHL Model'!$A$6:$B$38,2,FALSE)</f>
        <v>0.26289091192875702</v>
      </c>
      <c r="J235">
        <f>($B$1+Table4[[#This Row],[Home Differential]])-Table4[[#This Row],[Away Differential]]</f>
        <v>0.45912256110751437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0.71904612033080206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7.8935082501174147E-2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-1.3516250707060606</v>
      </c>
      <c r="H236" t="s">
        <v>39</v>
      </c>
      <c r="I236">
        <f>VLOOKUP(Table4[[#This Row],[Visitor]],'NHL Model'!$A$6:$B$38,2,FALSE)</f>
        <v>0.19809534061227302</v>
      </c>
      <c r="J236">
        <f>($B$1+Table4[[#This Row],[Home Differential]])-Table4[[#This Row],[Away Differential]]</f>
        <v>-1.3871481016560152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0.74468757570476962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6.518443399950774E-2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-0.30719665303039001</v>
      </c>
      <c r="H237" t="s">
        <v>30</v>
      </c>
      <c r="I237">
        <f>VLOOKUP(Table4[[#This Row],[Visitor]],'NHL Model'!$A$6:$B$38,2,FALSE)</f>
        <v>-6.4729560818359025E-2</v>
      </c>
      <c r="J237">
        <f>($B$1+Table4[[#This Row],[Home Differential]])-Table4[[#This Row],[Away Differential]]</f>
        <v>-7.9894782549712592E-2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0.51358267715186356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0.2366018119667482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-0.51358590497437617</v>
      </c>
      <c r="H238" t="s">
        <v>36</v>
      </c>
      <c r="I238">
        <f>VLOOKUP(Table4[[#This Row],[Visitor]],'NHL Model'!$A$6:$B$38,2,FALSE)</f>
        <v>-0.40651947573390851</v>
      </c>
      <c r="J238">
        <f>($B$1+Table4[[#This Row],[Home Differential]])-Table4[[#This Row],[Away Differential]]</f>
        <v>5.5505880421850728E-2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0.55018629984469203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0.30270496453679335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-0.39418177254008485</v>
      </c>
      <c r="H239" t="s">
        <v>11</v>
      </c>
      <c r="I239">
        <f>VLOOKUP(Table4[[#This Row],[Visitor]],'NHL Model'!$A$6:$B$38,2,FALSE)</f>
        <v>-0.28105923893144158</v>
      </c>
      <c r="J239">
        <f>($B$1+Table4[[#This Row],[Home Differential]])-Table4[[#This Row],[Away Differential]]</f>
        <v>4.9449776053675121E-2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0.54685169490951235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0.20534338640638167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-1.6211574240381006</v>
      </c>
      <c r="H240" t="s">
        <v>32</v>
      </c>
      <c r="I240">
        <f>VLOOKUP(Table4[[#This Row],[Visitor]],'NHL Model'!$A$6:$B$38,2,FALSE)</f>
        <v>-0.361361309178443</v>
      </c>
      <c r="J240">
        <f>($B$1+Table4[[#This Row],[Home Differential]])-Table4[[#This Row],[Away Differential]]</f>
        <v>-1.0972238051973391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0.61202986465512144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0.1505208259195234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-0.11309445867623392</v>
      </c>
      <c r="H241" t="s">
        <v>22</v>
      </c>
      <c r="I241">
        <f>VLOOKUP(Table4[[#This Row],[Visitor]],'NHL Model'!$A$6:$B$38,2,FALSE)</f>
        <v>-6.1308839486784707E-2</v>
      </c>
      <c r="J241">
        <f>($B$1+Table4[[#This Row],[Home Differential]])-Table4[[#This Row],[Away Differential]]</f>
        <v>0.11078669047286918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0.55535045583079556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0.1977132171298813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-0.635565543477981</v>
      </c>
      <c r="H242" t="s">
        <v>21</v>
      </c>
      <c r="I242">
        <f>VLOOKUP(Table4[[#This Row],[Visitor]],'NHL Model'!$A$6:$B$38,2,FALSE)</f>
        <v>4.029141914856392E-2</v>
      </c>
      <c r="J242">
        <f>($B$1+Table4[[#This Row],[Home Differential]])-Table4[[#This Row],[Away Differential]]</f>
        <v>-0.51328465296422654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0.53112003581226308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0.21984842081669345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-0.6902088310934803</v>
      </c>
      <c r="H243" t="s">
        <v>28</v>
      </c>
      <c r="I243">
        <f>VLOOKUP(Table4[[#This Row],[Visitor]],'NHL Model'!$A$6:$B$38,2,FALSE)</f>
        <v>-0.40822279081308277</v>
      </c>
      <c r="J243">
        <f>($B$1+Table4[[#This Row],[Home Differential]])-Table4[[#This Row],[Away Differential]]</f>
        <v>-0.11941373061807914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0.49731503775759128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0.24732224677983444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-6.3745791019188943E-4</v>
      </c>
      <c r="H244" t="s">
        <v>31</v>
      </c>
      <c r="I244">
        <f>VLOOKUP(Table4[[#This Row],[Visitor]],'NHL Model'!$A$6:$B$38,2,FALSE)</f>
        <v>0.51775546328552802</v>
      </c>
      <c r="J244">
        <f>($B$1+Table4[[#This Row],[Home Differential]])-Table4[[#This Row],[Away Differential]]</f>
        <v>-0.3558206115334015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0.53007125935873656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0.22083302128068386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0.51775546328552802</v>
      </c>
      <c r="H245" t="s">
        <v>40</v>
      </c>
      <c r="I245">
        <f>VLOOKUP(Table4[[#This Row],[Visitor]],'NHL Model'!$A$6:$B$38,2,FALSE)</f>
        <v>0.105105258369765</v>
      </c>
      <c r="J245">
        <f>($B$1+Table4[[#This Row],[Home Differential]])-Table4[[#This Row],[Away Differential]]</f>
        <v>0.57522251457808138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0.66109741201123606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0.11485496414548188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0.19809534061227302</v>
      </c>
      <c r="H246" t="s">
        <v>32</v>
      </c>
      <c r="I246">
        <f>VLOOKUP(Table4[[#This Row],[Visitor]],'NHL Model'!$A$6:$B$38,2,FALSE)</f>
        <v>-0.361361309178443</v>
      </c>
      <c r="J246">
        <f>($B$1+Table4[[#This Row],[Home Differential]])-Table4[[#This Row],[Away Differential]]</f>
        <v>0.72202895945303447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0.66608110390465625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0.11150182916953298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-0.513643833119658</v>
      </c>
      <c r="H247" t="s">
        <v>10</v>
      </c>
      <c r="I247">
        <f>VLOOKUP(Table4[[#This Row],[Visitor]],'NHL Model'!$A$6:$B$38,2,FALSE)</f>
        <v>0.30570968833820172</v>
      </c>
      <c r="J247">
        <f>($B$1+Table4[[#This Row],[Home Differential]])-Table4[[#This Row],[Away Differential]]</f>
        <v>-0.65678121179554139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0.54554818185079623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0.20652645501911698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-0.53650300840565446</v>
      </c>
      <c r="H248" t="s">
        <v>16</v>
      </c>
      <c r="I248">
        <f>VLOOKUP(Table4[[#This Row],[Visitor]],'NHL Model'!$A$6:$B$38,2,FALSE)</f>
        <v>-1.3903684122795328</v>
      </c>
      <c r="J248">
        <f>($B$1+Table4[[#This Row],[Home Differential]])-Table4[[#This Row],[Away Differential]]</f>
        <v>1.0164377135361966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0.68083625171755791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0.10186549821769805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-0.40651947573390851</v>
      </c>
      <c r="H249" t="s">
        <v>55</v>
      </c>
      <c r="I249">
        <f>VLOOKUP(Table4[[#This Row],[Visitor]],'NHL Model'!$A$6:$B$38,2,FALSE)</f>
        <v>-0.12212311954851815</v>
      </c>
      <c r="J249">
        <f>($B$1+Table4[[#This Row],[Home Differential]])-Table4[[#This Row],[Away Differential]]</f>
        <v>-0.12182404652307197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0.47438429793584963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0.22504046212808895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0.26289091192875702</v>
      </c>
      <c r="H250" t="s">
        <v>13</v>
      </c>
      <c r="I250">
        <f>VLOOKUP(Table4[[#This Row],[Visitor]],'NHL Model'!$A$6:$B$38,2,FALSE)</f>
        <v>-7.5459708298993802E-2</v>
      </c>
      <c r="J250">
        <f>($B$1+Table4[[#This Row],[Home Differential]])-Table4[[#This Row],[Away Differential]]</f>
        <v>0.50092292989006926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0.52395266652272054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0.27452639675626922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-0.635565543477981</v>
      </c>
      <c r="H251" t="s">
        <v>25</v>
      </c>
      <c r="I251">
        <f>VLOOKUP(Table4[[#This Row],[Visitor]],'NHL Model'!$A$6:$B$38,2,FALSE)</f>
        <v>0.67193921242367816</v>
      </c>
      <c r="J251">
        <f>($B$1+Table4[[#This Row],[Home Differential]])-Table4[[#This Row],[Away Differential]]</f>
        <v>-1.1449324462393409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0.71112649806872108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8.344790011804061E-2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-0.6902088310934803</v>
      </c>
      <c r="H252" t="s">
        <v>12</v>
      </c>
      <c r="I252">
        <f>VLOOKUP(Table4[[#This Row],[Visitor]],'NHL Model'!$A$6:$B$38,2,FALSE)</f>
        <v>1.5475013591489768</v>
      </c>
      <c r="J252">
        <f>($B$1+Table4[[#This Row],[Home Differential]])-Table4[[#This Row],[Away Differential]]</f>
        <v>-2.0751378805801388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0.8138441220079693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3.4654010910983822E-2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-0.61980804137564283</v>
      </c>
      <c r="H253" t="s">
        <v>28</v>
      </c>
      <c r="I253">
        <f>VLOOKUP(Table4[[#This Row],[Visitor]],'NHL Model'!$A$6:$B$38,2,FALSE)</f>
        <v>-0.40822279081308277</v>
      </c>
      <c r="J253">
        <f>($B$1+Table4[[#This Row],[Home Differential]])-Table4[[#This Row],[Away Differential]]</f>
        <v>-4.9012940900241664E-2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0.45123561205866969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0.20361357758996224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0.559441163373953</v>
      </c>
      <c r="H254" t="s">
        <v>30</v>
      </c>
      <c r="I254">
        <f>VLOOKUP(Table4[[#This Row],[Visitor]],'NHL Model'!$A$6:$B$38,2,FALSE)</f>
        <v>-6.4729560818359025E-2</v>
      </c>
      <c r="J254">
        <f>($B$1+Table4[[#This Row],[Home Differential]])-Table4[[#This Row],[Away Differential]]</f>
        <v>0.7867430338546304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0.72501006375246035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0.5256395925423466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-0.30719665303039001</v>
      </c>
      <c r="H255" t="s">
        <v>29</v>
      </c>
      <c r="I255">
        <f>VLOOKUP(Table4[[#This Row],[Visitor]],'NHL Model'!$A$6:$B$38,2,FALSE)</f>
        <v>-1.3516250707060606</v>
      </c>
      <c r="J255">
        <f>($B$1+Table4[[#This Row],[Home Differential]])-Table4[[#This Row],[Away Differential]]</f>
        <v>1.207000727337989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0.70724040833476498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8.5708178511995151E-2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-6.3745791019188943E-4</v>
      </c>
      <c r="H256" t="s">
        <v>11</v>
      </c>
      <c r="I256">
        <f>VLOOKUP(Table4[[#This Row],[Visitor]],'NHL Model'!$A$6:$B$38,2,FALSE)</f>
        <v>-0.28105923893144158</v>
      </c>
      <c r="J256">
        <f>($B$1+Table4[[#This Row],[Home Differential]])-Table4[[#This Row],[Away Differential]]</f>
        <v>0.4429940906835681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0.60138066940456936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0.36165870953348794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4.029141914856392E-2</v>
      </c>
      <c r="H257" t="s">
        <v>19</v>
      </c>
      <c r="I257">
        <f>VLOOKUP(Table4[[#This Row],[Visitor]],'NHL Model'!$A$6:$B$38,2,FALSE)</f>
        <v>-0.635565543477981</v>
      </c>
      <c r="J257">
        <f>($B$1+Table4[[#This Row],[Home Differential]])-Table4[[#This Row],[Away Differential]]</f>
        <v>0.83842927228886333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0.72872906716051433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7.3587919003604743E-2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0.67193921242367816</v>
      </c>
      <c r="H258" t="s">
        <v>22</v>
      </c>
      <c r="I258">
        <f>VLOOKUP(Table4[[#This Row],[Visitor]],'NHL Model'!$A$6:$B$38,2,FALSE)</f>
        <v>-6.1308839486784707E-2</v>
      </c>
      <c r="J258">
        <f>($B$1+Table4[[#This Row],[Home Differential]])-Table4[[#This Row],[Away Differential]]</f>
        <v>0.89582036157278122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0.71583964889487894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0.51242640292994357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1.5475013591489768</v>
      </c>
      <c r="H259" t="s">
        <v>31</v>
      </c>
      <c r="I259">
        <f>VLOOKUP(Table4[[#This Row],[Visitor]],'NHL Model'!$A$6:$B$38,2,FALSE)</f>
        <v>0.51775546328552802</v>
      </c>
      <c r="J259">
        <f>($B$1+Table4[[#This Row],[Home Differential]])-Table4[[#This Row],[Away Differential]]</f>
        <v>1.1923182055257673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0.77390166990091469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5.1120454873594949E-2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-0.53650300840565446</v>
      </c>
      <c r="H260" t="s">
        <v>33</v>
      </c>
      <c r="I260">
        <f>VLOOKUP(Table4[[#This Row],[Visitor]],'NHL Model'!$A$6:$B$38,2,FALSE)</f>
        <v>-0.39418177254008485</v>
      </c>
      <c r="J260">
        <f>($B$1+Table4[[#This Row],[Home Differential]])-Table4[[#This Row],[Away Differential]]</f>
        <v>2.0251073796748786E-2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0.54280596173165141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0.29463831209142299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-0.52437726201848234</v>
      </c>
      <c r="H261" t="s">
        <v>13</v>
      </c>
      <c r="I261">
        <f>VLOOKUP(Table4[[#This Row],[Visitor]],'NHL Model'!$A$6:$B$38,2,FALSE)</f>
        <v>-7.5459708298993802E-2</v>
      </c>
      <c r="J261">
        <f>($B$1+Table4[[#This Row],[Home Differential]])-Table4[[#This Row],[Away Differential]]</f>
        <v>-0.28634524405717016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0.62107096332209533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0.14358721483764483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-0.40651947573390851</v>
      </c>
      <c r="H262" t="s">
        <v>39</v>
      </c>
      <c r="I262">
        <f>VLOOKUP(Table4[[#This Row],[Visitor]],'NHL Model'!$A$6:$B$38,2,FALSE)</f>
        <v>0.19809534061227302</v>
      </c>
      <c r="J262">
        <f>($B$1+Table4[[#This Row],[Home Differential]])-Table4[[#This Row],[Away Differential]]</f>
        <v>-0.44204250668386313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0.61124881919680152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0.15112748057588113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-0.361361309178443</v>
      </c>
      <c r="H263" t="s">
        <v>28</v>
      </c>
      <c r="I263">
        <f>VLOOKUP(Table4[[#This Row],[Visitor]],'NHL Model'!$A$6:$B$38,2,FALSE)</f>
        <v>-0.40822279081308277</v>
      </c>
      <c r="J263">
        <f>($B$1+Table4[[#This Row],[Home Differential]])-Table4[[#This Row],[Away Differential]]</f>
        <v>0.20943379129695816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0.57447341179180922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0.33001970085572163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-1.6211574240381006</v>
      </c>
      <c r="H264" t="s">
        <v>16</v>
      </c>
      <c r="I264">
        <f>VLOOKUP(Table4[[#This Row],[Visitor]],'NHL Model'!$A$6:$B$38,2,FALSE)</f>
        <v>-1.3903684122795328</v>
      </c>
      <c r="J264">
        <f>($B$1+Table4[[#This Row],[Home Differential]])-Table4[[#This Row],[Away Differential]]</f>
        <v>-6.8216702096249415E-2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0.46945201511103407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0.22038519449181057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-0.6902088310934803</v>
      </c>
      <c r="H265" t="s">
        <v>40</v>
      </c>
      <c r="I265">
        <f>VLOOKUP(Table4[[#This Row],[Visitor]],'NHL Model'!$A$6:$B$38,2,FALSE)</f>
        <v>0.105105258369765</v>
      </c>
      <c r="J265">
        <f>($B$1+Table4[[#This Row],[Home Differential]])-Table4[[#This Row],[Away Differential]]</f>
        <v>-0.63274177980092694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0.6139876451963866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0.14900553806103073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0.30570968833820172</v>
      </c>
      <c r="H266" t="s">
        <v>24</v>
      </c>
      <c r="I266">
        <f>VLOOKUP(Table4[[#This Row],[Visitor]],'NHL Model'!$A$6:$B$38,2,FALSE)</f>
        <v>0.559441163373953</v>
      </c>
      <c r="J266">
        <f>($B$1+Table4[[#This Row],[Home Differential]])-Table4[[#This Row],[Away Differential]]</f>
        <v>-9.1159165373432882E-2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0.53894668164732262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0.21257016236401527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-0.51358590497437617</v>
      </c>
      <c r="H267" t="s">
        <v>17</v>
      </c>
      <c r="I267">
        <f>VLOOKUP(Table4[[#This Row],[Visitor]],'NHL Model'!$A$6:$B$38,2,FALSE)</f>
        <v>-0.61980804137564283</v>
      </c>
      <c r="J267">
        <f>($B$1+Table4[[#This Row],[Home Differential]])-Table4[[#This Row],[Away Differential]]</f>
        <v>0.26879444606358505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0.57973927856553364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0.33609763111168539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-0.11309445867623392</v>
      </c>
      <c r="H268" t="s">
        <v>15</v>
      </c>
      <c r="I268">
        <f>VLOOKUP(Table4[[#This Row],[Visitor]],'NHL Model'!$A$6:$B$38,2,FALSE)</f>
        <v>-0.30719665303039001</v>
      </c>
      <c r="J268">
        <f>($B$1+Table4[[#This Row],[Home Differential]])-Table4[[#This Row],[Away Differential]]</f>
        <v>0.35667450401647449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0.44701070423701939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0.19981856970247602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-0.12212311954851815</v>
      </c>
      <c r="H269" t="s">
        <v>23</v>
      </c>
      <c r="I269">
        <f>VLOOKUP(Table4[[#This Row],[Visitor]],'NHL Model'!$A$6:$B$38,2,FALSE)</f>
        <v>-0.8683412362501769</v>
      </c>
      <c r="J269">
        <f>($B$1+Table4[[#This Row],[Home Differential]])-Table4[[#This Row],[Away Differential]]</f>
        <v>0.90879042636397711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0.73419329349686291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7.0653205222044865E-2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-0.40822279081308277</v>
      </c>
      <c r="H270" t="s">
        <v>17</v>
      </c>
      <c r="I270">
        <f>VLOOKUP(Table4[[#This Row],[Visitor]],'NHL Model'!$A$6:$B$38,2,FALSE)</f>
        <v>-0.61980804137564283</v>
      </c>
      <c r="J270">
        <f>($B$1+Table4[[#This Row],[Home Differential]])-Table4[[#This Row],[Away Differential]]</f>
        <v>0.37415756022487845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0.59184277170367094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0.16659232301054167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-1.3903684122795328</v>
      </c>
      <c r="H271" t="s">
        <v>33</v>
      </c>
      <c r="I271">
        <f>VLOOKUP(Table4[[#This Row],[Visitor]],'NHL Model'!$A$6:$B$38,2,FALSE)</f>
        <v>-0.39418177254008485</v>
      </c>
      <c r="J271">
        <f>($B$1+Table4[[#This Row],[Home Differential]])-Table4[[#This Row],[Away Differential]]</f>
        <v>-0.83361433007712948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0.5755044879411837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0.33120541564044403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1.5475013591489768</v>
      </c>
      <c r="H272" t="s">
        <v>23</v>
      </c>
      <c r="I272">
        <f>VLOOKUP(Table4[[#This Row],[Visitor]],'NHL Model'!$A$6:$B$38,2,FALSE)</f>
        <v>-0.8683412362501769</v>
      </c>
      <c r="J272">
        <f>($B$1+Table4[[#This Row],[Home Differential]])-Table4[[#This Row],[Away Differential]]</f>
        <v>2.578414905061472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0.98562797246909128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2.0655517534919806E-4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-0.513643833119658</v>
      </c>
      <c r="H273" t="s">
        <v>31</v>
      </c>
      <c r="I273">
        <f>VLOOKUP(Table4[[#This Row],[Visitor]],'NHL Model'!$A$6:$B$38,2,FALSE)</f>
        <v>0.51775546328552802</v>
      </c>
      <c r="J273">
        <f>($B$1+Table4[[#This Row],[Home Differential]])-Table4[[#This Row],[Away Differential]]</f>
        <v>-0.86882698674286762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0.57492896115327807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0.3305433103727875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-0.28105923893144158</v>
      </c>
      <c r="H274" t="s">
        <v>22</v>
      </c>
      <c r="I274">
        <f>VLOOKUP(Table4[[#This Row],[Visitor]],'NHL Model'!$A$6:$B$38,2,FALSE)</f>
        <v>-6.1308839486784707E-2</v>
      </c>
      <c r="J274">
        <f>($B$1+Table4[[#This Row],[Home Differential]])-Table4[[#This Row],[Away Differential]]</f>
        <v>-5.717808978233848E-2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0.41620654340405794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0.17322788677235396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-0.52437726201848234</v>
      </c>
      <c r="H275" t="s">
        <v>39</v>
      </c>
      <c r="I275">
        <f>VLOOKUP(Table4[[#This Row],[Visitor]],'NHL Model'!$A$6:$B$38,2,FALSE)</f>
        <v>0.19809534061227302</v>
      </c>
      <c r="J275">
        <f>($B$1+Table4[[#This Row],[Home Differential]])-Table4[[#This Row],[Away Differential]]</f>
        <v>-0.55990029296843691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0.63006522446221813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0.13685173815218907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-0.40651947573390851</v>
      </c>
      <c r="H276" t="s">
        <v>21</v>
      </c>
      <c r="I276">
        <f>VLOOKUP(Table4[[#This Row],[Visitor]],'NHL Model'!$A$6:$B$38,2,FALSE)</f>
        <v>4.029141914856392E-2</v>
      </c>
      <c r="J276">
        <f>($B$1+Table4[[#This Row],[Home Differential]])-Table4[[#This Row],[Away Differential]]</f>
        <v>-0.28423858522015405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0.49688823944639721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0.24689792250014017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-0.361361309178443</v>
      </c>
      <c r="H277" t="s">
        <v>40</v>
      </c>
      <c r="I277">
        <f>VLOOKUP(Table4[[#This Row],[Visitor]],'NHL Model'!$A$6:$B$38,2,FALSE)</f>
        <v>0.105105258369765</v>
      </c>
      <c r="J277">
        <f>($B$1+Table4[[#This Row],[Home Differential]])-Table4[[#This Row],[Away Differential]]</f>
        <v>-0.30389425788588964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0.542107182397078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0.29388019720649877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-0.635565543477981</v>
      </c>
      <c r="H278" t="s">
        <v>13</v>
      </c>
      <c r="I278">
        <f>VLOOKUP(Table4[[#This Row],[Visitor]],'NHL Model'!$A$6:$B$38,2,FALSE)</f>
        <v>-7.5459708298993802E-2</v>
      </c>
      <c r="J278">
        <f>($B$1+Table4[[#This Row],[Home Differential]])-Table4[[#This Row],[Away Differential]]</f>
        <v>-0.39753352551666882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0.6364770630635086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0.1321489256789323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-6.3745791019188943E-4</v>
      </c>
      <c r="H279" t="s">
        <v>30</v>
      </c>
      <c r="I279">
        <f>VLOOKUP(Table4[[#This Row],[Visitor]],'NHL Model'!$A$6:$B$38,2,FALSE)</f>
        <v>-6.4729560818359025E-2</v>
      </c>
      <c r="J279">
        <f>($B$1+Table4[[#This Row],[Home Differential]])-Table4[[#This Row],[Away Differential]]</f>
        <v>0.22666441257048553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0.52889375538828209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0.27972860448872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0.67193921242367816</v>
      </c>
      <c r="H280" t="s">
        <v>38</v>
      </c>
      <c r="I280">
        <f>VLOOKUP(Table4[[#This Row],[Visitor]],'NHL Model'!$A$6:$B$38,2,FALSE)</f>
        <v>-0.6902088310934803</v>
      </c>
      <c r="J280">
        <f>($B$1+Table4[[#This Row],[Home Differential]])-Table4[[#This Row],[Away Differential]]</f>
        <v>1.5247203531794769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0.7612632152463138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5.69952523945279E-2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-1.3516250707060606</v>
      </c>
      <c r="H281" t="s">
        <v>14</v>
      </c>
      <c r="I281">
        <f>VLOOKUP(Table4[[#This Row],[Visitor]],'NHL Model'!$A$6:$B$38,2,FALSE)</f>
        <v>0.26289091192875702</v>
      </c>
      <c r="J281">
        <f>($B$1+Table4[[#This Row],[Home Differential]])-Table4[[#This Row],[Away Differential]]</f>
        <v>-1.4519436729724993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0.66117937565998075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0.43715816679812197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-1.6211574240381006</v>
      </c>
      <c r="H282" t="s">
        <v>27</v>
      </c>
      <c r="I282">
        <f>VLOOKUP(Table4[[#This Row],[Visitor]],'NHL Model'!$A$6:$B$38,2,FALSE)</f>
        <v>-0.51358590497437617</v>
      </c>
      <c r="J282">
        <f>($B$1+Table4[[#This Row],[Home Differential]])-Table4[[#This Row],[Away Differential]]</f>
        <v>-0.94499920940140603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0.59093782802010342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0.16733186054491048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-0.12212311954851815</v>
      </c>
      <c r="H283" t="s">
        <v>30</v>
      </c>
      <c r="I283">
        <f>VLOOKUP(Table4[[#This Row],[Visitor]],'NHL Model'!$A$6:$B$38,2,FALSE)</f>
        <v>-6.4729560818359025E-2</v>
      </c>
      <c r="J283">
        <f>($B$1+Table4[[#This Row],[Home Differential]])-Table4[[#This Row],[Away Differential]]</f>
        <v>0.10517875093215927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0.5815837364980917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0.33823964255908173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0.67193921242367816</v>
      </c>
      <c r="H284" t="s">
        <v>17</v>
      </c>
      <c r="I284">
        <f>VLOOKUP(Table4[[#This Row],[Visitor]],'NHL Model'!$A$6:$B$38,2,FALSE)</f>
        <v>-0.61980804137564283</v>
      </c>
      <c r="J284">
        <f>($B$1+Table4[[#This Row],[Home Differential]])-Table4[[#This Row],[Away Differential]]</f>
        <v>1.4543195634616395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0.79322455220353938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0.62920519021850552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-0.40822279081308277</v>
      </c>
      <c r="H285" t="s">
        <v>15</v>
      </c>
      <c r="I285">
        <f>VLOOKUP(Table4[[#This Row],[Visitor]],'NHL Model'!$A$6:$B$38,2,FALSE)</f>
        <v>-0.30719665303039001</v>
      </c>
      <c r="J285">
        <f>($B$1+Table4[[#This Row],[Home Differential]])-Table4[[#This Row],[Away Differential]]</f>
        <v>6.1546171879625633E-2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0.40611811680123444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0.16493192479418109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-1.3903684122795328</v>
      </c>
      <c r="H286" t="s">
        <v>40</v>
      </c>
      <c r="I286">
        <f>VLOOKUP(Table4[[#This Row],[Visitor]],'NHL Model'!$A$6:$B$38,2,FALSE)</f>
        <v>0.105105258369765</v>
      </c>
      <c r="J286">
        <f>($B$1+Table4[[#This Row],[Home Differential]])-Table4[[#This Row],[Away Differential]]</f>
        <v>-1.3329013609869793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0.71100082141484966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8.352052522289162E-2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0.30570968833820172</v>
      </c>
      <c r="H287" t="s">
        <v>19</v>
      </c>
      <c r="I287">
        <f>VLOOKUP(Table4[[#This Row],[Visitor]],'NHL Model'!$A$6:$B$38,2,FALSE)</f>
        <v>-0.635565543477981</v>
      </c>
      <c r="J287">
        <f>($B$1+Table4[[#This Row],[Home Differential]])-Table4[[#This Row],[Away Differential]]</f>
        <v>1.1038475414785012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0.69294764070551917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9.4281151348306946E-2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0.19809534061227302</v>
      </c>
      <c r="H288" t="s">
        <v>27</v>
      </c>
      <c r="I288">
        <f>VLOOKUP(Table4[[#This Row],[Visitor]],'NHL Model'!$A$6:$B$38,2,FALSE)</f>
        <v>-0.51358590497437617</v>
      </c>
      <c r="J288">
        <f>($B$1+Table4[[#This Row],[Home Differential]])-Table4[[#This Row],[Away Differential]]</f>
        <v>0.87425355524896764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0.68717314053967438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9.7860643999810315E-2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-0.513643833119658</v>
      </c>
      <c r="H289" t="s">
        <v>23</v>
      </c>
      <c r="I289">
        <f>VLOOKUP(Table4[[#This Row],[Visitor]],'NHL Model'!$A$6:$B$38,2,FALSE)</f>
        <v>-0.8683412362501769</v>
      </c>
      <c r="J289">
        <f>($B$1+Table4[[#This Row],[Home Differential]])-Table4[[#This Row],[Away Differential]]</f>
        <v>0.51726971279283729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0.63770993622748795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0.40667396276326673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-0.28105923893144158</v>
      </c>
      <c r="H290" t="s">
        <v>37</v>
      </c>
      <c r="I290">
        <f>VLOOKUP(Table4[[#This Row],[Visitor]],'NHL Model'!$A$6:$B$38,2,FALSE)</f>
        <v>-0.11309445867623392</v>
      </c>
      <c r="J290">
        <f>($B$1+Table4[[#This Row],[Home Differential]])-Table4[[#This Row],[Away Differential]]</f>
        <v>-5.3924705928892619E-3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0.45529262806694609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0.29670612103821437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-0.53650300840565446</v>
      </c>
      <c r="H291" t="s">
        <v>31</v>
      </c>
      <c r="I291">
        <f>VLOOKUP(Table4[[#This Row],[Visitor]],'NHL Model'!$A$6:$B$38,2,FALSE)</f>
        <v>0.51775546328552802</v>
      </c>
      <c r="J291">
        <f>($B$1+Table4[[#This Row],[Home Differential]])-Table4[[#This Row],[Away Differential]]</f>
        <v>-0.89168616202886408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0.60432007416686506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0.3652027520410453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-0.52437726201848234</v>
      </c>
      <c r="H292" t="s">
        <v>21</v>
      </c>
      <c r="I292">
        <f>VLOOKUP(Table4[[#This Row],[Visitor]],'NHL Model'!$A$6:$B$38,2,FALSE)</f>
        <v>4.029141914856392E-2</v>
      </c>
      <c r="J292">
        <f>($B$1+Table4[[#This Row],[Home Differential]])-Table4[[#This Row],[Away Differential]]</f>
        <v>-0.40209637150472788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0.51571393607084992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0.23453299171598885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-0.40651947573390851</v>
      </c>
      <c r="H293" t="s">
        <v>13</v>
      </c>
      <c r="I293">
        <f>VLOOKUP(Table4[[#This Row],[Visitor]],'NHL Model'!$A$6:$B$38,2,FALSE)</f>
        <v>-7.5459708298993802E-2</v>
      </c>
      <c r="J293">
        <f>($B$1+Table4[[#This Row],[Home Differential]])-Table4[[#This Row],[Away Differential]]</f>
        <v>-0.16848745777259633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0.60229276548582589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0.15817104438491228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-0.361361309178443</v>
      </c>
      <c r="H294" t="s">
        <v>33</v>
      </c>
      <c r="I294">
        <f>VLOOKUP(Table4[[#This Row],[Visitor]],'NHL Model'!$A$6:$B$38,2,FALSE)</f>
        <v>-0.39418177254008485</v>
      </c>
      <c r="J294">
        <f>($B$1+Table4[[#This Row],[Home Differential]])-Table4[[#This Row],[Away Differential]]</f>
        <v>0.19539277302396024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0.59311109745196033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0.16555857901674811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-1.6211574240381006</v>
      </c>
      <c r="H295" t="s">
        <v>20</v>
      </c>
      <c r="I295">
        <f>VLOOKUP(Table4[[#This Row],[Visitor]],'NHL Model'!$A$6:$B$38,2,FALSE)</f>
        <v>-6.3745791019188943E-4</v>
      </c>
      <c r="J295">
        <f>($B$1+Table4[[#This Row],[Home Differential]])-Table4[[#This Row],[Away Differential]]</f>
        <v>-1.4579476564655902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0.68278051036122833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0.10062820460668277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-6.1308839486784707E-2</v>
      </c>
      <c r="H296" t="s">
        <v>24</v>
      </c>
      <c r="I296">
        <f>VLOOKUP(Table4[[#This Row],[Visitor]],'NHL Model'!$A$6:$B$38,2,FALSE)</f>
        <v>0.559441163373953</v>
      </c>
      <c r="J296">
        <f>($B$1+Table4[[#This Row],[Home Differential]])-Table4[[#This Row],[Away Differential]]</f>
        <v>-0.45817769319841928</v>
      </c>
      <c r="K296" t="str">
        <f>IF(Table4[[#This Row],[HomeIce Differential]]&gt;0,Table4[[#This Row],[Home]],Table4[[#This Row],[Visitor]])</f>
        <v>New Jersey Devils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0.58980027855877426</v>
      </c>
      <c r="M296" t="str">
        <f>IF(OR((NHL2025_26Results[[#This Row],[Winning Team]]="")),"-",IF(Table4[[#This Row],[Predicted Winner]]=NHL2025_26Results[[#This Row],[Winning Team]],"YES","NO"))</f>
        <v>YES</v>
      </c>
      <c r="N296">
        <f>IF(Table4[[#This Row],[Adjusted Correct]]="-", "",IF(Table4[[#This Row],[Adjusted Correct]]="YES",(Table4[[#This Row],[Strength of Win]]-1)^2,(Table4[[#This Row],[Strength of Win]]-0)^2))</f>
        <v>0.16826381147045918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1.5475013591489768</v>
      </c>
      <c r="H297" t="s">
        <v>30</v>
      </c>
      <c r="I297">
        <f>VLOOKUP(Table4[[#This Row],[Visitor]],'NHL Model'!$A$6:$B$38,2,FALSE)</f>
        <v>-6.4729560818359025E-2</v>
      </c>
      <c r="J297">
        <f>($B$1+Table4[[#This Row],[Home Differential]])-Table4[[#This Row],[Away Differential]]</f>
        <v>1.7748032296296543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0.83370062406084455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2.7655482437752555E-2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-0.53650300840565446</v>
      </c>
      <c r="H298" t="s">
        <v>20</v>
      </c>
      <c r="I298">
        <f>VLOOKUP(Table4[[#This Row],[Visitor]],'NHL Model'!$A$6:$B$38,2,FALSE)</f>
        <v>-6.3745791019188943E-4</v>
      </c>
      <c r="J298">
        <f>($B$1+Table4[[#This Row],[Home Differential]])-Table4[[#This Row],[Away Differential]]</f>
        <v>-0.37329324083314419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0.53249224353263647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0.2835479894224206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-0.30719665303039001</v>
      </c>
      <c r="H299" t="s">
        <v>26</v>
      </c>
      <c r="I299">
        <f>VLOOKUP(Table4[[#This Row],[Visitor]],'NHL Model'!$A$6:$B$38,2,FALSE)</f>
        <v>-0.513643833119658</v>
      </c>
      <c r="J299">
        <f>($B$1+Table4[[#This Row],[Home Differential]])-Table4[[#This Row],[Away Differential]]</f>
        <v>0.36901948975158638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0.54403145604216463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0.29597022516335769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0.26289091192875702</v>
      </c>
      <c r="H300" t="s">
        <v>29</v>
      </c>
      <c r="I300">
        <f>VLOOKUP(Table4[[#This Row],[Visitor]],'NHL Model'!$A$6:$B$38,2,FALSE)</f>
        <v>-1.3516250707060606</v>
      </c>
      <c r="J300">
        <f>($B$1+Table4[[#This Row],[Home Differential]])-Table4[[#This Row],[Away Differential]]</f>
        <v>1.7770882922971361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0.82226784610887349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3.1588718526779073E-2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-0.11309445867623392</v>
      </c>
      <c r="H301" t="s">
        <v>38</v>
      </c>
      <c r="I301">
        <f>VLOOKUP(Table4[[#This Row],[Visitor]],'NHL Model'!$A$6:$B$38,2,FALSE)</f>
        <v>-0.6902088310934803</v>
      </c>
      <c r="J301">
        <f>($B$1+Table4[[#This Row],[Home Differential]])-Table4[[#This Row],[Away Differential]]</f>
        <v>0.73968668207956478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0.59997743569952089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0.35997292334857273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0.51775546328552802</v>
      </c>
      <c r="H302" t="s">
        <v>55</v>
      </c>
      <c r="I302">
        <f>VLOOKUP(Table4[[#This Row],[Visitor]],'NHL Model'!$A$6:$B$38,2,FALSE)</f>
        <v>-0.12212311954851815</v>
      </c>
      <c r="J302">
        <f>($B$1+Table4[[#This Row],[Home Differential]])-Table4[[#This Row],[Away Differential]]</f>
        <v>0.80245089249636459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0.7555164205687791</v>
      </c>
      <c r="M302" t="str">
        <f>IF(OR((NHL2025_26Results[[#This Row],[Winning Team]]="")),"-",IF(Table4[[#This Row],[Predicted Winner]]=NHL2025_26Results[[#This Row],[Winning Team]],"YES","NO"))</f>
        <v>-</v>
      </c>
      <c r="N302" t="str">
        <f>IF(Table4[[#This Row],[Adjusted Correct]]="-", "",IF(Table4[[#This Row],[Adjusted Correct]]="YES",(Table4[[#This Row],[Strength of Win]]-1)^2,(Table4[[#This Row],[Strength of Win]]-0)^2))</f>
        <v/>
      </c>
      <c r="O302">
        <v>0.80245089249636459</v>
      </c>
      <c r="P302" s="11">
        <v>0.7555164205687791</v>
      </c>
      <c r="Q302" t="s">
        <v>31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4.029141914856392E-2</v>
      </c>
      <c r="H303" t="s">
        <v>25</v>
      </c>
      <c r="I303">
        <f>VLOOKUP(Table4[[#This Row],[Visitor]],'NHL Model'!$A$6:$B$38,2,FALSE)</f>
        <v>0.67193921242367816</v>
      </c>
      <c r="J303">
        <f>($B$1+Table4[[#This Row],[Home Differential]])-Table4[[#This Row],[Away Differential]]</f>
        <v>-0.46907548361279583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0.54325534193164859</v>
      </c>
      <c r="M303" t="str">
        <f>IF(OR((NHL2025_26Results[[#This Row],[Winning Team]]="")),"-",IF(Table4[[#This Row],[Predicted Winner]]=NHL2025_26Results[[#This Row],[Winning Team]],"YES","NO"))</f>
        <v>-</v>
      </c>
      <c r="N303" t="str">
        <f>IF(Table4[[#This Row],[Adjusted Correct]]="-", "",IF(Table4[[#This Row],[Adjusted Correct]]="YES",(Table4[[#This Row],[Strength of Win]]-1)^2,(Table4[[#This Row],[Strength of Win]]-0)^2))</f>
        <v/>
      </c>
      <c r="O303">
        <v>-0.46907548361279583</v>
      </c>
      <c r="P303" s="11">
        <v>0.54325534193164859</v>
      </c>
      <c r="Q303" t="s">
        <v>25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-0.8683412362501769</v>
      </c>
      <c r="H304" t="s">
        <v>17</v>
      </c>
      <c r="I304">
        <f>VLOOKUP(Table4[[#This Row],[Visitor]],'NHL Model'!$A$6:$B$38,2,FALSE)</f>
        <v>-0.61980804137564283</v>
      </c>
      <c r="J304">
        <f>($B$1+Table4[[#This Row],[Home Differential]])-Table4[[#This Row],[Away Differential]]</f>
        <v>-8.5960885212215676E-2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0.4719106254189383</v>
      </c>
      <c r="M304" t="str">
        <f>IF(OR((NHL2025_26Results[[#This Row],[Winning Team]]="")),"-",IF(Table4[[#This Row],[Predicted Winner]]=NHL2025_26Results[[#This Row],[Winning Team]],"YES","NO"))</f>
        <v>-</v>
      </c>
      <c r="N304" t="str">
        <f>IF(Table4[[#This Row],[Adjusted Correct]]="-", "",IF(Table4[[#This Row],[Adjusted Correct]]="YES",(Table4[[#This Row],[Strength of Win]]-1)^2,(Table4[[#This Row],[Strength of Win]]-0)^2))</f>
        <v/>
      </c>
      <c r="O304">
        <v>-8.5960885212215676E-2</v>
      </c>
      <c r="P304" s="11">
        <v>0.4719106254189383</v>
      </c>
      <c r="Q304" t="s">
        <v>17</v>
      </c>
    </row>
    <row r="305" spans="4:17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-0.40822279081308277</v>
      </c>
      <c r="H305" t="s">
        <v>18</v>
      </c>
      <c r="I305">
        <f>VLOOKUP(Table4[[#This Row],[Visitor]],'NHL Model'!$A$6:$B$38,2,FALSE)</f>
        <v>-0.52437726201848234</v>
      </c>
      <c r="J305">
        <f>($B$1+Table4[[#This Row],[Home Differential]])-Table4[[#This Row],[Away Differential]]</f>
        <v>0.27872678086771796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0.50213932370766312</v>
      </c>
      <c r="M305" t="str">
        <f>IF(OR((NHL2025_26Results[[#This Row],[Winning Team]]="")),"-",IF(Table4[[#This Row],[Predicted Winner]]=NHL2025_26Results[[#This Row],[Winning Team]],"YES","NO"))</f>
        <v>-</v>
      </c>
      <c r="N305" t="str">
        <f>IF(Table4[[#This Row],[Adjusted Correct]]="-", "",IF(Table4[[#This Row],[Adjusted Correct]]="YES",(Table4[[#This Row],[Strength of Win]]-1)^2,(Table4[[#This Row],[Strength of Win]]-0)^2))</f>
        <v/>
      </c>
      <c r="O305">
        <v>0.27872678086771796</v>
      </c>
      <c r="P305" s="11">
        <v>0.50213932370766312</v>
      </c>
      <c r="Q305" t="s">
        <v>28</v>
      </c>
    </row>
    <row r="306" spans="4:17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-0.28105923893144158</v>
      </c>
      <c r="H306" t="s">
        <v>38</v>
      </c>
      <c r="I306">
        <f>VLOOKUP(Table4[[#This Row],[Visitor]],'NHL Model'!$A$6:$B$38,2,FALSE)</f>
        <v>-0.6902088310934803</v>
      </c>
      <c r="J306">
        <f>($B$1+Table4[[#This Row],[Home Differential]])-Table4[[#This Row],[Away Differential]]</f>
        <v>0.57172190182435711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0.6292170229473768</v>
      </c>
      <c r="M306" t="str">
        <f>IF(OR((NHL2025_26Results[[#This Row],[Winning Team]]="")),"-",IF(Table4[[#This Row],[Predicted Winner]]=NHL2025_26Results[[#This Row],[Winning Team]],"YES","NO"))</f>
        <v>-</v>
      </c>
      <c r="N306" t="str">
        <f>IF(Table4[[#This Row],[Adjusted Correct]]="-", "",IF(Table4[[#This Row],[Adjusted Correct]]="YES",(Table4[[#This Row],[Strength of Win]]-1)^2,(Table4[[#This Row],[Strength of Win]]-0)^2))</f>
        <v/>
      </c>
      <c r="O306">
        <v>0.57172190182435711</v>
      </c>
      <c r="P306" s="11">
        <v>0.6292170229473768</v>
      </c>
      <c r="Q306" t="s">
        <v>11</v>
      </c>
    </row>
    <row r="307" spans="4:17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-6.1308839486784707E-2</v>
      </c>
      <c r="H307" t="s">
        <v>13</v>
      </c>
      <c r="I307">
        <f>VLOOKUP(Table4[[#This Row],[Visitor]],'NHL Model'!$A$6:$B$38,2,FALSE)</f>
        <v>-7.5459708298993802E-2</v>
      </c>
      <c r="J307">
        <f>($B$1+Table4[[#This Row],[Home Differential]])-Table4[[#This Row],[Away Differential]]</f>
        <v>0.17672317847452751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0.44309117868583614</v>
      </c>
      <c r="M307" t="str">
        <f>IF(OR((NHL2025_26Results[[#This Row],[Winning Team]]="")),"-",IF(Table4[[#This Row],[Predicted Winner]]=NHL2025_26Results[[#This Row],[Winning Team]],"YES","NO"))</f>
        <v>-</v>
      </c>
      <c r="N307" t="str">
        <f>IF(Table4[[#This Row],[Adjusted Correct]]="-", "",IF(Table4[[#This Row],[Adjusted Correct]]="YES",(Table4[[#This Row],[Strength of Win]]-1)^2,(Table4[[#This Row],[Strength of Win]]-0)^2))</f>
        <v/>
      </c>
      <c r="O307">
        <v>0.17672317847452751</v>
      </c>
      <c r="P307" s="11">
        <v>0.44309117868583614</v>
      </c>
      <c r="Q307" t="s">
        <v>22</v>
      </c>
    </row>
    <row r="308" spans="4:17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0.30570968833820172</v>
      </c>
      <c r="H308" t="s">
        <v>16</v>
      </c>
      <c r="I308">
        <f>VLOOKUP(Table4[[#This Row],[Visitor]],'NHL Model'!$A$6:$B$38,2,FALSE)</f>
        <v>-1.3903684122795328</v>
      </c>
      <c r="J308">
        <f>($B$1+Table4[[#This Row],[Home Differential]])-Table4[[#This Row],[Away Differential]]</f>
        <v>1.858650410280053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0.79753211785743328</v>
      </c>
      <c r="M308" t="str">
        <f>IF(OR((NHL2025_26Results[[#This Row],[Winning Team]]="")),"-",IF(Table4[[#This Row],[Predicted Winner]]=NHL2025_26Results[[#This Row],[Winning Team]],"YES","NO"))</f>
        <v>-</v>
      </c>
      <c r="N308" t="str">
        <f>IF(Table4[[#This Row],[Adjusted Correct]]="-", "",IF(Table4[[#This Row],[Adjusted Correct]]="YES",(Table4[[#This Row],[Strength of Win]]-1)^2,(Table4[[#This Row],[Strength of Win]]-0)^2))</f>
        <v/>
      </c>
      <c r="P308" s="11"/>
    </row>
    <row r="309" spans="4:17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0.19809534061227302</v>
      </c>
      <c r="H309" t="s">
        <v>30</v>
      </c>
      <c r="I309">
        <f>VLOOKUP(Table4[[#This Row],[Visitor]],'NHL Model'!$A$6:$B$38,2,FALSE)</f>
        <v>-6.4729560818359025E-2</v>
      </c>
      <c r="J309">
        <f>($B$1+Table4[[#This Row],[Home Differential]])-Table4[[#This Row],[Away Differential]]</f>
        <v>0.42539721109295042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0.58275199308587677</v>
      </c>
      <c r="M309" t="str">
        <f>IF(OR((NHL2025_26Results[[#This Row],[Winning Team]]="")),"-",IF(Table4[[#This Row],[Predicted Winner]]=NHL2025_26Results[[#This Row],[Winning Team]],"YES","NO"))</f>
        <v>-</v>
      </c>
      <c r="N309" t="str">
        <f>IF(Table4[[#This Row],[Adjusted Correct]]="-", "",IF(Table4[[#This Row],[Adjusted Correct]]="YES",(Table4[[#This Row],[Strength of Win]]-1)^2,(Table4[[#This Row],[Strength of Win]]-0)^2))</f>
        <v/>
      </c>
      <c r="P309" s="11"/>
    </row>
    <row r="310" spans="4:17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-0.513643833119658</v>
      </c>
      <c r="H310" t="s">
        <v>32</v>
      </c>
      <c r="I310">
        <f>VLOOKUP(Table4[[#This Row],[Visitor]],'NHL Model'!$A$6:$B$38,2,FALSE)</f>
        <v>-0.361361309178443</v>
      </c>
      <c r="J310">
        <f>($B$1+Table4[[#This Row],[Home Differential]])-Table4[[#This Row],[Away Differential]]</f>
        <v>1.0289785721103395E-2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0.56746347481233783</v>
      </c>
      <c r="M310" t="str">
        <f>IF(OR((NHL2025_26Results[[#This Row],[Winning Team]]="")),"-",IF(Table4[[#This Row],[Predicted Winner]]=NHL2025_26Results[[#This Row],[Winning Team]],"YES","NO"))</f>
        <v>-</v>
      </c>
      <c r="N310" t="str">
        <f>IF(Table4[[#This Row],[Adjusted Correct]]="-", "",IF(Table4[[#This Row],[Adjusted Correct]]="YES",(Table4[[#This Row],[Strength of Win]]-1)^2,(Table4[[#This Row],[Strength of Win]]-0)^2))</f>
        <v/>
      </c>
      <c r="P310" s="11"/>
    </row>
    <row r="311" spans="4:17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-0.39418177254008485</v>
      </c>
      <c r="H311" t="s">
        <v>55</v>
      </c>
      <c r="I311">
        <f>VLOOKUP(Table4[[#This Row],[Visitor]],'NHL Model'!$A$6:$B$38,2,FALSE)</f>
        <v>-0.12212311954851815</v>
      </c>
      <c r="J311">
        <f>($B$1+Table4[[#This Row],[Home Differential]])-Table4[[#This Row],[Away Differential]]</f>
        <v>-0.10948634332924831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0.47517028146772311</v>
      </c>
      <c r="M311" t="str">
        <f>IF(OR((NHL2025_26Results[[#This Row],[Winning Team]]="")),"-",IF(Table4[[#This Row],[Predicted Winner]]=NHL2025_26Results[[#This Row],[Winning Team]],"YES","NO"))</f>
        <v>-</v>
      </c>
      <c r="N311" t="str">
        <f>IF(Table4[[#This Row],[Adjusted Correct]]="-", "",IF(Table4[[#This Row],[Adjusted Correct]]="YES",(Table4[[#This Row],[Strength of Win]]-1)^2,(Table4[[#This Row],[Strength of Win]]-0)^2))</f>
        <v/>
      </c>
      <c r="P311" s="11"/>
    </row>
    <row r="312" spans="4:17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-0.11309445867623392</v>
      </c>
      <c r="H312" t="s">
        <v>24</v>
      </c>
      <c r="I312">
        <f>VLOOKUP(Table4[[#This Row],[Visitor]],'NHL Model'!$A$6:$B$38,2,FALSE)</f>
        <v>0.559441163373953</v>
      </c>
      <c r="J312">
        <f>($B$1+Table4[[#This Row],[Home Differential]])-Table4[[#This Row],[Away Differential]]</f>
        <v>-0.50996331238786852</v>
      </c>
      <c r="K312" t="str">
        <f>IF(Table4[[#This Row],[HomeIce Differential]]&gt;0,Table4[[#This Row],[Home]],Table4[[#This Row],[Visitor]])</f>
        <v>New Jersey Devils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0.5969756247727015</v>
      </c>
      <c r="M312" t="str">
        <f>IF(OR((NHL2025_26Results[[#This Row],[Winning Team]]="")),"-",IF(Table4[[#This Row],[Predicted Winner]]=NHL2025_26Results[[#This Row],[Winning Team]],"YES","NO"))</f>
        <v>-</v>
      </c>
      <c r="N312" t="str">
        <f>IF(Table4[[#This Row],[Adjusted Correct]]="-", "",IF(Table4[[#This Row],[Adjusted Correct]]="YES",(Table4[[#This Row],[Strength of Win]]-1)^2,(Table4[[#This Row],[Strength of Win]]-0)^2))</f>
        <v/>
      </c>
      <c r="P312" s="11"/>
    </row>
    <row r="313" spans="4:17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-0.635565543477981</v>
      </c>
      <c r="H313" t="s">
        <v>35</v>
      </c>
      <c r="I313">
        <f>VLOOKUP(Table4[[#This Row],[Visitor]],'NHL Model'!$A$6:$B$38,2,FALSE)</f>
        <v>-1.6211574240381006</v>
      </c>
      <c r="J313">
        <f>($B$1+Table4[[#This Row],[Home Differential]])-Table4[[#This Row],[Away Differential]]</f>
        <v>1.148164190222438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0.69908809635239377</v>
      </c>
      <c r="M313" t="str">
        <f>IF(OR((NHL2025_26Results[[#This Row],[Winning Team]]="")),"-",IF(Table4[[#This Row],[Predicted Winner]]=NHL2025_26Results[[#This Row],[Winning Team]],"YES","NO"))</f>
        <v>-</v>
      </c>
      <c r="N313" t="str">
        <f>IF(Table4[[#This Row],[Adjusted Correct]]="-", "",IF(Table4[[#This Row],[Adjusted Correct]]="YES",(Table4[[#This Row],[Strength of Win]]-1)^2,(Table4[[#This Row],[Strength of Win]]-0)^2))</f>
        <v/>
      </c>
      <c r="P313" s="11"/>
    </row>
    <row r="314" spans="4:17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-6.3745791019188943E-4</v>
      </c>
      <c r="H314" t="s">
        <v>15</v>
      </c>
      <c r="I314">
        <f>VLOOKUP(Table4[[#This Row],[Visitor]],'NHL Model'!$A$6:$B$38,2,FALSE)</f>
        <v>-0.30719665303039001</v>
      </c>
      <c r="J314">
        <f>($B$1+Table4[[#This Row],[Home Differential]])-Table4[[#This Row],[Away Differential]]</f>
        <v>0.46913150478251653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0.46259259603065156</v>
      </c>
      <c r="M314" t="str">
        <f>IF(OR((NHL2025_26Results[[#This Row],[Winning Team]]="")),"-",IF(Table4[[#This Row],[Predicted Winner]]=NHL2025_26Results[[#This Row],[Winning Team]],"YES","NO"))</f>
        <v>-</v>
      </c>
      <c r="N314" t="str">
        <f>IF(Table4[[#This Row],[Adjusted Correct]]="-", "",IF(Table4[[#This Row],[Adjusted Correct]]="YES",(Table4[[#This Row],[Strength of Win]]-1)^2,(Table4[[#This Row],[Strength of Win]]-0)^2))</f>
        <v/>
      </c>
      <c r="P314" s="11"/>
    </row>
    <row r="315" spans="4:17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0.105105258369765</v>
      </c>
      <c r="H315" t="s">
        <v>28</v>
      </c>
      <c r="I315">
        <f>VLOOKUP(Table4[[#This Row],[Visitor]],'NHL Model'!$A$6:$B$38,2,FALSE)</f>
        <v>-0.40822279081308277</v>
      </c>
      <c r="J315">
        <f>($B$1+Table4[[#This Row],[Home Differential]])-Table4[[#This Row],[Away Differential]]</f>
        <v>0.67590035884516619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0.64920740633462015</v>
      </c>
      <c r="M315" t="str">
        <f>IF(OR((NHL2025_26Results[[#This Row],[Winning Team]]="")),"-",IF(Table4[[#This Row],[Predicted Winner]]=NHL2025_26Results[[#This Row],[Winning Team]],"YES","NO"))</f>
        <v>-</v>
      </c>
      <c r="N315" t="str">
        <f>IF(Table4[[#This Row],[Adjusted Correct]]="-", "",IF(Table4[[#This Row],[Adjusted Correct]]="YES",(Table4[[#This Row],[Strength of Win]]-1)^2,(Table4[[#This Row],[Strength of Win]]-0)^2))</f>
        <v/>
      </c>
      <c r="P315" s="11"/>
    </row>
    <row r="316" spans="4:17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0.51775546328552802</v>
      </c>
      <c r="H316" t="s">
        <v>21</v>
      </c>
      <c r="I316">
        <f>VLOOKUP(Table4[[#This Row],[Visitor]],'NHL Model'!$A$6:$B$38,2,FALSE)</f>
        <v>4.029141914856392E-2</v>
      </c>
      <c r="J316">
        <f>($B$1+Table4[[#This Row],[Home Differential]])-Table4[[#This Row],[Away Differential]]</f>
        <v>0.64003635379928248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0.73301247905823153</v>
      </c>
      <c r="M316" t="str">
        <f>IF(OR((NHL2025_26Results[[#This Row],[Winning Team]]="")),"-",IF(Table4[[#This Row],[Predicted Winner]]=NHL2025_26Results[[#This Row],[Winning Team]],"YES","NO"))</f>
        <v>-</v>
      </c>
      <c r="N316" t="str">
        <f>IF(Table4[[#This Row],[Adjusted Correct]]="-", "",IF(Table4[[#This Row],[Adjusted Correct]]="YES",(Table4[[#This Row],[Strength of Win]]-1)^2,(Table4[[#This Row],[Strength of Win]]-0)^2))</f>
        <v/>
      </c>
      <c r="P316" s="11"/>
    </row>
    <row r="317" spans="4:17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-0.8683412362501769</v>
      </c>
      <c r="H317" t="s">
        <v>16</v>
      </c>
      <c r="I317">
        <f>VLOOKUP(Table4[[#This Row],[Visitor]],'NHL Model'!$A$6:$B$38,2,FALSE)</f>
        <v>-1.3903684122795328</v>
      </c>
      <c r="J317">
        <f>($B$1+Table4[[#This Row],[Home Differential]])-Table4[[#This Row],[Away Differential]]</f>
        <v>0.68459948569167428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0.63485719017366016</v>
      </c>
      <c r="M317" t="str">
        <f>IF(OR((NHL2025_26Results[[#This Row],[Winning Team]]="")),"-",IF(Table4[[#This Row],[Predicted Winner]]=NHL2025_26Results[[#This Row],[Winning Team]],"YES","NO"))</f>
        <v>-</v>
      </c>
      <c r="N317" t="str">
        <f>IF(Table4[[#This Row],[Adjusted Correct]]="-", "",IF(Table4[[#This Row],[Adjusted Correct]]="YES",(Table4[[#This Row],[Strength of Win]]-1)^2,(Table4[[#This Row],[Strength of Win]]-0)^2))</f>
        <v/>
      </c>
      <c r="P317" s="11"/>
    </row>
    <row r="318" spans="4:17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-0.53650300840565446</v>
      </c>
      <c r="H318" t="s">
        <v>25</v>
      </c>
      <c r="I318">
        <f>VLOOKUP(Table4[[#This Row],[Visitor]],'NHL Model'!$A$6:$B$38,2,FALSE)</f>
        <v>0.67193921242367816</v>
      </c>
      <c r="J318">
        <f>($B$1+Table4[[#This Row],[Home Differential]])-Table4[[#This Row],[Away Differential]]</f>
        <v>-1.0458699111670142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0.69740052554780008</v>
      </c>
      <c r="M318" t="str">
        <f>IF(OR((NHL2025_26Results[[#This Row],[Winning Team]]="")),"-",IF(Table4[[#This Row],[Predicted Winner]]=NHL2025_26Results[[#This Row],[Winning Team]],"YES","NO"))</f>
        <v>-</v>
      </c>
      <c r="N318" t="str">
        <f>IF(Table4[[#This Row],[Adjusted Correct]]="-", "",IF(Table4[[#This Row],[Adjusted Correct]]="YES",(Table4[[#This Row],[Strength of Win]]-1)^2,(Table4[[#This Row],[Strength of Win]]-0)^2))</f>
        <v/>
      </c>
      <c r="P318" s="11"/>
    </row>
    <row r="319" spans="4:17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-6.1308839486784707E-2</v>
      </c>
      <c r="H319" t="s">
        <v>17</v>
      </c>
      <c r="I319">
        <f>VLOOKUP(Table4[[#This Row],[Visitor]],'NHL Model'!$A$6:$B$38,2,FALSE)</f>
        <v>-0.61980804137564283</v>
      </c>
      <c r="J319">
        <f>($B$1+Table4[[#This Row],[Home Differential]])-Table4[[#This Row],[Away Differential]]</f>
        <v>0.72107151155117655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0.63991070535338324</v>
      </c>
      <c r="M319" t="str">
        <f>IF(OR((NHL2025_26Results[[#This Row],[Winning Team]]="")),"-",IF(Table4[[#This Row],[Predicted Winner]]=NHL2025_26Results[[#This Row],[Winning Team]],"YES","NO"))</f>
        <v>-</v>
      </c>
      <c r="N319" t="str">
        <f>IF(Table4[[#This Row],[Adjusted Correct]]="-", "",IF(Table4[[#This Row],[Adjusted Correct]]="YES",(Table4[[#This Row],[Strength of Win]]-1)^2,(Table4[[#This Row],[Strength of Win]]-0)^2))</f>
        <v/>
      </c>
      <c r="P319" s="11"/>
    </row>
    <row r="320" spans="4:17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0.51775546328552802</v>
      </c>
      <c r="H320" t="s">
        <v>36</v>
      </c>
      <c r="I320">
        <f>VLOOKUP(Table4[[#This Row],[Visitor]],'NHL Model'!$A$6:$B$38,2,FALSE)</f>
        <v>-0.40651947573390851</v>
      </c>
      <c r="J320">
        <f>($B$1+Table4[[#This Row],[Home Differential]])-Table4[[#This Row],[Away Differential]]</f>
        <v>1.0868472486817549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0.79492199975369138</v>
      </c>
      <c r="M320" t="str">
        <f>IF(OR((NHL2025_26Results[[#This Row],[Winning Team]]="")),"-",IF(Table4[[#This Row],[Predicted Winner]]=NHL2025_26Results[[#This Row],[Winning Team]],"YES","NO"))</f>
        <v>-</v>
      </c>
      <c r="N320" t="str">
        <f>IF(Table4[[#This Row],[Adjusted Correct]]="-", "",IF(Table4[[#This Row],[Adjusted Correct]]="YES",(Table4[[#This Row],[Strength of Win]]-1)^2,(Table4[[#This Row],[Strength of Win]]-0)^2))</f>
        <v/>
      </c>
      <c r="P320" s="11"/>
    </row>
    <row r="321" spans="4:16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0.30570968833820172</v>
      </c>
      <c r="H321" t="s">
        <v>32</v>
      </c>
      <c r="I321">
        <f>VLOOKUP(Table4[[#This Row],[Visitor]],'NHL Model'!$A$6:$B$38,2,FALSE)</f>
        <v>-0.361361309178443</v>
      </c>
      <c r="J321">
        <f>($B$1+Table4[[#This Row],[Home Differential]])-Table4[[#This Row],[Away Differential]]</f>
        <v>0.82964330717896306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0.6549542683133458</v>
      </c>
      <c r="M321" t="str">
        <f>IF(OR((NHL2025_26Results[[#This Row],[Winning Team]]="")),"-",IF(Table4[[#This Row],[Predicted Winner]]=NHL2025_26Results[[#This Row],[Winning Team]],"YES","NO"))</f>
        <v>-</v>
      </c>
      <c r="N321" t="str">
        <f>IF(Table4[[#This Row],[Adjusted Correct]]="-", "",IF(Table4[[#This Row],[Adjusted Correct]]="YES",(Table4[[#This Row],[Strength of Win]]-1)^2,(Table4[[#This Row],[Strength of Win]]-0)^2))</f>
        <v/>
      </c>
      <c r="P321" s="11"/>
    </row>
    <row r="322" spans="4:16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1.5475013591489768</v>
      </c>
      <c r="H322" t="s">
        <v>15</v>
      </c>
      <c r="I322">
        <f>VLOOKUP(Table4[[#This Row],[Visitor]],'NHL Model'!$A$6:$B$38,2,FALSE)</f>
        <v>-0.30719665303039001</v>
      </c>
      <c r="J322">
        <f>($B$1+Table4[[#This Row],[Home Differential]])-Table4[[#This Row],[Away Differential]]</f>
        <v>2.0172703218416852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0.76685205305327453</v>
      </c>
      <c r="M322" t="str">
        <f>IF(OR((NHL2025_26Results[[#This Row],[Winning Team]]="")),"-",IF(Table4[[#This Row],[Predicted Winner]]=NHL2025_26Results[[#This Row],[Winning Team]],"YES","NO"))</f>
        <v>-</v>
      </c>
      <c r="N322" t="str">
        <f>IF(Table4[[#This Row],[Adjusted Correct]]="-", "",IF(Table4[[#This Row],[Adjusted Correct]]="YES",(Table4[[#This Row],[Strength of Win]]-1)^2,(Table4[[#This Row],[Strength of Win]]-0)^2))</f>
        <v/>
      </c>
      <c r="P322" s="11"/>
    </row>
    <row r="323" spans="4:16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-0.513643833119658</v>
      </c>
      <c r="H323" t="s">
        <v>30</v>
      </c>
      <c r="I323">
        <f>VLOOKUP(Table4[[#This Row],[Visitor]],'NHL Model'!$A$6:$B$38,2,FALSE)</f>
        <v>-6.4729560818359025E-2</v>
      </c>
      <c r="J323">
        <f>($B$1+Table4[[#This Row],[Home Differential]])-Table4[[#This Row],[Away Differential]]</f>
        <v>-0.2863419626389806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0.51586563600644142</v>
      </c>
      <c r="M323" t="str">
        <f>IF(OR((NHL2025_26Results[[#This Row],[Winning Team]]="")),"-",IF(Table4[[#This Row],[Predicted Winner]]=NHL2025_26Results[[#This Row],[Winning Team]],"YES","NO"))</f>
        <v>-</v>
      </c>
      <c r="N323" t="str">
        <f>IF(Table4[[#This Row],[Adjusted Correct]]="-", "",IF(Table4[[#This Row],[Adjusted Correct]]="YES",(Table4[[#This Row],[Strength of Win]]-1)^2,(Table4[[#This Row],[Strength of Win]]-0)^2))</f>
        <v/>
      </c>
      <c r="P323" s="11"/>
    </row>
    <row r="324" spans="4:16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-0.28105923893144158</v>
      </c>
      <c r="H324" t="s">
        <v>24</v>
      </c>
      <c r="I324">
        <f>VLOOKUP(Table4[[#This Row],[Visitor]],'NHL Model'!$A$6:$B$38,2,FALSE)</f>
        <v>0.559441163373953</v>
      </c>
      <c r="J324">
        <f>($B$1+Table4[[#This Row],[Home Differential]])-Table4[[#This Row],[Away Differential]]</f>
        <v>-0.67792809264307619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0.56761702139154757</v>
      </c>
      <c r="M324" t="str">
        <f>IF(OR((NHL2025_26Results[[#This Row],[Winning Team]]="")),"-",IF(Table4[[#This Row],[Predicted Winner]]=NHL2025_26Results[[#This Row],[Winning Team]],"YES","NO"))</f>
        <v>-</v>
      </c>
      <c r="N324" t="str">
        <f>IF(Table4[[#This Row],[Adjusted Correct]]="-", "",IF(Table4[[#This Row],[Adjusted Correct]]="YES",(Table4[[#This Row],[Strength of Win]]-1)^2,(Table4[[#This Row],[Strength of Win]]-0)^2))</f>
        <v/>
      </c>
      <c r="P324" s="11"/>
    </row>
    <row r="325" spans="4:16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-0.52437726201848234</v>
      </c>
      <c r="H325" t="s">
        <v>22</v>
      </c>
      <c r="I325">
        <f>VLOOKUP(Table4[[#This Row],[Visitor]],'NHL Model'!$A$6:$B$38,2,FALSE)</f>
        <v>-6.1308839486784707E-2</v>
      </c>
      <c r="J325">
        <f>($B$1+Table4[[#This Row],[Home Differential]])-Table4[[#This Row],[Away Differential]]</f>
        <v>-0.30049611286937922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0.50163633996320867</v>
      </c>
      <c r="M325" t="str">
        <f>IF(OR((NHL2025_26Results[[#This Row],[Winning Team]]="")),"-",IF(Table4[[#This Row],[Predicted Winner]]=NHL2025_26Results[[#This Row],[Winning Team]],"YES","NO"))</f>
        <v>-</v>
      </c>
      <c r="N325" t="str">
        <f>IF(Table4[[#This Row],[Adjusted Correct]]="-", "",IF(Table4[[#This Row],[Adjusted Correct]]="YES",(Table4[[#This Row],[Strength of Win]]-1)^2,(Table4[[#This Row],[Strength of Win]]-0)^2))</f>
        <v/>
      </c>
      <c r="P325" s="11"/>
    </row>
    <row r="326" spans="4:16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-0.51358590497437617</v>
      </c>
      <c r="H326" t="s">
        <v>35</v>
      </c>
      <c r="I326">
        <f>VLOOKUP(Table4[[#This Row],[Visitor]],'NHL Model'!$A$6:$B$38,2,FALSE)</f>
        <v>-1.6211574240381006</v>
      </c>
      <c r="J326">
        <f>($B$1+Table4[[#This Row],[Home Differential]])-Table4[[#This Row],[Away Differential]]</f>
        <v>1.2701438287260429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0.71848491131388892</v>
      </c>
      <c r="M326" t="str">
        <f>IF(OR((NHL2025_26Results[[#This Row],[Winning Team]]="")),"-",IF(Table4[[#This Row],[Predicted Winner]]=NHL2025_26Results[[#This Row],[Winning Team]],"YES","NO"))</f>
        <v>-</v>
      </c>
      <c r="N326" t="str">
        <f>IF(Table4[[#This Row],[Adjusted Correct]]="-", "",IF(Table4[[#This Row],[Adjusted Correct]]="YES",(Table4[[#This Row],[Strength of Win]]-1)^2,(Table4[[#This Row],[Strength of Win]]-0)^2))</f>
        <v/>
      </c>
      <c r="P326" s="11"/>
    </row>
    <row r="327" spans="4:16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-0.39418177254008485</v>
      </c>
      <c r="H327" t="s">
        <v>13</v>
      </c>
      <c r="I327">
        <f>VLOOKUP(Table4[[#This Row],[Visitor]],'NHL Model'!$A$6:$B$38,2,FALSE)</f>
        <v>-7.5459708298993802E-2</v>
      </c>
      <c r="J327">
        <f>($B$1+Table4[[#This Row],[Home Differential]])-Table4[[#This Row],[Away Differential]]</f>
        <v>-0.15614975457877267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0.60303125022951609</v>
      </c>
      <c r="M327" t="str">
        <f>IF(OR((NHL2025_26Results[[#This Row],[Winning Team]]="")),"-",IF(Table4[[#This Row],[Predicted Winner]]=NHL2025_26Results[[#This Row],[Winning Team]],"YES","NO"))</f>
        <v>-</v>
      </c>
      <c r="N327" t="str">
        <f>IF(Table4[[#This Row],[Adjusted Correct]]="-", "",IF(Table4[[#This Row],[Adjusted Correct]]="YES",(Table4[[#This Row],[Strength of Win]]-1)^2,(Table4[[#This Row],[Strength of Win]]-0)^2))</f>
        <v/>
      </c>
      <c r="P327" s="11"/>
    </row>
    <row r="328" spans="4:16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-0.11309445867623392</v>
      </c>
      <c r="H328" t="s">
        <v>17</v>
      </c>
      <c r="I328">
        <f>VLOOKUP(Table4[[#This Row],[Visitor]],'NHL Model'!$A$6:$B$38,2,FALSE)</f>
        <v>-0.61980804137564283</v>
      </c>
      <c r="J328">
        <f>($B$1+Table4[[#This Row],[Home Differential]])-Table4[[#This Row],[Away Differential]]</f>
        <v>0.66928589236172731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0.63273535913945589</v>
      </c>
      <c r="M328" t="str">
        <f>IF(OR((NHL2025_26Results[[#This Row],[Winning Team]]="")),"-",IF(Table4[[#This Row],[Predicted Winner]]=NHL2025_26Results[[#This Row],[Winning Team]],"YES","NO"))</f>
        <v>-</v>
      </c>
      <c r="N328" t="str">
        <f>IF(Table4[[#This Row],[Adjusted Correct]]="-", "",IF(Table4[[#This Row],[Adjusted Correct]]="YES",(Table4[[#This Row],[Strength of Win]]-1)^2,(Table4[[#This Row],[Strength of Win]]-0)^2))</f>
        <v/>
      </c>
      <c r="P328" s="11"/>
    </row>
    <row r="329" spans="4:16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-0.635565543477981</v>
      </c>
      <c r="H329" t="s">
        <v>28</v>
      </c>
      <c r="I329">
        <f>VLOOKUP(Table4[[#This Row],[Visitor]],'NHL Model'!$A$6:$B$38,2,FALSE)</f>
        <v>-0.40822279081308277</v>
      </c>
      <c r="J329">
        <f>($B$1+Table4[[#This Row],[Home Differential]])-Table4[[#This Row],[Away Differential]]</f>
        <v>-6.4770443002579836E-2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0.48974373682414035</v>
      </c>
      <c r="M329" t="str">
        <f>IF(OR((NHL2025_26Results[[#This Row],[Winning Team]]="")),"-",IF(Table4[[#This Row],[Predicted Winner]]=NHL2025_26Results[[#This Row],[Winning Team]],"YES","NO"))</f>
        <v>-</v>
      </c>
      <c r="N329" t="str">
        <f>IF(Table4[[#This Row],[Adjusted Correct]]="-", "",IF(Table4[[#This Row],[Adjusted Correct]]="YES",(Table4[[#This Row],[Strength of Win]]-1)^2,(Table4[[#This Row],[Strength of Win]]-0)^2))</f>
        <v/>
      </c>
      <c r="P329" s="11"/>
    </row>
    <row r="330" spans="4:16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-0.12212311954851815</v>
      </c>
      <c r="H330" t="s">
        <v>20</v>
      </c>
      <c r="I330">
        <f>VLOOKUP(Table4[[#This Row],[Visitor]],'NHL Model'!$A$6:$B$38,2,FALSE)</f>
        <v>-6.3745791019188943E-4</v>
      </c>
      <c r="J330">
        <f>($B$1+Table4[[#This Row],[Home Differential]])-Table4[[#This Row],[Away Differential]]</f>
        <v>4.1086648023992131E-2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0.59392820517975864</v>
      </c>
      <c r="M330" t="str">
        <f>IF(OR((NHL2025_26Results[[#This Row],[Winning Team]]="")),"-",IF(Table4[[#This Row],[Predicted Winner]]=NHL2025_26Results[[#This Row],[Winning Team]],"YES","NO"))</f>
        <v>-</v>
      </c>
      <c r="N330" t="str">
        <f>IF(Table4[[#This Row],[Adjusted Correct]]="-", "",IF(Table4[[#This Row],[Adjusted Correct]]="YES",(Table4[[#This Row],[Strength of Win]]-1)^2,(Table4[[#This Row],[Strength of Win]]-0)^2))</f>
        <v/>
      </c>
      <c r="P330" s="11"/>
    </row>
    <row r="331" spans="4:16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-0.6902088310934803</v>
      </c>
      <c r="H331" t="s">
        <v>39</v>
      </c>
      <c r="I331">
        <f>VLOOKUP(Table4[[#This Row],[Visitor]],'NHL Model'!$A$6:$B$38,2,FALSE)</f>
        <v>0.19809534061227302</v>
      </c>
      <c r="J331">
        <f>($B$1+Table4[[#This Row],[Home Differential]])-Table4[[#This Row],[Away Differential]]</f>
        <v>-0.72573186204343498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0.65304262513708233</v>
      </c>
      <c r="M331" t="str">
        <f>IF(OR((NHL2025_26Results[[#This Row],[Winning Team]]="")),"-",IF(Table4[[#This Row],[Predicted Winner]]=NHL2025_26Results[[#This Row],[Winning Team]],"YES","NO"))</f>
        <v>-</v>
      </c>
      <c r="N331" t="str">
        <f>IF(Table4[[#This Row],[Adjusted Correct]]="-", "",IF(Table4[[#This Row],[Adjusted Correct]]="YES",(Table4[[#This Row],[Strength of Win]]-1)^2,(Table4[[#This Row],[Strength of Win]]-0)^2))</f>
        <v/>
      </c>
      <c r="P331" s="11"/>
    </row>
    <row r="332" spans="4:16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-0.8683412362501769</v>
      </c>
      <c r="H332" t="s">
        <v>10</v>
      </c>
      <c r="I332">
        <f>VLOOKUP(Table4[[#This Row],[Visitor]],'NHL Model'!$A$6:$B$38,2,FALSE)</f>
        <v>0.30570968833820172</v>
      </c>
      <c r="J332">
        <f>($B$1+Table4[[#This Row],[Home Differential]])-Table4[[#This Row],[Away Differential]]</f>
        <v>-1.0114786149260602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0.62091835640828097</v>
      </c>
      <c r="M332" t="str">
        <f>IF(OR((NHL2025_26Results[[#This Row],[Winning Team]]="")),"-",IF(Table4[[#This Row],[Predicted Winner]]=NHL2025_26Results[[#This Row],[Winning Team]],"YES","NO"))</f>
        <v>-</v>
      </c>
      <c r="N332" t="str">
        <f>IF(Table4[[#This Row],[Adjusted Correct]]="-", "",IF(Table4[[#This Row],[Adjusted Correct]]="YES",(Table4[[#This Row],[Strength of Win]]-1)^2,(Table4[[#This Row],[Strength of Win]]-0)^2))</f>
        <v/>
      </c>
      <c r="P332" s="11"/>
    </row>
    <row r="333" spans="4:16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-7.5459708298993802E-2</v>
      </c>
      <c r="H333" t="s">
        <v>21</v>
      </c>
      <c r="I333">
        <f>VLOOKUP(Table4[[#This Row],[Visitor]],'NHL Model'!$A$6:$B$38,2,FALSE)</f>
        <v>4.029141914856392E-2</v>
      </c>
      <c r="J333">
        <f>($B$1+Table4[[#This Row],[Home Differential]])-Table4[[#This Row],[Away Differential]]</f>
        <v>4.682118221476067E-2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0.54648748045875895</v>
      </c>
      <c r="M333" t="str">
        <f>IF(OR((NHL2025_26Results[[#This Row],[Winning Team]]="")),"-",IF(Table4[[#This Row],[Predicted Winner]]=NHL2025_26Results[[#This Row],[Winning Team]],"YES","NO"))</f>
        <v>-</v>
      </c>
      <c r="N333" t="str">
        <f>IF(Table4[[#This Row],[Adjusted Correct]]="-", "",IF(Table4[[#This Row],[Adjusted Correct]]="YES",(Table4[[#This Row],[Strength of Win]]-1)^2,(Table4[[#This Row],[Strength of Win]]-0)^2))</f>
        <v/>
      </c>
      <c r="P333" s="11"/>
    </row>
    <row r="334" spans="4:16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0.26289091192875702</v>
      </c>
      <c r="H334" t="s">
        <v>34</v>
      </c>
      <c r="I334">
        <f>VLOOKUP(Table4[[#This Row],[Visitor]],'NHL Model'!$A$6:$B$38,2,FALSE)</f>
        <v>-0.53650300840565446</v>
      </c>
      <c r="J334">
        <f>($B$1+Table4[[#This Row],[Home Differential]])-Table4[[#This Row],[Away Differential]]</f>
        <v>0.96196622999672987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0.70932562208681404</v>
      </c>
      <c r="M334" t="str">
        <f>IF(OR((NHL2025_26Results[[#This Row],[Winning Team]]="")),"-",IF(Table4[[#This Row],[Predicted Winner]]=NHL2025_26Results[[#This Row],[Winning Team]],"YES","NO"))</f>
        <v>-</v>
      </c>
      <c r="N334" t="str">
        <f>IF(Table4[[#This Row],[Adjusted Correct]]="-", "",IF(Table4[[#This Row],[Adjusted Correct]]="YES",(Table4[[#This Row],[Strength of Win]]-1)^2,(Table4[[#This Row],[Strength of Win]]-0)^2))</f>
        <v/>
      </c>
      <c r="P334" s="11"/>
    </row>
    <row r="335" spans="4:16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0.105105258369765</v>
      </c>
      <c r="H335" t="s">
        <v>25</v>
      </c>
      <c r="I335">
        <f>VLOOKUP(Table4[[#This Row],[Visitor]],'NHL Model'!$A$6:$B$38,2,FALSE)</f>
        <v>0.67193921242367816</v>
      </c>
      <c r="J335">
        <f>($B$1+Table4[[#This Row],[Home Differential]])-Table4[[#This Row],[Away Differential]]</f>
        <v>-0.40426164439159473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0.57214298564750743</v>
      </c>
      <c r="M335" t="str">
        <f>IF(OR((NHL2025_26Results[[#This Row],[Winning Team]]="")),"-",IF(Table4[[#This Row],[Predicted Winner]]=NHL2025_26Results[[#This Row],[Winning Team]],"YES","NO"))</f>
        <v>-</v>
      </c>
      <c r="N335" t="str">
        <f>IF(Table4[[#This Row],[Adjusted Correct]]="-", "",IF(Table4[[#This Row],[Adjusted Correct]]="YES",(Table4[[#This Row],[Strength of Win]]-1)^2,(Table4[[#This Row],[Strength of Win]]-0)^2))</f>
        <v/>
      </c>
      <c r="P335" s="11"/>
    </row>
    <row r="336" spans="4:16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0.51775546328552802</v>
      </c>
      <c r="H336" t="s">
        <v>20</v>
      </c>
      <c r="I336">
        <f>VLOOKUP(Table4[[#This Row],[Visitor]],'NHL Model'!$A$6:$B$38,2,FALSE)</f>
        <v>-6.3745791019188943E-4</v>
      </c>
      <c r="J336">
        <f>($B$1+Table4[[#This Row],[Home Differential]])-Table4[[#This Row],[Away Differential]]</f>
        <v>0.68096523085803828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0.71935363267895147</v>
      </c>
      <c r="M336" t="str">
        <f>IF(OR((NHL2025_26Results[[#This Row],[Winning Team]]="")),"-",IF(Table4[[#This Row],[Predicted Winner]]=NHL2025_26Results[[#This Row],[Winning Team]],"YES","NO"))</f>
        <v>-</v>
      </c>
      <c r="N336" t="str">
        <f>IF(Table4[[#This Row],[Adjusted Correct]]="-", "",IF(Table4[[#This Row],[Adjusted Correct]]="YES",(Table4[[#This Row],[Strength of Win]]-1)^2,(Table4[[#This Row],[Strength of Win]]-0)^2))</f>
        <v/>
      </c>
      <c r="P336" s="11"/>
    </row>
    <row r="337" spans="4:16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-1.3903684122795328</v>
      </c>
      <c r="H337" t="s">
        <v>39</v>
      </c>
      <c r="I337">
        <f>VLOOKUP(Table4[[#This Row],[Visitor]],'NHL Model'!$A$6:$B$38,2,FALSE)</f>
        <v>0.19809534061227302</v>
      </c>
      <c r="J337">
        <f>($B$1+Table4[[#This Row],[Home Differential]])-Table4[[#This Row],[Away Differential]]</f>
        <v>-1.4258914432294874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0.75005580135554539</v>
      </c>
      <c r="M337" t="str">
        <f>IF(OR((NHL2025_26Results[[#This Row],[Winning Team]]="")),"-",IF(Table4[[#This Row],[Predicted Winner]]=NHL2025_26Results[[#This Row],[Winning Team]],"YES","NO"))</f>
        <v>-</v>
      </c>
      <c r="N337" t="str">
        <f>IF(Table4[[#This Row],[Adjusted Correct]]="-", "",IF(Table4[[#This Row],[Adjusted Correct]]="YES",(Table4[[#This Row],[Strength of Win]]-1)^2,(Table4[[#This Row],[Strength of Win]]-0)^2))</f>
        <v/>
      </c>
      <c r="P337" s="11"/>
    </row>
    <row r="338" spans="4:16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-0.513643833119658</v>
      </c>
      <c r="H338" t="s">
        <v>28</v>
      </c>
      <c r="I338">
        <f>VLOOKUP(Table4[[#This Row],[Visitor]],'NHL Model'!$A$6:$B$38,2,FALSE)</f>
        <v>-0.40822279081308277</v>
      </c>
      <c r="J338">
        <f>($B$1+Table4[[#This Row],[Home Differential]])-Table4[[#This Row],[Away Differential]]</f>
        <v>5.7151267355743163E-2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0.55337334871036759</v>
      </c>
      <c r="M338" t="str">
        <f>IF(OR((NHL2025_26Results[[#This Row],[Winning Team]]="")),"-",IF(Table4[[#This Row],[Predicted Winner]]=NHL2025_26Results[[#This Row],[Winning Team]],"YES","NO"))</f>
        <v>-</v>
      </c>
      <c r="N338" t="str">
        <f>IF(Table4[[#This Row],[Adjusted Correct]]="-", "",IF(Table4[[#This Row],[Adjusted Correct]]="YES",(Table4[[#This Row],[Strength of Win]]-1)^2,(Table4[[#This Row],[Strength of Win]]-0)^2))</f>
        <v/>
      </c>
      <c r="P338" s="11"/>
    </row>
    <row r="339" spans="4:16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-0.28105923893144158</v>
      </c>
      <c r="H339" t="s">
        <v>17</v>
      </c>
      <c r="I339">
        <f>VLOOKUP(Table4[[#This Row],[Visitor]],'NHL Model'!$A$6:$B$38,2,FALSE)</f>
        <v>-0.61980804137564283</v>
      </c>
      <c r="J339">
        <f>($B$1+Table4[[#This Row],[Home Differential]])-Table4[[#This Row],[Away Differential]]</f>
        <v>0.50132111210651964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0.66117835990460239</v>
      </c>
      <c r="M339" t="str">
        <f>IF(OR((NHL2025_26Results[[#This Row],[Winning Team]]="")),"-",IF(Table4[[#This Row],[Predicted Winner]]=NHL2025_26Results[[#This Row],[Winning Team]],"YES","NO"))</f>
        <v>-</v>
      </c>
      <c r="N339" t="str">
        <f>IF(Table4[[#This Row],[Adjusted Correct]]="-", "",IF(Table4[[#This Row],[Adjusted Correct]]="YES",(Table4[[#This Row],[Strength of Win]]-1)^2,(Table4[[#This Row],[Strength of Win]]-0)^2))</f>
        <v/>
      </c>
      <c r="P339" s="11"/>
    </row>
    <row r="340" spans="4:16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-0.52437726201848234</v>
      </c>
      <c r="H340" t="s">
        <v>19</v>
      </c>
      <c r="I340">
        <f>VLOOKUP(Table4[[#This Row],[Visitor]],'NHL Model'!$A$6:$B$38,2,FALSE)</f>
        <v>-0.635565543477981</v>
      </c>
      <c r="J340">
        <f>($B$1+Table4[[#This Row],[Home Differential]])-Table4[[#This Row],[Away Differential]]</f>
        <v>0.27376059112181705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0.57793190178613607</v>
      </c>
      <c r="M340" t="str">
        <f>IF(OR((NHL2025_26Results[[#This Row],[Winning Team]]="")),"-",IF(Table4[[#This Row],[Predicted Winner]]=NHL2025_26Results[[#This Row],[Winning Team]],"YES","NO"))</f>
        <v>-</v>
      </c>
      <c r="N340" t="str">
        <f>IF(Table4[[#This Row],[Adjusted Correct]]="-", "",IF(Table4[[#This Row],[Adjusted Correct]]="YES",(Table4[[#This Row],[Strength of Win]]-1)^2,(Table4[[#This Row],[Strength of Win]]-0)^2))</f>
        <v/>
      </c>
      <c r="P340" s="11"/>
    </row>
    <row r="341" spans="4:16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-1.3516250707060606</v>
      </c>
      <c r="H341" t="s">
        <v>12</v>
      </c>
      <c r="I341">
        <f>VLOOKUP(Table4[[#This Row],[Visitor]],'NHL Model'!$A$6:$B$38,2,FALSE)</f>
        <v>1.5475013591489768</v>
      </c>
      <c r="J341">
        <f>($B$1+Table4[[#This Row],[Home Differential]])-Table4[[#This Row],[Away Differential]]</f>
        <v>-2.7365541201927188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0.90548907257565658</v>
      </c>
      <c r="M341" t="str">
        <f>IF(OR((NHL2025_26Results[[#This Row],[Winning Team]]="")),"-",IF(Table4[[#This Row],[Predicted Winner]]=NHL2025_26Results[[#This Row],[Winning Team]],"YES","NO"))</f>
        <v>-</v>
      </c>
      <c r="N341" t="str">
        <f>IF(Table4[[#This Row],[Adjusted Correct]]="-", "",IF(Table4[[#This Row],[Adjusted Correct]]="YES",(Table4[[#This Row],[Strength of Win]]-1)^2,(Table4[[#This Row],[Strength of Win]]-0)^2))</f>
        <v/>
      </c>
      <c r="P341" s="11"/>
    </row>
    <row r="342" spans="4:16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-6.4729560818359025E-2</v>
      </c>
      <c r="H342" t="s">
        <v>35</v>
      </c>
      <c r="I342">
        <f>VLOOKUP(Table4[[#This Row],[Visitor]],'NHL Model'!$A$6:$B$38,2,FALSE)</f>
        <v>-1.6211574240381006</v>
      </c>
      <c r="J342">
        <f>($B$1+Table4[[#This Row],[Home Differential]])-Table4[[#This Row],[Away Differential]]</f>
        <v>1.7190001728820599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0.77818236752381376</v>
      </c>
      <c r="M342" t="str">
        <f>IF(OR((NHL2025_26Results[[#This Row],[Winning Team]]="")),"-",IF(Table4[[#This Row],[Predicted Winner]]=NHL2025_26Results[[#This Row],[Winning Team]],"YES","NO"))</f>
        <v>-</v>
      </c>
      <c r="N342" t="str">
        <f>IF(Table4[[#This Row],[Adjusted Correct]]="-", "",IF(Table4[[#This Row],[Adjusted Correct]]="YES",(Table4[[#This Row],[Strength of Win]]-1)^2,(Table4[[#This Row],[Strength of Win]]-0)^2))</f>
        <v/>
      </c>
      <c r="P342" s="11"/>
    </row>
    <row r="343" spans="4:16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-0.51358590497437617</v>
      </c>
      <c r="H343" t="s">
        <v>24</v>
      </c>
      <c r="I343">
        <f>VLOOKUP(Table4[[#This Row],[Visitor]],'NHL Model'!$A$6:$B$38,2,FALSE)</f>
        <v>0.559441163373953</v>
      </c>
      <c r="J343">
        <f>($B$1+Table4[[#This Row],[Home Differential]])-Table4[[#This Row],[Away Differential]]</f>
        <v>-0.91045475868601078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0.64996091888680319</v>
      </c>
      <c r="M343" t="str">
        <f>IF(OR((NHL2025_26Results[[#This Row],[Winning Team]]="")),"-",IF(Table4[[#This Row],[Predicted Winner]]=NHL2025_26Results[[#This Row],[Winning Team]],"YES","NO"))</f>
        <v>-</v>
      </c>
      <c r="N343" t="str">
        <f>IF(Table4[[#This Row],[Adjusted Correct]]="-", "",IF(Table4[[#This Row],[Adjusted Correct]]="YES",(Table4[[#This Row],[Strength of Win]]-1)^2,(Table4[[#This Row],[Strength of Win]]-0)^2))</f>
        <v/>
      </c>
      <c r="P343" s="11"/>
    </row>
    <row r="344" spans="4:16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0.26289091192875702</v>
      </c>
      <c r="H344" t="s">
        <v>32</v>
      </c>
      <c r="I344">
        <f>VLOOKUP(Table4[[#This Row],[Visitor]],'NHL Model'!$A$6:$B$38,2,FALSE)</f>
        <v>-0.361361309178443</v>
      </c>
      <c r="J344">
        <f>($B$1+Table4[[#This Row],[Home Differential]])-Table4[[#This Row],[Away Differential]]</f>
        <v>0.78682453076951842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0.68505822221556167</v>
      </c>
      <c r="M344" t="str">
        <f>IF(OR((NHL2025_26Results[[#This Row],[Winning Team]]="")),"-",IF(Table4[[#This Row],[Predicted Winner]]=NHL2025_26Results[[#This Row],[Winning Team]],"YES","NO"))</f>
        <v>-</v>
      </c>
      <c r="N344" t="str">
        <f>IF(Table4[[#This Row],[Adjusted Correct]]="-", "",IF(Table4[[#This Row],[Adjusted Correct]]="YES",(Table4[[#This Row],[Strength of Win]]-1)^2,(Table4[[#This Row],[Strength of Win]]-0)^2))</f>
        <v/>
      </c>
      <c r="P344" s="11"/>
    </row>
    <row r="345" spans="4:16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-0.39418177254008485</v>
      </c>
      <c r="H345" t="s">
        <v>36</v>
      </c>
      <c r="I345">
        <f>VLOOKUP(Table4[[#This Row],[Visitor]],'NHL Model'!$A$6:$B$38,2,FALSE)</f>
        <v>-0.40651947573390851</v>
      </c>
      <c r="J345">
        <f>($B$1+Table4[[#This Row],[Home Differential]])-Table4[[#This Row],[Away Differential]]</f>
        <v>0.17491001285614205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0.56423529771718939</v>
      </c>
      <c r="M345" t="str">
        <f>IF(OR((NHL2025_26Results[[#This Row],[Winning Team]]="")),"-",IF(Table4[[#This Row],[Predicted Winner]]=NHL2025_26Results[[#This Row],[Winning Team]],"YES","NO"))</f>
        <v>-</v>
      </c>
      <c r="N345" t="str">
        <f>IF(Table4[[#This Row],[Adjusted Correct]]="-", "",IF(Table4[[#This Row],[Adjusted Correct]]="YES",(Table4[[#This Row],[Strength of Win]]-1)^2,(Table4[[#This Row],[Strength of Win]]-0)^2))</f>
        <v/>
      </c>
      <c r="P345" s="11"/>
    </row>
    <row r="346" spans="4:16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-0.12212311954851815</v>
      </c>
      <c r="H346" t="s">
        <v>15</v>
      </c>
      <c r="I346">
        <f>VLOOKUP(Table4[[#This Row],[Visitor]],'NHL Model'!$A$6:$B$38,2,FALSE)</f>
        <v>-0.30719665303039001</v>
      </c>
      <c r="J346">
        <f>($B$1+Table4[[#This Row],[Home Differential]])-Table4[[#This Row],[Away Differential]]</f>
        <v>0.34764584314419023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0.51427103851751155</v>
      </c>
      <c r="M346" t="str">
        <f>IF(OR((NHL2025_26Results[[#This Row],[Winning Team]]="")),"-",IF(Table4[[#This Row],[Predicted Winner]]=NHL2025_26Results[[#This Row],[Winning Team]],"YES","NO"))</f>
        <v>-</v>
      </c>
      <c r="N346" t="str">
        <f>IF(Table4[[#This Row],[Adjusted Correct]]="-", "",IF(Table4[[#This Row],[Adjusted Correct]]="YES",(Table4[[#This Row],[Strength of Win]]-1)^2,(Table4[[#This Row],[Strength of Win]]-0)^2))</f>
        <v/>
      </c>
      <c r="P346" s="11"/>
    </row>
    <row r="347" spans="4:16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-6.1308839486784707E-2</v>
      </c>
      <c r="H347" t="s">
        <v>37</v>
      </c>
      <c r="I347">
        <f>VLOOKUP(Table4[[#This Row],[Visitor]],'NHL Model'!$A$6:$B$38,2,FALSE)</f>
        <v>-0.11309445867623392</v>
      </c>
      <c r="J347">
        <f>($B$1+Table4[[#This Row],[Home Differential]])-Table4[[#This Row],[Away Differential]]</f>
        <v>0.21435792885176763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0.52260175677791987</v>
      </c>
      <c r="M347" t="str">
        <f>IF(OR((NHL2025_26Results[[#This Row],[Winning Team]]="")),"-",IF(Table4[[#This Row],[Predicted Winner]]=NHL2025_26Results[[#This Row],[Winning Team]],"YES","NO"))</f>
        <v>-</v>
      </c>
      <c r="N347" t="str">
        <f>IF(Table4[[#This Row],[Adjusted Correct]]="-", "",IF(Table4[[#This Row],[Adjusted Correct]]="YES",(Table4[[#This Row],[Strength of Win]]-1)^2,(Table4[[#This Row],[Strength of Win]]-0)^2))</f>
        <v/>
      </c>
      <c r="P347" s="11"/>
    </row>
    <row r="348" spans="4:16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-0.8683412362501769</v>
      </c>
      <c r="H348" t="s">
        <v>25</v>
      </c>
      <c r="I348">
        <f>VLOOKUP(Table4[[#This Row],[Visitor]],'NHL Model'!$A$6:$B$38,2,FALSE)</f>
        <v>0.67193921242367816</v>
      </c>
      <c r="J348">
        <f>($B$1+Table4[[#This Row],[Home Differential]])-Table4[[#This Row],[Away Differential]]</f>
        <v>-1.3777081390115367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0.74337958709169782</v>
      </c>
      <c r="M348" t="str">
        <f>IF(OR((NHL2025_26Results[[#This Row],[Winning Team]]="")),"-",IF(Table4[[#This Row],[Predicted Winner]]=NHL2025_26Results[[#This Row],[Winning Team]],"YES","NO"))</f>
        <v>-</v>
      </c>
      <c r="N348" t="str">
        <f>IF(Table4[[#This Row],[Adjusted Correct]]="-", "",IF(Table4[[#This Row],[Adjusted Correct]]="YES",(Table4[[#This Row],[Strength of Win]]-1)^2,(Table4[[#This Row],[Strength of Win]]-0)^2))</f>
        <v/>
      </c>
      <c r="P348" s="11"/>
    </row>
    <row r="349" spans="4:16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0.30570968833820172</v>
      </c>
      <c r="H349" t="s">
        <v>12</v>
      </c>
      <c r="I349">
        <f>VLOOKUP(Table4[[#This Row],[Visitor]],'NHL Model'!$A$6:$B$38,2,FALSE)</f>
        <v>1.5475013591489768</v>
      </c>
      <c r="J349">
        <f>($B$1+Table4[[#This Row],[Home Differential]])-Table4[[#This Row],[Away Differential]]</f>
        <v>-1.0792193611484566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0.67585098241372199</v>
      </c>
      <c r="M349" t="str">
        <f>IF(OR((NHL2025_26Results[[#This Row],[Winning Team]]="")),"-",IF(Table4[[#This Row],[Predicted Winner]]=NHL2025_26Results[[#This Row],[Winning Team]],"YES","NO"))</f>
        <v>-</v>
      </c>
      <c r="N349" t="str">
        <f>IF(Table4[[#This Row],[Adjusted Correct]]="-", "",IF(Table4[[#This Row],[Adjusted Correct]]="YES",(Table4[[#This Row],[Strength of Win]]-1)^2,(Table4[[#This Row],[Strength of Win]]-0)^2))</f>
        <v/>
      </c>
      <c r="P349" s="11"/>
    </row>
    <row r="350" spans="4:16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-6.4729560818359025E-2</v>
      </c>
      <c r="H350" t="s">
        <v>32</v>
      </c>
      <c r="I350">
        <f>VLOOKUP(Table4[[#This Row],[Visitor]],'NHL Model'!$A$6:$B$38,2,FALSE)</f>
        <v>-0.361361309178443</v>
      </c>
      <c r="J350">
        <f>($B$1+Table4[[#This Row],[Home Differential]])-Table4[[#This Row],[Away Differential]]</f>
        <v>0.45920405802240238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0.60362670082396941</v>
      </c>
      <c r="M350" t="str">
        <f>IF(OR((NHL2025_26Results[[#This Row],[Winning Team]]="")),"-",IF(Table4[[#This Row],[Predicted Winner]]=NHL2025_26Results[[#This Row],[Winning Team]],"YES","NO"))</f>
        <v>-</v>
      </c>
      <c r="N350" t="str">
        <f>IF(Table4[[#This Row],[Adjusted Correct]]="-", "",IF(Table4[[#This Row],[Adjusted Correct]]="YES",(Table4[[#This Row],[Strength of Win]]-1)^2,(Table4[[#This Row],[Strength of Win]]-0)^2))</f>
        <v/>
      </c>
      <c r="P350" s="11"/>
    </row>
    <row r="351" spans="4:16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-0.39418177254008485</v>
      </c>
      <c r="H351" t="s">
        <v>21</v>
      </c>
      <c r="I351">
        <f>VLOOKUP(Table4[[#This Row],[Visitor]],'NHL Model'!$A$6:$B$38,2,FALSE)</f>
        <v>4.029141914856392E-2</v>
      </c>
      <c r="J351">
        <f>($B$1+Table4[[#This Row],[Home Differential]])-Table4[[#This Row],[Away Differential]]</f>
        <v>-0.27190088202633039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0.49767422297827069</v>
      </c>
      <c r="M351" t="str">
        <f>IF(OR((NHL2025_26Results[[#This Row],[Winning Team]]="")),"-",IF(Table4[[#This Row],[Predicted Winner]]=NHL2025_26Results[[#This Row],[Winning Team]],"YES","NO"))</f>
        <v>-</v>
      </c>
      <c r="N351" t="str">
        <f>IF(Table4[[#This Row],[Adjusted Correct]]="-", "",IF(Table4[[#This Row],[Adjusted Correct]]="YES",(Table4[[#This Row],[Strength of Win]]-1)^2,(Table4[[#This Row],[Strength of Win]]-0)^2))</f>
        <v/>
      </c>
      <c r="P351" s="11"/>
    </row>
    <row r="352" spans="4:16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-0.6902088310934803</v>
      </c>
      <c r="H352" t="s">
        <v>16</v>
      </c>
      <c r="I352">
        <f>VLOOKUP(Table4[[#This Row],[Visitor]],'NHL Model'!$A$6:$B$38,2,FALSE)</f>
        <v>-1.3903684122795328</v>
      </c>
      <c r="J352">
        <f>($B$1+Table4[[#This Row],[Home Differential]])-Table4[[#This Row],[Away Differential]]</f>
        <v>0.86273189084837087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0.65953897826318597</v>
      </c>
      <c r="M352" t="str">
        <f>IF(OR((NHL2025_26Results[[#This Row],[Winning Team]]="")),"-",IF(Table4[[#This Row],[Predicted Winner]]=NHL2025_26Results[[#This Row],[Winning Team]],"YES","NO"))</f>
        <v>-</v>
      </c>
      <c r="N352" t="str">
        <f>IF(Table4[[#This Row],[Adjusted Correct]]="-", "",IF(Table4[[#This Row],[Adjusted Correct]]="YES",(Table4[[#This Row],[Strength of Win]]-1)^2,(Table4[[#This Row],[Strength of Win]]-0)^2))</f>
        <v/>
      </c>
      <c r="P352" s="11"/>
    </row>
    <row r="353" spans="4:16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0.105105258369765</v>
      </c>
      <c r="H353" t="s">
        <v>34</v>
      </c>
      <c r="I353">
        <f>VLOOKUP(Table4[[#This Row],[Visitor]],'NHL Model'!$A$6:$B$38,2,FALSE)</f>
        <v>-0.53650300840565446</v>
      </c>
      <c r="J353">
        <f>($B$1+Table4[[#This Row],[Home Differential]])-Table4[[#This Row],[Away Differential]]</f>
        <v>0.80418057643773788</v>
      </c>
      <c r="K353" t="str">
        <f>IF(Table4[[#This Row],[HomeIce Differential]]&gt;0,Table4[[#This Row],[Home]],Table4[[#This Row],[Visitor]])</f>
        <v>Winnipeg Jets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0.68746305271722308</v>
      </c>
      <c r="M353" t="str">
        <f>IF(OR((NHL2025_26Results[[#This Row],[Winning Team]]="")),"-",IF(Table4[[#This Row],[Predicted Winner]]=NHL2025_26Results[[#This Row],[Winning Team]],"YES","NO"))</f>
        <v>-</v>
      </c>
      <c r="N353" t="str">
        <f>IF(Table4[[#This Row],[Adjusted Correct]]="-", "",IF(Table4[[#This Row],[Adjusted Correct]]="YES",(Table4[[#This Row],[Strength of Win]]-1)^2,(Table4[[#This Row],[Strength of Win]]-0)^2))</f>
        <v/>
      </c>
      <c r="P353" s="11"/>
    </row>
    <row r="354" spans="4:16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-7.5459708298993802E-2</v>
      </c>
      <c r="H354" t="s">
        <v>36</v>
      </c>
      <c r="I354">
        <f>VLOOKUP(Table4[[#This Row],[Visitor]],'NHL Model'!$A$6:$B$38,2,FALSE)</f>
        <v>-0.40651947573390851</v>
      </c>
      <c r="J354">
        <f>($B$1+Table4[[#This Row],[Home Differential]])-Table4[[#This Row],[Away Differential]]</f>
        <v>0.49363207709723311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0.60839700115421891</v>
      </c>
      <c r="M354" t="str">
        <f>IF(OR((NHL2025_26Results[[#This Row],[Winning Team]]="")),"-",IF(Table4[[#This Row],[Predicted Winner]]=NHL2025_26Results[[#This Row],[Winning Team]],"YES","NO"))</f>
        <v>-</v>
      </c>
      <c r="N354" t="str">
        <f>IF(Table4[[#This Row],[Adjusted Correct]]="-", "",IF(Table4[[#This Row],[Adjusted Correct]]="YES",(Table4[[#This Row],[Strength of Win]]-1)^2,(Table4[[#This Row],[Strength of Win]]-0)^2))</f>
        <v/>
      </c>
      <c r="P354" s="11"/>
    </row>
    <row r="355" spans="4:16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0.559441163373953</v>
      </c>
      <c r="H355" t="s">
        <v>26</v>
      </c>
      <c r="I355">
        <f>VLOOKUP(Table4[[#This Row],[Visitor]],'NHL Model'!$A$6:$B$38,2,FALSE)</f>
        <v>-0.513643833119658</v>
      </c>
      <c r="J355">
        <f>($B$1+Table4[[#This Row],[Home Differential]])-Table4[[#This Row],[Away Differential]]</f>
        <v>1.2356573061559293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0.78286151105004165</v>
      </c>
      <c r="M355" t="str">
        <f>IF(OR((NHL2025_26Results[[#This Row],[Winning Team]]="")),"-",IF(Table4[[#This Row],[Predicted Winner]]=NHL2025_26Results[[#This Row],[Winning Team]],"YES","NO"))</f>
        <v>-</v>
      </c>
      <c r="N355" t="str">
        <f>IF(Table4[[#This Row],[Adjusted Correct]]="-", "",IF(Table4[[#This Row],[Adjusted Correct]]="YES",(Table4[[#This Row],[Strength of Win]]-1)^2,(Table4[[#This Row],[Strength of Win]]-0)^2))</f>
        <v/>
      </c>
      <c r="P355" s="11"/>
    </row>
    <row r="356" spans="4:16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-1.3516250707060606</v>
      </c>
      <c r="H356" t="s">
        <v>11</v>
      </c>
      <c r="I356">
        <f>VLOOKUP(Table4[[#This Row],[Visitor]],'NHL Model'!$A$6:$B$38,2,FALSE)</f>
        <v>-0.28105923893144158</v>
      </c>
      <c r="J356">
        <f>($B$1+Table4[[#This Row],[Home Differential]])-Table4[[#This Row],[Away Differential]]</f>
        <v>-0.90799352211230067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0.58581036942561848</v>
      </c>
      <c r="M356" t="str">
        <f>IF(OR((NHL2025_26Results[[#This Row],[Winning Team]]="")),"-",IF(Table4[[#This Row],[Predicted Winner]]=NHL2025_26Results[[#This Row],[Winning Team]],"YES","NO"))</f>
        <v>-</v>
      </c>
      <c r="N356" t="str">
        <f>IF(Table4[[#This Row],[Adjusted Correct]]="-", "",IF(Table4[[#This Row],[Adjusted Correct]]="YES",(Table4[[#This Row],[Strength of Win]]-1)^2,(Table4[[#This Row],[Strength of Win]]-0)^2))</f>
        <v/>
      </c>
      <c r="P356" s="11"/>
    </row>
    <row r="357" spans="4:16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-0.30719665303039001</v>
      </c>
      <c r="H357" t="s">
        <v>35</v>
      </c>
      <c r="I357">
        <f>VLOOKUP(Table4[[#This Row],[Visitor]],'NHL Model'!$A$6:$B$38,2,FALSE)</f>
        <v>-1.6211574240381006</v>
      </c>
      <c r="J357">
        <f>($B$1+Table4[[#This Row],[Home Differential]])-Table4[[#This Row],[Away Differential]]</f>
        <v>1.476533080670029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0.74458645114129762</v>
      </c>
      <c r="M357" t="str">
        <f>IF(OR((NHL2025_26Results[[#This Row],[Winning Team]]="")),"-",IF(Table4[[#This Row],[Predicted Winner]]=NHL2025_26Results[[#This Row],[Winning Team]],"YES","NO"))</f>
        <v>-</v>
      </c>
      <c r="N357" t="str">
        <f>IF(Table4[[#This Row],[Adjusted Correct]]="-", "",IF(Table4[[#This Row],[Adjusted Correct]]="YES",(Table4[[#This Row],[Strength of Win]]-1)^2,(Table4[[#This Row],[Strength of Win]]-0)^2))</f>
        <v/>
      </c>
      <c r="P357" s="11"/>
    </row>
    <row r="358" spans="4:16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-0.11309445867623392</v>
      </c>
      <c r="H358" t="s">
        <v>27</v>
      </c>
      <c r="I358">
        <f>VLOOKUP(Table4[[#This Row],[Visitor]],'NHL Model'!$A$6:$B$38,2,FALSE)</f>
        <v>-0.51358590497437617</v>
      </c>
      <c r="J358">
        <f>($B$1+Table4[[#This Row],[Home Differential]])-Table4[[#This Row],[Away Differential]]</f>
        <v>0.56306375596046065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0.61801736182298495</v>
      </c>
      <c r="M358" t="str">
        <f>IF(OR((NHL2025_26Results[[#This Row],[Winning Team]]="")),"-",IF(Table4[[#This Row],[Predicted Winner]]=NHL2025_26Results[[#This Row],[Winning Team]],"YES","NO"))</f>
        <v>-</v>
      </c>
      <c r="N358" t="str">
        <f>IF(Table4[[#This Row],[Adjusted Correct]]="-", "",IF(Table4[[#This Row],[Adjusted Correct]]="YES",(Table4[[#This Row],[Strength of Win]]-1)^2,(Table4[[#This Row],[Strength of Win]]-0)^2))</f>
        <v/>
      </c>
      <c r="P358" s="11"/>
    </row>
    <row r="359" spans="4:16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-0.12212311954851815</v>
      </c>
      <c r="H359" t="s">
        <v>20</v>
      </c>
      <c r="I359">
        <f>VLOOKUP(Table4[[#This Row],[Visitor]],'NHL Model'!$A$6:$B$38,2,FALSE)</f>
        <v>-6.3745791019188943E-4</v>
      </c>
      <c r="J359">
        <f>($B$1+Table4[[#This Row],[Home Differential]])-Table4[[#This Row],[Away Differential]]</f>
        <v>4.1086648023992131E-2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0.59392820517975864</v>
      </c>
      <c r="M359" t="str">
        <f>IF(OR((NHL2025_26Results[[#This Row],[Winning Team]]="")),"-",IF(Table4[[#This Row],[Predicted Winner]]=NHL2025_26Results[[#This Row],[Winning Team]],"YES","NO"))</f>
        <v>-</v>
      </c>
      <c r="N359" t="str">
        <f>IF(Table4[[#This Row],[Adjusted Correct]]="-", "",IF(Table4[[#This Row],[Adjusted Correct]]="YES",(Table4[[#This Row],[Strength of Win]]-1)^2,(Table4[[#This Row],[Strength of Win]]-0)^2))</f>
        <v/>
      </c>
      <c r="P359" s="11"/>
    </row>
    <row r="360" spans="4:16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-6.1308839486784707E-2</v>
      </c>
      <c r="H360" t="s">
        <v>28</v>
      </c>
      <c r="I360">
        <f>VLOOKUP(Table4[[#This Row],[Visitor]],'NHL Model'!$A$6:$B$38,2,FALSE)</f>
        <v>-0.40822279081308277</v>
      </c>
      <c r="J360">
        <f>($B$1+Table4[[#This Row],[Home Differential]])-Table4[[#This Row],[Away Differential]]</f>
        <v>0.50948626098861649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0.58982450492520433</v>
      </c>
      <c r="M360" t="str">
        <f>IF(OR((NHL2025_26Results[[#This Row],[Winning Team]]="")),"-",IF(Table4[[#This Row],[Predicted Winner]]=NHL2025_26Results[[#This Row],[Winning Team]],"YES","NO"))</f>
        <v>-</v>
      </c>
      <c r="N360" t="str">
        <f>IF(Table4[[#This Row],[Adjusted Correct]]="-", "",IF(Table4[[#This Row],[Adjusted Correct]]="YES",(Table4[[#This Row],[Strength of Win]]-1)^2,(Table4[[#This Row],[Strength of Win]]-0)^2))</f>
        <v/>
      </c>
      <c r="P360" s="11"/>
    </row>
    <row r="361" spans="4:16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-0.61980804137564283</v>
      </c>
      <c r="H361" t="s">
        <v>39</v>
      </c>
      <c r="I361">
        <f>VLOOKUP(Table4[[#This Row],[Visitor]],'NHL Model'!$A$6:$B$38,2,FALSE)</f>
        <v>0.19809534061227302</v>
      </c>
      <c r="J361">
        <f>($B$1+Table4[[#This Row],[Home Differential]])-Table4[[#This Row],[Away Differential]]</f>
        <v>-0.6553310723255974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0.60693083017570759</v>
      </c>
      <c r="M361" t="str">
        <f>IF(OR((NHL2025_26Results[[#This Row],[Winning Team]]="")),"-",IF(Table4[[#This Row],[Predicted Winner]]=NHL2025_26Results[[#This Row],[Winning Team]],"YES","NO"))</f>
        <v>-</v>
      </c>
      <c r="N361" t="str">
        <f>IF(Table4[[#This Row],[Adjusted Correct]]="-", "",IF(Table4[[#This Row],[Adjusted Correct]]="YES",(Table4[[#This Row],[Strength of Win]]-1)^2,(Table4[[#This Row],[Strength of Win]]-0)^2))</f>
        <v/>
      </c>
      <c r="P361" s="11"/>
    </row>
    <row r="362" spans="4:16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0.51775546328552802</v>
      </c>
      <c r="H362" t="s">
        <v>38</v>
      </c>
      <c r="I362">
        <f>VLOOKUP(Table4[[#This Row],[Visitor]],'NHL Model'!$A$6:$B$38,2,FALSE)</f>
        <v>-0.6902088310934803</v>
      </c>
      <c r="J362">
        <f>($B$1+Table4[[#This Row],[Home Differential]])-Table4[[#This Row],[Away Differential]]</f>
        <v>1.3705366040413267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0.79429532533705627</v>
      </c>
      <c r="M362" t="str">
        <f>IF(OR((NHL2025_26Results[[#This Row],[Winning Team]]="")),"-",IF(Table4[[#This Row],[Predicted Winner]]=NHL2025_26Results[[#This Row],[Winning Team]],"YES","NO"))</f>
        <v>-</v>
      </c>
      <c r="N362" t="str">
        <f>IF(Table4[[#This Row],[Adjusted Correct]]="-", "",IF(Table4[[#This Row],[Adjusted Correct]]="YES",(Table4[[#This Row],[Strength of Win]]-1)^2,(Table4[[#This Row],[Strength of Win]]-0)^2))</f>
        <v/>
      </c>
      <c r="P362" s="11"/>
    </row>
    <row r="363" spans="4:16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0.67193921242367816</v>
      </c>
      <c r="H363" t="s">
        <v>15</v>
      </c>
      <c r="I363">
        <f>VLOOKUP(Table4[[#This Row],[Visitor]],'NHL Model'!$A$6:$B$38,2,FALSE)</f>
        <v>-0.30719665303039001</v>
      </c>
      <c r="J363">
        <f>($B$1+Table4[[#This Row],[Home Differential]])-Table4[[#This Row],[Away Differential]]</f>
        <v>1.1417081751163867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0.60717315136069361</v>
      </c>
      <c r="M363" t="str">
        <f>IF(OR((NHL2025_26Results[[#This Row],[Winning Team]]="")),"-",IF(Table4[[#This Row],[Predicted Winner]]=NHL2025_26Results[[#This Row],[Winning Team]],"YES","NO"))</f>
        <v>-</v>
      </c>
      <c r="N363" t="str">
        <f>IF(Table4[[#This Row],[Adjusted Correct]]="-", "",IF(Table4[[#This Row],[Adjusted Correct]]="YES",(Table4[[#This Row],[Strength of Win]]-1)^2,(Table4[[#This Row],[Strength of Win]]-0)^2))</f>
        <v/>
      </c>
      <c r="P363" s="11"/>
    </row>
    <row r="364" spans="4:16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-0.40822279081308277</v>
      </c>
      <c r="H364" t="s">
        <v>19</v>
      </c>
      <c r="I364">
        <f>VLOOKUP(Table4[[#This Row],[Visitor]],'NHL Model'!$A$6:$B$38,2,FALSE)</f>
        <v>-0.635565543477981</v>
      </c>
      <c r="J364">
        <f>($B$1+Table4[[#This Row],[Home Differential]])-Table4[[#This Row],[Away Differential]]</f>
        <v>0.38991506232721662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0.59402611014435525</v>
      </c>
      <c r="M364" t="str">
        <f>IF(OR((NHL2025_26Results[[#This Row],[Winning Team]]="")),"-",IF(Table4[[#This Row],[Predicted Winner]]=NHL2025_26Results[[#This Row],[Winning Team]],"YES","NO"))</f>
        <v>-</v>
      </c>
      <c r="N364" t="str">
        <f>IF(Table4[[#This Row],[Adjusted Correct]]="-", "",IF(Table4[[#This Row],[Adjusted Correct]]="YES",(Table4[[#This Row],[Strength of Win]]-1)^2,(Table4[[#This Row],[Strength of Win]]-0)^2))</f>
        <v/>
      </c>
      <c r="P364" s="11"/>
    </row>
    <row r="365" spans="4:16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0.30570968833820172</v>
      </c>
      <c r="H365" t="s">
        <v>34</v>
      </c>
      <c r="I365">
        <f>VLOOKUP(Table4[[#This Row],[Visitor]],'NHL Model'!$A$6:$B$38,2,FALSE)</f>
        <v>-0.53650300840565446</v>
      </c>
      <c r="J365">
        <f>($B$1+Table4[[#This Row],[Home Differential]])-Table4[[#This Row],[Away Differential]]</f>
        <v>1.0047850064061745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0.67922166818459817</v>
      </c>
      <c r="M365" t="str">
        <f>IF(OR((NHL2025_26Results[[#This Row],[Winning Team]]="")),"-",IF(Table4[[#This Row],[Predicted Winner]]=NHL2025_26Results[[#This Row],[Winning Team]],"YES","NO"))</f>
        <v>-</v>
      </c>
      <c r="N365" t="str">
        <f>IF(Table4[[#This Row],[Adjusted Correct]]="-", "",IF(Table4[[#This Row],[Adjusted Correct]]="YES",(Table4[[#This Row],[Strength of Win]]-1)^2,(Table4[[#This Row],[Strength of Win]]-0)^2))</f>
        <v/>
      </c>
      <c r="P365" s="11"/>
    </row>
    <row r="366" spans="4:16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1.5475013591489768</v>
      </c>
      <c r="H366" t="s">
        <v>33</v>
      </c>
      <c r="I366">
        <f>VLOOKUP(Table4[[#This Row],[Visitor]],'NHL Model'!$A$6:$B$38,2,FALSE)</f>
        <v>-0.39418177254008485</v>
      </c>
      <c r="J366">
        <f>($B$1+Table4[[#This Row],[Home Differential]])-Table4[[#This Row],[Away Differential]]</f>
        <v>2.1042554413513801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0.91992907061212215</v>
      </c>
      <c r="M366" t="str">
        <f>IF(OR((NHL2025_26Results[[#This Row],[Winning Team]]="")),"-",IF(Table4[[#This Row],[Predicted Winner]]=NHL2025_26Results[[#This Row],[Winning Team]],"YES","NO"))</f>
        <v>-</v>
      </c>
      <c r="N366" t="str">
        <f>IF(Table4[[#This Row],[Adjusted Correct]]="-", "",IF(Table4[[#This Row],[Adjusted Correct]]="YES",(Table4[[#This Row],[Strength of Win]]-1)^2,(Table4[[#This Row],[Strength of Win]]-0)^2))</f>
        <v/>
      </c>
      <c r="P366" s="11"/>
    </row>
    <row r="367" spans="4:16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-0.513643833119658</v>
      </c>
      <c r="H367" t="s">
        <v>29</v>
      </c>
      <c r="I367">
        <f>VLOOKUP(Table4[[#This Row],[Visitor]],'NHL Model'!$A$6:$B$38,2,FALSE)</f>
        <v>-1.3516250707060606</v>
      </c>
      <c r="J367">
        <f>($B$1+Table4[[#This Row],[Home Differential]])-Table4[[#This Row],[Away Differential]]</f>
        <v>1.000553547248721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0.70467309870564954</v>
      </c>
      <c r="M367" t="str">
        <f>IF(OR((NHL2025_26Results[[#This Row],[Winning Team]]="")),"-",IF(Table4[[#This Row],[Predicted Winner]]=NHL2025_26Results[[#This Row],[Winning Team]],"YES","NO"))</f>
        <v>-</v>
      </c>
      <c r="N367" t="str">
        <f>IF(Table4[[#This Row],[Adjusted Correct]]="-", "",IF(Table4[[#This Row],[Adjusted Correct]]="YES",(Table4[[#This Row],[Strength of Win]]-1)^2,(Table4[[#This Row],[Strength of Win]]-0)^2))</f>
        <v/>
      </c>
      <c r="P367" s="11"/>
    </row>
    <row r="368" spans="4:16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-0.28105923893144158</v>
      </c>
      <c r="H368" t="s">
        <v>27</v>
      </c>
      <c r="I368">
        <f>VLOOKUP(Table4[[#This Row],[Visitor]],'NHL Model'!$A$6:$B$38,2,FALSE)</f>
        <v>-0.51358590497437617</v>
      </c>
      <c r="J368">
        <f>($B$1+Table4[[#This Row],[Home Differential]])-Table4[[#This Row],[Away Differential]]</f>
        <v>0.39509897570525299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0.64646036258813144</v>
      </c>
      <c r="M368" t="str">
        <f>IF(OR((NHL2025_26Results[[#This Row],[Winning Team]]="")),"-",IF(Table4[[#This Row],[Predicted Winner]]=NHL2025_26Results[[#This Row],[Winning Team]],"YES","NO"))</f>
        <v>-</v>
      </c>
      <c r="N368" t="str">
        <f>IF(Table4[[#This Row],[Adjusted Correct]]="-", "",IF(Table4[[#This Row],[Adjusted Correct]]="YES",(Table4[[#This Row],[Strength of Win]]-1)^2,(Table4[[#This Row],[Strength of Win]]-0)^2))</f>
        <v/>
      </c>
      <c r="P368" s="11"/>
    </row>
    <row r="369" spans="4:16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0.559441163373953</v>
      </c>
      <c r="H369" t="s">
        <v>35</v>
      </c>
      <c r="I369">
        <f>VLOOKUP(Table4[[#This Row],[Visitor]],'NHL Model'!$A$6:$B$38,2,FALSE)</f>
        <v>-1.6211574240381006</v>
      </c>
      <c r="J369">
        <f>($B$1+Table4[[#This Row],[Home Differential]])-Table4[[#This Row],[Away Differential]]</f>
        <v>2.3431708970743719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0.98009734084203814</v>
      </c>
      <c r="M369" t="str">
        <f>IF(OR((NHL2025_26Results[[#This Row],[Winning Team]]="")),"-",IF(Table4[[#This Row],[Predicted Winner]]=NHL2025_26Results[[#This Row],[Winning Team]],"YES","NO"))</f>
        <v>-</v>
      </c>
      <c r="N369" t="str">
        <f>IF(Table4[[#This Row],[Adjusted Correct]]="-", "",IF(Table4[[#This Row],[Adjusted Correct]]="YES",(Table4[[#This Row],[Strength of Win]]-1)^2,(Table4[[#This Row],[Strength of Win]]-0)^2))</f>
        <v/>
      </c>
      <c r="P369" s="11"/>
    </row>
    <row r="370" spans="4:16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-6.4729560818359025E-2</v>
      </c>
      <c r="H370" t="s">
        <v>21</v>
      </c>
      <c r="I370">
        <f>VLOOKUP(Table4[[#This Row],[Visitor]],'NHL Model'!$A$6:$B$38,2,FALSE)</f>
        <v>4.029141914856392E-2</v>
      </c>
      <c r="J370">
        <f>($B$1+Table4[[#This Row],[Home Differential]])-Table4[[#This Row],[Away Differential]]</f>
        <v>5.7551329695395448E-2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0.5479742353591569</v>
      </c>
      <c r="M370" t="str">
        <f>IF(OR((NHL2025_26Results[[#This Row],[Winning Team]]="")),"-",IF(Table4[[#This Row],[Predicted Winner]]=NHL2025_26Results[[#This Row],[Winning Team]],"YES","NO"))</f>
        <v>-</v>
      </c>
      <c r="N370" t="str">
        <f>IF(Table4[[#This Row],[Adjusted Correct]]="-", "",IF(Table4[[#This Row],[Adjusted Correct]]="YES",(Table4[[#This Row],[Strength of Win]]-1)^2,(Table4[[#This Row],[Strength of Win]]-0)^2))</f>
        <v/>
      </c>
      <c r="P370" s="11"/>
    </row>
    <row r="371" spans="4:16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0.26289091192875702</v>
      </c>
      <c r="H371" t="s">
        <v>23</v>
      </c>
      <c r="I371">
        <f>VLOOKUP(Table4[[#This Row],[Visitor]],'NHL Model'!$A$6:$B$38,2,FALSE)</f>
        <v>-0.8683412362501769</v>
      </c>
      <c r="J371">
        <f>($B$1+Table4[[#This Row],[Home Differential]])-Table4[[#This Row],[Away Differential]]</f>
        <v>1.2938044578412522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0.75530468363071179</v>
      </c>
      <c r="M371" t="str">
        <f>IF(OR((NHL2025_26Results[[#This Row],[Winning Team]]="")),"-",IF(Table4[[#This Row],[Predicted Winner]]=NHL2025_26Results[[#This Row],[Winning Team]],"YES","NO"))</f>
        <v>-</v>
      </c>
      <c r="N371" t="str">
        <f>IF(Table4[[#This Row],[Adjusted Correct]]="-", "",IF(Table4[[#This Row],[Adjusted Correct]]="YES",(Table4[[#This Row],[Strength of Win]]-1)^2,(Table4[[#This Row],[Strength of Win]]-0)^2))</f>
        <v/>
      </c>
      <c r="P371" s="11"/>
    </row>
    <row r="372" spans="4:16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-0.361361309178443</v>
      </c>
      <c r="H372" t="s">
        <v>39</v>
      </c>
      <c r="I372">
        <f>VLOOKUP(Table4[[#This Row],[Visitor]],'NHL Model'!$A$6:$B$38,2,FALSE)</f>
        <v>0.19809534061227302</v>
      </c>
      <c r="J372">
        <f>($B$1+Table4[[#This Row],[Home Differential]])-Table4[[#This Row],[Away Differential]]</f>
        <v>-0.39688434012839763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0.5813075534398382</v>
      </c>
      <c r="M372" t="str">
        <f>IF(OR((NHL2025_26Results[[#This Row],[Winning Team]]="")),"-",IF(Table4[[#This Row],[Predicted Winner]]=NHL2025_26Results[[#This Row],[Winning Team]],"YES","NO"))</f>
        <v>-</v>
      </c>
      <c r="N372" t="str">
        <f>IF(Table4[[#This Row],[Adjusted Correct]]="-", "",IF(Table4[[#This Row],[Adjusted Correct]]="YES",(Table4[[#This Row],[Strength of Win]]-1)^2,(Table4[[#This Row],[Strength of Win]]-0)^2))</f>
        <v/>
      </c>
      <c r="P372" s="11"/>
    </row>
    <row r="373" spans="4:16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-0.11309445867623392</v>
      </c>
      <c r="H373" t="s">
        <v>16</v>
      </c>
      <c r="I373">
        <f>VLOOKUP(Table4[[#This Row],[Visitor]],'NHL Model'!$A$6:$B$38,2,FALSE)</f>
        <v>-1.3903684122795328</v>
      </c>
      <c r="J373">
        <f>($B$1+Table4[[#This Row],[Home Differential]])-Table4[[#This Row],[Away Differential]]</f>
        <v>1.4398462632656173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0.73950317473205429</v>
      </c>
      <c r="M373" t="str">
        <f>IF(OR((NHL2025_26Results[[#This Row],[Winning Team]]="")),"-",IF(Table4[[#This Row],[Predicted Winner]]=NHL2025_26Results[[#This Row],[Winning Team]],"YES","NO"))</f>
        <v>-</v>
      </c>
      <c r="N373" t="str">
        <f>IF(Table4[[#This Row],[Adjusted Correct]]="-", "",IF(Table4[[#This Row],[Adjusted Correct]]="YES",(Table4[[#This Row],[Strength of Win]]-1)^2,(Table4[[#This Row],[Strength of Win]]-0)^2))</f>
        <v/>
      </c>
      <c r="P373" s="11"/>
    </row>
    <row r="374" spans="4:16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-0.12212311954851815</v>
      </c>
      <c r="H374" t="s">
        <v>18</v>
      </c>
      <c r="I374">
        <f>VLOOKUP(Table4[[#This Row],[Visitor]],'NHL Model'!$A$6:$B$38,2,FALSE)</f>
        <v>-0.52437726201848234</v>
      </c>
      <c r="J374">
        <f>($B$1+Table4[[#This Row],[Home Differential]])-Table4[[#This Row],[Away Differential]]</f>
        <v>0.56482645213228255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0.61159493198308124</v>
      </c>
      <c r="M374" t="str">
        <f>IF(OR((NHL2025_26Results[[#This Row],[Winning Team]]="")),"-",IF(Table4[[#This Row],[Predicted Winner]]=NHL2025_26Results[[#This Row],[Winning Team]],"YES","NO"))</f>
        <v>-</v>
      </c>
      <c r="N374" t="str">
        <f>IF(Table4[[#This Row],[Adjusted Correct]]="-", "",IF(Table4[[#This Row],[Adjusted Correct]]="YES",(Table4[[#This Row],[Strength of Win]]-1)^2,(Table4[[#This Row],[Strength of Win]]-0)^2))</f>
        <v/>
      </c>
      <c r="P374" s="11"/>
    </row>
    <row r="375" spans="4:16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-6.3745791019188943E-4</v>
      </c>
      <c r="H375" t="s">
        <v>36</v>
      </c>
      <c r="I375">
        <f>VLOOKUP(Table4[[#This Row],[Visitor]],'NHL Model'!$A$6:$B$38,2,FALSE)</f>
        <v>-0.40651947573390851</v>
      </c>
      <c r="J375">
        <f>($B$1+Table4[[#This Row],[Home Differential]])-Table4[[#This Row],[Away Differential]]</f>
        <v>0.56845432748603497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0.61876427221224639</v>
      </c>
      <c r="M375" t="str">
        <f>IF(OR((NHL2025_26Results[[#This Row],[Winning Team]]="")),"-",IF(Table4[[#This Row],[Predicted Winner]]=NHL2025_26Results[[#This Row],[Winning Team]],"YES","NO"))</f>
        <v>-</v>
      </c>
      <c r="N375" t="str">
        <f>IF(Table4[[#This Row],[Adjusted Correct]]="-", "",IF(Table4[[#This Row],[Adjusted Correct]]="YES",(Table4[[#This Row],[Strength of Win]]-1)^2,(Table4[[#This Row],[Strength of Win]]-0)^2))</f>
        <v/>
      </c>
      <c r="P375" s="11"/>
    </row>
    <row r="376" spans="4:16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-6.1308839486784707E-2</v>
      </c>
      <c r="H376" t="s">
        <v>40</v>
      </c>
      <c r="I376">
        <f>VLOOKUP(Table4[[#This Row],[Visitor]],'NHL Model'!$A$6:$B$38,2,FALSE)</f>
        <v>0.105105258369765</v>
      </c>
      <c r="J376">
        <f>($B$1+Table4[[#This Row],[Home Differential]])-Table4[[#This Row],[Away Differential]]</f>
        <v>-3.8417881942313103E-3</v>
      </c>
      <c r="K376" t="str">
        <f>IF(Table4[[#This Row],[HomeIce Differential]]&gt;0,Table4[[#This Row],[Home]],Table4[[#This Row],[Visitor]])</f>
        <v>Winnipeg Jets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0.52684810251359093</v>
      </c>
      <c r="M376" t="str">
        <f>IF(OR((NHL2025_26Results[[#This Row],[Winning Team]]="")),"-",IF(Table4[[#This Row],[Predicted Winner]]=NHL2025_26Results[[#This Row],[Winning Team]],"YES","NO"))</f>
        <v>-</v>
      </c>
      <c r="N376" t="str">
        <f>IF(Table4[[#This Row],[Adjusted Correct]]="-", "",IF(Table4[[#This Row],[Adjusted Correct]]="YES",(Table4[[#This Row],[Strength of Win]]-1)^2,(Table4[[#This Row],[Strength of Win]]-0)^2))</f>
        <v/>
      </c>
      <c r="P376" s="11"/>
    </row>
    <row r="377" spans="4:16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0.51775546328552802</v>
      </c>
      <c r="H377" t="s">
        <v>13</v>
      </c>
      <c r="I377">
        <f>VLOOKUP(Table4[[#This Row],[Visitor]],'NHL Model'!$A$6:$B$38,2,FALSE)</f>
        <v>-7.5459708298993802E-2</v>
      </c>
      <c r="J377">
        <f>($B$1+Table4[[#This Row],[Home Differential]])-Table4[[#This Row],[Away Differential]]</f>
        <v>0.75578748124684025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0.63103669321066314</v>
      </c>
      <c r="M377" t="str">
        <f>IF(OR((NHL2025_26Results[[#This Row],[Winning Team]]="")),"-",IF(Table4[[#This Row],[Predicted Winner]]=NHL2025_26Results[[#This Row],[Winning Team]],"YES","NO"))</f>
        <v>-</v>
      </c>
      <c r="N377" t="str">
        <f>IF(Table4[[#This Row],[Adjusted Correct]]="-", "",IF(Table4[[#This Row],[Adjusted Correct]]="YES",(Table4[[#This Row],[Strength of Win]]-1)^2,(Table4[[#This Row],[Strength of Win]]-0)^2))</f>
        <v/>
      </c>
      <c r="P377" s="11"/>
    </row>
    <row r="378" spans="4:16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4.029141914856392E-2</v>
      </c>
      <c r="H378" t="s">
        <v>15</v>
      </c>
      <c r="I378">
        <f>VLOOKUP(Table4[[#This Row],[Visitor]],'NHL Model'!$A$6:$B$38,2,FALSE)</f>
        <v>-0.30719665303039001</v>
      </c>
      <c r="J378">
        <f>($B$1+Table4[[#This Row],[Home Differential]])-Table4[[#This Row],[Away Differential]]</f>
        <v>0.51006038184127234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0.54126152040692255</v>
      </c>
      <c r="M378" t="str">
        <f>IF(OR((NHL2025_26Results[[#This Row],[Winning Team]]="")),"-",IF(Table4[[#This Row],[Predicted Winner]]=NHL2025_26Results[[#This Row],[Winning Team]],"YES","NO"))</f>
        <v>-</v>
      </c>
      <c r="N378" t="str">
        <f>IF(Table4[[#This Row],[Adjusted Correct]]="-", "",IF(Table4[[#This Row],[Adjusted Correct]]="YES",(Table4[[#This Row],[Strength of Win]]-1)^2,(Table4[[#This Row],[Strength of Win]]-0)^2))</f>
        <v/>
      </c>
      <c r="P378" s="11"/>
    </row>
    <row r="379" spans="4:16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-0.8683412362501769</v>
      </c>
      <c r="H379" t="s">
        <v>24</v>
      </c>
      <c r="I379">
        <f>VLOOKUP(Table4[[#This Row],[Visitor]],'NHL Model'!$A$6:$B$38,2,FALSE)</f>
        <v>0.559441163373953</v>
      </c>
      <c r="J379">
        <f>($B$1+Table4[[#This Row],[Home Differential]])-Table4[[#This Row],[Away Differential]]</f>
        <v>-1.2652100899618115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0.70162160933109563</v>
      </c>
      <c r="M379" t="str">
        <f>IF(OR((NHL2025_26Results[[#This Row],[Winning Team]]="")),"-",IF(Table4[[#This Row],[Predicted Winner]]=NHL2025_26Results[[#This Row],[Winning Team]],"YES","NO"))</f>
        <v>-</v>
      </c>
      <c r="N379" t="str">
        <f>IF(Table4[[#This Row],[Adjusted Correct]]="-", "",IF(Table4[[#This Row],[Adjusted Correct]]="YES",(Table4[[#This Row],[Strength of Win]]-1)^2,(Table4[[#This Row],[Strength of Win]]-0)^2))</f>
        <v/>
      </c>
      <c r="P379" s="11"/>
    </row>
    <row r="380" spans="4:16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0.67193921242367816</v>
      </c>
      <c r="H380" t="s">
        <v>40</v>
      </c>
      <c r="I380">
        <f>VLOOKUP(Table4[[#This Row],[Visitor]],'NHL Model'!$A$6:$B$38,2,FALSE)</f>
        <v>0.105105258369765</v>
      </c>
      <c r="J380">
        <f>($B$1+Table4[[#This Row],[Home Differential]])-Table4[[#This Row],[Away Differential]]</f>
        <v>0.72940626371623152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0.62738134695257275</v>
      </c>
      <c r="M380" t="str">
        <f>IF(OR((NHL2025_26Results[[#This Row],[Winning Team]]="")),"-",IF(Table4[[#This Row],[Predicted Winner]]=NHL2025_26Results[[#This Row],[Winning Team]],"YES","NO"))</f>
        <v>-</v>
      </c>
      <c r="N380" t="str">
        <f>IF(Table4[[#This Row],[Adjusted Correct]]="-", "",IF(Table4[[#This Row],[Adjusted Correct]]="YES",(Table4[[#This Row],[Strength of Win]]-1)^2,(Table4[[#This Row],[Strength of Win]]-0)^2))</f>
        <v/>
      </c>
      <c r="P380" s="11"/>
    </row>
    <row r="381" spans="4:16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-0.40822279081308277</v>
      </c>
      <c r="H381" t="s">
        <v>14</v>
      </c>
      <c r="I381">
        <f>VLOOKUP(Table4[[#This Row],[Visitor]],'NHL Model'!$A$6:$B$38,2,FALSE)</f>
        <v>0.26289091192875702</v>
      </c>
      <c r="J381">
        <f>($B$1+Table4[[#This Row],[Home Differential]])-Table4[[#This Row],[Away Differential]]</f>
        <v>-0.5085413930795214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0.53046281605920997</v>
      </c>
      <c r="M381" t="str">
        <f>IF(OR((NHL2025_26Results[[#This Row],[Winning Team]]="")),"-",IF(Table4[[#This Row],[Predicted Winner]]=NHL2025_26Results[[#This Row],[Winning Team]],"YES","NO"))</f>
        <v>-</v>
      </c>
      <c r="N381" t="str">
        <f>IF(Table4[[#This Row],[Adjusted Correct]]="-", "",IF(Table4[[#This Row],[Adjusted Correct]]="YES",(Table4[[#This Row],[Strength of Win]]-1)^2,(Table4[[#This Row],[Strength of Win]]-0)^2))</f>
        <v/>
      </c>
      <c r="P381" s="11"/>
    </row>
    <row r="382" spans="4:16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0.30570968833820172</v>
      </c>
      <c r="H382" t="s">
        <v>29</v>
      </c>
      <c r="I382">
        <f>VLOOKUP(Table4[[#This Row],[Visitor]],'NHL Model'!$A$6:$B$38,2,FALSE)</f>
        <v>-1.3516250707060606</v>
      </c>
      <c r="J382">
        <f>($B$1+Table4[[#This Row],[Home Differential]])-Table4[[#This Row],[Away Differential]]</f>
        <v>1.8199070687065808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0.79216389220665751</v>
      </c>
      <c r="M382" t="str">
        <f>IF(OR((NHL2025_26Results[[#This Row],[Winning Team]]="")),"-",IF(Table4[[#This Row],[Predicted Winner]]=NHL2025_26Results[[#This Row],[Winning Team]],"YES","NO"))</f>
        <v>-</v>
      </c>
      <c r="N382" t="str">
        <f>IF(Table4[[#This Row],[Adjusted Correct]]="-", "",IF(Table4[[#This Row],[Adjusted Correct]]="YES",(Table4[[#This Row],[Strength of Win]]-1)^2,(Table4[[#This Row],[Strength of Win]]-0)^2))</f>
        <v/>
      </c>
      <c r="P382" s="11"/>
    </row>
    <row r="383" spans="4:16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0.19809534061227302</v>
      </c>
      <c r="H383" t="s">
        <v>55</v>
      </c>
      <c r="I383">
        <f>VLOOKUP(Table4[[#This Row],[Visitor]],'NHL Model'!$A$6:$B$38,2,FALSE)</f>
        <v>-0.12212311954851815</v>
      </c>
      <c r="J383">
        <f>($B$1+Table4[[#This Row],[Home Differential]])-Table4[[#This Row],[Away Differential]]</f>
        <v>0.48279076982310953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0.63293257995039132</v>
      </c>
      <c r="M383" t="str">
        <f>IF(OR((NHL2025_26Results[[#This Row],[Winning Team]]="")),"-",IF(Table4[[#This Row],[Predicted Winner]]=NHL2025_26Results[[#This Row],[Winning Team]],"YES","NO"))</f>
        <v>-</v>
      </c>
      <c r="N383" t="str">
        <f>IF(Table4[[#This Row],[Adjusted Correct]]="-", "",IF(Table4[[#This Row],[Adjusted Correct]]="YES",(Table4[[#This Row],[Strength of Win]]-1)^2,(Table4[[#This Row],[Strength of Win]]-0)^2))</f>
        <v/>
      </c>
      <c r="P383" s="11"/>
    </row>
    <row r="384" spans="4:16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-0.513643833119658</v>
      </c>
      <c r="H384" t="s">
        <v>37</v>
      </c>
      <c r="I384">
        <f>VLOOKUP(Table4[[#This Row],[Visitor]],'NHL Model'!$A$6:$B$38,2,FALSE)</f>
        <v>-0.11309445867623392</v>
      </c>
      <c r="J384">
        <f>($B$1+Table4[[#This Row],[Home Differential]])-Table4[[#This Row],[Away Differential]]</f>
        <v>-0.2379770647811057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0.51374301494919361</v>
      </c>
      <c r="M384" t="str">
        <f>IF(OR((NHL2025_26Results[[#This Row],[Winning Team]]="")),"-",IF(Table4[[#This Row],[Predicted Winner]]=NHL2025_26Results[[#This Row],[Winning Team]],"YES","NO"))</f>
        <v>-</v>
      </c>
      <c r="N384" t="str">
        <f>IF(Table4[[#This Row],[Adjusted Correct]]="-", "",IF(Table4[[#This Row],[Adjusted Correct]]="YES",(Table4[[#This Row],[Strength of Win]]-1)^2,(Table4[[#This Row],[Strength of Win]]-0)^2))</f>
        <v/>
      </c>
      <c r="P384" s="11"/>
    </row>
    <row r="385" spans="4:16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-0.28105923893144158</v>
      </c>
      <c r="H385" t="s">
        <v>16</v>
      </c>
      <c r="I385">
        <f>VLOOKUP(Table4[[#This Row],[Visitor]],'NHL Model'!$A$6:$B$38,2,FALSE)</f>
        <v>-1.3903684122795328</v>
      </c>
      <c r="J385">
        <f>($B$1+Table4[[#This Row],[Home Differential]])-Table4[[#This Row],[Away Differential]]</f>
        <v>1.2718814830104095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0.76794617549720068</v>
      </c>
      <c r="M385" t="str">
        <f>IF(OR((NHL2025_26Results[[#This Row],[Winning Team]]="")),"-",IF(Table4[[#This Row],[Predicted Winner]]=NHL2025_26Results[[#This Row],[Winning Team]],"YES","NO"))</f>
        <v>-</v>
      </c>
      <c r="N385" t="str">
        <f>IF(Table4[[#This Row],[Adjusted Correct]]="-", "",IF(Table4[[#This Row],[Adjusted Correct]]="YES",(Table4[[#This Row],[Strength of Win]]-1)^2,(Table4[[#This Row],[Strength of Win]]-0)^2))</f>
        <v/>
      </c>
      <c r="P385" s="11"/>
    </row>
    <row r="386" spans="4:16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-0.53650300840565446</v>
      </c>
      <c r="H386" t="s">
        <v>12</v>
      </c>
      <c r="I386">
        <f>VLOOKUP(Table4[[#This Row],[Visitor]],'NHL Model'!$A$6:$B$38,2,FALSE)</f>
        <v>1.5475013591489768</v>
      </c>
      <c r="J386">
        <f>($B$1+Table4[[#This Row],[Home Differential]])-Table4[[#This Row],[Away Differential]]</f>
        <v>-1.921432057892313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0.79254684855359736</v>
      </c>
      <c r="M386" t="str">
        <f>IF(OR((NHL2025_26Results[[#This Row],[Winning Team]]="")),"-",IF(Table4[[#This Row],[Predicted Winner]]=NHL2025_26Results[[#This Row],[Winning Team]],"YES","NO"))</f>
        <v>-</v>
      </c>
      <c r="N386" t="str">
        <f>IF(Table4[[#This Row],[Adjusted Correct]]="-", "",IF(Table4[[#This Row],[Adjusted Correct]]="YES",(Table4[[#This Row],[Strength of Win]]-1)^2,(Table4[[#This Row],[Strength of Win]]-0)^2))</f>
        <v/>
      </c>
      <c r="P386" s="11"/>
    </row>
    <row r="387" spans="4:16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-6.4729560818359025E-2</v>
      </c>
      <c r="H387" t="s">
        <v>27</v>
      </c>
      <c r="I387">
        <f>VLOOKUP(Table4[[#This Row],[Visitor]],'NHL Model'!$A$6:$B$38,2,FALSE)</f>
        <v>-0.51358590497437617</v>
      </c>
      <c r="J387">
        <f>($B$1+Table4[[#This Row],[Home Differential]])-Table4[[#This Row],[Away Differential]]</f>
        <v>0.61142865381833555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0.62471873745898754</v>
      </c>
      <c r="M387" t="str">
        <f>IF(OR((NHL2025_26Results[[#This Row],[Winning Team]]="")),"-",IF(Table4[[#This Row],[Predicted Winner]]=NHL2025_26Results[[#This Row],[Winning Team]],"YES","NO"))</f>
        <v>-</v>
      </c>
      <c r="N387" t="str">
        <f>IF(Table4[[#This Row],[Adjusted Correct]]="-", "",IF(Table4[[#This Row],[Adjusted Correct]]="YES",(Table4[[#This Row],[Strength of Win]]-1)^2,(Table4[[#This Row],[Strength of Win]]-0)^2))</f>
        <v/>
      </c>
      <c r="P387" s="11"/>
    </row>
    <row r="388" spans="4:16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-0.39418177254008485</v>
      </c>
      <c r="H388" t="s">
        <v>38</v>
      </c>
      <c r="I388">
        <f>VLOOKUP(Table4[[#This Row],[Visitor]],'NHL Model'!$A$6:$B$38,2,FALSE)</f>
        <v>-0.6902088310934803</v>
      </c>
      <c r="J388">
        <f>($B$1+Table4[[#This Row],[Home Differential]])-Table4[[#This Row],[Away Differential]]</f>
        <v>0.45859936821571384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0.56103035299809589</v>
      </c>
      <c r="M388" t="str">
        <f>IF(OR((NHL2025_26Results[[#This Row],[Winning Team]]="")),"-",IF(Table4[[#This Row],[Predicted Winner]]=NHL2025_26Results[[#This Row],[Winning Team]],"YES","NO"))</f>
        <v>-</v>
      </c>
      <c r="N388" t="str">
        <f>IF(Table4[[#This Row],[Adjusted Correct]]="-", "",IF(Table4[[#This Row],[Adjusted Correct]]="YES",(Table4[[#This Row],[Strength of Win]]-1)^2,(Table4[[#This Row],[Strength of Win]]-0)^2))</f>
        <v/>
      </c>
      <c r="P388" s="11"/>
    </row>
    <row r="389" spans="4:16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-1.6211574240381006</v>
      </c>
      <c r="H389" t="s">
        <v>36</v>
      </c>
      <c r="I389">
        <f>VLOOKUP(Table4[[#This Row],[Visitor]],'NHL Model'!$A$6:$B$38,2,FALSE)</f>
        <v>-0.40651947573390851</v>
      </c>
      <c r="J389">
        <f>($B$1+Table4[[#This Row],[Home Differential]])-Table4[[#This Row],[Away Differential]]</f>
        <v>-1.0520656386418736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0.60577280942447409</v>
      </c>
      <c r="M389" t="str">
        <f>IF(OR((NHL2025_26Results[[#This Row],[Winning Team]]="")),"-",IF(Table4[[#This Row],[Predicted Winner]]=NHL2025_26Results[[#This Row],[Winning Team]],"YES","NO"))</f>
        <v>-</v>
      </c>
      <c r="N389" t="str">
        <f>IF(Table4[[#This Row],[Adjusted Correct]]="-", "",IF(Table4[[#This Row],[Adjusted Correct]]="YES",(Table4[[#This Row],[Strength of Win]]-1)^2,(Table4[[#This Row],[Strength of Win]]-0)^2))</f>
        <v/>
      </c>
      <c r="P389" s="11"/>
    </row>
    <row r="390" spans="4:16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-6.3745791019188943E-4</v>
      </c>
      <c r="H390" t="s">
        <v>18</v>
      </c>
      <c r="I390">
        <f>VLOOKUP(Table4[[#This Row],[Visitor]],'NHL Model'!$A$6:$B$38,2,FALSE)</f>
        <v>-0.52437726201848234</v>
      </c>
      <c r="J390">
        <f>($B$1+Table4[[#This Row],[Home Differential]])-Table4[[#This Row],[Away Differential]]</f>
        <v>0.68631211377060886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0.55861380293708018</v>
      </c>
      <c r="M390" t="str">
        <f>IF(OR((NHL2025_26Results[[#This Row],[Winning Team]]="")),"-",IF(Table4[[#This Row],[Predicted Winner]]=NHL2025_26Results[[#This Row],[Winning Team]],"YES","NO"))</f>
        <v>-</v>
      </c>
      <c r="N390" t="str">
        <f>IF(Table4[[#This Row],[Adjusted Correct]]="-", "",IF(Table4[[#This Row],[Adjusted Correct]]="YES",(Table4[[#This Row],[Strength of Win]]-1)^2,(Table4[[#This Row],[Strength of Win]]-0)^2))</f>
        <v/>
      </c>
      <c r="P390" s="11"/>
    </row>
    <row r="391" spans="4:16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-6.1308839486784707E-2</v>
      </c>
      <c r="H391" t="s">
        <v>19</v>
      </c>
      <c r="I391">
        <f>VLOOKUP(Table4[[#This Row],[Visitor]],'NHL Model'!$A$6:$B$38,2,FALSE)</f>
        <v>-0.635565543477981</v>
      </c>
      <c r="J391">
        <f>($B$1+Table4[[#This Row],[Home Differential]])-Table4[[#This Row],[Away Differential]]</f>
        <v>0.73682901365351472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0.64209404379406754</v>
      </c>
      <c r="M391" t="str">
        <f>IF(OR((NHL2025_26Results[[#This Row],[Winning Team]]="")),"-",IF(Table4[[#This Row],[Predicted Winner]]=NHL2025_26Results[[#This Row],[Winning Team]],"YES","NO"))</f>
        <v>-</v>
      </c>
      <c r="N391" t="str">
        <f>IF(Table4[[#This Row],[Adjusted Correct]]="-", "",IF(Table4[[#This Row],[Adjusted Correct]]="YES",(Table4[[#This Row],[Strength of Win]]-1)^2,(Table4[[#This Row],[Strength of Win]]-0)^2))</f>
        <v/>
      </c>
      <c r="P391" s="11"/>
    </row>
    <row r="392" spans="4:16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4.029141914856392E-2</v>
      </c>
      <c r="H392" t="s">
        <v>26</v>
      </c>
      <c r="I392">
        <f>VLOOKUP(Table4[[#This Row],[Visitor]],'NHL Model'!$A$6:$B$38,2,FALSE)</f>
        <v>-0.513643833119658</v>
      </c>
      <c r="J392">
        <f>($B$1+Table4[[#This Row],[Home Differential]])-Table4[[#This Row],[Away Differential]]</f>
        <v>0.71650756193054033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0.66620746444924461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6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1.5475013591489768</v>
      </c>
      <c r="H393" t="s">
        <v>18</v>
      </c>
      <c r="I393">
        <f>VLOOKUP(Table4[[#This Row],[Visitor]],'NHL Model'!$A$6:$B$38,2,FALSE)</f>
        <v>-0.52437726201848234</v>
      </c>
      <c r="J393">
        <f>($B$1+Table4[[#This Row],[Home Differential]])-Table4[[#This Row],[Away Differential]]</f>
        <v>2.2344509308297775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0.86405798149342106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6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-7.5459708298993802E-2</v>
      </c>
      <c r="H394" t="s">
        <v>38</v>
      </c>
      <c r="I394">
        <f>VLOOKUP(Table4[[#This Row],[Visitor]],'NHL Model'!$A$6:$B$38,2,FALSE)</f>
        <v>-0.6902088310934803</v>
      </c>
      <c r="J394">
        <f>($B$1+Table4[[#This Row],[Home Differential]])-Table4[[#This Row],[Away Differential]]</f>
        <v>0.77732143245680485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0.60519205643512552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6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-0.53650300840565446</v>
      </c>
      <c r="H395" t="s">
        <v>23</v>
      </c>
      <c r="I395">
        <f>VLOOKUP(Table4[[#This Row],[Visitor]],'NHL Model'!$A$6:$B$38,2,FALSE)</f>
        <v>-0.8683412362501769</v>
      </c>
      <c r="J395">
        <f>($B$1+Table4[[#This Row],[Home Differential]])-Table4[[#This Row],[Away Differential]]</f>
        <v>0.49441053750684083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0.60850486358862055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6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0.559441163373953</v>
      </c>
      <c r="H396" t="s">
        <v>27</v>
      </c>
      <c r="I396">
        <f>VLOOKUP(Table4[[#This Row],[Visitor]],'NHL Model'!$A$6:$B$38,2,FALSE)</f>
        <v>-0.51358590497437617</v>
      </c>
      <c r="J396">
        <f>($B$1+Table4[[#This Row],[Home Differential]])-Table4[[#This Row],[Away Differential]]</f>
        <v>1.2355993780106476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0.82663371077721204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6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-1.3516250707060606</v>
      </c>
      <c r="H397" t="s">
        <v>40</v>
      </c>
      <c r="I397">
        <f>VLOOKUP(Table4[[#This Row],[Visitor]],'NHL Model'!$A$6:$B$38,2,FALSE)</f>
        <v>0.105105258369765</v>
      </c>
      <c r="J397">
        <f>($B$1+Table4[[#This Row],[Home Differential]])-Table4[[#This Row],[Away Differential]]</f>
        <v>-1.2941580194135072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0.70563259576407389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6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-0.30719665303039001</v>
      </c>
      <c r="H398" t="s">
        <v>37</v>
      </c>
      <c r="I398">
        <f>VLOOKUP(Table4[[#This Row],[Visitor]],'NHL Model'!$A$6:$B$38,2,FALSE)</f>
        <v>-0.11309445867623392</v>
      </c>
      <c r="J398">
        <f>($B$1+Table4[[#This Row],[Home Differential]])-Table4[[#This Row],[Away Differential]]</f>
        <v>-3.1529884691837692E-2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0.51146813018252091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6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0.26289091192875702</v>
      </c>
      <c r="H399" t="s">
        <v>19</v>
      </c>
      <c r="I399">
        <f>VLOOKUP(Table4[[#This Row],[Visitor]],'NHL Model'!$A$6:$B$38,2,FALSE)</f>
        <v>-0.635565543477981</v>
      </c>
      <c r="J399">
        <f>($B$1+Table4[[#This Row],[Home Differential]])-Table4[[#This Row],[Away Differential]]</f>
        <v>1.0610287650690564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0.72305159460773516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6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-0.361361309178443</v>
      </c>
      <c r="H400" t="s">
        <v>17</v>
      </c>
      <c r="I400">
        <f>VLOOKUP(Table4[[#This Row],[Visitor]],'NHL Model'!$A$6:$B$38,2,FALSE)</f>
        <v>-0.61980804137564283</v>
      </c>
      <c r="J400">
        <f>($B$1+Table4[[#This Row],[Home Differential]])-Table4[[#This Row],[Away Differential]]</f>
        <v>0.42101904185951822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0.62437357184526843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-1.6211574240381006</v>
      </c>
      <c r="H401" t="s">
        <v>55</v>
      </c>
      <c r="I401">
        <f>VLOOKUP(Table4[[#This Row],[Visitor]],'NHL Model'!$A$6:$B$38,2,FALSE)</f>
        <v>-0.12212311954851815</v>
      </c>
      <c r="J401">
        <f>($B$1+Table4[[#This Row],[Home Differential]])-Table4[[#This Row],[Away Differential]]</f>
        <v>-1.336461994827264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0.64517838860938648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-6.3745791019188943E-4</v>
      </c>
      <c r="H402" t="s">
        <v>33</v>
      </c>
      <c r="I402">
        <f>VLOOKUP(Table4[[#This Row],[Visitor]],'NHL Model'!$A$6:$B$38,2,FALSE)</f>
        <v>-0.39418177254008485</v>
      </c>
      <c r="J402">
        <f>($B$1+Table4[[#This Row],[Home Differential]])-Table4[[#This Row],[Away Differential]]</f>
        <v>0.55611662429221131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0.61705477653977991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0.67193921242367816</v>
      </c>
      <c r="H403" t="s">
        <v>16</v>
      </c>
      <c r="I403">
        <f>VLOOKUP(Table4[[#This Row],[Visitor]],'NHL Model'!$A$6:$B$38,2,FALSE)</f>
        <v>-1.3903684122795328</v>
      </c>
      <c r="J403">
        <f>($B$1+Table4[[#This Row],[Home Differential]])-Table4[[#This Row],[Away Differential]]</f>
        <v>2.2248799343655294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0.89999236779613767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0.30570968833820172</v>
      </c>
      <c r="H404" t="s">
        <v>31</v>
      </c>
      <c r="I404">
        <f>VLOOKUP(Table4[[#This Row],[Visitor]],'NHL Model'!$A$6:$B$38,2,FALSE)</f>
        <v>0.51775546328552802</v>
      </c>
      <c r="J404">
        <f>($B$1+Table4[[#This Row],[Home Differential]])-Table4[[#This Row],[Away Differential]]</f>
        <v>-4.94734652850079E-2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0.48762420802698975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0.19809534061227302</v>
      </c>
      <c r="H405" t="s">
        <v>36</v>
      </c>
      <c r="I405">
        <f>VLOOKUP(Table4[[#This Row],[Visitor]],'NHL Model'!$A$6:$B$38,2,FALSE)</f>
        <v>-0.40651947573390851</v>
      </c>
      <c r="J405">
        <f>($B$1+Table4[[#This Row],[Home Differential]])-Table4[[#This Row],[Away Differential]]</f>
        <v>0.76718712600849992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0.6723381591353037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-6.4729560818359025E-2</v>
      </c>
      <c r="H406" t="s">
        <v>22</v>
      </c>
      <c r="I406">
        <f>VLOOKUP(Table4[[#This Row],[Visitor]],'NHL Model'!$A$6:$B$38,2,FALSE)</f>
        <v>-6.1308839486784707E-2</v>
      </c>
      <c r="J406">
        <f>($B$1+Table4[[#This Row],[Home Differential]])-Table4[[#This Row],[Away Differential]]</f>
        <v>0.15915158833074408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0.56205183146679816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-0.8683412362501769</v>
      </c>
      <c r="H407" t="s">
        <v>40</v>
      </c>
      <c r="I407">
        <f>VLOOKUP(Table4[[#This Row],[Visitor]],'NHL Model'!$A$6:$B$38,2,FALSE)</f>
        <v>0.105105258369765</v>
      </c>
      <c r="J407">
        <f>($B$1+Table4[[#This Row],[Home Differential]])-Table4[[#This Row],[Away Differential]]</f>
        <v>-0.81087418495762353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0.6386694332859123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0.559441163373953</v>
      </c>
      <c r="H408" t="s">
        <v>28</v>
      </c>
      <c r="I408">
        <f>VLOOKUP(Table4[[#This Row],[Visitor]],'NHL Model'!$A$6:$B$38,2,FALSE)</f>
        <v>-0.40822279081308277</v>
      </c>
      <c r="J408">
        <f>($B$1+Table4[[#This Row],[Home Differential]])-Table4[[#This Row],[Away Differential]]</f>
        <v>1.1302362638493542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0.79296766318788425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-0.51358590497437617</v>
      </c>
      <c r="H409" t="s">
        <v>14</v>
      </c>
      <c r="I409">
        <f>VLOOKUP(Table4[[#This Row],[Visitor]],'NHL Model'!$A$6:$B$38,2,FALSE)</f>
        <v>0.26289091192875702</v>
      </c>
      <c r="J409">
        <f>($B$1+Table4[[#This Row],[Home Differential]])-Table4[[#This Row],[Away Differential]]</f>
        <v>-0.6139045072408148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0.54256630919734727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-0.39418177254008485</v>
      </c>
      <c r="H410" t="s">
        <v>55</v>
      </c>
      <c r="I410">
        <f>VLOOKUP(Table4[[#This Row],[Visitor]],'NHL Model'!$A$6:$B$38,2,FALSE)</f>
        <v>-0.12212311954851815</v>
      </c>
      <c r="J410">
        <f>($B$1+Table4[[#This Row],[Home Differential]])-Table4[[#This Row],[Away Differential]]</f>
        <v>-0.10948634332924831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0.47517028146772311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-1.6211574240381006</v>
      </c>
      <c r="H411" t="s">
        <v>31</v>
      </c>
      <c r="I411">
        <f>VLOOKUP(Table4[[#This Row],[Visitor]],'NHL Model'!$A$6:$B$38,2,FALSE)</f>
        <v>0.51775546328552802</v>
      </c>
      <c r="J411">
        <f>($B$1+Table4[[#This Row],[Home Differential]])-Table4[[#This Row],[Away Differential]]</f>
        <v>-1.9763405776613103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0.75460834099545704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1.5475013591489768</v>
      </c>
      <c r="H412" t="s">
        <v>38</v>
      </c>
      <c r="I412">
        <f>VLOOKUP(Table4[[#This Row],[Visitor]],'NHL Model'!$A$6:$B$38,2,FALSE)</f>
        <v>-0.6902088310934803</v>
      </c>
      <c r="J412">
        <f>($B$1+Table4[[#This Row],[Home Differential]])-Table4[[#This Row],[Away Differential]]</f>
        <v>2.4002824999047756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0.92036619616571547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-0.513643833119658</v>
      </c>
      <c r="H413" t="s">
        <v>21</v>
      </c>
      <c r="I413">
        <f>VLOOKUP(Table4[[#This Row],[Visitor]],'NHL Model'!$A$6:$B$38,2,FALSE)</f>
        <v>4.029141914856392E-2</v>
      </c>
      <c r="J413">
        <f>($B$1+Table4[[#This Row],[Home Differential]])-Table4[[#This Row],[Away Differential]]</f>
        <v>-0.39136294260590354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0.48818899065247473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-0.61980804137564283</v>
      </c>
      <c r="H414" t="s">
        <v>34</v>
      </c>
      <c r="I414">
        <f>VLOOKUP(Table4[[#This Row],[Visitor]],'NHL Model'!$A$6:$B$38,2,FALSE)</f>
        <v>-0.53650300840565446</v>
      </c>
      <c r="J414">
        <f>($B$1+Table4[[#This Row],[Home Differential]])-Table4[[#This Row],[Away Differential]]</f>
        <v>7.9267276692330024E-2</v>
      </c>
      <c r="K414" t="str">
        <f>IF(Table4[[#This Row],[HomeIce Differential]]&gt;0,Table4[[#This Row],[Home]],Table4[[#This Row],[Visitor]])</f>
        <v>Edmonton Oilers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0.58702003432393324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-0.28105923893144158</v>
      </c>
      <c r="H415" t="s">
        <v>19</v>
      </c>
      <c r="I415">
        <f>VLOOKUP(Table4[[#This Row],[Visitor]],'NHL Model'!$A$6:$B$38,2,FALSE)</f>
        <v>-0.635565543477981</v>
      </c>
      <c r="J415">
        <f>($B$1+Table4[[#This Row],[Home Differential]])-Table4[[#This Row],[Away Differential]]</f>
        <v>0.51707861420885781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0.66336169834528669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-7.5459708298993802E-2</v>
      </c>
      <c r="H416" t="s">
        <v>22</v>
      </c>
      <c r="I416">
        <f>VLOOKUP(Table4[[#This Row],[Visitor]],'NHL Model'!$A$6:$B$38,2,FALSE)</f>
        <v>-6.1308839486784707E-2</v>
      </c>
      <c r="J416">
        <f>($B$1+Table4[[#This Row],[Home Differential]])-Table4[[#This Row],[Away Differential]]</f>
        <v>0.1484214408501093</v>
      </c>
      <c r="K416" t="str">
        <f>IF(Table4[[#This Row],[HomeIce Differential]]&gt;0,Table4[[#This Row],[Home]],Table4[[#This Row],[Visitor]])</f>
        <v>Los Angeles Kings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0.5605650765664002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-0.52437726201848234</v>
      </c>
      <c r="H417" t="s">
        <v>36</v>
      </c>
      <c r="I417">
        <f>VLOOKUP(Table4[[#This Row],[Visitor]],'NHL Model'!$A$6:$B$38,2,FALSE)</f>
        <v>-0.40651947573390851</v>
      </c>
      <c r="J417">
        <f>($B$1+Table4[[#This Row],[Home Differential]])-Table4[[#This Row],[Away Differential]]</f>
        <v>4.4714523377744564E-2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0.54619558462461004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-1.3516250707060606</v>
      </c>
      <c r="H418" t="s">
        <v>16</v>
      </c>
      <c r="I418">
        <f>VLOOKUP(Table4[[#This Row],[Visitor]],'NHL Model'!$A$6:$B$38,2,FALSE)</f>
        <v>-1.3903684122795328</v>
      </c>
      <c r="J418">
        <f>($B$1+Table4[[#This Row],[Home Differential]])-Table4[[#This Row],[Away Differential]]</f>
        <v>0.20131565123579054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0.56789402769549857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-6.4729560818359025E-2</v>
      </c>
      <c r="H419" t="s">
        <v>37</v>
      </c>
      <c r="I419">
        <f>VLOOKUP(Table4[[#This Row],[Visitor]],'NHL Model'!$A$6:$B$38,2,FALSE)</f>
        <v>-0.11309445867623392</v>
      </c>
      <c r="J419">
        <f>($B$1+Table4[[#This Row],[Home Differential]])-Table4[[#This Row],[Away Differential]]</f>
        <v>0.21093720752019329</v>
      </c>
      <c r="K419" t="str">
        <f>IF(Table4[[#This Row],[HomeIce Differential]]&gt;0,Table4[[#This Row],[Home]],Table4[[#This Row],[Visitor]])</f>
        <v>New York Islanders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0.52212778619999511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-0.30719665303039001</v>
      </c>
      <c r="H420" t="s">
        <v>39</v>
      </c>
      <c r="I420">
        <f>VLOOKUP(Table4[[#This Row],[Visitor]],'NHL Model'!$A$6:$B$38,2,FALSE)</f>
        <v>0.19809534061227302</v>
      </c>
      <c r="J420">
        <f>($B$1+Table4[[#This Row],[Home Differential]])-Table4[[#This Row],[Away Differential]]</f>
        <v>-0.34271968398034464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0.59997296941472744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-6.3745791019188943E-4</v>
      </c>
      <c r="H421" t="s">
        <v>10</v>
      </c>
      <c r="I421">
        <f>VLOOKUP(Table4[[#This Row],[Visitor]],'NHL Model'!$A$6:$B$38,2,FALSE)</f>
        <v>0.30570968833820172</v>
      </c>
      <c r="J421">
        <f>($B$1+Table4[[#This Row],[Home Differential]])-Table4[[#This Row],[Away Differential]]</f>
        <v>-0.14377483658607523</v>
      </c>
      <c r="K421" t="str">
        <f>IF(Table4[[#This Row],[HomeIce Differential]]&gt;0,Table4[[#This Row],[Home]],Table4[[#This Row],[Visitor]])</f>
        <v>Chicago Blackhawks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0.50069048005625472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0.51775546328552802</v>
      </c>
      <c r="H422" t="s">
        <v>55</v>
      </c>
      <c r="I422">
        <f>VLOOKUP(Table4[[#This Row],[Visitor]],'NHL Model'!$A$6:$B$38,2,FALSE)</f>
        <v>-0.12212311954851815</v>
      </c>
      <c r="J422">
        <f>($B$1+Table4[[#This Row],[Home Differential]])-Table4[[#This Row],[Away Differential]]</f>
        <v>0.80245089249636459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0.7555164205687791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-0.52437726201848234</v>
      </c>
      <c r="H423" t="s">
        <v>40</v>
      </c>
      <c r="I423">
        <f>VLOOKUP(Table4[[#This Row],[Visitor]],'NHL Model'!$A$6:$B$38,2,FALSE)</f>
        <v>0.105105258369765</v>
      </c>
      <c r="J423">
        <f>($B$1+Table4[[#This Row],[Home Differential]])-Table4[[#This Row],[Away Differential]]</f>
        <v>-0.46691021072592898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0.5910102445215224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0.559441163373953</v>
      </c>
      <c r="H424" t="s">
        <v>39</v>
      </c>
      <c r="I424">
        <f>VLOOKUP(Table4[[#This Row],[Visitor]],'NHL Model'!$A$6:$B$38,2,FALSE)</f>
        <v>0.19809534061227302</v>
      </c>
      <c r="J424">
        <f>($B$1+Table4[[#This Row],[Home Differential]])-Table4[[#This Row],[Away Differential]]</f>
        <v>0.52391813242399832</v>
      </c>
      <c r="K424" t="str">
        <f>IF(Table4[[#This Row],[HomeIce Differential]]&gt;0,Table4[[#This Row],[Home]],Table4[[#This Row],[Visitor]])</f>
        <v>New Jersey Devils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0.64016096408839773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-0.51358590497437617</v>
      </c>
      <c r="H425" t="s">
        <v>23</v>
      </c>
      <c r="I425">
        <f>VLOOKUP(Table4[[#This Row],[Visitor]],'NHL Model'!$A$6:$B$38,2,FALSE)</f>
        <v>-0.8683412362501769</v>
      </c>
      <c r="J425">
        <f>($B$1+Table4[[#This Row],[Home Differential]])-Table4[[#This Row],[Away Differential]]</f>
        <v>0.51732764093811912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0.61417570602919469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-0.39418177254008485</v>
      </c>
      <c r="H426" t="s">
        <v>22</v>
      </c>
      <c r="I426">
        <f>VLOOKUP(Table4[[#This Row],[Visitor]],'NHL Model'!$A$6:$B$38,2,FALSE)</f>
        <v>-6.1308839486784707E-2</v>
      </c>
      <c r="J426">
        <f>($B$1+Table4[[#This Row],[Home Differential]])-Table4[[#This Row],[Away Differential]]</f>
        <v>-0.17030062339098176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0.48359662687062943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4.029141914856392E-2</v>
      </c>
      <c r="H427" t="s">
        <v>35</v>
      </c>
      <c r="I427">
        <f>VLOOKUP(Table4[[#This Row],[Visitor]],'NHL Model'!$A$6:$B$38,2,FALSE)</f>
        <v>-1.6211574240381006</v>
      </c>
      <c r="J427">
        <f>($B$1+Table4[[#This Row],[Home Differential]])-Table4[[#This Row],[Away Differential]]</f>
        <v>1.8240211528489829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0.86529136146818519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0.67193921242367816</v>
      </c>
      <c r="H428" t="s">
        <v>19</v>
      </c>
      <c r="I428">
        <f>VLOOKUP(Table4[[#This Row],[Visitor]],'NHL Model'!$A$6:$B$38,2,FALSE)</f>
        <v>-0.635565543477981</v>
      </c>
      <c r="J428">
        <f>($B$1+Table4[[#This Row],[Home Differential]])-Table4[[#This Row],[Away Differential]]</f>
        <v>1.4700770655639777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0.79540789064422368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-0.40822279081308277</v>
      </c>
      <c r="H429" t="s">
        <v>26</v>
      </c>
      <c r="I429">
        <f>VLOOKUP(Table4[[#This Row],[Visitor]],'NHL Model'!$A$6:$B$38,2,FALSE)</f>
        <v>-0.513643833119658</v>
      </c>
      <c r="J429">
        <f>($B$1+Table4[[#This Row],[Home Differential]])-Table4[[#This Row],[Away Differential]]</f>
        <v>0.26799335196889362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0.53003340935289323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-1.3903684122795328</v>
      </c>
      <c r="H430" t="s">
        <v>34</v>
      </c>
      <c r="I430">
        <f>VLOOKUP(Table4[[#This Row],[Visitor]],'NHL Model'!$A$6:$B$38,2,FALSE)</f>
        <v>-0.53650300840565446</v>
      </c>
      <c r="J430">
        <f>($B$1+Table4[[#This Row],[Home Differential]])-Table4[[#This Row],[Away Differential]]</f>
        <v>-0.69129309421155993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0.5557846476281123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-0.61980804137564283</v>
      </c>
      <c r="H431" t="s">
        <v>32</v>
      </c>
      <c r="I431">
        <f>VLOOKUP(Table4[[#This Row],[Visitor]],'NHL Model'!$A$6:$B$38,2,FALSE)</f>
        <v>-0.361361309178443</v>
      </c>
      <c r="J431">
        <f>($B$1+Table4[[#This Row],[Home Differential]])-Table4[[#This Row],[Away Differential]]</f>
        <v>-9.5874422534881432E-2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0.4372473655473193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-0.28105923893144158</v>
      </c>
      <c r="H432" t="s">
        <v>29</v>
      </c>
      <c r="I432">
        <f>VLOOKUP(Table4[[#This Row],[Visitor]],'NHL Model'!$A$6:$B$38,2,FALSE)</f>
        <v>-1.3516250707060606</v>
      </c>
      <c r="J432">
        <f>($B$1+Table4[[#This Row],[Home Differential]])-Table4[[#This Row],[Away Differential]]</f>
        <v>1.2331381414369376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0.76257794984642502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-7.5459708298993802E-2</v>
      </c>
      <c r="H433" t="s">
        <v>10</v>
      </c>
      <c r="I433">
        <f>VLOOKUP(Table4[[#This Row],[Visitor]],'NHL Model'!$A$6:$B$38,2,FALSE)</f>
        <v>0.30570968833820172</v>
      </c>
      <c r="J433">
        <f>($B$1+Table4[[#This Row],[Home Differential]])-Table4[[#This Row],[Away Differential]]</f>
        <v>-0.21859708697487712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0.5110577511142822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-6.4729560818359025E-2</v>
      </c>
      <c r="H434" t="s">
        <v>12</v>
      </c>
      <c r="I434">
        <f>VLOOKUP(Table4[[#This Row],[Visitor]],'NHL Model'!$A$6:$B$38,2,FALSE)</f>
        <v>1.5475013591489768</v>
      </c>
      <c r="J434">
        <f>($B$1+Table4[[#This Row],[Home Differential]])-Table4[[#This Row],[Away Differential]]</f>
        <v>-1.4496586103050175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0.72717854990309827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-0.40651947573390851</v>
      </c>
      <c r="H435" t="s">
        <v>15</v>
      </c>
      <c r="I435">
        <f>VLOOKUP(Table4[[#This Row],[Visitor]],'NHL Model'!$A$6:$B$38,2,FALSE)</f>
        <v>-0.30719665303039001</v>
      </c>
      <c r="J435">
        <f>($B$1+Table4[[#This Row],[Home Differential]])-Table4[[#This Row],[Away Differential]]</f>
        <v>6.3249486958799894E-2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0.4087637644173448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-0.11309445867623392</v>
      </c>
      <c r="H436" t="s">
        <v>14</v>
      </c>
      <c r="I436">
        <f>VLOOKUP(Table4[[#This Row],[Visitor]],'NHL Model'!$A$6:$B$38,2,FALSE)</f>
        <v>0.26289091192875702</v>
      </c>
      <c r="J436">
        <f>($B$1+Table4[[#This Row],[Home Differential]])-Table4[[#This Row],[Away Differential]]</f>
        <v>-0.21341306094267254</v>
      </c>
      <c r="K436" t="str">
        <f>IF(Table4[[#This Row],[HomeIce Differential]]&gt;0,Table4[[#This Row],[Home]],Table4[[#This Row],[Visitor]])</f>
        <v>Pittsburgh Penguins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0.48957022862342509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0.51775546328552802</v>
      </c>
      <c r="H437" t="s">
        <v>22</v>
      </c>
      <c r="I437">
        <f>VLOOKUP(Table4[[#This Row],[Visitor]],'NHL Model'!$A$6:$B$38,2,FALSE)</f>
        <v>-6.1308839486784707E-2</v>
      </c>
      <c r="J437">
        <f>($B$1+Table4[[#This Row],[Home Differential]])-Table4[[#This Row],[Away Differential]]</f>
        <v>0.74163661243463108</v>
      </c>
      <c r="K437" t="str">
        <f>IF(Table4[[#This Row],[HomeIce Differential]]&gt;0,Table4[[#This Row],[Home]],Table4[[#This Row],[Visitor]])</f>
        <v>Anaheim Ducks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0.74709007516587267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0.19809534061227302</v>
      </c>
      <c r="H438" t="s">
        <v>33</v>
      </c>
      <c r="I438">
        <f>VLOOKUP(Table4[[#This Row],[Visitor]],'NHL Model'!$A$6:$B$38,2,FALSE)</f>
        <v>-0.39418177254008485</v>
      </c>
      <c r="J438">
        <f>($B$1+Table4[[#This Row],[Home Differential]])-Table4[[#This Row],[Away Differential]]</f>
        <v>0.75484942281467626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0.67062866346283723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0.559441163373953</v>
      </c>
      <c r="H439" t="s">
        <v>20</v>
      </c>
      <c r="I439">
        <f>VLOOKUP(Table4[[#This Row],[Visitor]],'NHL Model'!$A$6:$B$38,2,FALSE)</f>
        <v>-6.3745791019188943E-4</v>
      </c>
      <c r="J439">
        <f>($B$1+Table4[[#This Row],[Home Differential]])-Table4[[#This Row],[Away Differential]]</f>
        <v>0.72265093094646327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0.73649318395846719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-0.6902088310934803</v>
      </c>
      <c r="H440" t="s">
        <v>55</v>
      </c>
      <c r="I440">
        <f>VLOOKUP(Table4[[#This Row],[Visitor]],'NHL Model'!$A$6:$B$38,2,FALSE)</f>
        <v>-0.12212311954851815</v>
      </c>
      <c r="J440">
        <f>($B$1+Table4[[#This Row],[Home Differential]])-Table4[[#This Row],[Away Differential]]</f>
        <v>-0.40551340188264373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0.51618739523516655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0.105105258369765</v>
      </c>
      <c r="H441" t="s">
        <v>23</v>
      </c>
      <c r="I441">
        <f>VLOOKUP(Table4[[#This Row],[Visitor]],'NHL Model'!$A$6:$B$38,2,FALSE)</f>
        <v>-0.8683412362501769</v>
      </c>
      <c r="J441">
        <f>($B$1+Table4[[#This Row],[Home Differential]])-Table4[[#This Row],[Away Differential]]</f>
        <v>1.1360188042822603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0.73344211426112083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4.029141914856392E-2</v>
      </c>
      <c r="H442" t="s">
        <v>24</v>
      </c>
      <c r="I442">
        <f>VLOOKUP(Table4[[#This Row],[Visitor]],'NHL Model'!$A$6:$B$38,2,FALSE)</f>
        <v>0.559441163373953</v>
      </c>
      <c r="J442">
        <f>($B$1+Table4[[#This Row],[Home Differential]])-Table4[[#This Row],[Away Differential]]</f>
        <v>-0.35657743456307067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0.5014616874979968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0.67193921242367816</v>
      </c>
      <c r="H443" t="s">
        <v>29</v>
      </c>
      <c r="I443">
        <f>VLOOKUP(Table4[[#This Row],[Visitor]],'NHL Model'!$A$6:$B$38,2,FALSE)</f>
        <v>-1.3516250707060606</v>
      </c>
      <c r="J443">
        <f>($B$1+Table4[[#This Row],[Home Differential]])-Table4[[#This Row],[Away Differential]]</f>
        <v>2.1861365927920571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0.89462414214536201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-1.3903684122795328</v>
      </c>
      <c r="H444" t="s">
        <v>55</v>
      </c>
      <c r="I444">
        <f>VLOOKUP(Table4[[#This Row],[Visitor]],'NHL Model'!$A$6:$B$38,2,FALSE)</f>
        <v>-0.12212311954851815</v>
      </c>
      <c r="J444">
        <f>($B$1+Table4[[#This Row],[Home Differential]])-Table4[[#This Row],[Away Differential]]</f>
        <v>-1.1056729830686962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0.61320057145362961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-0.61980804137564283</v>
      </c>
      <c r="H445" t="s">
        <v>40</v>
      </c>
      <c r="I445">
        <f>VLOOKUP(Table4[[#This Row],[Visitor]],'NHL Model'!$A$6:$B$38,2,FALSE)</f>
        <v>0.105105258369765</v>
      </c>
      <c r="J445">
        <f>($B$1+Table4[[#This Row],[Home Differential]])-Table4[[#This Row],[Away Differential]]</f>
        <v>-0.56234099008308946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0.567713134715914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-0.28105923893144158</v>
      </c>
      <c r="H446" t="s">
        <v>28</v>
      </c>
      <c r="I446">
        <f>VLOOKUP(Table4[[#This Row],[Visitor]],'NHL Model'!$A$6:$B$38,2,FALSE)</f>
        <v>-0.40822279081308277</v>
      </c>
      <c r="J446">
        <f>($B$1+Table4[[#This Row],[Home Differential]])-Table4[[#This Row],[Away Differential]]</f>
        <v>0.28973586154395958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0.61157398534286489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-7.5459708298993802E-2</v>
      </c>
      <c r="H447" t="s">
        <v>10</v>
      </c>
      <c r="I447">
        <f>VLOOKUP(Table4[[#This Row],[Visitor]],'NHL Model'!$A$6:$B$38,2,FALSE)</f>
        <v>0.30570968833820172</v>
      </c>
      <c r="J447">
        <f>($B$1+Table4[[#This Row],[Home Differential]])-Table4[[#This Row],[Away Differential]]</f>
        <v>-0.21859708697487712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0.5110577511142822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-0.30719665303039001</v>
      </c>
      <c r="H448" t="s">
        <v>12</v>
      </c>
      <c r="I448">
        <f>VLOOKUP(Table4[[#This Row],[Visitor]],'NHL Model'!$A$6:$B$38,2,FALSE)</f>
        <v>1.5475013591489768</v>
      </c>
      <c r="J448">
        <f>($B$1+Table4[[#This Row],[Home Differential]])-Table4[[#This Row],[Away Differential]]</f>
        <v>-1.6921257025170484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0.7607744662856144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-0.40651947573390851</v>
      </c>
      <c r="H449" t="s">
        <v>35</v>
      </c>
      <c r="I449">
        <f>VLOOKUP(Table4[[#This Row],[Visitor]],'NHL Model'!$A$6:$B$38,2,FALSE)</f>
        <v>-1.6211574240381006</v>
      </c>
      <c r="J449">
        <f>($B$1+Table4[[#This Row],[Home Differential]])-Table4[[#This Row],[Away Differential]]</f>
        <v>1.3772102579665104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0.73331989271825959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-0.361361309178443</v>
      </c>
      <c r="H450" t="s">
        <v>26</v>
      </c>
      <c r="I450">
        <f>VLOOKUP(Table4[[#This Row],[Visitor]],'NHL Model'!$A$6:$B$38,2,FALSE)</f>
        <v>-0.513643833119658</v>
      </c>
      <c r="J450">
        <f>($B$1+Table4[[#This Row],[Home Differential]])-Table4[[#This Row],[Away Differential]]</f>
        <v>0.31485483360353339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0.56285663435693367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-0.11309445867623392</v>
      </c>
      <c r="H451" t="s">
        <v>30</v>
      </c>
      <c r="I451">
        <f>VLOOKUP(Table4[[#This Row],[Visitor]],'NHL Model'!$A$6:$B$38,2,FALSE)</f>
        <v>-6.4729560818359025E-2</v>
      </c>
      <c r="J451">
        <f>($B$1+Table4[[#This Row],[Home Differential]])-Table4[[#This Row],[Away Differential]]</f>
        <v>0.11420741180444349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0.51331186359464986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-0.635565543477981</v>
      </c>
      <c r="H452" t="s">
        <v>18</v>
      </c>
      <c r="I452">
        <f>VLOOKUP(Table4[[#This Row],[Visitor]],'NHL Model'!$A$6:$B$38,2,FALSE)</f>
        <v>-0.52437726201848234</v>
      </c>
      <c r="J452">
        <f>($B$1+Table4[[#This Row],[Home Differential]])-Table4[[#This Row],[Away Differential]]</f>
        <v>5.1384028202819731E-2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0.47063901560803068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-0.6902088310934803</v>
      </c>
      <c r="H453" t="s">
        <v>34</v>
      </c>
      <c r="I453">
        <f>VLOOKUP(Table4[[#This Row],[Visitor]],'NHL Model'!$A$6:$B$38,2,FALSE)</f>
        <v>-0.53650300840565446</v>
      </c>
      <c r="J453">
        <f>($B$1+Table4[[#This Row],[Home Differential]])-Table4[[#This Row],[Away Differential]]</f>
        <v>8.866486974492549E-3</v>
      </c>
      <c r="K453" t="str">
        <f>IF(Table4[[#This Row],[HomeIce Differential]]&gt;0,Table4[[#This Row],[Home]],Table4[[#This Row],[Visitor]])</f>
        <v>Vancouver Canucks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0.54122852859035087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0.51775546328552802</v>
      </c>
      <c r="H454" t="s">
        <v>10</v>
      </c>
      <c r="I454">
        <f>VLOOKUP(Table4[[#This Row],[Visitor]],'NHL Model'!$A$6:$B$38,2,FALSE)</f>
        <v>0.30570968833820172</v>
      </c>
      <c r="J454">
        <f>($B$1+Table4[[#This Row],[Home Differential]])-Table4[[#This Row],[Away Differential]]</f>
        <v>0.37461808460964469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0.67690658134720472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0.67193921242367816</v>
      </c>
      <c r="H455" t="s">
        <v>33</v>
      </c>
      <c r="I455">
        <f>VLOOKUP(Table4[[#This Row],[Visitor]],'NHL Model'!$A$6:$B$38,2,FALSE)</f>
        <v>-0.39418177254008485</v>
      </c>
      <c r="J455">
        <f>($B$1+Table4[[#This Row],[Home Differential]])-Table4[[#This Row],[Away Differential]]</f>
        <v>1.2286932946260813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0.76196207781023118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0.19809534061227302</v>
      </c>
      <c r="H456" t="s">
        <v>14</v>
      </c>
      <c r="I456">
        <f>VLOOKUP(Table4[[#This Row],[Visitor]],'NHL Model'!$A$6:$B$38,2,FALSE)</f>
        <v>0.26289091192875702</v>
      </c>
      <c r="J456">
        <f>($B$1+Table4[[#This Row],[Home Differential]])-Table4[[#This Row],[Away Differential]]</f>
        <v>9.7776738345834391E-2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0.5795855500932644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-0.28105923893144158</v>
      </c>
      <c r="H457" t="s">
        <v>30</v>
      </c>
      <c r="I457">
        <f>VLOOKUP(Table4[[#This Row],[Visitor]],'NHL Model'!$A$6:$B$38,2,FALSE)</f>
        <v>-6.4729560818359025E-2</v>
      </c>
      <c r="J457">
        <f>($B$1+Table4[[#This Row],[Home Differential]])-Table4[[#This Row],[Away Differential]]</f>
        <v>-5.3757368450764162E-2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0.45744854915749417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-0.52437726201848234</v>
      </c>
      <c r="H458" t="s">
        <v>35</v>
      </c>
      <c r="I458">
        <f>VLOOKUP(Table4[[#This Row],[Visitor]],'NHL Model'!$A$6:$B$38,2,FALSE)</f>
        <v>-1.6211574240381006</v>
      </c>
      <c r="J458">
        <f>($B$1+Table4[[#This Row],[Home Differential]])-Table4[[#This Row],[Away Differential]]</f>
        <v>1.2593524716819366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0.71449419609380693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-0.30719665303039001</v>
      </c>
      <c r="H459" t="s">
        <v>20</v>
      </c>
      <c r="I459">
        <f>VLOOKUP(Table4[[#This Row],[Visitor]],'NHL Model'!$A$6:$B$38,2,FALSE)</f>
        <v>-6.3745791019188943E-4</v>
      </c>
      <c r="J459">
        <f>($B$1+Table4[[#This Row],[Home Differential]])-Table4[[#This Row],[Away Differential]]</f>
        <v>-0.14398688545787972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0.50071986126465362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-0.51358590497437617</v>
      </c>
      <c r="H460" t="s">
        <v>12</v>
      </c>
      <c r="I460">
        <f>VLOOKUP(Table4[[#This Row],[Visitor]],'NHL Model'!$A$6:$B$38,2,FALSE)</f>
        <v>1.5475013591489768</v>
      </c>
      <c r="J460">
        <f>($B$1+Table4[[#This Row],[Home Differential]])-Table4[[#This Row],[Away Differential]]</f>
        <v>-1.8985149544610347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0.78686521965320266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-6.1308839486784707E-2</v>
      </c>
      <c r="H461" t="s">
        <v>28</v>
      </c>
      <c r="I461">
        <f>VLOOKUP(Table4[[#This Row],[Visitor]],'NHL Model'!$A$6:$B$38,2,FALSE)</f>
        <v>-0.40822279081308277</v>
      </c>
      <c r="J461">
        <f>($B$1+Table4[[#This Row],[Home Differential]])-Table4[[#This Row],[Away Differential]]</f>
        <v>0.50948626098861649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0.58982450492520433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-1.3903684122795328</v>
      </c>
      <c r="H462" t="s">
        <v>23</v>
      </c>
      <c r="I462">
        <f>VLOOKUP(Table4[[#This Row],[Visitor]],'NHL Model'!$A$6:$B$38,2,FALSE)</f>
        <v>-0.8683412362501769</v>
      </c>
      <c r="J462">
        <f>($B$1+Table4[[#This Row],[Home Differential]])-Table4[[#This Row],[Away Differential]]</f>
        <v>-0.3594548663670375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0.50980558608421456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-0.361361309178443</v>
      </c>
      <c r="H463" t="s">
        <v>34</v>
      </c>
      <c r="I463">
        <f>VLOOKUP(Table4[[#This Row],[Visitor]],'NHL Model'!$A$6:$B$38,2,FALSE)</f>
        <v>-0.53650300840565446</v>
      </c>
      <c r="J463">
        <f>($B$1+Table4[[#This Row],[Home Differential]])-Table4[[#This Row],[Away Differential]]</f>
        <v>0.33771400888952985</v>
      </c>
      <c r="K463" t="str">
        <f>IF(Table4[[#This Row],[HomeIce Differential]]&gt;0,Table4[[#This Row],[Home]],Table4[[#This Row],[Visitor]])</f>
        <v>Seattle Kraken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0.61283093776503172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-0.635565543477981</v>
      </c>
      <c r="H464" t="s">
        <v>37</v>
      </c>
      <c r="I464">
        <f>VLOOKUP(Table4[[#This Row],[Visitor]],'NHL Model'!$A$6:$B$38,2,FALSE)</f>
        <v>-0.11309445867623392</v>
      </c>
      <c r="J464">
        <f>($B$1+Table4[[#This Row],[Home Differential]])-Table4[[#This Row],[Away Differential]]</f>
        <v>-0.35989877513942869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0.55696648497142476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-0.12212311954851815</v>
      </c>
      <c r="H465" t="s">
        <v>13</v>
      </c>
      <c r="I465">
        <f>VLOOKUP(Table4[[#This Row],[Visitor]],'NHL Model'!$A$6:$B$38,2,FALSE)</f>
        <v>-7.5459708298993802E-2</v>
      </c>
      <c r="J465">
        <f>($B$1+Table4[[#This Row],[Home Differential]])-Table4[[#This Row],[Away Differential]]</f>
        <v>0.11590889841279405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0.50386506016891963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-0.6902088310934803</v>
      </c>
      <c r="H466" t="s">
        <v>26</v>
      </c>
      <c r="I466">
        <f>VLOOKUP(Table4[[#This Row],[Visitor]],'NHL Model'!$A$6:$B$38,2,FALSE)</f>
        <v>-0.513643833119658</v>
      </c>
      <c r="J466">
        <f>($B$1+Table4[[#This Row],[Home Differential]])-Table4[[#This Row],[Away Differential]]</f>
        <v>-1.3992688311503909E-2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0.50903819968019015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0.67193921242367816</v>
      </c>
      <c r="H467" t="s">
        <v>28</v>
      </c>
      <c r="I467">
        <f>VLOOKUP(Table4[[#This Row],[Visitor]],'NHL Model'!$A$6:$B$38,2,FALSE)</f>
        <v>-0.40822279081308277</v>
      </c>
      <c r="J467">
        <f>($B$1+Table4[[#This Row],[Home Differential]])-Table4[[#This Row],[Away Differential]]</f>
        <v>1.2427343128990793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0.74362017764180188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-0.61980804137564283</v>
      </c>
      <c r="H468" t="s">
        <v>23</v>
      </c>
      <c r="I468">
        <f>VLOOKUP(Table4[[#This Row],[Visitor]],'NHL Model'!$A$6:$B$38,2,FALSE)</f>
        <v>-0.8683412362501769</v>
      </c>
      <c r="J468">
        <f>($B$1+Table4[[#This Row],[Home Differential]])-Table4[[#This Row],[Away Differential]]</f>
        <v>0.41110550453685246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0.63299909586783099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-0.52437726201848234</v>
      </c>
      <c r="H469" t="s">
        <v>37</v>
      </c>
      <c r="I469">
        <f>VLOOKUP(Table4[[#This Row],[Visitor]],'NHL Model'!$A$6:$B$38,2,FALSE)</f>
        <v>-0.11309445867623392</v>
      </c>
      <c r="J469">
        <f>($B$1+Table4[[#This Row],[Home Differential]])-Table4[[#This Row],[Away Differential]]</f>
        <v>-0.24871049367993003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0.5415603852300116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-1.3516250707060606</v>
      </c>
      <c r="H470" t="s">
        <v>12</v>
      </c>
      <c r="I470">
        <f>VLOOKUP(Table4[[#This Row],[Visitor]],'NHL Model'!$A$6:$B$38,2,FALSE)</f>
        <v>1.5475013591489768</v>
      </c>
      <c r="J470">
        <f>($B$1+Table4[[#This Row],[Home Differential]])-Table4[[#This Row],[Away Differential]]</f>
        <v>-2.7365541201927188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0.90548907257565658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-6.4729560818359025E-2</v>
      </c>
      <c r="H471" t="s">
        <v>20</v>
      </c>
      <c r="I471">
        <f>VLOOKUP(Table4[[#This Row],[Visitor]],'NHL Model'!$A$6:$B$38,2,FALSE)</f>
        <v>-6.3745791019188943E-4</v>
      </c>
      <c r="J471">
        <f>($B$1+Table4[[#This Row],[Home Differential]])-Table4[[#This Row],[Away Differential]]</f>
        <v>9.8480206754151256E-2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0.53287605511786251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-0.40651947573390851</v>
      </c>
      <c r="H472" t="s">
        <v>24</v>
      </c>
      <c r="I472">
        <f>VLOOKUP(Table4[[#This Row],[Visitor]],'NHL Model'!$A$6:$B$38,2,FALSE)</f>
        <v>0.559441163373953</v>
      </c>
      <c r="J472">
        <f>($B$1+Table4[[#This Row],[Home Differential]])-Table4[[#This Row],[Away Differential]]</f>
        <v>-0.80338832944554306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0.63512593748243251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-0.51358590497437617</v>
      </c>
      <c r="H473" t="s">
        <v>33</v>
      </c>
      <c r="I473">
        <f>VLOOKUP(Table4[[#This Row],[Visitor]],'NHL Model'!$A$6:$B$38,2,FALSE)</f>
        <v>-0.39418177254008485</v>
      </c>
      <c r="J473">
        <f>($B$1+Table4[[#This Row],[Home Differential]])-Table4[[#This Row],[Away Differential]]</f>
        <v>4.3168177228027071E-2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0.54847680417222555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0.26289091192875702</v>
      </c>
      <c r="H474" t="s">
        <v>31</v>
      </c>
      <c r="I474">
        <f>VLOOKUP(Table4[[#This Row],[Visitor]],'NHL Model'!$A$6:$B$38,2,FALSE)</f>
        <v>0.51775546328552802</v>
      </c>
      <c r="J474">
        <f>($B$1+Table4[[#This Row],[Home Differential]])-Table4[[#This Row],[Away Differential]]</f>
        <v>-9.2292241694452604E-2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0.45723233415943454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-1.6211574240381006</v>
      </c>
      <c r="H475" t="s">
        <v>21</v>
      </c>
      <c r="I475">
        <f>VLOOKUP(Table4[[#This Row],[Visitor]],'NHL Model'!$A$6:$B$38,2,FALSE)</f>
        <v>4.029141914856392E-2</v>
      </c>
      <c r="J475">
        <f>($B$1+Table4[[#This Row],[Home Differential]])-Table4[[#This Row],[Away Differential]]</f>
        <v>-1.4988765335243461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0.66768233011993405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0.105105258369765</v>
      </c>
      <c r="H476" t="s">
        <v>39</v>
      </c>
      <c r="I476">
        <f>VLOOKUP(Table4[[#This Row],[Visitor]],'NHL Model'!$A$6:$B$38,2,FALSE)</f>
        <v>0.19809534061227302</v>
      </c>
      <c r="J476">
        <f>($B$1+Table4[[#This Row],[Home Differential]])-Table4[[#This Row],[Away Differential]]</f>
        <v>6.9582227419810405E-2</v>
      </c>
      <c r="K476" t="str">
        <f>IF(Table4[[#This Row],[HomeIce Differential]]&gt;0,Table4[[#This Row],[Home]],Table4[[#This Row],[Visitor]])</f>
        <v>Winnipeg Jets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0.49351218821758236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-1.3903684122795328</v>
      </c>
      <c r="H477" t="s">
        <v>26</v>
      </c>
      <c r="I477">
        <f>VLOOKUP(Table4[[#This Row],[Visitor]],'NHL Model'!$A$6:$B$38,2,FALSE)</f>
        <v>-0.513643833119658</v>
      </c>
      <c r="J477">
        <f>($B$1+Table4[[#This Row],[Home Differential]])-Table4[[#This Row],[Away Differential]]</f>
        <v>-0.71415226949755639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0.60605137589865332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0.30570968833820172</v>
      </c>
      <c r="H478" t="s">
        <v>15</v>
      </c>
      <c r="I478">
        <f>VLOOKUP(Table4[[#This Row],[Visitor]],'NHL Model'!$A$6:$B$38,2,FALSE)</f>
        <v>-0.30719665303039001</v>
      </c>
      <c r="J478">
        <f>($B$1+Table4[[#This Row],[Home Differential]])-Table4[[#This Row],[Away Differential]]</f>
        <v>0.77547865103091018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0.50503964736239837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-0.361361309178443</v>
      </c>
      <c r="H479" t="s">
        <v>13</v>
      </c>
      <c r="I479">
        <f>VLOOKUP(Table4[[#This Row],[Visitor]],'NHL Model'!$A$6:$B$38,2,FALSE)</f>
        <v>-7.5459708298993802E-2</v>
      </c>
      <c r="J479">
        <f>($B$1+Table4[[#This Row],[Home Differential]])-Table4[[#This Row],[Away Differential]]</f>
        <v>-0.12332929121713081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0.57264389738968136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-0.12212311954851815</v>
      </c>
      <c r="H480" t="s">
        <v>11</v>
      </c>
      <c r="I480">
        <f>VLOOKUP(Table4[[#This Row],[Visitor]],'NHL Model'!$A$6:$B$38,2,FALSE)</f>
        <v>-0.28105923893144158</v>
      </c>
      <c r="J480">
        <f>($B$1+Table4[[#This Row],[Home Differential]])-Table4[[#This Row],[Away Differential]]</f>
        <v>0.32150842904524179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0.6528202845046831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-0.40822279081308277</v>
      </c>
      <c r="H481" t="s">
        <v>36</v>
      </c>
      <c r="I481">
        <f>VLOOKUP(Table4[[#This Row],[Visitor]],'NHL Model'!$A$6:$B$38,2,FALSE)</f>
        <v>-0.40651947573390851</v>
      </c>
      <c r="J481">
        <f>($B$1+Table4[[#This Row],[Home Differential]])-Table4[[#This Row],[Away Differential]]</f>
        <v>0.16086899458314413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0.56228979298282933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1.5475013591489768</v>
      </c>
      <c r="H482" t="s">
        <v>11</v>
      </c>
      <c r="I482">
        <f>VLOOKUP(Table4[[#This Row],[Visitor]],'NHL Model'!$A$6:$B$38,2,FALSE)</f>
        <v>-0.28105923893144158</v>
      </c>
      <c r="J482">
        <f>($B$1+Table4[[#This Row],[Home Differential]])-Table4[[#This Row],[Away Differential]]</f>
        <v>1.9911329077427369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0.90425496347691159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-0.61980804137564283</v>
      </c>
      <c r="H483" t="s">
        <v>26</v>
      </c>
      <c r="I483">
        <f>VLOOKUP(Table4[[#This Row],[Visitor]],'NHL Model'!$A$6:$B$38,2,FALSE)</f>
        <v>-0.513643833119658</v>
      </c>
      <c r="J483">
        <f>($B$1+Table4[[#This Row],[Home Differential]])-Table4[[#This Row],[Away Differential]]</f>
        <v>5.6408101406333566E-2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0.53722759588055768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-0.53650300840565446</v>
      </c>
      <c r="H484" t="s">
        <v>39</v>
      </c>
      <c r="I484">
        <f>VLOOKUP(Table4[[#This Row],[Visitor]],'NHL Model'!$A$6:$B$38,2,FALSE)</f>
        <v>0.19809534061227302</v>
      </c>
      <c r="J484">
        <f>($B$1+Table4[[#This Row],[Home Differential]])-Table4[[#This Row],[Away Differential]]</f>
        <v>-0.57202603935560914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0.6317453516827104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0.559441163373953</v>
      </c>
      <c r="H485" t="s">
        <v>37</v>
      </c>
      <c r="I485">
        <f>VLOOKUP(Table4[[#This Row],[Visitor]],'NHL Model'!$A$6:$B$38,2,FALSE)</f>
        <v>-0.11309445867623392</v>
      </c>
      <c r="J485">
        <f>($B$1+Table4[[#This Row],[Home Differential]])-Table4[[#This Row],[Away Differential]]</f>
        <v>0.8351079317125053</v>
      </c>
      <c r="K485" t="str">
        <f>IF(Table4[[#This Row],[HomeIce Differential]]&gt;0,Table4[[#This Row],[Home]],Table4[[#This Row],[Visitor]])</f>
        <v>New Jersey Devils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0.72736192482535611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-1.3516250707060606</v>
      </c>
      <c r="H486" t="s">
        <v>35</v>
      </c>
      <c r="I486">
        <f>VLOOKUP(Table4[[#This Row],[Visitor]],'NHL Model'!$A$6:$B$38,2,FALSE)</f>
        <v>-1.6211574240381006</v>
      </c>
      <c r="J486">
        <f>($B$1+Table4[[#This Row],[Home Differential]])-Table4[[#This Row],[Away Differential]]</f>
        <v>0.43210466299435835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0.59987184485125544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-6.4729560818359025E-2</v>
      </c>
      <c r="H487" t="s">
        <v>31</v>
      </c>
      <c r="I487">
        <f>VLOOKUP(Table4[[#This Row],[Visitor]],'NHL Model'!$A$6:$B$38,2,FALSE)</f>
        <v>0.51775546328552802</v>
      </c>
      <c r="J487">
        <f>($B$1+Table4[[#This Row],[Home Differential]])-Table4[[#This Row],[Away Differential]]</f>
        <v>-0.41991271444156864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0.53895177551636608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-0.51358590497437617</v>
      </c>
      <c r="H488" t="s">
        <v>20</v>
      </c>
      <c r="I488">
        <f>VLOOKUP(Table4[[#This Row],[Visitor]],'NHL Model'!$A$6:$B$38,2,FALSE)</f>
        <v>-6.3745791019188943E-4</v>
      </c>
      <c r="J488">
        <f>($B$1+Table4[[#This Row],[Home Differential]])-Table4[[#This Row],[Away Differential]]</f>
        <v>-0.35037613740186591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0.5268085190923889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0.26289091192875702</v>
      </c>
      <c r="H489" t="s">
        <v>18</v>
      </c>
      <c r="I489">
        <f>VLOOKUP(Table4[[#This Row],[Visitor]],'NHL Model'!$A$6:$B$38,2,FALSE)</f>
        <v>-0.52437726201848234</v>
      </c>
      <c r="J489">
        <f>($B$1+Table4[[#This Row],[Home Differential]])-Table4[[#This Row],[Away Differential]]</f>
        <v>0.94984048360955775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0.63160862850687483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-0.635565543477981</v>
      </c>
      <c r="H490" t="s">
        <v>33</v>
      </c>
      <c r="I490">
        <f>VLOOKUP(Table4[[#This Row],[Visitor]],'NHL Model'!$A$6:$B$38,2,FALSE)</f>
        <v>-0.39418177254008485</v>
      </c>
      <c r="J490">
        <f>($B$1+Table4[[#This Row],[Home Differential]])-Table4[[#This Row],[Away Differential]]</f>
        <v>-7.8811461275577754E-2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0.47092001078926965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-0.6902088310934803</v>
      </c>
      <c r="H491" t="s">
        <v>23</v>
      </c>
      <c r="I491">
        <f>VLOOKUP(Table4[[#This Row],[Visitor]],'NHL Model'!$A$6:$B$38,2,FALSE)</f>
        <v>-0.8683412362501769</v>
      </c>
      <c r="J491">
        <f>($B$1+Table4[[#This Row],[Home Differential]])-Table4[[#This Row],[Away Differential]]</f>
        <v>0.34070471481901499</v>
      </c>
      <c r="K491" t="str">
        <f>IF(Table4[[#This Row],[HomeIce Differential]]&gt;0,Table4[[#This Row],[Home]],Table4[[#This Row],[Visitor]])</f>
        <v>Vancouver Canucks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0.58720759013424861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0.105105258369765</v>
      </c>
      <c r="H492" t="s">
        <v>21</v>
      </c>
      <c r="I492">
        <f>VLOOKUP(Table4[[#This Row],[Visitor]],'NHL Model'!$A$6:$B$38,2,FALSE)</f>
        <v>4.029141914856392E-2</v>
      </c>
      <c r="J492">
        <f>($B$1+Table4[[#This Row],[Home Differential]])-Table4[[#This Row],[Away Differential]]</f>
        <v>0.22738614888351949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0.6075431873811582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-6.1308839486784707E-2</v>
      </c>
      <c r="H493" t="s">
        <v>25</v>
      </c>
      <c r="I493">
        <f>VLOOKUP(Table4[[#This Row],[Visitor]],'NHL Model'!$A$6:$B$38,2,FALSE)</f>
        <v>0.67193921242367816</v>
      </c>
      <c r="J493">
        <f>($B$1+Table4[[#This Row],[Home Differential]])-Table4[[#This Row],[Away Differential]]</f>
        <v>-0.57067574224814444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0.63155825631937645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-1.6211574240381006</v>
      </c>
      <c r="H494" t="s">
        <v>10</v>
      </c>
      <c r="I494">
        <f>VLOOKUP(Table4[[#This Row],[Visitor]],'NHL Model'!$A$6:$B$38,2,FALSE)</f>
        <v>0.30570968833820172</v>
      </c>
      <c r="J494">
        <f>($B$1+Table4[[#This Row],[Home Differential]])-Table4[[#This Row],[Away Differential]]</f>
        <v>-1.764294802713984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0.7252275616929752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-0.12212311954851815</v>
      </c>
      <c r="H495" t="s">
        <v>32</v>
      </c>
      <c r="I495">
        <f>VLOOKUP(Table4[[#This Row],[Visitor]],'NHL Model'!$A$6:$B$38,2,FALSE)</f>
        <v>-0.361361309178443</v>
      </c>
      <c r="J495">
        <f>($B$1+Table4[[#This Row],[Home Differential]])-Table4[[#This Row],[Away Differential]]</f>
        <v>0.40181049929224322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0.66394683208171279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-0.40822279081308277</v>
      </c>
      <c r="H496" t="s">
        <v>20</v>
      </c>
      <c r="I496">
        <f>VLOOKUP(Table4[[#This Row],[Visitor]],'NHL Model'!$A$6:$B$38,2,FALSE)</f>
        <v>-6.3745791019188943E-4</v>
      </c>
      <c r="J496">
        <f>($B$1+Table4[[#This Row],[Home Differential]])-Table4[[#This Row],[Away Differential]]</f>
        <v>-0.24501302324057248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0.51471790795392502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0.30570968833820172</v>
      </c>
      <c r="H497" t="s">
        <v>26</v>
      </c>
      <c r="I497">
        <f>VLOOKUP(Table4[[#This Row],[Visitor]],'NHL Model'!$A$6:$B$38,2,FALSE)</f>
        <v>-0.513643833119658</v>
      </c>
      <c r="J497">
        <f>($B$1+Table4[[#This Row],[Home Differential]])-Table4[[#This Row],[Away Differential]]</f>
        <v>0.98192583112017817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0.62895493991405704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1.5475013591489768</v>
      </c>
      <c r="H498" t="s">
        <v>29</v>
      </c>
      <c r="I498">
        <f>VLOOKUP(Table4[[#This Row],[Visitor]],'NHL Model'!$A$6:$B$38,2,FALSE)</f>
        <v>-1.3516250707060606</v>
      </c>
      <c r="J498">
        <f>($B$1+Table4[[#This Row],[Home Differential]])-Table4[[#This Row],[Away Differential]]</f>
        <v>3.0616987395173556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0.19809534061227302</v>
      </c>
      <c r="H499" t="s">
        <v>11</v>
      </c>
      <c r="I499">
        <f>VLOOKUP(Table4[[#This Row],[Visitor]],'NHL Model'!$A$6:$B$38,2,FALSE)</f>
        <v>-0.28105923893144158</v>
      </c>
      <c r="J499">
        <f>($B$1+Table4[[#This Row],[Home Differential]])-Table4[[#This Row],[Away Differential]]</f>
        <v>0.64172688920603305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0.65495455632762667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-7.5459708298993802E-2</v>
      </c>
      <c r="H500" t="s">
        <v>16</v>
      </c>
      <c r="I500">
        <f>VLOOKUP(Table4[[#This Row],[Visitor]],'NHL Model'!$A$6:$B$38,2,FALSE)</f>
        <v>-1.3903684122795328</v>
      </c>
      <c r="J500">
        <f>($B$1+Table4[[#This Row],[Home Differential]])-Table4[[#This Row],[Away Differential]]</f>
        <v>1.4774810136428573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0.74471779546765893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-0.53650300840565446</v>
      </c>
      <c r="H501" t="s">
        <v>36</v>
      </c>
      <c r="I501">
        <f>VLOOKUP(Table4[[#This Row],[Visitor]],'NHL Model'!$A$6:$B$38,2,FALSE)</f>
        <v>-0.40651947573390851</v>
      </c>
      <c r="J501">
        <f>($B$1+Table4[[#This Row],[Home Differential]])-Table4[[#This Row],[Away Differential]]</f>
        <v>3.2588776990572443E-2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0.54451545740411789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0.559441163373953</v>
      </c>
      <c r="H502" t="s">
        <v>31</v>
      </c>
      <c r="I502">
        <f>VLOOKUP(Table4[[#This Row],[Visitor]],'NHL Model'!$A$6:$B$38,2,FALSE)</f>
        <v>0.51775546328552802</v>
      </c>
      <c r="J502">
        <f>($B$1+Table4[[#This Row],[Home Differential]])-Table4[[#This Row],[Away Differential]]</f>
        <v>0.20425800975074337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0.66466535332423848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-6.4729560818359025E-2</v>
      </c>
      <c r="H503" t="s">
        <v>37</v>
      </c>
      <c r="I503">
        <f>VLOOKUP(Table4[[#This Row],[Visitor]],'NHL Model'!$A$6:$B$38,2,FALSE)</f>
        <v>-0.11309445867623392</v>
      </c>
      <c r="J503">
        <f>($B$1+Table4[[#This Row],[Home Differential]])-Table4[[#This Row],[Away Differential]]</f>
        <v>0.21093720752019329</v>
      </c>
      <c r="K503" t="str">
        <f>IF(Table4[[#This Row],[HomeIce Differential]]&gt;0,Table4[[#This Row],[Home]],Table4[[#This Row],[Visitor]])</f>
        <v>New York Islanders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0.52212778619999511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-0.30719665303039001</v>
      </c>
      <c r="H504" t="s">
        <v>18</v>
      </c>
      <c r="I504">
        <f>VLOOKUP(Table4[[#This Row],[Visitor]],'NHL Model'!$A$6:$B$38,2,FALSE)</f>
        <v>-0.52437726201848234</v>
      </c>
      <c r="J504">
        <f>($B$1+Table4[[#This Row],[Home Differential]])-Table4[[#This Row],[Away Differential]]</f>
        <v>0.37975291865041072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0.51613737039693453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-0.51358590497437617</v>
      </c>
      <c r="H505" t="s">
        <v>25</v>
      </c>
      <c r="I505">
        <f>VLOOKUP(Table4[[#This Row],[Visitor]],'NHL Model'!$A$6:$B$38,2,FALSE)</f>
        <v>0.67193921242367816</v>
      </c>
      <c r="J505">
        <f>($B$1+Table4[[#This Row],[Home Differential]])-Table4[[#This Row],[Away Differential]]</f>
        <v>-1.0229528077357359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0.69173897446626198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0.26289091192875702</v>
      </c>
      <c r="H506" t="s">
        <v>33</v>
      </c>
      <c r="I506">
        <f>VLOOKUP(Table4[[#This Row],[Visitor]],'NHL Model'!$A$6:$B$38,2,FALSE)</f>
        <v>-0.39418177254008485</v>
      </c>
      <c r="J506">
        <f>($B$1+Table4[[#This Row],[Home Differential]])-Table4[[#This Row],[Away Differential]]</f>
        <v>0.81964499413116032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0.68960578177374265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-0.635565543477981</v>
      </c>
      <c r="H507" t="s">
        <v>17</v>
      </c>
      <c r="I507">
        <f>VLOOKUP(Table4[[#This Row],[Visitor]],'NHL Model'!$A$6:$B$38,2,FALSE)</f>
        <v>-0.61980804137564283</v>
      </c>
      <c r="J507">
        <f>($B$1+Table4[[#This Row],[Home Differential]])-Table4[[#This Row],[Away Differential]]</f>
        <v>0.14681480755998022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0.5603424636040385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0.105105258369765</v>
      </c>
      <c r="H508" t="s">
        <v>22</v>
      </c>
      <c r="I508">
        <f>VLOOKUP(Table4[[#This Row],[Visitor]],'NHL Model'!$A$6:$B$38,2,FALSE)</f>
        <v>-6.1308839486784707E-2</v>
      </c>
      <c r="J508">
        <f>($B$1+Table4[[#This Row],[Home Differential]])-Table4[[#This Row],[Away Differential]]</f>
        <v>0.32898640751886815</v>
      </c>
      <c r="K508" t="str">
        <f>IF(Table4[[#This Row],[HomeIce Differential]]&gt;0,Table4[[#This Row],[Home]],Table4[[#This Row],[Visitor]])</f>
        <v>Winnipeg Jets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0.62162078348879946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0.67193921242367816</v>
      </c>
      <c r="H509" t="s">
        <v>27</v>
      </c>
      <c r="I509">
        <f>VLOOKUP(Table4[[#This Row],[Visitor]],'NHL Model'!$A$6:$B$38,2,FALSE)</f>
        <v>-0.51358590497437617</v>
      </c>
      <c r="J509">
        <f>($B$1+Table4[[#This Row],[Home Differential]])-Table4[[#This Row],[Away Differential]]</f>
        <v>1.3480974270603727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0.77850655488706844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-0.53650300840565446</v>
      </c>
      <c r="H510" t="s">
        <v>21</v>
      </c>
      <c r="I510">
        <f>VLOOKUP(Table4[[#This Row],[Visitor]],'NHL Model'!$A$6:$B$38,2,FALSE)</f>
        <v>4.029141914856392E-2</v>
      </c>
      <c r="J510">
        <f>($B$1+Table4[[#This Row],[Home Differential]])-Table4[[#This Row],[Away Differential]]</f>
        <v>-0.4142221178919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0.51739406329134219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-0.52437726201848234</v>
      </c>
      <c r="H511" t="s">
        <v>17</v>
      </c>
      <c r="I511">
        <f>VLOOKUP(Table4[[#This Row],[Visitor]],'NHL Model'!$A$6:$B$38,2,FALSE)</f>
        <v>-0.61980804137564283</v>
      </c>
      <c r="J511">
        <f>($B$1+Table4[[#This Row],[Home Differential]])-Table4[[#This Row],[Away Differential]]</f>
        <v>0.25800308901947888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0.57574856334545177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0.559441163373953</v>
      </c>
      <c r="H512" t="s">
        <v>38</v>
      </c>
      <c r="I512">
        <f>VLOOKUP(Table4[[#This Row],[Visitor]],'NHL Model'!$A$6:$B$38,2,FALSE)</f>
        <v>-0.6902088310934803</v>
      </c>
      <c r="J512">
        <f>($B$1+Table4[[#This Row],[Home Differential]])-Table4[[#This Row],[Away Differential]]</f>
        <v>1.4122223041297517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0.81167563585733127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0.26289091192875702</v>
      </c>
      <c r="H513" t="s">
        <v>55</v>
      </c>
      <c r="I513">
        <f>VLOOKUP(Table4[[#This Row],[Visitor]],'NHL Model'!$A$6:$B$38,2,FALSE)</f>
        <v>-0.12212311954851815</v>
      </c>
      <c r="J513">
        <f>($B$1+Table4[[#This Row],[Home Differential]])-Table4[[#This Row],[Away Differential]]</f>
        <v>0.54758634113959359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0.65190969826129674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-0.361361309178443</v>
      </c>
      <c r="H514" t="s">
        <v>23</v>
      </c>
      <c r="I514">
        <f>VLOOKUP(Table4[[#This Row],[Visitor]],'NHL Model'!$A$6:$B$38,2,FALSE)</f>
        <v>-0.8683412362501769</v>
      </c>
      <c r="J514">
        <f>($B$1+Table4[[#This Row],[Home Differential]])-Table4[[#This Row],[Away Differential]]</f>
        <v>0.66955223673405229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0.65880999930892947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0.19809534061227302</v>
      </c>
      <c r="H515" t="s">
        <v>13</v>
      </c>
      <c r="I515">
        <f>VLOOKUP(Table4[[#This Row],[Visitor]],'NHL Model'!$A$6:$B$38,2,FALSE)</f>
        <v>-7.5459708298993802E-2</v>
      </c>
      <c r="J515">
        <f>($B$1+Table4[[#This Row],[Home Differential]])-Table4[[#This Row],[Away Differential]]</f>
        <v>0.4361273585735852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0.50487366862119543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-0.30719665303039001</v>
      </c>
      <c r="H516" t="s">
        <v>31</v>
      </c>
      <c r="I516">
        <f>VLOOKUP(Table4[[#This Row],[Visitor]],'NHL Model'!$A$6:$B$38,2,FALSE)</f>
        <v>0.51775546328552802</v>
      </c>
      <c r="J516">
        <f>($B$1+Table4[[#This Row],[Home Differential]])-Table4[[#This Row],[Away Differential]]</f>
        <v>-0.66237980665359963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0.57254769189888222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-1.6211574240381006</v>
      </c>
      <c r="H517" t="s">
        <v>29</v>
      </c>
      <c r="I517">
        <f>VLOOKUP(Table4[[#This Row],[Visitor]],'NHL Model'!$A$6:$B$38,2,FALSE)</f>
        <v>-1.3516250707060606</v>
      </c>
      <c r="J517">
        <f>($B$1+Table4[[#This Row],[Home Differential]])-Table4[[#This Row],[Away Differential]]</f>
        <v>-0.10696004366972156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0.47482024076180979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-0.11309445867623392</v>
      </c>
      <c r="H518" t="s">
        <v>11</v>
      </c>
      <c r="I518">
        <f>VLOOKUP(Table4[[#This Row],[Visitor]],'NHL Model'!$A$6:$B$38,2,FALSE)</f>
        <v>-0.28105923893144158</v>
      </c>
      <c r="J518">
        <f>($B$1+Table4[[#This Row],[Home Differential]])-Table4[[#This Row],[Away Differential]]</f>
        <v>0.33053708991752606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0.58579877761093724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0.105105258369765</v>
      </c>
      <c r="H519" t="s">
        <v>36</v>
      </c>
      <c r="I519">
        <f>VLOOKUP(Table4[[#This Row],[Visitor]],'NHL Model'!$A$6:$B$38,2,FALSE)</f>
        <v>-0.40651947573390851</v>
      </c>
      <c r="J519">
        <f>($B$1+Table4[[#This Row],[Home Differential]])-Table4[[#This Row],[Away Differential]]</f>
        <v>0.67419704376599188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0.66945270807661816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4.029141914856392E-2</v>
      </c>
      <c r="H520" t="s">
        <v>55</v>
      </c>
      <c r="I520">
        <f>VLOOKUP(Table4[[#This Row],[Visitor]],'NHL Model'!$A$6:$B$38,2,FALSE)</f>
        <v>-0.12212311954851815</v>
      </c>
      <c r="J520">
        <f>($B$1+Table4[[#This Row],[Home Differential]])-Table4[[#This Row],[Away Differential]]</f>
        <v>0.3249868483594005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0.65758717081407603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-0.40822279081308277</v>
      </c>
      <c r="H521" t="s">
        <v>31</v>
      </c>
      <c r="I521">
        <f>VLOOKUP(Table4[[#This Row],[Visitor]],'NHL Model'!$A$6:$B$38,2,FALSE)</f>
        <v>0.51775546328552802</v>
      </c>
      <c r="J521">
        <f>($B$1+Table4[[#This Row],[Home Differential]])-Table4[[#This Row],[Away Differential]]</f>
        <v>-0.76340594443629239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0.58654573858815362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-0.513643833119658</v>
      </c>
      <c r="H522" t="s">
        <v>30</v>
      </c>
      <c r="I522">
        <f>VLOOKUP(Table4[[#This Row],[Visitor]],'NHL Model'!$A$6:$B$38,2,FALSE)</f>
        <v>-6.4729560818359025E-2</v>
      </c>
      <c r="J522">
        <f>($B$1+Table4[[#This Row],[Home Differential]])-Table4[[#This Row],[Away Differential]]</f>
        <v>-0.2863419626389806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0.51586563600644142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-0.53650300840565446</v>
      </c>
      <c r="H523" t="s">
        <v>22</v>
      </c>
      <c r="I523">
        <f>VLOOKUP(Table4[[#This Row],[Visitor]],'NHL Model'!$A$6:$B$38,2,FALSE)</f>
        <v>-6.1308839486784707E-2</v>
      </c>
      <c r="J523">
        <f>($B$1+Table4[[#This Row],[Home Differential]])-Table4[[#This Row],[Away Differential]]</f>
        <v>-0.31262185925655134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0.50331646718370093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-0.52437726201848234</v>
      </c>
      <c r="H524" t="s">
        <v>27</v>
      </c>
      <c r="I524">
        <f>VLOOKUP(Table4[[#This Row],[Visitor]],'NHL Model'!$A$6:$B$38,2,FALSE)</f>
        <v>-0.51358590497437617</v>
      </c>
      <c r="J524">
        <f>($B$1+Table4[[#This Row],[Home Differential]])-Table4[[#This Row],[Away Differential]]</f>
        <v>0.15178095261821223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0.56103056602898083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-0.30719665303039001</v>
      </c>
      <c r="H525" t="s">
        <v>38</v>
      </c>
      <c r="I525">
        <f>VLOOKUP(Table4[[#This Row],[Visitor]],'NHL Model'!$A$6:$B$38,2,FALSE)</f>
        <v>-0.6902088310934803</v>
      </c>
      <c r="J525">
        <f>($B$1+Table4[[#This Row],[Home Differential]])-Table4[[#This Row],[Away Differential]]</f>
        <v>0.54558448772540868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0.57308289495300735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0.26289091192875702</v>
      </c>
      <c r="H526" t="s">
        <v>17</v>
      </c>
      <c r="I526">
        <f>VLOOKUP(Table4[[#This Row],[Visitor]],'NHL Model'!$A$6:$B$38,2,FALSE)</f>
        <v>-0.61980804137564283</v>
      </c>
      <c r="J526">
        <f>($B$1+Table4[[#This Row],[Home Differential]])-Table4[[#This Row],[Away Differential]]</f>
        <v>1.0452712629667182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0.72086825616705075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-0.361361309178443</v>
      </c>
      <c r="H527" t="s">
        <v>12</v>
      </c>
      <c r="I527">
        <f>VLOOKUP(Table4[[#This Row],[Visitor]],'NHL Model'!$A$6:$B$38,2,FALSE)</f>
        <v>1.5475013591489768</v>
      </c>
      <c r="J527">
        <f>($B$1+Table4[[#This Row],[Home Differential]])-Table4[[#This Row],[Away Differential]]</f>
        <v>-1.7462903586651013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0.7419636592086607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-0.39418177254008485</v>
      </c>
      <c r="H528" t="s">
        <v>16</v>
      </c>
      <c r="I528">
        <f>VLOOKUP(Table4[[#This Row],[Visitor]],'NHL Model'!$A$6:$B$38,2,FALSE)</f>
        <v>-1.3903684122795328</v>
      </c>
      <c r="J528">
        <f>($B$1+Table4[[#This Row],[Home Differential]])-Table4[[#This Row],[Away Differential]]</f>
        <v>1.1587589494017663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0.7005560920306293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-0.635565543477981</v>
      </c>
      <c r="H529" t="s">
        <v>10</v>
      </c>
      <c r="I529">
        <f>VLOOKUP(Table4[[#This Row],[Visitor]],'NHL Model'!$A$6:$B$38,2,FALSE)</f>
        <v>0.30570968833820172</v>
      </c>
      <c r="J529">
        <f>($B$1+Table4[[#This Row],[Home Differential]])-Table4[[#This Row],[Away Differential]]</f>
        <v>-0.77870292215386439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0.58866526738530423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-0.513643833119658</v>
      </c>
      <c r="H530" t="s">
        <v>55</v>
      </c>
      <c r="I530">
        <f>VLOOKUP(Table4[[#This Row],[Visitor]],'NHL Model'!$A$6:$B$38,2,FALSE)</f>
        <v>-0.12212311954851815</v>
      </c>
      <c r="J530">
        <f>($B$1+Table4[[#This Row],[Home Differential]])-Table4[[#This Row],[Away Differential]]</f>
        <v>-0.22894840390882146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0.46568504914192715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-0.28105923893144158</v>
      </c>
      <c r="H531" t="s">
        <v>13</v>
      </c>
      <c r="I531">
        <f>VLOOKUP(Table4[[#This Row],[Visitor]],'NHL Model'!$A$6:$B$38,2,FALSE)</f>
        <v>-7.5459708298993802E-2</v>
      </c>
      <c r="J531">
        <f>($B$1+Table4[[#This Row],[Home Differential]])-Table4[[#This Row],[Away Differential]]</f>
        <v>-4.3027220970129385E-2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0.53537355896297856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-1.3516250707060606</v>
      </c>
      <c r="H532" t="s">
        <v>25</v>
      </c>
      <c r="I532">
        <f>VLOOKUP(Table4[[#This Row],[Visitor]],'NHL Model'!$A$6:$B$38,2,FALSE)</f>
        <v>0.67193921242367816</v>
      </c>
      <c r="J532">
        <f>($B$1+Table4[[#This Row],[Home Differential]])-Table4[[#This Row],[Away Differential]]</f>
        <v>-1.8609919734674203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0.81034274956985941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-1.6211574240381006</v>
      </c>
      <c r="H533" t="s">
        <v>40</v>
      </c>
      <c r="I533">
        <f>VLOOKUP(Table4[[#This Row],[Visitor]],'NHL Model'!$A$6:$B$38,2,FALSE)</f>
        <v>0.105105258369765</v>
      </c>
      <c r="J533">
        <f>($B$1+Table4[[#This Row],[Home Differential]])-Table4[[#This Row],[Away Differential]]</f>
        <v>-1.5636903727455471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0.74297863857060653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-6.3745791019188943E-4</v>
      </c>
      <c r="H534" t="s">
        <v>24</v>
      </c>
      <c r="I534">
        <f>VLOOKUP(Table4[[#This Row],[Visitor]],'NHL Model'!$A$6:$B$38,2,FALSE)</f>
        <v>0.559441163373953</v>
      </c>
      <c r="J534">
        <f>($B$1+Table4[[#This Row],[Home Differential]])-Table4[[#This Row],[Away Differential]]</f>
        <v>-0.39750631162182648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0.58139373297906938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4.029141914856392E-2</v>
      </c>
      <c r="H535" t="s">
        <v>17</v>
      </c>
      <c r="I535">
        <f>VLOOKUP(Table4[[#This Row],[Visitor]],'NHL Model'!$A$6:$B$38,2,FALSE)</f>
        <v>-0.61980804137564283</v>
      </c>
      <c r="J535">
        <f>($B$1+Table4[[#This Row],[Home Differential]])-Table4[[#This Row],[Away Differential]]</f>
        <v>0.82267177018652515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0.72654572871983003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-0.8683412362501769</v>
      </c>
      <c r="H536" t="s">
        <v>27</v>
      </c>
      <c r="I536">
        <f>VLOOKUP(Table4[[#This Row],[Visitor]],'NHL Model'!$A$6:$B$38,2,FALSE)</f>
        <v>-0.51358590497437617</v>
      </c>
      <c r="J536">
        <f>($B$1+Table4[[#This Row],[Home Differential]])-Table4[[#This Row],[Away Differential]]</f>
        <v>-0.19218302161348233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0.48662862273540919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-0.40822279081308277</v>
      </c>
      <c r="H537" t="s">
        <v>34</v>
      </c>
      <c r="I537">
        <f>VLOOKUP(Table4[[#This Row],[Visitor]],'NHL Model'!$A$6:$B$38,2,FALSE)</f>
        <v>-0.53650300840565446</v>
      </c>
      <c r="J537">
        <f>($B$1+Table4[[#This Row],[Home Differential]])-Table4[[#This Row],[Away Differential]]</f>
        <v>0.29085252725489008</v>
      </c>
      <c r="K537" t="str">
        <f>IF(Table4[[#This Row],[HomeIce Differential]]&gt;0,Table4[[#This Row],[Home]],Table4[[#This Row],[Visitor]])</f>
        <v>Columbus Blue Jackets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0.58030013762343424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-1.3903684122795328</v>
      </c>
      <c r="H538" t="s">
        <v>32</v>
      </c>
      <c r="I538">
        <f>VLOOKUP(Table4[[#This Row],[Visitor]],'NHL Model'!$A$6:$B$38,2,FALSE)</f>
        <v>-0.361361309178443</v>
      </c>
      <c r="J538">
        <f>($B$1+Table4[[#This Row],[Home Differential]])-Table4[[#This Row],[Away Differential]]</f>
        <v>-0.86643479343877139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0.58005204749936468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-0.52437726201848234</v>
      </c>
      <c r="H539" t="s">
        <v>10</v>
      </c>
      <c r="I539">
        <f>VLOOKUP(Table4[[#This Row],[Visitor]],'NHL Model'!$A$6:$B$38,2,FALSE)</f>
        <v>0.30570968833820172</v>
      </c>
      <c r="J539">
        <f>($B$1+Table4[[#This Row],[Home Differential]])-Table4[[#This Row],[Away Differential]]</f>
        <v>-0.66751464069436572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0.57325916764389107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-0.40651947573390851</v>
      </c>
      <c r="H540" t="s">
        <v>14</v>
      </c>
      <c r="I540">
        <f>VLOOKUP(Table4[[#This Row],[Visitor]],'NHL Model'!$A$6:$B$38,2,FALSE)</f>
        <v>0.26289091192875702</v>
      </c>
      <c r="J540">
        <f>($B$1+Table4[[#This Row],[Home Differential]])-Table4[[#This Row],[Away Differential]]</f>
        <v>-0.50683807800034719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0.52773132779297649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-0.39418177254008485</v>
      </c>
      <c r="H541" t="s">
        <v>39</v>
      </c>
      <c r="I541">
        <f>VLOOKUP(Table4[[#This Row],[Visitor]],'NHL Model'!$A$6:$B$38,2,FALSE)</f>
        <v>0.19809534061227302</v>
      </c>
      <c r="J541">
        <f>($B$1+Table4[[#This Row],[Home Differential]])-Table4[[#This Row],[Away Differential]]</f>
        <v>-0.42970480349003948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0.6120255113696389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-1.6211574240381006</v>
      </c>
      <c r="H542" t="s">
        <v>15</v>
      </c>
      <c r="I542">
        <f>VLOOKUP(Table4[[#This Row],[Visitor]],'NHL Model'!$A$6:$B$38,2,FALSE)</f>
        <v>-0.30719665303039001</v>
      </c>
      <c r="J542">
        <f>($B$1+Table4[[#This Row],[Home Differential]])-Table4[[#This Row],[Away Differential]]</f>
        <v>-1.1513884613453922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0.76194448560606887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-0.11309445867623392</v>
      </c>
      <c r="H543" t="s">
        <v>13</v>
      </c>
      <c r="I543">
        <f>VLOOKUP(Table4[[#This Row],[Visitor]],'NHL Model'!$A$6:$B$38,2,FALSE)</f>
        <v>-7.5459708298993802E-2</v>
      </c>
      <c r="J543">
        <f>($B$1+Table4[[#This Row],[Home Differential]])-Table4[[#This Row],[Away Differential]]</f>
        <v>0.12493755928507827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0.43591583247190885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-6.1308839486784707E-2</v>
      </c>
      <c r="H544" t="s">
        <v>19</v>
      </c>
      <c r="I544">
        <f>VLOOKUP(Table4[[#This Row],[Visitor]],'NHL Model'!$A$6:$B$38,2,FALSE)</f>
        <v>-0.635565543477981</v>
      </c>
      <c r="J544">
        <f>($B$1+Table4[[#This Row],[Home Differential]])-Table4[[#This Row],[Away Differential]]</f>
        <v>0.73682901365351472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0.64209404379406754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0.51775546328552802</v>
      </c>
      <c r="H545" t="s">
        <v>39</v>
      </c>
      <c r="I545">
        <f>VLOOKUP(Table4[[#This Row],[Visitor]],'NHL Model'!$A$6:$B$38,2,FALSE)</f>
        <v>0.19809534061227302</v>
      </c>
      <c r="J545">
        <f>($B$1+Table4[[#This Row],[Home Differential]])-Table4[[#This Row],[Away Differential]]</f>
        <v>0.48223243233557339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0.62237303716050629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1.5475013591489768</v>
      </c>
      <c r="H546" t="s">
        <v>40</v>
      </c>
      <c r="I546">
        <f>VLOOKUP(Table4[[#This Row],[Visitor]],'NHL Model'!$A$6:$B$38,2,FALSE)</f>
        <v>0.105105258369765</v>
      </c>
      <c r="J546">
        <f>($B$1+Table4[[#This Row],[Home Differential]])-Table4[[#This Row],[Away Differential]]</f>
        <v>1.6049684104415303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0.78689840788856369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-0.28105923893144158</v>
      </c>
      <c r="H547" t="s">
        <v>25</v>
      </c>
      <c r="I547">
        <f>VLOOKUP(Table4[[#This Row],[Visitor]],'NHL Model'!$A$6:$B$38,2,FALSE)</f>
        <v>0.67193921242367816</v>
      </c>
      <c r="J547">
        <f>($B$1+Table4[[#This Row],[Home Differential]])-Table4[[#This Row],[Away Differential]]</f>
        <v>-0.79042614169280134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0.60952039025421423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-6.4729560818359025E-2</v>
      </c>
      <c r="H548" t="s">
        <v>38</v>
      </c>
      <c r="I548">
        <f>VLOOKUP(Table4[[#This Row],[Visitor]],'NHL Model'!$A$6:$B$38,2,FALSE)</f>
        <v>-0.6902088310934803</v>
      </c>
      <c r="J548">
        <f>($B$1+Table4[[#This Row],[Home Differential]])-Table4[[#This Row],[Away Differential]]</f>
        <v>0.78805157993743968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0.60667881133552348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-0.12212311954851815</v>
      </c>
      <c r="H549" t="s">
        <v>24</v>
      </c>
      <c r="I549">
        <f>VLOOKUP(Table4[[#This Row],[Visitor]],'NHL Model'!$A$6:$B$38,2,FALSE)</f>
        <v>0.559441163373953</v>
      </c>
      <c r="J549">
        <f>($B$1+Table4[[#This Row],[Home Differential]])-Table4[[#This Row],[Away Differential]]</f>
        <v>-0.51899197326015278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0.52843257361843121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0.51775546328552802</v>
      </c>
      <c r="H550" t="s">
        <v>28</v>
      </c>
      <c r="I550">
        <f>VLOOKUP(Table4[[#This Row],[Visitor]],'NHL Model'!$A$6:$B$38,2,FALSE)</f>
        <v>-0.40822279081308277</v>
      </c>
      <c r="J550">
        <f>($B$1+Table4[[#This Row],[Home Differential]])-Table4[[#This Row],[Away Differential]]</f>
        <v>1.0885505637609292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0.77582811190836853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4.029141914856392E-2</v>
      </c>
      <c r="H551" t="s">
        <v>38</v>
      </c>
      <c r="I551">
        <f>VLOOKUP(Table4[[#This Row],[Visitor]],'NHL Model'!$A$6:$B$38,2,FALSE)</f>
        <v>-0.6902088310934803</v>
      </c>
      <c r="J551">
        <f>($B$1+Table4[[#This Row],[Home Differential]])-Table4[[#This Row],[Away Differential]]</f>
        <v>0.89307255990436263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0.69517151226373119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-0.8683412362501769</v>
      </c>
      <c r="H552" t="s">
        <v>30</v>
      </c>
      <c r="I552">
        <f>VLOOKUP(Table4[[#This Row],[Visitor]],'NHL Model'!$A$6:$B$38,2,FALSE)</f>
        <v>-6.4729560818359025E-2</v>
      </c>
      <c r="J552">
        <f>($B$1+Table4[[#This Row],[Home Differential]])-Table4[[#This Row],[Away Differential]]</f>
        <v>-0.64103936576949949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0.59133412096374416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-1.3903684122795328</v>
      </c>
      <c r="H553" t="s">
        <v>20</v>
      </c>
      <c r="I553">
        <f>VLOOKUP(Table4[[#This Row],[Visitor]],'NHL Model'!$A$6:$B$38,2,FALSE)</f>
        <v>-6.3745791019188943E-4</v>
      </c>
      <c r="J553">
        <f>($B$1+Table4[[#This Row],[Home Differential]])-Table4[[#This Row],[Away Differential]]</f>
        <v>-1.2271586447070224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0.65080269320547146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-0.28105923893144158</v>
      </c>
      <c r="H554" t="s">
        <v>35</v>
      </c>
      <c r="I554">
        <f>VLOOKUP(Table4[[#This Row],[Visitor]],'NHL Model'!$A$6:$B$38,2,FALSE)</f>
        <v>-1.6211574240381006</v>
      </c>
      <c r="J554">
        <f>($B$1+Table4[[#This Row],[Home Differential]])-Table4[[#This Row],[Away Differential]]</f>
        <v>1.5026704947689775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0.79992399265295755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-0.53650300840565446</v>
      </c>
      <c r="H555" t="s">
        <v>17</v>
      </c>
      <c r="I555">
        <f>VLOOKUP(Table4[[#This Row],[Visitor]],'NHL Model'!$A$6:$B$38,2,FALSE)</f>
        <v>-0.61980804137564283</v>
      </c>
      <c r="J555">
        <f>($B$1+Table4[[#This Row],[Home Differential]])-Table4[[#This Row],[Away Differential]]</f>
        <v>0.24587734263230676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0.5740684361249595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-0.52437726201848234</v>
      </c>
      <c r="H556" t="s">
        <v>14</v>
      </c>
      <c r="I556">
        <f>VLOOKUP(Table4[[#This Row],[Visitor]],'NHL Model'!$A$6:$B$38,2,FALSE)</f>
        <v>0.26289091192875702</v>
      </c>
      <c r="J556">
        <f>($B$1+Table4[[#This Row],[Home Differential]])-Table4[[#This Row],[Away Differential]]</f>
        <v>-0.62469586428492097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0.54655702441742926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-1.3516250707060606</v>
      </c>
      <c r="H557" t="s">
        <v>19</v>
      </c>
      <c r="I557">
        <f>VLOOKUP(Table4[[#This Row],[Visitor]],'NHL Model'!$A$6:$B$38,2,FALSE)</f>
        <v>-0.635565543477981</v>
      </c>
      <c r="J557">
        <f>($B$1+Table4[[#This Row],[Home Differential]])-Table4[[#This Row],[Away Differential]]</f>
        <v>-0.55348721756576125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0.53669044945641553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-0.30719665303039001</v>
      </c>
      <c r="H558" t="s">
        <v>27</v>
      </c>
      <c r="I558">
        <f>VLOOKUP(Table4[[#This Row],[Visitor]],'NHL Model'!$A$6:$B$38,2,FALSE)</f>
        <v>-0.51358590497437617</v>
      </c>
      <c r="J558">
        <f>($B$1+Table4[[#This Row],[Home Differential]])-Table4[[#This Row],[Away Differential]]</f>
        <v>0.36896156160630456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0.59112282107647152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-0.40651947573390851</v>
      </c>
      <c r="H559" t="s">
        <v>10</v>
      </c>
      <c r="I559">
        <f>VLOOKUP(Table4[[#This Row],[Visitor]],'NHL Model'!$A$6:$B$38,2,FALSE)</f>
        <v>0.30570968833820172</v>
      </c>
      <c r="J559">
        <f>($B$1+Table4[[#This Row],[Home Differential]])-Table4[[#This Row],[Away Differential]]</f>
        <v>-0.54965685440979184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0.55442058901976499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-0.39418177254008485</v>
      </c>
      <c r="H560" t="s">
        <v>32</v>
      </c>
      <c r="I560">
        <f>VLOOKUP(Table4[[#This Row],[Visitor]],'NHL Model'!$A$6:$B$38,2,FALSE)</f>
        <v>-0.361361309178443</v>
      </c>
      <c r="J560">
        <f>($B$1+Table4[[#This Row],[Home Differential]])-Table4[[#This Row],[Away Differential]]</f>
        <v>0.12975184630067654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0.55797824248654193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-0.11309445867623392</v>
      </c>
      <c r="H561" t="s">
        <v>25</v>
      </c>
      <c r="I561">
        <f>VLOOKUP(Table4[[#This Row],[Visitor]],'NHL Model'!$A$6:$B$38,2,FALSE)</f>
        <v>0.67193921242367816</v>
      </c>
      <c r="J561">
        <f>($B$1+Table4[[#This Row],[Home Differential]])-Table4[[#This Row],[Away Differential]]</f>
        <v>-0.62246136143759367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0.63873360253330369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-6.1308839486784707E-2</v>
      </c>
      <c r="H562" t="s">
        <v>26</v>
      </c>
      <c r="I562">
        <f>VLOOKUP(Table4[[#This Row],[Visitor]],'NHL Model'!$A$6:$B$38,2,FALSE)</f>
        <v>-0.513643833119658</v>
      </c>
      <c r="J562">
        <f>($B$1+Table4[[#This Row],[Home Differential]])-Table4[[#This Row],[Away Differential]]</f>
        <v>0.61490730329519172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0.57810134300260541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4.029141914856392E-2</v>
      </c>
      <c r="H563" t="s">
        <v>36</v>
      </c>
      <c r="I563">
        <f>VLOOKUP(Table4[[#This Row],[Visitor]],'NHL Model'!$A$6:$B$38,2,FALSE)</f>
        <v>-0.40651947573390851</v>
      </c>
      <c r="J563">
        <f>($B$1+Table4[[#This Row],[Home Differential]])-Table4[[#This Row],[Away Differential]]</f>
        <v>0.60938320454479089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0.6969927499989883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0.19809534061227302</v>
      </c>
      <c r="H564" t="s">
        <v>19</v>
      </c>
      <c r="I564">
        <f>VLOOKUP(Table4[[#This Row],[Visitor]],'NHL Model'!$A$6:$B$38,2,FALSE)</f>
        <v>-0.635565543477981</v>
      </c>
      <c r="J564">
        <f>($B$1+Table4[[#This Row],[Home Differential]])-Table4[[#This Row],[Away Differential]]</f>
        <v>0.99623319375257235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0.70407447629682962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-0.513643833119658</v>
      </c>
      <c r="H565" t="s">
        <v>22</v>
      </c>
      <c r="I565">
        <f>VLOOKUP(Table4[[#This Row],[Visitor]],'NHL Model'!$A$6:$B$38,2,FALSE)</f>
        <v>-6.1308839486784707E-2</v>
      </c>
      <c r="J565">
        <f>($B$1+Table4[[#This Row],[Home Differential]])-Table4[[#This Row],[Away Differential]]</f>
        <v>-0.28976268397055488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0.47411139454483348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-0.61980804137564283</v>
      </c>
      <c r="H566" t="s">
        <v>20</v>
      </c>
      <c r="I566">
        <f>VLOOKUP(Table4[[#This Row],[Visitor]],'NHL Model'!$A$6:$B$38,2,FALSE)</f>
        <v>-6.3745791019188943E-4</v>
      </c>
      <c r="J566">
        <f>($B$1+Table4[[#This Row],[Home Differential]])-Table4[[#This Row],[Away Differential]]</f>
        <v>-0.45659827380313256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0.50771009128808686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-0.53650300840565446</v>
      </c>
      <c r="H567" t="s">
        <v>12</v>
      </c>
      <c r="I567">
        <f>VLOOKUP(Table4[[#This Row],[Visitor]],'NHL Model'!$A$6:$B$38,2,FALSE)</f>
        <v>1.5475013591489768</v>
      </c>
      <c r="J567">
        <f>($B$1+Table4[[#This Row],[Home Differential]])-Table4[[#This Row],[Away Differential]]</f>
        <v>-1.921432057892313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0.79254684855359736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0.559441163373953</v>
      </c>
      <c r="H568" t="s">
        <v>23</v>
      </c>
      <c r="I568">
        <f>VLOOKUP(Table4[[#This Row],[Visitor]],'NHL Model'!$A$6:$B$38,2,FALSE)</f>
        <v>-0.8683412362501769</v>
      </c>
      <c r="J568">
        <f>($B$1+Table4[[#This Row],[Home Differential]])-Table4[[#This Row],[Away Differential]]</f>
        <v>1.5903547092864483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0.87578813555734403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-1.3516250707060606</v>
      </c>
      <c r="H569" t="s">
        <v>15</v>
      </c>
      <c r="I569">
        <f>VLOOKUP(Table4[[#This Row],[Visitor]],'NHL Model'!$A$6:$B$38,2,FALSE)</f>
        <v>-0.30719665303039001</v>
      </c>
      <c r="J569">
        <f>($B$1+Table4[[#This Row],[Home Differential]])-Table4[[#This Row],[Away Differential]]</f>
        <v>-0.88185610801335224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0.72459844279953622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0.26289091192875702</v>
      </c>
      <c r="H570" t="s">
        <v>18</v>
      </c>
      <c r="I570">
        <f>VLOOKUP(Table4[[#This Row],[Visitor]],'NHL Model'!$A$6:$B$38,2,FALSE)</f>
        <v>-0.52437726201848234</v>
      </c>
      <c r="J570">
        <f>($B$1+Table4[[#This Row],[Home Differential]])-Table4[[#This Row],[Away Differential]]</f>
        <v>0.94984048360955775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0.63160862850687483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-0.12212311954851815</v>
      </c>
      <c r="H571" t="s">
        <v>40</v>
      </c>
      <c r="I571">
        <f>VLOOKUP(Table4[[#This Row],[Visitor]],'NHL Model'!$A$6:$B$38,2,FALSE)</f>
        <v>0.105105258369765</v>
      </c>
      <c r="J571">
        <f>($B$1+Table4[[#This Row],[Home Differential]])-Table4[[#This Row],[Away Differential]]</f>
        <v>-6.465606825596476E-2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0.46548039757324783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0.51775546328552802</v>
      </c>
      <c r="H572" t="s">
        <v>32</v>
      </c>
      <c r="I572">
        <f>VLOOKUP(Table4[[#This Row],[Visitor]],'NHL Model'!$A$6:$B$38,2,FALSE)</f>
        <v>-0.361361309178443</v>
      </c>
      <c r="J572">
        <f>($B$1+Table4[[#This Row],[Home Differential]])-Table4[[#This Row],[Away Differential]]</f>
        <v>1.0416890821262894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0.78866494452304403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-7.5459708298993802E-2</v>
      </c>
      <c r="H573" t="s">
        <v>28</v>
      </c>
      <c r="I573">
        <f>VLOOKUP(Table4[[#This Row],[Visitor]],'NHL Model'!$A$6:$B$38,2,FALSE)</f>
        <v>-0.40822279081308277</v>
      </c>
      <c r="J573">
        <f>($B$1+Table4[[#This Row],[Home Differential]])-Table4[[#This Row],[Away Differential]]</f>
        <v>0.49533539217640737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0.58786377944688173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-0.51358590497437617</v>
      </c>
      <c r="H574" t="s">
        <v>38</v>
      </c>
      <c r="I574">
        <f>VLOOKUP(Table4[[#This Row],[Visitor]],'NHL Model'!$A$6:$B$38,2,FALSE)</f>
        <v>-0.6902088310934803</v>
      </c>
      <c r="J574">
        <f>($B$1+Table4[[#This Row],[Home Differential]])-Table4[[#This Row],[Away Differential]]</f>
        <v>0.33919523578142252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0.54699843873532894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-0.11309445867623392</v>
      </c>
      <c r="H575" t="s">
        <v>35</v>
      </c>
      <c r="I575">
        <f>VLOOKUP(Table4[[#This Row],[Visitor]],'NHL Model'!$A$6:$B$38,2,FALSE)</f>
        <v>-1.6211574240381006</v>
      </c>
      <c r="J575">
        <f>($B$1+Table4[[#This Row],[Home Differential]])-Table4[[#This Row],[Away Differential]]</f>
        <v>1.6706352750241851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0.77148099188781116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4.029141914856392E-2</v>
      </c>
      <c r="H576" t="s">
        <v>18</v>
      </c>
      <c r="I576">
        <f>VLOOKUP(Table4[[#This Row],[Visitor]],'NHL Model'!$A$6:$B$38,2,FALSE)</f>
        <v>-0.52437726201848234</v>
      </c>
      <c r="J576">
        <f>($B$1+Table4[[#This Row],[Home Differential]])-Table4[[#This Row],[Away Differential]]</f>
        <v>0.72724099082936466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0.63858066621071563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0.67193921242367816</v>
      </c>
      <c r="H577" t="s">
        <v>11</v>
      </c>
      <c r="I577">
        <f>VLOOKUP(Table4[[#This Row],[Visitor]],'NHL Model'!$A$6:$B$38,2,FALSE)</f>
        <v>-0.28105923893144158</v>
      </c>
      <c r="J577">
        <f>($B$1+Table4[[#This Row],[Home Differential]])-Table4[[#This Row],[Away Differential]]</f>
        <v>1.1155707610174381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0.74628797067502073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0.30570968833820172</v>
      </c>
      <c r="H578" t="s">
        <v>27</v>
      </c>
      <c r="I578">
        <f>VLOOKUP(Table4[[#This Row],[Visitor]],'NHL Model'!$A$6:$B$38,2,FALSE)</f>
        <v>-0.51358590497437617</v>
      </c>
      <c r="J578">
        <f>($B$1+Table4[[#This Row],[Home Differential]])-Table4[[#This Row],[Away Differential]]</f>
        <v>0.98186790297489623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0.67604630494836393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1.5475013591489768</v>
      </c>
      <c r="H579" t="s">
        <v>55</v>
      </c>
      <c r="I579">
        <f>VLOOKUP(Table4[[#This Row],[Visitor]],'NHL Model'!$A$6:$B$38,2,FALSE)</f>
        <v>-0.12212311954851815</v>
      </c>
      <c r="J579">
        <f>($B$1+Table4[[#This Row],[Home Differential]])-Table4[[#This Row],[Away Differential]]</f>
        <v>1.8321967883598134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0.88223298709967612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-0.513643833119658</v>
      </c>
      <c r="H580" t="s">
        <v>39</v>
      </c>
      <c r="I580">
        <f>VLOOKUP(Table4[[#This Row],[Visitor]],'NHL Model'!$A$6:$B$38,2,FALSE)</f>
        <v>0.19809534061227302</v>
      </c>
      <c r="J580">
        <f>($B$1+Table4[[#This Row],[Home Differential]])-Table4[[#This Row],[Away Differential]]</f>
        <v>-0.54916686406961257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0.60240761652127983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-0.61980804137564283</v>
      </c>
      <c r="H581" t="s">
        <v>16</v>
      </c>
      <c r="I581">
        <f>VLOOKUP(Table4[[#This Row],[Visitor]],'NHL Model'!$A$6:$B$38,2,FALSE)</f>
        <v>-1.3903684122795328</v>
      </c>
      <c r="J581">
        <f>($B$1+Table4[[#This Row],[Home Differential]])-Table4[[#This Row],[Away Differential]]</f>
        <v>0.93313268056620835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0.70533048399676823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-7.5459708298993802E-2</v>
      </c>
      <c r="H582" t="s">
        <v>32</v>
      </c>
      <c r="I582">
        <f>VLOOKUP(Table4[[#This Row],[Visitor]],'NHL Model'!$A$6:$B$38,2,FALSE)</f>
        <v>-0.361361309178443</v>
      </c>
      <c r="J582">
        <f>($B$1+Table4[[#This Row],[Home Differential]])-Table4[[#This Row],[Away Differential]]</f>
        <v>0.44847391054176761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0.60213994592357156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-0.53650300840565446</v>
      </c>
      <c r="H583" t="s">
        <v>29</v>
      </c>
      <c r="I583">
        <f>VLOOKUP(Table4[[#This Row],[Visitor]],'NHL Model'!$A$6:$B$38,2,FALSE)</f>
        <v>-1.3516250707060606</v>
      </c>
      <c r="J583">
        <f>($B$1+Table4[[#This Row],[Home Differential]])-Table4[[#This Row],[Away Differential]]</f>
        <v>0.97769437196272457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0.67546802606678213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-6.4729560818359025E-2</v>
      </c>
      <c r="H584" t="s">
        <v>24</v>
      </c>
      <c r="I584">
        <f>VLOOKUP(Table4[[#This Row],[Visitor]],'NHL Model'!$A$6:$B$38,2,FALSE)</f>
        <v>0.559441163373953</v>
      </c>
      <c r="J584">
        <f>($B$1+Table4[[#This Row],[Home Differential]])-Table4[[#This Row],[Away Differential]]</f>
        <v>-0.46159841452999362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0.5902742491366989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-0.40651947573390851</v>
      </c>
      <c r="H585" t="s">
        <v>23</v>
      </c>
      <c r="I585">
        <f>VLOOKUP(Table4[[#This Row],[Visitor]],'NHL Model'!$A$6:$B$38,2,FALSE)</f>
        <v>-0.8683412362501769</v>
      </c>
      <c r="J585">
        <f>($B$1+Table4[[#This Row],[Home Differential]])-Table4[[#This Row],[Away Differential]]</f>
        <v>0.62439407017858684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0.62901068743356547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-0.635565543477981</v>
      </c>
      <c r="H586" t="s">
        <v>14</v>
      </c>
      <c r="I586">
        <f>VLOOKUP(Table4[[#This Row],[Visitor]],'NHL Model'!$A$6:$B$38,2,FALSE)</f>
        <v>0.26289091192875702</v>
      </c>
      <c r="J586">
        <f>($B$1+Table4[[#This Row],[Home Differential]])-Table4[[#This Row],[Away Differential]]</f>
        <v>-0.73588414574441963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0.56196312415884242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-6.3745791019188943E-4</v>
      </c>
      <c r="H587" t="s">
        <v>33</v>
      </c>
      <c r="I587">
        <f>VLOOKUP(Table4[[#This Row],[Visitor]],'NHL Model'!$A$6:$B$38,2,FALSE)</f>
        <v>-0.39418177254008485</v>
      </c>
      <c r="J587">
        <f>($B$1+Table4[[#This Row],[Home Differential]])-Table4[[#This Row],[Away Differential]]</f>
        <v>0.55611662429221131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0.61705477653977991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-6.1308839486784707E-2</v>
      </c>
      <c r="H588" t="s">
        <v>15</v>
      </c>
      <c r="I588">
        <f>VLOOKUP(Table4[[#This Row],[Visitor]],'NHL Model'!$A$6:$B$38,2,FALSE)</f>
        <v>-0.30719665303039001</v>
      </c>
      <c r="J588">
        <f>($B$1+Table4[[#This Row],[Home Differential]])-Table4[[#This Row],[Away Differential]]</f>
        <v>0.40846012320592373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0.45418605045094668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-0.8683412362501769</v>
      </c>
      <c r="H589" t="s">
        <v>21</v>
      </c>
      <c r="I589">
        <f>VLOOKUP(Table4[[#This Row],[Visitor]],'NHL Model'!$A$6:$B$38,2,FALSE)</f>
        <v>4.029141914856392E-2</v>
      </c>
      <c r="J589">
        <f>($B$1+Table4[[#This Row],[Home Differential]])-Table4[[#This Row],[Away Differential]]</f>
        <v>-0.74606034573642244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0.56337312483523982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0.67193921242367816</v>
      </c>
      <c r="H590" t="s">
        <v>26</v>
      </c>
      <c r="I590">
        <f>VLOOKUP(Table4[[#This Row],[Visitor]],'NHL Model'!$A$6:$B$38,2,FALSE)</f>
        <v>-0.513643833119658</v>
      </c>
      <c r="J590">
        <f>($B$1+Table4[[#This Row],[Home Differential]])-Table4[[#This Row],[Away Differential]]</f>
        <v>1.3481553552056544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0.73225315045667638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-1.3903684122795328</v>
      </c>
      <c r="H591" t="s">
        <v>17</v>
      </c>
      <c r="I591">
        <f>VLOOKUP(Table4[[#This Row],[Visitor]],'NHL Model'!$A$6:$B$38,2,FALSE)</f>
        <v>-0.61980804137564283</v>
      </c>
      <c r="J591">
        <f>($B$1+Table4[[#This Row],[Home Differential]])-Table4[[#This Row],[Away Differential]]</f>
        <v>-0.60798806124157156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0.5442420135478756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0.19809534061227302</v>
      </c>
      <c r="H592" t="s">
        <v>10</v>
      </c>
      <c r="I592">
        <f>VLOOKUP(Table4[[#This Row],[Visitor]],'NHL Model'!$A$6:$B$38,2,FALSE)</f>
        <v>0.30570968833820172</v>
      </c>
      <c r="J592">
        <f>($B$1+Table4[[#This Row],[Home Differential]])-Table4[[#This Row],[Away Differential]]</f>
        <v>5.4957961936389688E-2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0.55306944724152218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-0.28105923893144158</v>
      </c>
      <c r="H593" t="s">
        <v>37</v>
      </c>
      <c r="I593">
        <f>VLOOKUP(Table4[[#This Row],[Visitor]],'NHL Model'!$A$6:$B$38,2,FALSE)</f>
        <v>-0.11309445867623392</v>
      </c>
      <c r="J593">
        <f>($B$1+Table4[[#This Row],[Home Differential]])-Table4[[#This Row],[Away Differential]]</f>
        <v>-5.3924705928892619E-3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0.45529262806694609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-7.5459708298993802E-2</v>
      </c>
      <c r="H594" t="s">
        <v>31</v>
      </c>
      <c r="I594">
        <f>VLOOKUP(Table4[[#This Row],[Visitor]],'NHL Model'!$A$6:$B$38,2,FALSE)</f>
        <v>0.51775546328552802</v>
      </c>
      <c r="J594">
        <f>($B$1+Table4[[#This Row],[Home Differential]])-Table4[[#This Row],[Away Differential]]</f>
        <v>-0.43064286192220341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0.54043853041676404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0.559441163373953</v>
      </c>
      <c r="H595" t="s">
        <v>22</v>
      </c>
      <c r="I595">
        <f>VLOOKUP(Table4[[#This Row],[Visitor]],'NHL Model'!$A$6:$B$38,2,FALSE)</f>
        <v>-6.1308839486784707E-2</v>
      </c>
      <c r="J595">
        <f>($B$1+Table4[[#This Row],[Home Differential]])-Table4[[#This Row],[Away Differential]]</f>
        <v>0.78332231252305606</v>
      </c>
      <c r="K595" t="str">
        <f>IF(Table4[[#This Row],[HomeIce Differential]]&gt;0,Table4[[#This Row],[Home]],Table4[[#This Row],[Visitor]])</f>
        <v>New Jersey Devils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0.76396680478502266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-6.4729560818359025E-2</v>
      </c>
      <c r="H596" t="s">
        <v>15</v>
      </c>
      <c r="I596">
        <f>VLOOKUP(Table4[[#This Row],[Visitor]],'NHL Model'!$A$6:$B$38,2,FALSE)</f>
        <v>-0.30719665303039001</v>
      </c>
      <c r="J596">
        <f>($B$1+Table4[[#This Row],[Home Differential]])-Table4[[#This Row],[Away Differential]]</f>
        <v>0.40503940187434939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0.45371207987302198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-1.6211574240381006</v>
      </c>
      <c r="H597" t="s">
        <v>29</v>
      </c>
      <c r="I597">
        <f>VLOOKUP(Table4[[#This Row],[Visitor]],'NHL Model'!$A$6:$B$38,2,FALSE)</f>
        <v>-1.3516250707060606</v>
      </c>
      <c r="J597">
        <f>($B$1+Table4[[#This Row],[Home Differential]])-Table4[[#This Row],[Away Differential]]</f>
        <v>-0.10696004366972156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0.47482024076180979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-0.635565543477981</v>
      </c>
      <c r="H598" t="s">
        <v>36</v>
      </c>
      <c r="I598">
        <f>VLOOKUP(Table4[[#This Row],[Visitor]],'NHL Model'!$A$6:$B$38,2,FALSE)</f>
        <v>-0.40651947573390851</v>
      </c>
      <c r="J598">
        <f>($B$1+Table4[[#This Row],[Home Differential]])-Table4[[#This Row],[Away Differential]]</f>
        <v>-6.6473758081754097E-2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0.46921051511680317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-0.6902088310934803</v>
      </c>
      <c r="H599" t="s">
        <v>33</v>
      </c>
      <c r="I599">
        <f>VLOOKUP(Table4[[#This Row],[Visitor]],'NHL Model'!$A$6:$B$38,2,FALSE)</f>
        <v>-0.39418177254008485</v>
      </c>
      <c r="J599">
        <f>($B$1+Table4[[#This Row],[Home Differential]])-Table4[[#This Row],[Away Differential]]</f>
        <v>-0.13345474889107706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0.47849131172272064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-6.3745791019188943E-4</v>
      </c>
      <c r="H600" t="s">
        <v>12</v>
      </c>
      <c r="I600">
        <f>VLOOKUP(Table4[[#This Row],[Visitor]],'NHL Model'!$A$6:$B$38,2,FALSE)</f>
        <v>1.5475013591489768</v>
      </c>
      <c r="J600">
        <f>($B$1+Table4[[#This Row],[Home Differential]])-Table4[[#This Row],[Away Differential]]</f>
        <v>-1.3855665073968504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0.71829803374546874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0.105105258369765</v>
      </c>
      <c r="H601" t="s">
        <v>34</v>
      </c>
      <c r="I601">
        <f>VLOOKUP(Table4[[#This Row],[Visitor]],'NHL Model'!$A$6:$B$38,2,FALSE)</f>
        <v>-0.53650300840565446</v>
      </c>
      <c r="J601">
        <f>($B$1+Table4[[#This Row],[Home Differential]])-Table4[[#This Row],[Away Differential]]</f>
        <v>0.80418057643773788</v>
      </c>
      <c r="K601" t="str">
        <f>IF(Table4[[#This Row],[HomeIce Differential]]&gt;0,Table4[[#This Row],[Home]],Table4[[#This Row],[Visitor]])</f>
        <v>Winnipeg Jets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0.68746305271722308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-0.40822279081308277</v>
      </c>
      <c r="H602" t="s">
        <v>30</v>
      </c>
      <c r="I602">
        <f>VLOOKUP(Table4[[#This Row],[Visitor]],'NHL Model'!$A$6:$B$38,2,FALSE)</f>
        <v>-6.4729560818359025E-2</v>
      </c>
      <c r="J602">
        <f>($B$1+Table4[[#This Row],[Home Differential]])-Table4[[#This Row],[Away Differential]]</f>
        <v>-0.18092092033240537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0.52758072384113508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0.30570968833820172</v>
      </c>
      <c r="H603" t="s">
        <v>14</v>
      </c>
      <c r="I603">
        <f>VLOOKUP(Table4[[#This Row],[Visitor]],'NHL Model'!$A$6:$B$38,2,FALSE)</f>
        <v>0.26289091192875702</v>
      </c>
      <c r="J603">
        <f>($B$1+Table4[[#This Row],[Home Differential]])-Table4[[#This Row],[Away Differential]]</f>
        <v>0.2053910860717631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0.56845871450195395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-0.513643833119658</v>
      </c>
      <c r="H604" t="s">
        <v>19</v>
      </c>
      <c r="I604">
        <f>VLOOKUP(Table4[[#This Row],[Visitor]],'NHL Model'!$A$6:$B$38,2,FALSE)</f>
        <v>-0.635565543477981</v>
      </c>
      <c r="J604">
        <f>($B$1+Table4[[#This Row],[Home Differential]])-Table4[[#This Row],[Away Differential]]</f>
        <v>0.28449402002064139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0.60545684720451121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-0.361361309178443</v>
      </c>
      <c r="H605" t="s">
        <v>27</v>
      </c>
      <c r="I605">
        <f>VLOOKUP(Table4[[#This Row],[Visitor]],'NHL Model'!$A$6:$B$38,2,FALSE)</f>
        <v>-0.51358590497437617</v>
      </c>
      <c r="J605">
        <f>($B$1+Table4[[#This Row],[Home Differential]])-Table4[[#This Row],[Away Differential]]</f>
        <v>0.31479690545825156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0.60965557452879759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-0.11309445867623392</v>
      </c>
      <c r="H606" t="s">
        <v>18</v>
      </c>
      <c r="I606">
        <f>VLOOKUP(Table4[[#This Row],[Visitor]],'NHL Model'!$A$6:$B$38,2,FALSE)</f>
        <v>-0.52437726201848234</v>
      </c>
      <c r="J606">
        <f>($B$1+Table4[[#This Row],[Home Differential]])-Table4[[#This Row],[Away Differential]]</f>
        <v>0.57385511300456682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0.54303191114344807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0.51775546328552802</v>
      </c>
      <c r="H607" t="s">
        <v>33</v>
      </c>
      <c r="I607">
        <f>VLOOKUP(Table4[[#This Row],[Visitor]],'NHL Model'!$A$6:$B$38,2,FALSE)</f>
        <v>-0.39418177254008485</v>
      </c>
      <c r="J607">
        <f>($B$1+Table4[[#This Row],[Home Differential]])-Table4[[#This Row],[Away Differential]]</f>
        <v>1.0745095454879312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0.7932125040812249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0.67193921242367816</v>
      </c>
      <c r="H608" t="s">
        <v>15</v>
      </c>
      <c r="I608">
        <f>VLOOKUP(Table4[[#This Row],[Visitor]],'NHL Model'!$A$6:$B$38,2,FALSE)</f>
        <v>-0.30719665303039001</v>
      </c>
      <c r="J608">
        <f>($B$1+Table4[[#This Row],[Home Differential]])-Table4[[#This Row],[Away Differential]]</f>
        <v>1.1417081751163867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0.60717315136069361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-1.3903684122795328</v>
      </c>
      <c r="H609" t="s">
        <v>21</v>
      </c>
      <c r="I609">
        <f>VLOOKUP(Table4[[#This Row],[Visitor]],'NHL Model'!$A$6:$B$38,2,FALSE)</f>
        <v>4.029141914856392E-2</v>
      </c>
      <c r="J609">
        <f>($B$1+Table4[[#This Row],[Home Differential]])-Table4[[#This Row],[Away Differential]]</f>
        <v>-1.2680875217657783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0.63570451296417718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1.5475013591489768</v>
      </c>
      <c r="H610" t="s">
        <v>13</v>
      </c>
      <c r="I610">
        <f>VLOOKUP(Table4[[#This Row],[Visitor]],'NHL Model'!$A$6:$B$38,2,FALSE)</f>
        <v>-7.5459708298993802E-2</v>
      </c>
      <c r="J610">
        <f>($B$1+Table4[[#This Row],[Home Differential]])-Table4[[#This Row],[Away Differential]]</f>
        <v>1.785533377110289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0.75649202851016684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-0.28105923893144158</v>
      </c>
      <c r="H611" t="s">
        <v>22</v>
      </c>
      <c r="I611">
        <f>VLOOKUP(Table4[[#This Row],[Visitor]],'NHL Model'!$A$6:$B$38,2,FALSE)</f>
        <v>-6.1308839486784707E-2</v>
      </c>
      <c r="J611">
        <f>($B$1+Table4[[#This Row],[Home Differential]])-Table4[[#This Row],[Away Differential]]</f>
        <v>-5.717808978233848E-2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0.41620654340405794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-0.40651947573390851</v>
      </c>
      <c r="H612" t="s">
        <v>28</v>
      </c>
      <c r="I612">
        <f>VLOOKUP(Table4[[#This Row],[Visitor]],'NHL Model'!$A$6:$B$38,2,FALSE)</f>
        <v>-0.40822279081308277</v>
      </c>
      <c r="J612">
        <f>($B$1+Table4[[#This Row],[Home Differential]])-Table4[[#This Row],[Away Differential]]</f>
        <v>0.16427562474149265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0.54450094154139894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-0.361361309178443</v>
      </c>
      <c r="H613" t="s">
        <v>38</v>
      </c>
      <c r="I613">
        <f>VLOOKUP(Table4[[#This Row],[Visitor]],'NHL Model'!$A$6:$B$38,2,FALSE)</f>
        <v>-0.6902088310934803</v>
      </c>
      <c r="J613">
        <f>($B$1+Table4[[#This Row],[Home Differential]])-Table4[[#This Row],[Away Differential]]</f>
        <v>0.49141983157735569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0.59189999917987079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-1.6211574240381006</v>
      </c>
      <c r="H614" t="s">
        <v>23</v>
      </c>
      <c r="I614">
        <f>VLOOKUP(Table4[[#This Row],[Visitor]],'NHL Model'!$A$6:$B$38,2,FALSE)</f>
        <v>-0.8683412362501769</v>
      </c>
      <c r="J614">
        <f>($B$1+Table4[[#This Row],[Home Differential]])-Table4[[#This Row],[Away Differential]]</f>
        <v>-0.5902438781256053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0.54178340323997143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-0.12212311954851815</v>
      </c>
      <c r="H615" t="s">
        <v>29</v>
      </c>
      <c r="I615">
        <f>VLOOKUP(Table4[[#This Row],[Visitor]],'NHL Model'!$A$6:$B$38,2,FALSE)</f>
        <v>-1.3516250707060606</v>
      </c>
      <c r="J615">
        <f>($B$1+Table4[[#This Row],[Home Differential]])-Table4[[#This Row],[Away Differential]]</f>
        <v>1.3920742608198609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0.8011564559750245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-6.3745791019188943E-4</v>
      </c>
      <c r="H616" t="s">
        <v>34</v>
      </c>
      <c r="I616">
        <f>VLOOKUP(Table4[[#This Row],[Visitor]],'NHL Model'!$A$6:$B$38,2,FALSE)</f>
        <v>-0.53650300840565446</v>
      </c>
      <c r="J616">
        <f>($B$1+Table4[[#This Row],[Home Differential]])-Table4[[#This Row],[Away Differential]]</f>
        <v>0.69843786015778098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0.63677461685285142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0.105105258369765</v>
      </c>
      <c r="H617" t="s">
        <v>17</v>
      </c>
      <c r="I617">
        <f>VLOOKUP(Table4[[#This Row],[Visitor]],'NHL Model'!$A$6:$B$38,2,FALSE)</f>
        <v>-0.61980804137564283</v>
      </c>
      <c r="J617">
        <f>($B$1+Table4[[#This Row],[Home Differential]])-Table4[[#This Row],[Away Differential]]</f>
        <v>0.88748560940772625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0.69900568679745978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0.30570968833820172</v>
      </c>
      <c r="H618" t="s">
        <v>30</v>
      </c>
      <c r="I618">
        <f>VLOOKUP(Table4[[#This Row],[Visitor]],'NHL Model'!$A$6:$B$38,2,FALSE)</f>
        <v>-6.4729560818359025E-2</v>
      </c>
      <c r="J618">
        <f>($B$1+Table4[[#This Row],[Home Differential]])-Table4[[#This Row],[Away Differential]]</f>
        <v>0.53301155881887918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0.57134080672002885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-0.28105923893144158</v>
      </c>
      <c r="H619" t="s">
        <v>18</v>
      </c>
      <c r="I619">
        <f>VLOOKUP(Table4[[#This Row],[Visitor]],'NHL Model'!$A$6:$B$38,2,FALSE)</f>
        <v>-0.52437726201848234</v>
      </c>
      <c r="J619">
        <f>($B$1+Table4[[#This Row],[Home Differential]])-Table4[[#This Row],[Away Differential]]</f>
        <v>0.40589033274935915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0.57236865453057706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0.26289091192875702</v>
      </c>
      <c r="H620" t="s">
        <v>25</v>
      </c>
      <c r="I620">
        <f>VLOOKUP(Table4[[#This Row],[Visitor]],'NHL Model'!$A$6:$B$38,2,FALSE)</f>
        <v>0.67193921242367816</v>
      </c>
      <c r="J620">
        <f>($B$1+Table4[[#This Row],[Home Differential]])-Table4[[#This Row],[Away Differential]]</f>
        <v>-0.24647599083260274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0.55028041627791646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-0.635565543477981</v>
      </c>
      <c r="H621" t="s">
        <v>24</v>
      </c>
      <c r="I621">
        <f>VLOOKUP(Table4[[#This Row],[Visitor]],'NHL Model'!$A$6:$B$38,2,FALSE)</f>
        <v>0.559441163373953</v>
      </c>
      <c r="J621">
        <f>($B$1+Table4[[#This Row],[Home Differential]])-Table4[[#This Row],[Away Differential]]</f>
        <v>-1.0324343971896157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0.66936852030811889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-0.6902088310934803</v>
      </c>
      <c r="H622" t="s">
        <v>27</v>
      </c>
      <c r="I622">
        <f>VLOOKUP(Table4[[#This Row],[Visitor]],'NHL Model'!$A$6:$B$38,2,FALSE)</f>
        <v>-0.51358590497437617</v>
      </c>
      <c r="J622">
        <f>($B$1+Table4[[#This Row],[Home Differential]])-Table4[[#This Row],[Away Differential]]</f>
        <v>-1.4050616456785736E-2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0.46194683464588338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0.51775546328552802</v>
      </c>
      <c r="H623" t="s">
        <v>37</v>
      </c>
      <c r="I623">
        <f>VLOOKUP(Table4[[#This Row],[Visitor]],'NHL Model'!$A$6:$B$38,2,FALSE)</f>
        <v>-0.11309445867623392</v>
      </c>
      <c r="J623">
        <f>($B$1+Table4[[#This Row],[Home Differential]])-Table4[[#This Row],[Away Differential]]</f>
        <v>0.79342223162408032</v>
      </c>
      <c r="K623" t="str">
        <f>IF(Table4[[#This Row],[HomeIce Differential]]&gt;0,Table4[[#This Row],[Home]],Table4[[#This Row],[Visitor]])</f>
        <v>Anaheim Ducks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0.70993552447258368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-0.40822279081308277</v>
      </c>
      <c r="H624" t="s">
        <v>24</v>
      </c>
      <c r="I624">
        <f>VLOOKUP(Table4[[#This Row],[Visitor]],'NHL Model'!$A$6:$B$38,2,FALSE)</f>
        <v>0.559441163373953</v>
      </c>
      <c r="J624">
        <f>($B$1+Table4[[#This Row],[Home Differential]])-Table4[[#This Row],[Away Differential]]</f>
        <v>-0.80509164452471738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0.63786821220848644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-1.3903684122795328</v>
      </c>
      <c r="H625" t="s">
        <v>27</v>
      </c>
      <c r="I625">
        <f>VLOOKUP(Table4[[#This Row],[Visitor]],'NHL Model'!$A$6:$B$38,2,FALSE)</f>
        <v>-0.51358590497437617</v>
      </c>
      <c r="J625">
        <f>($B$1+Table4[[#This Row],[Home Differential]])-Table4[[#This Row],[Away Differential]]</f>
        <v>-0.71421019764283822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0.55896001086434643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1.5475013591489768</v>
      </c>
      <c r="H626" t="s">
        <v>35</v>
      </c>
      <c r="I626">
        <f>VLOOKUP(Table4[[#This Row],[Visitor]],'NHL Model'!$A$6:$B$38,2,FALSE)</f>
        <v>-1.6211574240381006</v>
      </c>
      <c r="J626">
        <f>($B$1+Table4[[#This Row],[Home Differential]])-Table4[[#This Row],[Away Differential]]</f>
        <v>3.3312310928493956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0.19809534061227302</v>
      </c>
      <c r="H627" t="s">
        <v>23</v>
      </c>
      <c r="I627">
        <f>VLOOKUP(Table4[[#This Row],[Visitor]],'NHL Model'!$A$6:$B$38,2,FALSE)</f>
        <v>-0.8683412362501769</v>
      </c>
      <c r="J627">
        <f>($B$1+Table4[[#This Row],[Home Differential]])-Table4[[#This Row],[Away Differential]]</f>
        <v>1.2290088865247684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0.73632756531980637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-0.513643833119658</v>
      </c>
      <c r="H628" t="s">
        <v>40</v>
      </c>
      <c r="I628">
        <f>VLOOKUP(Table4[[#This Row],[Visitor]],'NHL Model'!$A$6:$B$38,2,FALSE)</f>
        <v>0.105105258369765</v>
      </c>
      <c r="J628">
        <f>($B$1+Table4[[#This Row],[Home Differential]])-Table4[[#This Row],[Away Differential]]</f>
        <v>-0.45617678182710464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0.56320724547851964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-0.61980804137564283</v>
      </c>
      <c r="H629" t="s">
        <v>21</v>
      </c>
      <c r="I629">
        <f>VLOOKUP(Table4[[#This Row],[Visitor]],'NHL Model'!$A$6:$B$38,2,FALSE)</f>
        <v>4.029141914856392E-2</v>
      </c>
      <c r="J629">
        <f>($B$1+Table4[[#This Row],[Home Differential]])-Table4[[#This Row],[Away Differential]]</f>
        <v>-0.49752715086188837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0.49289983101213186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-0.39418177254008485</v>
      </c>
      <c r="H630" t="s">
        <v>34</v>
      </c>
      <c r="I630">
        <f>VLOOKUP(Table4[[#This Row],[Visitor]],'NHL Model'!$A$6:$B$38,2,FALSE)</f>
        <v>-0.53650300840565446</v>
      </c>
      <c r="J630">
        <f>($B$1+Table4[[#This Row],[Home Differential]])-Table4[[#This Row],[Away Differential]]</f>
        <v>0.304893545527888</v>
      </c>
      <c r="K630" t="str">
        <f>IF(Table4[[#This Row],[HomeIce Differential]]&gt;0,Table4[[#This Row],[Home]],Table4[[#This Row],[Visitor]])</f>
        <v>San Jose Sharks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0.5822456423577943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-6.3745791019188943E-4</v>
      </c>
      <c r="H631" t="s">
        <v>29</v>
      </c>
      <c r="I631">
        <f>VLOOKUP(Table4[[#This Row],[Visitor]],'NHL Model'!$A$6:$B$38,2,FALSE)</f>
        <v>-1.3516250707060606</v>
      </c>
      <c r="J631">
        <f>($B$1+Table4[[#This Row],[Home Differential]])-Table4[[#This Row],[Away Differential]]</f>
        <v>1.513559922458187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0.74971684087491064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-6.1308839486784707E-2</v>
      </c>
      <c r="H632" t="s">
        <v>15</v>
      </c>
      <c r="I632">
        <f>VLOOKUP(Table4[[#This Row],[Visitor]],'NHL Model'!$A$6:$B$38,2,FALSE)</f>
        <v>-0.30719665303039001</v>
      </c>
      <c r="J632">
        <f>($B$1+Table4[[#This Row],[Home Differential]])-Table4[[#This Row],[Away Differential]]</f>
        <v>0.40846012320592373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0.45418605045094668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0.67193921242367816</v>
      </c>
      <c r="H633" t="s">
        <v>18</v>
      </c>
      <c r="I633">
        <f>VLOOKUP(Table4[[#This Row],[Visitor]],'NHL Model'!$A$6:$B$38,2,FALSE)</f>
        <v>-0.52437726201848234</v>
      </c>
      <c r="J633">
        <f>($B$1+Table4[[#This Row],[Home Differential]])-Table4[[#This Row],[Away Differential]]</f>
        <v>1.358888784104479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0.70441484682951416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0.30570968833820172</v>
      </c>
      <c r="H634" t="s">
        <v>39</v>
      </c>
      <c r="I634">
        <f>VLOOKUP(Table4[[#This Row],[Visitor]],'NHL Model'!$A$6:$B$38,2,FALSE)</f>
        <v>0.19809534061227302</v>
      </c>
      <c r="J634">
        <f>($B$1+Table4[[#This Row],[Home Differential]])-Table4[[#This Row],[Away Differential]]</f>
        <v>0.2701866573882471</v>
      </c>
      <c r="K634" t="str">
        <f>IF(Table4[[#This Row],[HomeIce Differential]]&gt;0,Table4[[#This Row],[Home]],Table4[[#This Row],[Visitor]])</f>
        <v>Chicago Blackhawks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0.48495051445716508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-7.5459708298993802E-2</v>
      </c>
      <c r="H635" t="s">
        <v>37</v>
      </c>
      <c r="I635">
        <f>VLOOKUP(Table4[[#This Row],[Visitor]],'NHL Model'!$A$6:$B$38,2,FALSE)</f>
        <v>-0.11309445867623392</v>
      </c>
      <c r="J635">
        <f>($B$1+Table4[[#This Row],[Home Differential]])-Table4[[#This Row],[Away Differential]]</f>
        <v>0.20020706003955852</v>
      </c>
      <c r="K635" t="str">
        <f>IF(Table4[[#This Row],[HomeIce Differential]]&gt;0,Table4[[#This Row],[Home]],Table4[[#This Row],[Visitor]])</f>
        <v>Los Angeles Kings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0.52064103129959727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-6.4729560818359025E-2</v>
      </c>
      <c r="H636" t="s">
        <v>55</v>
      </c>
      <c r="I636">
        <f>VLOOKUP(Table4[[#This Row],[Visitor]],'NHL Model'!$A$6:$B$38,2,FALSE)</f>
        <v>-0.12212311954851815</v>
      </c>
      <c r="J636">
        <f>($B$1+Table4[[#This Row],[Home Differential]])-Table4[[#This Row],[Away Differential]]</f>
        <v>0.2199658683924775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0.57047817686970448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-0.40651947573390851</v>
      </c>
      <c r="H637" t="s">
        <v>22</v>
      </c>
      <c r="I637">
        <f>VLOOKUP(Table4[[#This Row],[Visitor]],'NHL Model'!$A$6:$B$38,2,FALSE)</f>
        <v>-6.1308839486784707E-2</v>
      </c>
      <c r="J637">
        <f>($B$1+Table4[[#This Row],[Home Differential]])-Table4[[#This Row],[Away Differential]]</f>
        <v>-0.18263832658480542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0.48281064333875595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0.26289091192875702</v>
      </c>
      <c r="H638" t="s">
        <v>26</v>
      </c>
      <c r="I638">
        <f>VLOOKUP(Table4[[#This Row],[Visitor]],'NHL Model'!$A$6:$B$38,2,FALSE)</f>
        <v>-0.513643833119658</v>
      </c>
      <c r="J638">
        <f>($B$1+Table4[[#This Row],[Home Differential]])-Table4[[#This Row],[Away Differential]]</f>
        <v>0.93910705471073341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0.6595331836434386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-0.361361309178443</v>
      </c>
      <c r="H639" t="s">
        <v>29</v>
      </c>
      <c r="I639">
        <f>VLOOKUP(Table4[[#This Row],[Visitor]],'NHL Model'!$A$6:$B$38,2,FALSE)</f>
        <v>-1.3516250707060606</v>
      </c>
      <c r="J639">
        <f>($B$1+Table4[[#This Row],[Home Differential]])-Table4[[#This Row],[Away Differential]]</f>
        <v>1.1528360711899359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0.72577316178709106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-0.635565543477981</v>
      </c>
      <c r="H640" t="s">
        <v>40</v>
      </c>
      <c r="I640">
        <f>VLOOKUP(Table4[[#This Row],[Visitor]],'NHL Model'!$A$6:$B$38,2,FALSE)</f>
        <v>0.105105258369765</v>
      </c>
      <c r="J640">
        <f>($B$1+Table4[[#This Row],[Home Differential]])-Table4[[#This Row],[Away Differential]]</f>
        <v>-0.57809849218542764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0.60641634426293556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0.51775546328552802</v>
      </c>
      <c r="H641" t="s">
        <v>34</v>
      </c>
      <c r="I641">
        <f>VLOOKUP(Table4[[#This Row],[Visitor]],'NHL Model'!$A$6:$B$38,2,FALSE)</f>
        <v>-0.53650300840565446</v>
      </c>
      <c r="J641">
        <f>($B$1+Table4[[#This Row],[Home Differential]])-Table4[[#This Row],[Away Differential]]</f>
        <v>1.2168307813535009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0.8129323443942964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-0.28105923893144158</v>
      </c>
      <c r="H642" t="s">
        <v>15</v>
      </c>
      <c r="I642">
        <f>VLOOKUP(Table4[[#This Row],[Visitor]],'NHL Model'!$A$6:$B$38,2,FALSE)</f>
        <v>-0.30719665303039001</v>
      </c>
      <c r="J642">
        <f>($B$1+Table4[[#This Row],[Home Differential]])-Table4[[#This Row],[Away Differential]]</f>
        <v>0.18870972376126682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0.47512695906175656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-1.6211574240381006</v>
      </c>
      <c r="H643" t="s">
        <v>20</v>
      </c>
      <c r="I643">
        <f>VLOOKUP(Table4[[#This Row],[Visitor]],'NHL Model'!$A$6:$B$38,2,FALSE)</f>
        <v>-6.3745791019188943E-4</v>
      </c>
      <c r="J643">
        <f>($B$1+Table4[[#This Row],[Home Differential]])-Table4[[#This Row],[Away Differential]]</f>
        <v>-1.4579476564655902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0.68278051036122833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-0.6902088310934803</v>
      </c>
      <c r="H644" t="s">
        <v>32</v>
      </c>
      <c r="I644">
        <f>VLOOKUP(Table4[[#This Row],[Visitor]],'NHL Model'!$A$6:$B$38,2,FALSE)</f>
        <v>-0.361361309178443</v>
      </c>
      <c r="J644">
        <f>($B$1+Table4[[#This Row],[Home Differential]])-Table4[[#This Row],[Away Differential]]</f>
        <v>-0.16627521225271891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0.48303887128090151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0.67193921242367816</v>
      </c>
      <c r="H645" t="s">
        <v>12</v>
      </c>
      <c r="I645">
        <f>VLOOKUP(Table4[[#This Row],[Visitor]],'NHL Model'!$A$6:$B$38,2,FALSE)</f>
        <v>1.5475013591489768</v>
      </c>
      <c r="J645">
        <f>($B$1+Table4[[#This Row],[Home Differential]])-Table4[[#This Row],[Away Differential]]</f>
        <v>-0.71298983706298025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0.57247512985900995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-0.40822279081308277</v>
      </c>
      <c r="H646" t="s">
        <v>23</v>
      </c>
      <c r="I646">
        <f>VLOOKUP(Table4[[#This Row],[Visitor]],'NHL Model'!$A$6:$B$38,2,FALSE)</f>
        <v>-0.8683412362501769</v>
      </c>
      <c r="J646">
        <f>($B$1+Table4[[#This Row],[Home Differential]])-Table4[[#This Row],[Away Differential]]</f>
        <v>0.62269075509941252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0.62627919916733199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-1.3903684122795328</v>
      </c>
      <c r="H647" t="s">
        <v>29</v>
      </c>
      <c r="I647">
        <f>VLOOKUP(Table4[[#This Row],[Visitor]],'NHL Model'!$A$6:$B$38,2,FALSE)</f>
        <v>-1.3516250707060606</v>
      </c>
      <c r="J647">
        <f>($B$1+Table4[[#This Row],[Home Differential]])-Table4[[#This Row],[Away Differential]]</f>
        <v>0.12382896808884625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0.55715757639394714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-0.513643833119658</v>
      </c>
      <c r="H648" t="s">
        <v>14</v>
      </c>
      <c r="I648">
        <f>VLOOKUP(Table4[[#This Row],[Visitor]],'NHL Model'!$A$6:$B$38,2,FALSE)</f>
        <v>0.26289091192875702</v>
      </c>
      <c r="J648">
        <f>($B$1+Table4[[#This Row],[Home Differential]])-Table4[[#This Row],[Away Differential]]</f>
        <v>-0.61396243538609663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0.51903207899905401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-0.61980804137564283</v>
      </c>
      <c r="H649" t="s">
        <v>27</v>
      </c>
      <c r="I649">
        <f>VLOOKUP(Table4[[#This Row],[Visitor]],'NHL Model'!$A$6:$B$38,2,FALSE)</f>
        <v>-0.51358590497437617</v>
      </c>
      <c r="J649">
        <f>($B$1+Table4[[#This Row],[Home Differential]])-Table4[[#This Row],[Away Differential]]</f>
        <v>5.6350173261051739E-2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0.583844671087699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-7.5459708298993802E-2</v>
      </c>
      <c r="H650" t="s">
        <v>34</v>
      </c>
      <c r="I650">
        <f>VLOOKUP(Table4[[#This Row],[Visitor]],'NHL Model'!$A$6:$B$38,2,FALSE)</f>
        <v>-0.53650300840565446</v>
      </c>
      <c r="J650">
        <f>($B$1+Table4[[#This Row],[Home Differential]])-Table4[[#This Row],[Away Differential]]</f>
        <v>0.62361560976897901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0.62640734579482393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0.559441163373953</v>
      </c>
      <c r="H651" t="s">
        <v>55</v>
      </c>
      <c r="I651">
        <f>VLOOKUP(Table4[[#This Row],[Visitor]],'NHL Model'!$A$6:$B$38,2,FALSE)</f>
        <v>-0.12212311954851815</v>
      </c>
      <c r="J651">
        <f>($B$1+Table4[[#This Row],[Home Differential]])-Table4[[#This Row],[Away Differential]]</f>
        <v>0.84413659258478957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0.77239315018792898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-6.4729560818359025E-2</v>
      </c>
      <c r="H652" t="s">
        <v>19</v>
      </c>
      <c r="I652">
        <f>VLOOKUP(Table4[[#This Row],[Visitor]],'NHL Model'!$A$6:$B$38,2,FALSE)</f>
        <v>-0.635565543477981</v>
      </c>
      <c r="J652">
        <f>($B$1+Table4[[#This Row],[Home Differential]])-Table4[[#This Row],[Away Differential]]</f>
        <v>0.73340829232194038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0.64162007321614278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-0.40651947573390851</v>
      </c>
      <c r="H653" t="s">
        <v>40</v>
      </c>
      <c r="I653">
        <f>VLOOKUP(Table4[[#This Row],[Visitor]],'NHL Model'!$A$6:$B$38,2,FALSE)</f>
        <v>0.105105258369765</v>
      </c>
      <c r="J653">
        <f>($B$1+Table4[[#This Row],[Home Differential]])-Table4[[#This Row],[Away Differential]]</f>
        <v>-0.34905242444135509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0.57217376143724918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-0.39418177254008485</v>
      </c>
      <c r="H654" t="s">
        <v>37</v>
      </c>
      <c r="I654">
        <f>VLOOKUP(Table4[[#This Row],[Visitor]],'NHL Model'!$A$6:$B$38,2,FALSE)</f>
        <v>-0.11309445867623392</v>
      </c>
      <c r="J654">
        <f>($B$1+Table4[[#This Row],[Home Differential]])-Table4[[#This Row],[Away Differential]]</f>
        <v>-0.11851500420153253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0.52352067213743236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-1.6211574240381006</v>
      </c>
      <c r="H655" t="s">
        <v>18</v>
      </c>
      <c r="I655">
        <f>VLOOKUP(Table4[[#This Row],[Visitor]],'NHL Model'!$A$6:$B$38,2,FALSE)</f>
        <v>-0.52437726201848234</v>
      </c>
      <c r="J655">
        <f>($B$1+Table4[[#This Row],[Home Differential]])-Table4[[#This Row],[Away Differential]]</f>
        <v>-0.93420785235729986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0.6659232786996403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-0.6902088310934803</v>
      </c>
      <c r="H656" t="s">
        <v>21</v>
      </c>
      <c r="I656">
        <f>VLOOKUP(Table4[[#This Row],[Visitor]],'NHL Model'!$A$6:$B$38,2,FALSE)</f>
        <v>4.029141914856392E-2</v>
      </c>
      <c r="J656">
        <f>($B$1+Table4[[#This Row],[Home Differential]])-Table4[[#This Row],[Away Differential]]</f>
        <v>-0.56792794057972584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0.53869133674571412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-6.1308839486784707E-2</v>
      </c>
      <c r="H657" t="s">
        <v>10</v>
      </c>
      <c r="I657">
        <f>VLOOKUP(Table4[[#This Row],[Visitor]],'NHL Model'!$A$6:$B$38,2,FALSE)</f>
        <v>0.30570968833820172</v>
      </c>
      <c r="J657">
        <f>($B$1+Table4[[#This Row],[Home Differential]])-Table4[[#This Row],[Away Differential]]</f>
        <v>-0.20444621816266803</v>
      </c>
      <c r="K657" t="str">
        <f>IF(Table4[[#This Row],[HomeIce Differential]]&gt;0,Table4[[#This Row],[Home]],Table4[[#This Row],[Visitor]])</f>
        <v>Chicago Blackhawks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0.5090970256359596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-0.40822279081308277</v>
      </c>
      <c r="H658" t="s">
        <v>14</v>
      </c>
      <c r="I658">
        <f>VLOOKUP(Table4[[#This Row],[Visitor]],'NHL Model'!$A$6:$B$38,2,FALSE)</f>
        <v>0.26289091192875702</v>
      </c>
      <c r="J658">
        <f>($B$1+Table4[[#This Row],[Home Differential]])-Table4[[#This Row],[Away Differential]]</f>
        <v>-0.5085413930795214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0.53046281605920997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0.30570968833820172</v>
      </c>
      <c r="H659" t="s">
        <v>20</v>
      </c>
      <c r="I659">
        <f>VLOOKUP(Table4[[#This Row],[Visitor]],'NHL Model'!$A$6:$B$38,2,FALSE)</f>
        <v>-6.3745791019188943E-4</v>
      </c>
      <c r="J659">
        <f>($B$1+Table4[[#This Row],[Home Differential]])-Table4[[#This Row],[Away Differential]]</f>
        <v>0.46891945591071199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0.5842036226072389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0.19809534061227302</v>
      </c>
      <c r="H660" t="s">
        <v>18</v>
      </c>
      <c r="I660">
        <f>VLOOKUP(Table4[[#This Row],[Visitor]],'NHL Model'!$A$6:$B$38,2,FALSE)</f>
        <v>-0.52437726201848234</v>
      </c>
      <c r="J660">
        <f>($B$1+Table4[[#This Row],[Home Differential]])-Table4[[#This Row],[Away Differential]]</f>
        <v>0.88504491229307369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0.61242655907370669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-0.28105923893144158</v>
      </c>
      <c r="H661" t="s">
        <v>12</v>
      </c>
      <c r="I661">
        <f>VLOOKUP(Table4[[#This Row],[Visitor]],'NHL Model'!$A$6:$B$38,2,FALSE)</f>
        <v>1.5475013591489768</v>
      </c>
      <c r="J661">
        <f>($B$1+Table4[[#This Row],[Home Differential]])-Table4[[#This Row],[Away Differential]]</f>
        <v>-1.6659882884181001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0.70452132215794694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0.559441163373953</v>
      </c>
      <c r="H662" t="s">
        <v>25</v>
      </c>
      <c r="I662">
        <f>VLOOKUP(Table4[[#This Row],[Visitor]],'NHL Model'!$A$6:$B$38,2,FALSE)</f>
        <v>0.67193921242367816</v>
      </c>
      <c r="J662">
        <f>($B$1+Table4[[#This Row],[Home Differential]])-Table4[[#This Row],[Away Differential]]</f>
        <v>5.0074260612593235E-2</v>
      </c>
      <c r="K662" t="str">
        <f>IF(Table4[[#This Row],[HomeIce Differential]]&gt;0,Table4[[#This Row],[Home]],Table4[[#This Row],[Visitor]])</f>
        <v>New Jersey Devils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0.57450579022330805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-1.3903684122795328</v>
      </c>
      <c r="H663" t="s">
        <v>32</v>
      </c>
      <c r="I663">
        <f>VLOOKUP(Table4[[#This Row],[Visitor]],'NHL Model'!$A$6:$B$38,2,FALSE)</f>
        <v>-0.361361309178443</v>
      </c>
      <c r="J663">
        <f>($B$1+Table4[[#This Row],[Home Differential]])-Table4[[#This Row],[Away Differential]]</f>
        <v>-0.86643479343877139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0.58005204749936468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-7.5459708298993802E-2</v>
      </c>
      <c r="H664" t="s">
        <v>34</v>
      </c>
      <c r="I664">
        <f>VLOOKUP(Table4[[#This Row],[Visitor]],'NHL Model'!$A$6:$B$38,2,FALSE)</f>
        <v>-0.53650300840565446</v>
      </c>
      <c r="J664">
        <f>($B$1+Table4[[#This Row],[Home Differential]])-Table4[[#This Row],[Away Differential]]</f>
        <v>0.62361560976897901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0.62640734579482393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-0.30719665303039001</v>
      </c>
      <c r="H665" t="s">
        <v>55</v>
      </c>
      <c r="I665">
        <f>VLOOKUP(Table4[[#This Row],[Visitor]],'NHL Model'!$A$6:$B$38,2,FALSE)</f>
        <v>-0.12212311954851815</v>
      </c>
      <c r="J665">
        <f>($B$1+Table4[[#This Row],[Home Differential]])-Table4[[#This Row],[Away Differential]]</f>
        <v>-2.2501223819553468E-2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0.46311773951281165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-0.40651947573390851</v>
      </c>
      <c r="H666" t="s">
        <v>26</v>
      </c>
      <c r="I666">
        <f>VLOOKUP(Table4[[#This Row],[Visitor]],'NHL Model'!$A$6:$B$38,2,FALSE)</f>
        <v>-0.513643833119658</v>
      </c>
      <c r="J666">
        <f>($B$1+Table4[[#This Row],[Home Differential]])-Table4[[#This Row],[Away Differential]]</f>
        <v>0.26969666704806788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0.53278165393221422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-6.1308839486784707E-2</v>
      </c>
      <c r="H667" t="s">
        <v>31</v>
      </c>
      <c r="I667">
        <f>VLOOKUP(Table4[[#This Row],[Visitor]],'NHL Model'!$A$6:$B$38,2,FALSE)</f>
        <v>0.51775546328552802</v>
      </c>
      <c r="J667">
        <f>($B$1+Table4[[#This Row],[Home Differential]])-Table4[[#This Row],[Away Differential]]</f>
        <v>-0.4164919931099943</v>
      </c>
      <c r="K667" t="str">
        <f>IF(Table4[[#This Row],[HomeIce Differential]]&gt;0,Table4[[#This Row],[Home]],Table4[[#This Row],[Visitor]])</f>
        <v>Anaheim Ducks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0.53847780493844144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-0.8683412362501769</v>
      </c>
      <c r="H668" t="s">
        <v>38</v>
      </c>
      <c r="I668">
        <f>VLOOKUP(Table4[[#This Row],[Visitor]],'NHL Model'!$A$6:$B$38,2,FALSE)</f>
        <v>-0.6902088310934803</v>
      </c>
      <c r="J668">
        <f>($B$1+Table4[[#This Row],[Home Differential]])-Table4[[#This Row],[Away Differential]]</f>
        <v>-1.5560095494378201E-2</v>
      </c>
      <c r="K668" t="str">
        <f>IF(Table4[[#This Row],[HomeIce Differential]]&gt;0,Table4[[#This Row],[Home]],Table4[[#This Row],[Visitor]])</f>
        <v>Vancouver Canucks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0.50466854885887324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0.67193921242367816</v>
      </c>
      <c r="H669" t="s">
        <v>39</v>
      </c>
      <c r="I669">
        <f>VLOOKUP(Table4[[#This Row],[Visitor]],'NHL Model'!$A$6:$B$38,2,FALSE)</f>
        <v>0.19809534061227302</v>
      </c>
      <c r="J669">
        <f>($B$1+Table4[[#This Row],[Home Differential]])-Table4[[#This Row],[Away Differential]]</f>
        <v>0.63641618147372347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0.58818097590981255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-0.61980804137564283</v>
      </c>
      <c r="H670" t="s">
        <v>29</v>
      </c>
      <c r="I670">
        <f>VLOOKUP(Table4[[#This Row],[Visitor]],'NHL Model'!$A$6:$B$38,2,FALSE)</f>
        <v>-1.3516250707060606</v>
      </c>
      <c r="J670">
        <f>($B$1+Table4[[#This Row],[Home Differential]])-Table4[[#This Row],[Away Differential]]</f>
        <v>0.8943893389927362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0.69996225834599257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-6.4729560818359025E-2</v>
      </c>
      <c r="H671" t="s">
        <v>24</v>
      </c>
      <c r="I671">
        <f>VLOOKUP(Table4[[#This Row],[Visitor]],'NHL Model'!$A$6:$B$38,2,FALSE)</f>
        <v>0.559441163373953</v>
      </c>
      <c r="J671">
        <f>($B$1+Table4[[#This Row],[Home Differential]])-Table4[[#This Row],[Away Differential]]</f>
        <v>-0.46159841452999362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0.5902742491366989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-0.51358590497437617</v>
      </c>
      <c r="H672" t="s">
        <v>31</v>
      </c>
      <c r="I672">
        <f>VLOOKUP(Table4[[#This Row],[Visitor]],'NHL Model'!$A$6:$B$38,2,FALSE)</f>
        <v>0.51775546328552802</v>
      </c>
      <c r="J672">
        <f>($B$1+Table4[[#This Row],[Home Differential]])-Table4[[#This Row],[Away Differential]]</f>
        <v>-0.8687690585975858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0.5986363497266175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-0.361361309178443</v>
      </c>
      <c r="H673" t="s">
        <v>21</v>
      </c>
      <c r="I673">
        <f>VLOOKUP(Table4[[#This Row],[Visitor]],'NHL Model'!$A$6:$B$38,2,FALSE)</f>
        <v>4.029141914856392E-2</v>
      </c>
      <c r="J673">
        <f>($B$1+Table4[[#This Row],[Home Differential]])-Table4[[#This Row],[Away Differential]]</f>
        <v>-0.23908041866468854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0.46708892757103315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-0.39418177254008485</v>
      </c>
      <c r="H674" t="s">
        <v>28</v>
      </c>
      <c r="I674">
        <f>VLOOKUP(Table4[[#This Row],[Visitor]],'NHL Model'!$A$6:$B$38,2,FALSE)</f>
        <v>-0.40822279081308277</v>
      </c>
      <c r="J674">
        <f>($B$1+Table4[[#This Row],[Home Differential]])-Table4[[#This Row],[Away Differential]]</f>
        <v>0.17661332793531631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0.5437020760098521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-0.11309445867623392</v>
      </c>
      <c r="H675" t="s">
        <v>12</v>
      </c>
      <c r="I675">
        <f>VLOOKUP(Table4[[#This Row],[Visitor]],'NHL Model'!$A$6:$B$38,2,FALSE)</f>
        <v>1.5475013591489768</v>
      </c>
      <c r="J675">
        <f>($B$1+Table4[[#This Row],[Home Differential]])-Table4[[#This Row],[Away Differential]]</f>
        <v>-1.4980235081628923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0.73387992553910086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-0.635565543477981</v>
      </c>
      <c r="H676" t="s">
        <v>11</v>
      </c>
      <c r="I676">
        <f>VLOOKUP(Table4[[#This Row],[Visitor]],'NHL Model'!$A$6:$B$38,2,FALSE)</f>
        <v>-0.28105923893144158</v>
      </c>
      <c r="J676">
        <f>($B$1+Table4[[#This Row],[Home Differential]])-Table4[[#This Row],[Away Differential]]</f>
        <v>-0.19193399488422103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0.48659411792448021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0.105105258369765</v>
      </c>
      <c r="H677" t="s">
        <v>20</v>
      </c>
      <c r="I677">
        <f>VLOOKUP(Table4[[#This Row],[Visitor]],'NHL Model'!$A$6:$B$38,2,FALSE)</f>
        <v>-6.3745791019188943E-4</v>
      </c>
      <c r="J677">
        <f>($B$1+Table4[[#This Row],[Home Differential]])-Table4[[#This Row],[Away Differential]]</f>
        <v>0.2683150259422753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0.59273292710520309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0.30570968833820172</v>
      </c>
      <c r="H678" t="s">
        <v>35</v>
      </c>
      <c r="I678">
        <f>VLOOKUP(Table4[[#This Row],[Visitor]],'NHL Model'!$A$6:$B$38,2,FALSE)</f>
        <v>-1.6211574240381006</v>
      </c>
      <c r="J678">
        <f>($B$1+Table4[[#This Row],[Home Differential]])-Table4[[#This Row],[Away Differential]]</f>
        <v>2.0894394220386205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0.82950993501319004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-7.5459708298993802E-2</v>
      </c>
      <c r="H679" t="s">
        <v>33</v>
      </c>
      <c r="I679">
        <f>VLOOKUP(Table4[[#This Row],[Visitor]],'NHL Model'!$A$6:$B$38,2,FALSE)</f>
        <v>-0.39418177254008485</v>
      </c>
      <c r="J679">
        <f>($B$1+Table4[[#This Row],[Home Differential]])-Table4[[#This Row],[Away Differential]]</f>
        <v>0.48129437390340946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0.60668750548175243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-0.52437726201848234</v>
      </c>
      <c r="H680" t="s">
        <v>16</v>
      </c>
      <c r="I680">
        <f>VLOOKUP(Table4[[#This Row],[Visitor]],'NHL Model'!$A$6:$B$38,2,FALSE)</f>
        <v>-1.3903684122795328</v>
      </c>
      <c r="J680">
        <f>($B$1+Table4[[#This Row],[Home Differential]])-Table4[[#This Row],[Away Differential]]</f>
        <v>1.0285634599233688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0.68251637893805017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-0.12212311954851815</v>
      </c>
      <c r="H681" t="s">
        <v>36</v>
      </c>
      <c r="I681">
        <f>VLOOKUP(Table4[[#This Row],[Visitor]],'NHL Model'!$A$6:$B$38,2,FALSE)</f>
        <v>-0.40651947573390851</v>
      </c>
      <c r="J681">
        <f>($B$1+Table4[[#This Row],[Home Differential]])-Table4[[#This Row],[Away Differential]]</f>
        <v>0.44696866584770878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0.67020388731236014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-6.1308839486784707E-2</v>
      </c>
      <c r="H682" t="s">
        <v>39</v>
      </c>
      <c r="I682">
        <f>VLOOKUP(Table4[[#This Row],[Visitor]],'NHL Model'!$A$6:$B$38,2,FALSE)</f>
        <v>0.19809534061227302</v>
      </c>
      <c r="J682">
        <f>($B$1+Table4[[#This Row],[Home Differential]])-Table4[[#This Row],[Away Differential]]</f>
        <v>-9.6831870436739326E-2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0.56590308245428667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4.029141914856392E-2</v>
      </c>
      <c r="H683" t="s">
        <v>16</v>
      </c>
      <c r="I683">
        <f>VLOOKUP(Table4[[#This Row],[Visitor]],'NHL Model'!$A$6:$B$38,2,FALSE)</f>
        <v>-1.3903684122795328</v>
      </c>
      <c r="J683">
        <f>($B$1+Table4[[#This Row],[Home Differential]])-Table4[[#This Row],[Away Differential]]</f>
        <v>1.5932321410904151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0.83331354431242843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0.67193921242367816</v>
      </c>
      <c r="H684" t="s">
        <v>31</v>
      </c>
      <c r="I684">
        <f>VLOOKUP(Table4[[#This Row],[Visitor]],'NHL Model'!$A$6:$B$38,2,FALSE)</f>
        <v>0.51775546328552802</v>
      </c>
      <c r="J684">
        <f>($B$1+Table4[[#This Row],[Home Differential]])-Table4[[#This Row],[Away Differential]]</f>
        <v>0.31675605880046853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0.61531786777815611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1.5475013591489768</v>
      </c>
      <c r="H685" t="s">
        <v>36</v>
      </c>
      <c r="I685">
        <f>VLOOKUP(Table4[[#This Row],[Visitor]],'NHL Model'!$A$6:$B$38,2,FALSE)</f>
        <v>-0.40651947573390851</v>
      </c>
      <c r="J685">
        <f>($B$1+Table4[[#This Row],[Home Differential]])-Table4[[#This Row],[Away Differential]]</f>
        <v>2.1165931445452038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0.92163856628458851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-0.513643833119658</v>
      </c>
      <c r="H686" t="s">
        <v>38</v>
      </c>
      <c r="I686">
        <f>VLOOKUP(Table4[[#This Row],[Visitor]],'NHL Model'!$A$6:$B$38,2,FALSE)</f>
        <v>-0.6902088310934803</v>
      </c>
      <c r="J686">
        <f>($B$1+Table4[[#This Row],[Home Differential]])-Table4[[#This Row],[Away Differential]]</f>
        <v>0.33913730763614069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0.57079993609842927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-0.52437726201848234</v>
      </c>
      <c r="H687" t="s">
        <v>11</v>
      </c>
      <c r="I687">
        <f>VLOOKUP(Table4[[#This Row],[Visitor]],'NHL Model'!$A$6:$B$38,2,FALSE)</f>
        <v>-0.28105923893144158</v>
      </c>
      <c r="J687">
        <f>($B$1+Table4[[#This Row],[Home Differential]])-Table4[[#This Row],[Away Differential]]</f>
        <v>-8.0745713424722365E-2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0.47118801818306699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-1.3516250707060606</v>
      </c>
      <c r="H688" t="s">
        <v>30</v>
      </c>
      <c r="I688">
        <f>VLOOKUP(Table4[[#This Row],[Visitor]],'NHL Model'!$A$6:$B$38,2,FALSE)</f>
        <v>-6.4729560818359025E-2</v>
      </c>
      <c r="J688">
        <f>($B$1+Table4[[#This Row],[Home Differential]])-Table4[[#This Row],[Away Differential]]</f>
        <v>-1.1243232002253831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0.65829728344190575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-0.30719665303039001</v>
      </c>
      <c r="H689" t="s">
        <v>23</v>
      </c>
      <c r="I689">
        <f>VLOOKUP(Table4[[#This Row],[Visitor]],'NHL Model'!$A$6:$B$38,2,FALSE)</f>
        <v>-0.8683412362501769</v>
      </c>
      <c r="J689">
        <f>($B$1+Table4[[#This Row],[Home Differential]])-Table4[[#This Row],[Away Differential]]</f>
        <v>0.72371689288210528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0.64027724585660351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-0.51358590497437617</v>
      </c>
      <c r="H690" t="s">
        <v>19</v>
      </c>
      <c r="I690">
        <f>VLOOKUP(Table4[[#This Row],[Visitor]],'NHL Model'!$A$6:$B$38,2,FALSE)</f>
        <v>-0.635565543477981</v>
      </c>
      <c r="J690">
        <f>($B$1+Table4[[#This Row],[Home Differential]])-Table4[[#This Row],[Away Differential]]</f>
        <v>0.28455194816592322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0.58192261700621795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0.26289091192875702</v>
      </c>
      <c r="H691" t="s">
        <v>24</v>
      </c>
      <c r="I691">
        <f>VLOOKUP(Table4[[#This Row],[Visitor]],'NHL Model'!$A$6:$B$38,2,FALSE)</f>
        <v>0.559441163373953</v>
      </c>
      <c r="J691">
        <f>($B$1+Table4[[#This Row],[Home Differential]])-Table4[[#This Row],[Away Differential]]</f>
        <v>-0.13397794178287759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0.50835972299821641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-0.361361309178443</v>
      </c>
      <c r="H692" t="s">
        <v>34</v>
      </c>
      <c r="I692">
        <f>VLOOKUP(Table4[[#This Row],[Visitor]],'NHL Model'!$A$6:$B$38,2,FALSE)</f>
        <v>-0.53650300840565446</v>
      </c>
      <c r="J692">
        <f>($B$1+Table4[[#This Row],[Home Differential]])-Table4[[#This Row],[Away Differential]]</f>
        <v>0.33771400888952985</v>
      </c>
      <c r="K692" t="str">
        <f>IF(Table4[[#This Row],[HomeIce Differential]]&gt;0,Table4[[#This Row],[Home]],Table4[[#This Row],[Visitor]])</f>
        <v>Seattle Kraken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0.61283093776503172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-6.3745791019188943E-4</v>
      </c>
      <c r="H693" t="s">
        <v>28</v>
      </c>
      <c r="I693">
        <f>VLOOKUP(Table4[[#This Row],[Visitor]],'NHL Model'!$A$6:$B$38,2,FALSE)</f>
        <v>-0.40822279081308277</v>
      </c>
      <c r="J693">
        <f>($B$1+Table4[[#This Row],[Home Differential]])-Table4[[#This Row],[Away Differential]]</f>
        <v>0.57015764256520929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0.59823105050490921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0.105105258369765</v>
      </c>
      <c r="H694" t="s">
        <v>17</v>
      </c>
      <c r="I694">
        <f>VLOOKUP(Table4[[#This Row],[Visitor]],'NHL Model'!$A$6:$B$38,2,FALSE)</f>
        <v>-0.61980804137564283</v>
      </c>
      <c r="J694">
        <f>($B$1+Table4[[#This Row],[Home Differential]])-Table4[[#This Row],[Away Differential]]</f>
        <v>0.88748560940772625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0.69900568679745978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0.30570968833820172</v>
      </c>
      <c r="H695" t="s">
        <v>22</v>
      </c>
      <c r="I695">
        <f>VLOOKUP(Table4[[#This Row],[Visitor]],'NHL Model'!$A$6:$B$38,2,FALSE)</f>
        <v>-6.1308839486784707E-2</v>
      </c>
      <c r="J695">
        <f>($B$1+Table4[[#This Row],[Home Differential]])-Table4[[#This Row],[Away Differential]]</f>
        <v>0.52959083748730484</v>
      </c>
      <c r="K695" t="str">
        <f>IF(Table4[[#This Row],[HomeIce Differential]]&gt;0,Table4[[#This Row],[Home]],Table4[[#This Row],[Visitor]])</f>
        <v>Chicago Blackhawks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0.61337939895617444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-0.12212311954851815</v>
      </c>
      <c r="H696" t="s">
        <v>35</v>
      </c>
      <c r="I696">
        <f>VLOOKUP(Table4[[#This Row],[Visitor]],'NHL Model'!$A$6:$B$38,2,FALSE)</f>
        <v>-1.6211574240381006</v>
      </c>
      <c r="J696">
        <f>($B$1+Table4[[#This Row],[Home Differential]])-Table4[[#This Row],[Away Differential]]</f>
        <v>1.6616066141519008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0.83850249878155703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0.105105258369765</v>
      </c>
      <c r="H697" t="s">
        <v>13</v>
      </c>
      <c r="I697">
        <f>VLOOKUP(Table4[[#This Row],[Visitor]],'NHL Model'!$A$6:$B$38,2,FALSE)</f>
        <v>-7.5459708298993802E-2</v>
      </c>
      <c r="J697">
        <f>($B$1+Table4[[#This Row],[Home Differential]])-Table4[[#This Row],[Away Differential]]</f>
        <v>0.34313727633107721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0.50209009715312947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4.029141914856392E-2</v>
      </c>
      <c r="H698" t="s">
        <v>15</v>
      </c>
      <c r="I698">
        <f>VLOOKUP(Table4[[#This Row],[Visitor]],'NHL Model'!$A$6:$B$38,2,FALSE)</f>
        <v>-0.30719665303039001</v>
      </c>
      <c r="J698">
        <f>($B$1+Table4[[#This Row],[Home Differential]])-Table4[[#This Row],[Away Differential]]</f>
        <v>0.51006038184127234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0.54126152040692255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-0.8683412362501769</v>
      </c>
      <c r="H699" t="s">
        <v>31</v>
      </c>
      <c r="I699">
        <f>VLOOKUP(Table4[[#This Row],[Visitor]],'NHL Model'!$A$6:$B$38,2,FALSE)</f>
        <v>0.51775546328552802</v>
      </c>
      <c r="J699">
        <f>($B$1+Table4[[#This Row],[Home Differential]])-Table4[[#This Row],[Away Differential]]</f>
        <v>-1.2235243898733865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0.65029913571076281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0.67193921242367816</v>
      </c>
      <c r="H700" t="s">
        <v>32</v>
      </c>
      <c r="I700">
        <f>VLOOKUP(Table4[[#This Row],[Visitor]],'NHL Model'!$A$6:$B$38,2,FALSE)</f>
        <v>-0.361361309178443</v>
      </c>
      <c r="J700">
        <f>($B$1+Table4[[#This Row],[Home Differential]])-Table4[[#This Row],[Away Differential]]</f>
        <v>1.1958728312644396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0.75741451825205031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1.5475013591489768</v>
      </c>
      <c r="H701" t="s">
        <v>28</v>
      </c>
      <c r="I701">
        <f>VLOOKUP(Table4[[#This Row],[Visitor]],'NHL Model'!$A$6:$B$38,2,FALSE)</f>
        <v>-0.40822279081308277</v>
      </c>
      <c r="J701">
        <f>($B$1+Table4[[#This Row],[Home Differential]])-Table4[[#This Row],[Away Differential]]</f>
        <v>2.1182964596243781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0.90220397976456046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-0.61980804137564283</v>
      </c>
      <c r="H702" t="s">
        <v>13</v>
      </c>
      <c r="I702">
        <f>VLOOKUP(Table4[[#This Row],[Visitor]],'NHL Model'!$A$6:$B$38,2,FALSE)</f>
        <v>-7.5459708298993802E-2</v>
      </c>
      <c r="J702">
        <f>($B$1+Table4[[#This Row],[Home Differential]])-Table4[[#This Row],[Away Differential]]</f>
        <v>-0.38177602341433065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0.59835292124016037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-0.53650300840565446</v>
      </c>
      <c r="H703" t="s">
        <v>30</v>
      </c>
      <c r="I703">
        <f>VLOOKUP(Table4[[#This Row],[Visitor]],'NHL Model'!$A$6:$B$38,2,FALSE)</f>
        <v>-6.4729560818359025E-2</v>
      </c>
      <c r="J703">
        <f>($B$1+Table4[[#This Row],[Home Differential]])-Table4[[#This Row],[Away Differential]]</f>
        <v>-0.30920113792497705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0.54535505941984652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-0.52437726201848234</v>
      </c>
      <c r="H704" t="s">
        <v>26</v>
      </c>
      <c r="I704">
        <f>VLOOKUP(Table4[[#This Row],[Visitor]],'NHL Model'!$A$6:$B$38,2,FALSE)</f>
        <v>-0.513643833119658</v>
      </c>
      <c r="J704">
        <f>($B$1+Table4[[#This Row],[Home Differential]])-Table4[[#This Row],[Away Differential]]</f>
        <v>0.15183888076349406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0.51393920099467394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-1.3516250707060606</v>
      </c>
      <c r="H705" t="s">
        <v>10</v>
      </c>
      <c r="I705">
        <f>VLOOKUP(Table4[[#This Row],[Visitor]],'NHL Model'!$A$6:$B$38,2,FALSE)</f>
        <v>0.30570968833820172</v>
      </c>
      <c r="J705">
        <f>($B$1+Table4[[#This Row],[Home Differential]])-Table4[[#This Row],[Away Differential]]</f>
        <v>-1.494762449381944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0.68788151888644256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-0.40651947573390851</v>
      </c>
      <c r="H706" t="s">
        <v>11</v>
      </c>
      <c r="I706">
        <f>VLOOKUP(Table4[[#This Row],[Visitor]],'NHL Model'!$A$6:$B$38,2,FALSE)</f>
        <v>-0.28105923893144158</v>
      </c>
      <c r="J706">
        <f>($B$1+Table4[[#This Row],[Home Differential]])-Table4[[#This Row],[Away Differential]]</f>
        <v>3.7112072859851464E-2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0.54763767844138567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-0.51358590497437617</v>
      </c>
      <c r="H707" t="s">
        <v>37</v>
      </c>
      <c r="I707">
        <f>VLOOKUP(Table4[[#This Row],[Visitor]],'NHL Model'!$A$6:$B$38,2,FALSE)</f>
        <v>-0.11309445867623392</v>
      </c>
      <c r="J707">
        <f>($B$1+Table4[[#This Row],[Home Differential]])-Table4[[#This Row],[Away Differential]]</f>
        <v>-0.23791913663582387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0.53755291369684222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0.26289091192875702</v>
      </c>
      <c r="H708" t="s">
        <v>16</v>
      </c>
      <c r="I708">
        <f>VLOOKUP(Table4[[#This Row],[Visitor]],'NHL Model'!$A$6:$B$38,2,FALSE)</f>
        <v>-1.3903684122795328</v>
      </c>
      <c r="J708">
        <f>($B$1+Table4[[#This Row],[Home Differential]])-Table4[[#This Row],[Away Differential]]</f>
        <v>1.8158316338706082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0.82763607175964915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-0.39418177254008485</v>
      </c>
      <c r="H709" t="s">
        <v>39</v>
      </c>
      <c r="I709">
        <f>VLOOKUP(Table4[[#This Row],[Visitor]],'NHL Model'!$A$6:$B$38,2,FALSE)</f>
        <v>0.19809534061227302</v>
      </c>
      <c r="J709">
        <f>($B$1+Table4[[#This Row],[Home Differential]])-Table4[[#This Row],[Away Differential]]</f>
        <v>-0.42970480349003948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0.6120255113696389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-0.635565543477981</v>
      </c>
      <c r="H710" t="s">
        <v>38</v>
      </c>
      <c r="I710">
        <f>VLOOKUP(Table4[[#This Row],[Visitor]],'NHL Model'!$A$6:$B$38,2,FALSE)</f>
        <v>-0.6902088310934803</v>
      </c>
      <c r="J710">
        <f>($B$1+Table4[[#This Row],[Home Differential]])-Table4[[#This Row],[Away Differential]]</f>
        <v>0.2172155972778177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0.5275845401641035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-6.3745791019188943E-4</v>
      </c>
      <c r="H711" t="s">
        <v>35</v>
      </c>
      <c r="I711">
        <f>VLOOKUP(Table4[[#This Row],[Visitor]],'NHL Model'!$A$6:$B$38,2,FALSE)</f>
        <v>-1.6211574240381006</v>
      </c>
      <c r="J711">
        <f>($B$1+Table4[[#This Row],[Home Differential]])-Table4[[#This Row],[Away Differential]]</f>
        <v>1.783092275790227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0.78706288368144328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4.029141914856392E-2</v>
      </c>
      <c r="H712" t="s">
        <v>14</v>
      </c>
      <c r="I712">
        <f>VLOOKUP(Table4[[#This Row],[Visitor]],'NHL Model'!$A$6:$B$38,2,FALSE)</f>
        <v>0.26289091192875702</v>
      </c>
      <c r="J712">
        <f>($B$1+Table4[[#This Row],[Home Differential]])-Table4[[#This Row],[Away Differential]]</f>
        <v>-6.0027183117874694E-2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0.395759859043051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-1.3516250707060606</v>
      </c>
      <c r="H713" t="s">
        <v>22</v>
      </c>
      <c r="I713">
        <f>VLOOKUP(Table4[[#This Row],[Visitor]],'NHL Model'!$A$6:$B$38,2,FALSE)</f>
        <v>-6.1308839486784707E-2</v>
      </c>
      <c r="J713">
        <f>($B$1+Table4[[#This Row],[Home Differential]])-Table4[[#This Row],[Away Differential]]</f>
        <v>-1.1277439215569576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0.61625869120576016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-0.39418177254008485</v>
      </c>
      <c r="H714" t="s">
        <v>20</v>
      </c>
      <c r="I714">
        <f>VLOOKUP(Table4[[#This Row],[Visitor]],'NHL Model'!$A$6:$B$38,2,FALSE)</f>
        <v>-6.3745791019188943E-4</v>
      </c>
      <c r="J714">
        <f>($B$1+Table4[[#This Row],[Home Differential]])-Table4[[#This Row],[Away Differential]]</f>
        <v>-0.23097200496757456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0.51277240321956497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-0.12212311954851815</v>
      </c>
      <c r="H715" t="s">
        <v>28</v>
      </c>
      <c r="I715">
        <f>VLOOKUP(Table4[[#This Row],[Visitor]],'NHL Model'!$A$6:$B$38,2,FALSE)</f>
        <v>-0.40822279081308277</v>
      </c>
      <c r="J715">
        <f>($B$1+Table4[[#This Row],[Home Differential]])-Table4[[#This Row],[Away Differential]]</f>
        <v>0.44867198092688299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0.6504026844091757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0.105105258369765</v>
      </c>
      <c r="H716" t="s">
        <v>24</v>
      </c>
      <c r="I716">
        <f>VLOOKUP(Table4[[#This Row],[Visitor]],'NHL Model'!$A$6:$B$38,2,FALSE)</f>
        <v>0.559441163373953</v>
      </c>
      <c r="J716">
        <f>($B$1+Table4[[#This Row],[Home Differential]])-Table4[[#This Row],[Away Differential]]</f>
        <v>-0.29176359534186957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0.53022229236780738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-0.8683412362501769</v>
      </c>
      <c r="H717" t="s">
        <v>11</v>
      </c>
      <c r="I717">
        <f>VLOOKUP(Table4[[#This Row],[Visitor]],'NHL Model'!$A$6:$B$38,2,FALSE)</f>
        <v>-0.28105923893144158</v>
      </c>
      <c r="J717">
        <f>($B$1+Table4[[#This Row],[Home Differential]])-Table4[[#This Row],[Away Differential]]</f>
        <v>-0.42470968765641692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0.51884720694745701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0.30570968833820172</v>
      </c>
      <c r="H718" t="s">
        <v>17</v>
      </c>
      <c r="I718">
        <f>VLOOKUP(Table4[[#This Row],[Visitor]],'NHL Model'!$A$6:$B$38,2,FALSE)</f>
        <v>-0.61980804137564283</v>
      </c>
      <c r="J718">
        <f>($B$1+Table4[[#This Row],[Home Differential]])-Table4[[#This Row],[Away Differential]]</f>
        <v>1.088090039376163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0.69076430226483487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1.5475013591489768</v>
      </c>
      <c r="H719" t="s">
        <v>19</v>
      </c>
      <c r="I719">
        <f>VLOOKUP(Table4[[#This Row],[Visitor]],'NHL Model'!$A$6:$B$38,2,FALSE)</f>
        <v>-0.635565543477981</v>
      </c>
      <c r="J719">
        <f>($B$1+Table4[[#This Row],[Home Differential]])-Table4[[#This Row],[Away Differential]]</f>
        <v>2.3456392122892762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0.95337488344611454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-0.513643833119658</v>
      </c>
      <c r="H720" t="s">
        <v>25</v>
      </c>
      <c r="I720">
        <f>VLOOKUP(Table4[[#This Row],[Visitor]],'NHL Model'!$A$6:$B$38,2,FALSE)</f>
        <v>0.67193921242367816</v>
      </c>
      <c r="J720">
        <f>($B$1+Table4[[#This Row],[Home Differential]])-Table4[[#This Row],[Away Differential]]</f>
        <v>-1.0230107358810177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0.66806279038636951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-7.5459708298993802E-2</v>
      </c>
      <c r="H721" t="s">
        <v>39</v>
      </c>
      <c r="I721">
        <f>VLOOKUP(Table4[[#This Row],[Visitor]],'NHL Model'!$A$6:$B$38,2,FALSE)</f>
        <v>0.19809534061227302</v>
      </c>
      <c r="J721">
        <f>($B$1+Table4[[#This Row],[Home Differential]])-Table4[[#This Row],[Away Differential]]</f>
        <v>-0.11098273924894843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0.56786380793260927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-0.53650300840565446</v>
      </c>
      <c r="H722" t="s">
        <v>24</v>
      </c>
      <c r="I722">
        <f>VLOOKUP(Table4[[#This Row],[Visitor]],'NHL Model'!$A$6:$B$38,2,FALSE)</f>
        <v>0.559441163373953</v>
      </c>
      <c r="J722">
        <f>($B$1+Table4[[#This Row],[Home Differential]])-Table4[[#This Row],[Away Differential]]</f>
        <v>-0.93337186211728906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0.65564254778719788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-0.52437726201848234</v>
      </c>
      <c r="H723" t="s">
        <v>38</v>
      </c>
      <c r="I723">
        <f>VLOOKUP(Table4[[#This Row],[Visitor]],'NHL Model'!$A$6:$B$38,2,FALSE)</f>
        <v>-0.6902088310934803</v>
      </c>
      <c r="J723">
        <f>($B$1+Table4[[#This Row],[Home Differential]])-Table4[[#This Row],[Away Differential]]</f>
        <v>0.32840387873731636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0.54299063990551666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-0.30719665303039001</v>
      </c>
      <c r="H724" t="s">
        <v>32</v>
      </c>
      <c r="I724">
        <f>VLOOKUP(Table4[[#This Row],[Visitor]],'NHL Model'!$A$6:$B$38,2,FALSE)</f>
        <v>-0.361361309178443</v>
      </c>
      <c r="J724">
        <f>($B$1+Table4[[#This Row],[Home Differential]])-Table4[[#This Row],[Away Differential]]</f>
        <v>0.21673696581037138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0.57003078444145339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-0.51358590497437617</v>
      </c>
      <c r="H725" t="s">
        <v>37</v>
      </c>
      <c r="I725">
        <f>VLOOKUP(Table4[[#This Row],[Visitor]],'NHL Model'!$A$6:$B$38,2,FALSE)</f>
        <v>-0.11309445867623392</v>
      </c>
      <c r="J725">
        <f>($B$1+Table4[[#This Row],[Home Differential]])-Table4[[#This Row],[Away Differential]]</f>
        <v>-0.23791913663582387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0.53755291369684222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0.51775546328552802</v>
      </c>
      <c r="H726" t="s">
        <v>39</v>
      </c>
      <c r="I726">
        <f>VLOOKUP(Table4[[#This Row],[Visitor]],'NHL Model'!$A$6:$B$38,2,FALSE)</f>
        <v>0.19809534061227302</v>
      </c>
      <c r="J726">
        <f>($B$1+Table4[[#This Row],[Home Differential]])-Table4[[#This Row],[Away Differential]]</f>
        <v>0.48223243233557339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0.62237303716050629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4.029141914856392E-2</v>
      </c>
      <c r="H727" t="s">
        <v>26</v>
      </c>
      <c r="I727">
        <f>VLOOKUP(Table4[[#This Row],[Visitor]],'NHL Model'!$A$6:$B$38,2,FALSE)</f>
        <v>-0.513643833119658</v>
      </c>
      <c r="J727">
        <f>($B$1+Table4[[#This Row],[Home Differential]])-Table4[[#This Row],[Away Differential]]</f>
        <v>0.71650756193054033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0.66620746444924461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-0.40822279081308277</v>
      </c>
      <c r="H728" t="s">
        <v>16</v>
      </c>
      <c r="I728">
        <f>VLOOKUP(Table4[[#This Row],[Visitor]],'NHL Model'!$A$6:$B$38,2,FALSE)</f>
        <v>-1.3903684122795328</v>
      </c>
      <c r="J728">
        <f>($B$1+Table4[[#This Row],[Home Differential]])-Table4[[#This Row],[Away Differential]]</f>
        <v>1.1447179311287683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0.69861058729626935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-1.3516250707060606</v>
      </c>
      <c r="H729" t="s">
        <v>17</v>
      </c>
      <c r="I729">
        <f>VLOOKUP(Table4[[#This Row],[Visitor]],'NHL Model'!$A$6:$B$38,2,FALSE)</f>
        <v>-0.61980804137564283</v>
      </c>
      <c r="J729">
        <f>($B$1+Table4[[#This Row],[Home Differential]])-Table4[[#This Row],[Away Differential]]</f>
        <v>-0.56924471966809942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0.53887378789709983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-0.40651947573390851</v>
      </c>
      <c r="H730" t="s">
        <v>38</v>
      </c>
      <c r="I730">
        <f>VLOOKUP(Table4[[#This Row],[Visitor]],'NHL Model'!$A$6:$B$38,2,FALSE)</f>
        <v>-0.6902088310934803</v>
      </c>
      <c r="J730">
        <f>($B$1+Table4[[#This Row],[Home Differential]])-Table4[[#This Row],[Away Differential]]</f>
        <v>0.44626166502189019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0.56183342013969972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0.26289091192875702</v>
      </c>
      <c r="H731" t="s">
        <v>37</v>
      </c>
      <c r="I731">
        <f>VLOOKUP(Table4[[#This Row],[Visitor]],'NHL Model'!$A$6:$B$38,2,FALSE)</f>
        <v>-0.11309445867623392</v>
      </c>
      <c r="J731">
        <f>($B$1+Table4[[#This Row],[Home Differential]])-Table4[[#This Row],[Away Differential]]</f>
        <v>0.53855768026730932</v>
      </c>
      <c r="K731" t="str">
        <f>IF(Table4[[#This Row],[HomeIce Differential]]&gt;0,Table4[[#This Row],[Home]],Table4[[#This Row],[Visitor]])</f>
        <v>Pittsburgh Penguins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0.60403359741875307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-1.6211574240381006</v>
      </c>
      <c r="H732" t="s">
        <v>25</v>
      </c>
      <c r="I732">
        <f>VLOOKUP(Table4[[#This Row],[Visitor]],'NHL Model'!$A$6:$B$38,2,FALSE)</f>
        <v>0.67193921242367816</v>
      </c>
      <c r="J732">
        <f>($B$1+Table4[[#This Row],[Home Differential]])-Table4[[#This Row],[Away Differential]]</f>
        <v>-2.1305243267994602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0.84768879237639205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-0.12212311954851815</v>
      </c>
      <c r="H733" t="s">
        <v>19</v>
      </c>
      <c r="I733">
        <f>VLOOKUP(Table4[[#This Row],[Visitor]],'NHL Model'!$A$6:$B$38,2,FALSE)</f>
        <v>-0.635565543477981</v>
      </c>
      <c r="J733">
        <f>($B$1+Table4[[#This Row],[Home Differential]])-Table4[[#This Row],[Away Differential]]</f>
        <v>0.67601473359178121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0.70194020447388616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0.105105258369765</v>
      </c>
      <c r="H734" t="s">
        <v>30</v>
      </c>
      <c r="I734">
        <f>VLOOKUP(Table4[[#This Row],[Visitor]],'NHL Model'!$A$6:$B$38,2,FALSE)</f>
        <v>-6.4729560818359025E-2</v>
      </c>
      <c r="J734">
        <f>($B$1+Table4[[#This Row],[Home Differential]])-Table4[[#This Row],[Away Differential]]</f>
        <v>0.33240712885044243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0.58003847023154886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-6.1308839486784707E-2</v>
      </c>
      <c r="H735" t="s">
        <v>18</v>
      </c>
      <c r="I735">
        <f>VLOOKUP(Table4[[#This Row],[Visitor]],'NHL Model'!$A$6:$B$38,2,FALSE)</f>
        <v>-0.52437726201848234</v>
      </c>
      <c r="J735">
        <f>($B$1+Table4[[#This Row],[Home Differential]])-Table4[[#This Row],[Away Differential]]</f>
        <v>0.62564073219401606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0.5502072573573753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-0.8683412362501769</v>
      </c>
      <c r="H736" t="s">
        <v>27</v>
      </c>
      <c r="I736">
        <f>VLOOKUP(Table4[[#This Row],[Visitor]],'NHL Model'!$A$6:$B$38,2,FALSE)</f>
        <v>-0.51358590497437617</v>
      </c>
      <c r="J736">
        <f>($B$1+Table4[[#This Row],[Home Differential]])-Table4[[#This Row],[Away Differential]]</f>
        <v>-0.19218302161348233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0.48662862273540919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-7.5459708298993802E-2</v>
      </c>
      <c r="H737" t="s">
        <v>20</v>
      </c>
      <c r="I737">
        <f>VLOOKUP(Table4[[#This Row],[Visitor]],'NHL Model'!$A$6:$B$38,2,FALSE)</f>
        <v>-6.3745791019188943E-4</v>
      </c>
      <c r="J737">
        <f>($B$1+Table4[[#This Row],[Home Differential]])-Table4[[#This Row],[Away Differential]]</f>
        <v>8.7750059273516479E-2</v>
      </c>
      <c r="K737" t="str">
        <f>IF(Table4[[#This Row],[HomeIce Differential]]&gt;0,Table4[[#This Row],[Home]],Table4[[#This Row],[Visitor]])</f>
        <v>Los Angeles Kings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0.53138930021746456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0.559441163373953</v>
      </c>
      <c r="H738" t="s">
        <v>32</v>
      </c>
      <c r="I738">
        <f>VLOOKUP(Table4[[#This Row],[Visitor]],'NHL Model'!$A$6:$B$38,2,FALSE)</f>
        <v>-0.361361309178443</v>
      </c>
      <c r="J738">
        <f>($B$1+Table4[[#This Row],[Home Differential]])-Table4[[#This Row],[Away Differential]]</f>
        <v>1.0833747822147144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0.80554167414219391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-0.30719665303039001</v>
      </c>
      <c r="H739" t="s">
        <v>36</v>
      </c>
      <c r="I739">
        <f>VLOOKUP(Table4[[#This Row],[Visitor]],'NHL Model'!$A$6:$B$38,2,FALSE)</f>
        <v>-0.40651947573390851</v>
      </c>
      <c r="J739">
        <f>($B$1+Table4[[#This Row],[Home Differential]])-Table4[[#This Row],[Away Differential]]</f>
        <v>0.26189513236583689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0.57628783967210073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4.029141914856392E-2</v>
      </c>
      <c r="H740" t="s">
        <v>32</v>
      </c>
      <c r="I740">
        <f>VLOOKUP(Table4[[#This Row],[Visitor]],'NHL Model'!$A$6:$B$38,2,FALSE)</f>
        <v>-0.361361309178443</v>
      </c>
      <c r="J740">
        <f>($B$1+Table4[[#This Row],[Home Differential]])-Table4[[#This Row],[Away Differential]]</f>
        <v>0.56422503798932533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0.69073569476834096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-0.8683412362501769</v>
      </c>
      <c r="H741" t="s">
        <v>18</v>
      </c>
      <c r="I741">
        <f>VLOOKUP(Table4[[#This Row],[Visitor]],'NHL Model'!$A$6:$B$38,2,FALSE)</f>
        <v>-0.52437726201848234</v>
      </c>
      <c r="J741">
        <f>($B$1+Table4[[#This Row],[Home Differential]])-Table4[[#This Row],[Away Differential]]</f>
        <v>-0.18139166456937617</v>
      </c>
      <c r="K741" t="str">
        <f>IF(Table4[[#This Row],[HomeIce Differential]]&gt;0,Table4[[#This Row],[Home]],Table4[[#This Row],[Visitor]])</f>
        <v>Montreal Canadiens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0.56161407341494607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-0.40822279081308277</v>
      </c>
      <c r="H742" t="s">
        <v>38</v>
      </c>
      <c r="I742">
        <f>VLOOKUP(Table4[[#This Row],[Visitor]],'NHL Model'!$A$6:$B$38,2,FALSE)</f>
        <v>-0.6902088310934803</v>
      </c>
      <c r="J742">
        <f>($B$1+Table4[[#This Row],[Home Differential]])-Table4[[#This Row],[Away Differential]]</f>
        <v>0.44455834994271592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0.55908484826373583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0.30570968833820172</v>
      </c>
      <c r="H743" t="s">
        <v>16</v>
      </c>
      <c r="I743">
        <f>VLOOKUP(Table4[[#This Row],[Visitor]],'NHL Model'!$A$6:$B$38,2,FALSE)</f>
        <v>-1.3903684122795328</v>
      </c>
      <c r="J743">
        <f>($B$1+Table4[[#This Row],[Home Differential]])-Table4[[#This Row],[Away Differential]]</f>
        <v>1.858650410280053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0.79753211785743328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-0.61980804137564283</v>
      </c>
      <c r="H744" t="s">
        <v>30</v>
      </c>
      <c r="I744">
        <f>VLOOKUP(Table4[[#This Row],[Visitor]],'NHL Model'!$A$6:$B$38,2,FALSE)</f>
        <v>-6.4729560818359025E-2</v>
      </c>
      <c r="J744">
        <f>($B$1+Table4[[#This Row],[Home Differential]])-Table4[[#This Row],[Away Differential]]</f>
        <v>-0.39250617089496542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0.52040454816174098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-0.53650300840565446</v>
      </c>
      <c r="H745" t="s">
        <v>40</v>
      </c>
      <c r="I745">
        <f>VLOOKUP(Table4[[#This Row],[Visitor]],'NHL Model'!$A$6:$B$38,2,FALSE)</f>
        <v>0.105105258369765</v>
      </c>
      <c r="J745">
        <f>($B$1+Table4[[#This Row],[Home Differential]])-Table4[[#This Row],[Away Differential]]</f>
        <v>-0.4790359571131011</v>
      </c>
      <c r="K745" t="str">
        <f>IF(Table4[[#This Row],[HomeIce Differential]]&gt;0,Table4[[#This Row],[Home]],Table4[[#This Row],[Visitor]])</f>
        <v>Winnipeg Jets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0.59269037174201455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0.26289091192875702</v>
      </c>
      <c r="H746" t="s">
        <v>27</v>
      </c>
      <c r="I746">
        <f>VLOOKUP(Table4[[#This Row],[Visitor]],'NHL Model'!$A$6:$B$38,2,FALSE)</f>
        <v>-0.51358590497437617</v>
      </c>
      <c r="J746">
        <f>($B$1+Table4[[#This Row],[Home Differential]])-Table4[[#This Row],[Away Differential]]</f>
        <v>0.93904912656545159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0.70615025885057991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-0.12212311954851815</v>
      </c>
      <c r="H747" t="s">
        <v>39</v>
      </c>
      <c r="I747">
        <f>VLOOKUP(Table4[[#This Row],[Visitor]],'NHL Model'!$A$6:$B$38,2,FALSE)</f>
        <v>0.19809534061227302</v>
      </c>
      <c r="J747">
        <f>($B$1+Table4[[#This Row],[Home Differential]])-Table4[[#This Row],[Away Differential]]</f>
        <v>-0.15764615049847278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0.50460186070154422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-6.3745791019188943E-4</v>
      </c>
      <c r="H748" t="s">
        <v>19</v>
      </c>
      <c r="I748">
        <f>VLOOKUP(Table4[[#This Row],[Visitor]],'NHL Model'!$A$6:$B$38,2,FALSE)</f>
        <v>-0.635565543477981</v>
      </c>
      <c r="J748">
        <f>($B$1+Table4[[#This Row],[Home Differential]])-Table4[[#This Row],[Away Differential]]</f>
        <v>0.79750039523010752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0.65050058937377231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-6.1308839486784707E-2</v>
      </c>
      <c r="H749" t="s">
        <v>33</v>
      </c>
      <c r="I749">
        <f>VLOOKUP(Table4[[#This Row],[Visitor]],'NHL Model'!$A$6:$B$38,2,FALSE)</f>
        <v>-0.39418177254008485</v>
      </c>
      <c r="J749">
        <f>($B$1+Table4[[#This Row],[Home Differential]])-Table4[[#This Row],[Away Differential]]</f>
        <v>0.49544524271561852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0.60864823096007503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0.67193921242367816</v>
      </c>
      <c r="H750" t="s">
        <v>11</v>
      </c>
      <c r="I750">
        <f>VLOOKUP(Table4[[#This Row],[Visitor]],'NHL Model'!$A$6:$B$38,2,FALSE)</f>
        <v>-0.28105923893144158</v>
      </c>
      <c r="J750">
        <f>($B$1+Table4[[#This Row],[Home Differential]])-Table4[[#This Row],[Away Differential]]</f>
        <v>1.1155707610174381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0.74628797067502073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1.5475013591489768</v>
      </c>
      <c r="H751" t="s">
        <v>29</v>
      </c>
      <c r="I751">
        <f>VLOOKUP(Table4[[#This Row],[Visitor]],'NHL Model'!$A$6:$B$38,2,FALSE)</f>
        <v>-1.3516250707060606</v>
      </c>
      <c r="J751">
        <f>($B$1+Table4[[#This Row],[Home Differential]])-Table4[[#This Row],[Away Differential]]</f>
        <v>3.0616987395173556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-0.513643833119658</v>
      </c>
      <c r="H752" t="s">
        <v>33</v>
      </c>
      <c r="I752">
        <f>VLOOKUP(Table4[[#This Row],[Visitor]],'NHL Model'!$A$6:$B$38,2,FALSE)</f>
        <v>-0.39418177254008485</v>
      </c>
      <c r="J752">
        <f>($B$1+Table4[[#This Row],[Home Differential]])-Table4[[#This Row],[Away Differential]]</f>
        <v>4.3110249082745244E-2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0.5720110343705187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-7.5459708298993802E-2</v>
      </c>
      <c r="H753" t="s">
        <v>31</v>
      </c>
      <c r="I753">
        <f>VLOOKUP(Table4[[#This Row],[Visitor]],'NHL Model'!$A$6:$B$38,2,FALSE)</f>
        <v>0.51775546328552802</v>
      </c>
      <c r="J753">
        <f>($B$1+Table4[[#This Row],[Home Differential]])-Table4[[#This Row],[Away Differential]]</f>
        <v>-0.43064286192220341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0.54043853041676404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-1.6211574240381006</v>
      </c>
      <c r="H754" t="s">
        <v>37</v>
      </c>
      <c r="I754">
        <f>VLOOKUP(Table4[[#This Row],[Visitor]],'NHL Model'!$A$6:$B$38,2,FALSE)</f>
        <v>-0.11309445867623392</v>
      </c>
      <c r="J754">
        <f>($B$1+Table4[[#This Row],[Home Differential]])-Table4[[#This Row],[Away Differential]]</f>
        <v>-1.3454906556995483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0.69352877927909573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0.51775546328552802</v>
      </c>
      <c r="H755" t="s">
        <v>13</v>
      </c>
      <c r="I755">
        <f>VLOOKUP(Table4[[#This Row],[Visitor]],'NHL Model'!$A$6:$B$38,2,FALSE)</f>
        <v>-7.5459708298993802E-2</v>
      </c>
      <c r="J755">
        <f>($B$1+Table4[[#This Row],[Home Differential]])-Table4[[#This Row],[Away Differential]]</f>
        <v>0.75578748124684025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0.63103669321066314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-0.8683412362501769</v>
      </c>
      <c r="H756" t="s">
        <v>34</v>
      </c>
      <c r="I756">
        <f>VLOOKUP(Table4[[#This Row],[Visitor]],'NHL Model'!$A$6:$B$38,2,FALSE)</f>
        <v>-0.53650300840565446</v>
      </c>
      <c r="J756">
        <f>($B$1+Table4[[#This Row],[Home Differential]])-Table4[[#This Row],[Away Differential]]</f>
        <v>-0.16926591818220404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0.48345325949917495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-1.3903684122795328</v>
      </c>
      <c r="H757" t="s">
        <v>30</v>
      </c>
      <c r="I757">
        <f>VLOOKUP(Table4[[#This Row],[Visitor]],'NHL Model'!$A$6:$B$38,2,FALSE)</f>
        <v>-6.4729560818359025E-2</v>
      </c>
      <c r="J757">
        <f>($B$1+Table4[[#This Row],[Home Differential]])-Table4[[#This Row],[Away Differential]]</f>
        <v>-1.1630665417988553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0.66366550909268152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0.30570968833820172</v>
      </c>
      <c r="H758" t="s">
        <v>21</v>
      </c>
      <c r="I758">
        <f>VLOOKUP(Table4[[#This Row],[Visitor]],'NHL Model'!$A$6:$B$38,2,FALSE)</f>
        <v>4.029141914856392E-2</v>
      </c>
      <c r="J758">
        <f>($B$1+Table4[[#This Row],[Home Differential]])-Table4[[#This Row],[Away Differential]]</f>
        <v>0.42799057885195618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0.59930180284853318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0.559441163373953</v>
      </c>
      <c r="H759" t="s">
        <v>25</v>
      </c>
      <c r="I759">
        <f>VLOOKUP(Table4[[#This Row],[Visitor]],'NHL Model'!$A$6:$B$38,2,FALSE)</f>
        <v>0.67193921242367816</v>
      </c>
      <c r="J759">
        <f>($B$1+Table4[[#This Row],[Home Differential]])-Table4[[#This Row],[Away Differential]]</f>
        <v>5.0074260612593235E-2</v>
      </c>
      <c r="K759" t="str">
        <f>IF(Table4[[#This Row],[HomeIce Differential]]&gt;0,Table4[[#This Row],[Home]],Table4[[#This Row],[Visitor]])</f>
        <v>New Jersey Devils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0.57450579022330805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-0.40651947573390851</v>
      </c>
      <c r="H760" t="s">
        <v>18</v>
      </c>
      <c r="I760">
        <f>VLOOKUP(Table4[[#This Row],[Visitor]],'NHL Model'!$A$6:$B$38,2,FALSE)</f>
        <v>-0.52437726201848234</v>
      </c>
      <c r="J760">
        <f>($B$1+Table4[[#This Row],[Home Differential]])-Table4[[#This Row],[Away Differential]]</f>
        <v>0.28043009594689222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0.50487543694056369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-0.51358590497437617</v>
      </c>
      <c r="H761" t="s">
        <v>15</v>
      </c>
      <c r="I761">
        <f>VLOOKUP(Table4[[#This Row],[Visitor]],'NHL Model'!$A$6:$B$38,2,FALSE)</f>
        <v>-0.30719665303039001</v>
      </c>
      <c r="J761">
        <f>($B$1+Table4[[#This Row],[Home Differential]])-Table4[[#This Row],[Away Differential]]</f>
        <v>-4.381694228166777E-2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0.60607121698702582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0.26289091192875702</v>
      </c>
      <c r="H762" t="s">
        <v>28</v>
      </c>
      <c r="I762">
        <f>VLOOKUP(Table4[[#This Row],[Visitor]],'NHL Model'!$A$6:$B$38,2,FALSE)</f>
        <v>-0.40822279081308277</v>
      </c>
      <c r="J762">
        <f>($B$1+Table4[[#This Row],[Home Differential]])-Table4[[#This Row],[Away Differential]]</f>
        <v>0.83368601240415818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0.67106997570421123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-0.12212311954851815</v>
      </c>
      <c r="H763" t="s">
        <v>32</v>
      </c>
      <c r="I763">
        <f>VLOOKUP(Table4[[#This Row],[Visitor]],'NHL Model'!$A$6:$B$38,2,FALSE)</f>
        <v>-0.361361309178443</v>
      </c>
      <c r="J763">
        <f>($B$1+Table4[[#This Row],[Home Differential]])-Table4[[#This Row],[Away Differential]]</f>
        <v>0.40181049929224322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0.66394683208171279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-0.6902088310934803</v>
      </c>
      <c r="H764" t="s">
        <v>17</v>
      </c>
      <c r="I764">
        <f>VLOOKUP(Table4[[#This Row],[Visitor]],'NHL Model'!$A$6:$B$38,2,FALSE)</f>
        <v>-0.61980804137564283</v>
      </c>
      <c r="J764">
        <f>($B$1+Table4[[#This Row],[Home Differential]])-Table4[[#This Row],[Away Differential]]</f>
        <v>9.2171519944480917E-2</v>
      </c>
      <c r="K764" t="str">
        <f>IF(Table4[[#This Row],[HomeIce Differential]]&gt;0,Table4[[#This Row],[Home]],Table4[[#This Row],[Visitor]])</f>
        <v>Vancouver Canucks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0.55277116267058757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-6.3745791019188943E-4</v>
      </c>
      <c r="H765" t="s">
        <v>29</v>
      </c>
      <c r="I765">
        <f>VLOOKUP(Table4[[#This Row],[Visitor]],'NHL Model'!$A$6:$B$38,2,FALSE)</f>
        <v>-1.3516250707060606</v>
      </c>
      <c r="J765">
        <f>($B$1+Table4[[#This Row],[Home Differential]])-Table4[[#This Row],[Away Differential]]</f>
        <v>1.513559922458187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0.74971684087491064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0.105105258369765</v>
      </c>
      <c r="H766" t="s">
        <v>19</v>
      </c>
      <c r="I766">
        <f>VLOOKUP(Table4[[#This Row],[Visitor]],'NHL Model'!$A$6:$B$38,2,FALSE)</f>
        <v>-0.635565543477981</v>
      </c>
      <c r="J766">
        <f>($B$1+Table4[[#This Row],[Home Differential]])-Table4[[#This Row],[Away Differential]]</f>
        <v>0.90324311151006442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0.70118902523814408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-6.1308839486784707E-2</v>
      </c>
      <c r="H767" t="s">
        <v>11</v>
      </c>
      <c r="I767">
        <f>VLOOKUP(Table4[[#This Row],[Visitor]],'NHL Model'!$A$6:$B$38,2,FALSE)</f>
        <v>-0.28105923893144158</v>
      </c>
      <c r="J767">
        <f>($B$1+Table4[[#This Row],[Home Differential]])-Table4[[#This Row],[Away Differential]]</f>
        <v>0.3823227091069753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0.59297412382486447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0.19809534061227302</v>
      </c>
      <c r="H768" t="s">
        <v>37</v>
      </c>
      <c r="I768">
        <f>VLOOKUP(Table4[[#This Row],[Visitor]],'NHL Model'!$A$6:$B$38,2,FALSE)</f>
        <v>-0.11309445867623392</v>
      </c>
      <c r="J768">
        <f>($B$1+Table4[[#This Row],[Home Differential]])-Table4[[#This Row],[Away Differential]]</f>
        <v>0.47376210895082532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0.58487461414312492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-0.513643833119658</v>
      </c>
      <c r="H769" t="s">
        <v>36</v>
      </c>
      <c r="I769">
        <f>VLOOKUP(Table4[[#This Row],[Visitor]],'NHL Model'!$A$6:$B$38,2,FALSE)</f>
        <v>-0.40651947573390851</v>
      </c>
      <c r="J769">
        <f>($B$1+Table4[[#This Row],[Home Differential]])-Table4[[#This Row],[Away Differential]]</f>
        <v>5.5447952276568901E-2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0.57372053004298518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-0.61980804137564283</v>
      </c>
      <c r="H770" t="s">
        <v>35</v>
      </c>
      <c r="I770">
        <f>VLOOKUP(Table4[[#This Row],[Visitor]],'NHL Model'!$A$6:$B$38,2,FALSE)</f>
        <v>-1.6211574240381006</v>
      </c>
      <c r="J770">
        <f>($B$1+Table4[[#This Row],[Home Differential]])-Table4[[#This Row],[Away Differential]]</f>
        <v>1.1639216923247762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0.7373083011525251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0.51775546328552802</v>
      </c>
      <c r="H771" t="s">
        <v>15</v>
      </c>
      <c r="I771">
        <f>VLOOKUP(Table4[[#This Row],[Visitor]],'NHL Model'!$A$6:$B$38,2,FALSE)</f>
        <v>-0.30719665303039001</v>
      </c>
      <c r="J771">
        <f>($B$1+Table4[[#This Row],[Home Differential]])-Table4[[#This Row],[Away Differential]]</f>
        <v>0.98752442597823642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0.64141722118239985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0.67193921242367816</v>
      </c>
      <c r="H772" t="s">
        <v>23</v>
      </c>
      <c r="I772">
        <f>VLOOKUP(Table4[[#This Row],[Visitor]],'NHL Model'!$A$6:$B$38,2,FALSE)</f>
        <v>-0.8683412362501769</v>
      </c>
      <c r="J772">
        <f>($B$1+Table4[[#This Row],[Home Differential]])-Table4[[#This Row],[Away Differential]]</f>
        <v>1.7028527583361734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0.82766097966720042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-1.3903684122795328</v>
      </c>
      <c r="H773" t="s">
        <v>24</v>
      </c>
      <c r="I773">
        <f>VLOOKUP(Table4[[#This Row],[Visitor]],'NHL Model'!$A$6:$B$38,2,FALSE)</f>
        <v>0.559441163373953</v>
      </c>
      <c r="J773">
        <f>($B$1+Table4[[#This Row],[Home Differential]])-Table4[[#This Row],[Away Differential]]</f>
        <v>-1.7872372659911675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0.77395299746003299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0.30570968833820172</v>
      </c>
      <c r="H774" t="s">
        <v>40</v>
      </c>
      <c r="I774">
        <f>VLOOKUP(Table4[[#This Row],[Visitor]],'NHL Model'!$A$6:$B$38,2,FALSE)</f>
        <v>0.105105258369765</v>
      </c>
      <c r="J774">
        <f>($B$1+Table4[[#This Row],[Home Differential]])-Table4[[#This Row],[Away Differential]]</f>
        <v>0.36317673963075514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0.5240054943978607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1.5475013591489768</v>
      </c>
      <c r="H775" t="s">
        <v>22</v>
      </c>
      <c r="I775">
        <f>VLOOKUP(Table4[[#This Row],[Visitor]],'NHL Model'!$A$6:$B$38,2,FALSE)</f>
        <v>-6.1308839486784707E-2</v>
      </c>
      <c r="J775">
        <f>($B$1+Table4[[#This Row],[Home Differential]])-Table4[[#This Row],[Away Differential]]</f>
        <v>1.7713825082980799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0.8738066416967698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-0.28105923893144158</v>
      </c>
      <c r="H776" t="s">
        <v>33</v>
      </c>
      <c r="I776">
        <f>VLOOKUP(Table4[[#This Row],[Visitor]],'NHL Model'!$A$6:$B$38,2,FALSE)</f>
        <v>-0.39418177254008485</v>
      </c>
      <c r="J776">
        <f>($B$1+Table4[[#This Row],[Home Differential]])-Table4[[#This Row],[Away Differential]]</f>
        <v>0.27569484327096166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0.62991588551129418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-0.361361309178443</v>
      </c>
      <c r="H777" t="s">
        <v>14</v>
      </c>
      <c r="I777">
        <f>VLOOKUP(Table4[[#This Row],[Visitor]],'NHL Model'!$A$6:$B$38,2,FALSE)</f>
        <v>0.26289091192875702</v>
      </c>
      <c r="J777">
        <f>($B$1+Table4[[#This Row],[Home Differential]])-Table4[[#This Row],[Away Differential]]</f>
        <v>-0.46167991144488163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0.49793201591761249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-0.635565543477981</v>
      </c>
      <c r="H778" t="s">
        <v>34</v>
      </c>
      <c r="I778">
        <f>VLOOKUP(Table4[[#This Row],[Visitor]],'NHL Model'!$A$6:$B$38,2,FALSE)</f>
        <v>-0.53650300840565446</v>
      </c>
      <c r="J778">
        <f>($B$1+Table4[[#This Row],[Home Differential]])-Table4[[#This Row],[Away Differential]]</f>
        <v>6.3509774589991852E-2</v>
      </c>
      <c r="K778" t="str">
        <f>IF(Table4[[#This Row],[HomeIce Differential]]&gt;0,Table4[[#This Row],[Home]],Table4[[#This Row],[Visitor]])</f>
        <v>Toronto Maple Leafs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0.54879982952380191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-0.6902088310934803</v>
      </c>
      <c r="H779" t="s">
        <v>30</v>
      </c>
      <c r="I779">
        <f>VLOOKUP(Table4[[#This Row],[Visitor]],'NHL Model'!$A$6:$B$38,2,FALSE)</f>
        <v>-6.4729560818359025E-2</v>
      </c>
      <c r="J779">
        <f>($B$1+Table4[[#This Row],[Home Differential]])-Table4[[#This Row],[Away Differential]]</f>
        <v>-0.4629069606128029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0.56665233287421846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-6.3745791019188943E-4</v>
      </c>
      <c r="H780" t="s">
        <v>27</v>
      </c>
      <c r="I780">
        <f>VLOOKUP(Table4[[#This Row],[Visitor]],'NHL Model'!$A$6:$B$38,2,FALSE)</f>
        <v>-0.51358590497437617</v>
      </c>
      <c r="J780">
        <f>($B$1+Table4[[#This Row],[Home Differential]])-Table4[[#This Row],[Away Differential]]</f>
        <v>0.67552075672650269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0.63359925361661718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-0.40822279081308277</v>
      </c>
      <c r="H781" t="s">
        <v>36</v>
      </c>
      <c r="I781">
        <f>VLOOKUP(Table4[[#This Row],[Visitor]],'NHL Model'!$A$6:$B$38,2,FALSE)</f>
        <v>-0.40651947573390851</v>
      </c>
      <c r="J781">
        <f>($B$1+Table4[[#This Row],[Home Differential]])-Table4[[#This Row],[Away Differential]]</f>
        <v>0.16086899458314413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0.56228979298282933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0.19809534061227302</v>
      </c>
      <c r="H782" t="s">
        <v>21</v>
      </c>
      <c r="I782">
        <f>VLOOKUP(Table4[[#This Row],[Visitor]],'NHL Model'!$A$6:$B$38,2,FALSE)</f>
        <v>4.029141914856392E-2</v>
      </c>
      <c r="J782">
        <f>($B$1+Table4[[#This Row],[Home Differential]])-Table4[[#This Row],[Away Differential]]</f>
        <v>0.32037623112602748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0.61042863843984374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-0.61980804137564283</v>
      </c>
      <c r="H783" t="s">
        <v>24</v>
      </c>
      <c r="I783">
        <f>VLOOKUP(Table4[[#This Row],[Visitor]],'NHL Model'!$A$6:$B$38,2,FALSE)</f>
        <v>0.559441163373953</v>
      </c>
      <c r="J783">
        <f>($B$1+Table4[[#This Row],[Home Differential]])-Table4[[#This Row],[Away Differential]]</f>
        <v>-1.0166768950872775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0.63066531076109733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-7.5459708298993802E-2</v>
      </c>
      <c r="H784" t="s">
        <v>15</v>
      </c>
      <c r="I784">
        <f>VLOOKUP(Table4[[#This Row],[Visitor]],'NHL Model'!$A$6:$B$38,2,FALSE)</f>
        <v>-0.30719665303039001</v>
      </c>
      <c r="J784">
        <f>($B$1+Table4[[#This Row],[Home Differential]])-Table4[[#This Row],[Away Differential]]</f>
        <v>0.39430925439371461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0.45222532497262408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-0.52437726201848234</v>
      </c>
      <c r="H785" t="s">
        <v>34</v>
      </c>
      <c r="I785">
        <f>VLOOKUP(Table4[[#This Row],[Visitor]],'NHL Model'!$A$6:$B$38,2,FALSE)</f>
        <v>-0.53650300840565446</v>
      </c>
      <c r="J785">
        <f>($B$1+Table4[[#This Row],[Home Differential]])-Table4[[#This Row],[Away Differential]]</f>
        <v>0.17469805604949051</v>
      </c>
      <c r="K785" t="str">
        <f>IF(Table4[[#This Row],[HomeIce Differential]]&gt;0,Table4[[#This Row],[Home]],Table4[[#This Row],[Visitor]])</f>
        <v>Montreal Canadiens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0.56420592926521507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-1.3516250707060606</v>
      </c>
      <c r="H786" t="s">
        <v>23</v>
      </c>
      <c r="I786">
        <f>VLOOKUP(Table4[[#This Row],[Visitor]],'NHL Model'!$A$6:$B$38,2,FALSE)</f>
        <v>-0.8683412362501769</v>
      </c>
      <c r="J786">
        <f>($B$1+Table4[[#This Row],[Home Differential]])-Table4[[#This Row],[Away Differential]]</f>
        <v>-0.32071152479356535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0.50443736043343879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-0.11309445867623392</v>
      </c>
      <c r="H787" t="s">
        <v>33</v>
      </c>
      <c r="I787">
        <f>VLOOKUP(Table4[[#This Row],[Visitor]],'NHL Model'!$A$6:$B$38,2,FALSE)</f>
        <v>-0.39418177254008485</v>
      </c>
      <c r="J787">
        <f>($B$1+Table4[[#This Row],[Home Differential]])-Table4[[#This Row],[Away Differential]]</f>
        <v>0.44365962352616933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0.6014728847461478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0.105105258369765</v>
      </c>
      <c r="H788" t="s">
        <v>35</v>
      </c>
      <c r="I788">
        <f>VLOOKUP(Table4[[#This Row],[Visitor]],'NHL Model'!$A$6:$B$38,2,FALSE)</f>
        <v>-1.6211574240381006</v>
      </c>
      <c r="J788">
        <f>($B$1+Table4[[#This Row],[Home Differential]])-Table4[[#This Row],[Away Differential]]</f>
        <v>1.8888349920701839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0.83775131954581505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-1.3903684122795328</v>
      </c>
      <c r="H789" t="s">
        <v>14</v>
      </c>
      <c r="I789">
        <f>VLOOKUP(Table4[[#This Row],[Visitor]],'NHL Model'!$A$6:$B$38,2,FALSE)</f>
        <v>0.26289091192875702</v>
      </c>
      <c r="J789">
        <f>($B$1+Table4[[#This Row],[Home Differential]])-Table4[[#This Row],[Away Differential]]</f>
        <v>-1.4906870145459714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0.66654760131075652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1.5475013591489768</v>
      </c>
      <c r="H790" t="s">
        <v>31</v>
      </c>
      <c r="I790">
        <f>VLOOKUP(Table4[[#This Row],[Visitor]],'NHL Model'!$A$6:$B$38,2,FALSE)</f>
        <v>0.51775546328552802</v>
      </c>
      <c r="J790">
        <f>($B$1+Table4[[#This Row],[Home Differential]])-Table4[[#This Row],[Away Differential]]</f>
        <v>1.1923182055257673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0.77390166990091469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-0.361361309178443</v>
      </c>
      <c r="H791" t="s">
        <v>30</v>
      </c>
      <c r="I791">
        <f>VLOOKUP(Table4[[#This Row],[Visitor]],'NHL Model'!$A$6:$B$38,2,FALSE)</f>
        <v>-6.4729560818359025E-2</v>
      </c>
      <c r="J791">
        <f>($B$1+Table4[[#This Row],[Home Differential]])-Table4[[#This Row],[Away Differential]]</f>
        <v>-0.1340594386977656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0.4947655729249999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-0.635565543477981</v>
      </c>
      <c r="H792" t="s">
        <v>26</v>
      </c>
      <c r="I792">
        <f>VLOOKUP(Table4[[#This Row],[Visitor]],'NHL Model'!$A$6:$B$38,2,FALSE)</f>
        <v>-0.513643833119658</v>
      </c>
      <c r="J792">
        <f>($B$1+Table4[[#This Row],[Home Differential]])-Table4[[#This Row],[Away Differential]]</f>
        <v>4.0650599303995394E-2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0.49853310125326078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-0.12212311954851815</v>
      </c>
      <c r="H793" t="s">
        <v>27</v>
      </c>
      <c r="I793">
        <f>VLOOKUP(Table4[[#This Row],[Visitor]],'NHL Model'!$A$6:$B$38,2,FALSE)</f>
        <v>-0.51358590497437617</v>
      </c>
      <c r="J793">
        <f>($B$1+Table4[[#This Row],[Home Differential]])-Table4[[#This Row],[Away Differential]]</f>
        <v>0.55403509508817639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0.68503886871673092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-0.6902088310934803</v>
      </c>
      <c r="H794" t="s">
        <v>22</v>
      </c>
      <c r="I794">
        <f>VLOOKUP(Table4[[#This Row],[Visitor]],'NHL Model'!$A$6:$B$38,2,FALSE)</f>
        <v>-6.1308839486784707E-2</v>
      </c>
      <c r="J794">
        <f>($B$1+Table4[[#This Row],[Home Differential]])-Table4[[#This Row],[Away Differential]]</f>
        <v>-0.46632768194437718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0.52461374063807287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4.029141914856392E-2</v>
      </c>
      <c r="H795" t="s">
        <v>20</v>
      </c>
      <c r="I795">
        <f>VLOOKUP(Table4[[#This Row],[Visitor]],'NHL Model'!$A$6:$B$38,2,FALSE)</f>
        <v>-6.3745791019188943E-4</v>
      </c>
      <c r="J795">
        <f>($B$1+Table4[[#This Row],[Home Differential]])-Table4[[#This Row],[Away Differential]]</f>
        <v>0.20350118672107423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0.62078944516525181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0.67193921242367816</v>
      </c>
      <c r="H796" t="s">
        <v>10</v>
      </c>
      <c r="I796">
        <f>VLOOKUP(Table4[[#This Row],[Visitor]],'NHL Model'!$A$6:$B$38,2,FALSE)</f>
        <v>0.30570968833820172</v>
      </c>
      <c r="J796">
        <f>($B$1+Table4[[#This Row],[Home Differential]])-Table4[[#This Row],[Away Differential]]</f>
        <v>0.52880183374779488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0.64469864708063795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-0.40822279081308277</v>
      </c>
      <c r="H797" t="s">
        <v>39</v>
      </c>
      <c r="I797">
        <f>VLOOKUP(Table4[[#This Row],[Visitor]],'NHL Model'!$A$6:$B$38,2,FALSE)</f>
        <v>0.19809534061227302</v>
      </c>
      <c r="J797">
        <f>($B$1+Table4[[#This Row],[Home Differential]])-Table4[[#This Row],[Away Differential]]</f>
        <v>-0.4437458217630374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0.61397101610399896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-0.61980804137564283</v>
      </c>
      <c r="H798" t="s">
        <v>14</v>
      </c>
      <c r="I798">
        <f>VLOOKUP(Table4[[#This Row],[Visitor]],'NHL Model'!$A$6:$B$38,2,FALSE)</f>
        <v>0.26289091192875702</v>
      </c>
      <c r="J798">
        <f>($B$1+Table4[[#This Row],[Home Differential]])-Table4[[#This Row],[Away Differential]]</f>
        <v>-0.72012664364208145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0.52374291935871109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-0.53650300840565446</v>
      </c>
      <c r="H799" t="s">
        <v>26</v>
      </c>
      <c r="I799">
        <f>VLOOKUP(Table4[[#This Row],[Visitor]],'NHL Model'!$A$6:$B$38,2,FALSE)</f>
        <v>-0.513643833119658</v>
      </c>
      <c r="J799">
        <f>($B$1+Table4[[#This Row],[Home Differential]])-Table4[[#This Row],[Away Differential]]</f>
        <v>0.13971313437632193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0.51225907377418178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-0.52437726201848234</v>
      </c>
      <c r="H800" t="s">
        <v>23</v>
      </c>
      <c r="I800">
        <f>VLOOKUP(Table4[[#This Row],[Visitor]],'NHL Model'!$A$6:$B$38,2,FALSE)</f>
        <v>-0.8683412362501769</v>
      </c>
      <c r="J800">
        <f>($B$1+Table4[[#This Row],[Home Differential]])-Table4[[#This Row],[Away Differential]]</f>
        <v>0.50653628389401295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0.61018499080911281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-1.3516250707060606</v>
      </c>
      <c r="H801" t="s">
        <v>36</v>
      </c>
      <c r="I801">
        <f>VLOOKUP(Table4[[#This Row],[Visitor]],'NHL Model'!$A$6:$B$38,2,FALSE)</f>
        <v>-0.40651947573390851</v>
      </c>
      <c r="J801">
        <f>($B$1+Table4[[#This Row],[Home Differential]])-Table4[[#This Row],[Away Differential]]</f>
        <v>-0.78253328530983368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0.56842676661794145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0.105105258369765</v>
      </c>
      <c r="H802" t="s">
        <v>11</v>
      </c>
      <c r="I802">
        <f>VLOOKUP(Table4[[#This Row],[Visitor]],'NHL Model'!$A$6:$B$38,2,FALSE)</f>
        <v>-0.28105923893144158</v>
      </c>
      <c r="J802">
        <f>($B$1+Table4[[#This Row],[Home Differential]])-Table4[[#This Row],[Away Differential]]</f>
        <v>0.548736806963525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0.65206910526894113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-1.3903684122795328</v>
      </c>
      <c r="H803" t="s">
        <v>22</v>
      </c>
      <c r="I803">
        <f>VLOOKUP(Table4[[#This Row],[Visitor]],'NHL Model'!$A$6:$B$38,2,FALSE)</f>
        <v>-6.1308839486784707E-2</v>
      </c>
      <c r="J803">
        <f>($B$1+Table4[[#This Row],[Home Differential]])-Table4[[#This Row],[Away Differential]]</f>
        <v>-1.1664872631304297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0.62162691685653593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0.30570968833820172</v>
      </c>
      <c r="H804" t="s">
        <v>37</v>
      </c>
      <c r="I804">
        <f>VLOOKUP(Table4[[#This Row],[Visitor]],'NHL Model'!$A$6:$B$38,2,FALSE)</f>
        <v>-0.11309445867623392</v>
      </c>
      <c r="J804">
        <f>($B$1+Table4[[#This Row],[Home Differential]])-Table4[[#This Row],[Away Differential]]</f>
        <v>0.58137645667675408</v>
      </c>
      <c r="K804" t="str">
        <f>IF(Table4[[#This Row],[HomeIce Differential]]&gt;0,Table4[[#This Row],[Home]],Table4[[#This Row],[Visitor]])</f>
        <v>Chicago Blackhawks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0.57345535368937151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1.5475013591489768</v>
      </c>
      <c r="H805" t="s">
        <v>27</v>
      </c>
      <c r="I805">
        <f>VLOOKUP(Table4[[#This Row],[Visitor]],'NHL Model'!$A$6:$B$38,2,FALSE)</f>
        <v>-0.51358590497437617</v>
      </c>
      <c r="J805">
        <f>($B$1+Table4[[#This Row],[Home Differential]])-Table4[[#This Row],[Away Differential]]</f>
        <v>2.2236595737856715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0.93647354768895941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0.19809534061227302</v>
      </c>
      <c r="H806" t="s">
        <v>35</v>
      </c>
      <c r="I806">
        <f>VLOOKUP(Table4[[#This Row],[Visitor]],'NHL Model'!$A$6:$B$38,2,FALSE)</f>
        <v>-1.6211574240381006</v>
      </c>
      <c r="J806">
        <f>($B$1+Table4[[#This Row],[Home Differential]])-Table4[[#This Row],[Away Differential]]</f>
        <v>1.9818250743126919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0.84063677060450059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-0.361361309178443</v>
      </c>
      <c r="H807" t="s">
        <v>31</v>
      </c>
      <c r="I807">
        <f>VLOOKUP(Table4[[#This Row],[Visitor]],'NHL Model'!$A$6:$B$38,2,FALSE)</f>
        <v>0.51775546328552802</v>
      </c>
      <c r="J807">
        <f>($B$1+Table4[[#This Row],[Home Differential]])-Table4[[#This Row],[Away Differential]]</f>
        <v>-0.71654446280165263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0.55382889807183655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-0.39418177254008485</v>
      </c>
      <c r="H808" t="s">
        <v>15</v>
      </c>
      <c r="I808">
        <f>VLOOKUP(Table4[[#This Row],[Visitor]],'NHL Model'!$A$6:$B$38,2,FALSE)</f>
        <v>-0.30719665303039001</v>
      </c>
      <c r="J808">
        <f>($B$1+Table4[[#This Row],[Home Differential]])-Table4[[#This Row],[Away Differential]]</f>
        <v>7.5587190152623551E-2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0.4080636215355945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-0.635565543477981</v>
      </c>
      <c r="H809" t="s">
        <v>20</v>
      </c>
      <c r="I809">
        <f>VLOOKUP(Table4[[#This Row],[Visitor]],'NHL Model'!$A$6:$B$38,2,FALSE)</f>
        <v>-6.3745791019188943E-4</v>
      </c>
      <c r="J809">
        <f>($B$1+Table4[[#This Row],[Home Differential]])-Table4[[#This Row],[Away Differential]]</f>
        <v>-0.47235577590547073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0.54621821605355747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-0.6902088310934803</v>
      </c>
      <c r="H810" t="s">
        <v>24</v>
      </c>
      <c r="I810">
        <f>VLOOKUP(Table4[[#This Row],[Visitor]],'NHL Model'!$A$6:$B$38,2,FALSE)</f>
        <v>0.559441163373953</v>
      </c>
      <c r="J810">
        <f>($B$1+Table4[[#This Row],[Home Differential]])-Table4[[#This Row],[Away Differential]]</f>
        <v>-1.0870776848051149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0.67693982124156982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4.029141914856392E-2</v>
      </c>
      <c r="H811" t="s">
        <v>18</v>
      </c>
      <c r="I811">
        <f>VLOOKUP(Table4[[#This Row],[Visitor]],'NHL Model'!$A$6:$B$38,2,FALSE)</f>
        <v>-0.52437726201848234</v>
      </c>
      <c r="J811">
        <f>($B$1+Table4[[#This Row],[Home Differential]])-Table4[[#This Row],[Away Differential]]</f>
        <v>0.72724099082936466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0.63858066621071563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-0.40822279081308277</v>
      </c>
      <c r="H812" t="s">
        <v>37</v>
      </c>
      <c r="I812">
        <f>VLOOKUP(Table4[[#This Row],[Visitor]],'NHL Model'!$A$6:$B$38,2,FALSE)</f>
        <v>-0.11309445867623392</v>
      </c>
      <c r="J812">
        <f>($B$1+Table4[[#This Row],[Home Differential]])-Table4[[#This Row],[Away Differential]]</f>
        <v>-0.13255602247453047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0.52546617687179242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-0.61980804137564283</v>
      </c>
      <c r="H813" t="s">
        <v>22</v>
      </c>
      <c r="I813">
        <f>VLOOKUP(Table4[[#This Row],[Visitor]],'NHL Model'!$A$6:$B$38,2,FALSE)</f>
        <v>-6.1308839486784707E-2</v>
      </c>
      <c r="J813">
        <f>($B$1+Table4[[#This Row],[Home Differential]])-Table4[[#This Row],[Away Differential]]</f>
        <v>-0.39592689222653971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0.47882223490449061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-0.53650300840565446</v>
      </c>
      <c r="H814" t="s">
        <v>11</v>
      </c>
      <c r="I814">
        <f>VLOOKUP(Table4[[#This Row],[Visitor]],'NHL Model'!$A$6:$B$38,2,FALSE)</f>
        <v>-0.28105923893144158</v>
      </c>
      <c r="J814">
        <f>($B$1+Table4[[#This Row],[Home Differential]])-Table4[[#This Row],[Away Differential]]</f>
        <v>-9.2871459811894486E-2</v>
      </c>
      <c r="K814" t="str">
        <f>IF(Table4[[#This Row],[HomeIce Differential]]&gt;0,Table4[[#This Row],[Home]],Table4[[#This Row],[Visitor]])</f>
        <v>Florida Panthers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0.4728681454035592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-1.3516250707060606</v>
      </c>
      <c r="H815" t="s">
        <v>55</v>
      </c>
      <c r="I815">
        <f>VLOOKUP(Table4[[#This Row],[Visitor]],'NHL Model'!$A$6:$B$38,2,FALSE)</f>
        <v>-0.12212311954851815</v>
      </c>
      <c r="J815">
        <f>($B$1+Table4[[#This Row],[Home Differential]])-Table4[[#This Row],[Away Differential]]</f>
        <v>-1.0669296414952241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0.60783234580285384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-6.4729560818359025E-2</v>
      </c>
      <c r="H816" t="s">
        <v>23</v>
      </c>
      <c r="I816">
        <f>VLOOKUP(Table4[[#This Row],[Visitor]],'NHL Model'!$A$6:$B$38,2,FALSE)</f>
        <v>-0.8683412362501769</v>
      </c>
      <c r="J816">
        <f>($B$1+Table4[[#This Row],[Home Differential]])-Table4[[#This Row],[Away Differential]]</f>
        <v>0.96618398509413628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0.67387316223911953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-0.40651947573390851</v>
      </c>
      <c r="H817" t="s">
        <v>25</v>
      </c>
      <c r="I817">
        <f>VLOOKUP(Table4[[#This Row],[Visitor]],'NHL Model'!$A$6:$B$38,2,FALSE)</f>
        <v>0.67193921242367816</v>
      </c>
      <c r="J817">
        <f>($B$1+Table4[[#This Row],[Home Differential]])-Table4[[#This Row],[Away Differential]]</f>
        <v>-0.91588637849526822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0.6769039930618912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-1.6211574240381006</v>
      </c>
      <c r="H818" t="s">
        <v>13</v>
      </c>
      <c r="I818">
        <f>VLOOKUP(Table4[[#This Row],[Visitor]],'NHL Model'!$A$6:$B$38,2,FALSE)</f>
        <v>-7.5459708298993802E-2</v>
      </c>
      <c r="J818">
        <f>($B$1+Table4[[#This Row],[Home Differential]])-Table4[[#This Row],[Away Differential]]</f>
        <v>-1.3831254060767884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0.77303935737117946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0.105105258369765</v>
      </c>
      <c r="H819" t="s">
        <v>26</v>
      </c>
      <c r="I819">
        <f>VLOOKUP(Table4[[#This Row],[Visitor]],'NHL Model'!$A$6:$B$38,2,FALSE)</f>
        <v>-0.513643833119658</v>
      </c>
      <c r="J819">
        <f>($B$1+Table4[[#This Row],[Home Differential]])-Table4[[#This Row],[Away Differential]]</f>
        <v>0.78132140115174142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0.63767061427384764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-1.3903684122795328</v>
      </c>
      <c r="H820" t="s">
        <v>31</v>
      </c>
      <c r="I820">
        <f>VLOOKUP(Table4[[#This Row],[Visitor]],'NHL Model'!$A$6:$B$38,2,FALSE)</f>
        <v>0.51775546328552802</v>
      </c>
      <c r="J820">
        <f>($B$1+Table4[[#This Row],[Home Differential]])-Table4[[#This Row],[Away Differential]]</f>
        <v>-1.7455515659027423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0.72263052383970017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0.30570968833820172</v>
      </c>
      <c r="H821" t="s">
        <v>11</v>
      </c>
      <c r="I821">
        <f>VLOOKUP(Table4[[#This Row],[Visitor]],'NHL Model'!$A$6:$B$38,2,FALSE)</f>
        <v>-0.28105923893144158</v>
      </c>
      <c r="J821">
        <f>($B$1+Table4[[#This Row],[Home Differential]])-Table4[[#This Row],[Away Differential]]</f>
        <v>0.74934123693196164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0.64382772073631611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-0.40651947573390851</v>
      </c>
      <c r="H822" t="s">
        <v>20</v>
      </c>
      <c r="I822">
        <f>VLOOKUP(Table4[[#This Row],[Visitor]],'NHL Model'!$A$6:$B$38,2,FALSE)</f>
        <v>-6.3745791019188943E-4</v>
      </c>
      <c r="J822">
        <f>($B$1+Table4[[#This Row],[Home Differential]])-Table4[[#This Row],[Away Differential]]</f>
        <v>-0.24330970816139821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0.51197353768801812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-0.361361309178443</v>
      </c>
      <c r="H823" t="s">
        <v>24</v>
      </c>
      <c r="I823">
        <f>VLOOKUP(Table4[[#This Row],[Visitor]],'NHL Model'!$A$6:$B$38,2,FALSE)</f>
        <v>0.559441163373953</v>
      </c>
      <c r="J823">
        <f>($B$1+Table4[[#This Row],[Home Differential]])-Table4[[#This Row],[Away Differential]]</f>
        <v>-0.75823016289007761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0.60505935844226133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-0.635565543477981</v>
      </c>
      <c r="H824" t="s">
        <v>12</v>
      </c>
      <c r="I824">
        <f>VLOOKUP(Table4[[#This Row],[Visitor]],'NHL Model'!$A$6:$B$38,2,FALSE)</f>
        <v>1.5475013591489768</v>
      </c>
      <c r="J824">
        <f>($B$1+Table4[[#This Row],[Home Differential]])-Table4[[#This Row],[Away Differential]]</f>
        <v>-2.0204945929646394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0.80627282107451825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-0.6902088310934803</v>
      </c>
      <c r="H825" t="s">
        <v>14</v>
      </c>
      <c r="I825">
        <f>VLOOKUP(Table4[[#This Row],[Visitor]],'NHL Model'!$A$6:$B$38,2,FALSE)</f>
        <v>0.26289091192875702</v>
      </c>
      <c r="J825">
        <f>($B$1+Table4[[#This Row],[Home Differential]])-Table4[[#This Row],[Away Differential]]</f>
        <v>-0.79052743335991893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0.56953442509229335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-0.40822279081308277</v>
      </c>
      <c r="H826" t="s">
        <v>13</v>
      </c>
      <c r="I826">
        <f>VLOOKUP(Table4[[#This Row],[Visitor]],'NHL Model'!$A$6:$B$38,2,FALSE)</f>
        <v>-7.5459708298993802E-2</v>
      </c>
      <c r="J826">
        <f>($B$1+Table4[[#This Row],[Home Differential]])-Table4[[#This Row],[Away Differential]]</f>
        <v>-0.17019077285177059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0.60497675496387615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-0.61980804137564283</v>
      </c>
      <c r="H827" t="s">
        <v>31</v>
      </c>
      <c r="I827">
        <f>VLOOKUP(Table4[[#This Row],[Visitor]],'NHL Model'!$A$6:$B$38,2,FALSE)</f>
        <v>0.51775546328552802</v>
      </c>
      <c r="J827">
        <f>($B$1+Table4[[#This Row],[Home Differential]])-Table4[[#This Row],[Away Differential]]</f>
        <v>-0.97499119499885245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0.57953792192231546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-0.30719665303039001</v>
      </c>
      <c r="H828" t="s">
        <v>21</v>
      </c>
      <c r="I828">
        <f>VLOOKUP(Table4[[#This Row],[Visitor]],'NHL Model'!$A$6:$B$38,2,FALSE)</f>
        <v>4.029141914856392E-2</v>
      </c>
      <c r="J828">
        <f>($B$1+Table4[[#This Row],[Home Differential]])-Table4[[#This Row],[Away Differential]]</f>
        <v>-0.18491576251663555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0.48562168102335929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-0.51358590497437617</v>
      </c>
      <c r="H829" t="s">
        <v>30</v>
      </c>
      <c r="I829">
        <f>VLOOKUP(Table4[[#This Row],[Visitor]],'NHL Model'!$A$6:$B$38,2,FALSE)</f>
        <v>-6.4729560818359025E-2</v>
      </c>
      <c r="J829">
        <f>($B$1+Table4[[#This Row],[Home Differential]])-Table4[[#This Row],[Away Differential]]</f>
        <v>-0.28628403449369877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0.53966713336954197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-0.11309445867623392</v>
      </c>
      <c r="H830" t="s">
        <v>55</v>
      </c>
      <c r="I830">
        <f>VLOOKUP(Table4[[#This Row],[Visitor]],'NHL Model'!$A$6:$B$38,2,FALSE)</f>
        <v>-0.12212311954851815</v>
      </c>
      <c r="J830">
        <f>($B$1+Table4[[#This Row],[Home Differential]])-Table4[[#This Row],[Away Differential]]</f>
        <v>0.1716009705346026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0.56377680123370189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4.029141914856392E-2</v>
      </c>
      <c r="H831" t="s">
        <v>29</v>
      </c>
      <c r="I831">
        <f>VLOOKUP(Table4[[#This Row],[Visitor]],'NHL Model'!$A$6:$B$38,2,FALSE)</f>
        <v>-1.3516250707060606</v>
      </c>
      <c r="J831">
        <f>($B$1+Table4[[#This Row],[Home Differential]])-Table4[[#This Row],[Away Differential]]</f>
        <v>1.554488799516943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0.82794531866165266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-0.513643833119658</v>
      </c>
      <c r="H832" t="s">
        <v>13</v>
      </c>
      <c r="I832">
        <f>VLOOKUP(Table4[[#This Row],[Visitor]],'NHL Model'!$A$6:$B$38,2,FALSE)</f>
        <v>-7.5459708298993802E-2</v>
      </c>
      <c r="J832">
        <f>($B$1+Table4[[#This Row],[Home Differential]])-Table4[[#This Row],[Away Differential]]</f>
        <v>-0.27561181515834582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0.59374396047112288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-0.28105923893144158</v>
      </c>
      <c r="H833" t="s">
        <v>55</v>
      </c>
      <c r="I833">
        <f>VLOOKUP(Table4[[#This Row],[Visitor]],'NHL Model'!$A$6:$B$38,2,FALSE)</f>
        <v>-0.12212311954851815</v>
      </c>
      <c r="J833">
        <f>($B$1+Table4[[#This Row],[Home Differential]])-Table4[[#This Row],[Away Differential]]</f>
        <v>3.636190279394963E-3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0.59221980199884827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-0.53650300840565446</v>
      </c>
      <c r="H834" t="s">
        <v>10</v>
      </c>
      <c r="I834">
        <f>VLOOKUP(Table4[[#This Row],[Visitor]],'NHL Model'!$A$6:$B$38,2,FALSE)</f>
        <v>0.30570968833820172</v>
      </c>
      <c r="J834">
        <f>($B$1+Table4[[#This Row],[Home Differential]])-Table4[[#This Row],[Away Differential]]</f>
        <v>-0.67964038708153773</v>
      </c>
      <c r="K834" t="str">
        <f>IF(Table4[[#This Row],[HomeIce Differential]]&gt;0,Table4[[#This Row],[Home]],Table4[[#This Row],[Visitor]])</f>
        <v>Chicago Blackhawks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0.57493929486438322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-0.52437726201848234</v>
      </c>
      <c r="H835" t="s">
        <v>20</v>
      </c>
      <c r="I835">
        <f>VLOOKUP(Table4[[#This Row],[Visitor]],'NHL Model'!$A$6:$B$38,2,FALSE)</f>
        <v>-6.3745791019188943E-4</v>
      </c>
      <c r="J835">
        <f>($B$1+Table4[[#This Row],[Home Differential]])-Table4[[#This Row],[Away Differential]]</f>
        <v>-0.36116749444597207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0.5308121163121442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0.559441163373953</v>
      </c>
      <c r="H836" t="s">
        <v>40</v>
      </c>
      <c r="I836">
        <f>VLOOKUP(Table4[[#This Row],[Visitor]],'NHL Model'!$A$6:$B$38,2,FALSE)</f>
        <v>0.105105258369765</v>
      </c>
      <c r="J836">
        <f>($B$1+Table4[[#This Row],[Home Differential]])-Table4[[#This Row],[Away Differential]]</f>
        <v>0.61690821466650636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0.67869831707295691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-0.361361309178443</v>
      </c>
      <c r="H837" t="s">
        <v>22</v>
      </c>
      <c r="I837">
        <f>VLOOKUP(Table4[[#This Row],[Visitor]],'NHL Model'!$A$6:$B$38,2,FALSE)</f>
        <v>-6.1308839486784707E-2</v>
      </c>
      <c r="J837">
        <f>($B$1+Table4[[#This Row],[Home Differential]])-Table4[[#This Row],[Away Differential]]</f>
        <v>-0.13748016002933991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0.4530113314633919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-1.6211574240381006</v>
      </c>
      <c r="H838" t="s">
        <v>39</v>
      </c>
      <c r="I838">
        <f>VLOOKUP(Table4[[#This Row],[Visitor]],'NHL Model'!$A$6:$B$38,2,FALSE)</f>
        <v>0.19809534061227302</v>
      </c>
      <c r="J838">
        <f>($B$1+Table4[[#This Row],[Home Differential]])-Table4[[#This Row],[Away Differential]]</f>
        <v>-1.6566804549880552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0.78203361851130226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-0.635565543477981</v>
      </c>
      <c r="H839" t="s">
        <v>23</v>
      </c>
      <c r="I839">
        <f>VLOOKUP(Table4[[#This Row],[Visitor]],'NHL Model'!$A$6:$B$38,2,FALSE)</f>
        <v>-0.8683412362501769</v>
      </c>
      <c r="J839">
        <f>($B$1+Table4[[#This Row],[Home Differential]])-Table4[[#This Row],[Away Differential]]</f>
        <v>0.39534800243451429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0.59477889106769966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-0.6902088310934803</v>
      </c>
      <c r="H840" t="s">
        <v>33</v>
      </c>
      <c r="I840">
        <f>VLOOKUP(Table4[[#This Row],[Visitor]],'NHL Model'!$A$6:$B$38,2,FALSE)</f>
        <v>-0.39418177254008485</v>
      </c>
      <c r="J840">
        <f>($B$1+Table4[[#This Row],[Home Differential]])-Table4[[#This Row],[Away Differential]]</f>
        <v>-0.13345474889107706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0.47849131172272064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-0.40822279081308277</v>
      </c>
      <c r="H841" t="s">
        <v>27</v>
      </c>
      <c r="I841">
        <f>VLOOKUP(Table4[[#This Row],[Visitor]],'NHL Model'!$A$6:$B$38,2,FALSE)</f>
        <v>-0.51358590497437617</v>
      </c>
      <c r="J841">
        <f>($B$1+Table4[[#This Row],[Home Differential]])-Table4[[#This Row],[Away Differential]]</f>
        <v>0.2679354238236118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0.5771247743872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-6.4729560818359025E-2</v>
      </c>
      <c r="H842" t="s">
        <v>15</v>
      </c>
      <c r="I842">
        <f>VLOOKUP(Table4[[#This Row],[Visitor]],'NHL Model'!$A$6:$B$38,2,FALSE)</f>
        <v>-0.30719665303039001</v>
      </c>
      <c r="J842">
        <f>($B$1+Table4[[#This Row],[Home Differential]])-Table4[[#This Row],[Away Differential]]</f>
        <v>0.40503940187434939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0.45371207987302198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-0.40651947573390851</v>
      </c>
      <c r="H843" t="s">
        <v>12</v>
      </c>
      <c r="I843">
        <f>VLOOKUP(Table4[[#This Row],[Visitor]],'NHL Model'!$A$6:$B$38,2,FALSE)</f>
        <v>1.5475013591489768</v>
      </c>
      <c r="J843">
        <f>($B$1+Table4[[#This Row],[Home Differential]])-Table4[[#This Row],[Away Differential]]</f>
        <v>-1.791448525220567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0.77203023824883188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4.029141914856392E-2</v>
      </c>
      <c r="H844" t="s">
        <v>27</v>
      </c>
      <c r="I844">
        <f>VLOOKUP(Table4[[#This Row],[Visitor]],'NHL Model'!$A$6:$B$38,2,FALSE)</f>
        <v>-0.51358590497437617</v>
      </c>
      <c r="J844">
        <f>($B$1+Table4[[#This Row],[Home Differential]])-Table4[[#This Row],[Away Differential]]</f>
        <v>0.7164496337852585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0.71182773140335909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-0.8683412362501769</v>
      </c>
      <c r="H845" t="s">
        <v>13</v>
      </c>
      <c r="I845">
        <f>VLOOKUP(Table4[[#This Row],[Visitor]],'NHL Model'!$A$6:$B$38,2,FALSE)</f>
        <v>-7.5459708298993802E-2</v>
      </c>
      <c r="J845">
        <f>($B$1+Table4[[#This Row],[Home Differential]])-Table4[[#This Row],[Away Differential]]</f>
        <v>-0.63030921828886466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0.66873015208648534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0.67193921242367816</v>
      </c>
      <c r="H846" t="s">
        <v>55</v>
      </c>
      <c r="I846">
        <f>VLOOKUP(Table4[[#This Row],[Visitor]],'NHL Model'!$A$6:$B$38,2,FALSE)</f>
        <v>-0.12212311954851815</v>
      </c>
      <c r="J846">
        <f>($B$1+Table4[[#This Row],[Home Differential]])-Table4[[#This Row],[Away Differential]]</f>
        <v>0.95663464163451473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0.72426599429778538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-0.513643833119658</v>
      </c>
      <c r="H847" t="s">
        <v>22</v>
      </c>
      <c r="I847">
        <f>VLOOKUP(Table4[[#This Row],[Visitor]],'NHL Model'!$A$6:$B$38,2,FALSE)</f>
        <v>-6.1308839486784707E-2</v>
      </c>
      <c r="J847">
        <f>($B$1+Table4[[#This Row],[Home Differential]])-Table4[[#This Row],[Away Differential]]</f>
        <v>-0.28976268397055488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0.47411139454483348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-0.61980804137564283</v>
      </c>
      <c r="H848" t="s">
        <v>33</v>
      </c>
      <c r="I848">
        <f>VLOOKUP(Table4[[#This Row],[Visitor]],'NHL Model'!$A$6:$B$38,2,FALSE)</f>
        <v>-0.39418177254008485</v>
      </c>
      <c r="J848">
        <f>($B$1+Table4[[#This Row],[Home Differential]])-Table4[[#This Row],[Away Differential]]</f>
        <v>-6.3053959173239582E-2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0.43269980598913838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-0.53650300840565446</v>
      </c>
      <c r="H849" t="s">
        <v>16</v>
      </c>
      <c r="I849">
        <f>VLOOKUP(Table4[[#This Row],[Visitor]],'NHL Model'!$A$6:$B$38,2,FALSE)</f>
        <v>-1.3903684122795328</v>
      </c>
      <c r="J849">
        <f>($B$1+Table4[[#This Row],[Home Differential]])-Table4[[#This Row],[Away Differential]]</f>
        <v>1.0164377135361966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0.68083625171755791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-0.52437726201848234</v>
      </c>
      <c r="H850" t="s">
        <v>12</v>
      </c>
      <c r="I850">
        <f>VLOOKUP(Table4[[#This Row],[Visitor]],'NHL Model'!$A$6:$B$38,2,FALSE)</f>
        <v>1.5475013591489768</v>
      </c>
      <c r="J850">
        <f>($B$1+Table4[[#This Row],[Home Differential]])-Table4[[#This Row],[Away Differential]]</f>
        <v>-1.9093063115051407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0.79086672133310509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0.559441163373953</v>
      </c>
      <c r="H851" t="s">
        <v>29</v>
      </c>
      <c r="I851">
        <f>VLOOKUP(Table4[[#This Row],[Visitor]],'NHL Model'!$A$6:$B$38,2,FALSE)</f>
        <v>-1.3516250707060606</v>
      </c>
      <c r="J851">
        <f>($B$1+Table4[[#This Row],[Home Differential]])-Table4[[#This Row],[Away Differential]]</f>
        <v>2.0736385437423319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0.94275129803550561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-0.30719665303039001</v>
      </c>
      <c r="H852" t="s">
        <v>30</v>
      </c>
      <c r="I852">
        <f>VLOOKUP(Table4[[#This Row],[Visitor]],'NHL Model'!$A$6:$B$38,2,FALSE)</f>
        <v>-6.4729560818359025E-2</v>
      </c>
      <c r="J852">
        <f>($B$1+Table4[[#This Row],[Home Differential]])-Table4[[#This Row],[Away Differential]]</f>
        <v>-7.9894782549712592E-2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0.51358267715186356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0.26289091192875702</v>
      </c>
      <c r="H853" t="s">
        <v>10</v>
      </c>
      <c r="I853">
        <f>VLOOKUP(Table4[[#This Row],[Visitor]],'NHL Model'!$A$6:$B$38,2,FALSE)</f>
        <v>0.30570968833820172</v>
      </c>
      <c r="J853">
        <f>($B$1+Table4[[#This Row],[Home Differential]])-Table4[[#This Row],[Away Differential]]</f>
        <v>0.11975353325287369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0.5721484451430473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-0.361361309178443</v>
      </c>
      <c r="H854" t="s">
        <v>19</v>
      </c>
      <c r="I854">
        <f>VLOOKUP(Table4[[#This Row],[Visitor]],'NHL Model'!$A$6:$B$38,2,FALSE)</f>
        <v>-0.635565543477981</v>
      </c>
      <c r="J854">
        <f>($B$1+Table4[[#This Row],[Home Differential]])-Table4[[#This Row],[Away Differential]]</f>
        <v>0.43677654396185639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0.62655691028595273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-1.6211574240381006</v>
      </c>
      <c r="H855" t="s">
        <v>11</v>
      </c>
      <c r="I855">
        <f>VLOOKUP(Table4[[#This Row],[Visitor]],'NHL Model'!$A$6:$B$38,2,FALSE)</f>
        <v>-0.28105923893144158</v>
      </c>
      <c r="J855">
        <f>($B$1+Table4[[#This Row],[Home Differential]])-Table4[[#This Row],[Away Differential]]</f>
        <v>-1.1775258754443407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0.62315641223215112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-0.11309445867623392</v>
      </c>
      <c r="H856" t="s">
        <v>40</v>
      </c>
      <c r="I856">
        <f>VLOOKUP(Table4[[#This Row],[Visitor]],'NHL Model'!$A$6:$B$38,2,FALSE)</f>
        <v>0.105105258369765</v>
      </c>
      <c r="J856">
        <f>($B$1+Table4[[#This Row],[Home Differential]])-Table4[[#This Row],[Away Differential]]</f>
        <v>-5.5627407383680536E-2</v>
      </c>
      <c r="K856" t="str">
        <f>IF(Table4[[#This Row],[HomeIce Differential]]&gt;0,Table4[[#This Row],[Home]],Table4[[#This Row],[Visitor]])</f>
        <v>Winnipeg Jets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0.53402344872751817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-0.6902088310934803</v>
      </c>
      <c r="H857" t="s">
        <v>31</v>
      </c>
      <c r="I857">
        <f>VLOOKUP(Table4[[#This Row],[Visitor]],'NHL Model'!$A$6:$B$38,2,FALSE)</f>
        <v>0.51775546328552802</v>
      </c>
      <c r="J857">
        <f>($B$1+Table4[[#This Row],[Home Differential]])-Table4[[#This Row],[Away Differential]]</f>
        <v>-1.0453919847166899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0.625617347621237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-6.3745791019188943E-4</v>
      </c>
      <c r="H858" t="s">
        <v>39</v>
      </c>
      <c r="I858">
        <f>VLOOKUP(Table4[[#This Row],[Visitor]],'NHL Model'!$A$6:$B$38,2,FALSE)</f>
        <v>0.19809534061227302</v>
      </c>
      <c r="J858">
        <f>($B$1+Table4[[#This Row],[Home Differential]])-Table4[[#This Row],[Away Differential]]</f>
        <v>-3.6160488860146528E-2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0.55749653687458178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0.30570968833820172</v>
      </c>
      <c r="H859" t="s">
        <v>28</v>
      </c>
      <c r="I859">
        <f>VLOOKUP(Table4[[#This Row],[Visitor]],'NHL Model'!$A$6:$B$38,2,FALSE)</f>
        <v>-0.40822279081308277</v>
      </c>
      <c r="J859">
        <f>($B$1+Table4[[#This Row],[Home Differential]])-Table4[[#This Row],[Away Differential]]</f>
        <v>0.87650478881360283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0.64067810183665597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-0.8683412362501769</v>
      </c>
      <c r="H860" t="s">
        <v>18</v>
      </c>
      <c r="I860">
        <f>VLOOKUP(Table4[[#This Row],[Visitor]],'NHL Model'!$A$6:$B$38,2,FALSE)</f>
        <v>-0.52437726201848234</v>
      </c>
      <c r="J860">
        <f>($B$1+Table4[[#This Row],[Home Differential]])-Table4[[#This Row],[Away Differential]]</f>
        <v>-0.18139166456937617</v>
      </c>
      <c r="K860" t="str">
        <f>IF(Table4[[#This Row],[HomeIce Differential]]&gt;0,Table4[[#This Row],[Home]],Table4[[#This Row],[Visitor]])</f>
        <v>Montreal Canadiens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0.56161407341494607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-1.3903684122795328</v>
      </c>
      <c r="H861" t="s">
        <v>33</v>
      </c>
      <c r="I861">
        <f>VLOOKUP(Table4[[#This Row],[Visitor]],'NHL Model'!$A$6:$B$38,2,FALSE)</f>
        <v>-0.39418177254008485</v>
      </c>
      <c r="J861">
        <f>($B$1+Table4[[#This Row],[Home Differential]])-Table4[[#This Row],[Away Differential]]</f>
        <v>-0.83361433007712948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0.5755044879411837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-0.513643833119658</v>
      </c>
      <c r="H862" t="s">
        <v>12</v>
      </c>
      <c r="I862">
        <f>VLOOKUP(Table4[[#This Row],[Visitor]],'NHL Model'!$A$6:$B$38,2,FALSE)</f>
        <v>1.5475013591489768</v>
      </c>
      <c r="J862">
        <f>($B$1+Table4[[#This Row],[Home Differential]])-Table4[[#This Row],[Away Differential]]</f>
        <v>-1.8985728826063164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0.76306372229010222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-0.61980804137564283</v>
      </c>
      <c r="H863" t="s">
        <v>34</v>
      </c>
      <c r="I863">
        <f>VLOOKUP(Table4[[#This Row],[Visitor]],'NHL Model'!$A$6:$B$38,2,FALSE)</f>
        <v>-0.53650300840565446</v>
      </c>
      <c r="J863">
        <f>($B$1+Table4[[#This Row],[Home Differential]])-Table4[[#This Row],[Away Differential]]</f>
        <v>7.9267276692330024E-2</v>
      </c>
      <c r="K863" t="str">
        <f>IF(Table4[[#This Row],[HomeIce Differential]]&gt;0,Table4[[#This Row],[Home]],Table4[[#This Row],[Visitor]])</f>
        <v>Edmonton Oilers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0.58702003432393324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-0.28105923893144158</v>
      </c>
      <c r="H864" t="s">
        <v>40</v>
      </c>
      <c r="I864">
        <f>VLOOKUP(Table4[[#This Row],[Visitor]],'NHL Model'!$A$6:$B$38,2,FALSE)</f>
        <v>0.105105258369765</v>
      </c>
      <c r="J864">
        <f>($B$1+Table4[[#This Row],[Home Differential]])-Table4[[#This Row],[Away Differential]]</f>
        <v>-0.22359218763888819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0.50466484534636424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-6.4729560818359025E-2</v>
      </c>
      <c r="H865" t="s">
        <v>29</v>
      </c>
      <c r="I865">
        <f>VLOOKUP(Table4[[#This Row],[Visitor]],'NHL Model'!$A$6:$B$38,2,FALSE)</f>
        <v>-1.3516250707060606</v>
      </c>
      <c r="J865">
        <f>($B$1+Table4[[#This Row],[Home Differential]])-Table4[[#This Row],[Away Differential]]</f>
        <v>1.4494678195500199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0.74083632471728111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-0.40651947573390851</v>
      </c>
      <c r="H866" t="s">
        <v>24</v>
      </c>
      <c r="I866">
        <f>VLOOKUP(Table4[[#This Row],[Visitor]],'NHL Model'!$A$6:$B$38,2,FALSE)</f>
        <v>0.559441163373953</v>
      </c>
      <c r="J866">
        <f>($B$1+Table4[[#This Row],[Home Differential]])-Table4[[#This Row],[Away Differential]]</f>
        <v>-0.80338832944554306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0.63512593748243251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-0.51358590497437617</v>
      </c>
      <c r="H867" t="s">
        <v>13</v>
      </c>
      <c r="I867">
        <f>VLOOKUP(Table4[[#This Row],[Visitor]],'NHL Model'!$A$6:$B$38,2,FALSE)</f>
        <v>-7.5459708298993802E-2</v>
      </c>
      <c r="J867">
        <f>($B$1+Table4[[#This Row],[Home Differential]])-Table4[[#This Row],[Away Differential]]</f>
        <v>-0.27555388701306399</v>
      </c>
      <c r="K867" t="str">
        <f>IF(Table4[[#This Row],[HomeIce Differential]]&gt;0,Table4[[#This Row],[Home]],Table4[[#This Row],[Visitor]])</f>
        <v>Los Angeles Kings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0.61712774689019667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0.26289091192875702</v>
      </c>
      <c r="H868" t="s">
        <v>15</v>
      </c>
      <c r="I868">
        <f>VLOOKUP(Table4[[#This Row],[Visitor]],'NHL Model'!$A$6:$B$38,2,FALSE)</f>
        <v>-0.30719665303039001</v>
      </c>
      <c r="J868">
        <f>($B$1+Table4[[#This Row],[Home Differential]])-Table4[[#This Row],[Away Differential]]</f>
        <v>0.73265987462146542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0.53458723960111643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-1.6211574240381006</v>
      </c>
      <c r="H869" t="s">
        <v>28</v>
      </c>
      <c r="I869">
        <f>VLOOKUP(Table4[[#This Row],[Visitor]],'NHL Model'!$A$6:$B$38,2,FALSE)</f>
        <v>-0.40822279081308277</v>
      </c>
      <c r="J869">
        <f>($B$1+Table4[[#This Row],[Home Differential]])-Table4[[#This Row],[Away Differential]]</f>
        <v>-1.0503623235626995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0.62630603113181127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-0.12212311954851815</v>
      </c>
      <c r="H870" t="s">
        <v>39</v>
      </c>
      <c r="I870">
        <f>VLOOKUP(Table4[[#This Row],[Visitor]],'NHL Model'!$A$6:$B$38,2,FALSE)</f>
        <v>0.19809534061227302</v>
      </c>
      <c r="J870">
        <f>($B$1+Table4[[#This Row],[Home Differential]])-Table4[[#This Row],[Away Differential]]</f>
        <v>-0.15764615049847278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0.50460186070154422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-0.6902088310934803</v>
      </c>
      <c r="H871" t="s">
        <v>19</v>
      </c>
      <c r="I871">
        <f>VLOOKUP(Table4[[#This Row],[Visitor]],'NHL Model'!$A$6:$B$38,2,FALSE)</f>
        <v>-0.635565543477981</v>
      </c>
      <c r="J871">
        <f>($B$1+Table4[[#This Row],[Home Differential]])-Table4[[#This Row],[Away Differential]]</f>
        <v>0.10792902204681909</v>
      </c>
      <c r="K871" t="str">
        <f>IF(Table4[[#This Row],[HomeIce Differential]]&gt;0,Table4[[#This Row],[Home]],Table4[[#This Row],[Visitor]])</f>
        <v>Vancouver Canucks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0.55495450111127187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-6.3745791019188943E-4</v>
      </c>
      <c r="H872" t="s">
        <v>32</v>
      </c>
      <c r="I872">
        <f>VLOOKUP(Table4[[#This Row],[Visitor]],'NHL Model'!$A$6:$B$38,2,FALSE)</f>
        <v>-0.361361309178443</v>
      </c>
      <c r="J872">
        <f>($B$1+Table4[[#This Row],[Home Differential]])-Table4[[#This Row],[Away Differential]]</f>
        <v>0.52329616093056952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0.61250721698159905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-6.1308839486784707E-2</v>
      </c>
      <c r="H873" t="s">
        <v>25</v>
      </c>
      <c r="I873">
        <f>VLOOKUP(Table4[[#This Row],[Visitor]],'NHL Model'!$A$6:$B$38,2,FALSE)</f>
        <v>0.67193921242367816</v>
      </c>
      <c r="J873">
        <f>($B$1+Table4[[#This Row],[Home Differential]])-Table4[[#This Row],[Away Differential]]</f>
        <v>-0.57067574224814444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0.63155825631937645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0.51775546328552802</v>
      </c>
      <c r="H874" t="s">
        <v>20</v>
      </c>
      <c r="I874">
        <f>VLOOKUP(Table4[[#This Row],[Visitor]],'NHL Model'!$A$6:$B$38,2,FALSE)</f>
        <v>-6.3745791019188943E-4</v>
      </c>
      <c r="J874">
        <f>($B$1+Table4[[#This Row],[Home Differential]])-Table4[[#This Row],[Away Differential]]</f>
        <v>0.68096523085803828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0.71935363267895147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0.67193921242367816</v>
      </c>
      <c r="H875" t="s">
        <v>13</v>
      </c>
      <c r="I875">
        <f>VLOOKUP(Table4[[#This Row],[Visitor]],'NHL Model'!$A$6:$B$38,2,FALSE)</f>
        <v>-7.5459708298993802E-2</v>
      </c>
      <c r="J875">
        <f>($B$1+Table4[[#This Row],[Home Differential]])-Table4[[#This Row],[Away Differential]]</f>
        <v>0.90997123038499039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0.59667263333595844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-0.11309445867623392</v>
      </c>
      <c r="H876" t="s">
        <v>21</v>
      </c>
      <c r="I876">
        <f>VLOOKUP(Table4[[#This Row],[Visitor]],'NHL Model'!$A$6:$B$38,2,FALSE)</f>
        <v>4.029141914856392E-2</v>
      </c>
      <c r="J876">
        <f>($B$1+Table4[[#This Row],[Home Differential]])-Table4[[#This Row],[Away Differential]]</f>
        <v>9.1864318375205478E-3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0.54127285972315431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-1.3903684122795328</v>
      </c>
      <c r="H877" t="s">
        <v>19</v>
      </c>
      <c r="I877">
        <f>VLOOKUP(Table4[[#This Row],[Visitor]],'NHL Model'!$A$6:$B$38,2,FALSE)</f>
        <v>-0.635565543477981</v>
      </c>
      <c r="J877">
        <f>($B$1+Table4[[#This Row],[Home Differential]])-Table4[[#This Row],[Away Differential]]</f>
        <v>-0.59223055913923339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0.5420586751071913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0.30570968833820172</v>
      </c>
      <c r="H878" t="s">
        <v>33</v>
      </c>
      <c r="I878">
        <f>VLOOKUP(Table4[[#This Row],[Visitor]],'NHL Model'!$A$6:$B$38,2,FALSE)</f>
        <v>-0.39418177254008485</v>
      </c>
      <c r="J878">
        <f>($B$1+Table4[[#This Row],[Home Differential]])-Table4[[#This Row],[Away Differential]]</f>
        <v>0.86246377054060497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0.65950182787152667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1.5475013591489768</v>
      </c>
      <c r="H879" t="s">
        <v>26</v>
      </c>
      <c r="I879">
        <f>VLOOKUP(Table4[[#This Row],[Visitor]],'NHL Model'!$A$6:$B$38,2,FALSE)</f>
        <v>-0.513643833119658</v>
      </c>
      <c r="J879">
        <f>($B$1+Table4[[#This Row],[Home Differential]])-Table4[[#This Row],[Away Differential]]</f>
        <v>2.2237175019309534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0.89144865971288123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0.19809534061227302</v>
      </c>
      <c r="H880" t="s">
        <v>40</v>
      </c>
      <c r="I880">
        <f>VLOOKUP(Table4[[#This Row],[Visitor]],'NHL Model'!$A$6:$B$38,2,FALSE)</f>
        <v>0.105105258369765</v>
      </c>
      <c r="J880">
        <f>($B$1+Table4[[#This Row],[Home Differential]])-Table4[[#This Row],[Away Differential]]</f>
        <v>0.25556239190482644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0.53541038361379889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-0.28105923893144158</v>
      </c>
      <c r="H881" t="s">
        <v>23</v>
      </c>
      <c r="I881">
        <f>VLOOKUP(Table4[[#This Row],[Visitor]],'NHL Model'!$A$6:$B$38,2,FALSE)</f>
        <v>-0.8683412362501769</v>
      </c>
      <c r="J881">
        <f>($B$1+Table4[[#This Row],[Home Differential]])-Table4[[#This Row],[Away Differential]]</f>
        <v>0.74985430698105371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0.69561478736826343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-0.53650300840565446</v>
      </c>
      <c r="H882" t="s">
        <v>18</v>
      </c>
      <c r="I882">
        <f>VLOOKUP(Table4[[#This Row],[Visitor]],'NHL Model'!$A$6:$B$38,2,FALSE)</f>
        <v>-0.52437726201848234</v>
      </c>
      <c r="J882">
        <f>($B$1+Table4[[#This Row],[Home Differential]])-Table4[[#This Row],[Away Differential]]</f>
        <v>0.15044656327514627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0.48436498812895168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-1.3516250707060606</v>
      </c>
      <c r="H883" t="s">
        <v>35</v>
      </c>
      <c r="I883">
        <f>VLOOKUP(Table4[[#This Row],[Visitor]],'NHL Model'!$A$6:$B$38,2,FALSE)</f>
        <v>-1.6211574240381006</v>
      </c>
      <c r="J883">
        <f>($B$1+Table4[[#This Row],[Home Differential]])-Table4[[#This Row],[Away Differential]]</f>
        <v>0.43210466299435835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0.59987184485125544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0.26289091192875702</v>
      </c>
      <c r="H884" t="s">
        <v>36</v>
      </c>
      <c r="I884">
        <f>VLOOKUP(Table4[[#This Row],[Visitor]],'NHL Model'!$A$6:$B$38,2,FALSE)</f>
        <v>-0.40651947573390851</v>
      </c>
      <c r="J884">
        <f>($B$1+Table4[[#This Row],[Home Differential]])-Table4[[#This Row],[Away Differential]]</f>
        <v>0.83198269732498398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0.69131527744620913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-0.12212311954851815</v>
      </c>
      <c r="H885" t="s">
        <v>38</v>
      </c>
      <c r="I885">
        <f>VLOOKUP(Table4[[#This Row],[Visitor]],'NHL Model'!$A$6:$B$38,2,FALSE)</f>
        <v>-0.6902088310934803</v>
      </c>
      <c r="J885">
        <f>($B$1+Table4[[#This Row],[Home Differential]])-Table4[[#This Row],[Away Differential]]</f>
        <v>0.73065802120728052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0.66824930860296261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-6.1308839486784707E-2</v>
      </c>
      <c r="H886" t="s">
        <v>30</v>
      </c>
      <c r="I886">
        <f>VLOOKUP(Table4[[#This Row],[Visitor]],'NHL Model'!$A$6:$B$38,2,FALSE)</f>
        <v>-6.4729560818359025E-2</v>
      </c>
      <c r="J886">
        <f>($B$1+Table4[[#This Row],[Home Differential]])-Table4[[#This Row],[Away Differential]]</f>
        <v>0.16599303099389273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0.52048720980857721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0.51775546328552802</v>
      </c>
      <c r="H887" t="s">
        <v>32</v>
      </c>
      <c r="I887">
        <f>VLOOKUP(Table4[[#This Row],[Visitor]],'NHL Model'!$A$6:$B$38,2,FALSE)</f>
        <v>-0.361361309178443</v>
      </c>
      <c r="J887">
        <f>($B$1+Table4[[#This Row],[Home Differential]])-Table4[[#This Row],[Away Differential]]</f>
        <v>1.0416890821262894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0.78866494452304403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0.67193921242367816</v>
      </c>
      <c r="H888" t="s">
        <v>36</v>
      </c>
      <c r="I888">
        <f>VLOOKUP(Table4[[#This Row],[Visitor]],'NHL Model'!$A$6:$B$38,2,FALSE)</f>
        <v>-0.40651947573390851</v>
      </c>
      <c r="J888">
        <f>($B$1+Table4[[#This Row],[Home Differential]])-Table4[[#This Row],[Away Differential]]</f>
        <v>1.241030997819905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0.76367157348269765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-0.61980804137564283</v>
      </c>
      <c r="H889" t="s">
        <v>19</v>
      </c>
      <c r="I889">
        <f>VLOOKUP(Table4[[#This Row],[Visitor]],'NHL Model'!$A$6:$B$38,2,FALSE)</f>
        <v>-0.635565543477981</v>
      </c>
      <c r="J889">
        <f>($B$1+Table4[[#This Row],[Home Differential]])-Table4[[#This Row],[Away Differential]]</f>
        <v>0.17832981176465657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0.60074600684485424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0.559441163373953</v>
      </c>
      <c r="H890" t="s">
        <v>28</v>
      </c>
      <c r="I890">
        <f>VLOOKUP(Table4[[#This Row],[Visitor]],'NHL Model'!$A$6:$B$38,2,FALSE)</f>
        <v>-0.40822279081308277</v>
      </c>
      <c r="J890">
        <f>($B$1+Table4[[#This Row],[Home Differential]])-Table4[[#This Row],[Away Differential]]</f>
        <v>1.1302362638493542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0.79296766318788425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-6.4729560818359025E-2</v>
      </c>
      <c r="H891" t="s">
        <v>14</v>
      </c>
      <c r="I891">
        <f>VLOOKUP(Table4[[#This Row],[Visitor]],'NHL Model'!$A$6:$B$38,2,FALSE)</f>
        <v>0.26289091192875702</v>
      </c>
      <c r="J891">
        <f>($B$1+Table4[[#This Row],[Home Differential]])-Table4[[#This Row],[Away Differential]]</f>
        <v>-0.16504816308479764</v>
      </c>
      <c r="K891" t="str">
        <f>IF(Table4[[#This Row],[HomeIce Differential]]&gt;0,Table4[[#This Row],[Home]],Table4[[#This Row],[Visitor]])</f>
        <v>Pittsburgh Penguins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0.48286885298742249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-0.51358590497437617</v>
      </c>
      <c r="H892" t="s">
        <v>22</v>
      </c>
      <c r="I892">
        <f>VLOOKUP(Table4[[#This Row],[Visitor]],'NHL Model'!$A$6:$B$38,2,FALSE)</f>
        <v>-6.1308839486784707E-2</v>
      </c>
      <c r="J892">
        <f>($B$1+Table4[[#This Row],[Home Differential]])-Table4[[#This Row],[Away Differential]]</f>
        <v>-0.28970475582527305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0.49764562474312668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-0.11309445867623392</v>
      </c>
      <c r="H893" t="s">
        <v>23</v>
      </c>
      <c r="I893">
        <f>VLOOKUP(Table4[[#This Row],[Visitor]],'NHL Model'!$A$6:$B$38,2,FALSE)</f>
        <v>-0.8683412362501769</v>
      </c>
      <c r="J893">
        <f>($B$1+Table4[[#This Row],[Home Differential]])-Table4[[#This Row],[Away Differential]]</f>
        <v>0.91781908723626138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0.66717178660311693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-0.40822279081308277</v>
      </c>
      <c r="H894" t="s">
        <v>10</v>
      </c>
      <c r="I894">
        <f>VLOOKUP(Table4[[#This Row],[Visitor]],'NHL Model'!$A$6:$B$38,2,FALSE)</f>
        <v>0.30570968833820172</v>
      </c>
      <c r="J894">
        <f>($B$1+Table4[[#This Row],[Home Differential]])-Table4[[#This Row],[Away Differential]]</f>
        <v>-0.55136016948896605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0.55716495928567178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-1.3903684122795328</v>
      </c>
      <c r="H895" t="s">
        <v>17</v>
      </c>
      <c r="I895">
        <f>VLOOKUP(Table4[[#This Row],[Visitor]],'NHL Model'!$A$6:$B$38,2,FALSE)</f>
        <v>-0.61980804137564283</v>
      </c>
      <c r="J895">
        <f>($B$1+Table4[[#This Row],[Home Differential]])-Table4[[#This Row],[Away Differential]]</f>
        <v>-0.60798806124157156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0.5442420135478756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1.5475013591489768</v>
      </c>
      <c r="H896" t="s">
        <v>33</v>
      </c>
      <c r="I896">
        <f>VLOOKUP(Table4[[#This Row],[Visitor]],'NHL Model'!$A$6:$B$38,2,FALSE)</f>
        <v>-0.39418177254008485</v>
      </c>
      <c r="J896">
        <f>($B$1+Table4[[#This Row],[Home Differential]])-Table4[[#This Row],[Away Differential]]</f>
        <v>2.1042554413513801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0.91992907061212215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0.19809534061227302</v>
      </c>
      <c r="H897" t="s">
        <v>35</v>
      </c>
      <c r="I897">
        <f>VLOOKUP(Table4[[#This Row],[Visitor]],'NHL Model'!$A$6:$B$38,2,FALSE)</f>
        <v>-1.6211574240381006</v>
      </c>
      <c r="J897">
        <f>($B$1+Table4[[#This Row],[Home Differential]])-Table4[[#This Row],[Away Differential]]</f>
        <v>1.9818250743126919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0.84063677060450059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-0.28105923893144158</v>
      </c>
      <c r="H898" t="s">
        <v>21</v>
      </c>
      <c r="I898">
        <f>VLOOKUP(Table4[[#This Row],[Visitor]],'NHL Model'!$A$6:$B$38,2,FALSE)</f>
        <v>4.029141914856392E-2</v>
      </c>
      <c r="J898">
        <f>($B$1+Table4[[#This Row],[Home Differential]])-Table4[[#This Row],[Away Differential]]</f>
        <v>-0.15877834841768712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0.43028413951169919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-7.5459708298993802E-2</v>
      </c>
      <c r="H899" t="s">
        <v>32</v>
      </c>
      <c r="I899">
        <f>VLOOKUP(Table4[[#This Row],[Visitor]],'NHL Model'!$A$6:$B$38,2,FALSE)</f>
        <v>-0.361361309178443</v>
      </c>
      <c r="J899">
        <f>($B$1+Table4[[#This Row],[Home Differential]])-Table4[[#This Row],[Away Differential]]</f>
        <v>0.44847391054176761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0.60213994592357156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-1.3516250707060606</v>
      </c>
      <c r="H900" t="s">
        <v>34</v>
      </c>
      <c r="I900">
        <f>VLOOKUP(Table4[[#This Row],[Visitor]],'NHL Model'!$A$6:$B$38,2,FALSE)</f>
        <v>-0.53650300840565446</v>
      </c>
      <c r="J900">
        <f>($B$1+Table4[[#This Row],[Home Differential]])-Table4[[#This Row],[Away Differential]]</f>
        <v>-0.65254975263808779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0.55041642197733653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-0.12212311954851815</v>
      </c>
      <c r="H901" t="s">
        <v>26</v>
      </c>
      <c r="I901">
        <f>VLOOKUP(Table4[[#This Row],[Visitor]],'NHL Model'!$A$6:$B$38,2,FALSE)</f>
        <v>-0.513643833119658</v>
      </c>
      <c r="J901">
        <f>($B$1+Table4[[#This Row],[Home Differential]])-Table4[[#This Row],[Away Differential]]</f>
        <v>0.55409302323345822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0.63927438908042933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-6.3745791019188943E-4</v>
      </c>
      <c r="H902" t="s">
        <v>38</v>
      </c>
      <c r="I902">
        <f>VLOOKUP(Table4[[#This Row],[Visitor]],'NHL Model'!$A$6:$B$38,2,FALSE)</f>
        <v>-0.6902088310934803</v>
      </c>
      <c r="J902">
        <f>($B$1+Table4[[#This Row],[Home Differential]])-Table4[[#This Row],[Away Differential]]</f>
        <v>0.85214368284560682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0.61555932749315301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0.105105258369765</v>
      </c>
      <c r="H903" t="s">
        <v>18</v>
      </c>
      <c r="I903">
        <f>VLOOKUP(Table4[[#This Row],[Visitor]],'NHL Model'!$A$6:$B$38,2,FALSE)</f>
        <v>-0.52437726201848234</v>
      </c>
      <c r="J903">
        <f>($B$1+Table4[[#This Row],[Home Differential]])-Table4[[#This Row],[Away Differential]]</f>
        <v>0.79205483005056576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0.60974605913728386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-0.8683412362501769</v>
      </c>
      <c r="H904" t="s">
        <v>14</v>
      </c>
      <c r="I904">
        <f>VLOOKUP(Table4[[#This Row],[Visitor]],'NHL Model'!$A$6:$B$38,2,FALSE)</f>
        <v>0.26289091192875702</v>
      </c>
      <c r="J904">
        <f>($B$1+Table4[[#This Row],[Home Differential]])-Table4[[#This Row],[Away Differential]]</f>
        <v>-0.96865983851661552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0.59421621318181916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0.559441163373953</v>
      </c>
      <c r="H905" t="s">
        <v>30</v>
      </c>
      <c r="I905">
        <f>VLOOKUP(Table4[[#This Row],[Visitor]],'NHL Model'!$A$6:$B$38,2,FALSE)</f>
        <v>-6.4729560818359025E-2</v>
      </c>
      <c r="J905">
        <f>($B$1+Table4[[#This Row],[Home Differential]])-Table4[[#This Row],[Away Differential]]</f>
        <v>0.7867430338546304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0.72501006375246035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-0.30719665303039001</v>
      </c>
      <c r="H906" t="s">
        <v>25</v>
      </c>
      <c r="I906">
        <f>VLOOKUP(Table4[[#This Row],[Visitor]],'NHL Model'!$A$6:$B$38,2,FALSE)</f>
        <v>0.67193921242367816</v>
      </c>
      <c r="J906">
        <f>($B$1+Table4[[#This Row],[Home Differential]])-Table4[[#This Row],[Away Differential]]</f>
        <v>-0.81656355579174977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0.66562814327981723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-0.51358590497437617</v>
      </c>
      <c r="H907" t="s">
        <v>36</v>
      </c>
      <c r="I907">
        <f>VLOOKUP(Table4[[#This Row],[Visitor]],'NHL Model'!$A$6:$B$38,2,FALSE)</f>
        <v>-0.40651947573390851</v>
      </c>
      <c r="J907">
        <f>($B$1+Table4[[#This Row],[Home Differential]])-Table4[[#This Row],[Away Differential]]</f>
        <v>5.5505880421850728E-2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0.55018629984469203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-0.11309445867623392</v>
      </c>
      <c r="H908" t="s">
        <v>11</v>
      </c>
      <c r="I908">
        <f>VLOOKUP(Table4[[#This Row],[Visitor]],'NHL Model'!$A$6:$B$38,2,FALSE)</f>
        <v>-0.28105923893144158</v>
      </c>
      <c r="J908">
        <f>($B$1+Table4[[#This Row],[Home Differential]])-Table4[[#This Row],[Away Differential]]</f>
        <v>0.33053708991752606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0.58579877761093724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-6.3745791019188943E-4</v>
      </c>
      <c r="H909" t="s">
        <v>13</v>
      </c>
      <c r="I909">
        <f>VLOOKUP(Table4[[#This Row],[Visitor]],'NHL Model'!$A$6:$B$38,2,FALSE)</f>
        <v>-7.5459708298993802E-2</v>
      </c>
      <c r="J909">
        <f>($B$1+Table4[[#This Row],[Home Differential]])-Table4[[#This Row],[Away Differential]]</f>
        <v>0.23739456005112031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0.45149772426554102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-6.1308839486784707E-2</v>
      </c>
      <c r="H910" t="s">
        <v>29</v>
      </c>
      <c r="I910">
        <f>VLOOKUP(Table4[[#This Row],[Visitor]],'NHL Model'!$A$6:$B$38,2,FALSE)</f>
        <v>-1.3516250707060606</v>
      </c>
      <c r="J910">
        <f>($B$1+Table4[[#This Row],[Home Differential]])-Table4[[#This Row],[Away Differential]]</f>
        <v>1.4528885408815944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0.74131029529520587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0.51775546328552802</v>
      </c>
      <c r="H911" t="s">
        <v>17</v>
      </c>
      <c r="I911">
        <f>VLOOKUP(Table4[[#This Row],[Visitor]],'NHL Model'!$A$6:$B$38,2,FALSE)</f>
        <v>-0.61980804137564283</v>
      </c>
      <c r="J911">
        <f>($B$1+Table4[[#This Row],[Home Differential]])-Table4[[#This Row],[Away Differential]]</f>
        <v>1.3001358143234891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0.8244749784745331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0.19809534061227302</v>
      </c>
      <c r="H912" t="s">
        <v>32</v>
      </c>
      <c r="I912">
        <f>VLOOKUP(Table4[[#This Row],[Visitor]],'NHL Model'!$A$6:$B$38,2,FALSE)</f>
        <v>-0.361361309178443</v>
      </c>
      <c r="J912">
        <f>($B$1+Table4[[#This Row],[Home Differential]])-Table4[[#This Row],[Away Differential]]</f>
        <v>0.72202895945303447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0.66608110390465625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-7.5459708298993802E-2</v>
      </c>
      <c r="H913" t="s">
        <v>20</v>
      </c>
      <c r="I913">
        <f>VLOOKUP(Table4[[#This Row],[Visitor]],'NHL Model'!$A$6:$B$38,2,FALSE)</f>
        <v>-6.3745791019188943E-4</v>
      </c>
      <c r="J913">
        <f>($B$1+Table4[[#This Row],[Home Differential]])-Table4[[#This Row],[Away Differential]]</f>
        <v>8.7750059273516479E-2</v>
      </c>
      <c r="K913" t="str">
        <f>IF(Table4[[#This Row],[HomeIce Differential]]&gt;0,Table4[[#This Row],[Home]],Table4[[#This Row],[Visitor]])</f>
        <v>Los Angeles Kings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0.53138930021746456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0.559441163373953</v>
      </c>
      <c r="H914" t="s">
        <v>23</v>
      </c>
      <c r="I914">
        <f>VLOOKUP(Table4[[#This Row],[Visitor]],'NHL Model'!$A$6:$B$38,2,FALSE)</f>
        <v>-0.8683412362501769</v>
      </c>
      <c r="J914">
        <f>($B$1+Table4[[#This Row],[Home Differential]])-Table4[[#This Row],[Away Differential]]</f>
        <v>1.5903547092864483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0.87578813555734403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-0.11309445867623392</v>
      </c>
      <c r="H915" t="s">
        <v>19</v>
      </c>
      <c r="I915">
        <f>VLOOKUP(Table4[[#This Row],[Visitor]],'NHL Model'!$A$6:$B$38,2,FALSE)</f>
        <v>-0.635565543477981</v>
      </c>
      <c r="J915">
        <f>($B$1+Table4[[#This Row],[Home Differential]])-Table4[[#This Row],[Away Differential]]</f>
        <v>0.68504339446406548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0.63491869758014019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-0.12212311954851815</v>
      </c>
      <c r="H916" t="s">
        <v>12</v>
      </c>
      <c r="I916">
        <f>VLOOKUP(Table4[[#This Row],[Visitor]],'NHL Model'!$A$6:$B$38,2,FALSE)</f>
        <v>1.5475013591489768</v>
      </c>
      <c r="J916">
        <f>($B$1+Table4[[#This Row],[Home Differential]])-Table4[[#This Row],[Away Differential]]</f>
        <v>-1.5070521690351766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0.66533687438483047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-0.6902088310934803</v>
      </c>
      <c r="H917" t="s">
        <v>40</v>
      </c>
      <c r="I917">
        <f>VLOOKUP(Table4[[#This Row],[Visitor]],'NHL Model'!$A$6:$B$38,2,FALSE)</f>
        <v>0.105105258369765</v>
      </c>
      <c r="J917">
        <f>($B$1+Table4[[#This Row],[Home Differential]])-Table4[[#This Row],[Away Differential]]</f>
        <v>-0.63274177980092694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0.6139876451963866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-6.1308839486784707E-2</v>
      </c>
      <c r="H918" t="s">
        <v>27</v>
      </c>
      <c r="I918">
        <f>VLOOKUP(Table4[[#This Row],[Visitor]],'NHL Model'!$A$6:$B$38,2,FALSE)</f>
        <v>-0.51358590497437617</v>
      </c>
      <c r="J918">
        <f>($B$1+Table4[[#This Row],[Home Differential]])-Table4[[#This Row],[Away Differential]]</f>
        <v>0.61484937514990989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0.62519270803691229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4.029141914856392E-2</v>
      </c>
      <c r="H919" t="s">
        <v>28</v>
      </c>
      <c r="I919">
        <f>VLOOKUP(Table4[[#This Row],[Visitor]],'NHL Model'!$A$6:$B$38,2,FALSE)</f>
        <v>-0.40822279081308277</v>
      </c>
      <c r="J919">
        <f>($B$1+Table4[[#This Row],[Home Differential]])-Table4[[#This Row],[Away Differential]]</f>
        <v>0.6110865196239651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0.67726392439466887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0.67193921242367816</v>
      </c>
      <c r="H920" t="s">
        <v>37</v>
      </c>
      <c r="I920">
        <f>VLOOKUP(Table4[[#This Row],[Visitor]],'NHL Model'!$A$6:$B$38,2,FALSE)</f>
        <v>-0.11309445867623392</v>
      </c>
      <c r="J920">
        <f>($B$1+Table4[[#This Row],[Home Differential]])-Table4[[#This Row],[Away Differential]]</f>
        <v>0.94760598076223046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0.67675356423199085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1.5475013591489768</v>
      </c>
      <c r="H921" t="s">
        <v>34</v>
      </c>
      <c r="I921">
        <f>VLOOKUP(Table4[[#This Row],[Visitor]],'NHL Model'!$A$6:$B$38,2,FALSE)</f>
        <v>-0.53650300840565446</v>
      </c>
      <c r="J921">
        <f>($B$1+Table4[[#This Row],[Home Differential]])-Table4[[#This Row],[Away Differential]]</f>
        <v>2.2465766772169498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0.93964891092519354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-0.28105923893144158</v>
      </c>
      <c r="H922" t="s">
        <v>19</v>
      </c>
      <c r="I922">
        <f>VLOOKUP(Table4[[#This Row],[Visitor]],'NHL Model'!$A$6:$B$38,2,FALSE)</f>
        <v>-0.635565543477981</v>
      </c>
      <c r="J922">
        <f>($B$1+Table4[[#This Row],[Home Differential]])-Table4[[#This Row],[Away Differential]]</f>
        <v>0.51707861420885781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0.66336169834528669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-7.5459708298993802E-2</v>
      </c>
      <c r="H923" t="s">
        <v>17</v>
      </c>
      <c r="I923">
        <f>VLOOKUP(Table4[[#This Row],[Visitor]],'NHL Model'!$A$6:$B$38,2,FALSE)</f>
        <v>-0.61980804137564283</v>
      </c>
      <c r="J923">
        <f>($B$1+Table4[[#This Row],[Home Differential]])-Table4[[#This Row],[Away Differential]]</f>
        <v>0.70692064273896738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0.63794997987506052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-0.52437726201848234</v>
      </c>
      <c r="H924" t="s">
        <v>30</v>
      </c>
      <c r="I924">
        <f>VLOOKUP(Table4[[#This Row],[Visitor]],'NHL Model'!$A$6:$B$38,2,FALSE)</f>
        <v>-6.4729560818359025E-2</v>
      </c>
      <c r="J924">
        <f>($B$1+Table4[[#This Row],[Home Differential]])-Table4[[#This Row],[Away Differential]]</f>
        <v>-0.29707539153780493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0.54367493219935425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-1.3516250707060606</v>
      </c>
      <c r="H925" t="s">
        <v>10</v>
      </c>
      <c r="I925">
        <f>VLOOKUP(Table4[[#This Row],[Visitor]],'NHL Model'!$A$6:$B$38,2,FALSE)</f>
        <v>0.30570968833820172</v>
      </c>
      <c r="J925">
        <f>($B$1+Table4[[#This Row],[Home Differential]])-Table4[[#This Row],[Away Differential]]</f>
        <v>-1.494762449381944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0.68788151888644256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-0.30719665303039001</v>
      </c>
      <c r="H926" t="s">
        <v>27</v>
      </c>
      <c r="I926">
        <f>VLOOKUP(Table4[[#This Row],[Visitor]],'NHL Model'!$A$6:$B$38,2,FALSE)</f>
        <v>-0.51358590497437617</v>
      </c>
      <c r="J926">
        <f>($B$1+Table4[[#This Row],[Home Differential]])-Table4[[#This Row],[Away Differential]]</f>
        <v>0.36896156160630456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0.59112282107647152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-0.40651947573390851</v>
      </c>
      <c r="H927" t="s">
        <v>26</v>
      </c>
      <c r="I927">
        <f>VLOOKUP(Table4[[#This Row],[Visitor]],'NHL Model'!$A$6:$B$38,2,FALSE)</f>
        <v>-0.513643833119658</v>
      </c>
      <c r="J927">
        <f>($B$1+Table4[[#This Row],[Home Differential]])-Table4[[#This Row],[Away Differential]]</f>
        <v>0.26969666704806788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0.53278165393221422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0.26289091192875702</v>
      </c>
      <c r="H928" t="s">
        <v>24</v>
      </c>
      <c r="I928">
        <f>VLOOKUP(Table4[[#This Row],[Visitor]],'NHL Model'!$A$6:$B$38,2,FALSE)</f>
        <v>0.559441163373953</v>
      </c>
      <c r="J928">
        <f>($B$1+Table4[[#This Row],[Home Differential]])-Table4[[#This Row],[Away Differential]]</f>
        <v>-0.13397794178287759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0.50835972299821641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-0.39418177254008485</v>
      </c>
      <c r="H929" t="s">
        <v>16</v>
      </c>
      <c r="I929">
        <f>VLOOKUP(Table4[[#This Row],[Visitor]],'NHL Model'!$A$6:$B$38,2,FALSE)</f>
        <v>-1.3903684122795328</v>
      </c>
      <c r="J929">
        <f>($B$1+Table4[[#This Row],[Home Differential]])-Table4[[#This Row],[Away Differential]]</f>
        <v>1.1587589494017663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0.7005560920306293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-1.6211574240381006</v>
      </c>
      <c r="H930" t="s">
        <v>32</v>
      </c>
      <c r="I930">
        <f>VLOOKUP(Table4[[#This Row],[Visitor]],'NHL Model'!$A$6:$B$38,2,FALSE)</f>
        <v>-0.361361309178443</v>
      </c>
      <c r="J930">
        <f>($B$1+Table4[[#This Row],[Home Differential]])-Table4[[#This Row],[Away Differential]]</f>
        <v>-1.0972238051973391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0.61202986465512144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0.51775546328552802</v>
      </c>
      <c r="H931" t="s">
        <v>40</v>
      </c>
      <c r="I931">
        <f>VLOOKUP(Table4[[#This Row],[Visitor]],'NHL Model'!$A$6:$B$38,2,FALSE)</f>
        <v>0.105105258369765</v>
      </c>
      <c r="J931">
        <f>($B$1+Table4[[#This Row],[Home Differential]])-Table4[[#This Row],[Away Differential]]</f>
        <v>0.57522251457808138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0.66109741201123606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-0.28105923893144158</v>
      </c>
      <c r="H932" t="s">
        <v>23</v>
      </c>
      <c r="I932">
        <f>VLOOKUP(Table4[[#This Row],[Visitor]],'NHL Model'!$A$6:$B$38,2,FALSE)</f>
        <v>-0.8683412362501769</v>
      </c>
      <c r="J932">
        <f>($B$1+Table4[[#This Row],[Home Differential]])-Table4[[#This Row],[Away Differential]]</f>
        <v>0.74985430698105371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0.69561478736826343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-0.12212311954851815</v>
      </c>
      <c r="H933" t="s">
        <v>34</v>
      </c>
      <c r="I933">
        <f>VLOOKUP(Table4[[#This Row],[Visitor]],'NHL Model'!$A$6:$B$38,2,FALSE)</f>
        <v>-0.53650300840565446</v>
      </c>
      <c r="J933">
        <f>($B$1+Table4[[#This Row],[Home Differential]])-Table4[[#This Row],[Away Differential]]</f>
        <v>0.57695219851945467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0.68821423195296516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-6.1308839486784707E-2</v>
      </c>
      <c r="H934" t="s">
        <v>20</v>
      </c>
      <c r="I934">
        <f>VLOOKUP(Table4[[#This Row],[Visitor]],'NHL Model'!$A$6:$B$38,2,FALSE)</f>
        <v>-6.3745791019188943E-4</v>
      </c>
      <c r="J934">
        <f>($B$1+Table4[[#This Row],[Home Differential]])-Table4[[#This Row],[Away Differential]]</f>
        <v>0.10190092808572558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0.53335002569578727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0.67193921242367816</v>
      </c>
      <c r="H935" t="s">
        <v>26</v>
      </c>
      <c r="I935">
        <f>VLOOKUP(Table4[[#This Row],[Visitor]],'NHL Model'!$A$6:$B$38,2,FALSE)</f>
        <v>-0.513643833119658</v>
      </c>
      <c r="J935">
        <f>($B$1+Table4[[#This Row],[Home Differential]])-Table4[[#This Row],[Away Differential]]</f>
        <v>1.3481553552056544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0.73225315045667638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-0.40822279081308277</v>
      </c>
      <c r="H936" t="s">
        <v>30</v>
      </c>
      <c r="I936">
        <f>VLOOKUP(Table4[[#This Row],[Visitor]],'NHL Model'!$A$6:$B$38,2,FALSE)</f>
        <v>-6.4729560818359025E-2</v>
      </c>
      <c r="J936">
        <f>($B$1+Table4[[#This Row],[Home Differential]])-Table4[[#This Row],[Away Differential]]</f>
        <v>-0.18092092033240537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0.52758072384113508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1.5475013591489768</v>
      </c>
      <c r="H937" t="s">
        <v>10</v>
      </c>
      <c r="I937">
        <f>VLOOKUP(Table4[[#This Row],[Visitor]],'NHL Model'!$A$6:$B$38,2,FALSE)</f>
        <v>0.30570968833820172</v>
      </c>
      <c r="J937">
        <f>($B$1+Table4[[#This Row],[Home Differential]])-Table4[[#This Row],[Away Differential]]</f>
        <v>1.4043639804730934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0.80328244920339653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0.19809534061227302</v>
      </c>
      <c r="H938" t="s">
        <v>29</v>
      </c>
      <c r="I938">
        <f>VLOOKUP(Table4[[#This Row],[Visitor]],'NHL Model'!$A$6:$B$38,2,FALSE)</f>
        <v>-1.3516250707060606</v>
      </c>
      <c r="J938">
        <f>($B$1+Table4[[#This Row],[Home Differential]])-Table4[[#This Row],[Away Differential]]</f>
        <v>1.712292720980652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0.80329072779796795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-7.5459708298993802E-2</v>
      </c>
      <c r="H939" t="s">
        <v>16</v>
      </c>
      <c r="I939">
        <f>VLOOKUP(Table4[[#This Row],[Visitor]],'NHL Model'!$A$6:$B$38,2,FALSE)</f>
        <v>-1.3903684122795328</v>
      </c>
      <c r="J939">
        <f>($B$1+Table4[[#This Row],[Home Differential]])-Table4[[#This Row],[Away Differential]]</f>
        <v>1.4774810136428573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0.74471779546765893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-0.52437726201848234</v>
      </c>
      <c r="H940" t="s">
        <v>22</v>
      </c>
      <c r="I940">
        <f>VLOOKUP(Table4[[#This Row],[Visitor]],'NHL Model'!$A$6:$B$38,2,FALSE)</f>
        <v>-6.1308839486784707E-2</v>
      </c>
      <c r="J940">
        <f>($B$1+Table4[[#This Row],[Home Differential]])-Table4[[#This Row],[Away Differential]]</f>
        <v>-0.30049611286937922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0.50163633996320867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-0.30719665303039001</v>
      </c>
      <c r="H941" t="s">
        <v>14</v>
      </c>
      <c r="I941">
        <f>VLOOKUP(Table4[[#This Row],[Visitor]],'NHL Model'!$A$6:$B$38,2,FALSE)</f>
        <v>0.26289091192875702</v>
      </c>
      <c r="J941">
        <f>($B$1+Table4[[#This Row],[Home Differential]])-Table4[[#This Row],[Away Differential]]</f>
        <v>-0.40751525529682864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0.51646476936993857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-0.51358590497437617</v>
      </c>
      <c r="H942" t="s">
        <v>21</v>
      </c>
      <c r="I942">
        <f>VLOOKUP(Table4[[#This Row],[Visitor]],'NHL Model'!$A$6:$B$38,2,FALSE)</f>
        <v>4.029141914856392E-2</v>
      </c>
      <c r="J942">
        <f>($B$1+Table4[[#This Row],[Home Differential]])-Table4[[#This Row],[Away Differential]]</f>
        <v>-0.39130501446062171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0.51172322085076793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-0.361361309178443</v>
      </c>
      <c r="H943" t="s">
        <v>38</v>
      </c>
      <c r="I943">
        <f>VLOOKUP(Table4[[#This Row],[Visitor]],'NHL Model'!$A$6:$B$38,2,FALSE)</f>
        <v>-0.6902088310934803</v>
      </c>
      <c r="J943">
        <f>($B$1+Table4[[#This Row],[Home Differential]])-Table4[[#This Row],[Away Differential]]</f>
        <v>0.49141983157735569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0.59189999917987079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-0.39418177254008485</v>
      </c>
      <c r="H944" t="s">
        <v>17</v>
      </c>
      <c r="I944">
        <f>VLOOKUP(Table4[[#This Row],[Visitor]],'NHL Model'!$A$6:$B$38,2,FALSE)</f>
        <v>-0.61980804137564283</v>
      </c>
      <c r="J944">
        <f>($B$1+Table4[[#This Row],[Home Differential]])-Table4[[#This Row],[Away Differential]]</f>
        <v>0.38819857849787637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0.593788276438031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-1.6211574240381006</v>
      </c>
      <c r="H945" t="s">
        <v>24</v>
      </c>
      <c r="I945">
        <f>VLOOKUP(Table4[[#This Row],[Visitor]],'NHL Model'!$A$6:$B$38,2,FALSE)</f>
        <v>0.559441163373953</v>
      </c>
      <c r="J945">
        <f>($B$1+Table4[[#This Row],[Home Differential]])-Table4[[#This Row],[Away Differential]]</f>
        <v>-2.0180262777497351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0.80593081461578986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-0.11309445867623392</v>
      </c>
      <c r="H946" t="s">
        <v>23</v>
      </c>
      <c r="I946">
        <f>VLOOKUP(Table4[[#This Row],[Visitor]],'NHL Model'!$A$6:$B$38,2,FALSE)</f>
        <v>-0.8683412362501769</v>
      </c>
      <c r="J946">
        <f>($B$1+Table4[[#This Row],[Home Differential]])-Table4[[#This Row],[Away Differential]]</f>
        <v>0.91781908723626138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0.66717178660311693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-0.635565543477981</v>
      </c>
      <c r="H947" t="s">
        <v>36</v>
      </c>
      <c r="I947">
        <f>VLOOKUP(Table4[[#This Row],[Visitor]],'NHL Model'!$A$6:$B$38,2,FALSE)</f>
        <v>-0.40651947573390851</v>
      </c>
      <c r="J947">
        <f>($B$1+Table4[[#This Row],[Home Differential]])-Table4[[#This Row],[Away Differential]]</f>
        <v>-6.6473758081754097E-2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0.46921051511680317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0.51775546328552802</v>
      </c>
      <c r="H948" t="s">
        <v>16</v>
      </c>
      <c r="I948">
        <f>VLOOKUP(Table4[[#This Row],[Visitor]],'NHL Model'!$A$6:$B$38,2,FALSE)</f>
        <v>-1.3903684122795328</v>
      </c>
      <c r="J948">
        <f>($B$1+Table4[[#This Row],[Home Differential]])-Table4[[#This Row],[Away Differential]]</f>
        <v>2.0706961852273791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0.93124279406713151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-0.53650300840565446</v>
      </c>
      <c r="H949" t="s">
        <v>35</v>
      </c>
      <c r="I949">
        <f>VLOOKUP(Table4[[#This Row],[Visitor]],'NHL Model'!$A$6:$B$38,2,FALSE)</f>
        <v>-1.6211574240381006</v>
      </c>
      <c r="J949">
        <f>($B$1+Table4[[#This Row],[Home Differential]])-Table4[[#This Row],[Away Differential]]</f>
        <v>1.2472267252947646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0.71281406887331478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-6.4729560818359025E-2</v>
      </c>
      <c r="H950" t="s">
        <v>11</v>
      </c>
      <c r="I950">
        <f>VLOOKUP(Table4[[#This Row],[Visitor]],'NHL Model'!$A$6:$B$38,2,FALSE)</f>
        <v>-0.28105923893144158</v>
      </c>
      <c r="J950">
        <f>($B$1+Table4[[#This Row],[Home Differential]])-Table4[[#This Row],[Away Differential]]</f>
        <v>0.37890198777540096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0.59250015324693983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0.26289091192875702</v>
      </c>
      <c r="H951" t="s">
        <v>20</v>
      </c>
      <c r="I951">
        <f>VLOOKUP(Table4[[#This Row],[Visitor]],'NHL Model'!$A$6:$B$38,2,FALSE)</f>
        <v>-6.3745791019188943E-4</v>
      </c>
      <c r="J951">
        <f>($B$1+Table4[[#This Row],[Home Differential]])-Table4[[#This Row],[Away Differential]]</f>
        <v>0.42610067950126729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0.61459549647479406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-0.39418177254008485</v>
      </c>
      <c r="H952" t="s">
        <v>40</v>
      </c>
      <c r="I952">
        <f>VLOOKUP(Table4[[#This Row],[Visitor]],'NHL Model'!$A$6:$B$38,2,FALSE)</f>
        <v>0.105105258369765</v>
      </c>
      <c r="J952">
        <f>($B$1+Table4[[#This Row],[Home Differential]])-Table4[[#This Row],[Away Differential]]</f>
        <v>-0.33671472124753143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0.57297053142894316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-0.12212311954851815</v>
      </c>
      <c r="H953" t="s">
        <v>10</v>
      </c>
      <c r="I953">
        <f>VLOOKUP(Table4[[#This Row],[Visitor]],'NHL Model'!$A$6:$B$38,2,FALSE)</f>
        <v>0.30570968833820172</v>
      </c>
      <c r="J953">
        <f>($B$1+Table4[[#This Row],[Home Differential]])-Table4[[#This Row],[Away Differential]]</f>
        <v>-0.26526049822440145</v>
      </c>
      <c r="K953" t="str">
        <f>IF(Table4[[#This Row],[HomeIce Differential]]&gt;0,Table4[[#This Row],[Home]],Table4[[#This Row],[Visitor]])</f>
        <v>Chicago Blackhawks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0.44851884615198806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-7.5459708298993802E-2</v>
      </c>
      <c r="H954" t="s">
        <v>12</v>
      </c>
      <c r="I954">
        <f>VLOOKUP(Table4[[#This Row],[Visitor]],'NHL Model'!$A$6:$B$38,2,FALSE)</f>
        <v>1.5475013591489768</v>
      </c>
      <c r="J954">
        <f>($B$1+Table4[[#This Row],[Home Differential]])-Table4[[#This Row],[Away Differential]]</f>
        <v>-1.4603887577856522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0.72866530480349623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-1.3516250707060606</v>
      </c>
      <c r="H955" t="s">
        <v>26</v>
      </c>
      <c r="I955">
        <f>VLOOKUP(Table4[[#This Row],[Visitor]],'NHL Model'!$A$6:$B$38,2,FALSE)</f>
        <v>-0.513643833119658</v>
      </c>
      <c r="J955">
        <f>($B$1+Table4[[#This Row],[Home Differential]])-Table4[[#This Row],[Away Differential]]</f>
        <v>-0.67540892792408425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0.60068315024787755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-0.30719665303039001</v>
      </c>
      <c r="H956" t="s">
        <v>28</v>
      </c>
      <c r="I956">
        <f>VLOOKUP(Table4[[#This Row],[Visitor]],'NHL Model'!$A$6:$B$38,2,FALSE)</f>
        <v>-0.40822279081308277</v>
      </c>
      <c r="J956">
        <f>($B$1+Table4[[#This Row],[Home Differential]])-Table4[[#This Row],[Away Differential]]</f>
        <v>0.26359844744501115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0.55575461796476355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-0.361361309178443</v>
      </c>
      <c r="H957" t="s">
        <v>25</v>
      </c>
      <c r="I957">
        <f>VLOOKUP(Table4[[#This Row],[Visitor]],'NHL Model'!$A$6:$B$38,2,FALSE)</f>
        <v>0.67193921242367816</v>
      </c>
      <c r="J957">
        <f>($B$1+Table4[[#This Row],[Home Differential]])-Table4[[#This Row],[Away Differential]]</f>
        <v>-0.87072821193980277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0.64696272730492799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-0.635565543477981</v>
      </c>
      <c r="H958" t="s">
        <v>27</v>
      </c>
      <c r="I958">
        <f>VLOOKUP(Table4[[#This Row],[Visitor]],'NHL Model'!$A$6:$B$38,2,FALSE)</f>
        <v>-0.51358590497437617</v>
      </c>
      <c r="J958">
        <f>($B$1+Table4[[#This Row],[Home Differential]])-Table4[[#This Row],[Away Differential]]</f>
        <v>4.0592671158713567E-2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0.54562446628756767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-0.6902088310934803</v>
      </c>
      <c r="H959" t="s">
        <v>39</v>
      </c>
      <c r="I959">
        <f>VLOOKUP(Table4[[#This Row],[Visitor]],'NHL Model'!$A$6:$B$38,2,FALSE)</f>
        <v>0.19809534061227302</v>
      </c>
      <c r="J959">
        <f>($B$1+Table4[[#This Row],[Home Differential]])-Table4[[#This Row],[Away Differential]]</f>
        <v>-0.72573186204343498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0.65304262513708233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0.51775546328552802</v>
      </c>
      <c r="H960" t="s">
        <v>12</v>
      </c>
      <c r="I960">
        <f>VLOOKUP(Table4[[#This Row],[Visitor]],'NHL Model'!$A$6:$B$38,2,FALSE)</f>
        <v>1.5475013591489768</v>
      </c>
      <c r="J960">
        <f>($B$1+Table4[[#This Row],[Home Differential]])-Table4[[#This Row],[Away Differential]]</f>
        <v>-0.86717358620113039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0.53875906480034663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4.029141914856392E-2</v>
      </c>
      <c r="H961" t="s">
        <v>14</v>
      </c>
      <c r="I961">
        <f>VLOOKUP(Table4[[#This Row],[Visitor]],'NHL Model'!$A$6:$B$38,2,FALSE)</f>
        <v>0.26289091192875702</v>
      </c>
      <c r="J961">
        <f>($B$1+Table4[[#This Row],[Home Differential]])-Table4[[#This Row],[Away Differential]]</f>
        <v>-6.0027183117874694E-2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0.395759859043051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-0.8683412362501769</v>
      </c>
      <c r="H962" t="s">
        <v>20</v>
      </c>
      <c r="I962">
        <f>VLOOKUP(Table4[[#This Row],[Visitor]],'NHL Model'!$A$6:$B$38,2,FALSE)</f>
        <v>-6.3745791019188943E-4</v>
      </c>
      <c r="J962">
        <f>($B$1+Table4[[#This Row],[Home Differential]])-Table4[[#This Row],[Away Differential]]</f>
        <v>-0.70513146867766663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0.57847130507653421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-0.40822279081308277</v>
      </c>
      <c r="H963" t="s">
        <v>29</v>
      </c>
      <c r="I963">
        <f>VLOOKUP(Table4[[#This Row],[Visitor]],'NHL Model'!$A$6:$B$38,2,FALSE)</f>
        <v>-1.3516250707060606</v>
      </c>
      <c r="J963">
        <f>($B$1+Table4[[#This Row],[Home Differential]])-Table4[[#This Row],[Away Differential]]</f>
        <v>1.1059745895552964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0.69324236164549358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-1.3903684122795328</v>
      </c>
      <c r="H964" t="s">
        <v>39</v>
      </c>
      <c r="I964">
        <f>VLOOKUP(Table4[[#This Row],[Visitor]],'NHL Model'!$A$6:$B$38,2,FALSE)</f>
        <v>0.19809534061227302</v>
      </c>
      <c r="J964">
        <f>($B$1+Table4[[#This Row],[Home Differential]])-Table4[[#This Row],[Away Differential]]</f>
        <v>-1.4258914432294874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0.75005580135554539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-0.61980804137564283</v>
      </c>
      <c r="H965" t="s">
        <v>36</v>
      </c>
      <c r="I965">
        <f>VLOOKUP(Table4[[#This Row],[Visitor]],'NHL Model'!$A$6:$B$38,2,FALSE)</f>
        <v>-0.40651947573390851</v>
      </c>
      <c r="J965">
        <f>($B$1+Table4[[#This Row],[Home Differential]])-Table4[[#This Row],[Away Differential]]</f>
        <v>-5.0716255979415925E-2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0.4309903103166719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-0.53650300840565446</v>
      </c>
      <c r="H966" t="s">
        <v>37</v>
      </c>
      <c r="I966">
        <f>VLOOKUP(Table4[[#This Row],[Visitor]],'NHL Model'!$A$6:$B$38,2,FALSE)</f>
        <v>-0.11309445867623392</v>
      </c>
      <c r="J966">
        <f>($B$1+Table4[[#This Row],[Home Differential]])-Table4[[#This Row],[Away Differential]]</f>
        <v>-0.26083624006710215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0.54324051245050387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0.559441163373953</v>
      </c>
      <c r="H967" t="s">
        <v>11</v>
      </c>
      <c r="I967">
        <f>VLOOKUP(Table4[[#This Row],[Visitor]],'NHL Model'!$A$6:$B$38,2,FALSE)</f>
        <v>-0.28105923893144158</v>
      </c>
      <c r="J967">
        <f>($B$1+Table4[[#This Row],[Home Differential]])-Table4[[#This Row],[Away Differential]]</f>
        <v>1.003072711967713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0.79441512656516433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-0.39418177254008485</v>
      </c>
      <c r="H968" t="s">
        <v>18</v>
      </c>
      <c r="I968">
        <f>VLOOKUP(Table4[[#This Row],[Visitor]],'NHL Model'!$A$6:$B$38,2,FALSE)</f>
        <v>-0.52437726201848234</v>
      </c>
      <c r="J968">
        <f>($B$1+Table4[[#This Row],[Home Differential]])-Table4[[#This Row],[Away Differential]]</f>
        <v>0.29276779914071588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0.50408482844202318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0.105105258369765</v>
      </c>
      <c r="H969" t="s">
        <v>10</v>
      </c>
      <c r="I969">
        <f>VLOOKUP(Table4[[#This Row],[Visitor]],'NHL Model'!$A$6:$B$38,2,FALSE)</f>
        <v>0.30570968833820172</v>
      </c>
      <c r="J969">
        <f>($B$1+Table4[[#This Row],[Home Differential]])-Table4[[#This Row],[Away Differential]]</f>
        <v>-3.80321203061183E-2</v>
      </c>
      <c r="K969" t="str">
        <f>IF(Table4[[#This Row],[HomeIce Differential]]&gt;0,Table4[[#This Row],[Home]],Table4[[#This Row],[Visitor]])</f>
        <v>Chicago Blackhawks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0.44971412422654372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-6.1308839486784707E-2</v>
      </c>
      <c r="H970" t="s">
        <v>55</v>
      </c>
      <c r="I970">
        <f>VLOOKUP(Table4[[#This Row],[Visitor]],'NHL Model'!$A$6:$B$38,2,FALSE)</f>
        <v>-0.12212311954851815</v>
      </c>
      <c r="J970">
        <f>($B$1+Table4[[#This Row],[Home Differential]])-Table4[[#This Row],[Away Differential]]</f>
        <v>0.22338658972405184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0.57095214744762912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0.51775546328552802</v>
      </c>
      <c r="H971" t="s">
        <v>30</v>
      </c>
      <c r="I971">
        <f>VLOOKUP(Table4[[#This Row],[Visitor]],'NHL Model'!$A$6:$B$38,2,FALSE)</f>
        <v>-6.4729560818359025E-2</v>
      </c>
      <c r="J971">
        <f>($B$1+Table4[[#This Row],[Home Differential]])-Table4[[#This Row],[Away Differential]]</f>
        <v>0.74505733376620542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0.70762975323218535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-0.513643833119658</v>
      </c>
      <c r="H972" t="s">
        <v>20</v>
      </c>
      <c r="I972">
        <f>VLOOKUP(Table4[[#This Row],[Visitor]],'NHL Model'!$A$6:$B$38,2,FALSE)</f>
        <v>-6.3745791019188943E-4</v>
      </c>
      <c r="J972">
        <f>($B$1+Table4[[#This Row],[Home Differential]])-Table4[[#This Row],[Away Differential]]</f>
        <v>-0.35043406554714773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0.50310113051904948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0.559441163373953</v>
      </c>
      <c r="H973" t="s">
        <v>19</v>
      </c>
      <c r="I973">
        <f>VLOOKUP(Table4[[#This Row],[Visitor]],'NHL Model'!$A$6:$B$38,2,FALSE)</f>
        <v>-0.635565543477981</v>
      </c>
      <c r="J973">
        <f>($B$1+Table4[[#This Row],[Home Differential]])-Table4[[#This Row],[Away Differential]]</f>
        <v>1.3575790165142525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0.84353504653436728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-0.361361309178443</v>
      </c>
      <c r="H974" t="s">
        <v>35</v>
      </c>
      <c r="I974">
        <f>VLOOKUP(Table4[[#This Row],[Visitor]],'NHL Model'!$A$6:$B$38,2,FALSE)</f>
        <v>-1.6211574240381006</v>
      </c>
      <c r="J974">
        <f>($B$1+Table4[[#This Row],[Home Differential]])-Table4[[#This Row],[Away Differential]]</f>
        <v>1.4223684245219759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0.7631192045936237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-0.6902088310934803</v>
      </c>
      <c r="H975" t="s">
        <v>25</v>
      </c>
      <c r="I975">
        <f>VLOOKUP(Table4[[#This Row],[Visitor]],'NHL Model'!$A$6:$B$38,2,FALSE)</f>
        <v>0.67193921242367816</v>
      </c>
      <c r="J975">
        <f>($B$1+Table4[[#This Row],[Home Differential]])-Table4[[#This Row],[Away Differential]]</f>
        <v>-1.1995757338548401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0.71869779900217201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-0.40822279081308277</v>
      </c>
      <c r="H976" t="s">
        <v>11</v>
      </c>
      <c r="I976">
        <f>VLOOKUP(Table4[[#This Row],[Visitor]],'NHL Model'!$A$6:$B$38,2,FALSE)</f>
        <v>-0.28105923893144158</v>
      </c>
      <c r="J976">
        <f>($B$1+Table4[[#This Row],[Home Differential]])-Table4[[#This Row],[Away Differential]]</f>
        <v>3.5408757780677202E-2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0.54490619017515229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-1.3903684122795328</v>
      </c>
      <c r="H977" t="s">
        <v>36</v>
      </c>
      <c r="I977">
        <f>VLOOKUP(Table4[[#This Row],[Visitor]],'NHL Model'!$A$6:$B$38,2,FALSE)</f>
        <v>-0.40651947573390851</v>
      </c>
      <c r="J977">
        <f>($B$1+Table4[[#This Row],[Home Differential]])-Table4[[#This Row],[Away Differential]]</f>
        <v>-0.82127662688330583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0.57379499226871722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-7.5459708298993802E-2</v>
      </c>
      <c r="H978" t="s">
        <v>30</v>
      </c>
      <c r="I978">
        <f>VLOOKUP(Table4[[#This Row],[Visitor]],'NHL Model'!$A$6:$B$38,2,FALSE)</f>
        <v>-6.4729560818359025E-2</v>
      </c>
      <c r="J978">
        <f>($B$1+Table4[[#This Row],[Home Differential]])-Table4[[#This Row],[Away Differential]]</f>
        <v>0.15184216218168362</v>
      </c>
      <c r="K978" t="str">
        <f>IF(Table4[[#This Row],[HomeIce Differential]]&gt;0,Table4[[#This Row],[Home]],Table4[[#This Row],[Visitor]])</f>
        <v>Los Angeles Kings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0.51852648433025461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-1.3516250707060606</v>
      </c>
      <c r="H979" t="s">
        <v>21</v>
      </c>
      <c r="I979">
        <f>VLOOKUP(Table4[[#This Row],[Visitor]],'NHL Model'!$A$6:$B$38,2,FALSE)</f>
        <v>4.029141914856392E-2</v>
      </c>
      <c r="J979">
        <f>($B$1+Table4[[#This Row],[Home Differential]])-Table4[[#This Row],[Away Differential]]</f>
        <v>-1.2293441801923062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0.63033628731340152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-0.30719665303039001</v>
      </c>
      <c r="H980" t="s">
        <v>19</v>
      </c>
      <c r="I980">
        <f>VLOOKUP(Table4[[#This Row],[Visitor]],'NHL Model'!$A$6:$B$38,2,FALSE)</f>
        <v>-0.635565543477981</v>
      </c>
      <c r="J980">
        <f>($B$1+Table4[[#This Row],[Home Differential]])-Table4[[#This Row],[Away Differential]]</f>
        <v>0.49094120010990938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0.60802415683362665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-0.51358590497437617</v>
      </c>
      <c r="H981" t="s">
        <v>55</v>
      </c>
      <c r="I981">
        <f>VLOOKUP(Table4[[#This Row],[Visitor]],'NHL Model'!$A$6:$B$38,2,FALSE)</f>
        <v>-0.12212311954851815</v>
      </c>
      <c r="J981">
        <f>($B$1+Table4[[#This Row],[Home Differential]])-Table4[[#This Row],[Away Differential]]</f>
        <v>-0.22889047576353963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0.48921927934022036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0.26289091192875702</v>
      </c>
      <c r="H982" t="s">
        <v>23</v>
      </c>
      <c r="I982">
        <f>VLOOKUP(Table4[[#This Row],[Visitor]],'NHL Model'!$A$6:$B$38,2,FALSE)</f>
        <v>-0.8683412362501769</v>
      </c>
      <c r="J982">
        <f>($B$1+Table4[[#This Row],[Home Differential]])-Table4[[#This Row],[Away Differential]]</f>
        <v>1.2938044578412522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0.75530468363071179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0.105105258369765</v>
      </c>
      <c r="H983" t="s">
        <v>37</v>
      </c>
      <c r="I983">
        <f>VLOOKUP(Table4[[#This Row],[Visitor]],'NHL Model'!$A$6:$B$38,2,FALSE)</f>
        <v>-0.11309445867623392</v>
      </c>
      <c r="J983">
        <f>($B$1+Table4[[#This Row],[Home Differential]])-Table4[[#This Row],[Away Differential]]</f>
        <v>0.38077202670831733</v>
      </c>
      <c r="K983" t="str">
        <f>IF(Table4[[#This Row],[HomeIce Differential]]&gt;0,Table4[[#This Row],[Home]],Table4[[#This Row],[Visitor]])</f>
        <v>Winnipeg Jets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0.58217102804916199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0.51775546328552802</v>
      </c>
      <c r="H984" t="s">
        <v>18</v>
      </c>
      <c r="I984">
        <f>VLOOKUP(Table4[[#This Row],[Visitor]],'NHL Model'!$A$6:$B$38,2,FALSE)</f>
        <v>-0.52437726201848234</v>
      </c>
      <c r="J984">
        <f>($B$1+Table4[[#This Row],[Home Differential]])-Table4[[#This Row],[Away Differential]]</f>
        <v>1.2047050349663286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0.73835089169515911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0.30570968833820172</v>
      </c>
      <c r="H985" t="s">
        <v>38</v>
      </c>
      <c r="I985">
        <f>VLOOKUP(Table4[[#This Row],[Visitor]],'NHL Model'!$A$6:$B$38,2,FALSE)</f>
        <v>-0.6902088310934803</v>
      </c>
      <c r="J985">
        <f>($B$1+Table4[[#This Row],[Home Differential]])-Table4[[#This Row],[Away Differential]]</f>
        <v>1.1584908290940004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0.65800637882489976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0.19809534061227302</v>
      </c>
      <c r="H986" t="s">
        <v>12</v>
      </c>
      <c r="I986">
        <f>VLOOKUP(Table4[[#This Row],[Visitor]],'NHL Model'!$A$6:$B$38,2,FALSE)</f>
        <v>1.5475013591489768</v>
      </c>
      <c r="J986">
        <f>($B$1+Table4[[#This Row],[Home Differential]])-Table4[[#This Row],[Away Differential]]</f>
        <v>-1.1868337088743854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0.6644460931977838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-0.513643833119658</v>
      </c>
      <c r="H987" t="s">
        <v>11</v>
      </c>
      <c r="I987">
        <f>VLOOKUP(Table4[[#This Row],[Visitor]],'NHL Model'!$A$6:$B$38,2,FALSE)</f>
        <v>-0.28105923893144158</v>
      </c>
      <c r="J987">
        <f>($B$1+Table4[[#This Row],[Home Differential]])-Table4[[#This Row],[Away Differential]]</f>
        <v>-7.0012284525898028E-2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0.4436630727646918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-0.61980804137564283</v>
      </c>
      <c r="H988" t="s">
        <v>25</v>
      </c>
      <c r="I988">
        <f>VLOOKUP(Table4[[#This Row],[Visitor]],'NHL Model'!$A$6:$B$38,2,FALSE)</f>
        <v>0.67193921242367816</v>
      </c>
      <c r="J988">
        <f>($B$1+Table4[[#This Row],[Home Differential]])-Table4[[#This Row],[Away Differential]]</f>
        <v>-1.1291749441370027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0.67258600404079738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-0.39418177254008485</v>
      </c>
      <c r="H989" t="s">
        <v>35</v>
      </c>
      <c r="I989">
        <f>VLOOKUP(Table4[[#This Row],[Visitor]],'NHL Model'!$A$6:$B$38,2,FALSE)</f>
        <v>-1.6211574240381006</v>
      </c>
      <c r="J989">
        <f>($B$1+Table4[[#This Row],[Home Differential]])-Table4[[#This Row],[Away Differential]]</f>
        <v>1.3895479611603341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0.73253390918638628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-6.3745791019188943E-4</v>
      </c>
      <c r="H990" t="s">
        <v>34</v>
      </c>
      <c r="I990">
        <f>VLOOKUP(Table4[[#This Row],[Visitor]],'NHL Model'!$A$6:$B$38,2,FALSE)</f>
        <v>-0.53650300840565446</v>
      </c>
      <c r="J990">
        <f>($B$1+Table4[[#This Row],[Home Differential]])-Table4[[#This Row],[Away Differential]]</f>
        <v>0.69843786015778098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0.63677461685285142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4.029141914856392E-2</v>
      </c>
      <c r="H991" t="s">
        <v>22</v>
      </c>
      <c r="I991">
        <f>VLOOKUP(Table4[[#This Row],[Visitor]],'NHL Model'!$A$6:$B$38,2,FALSE)</f>
        <v>-6.1308839486784707E-2</v>
      </c>
      <c r="J991">
        <f>($B$1+Table4[[#This Row],[Home Differential]])-Table4[[#This Row],[Away Differential]]</f>
        <v>0.26417256829766705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0.6491608254111696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-0.8683412362501769</v>
      </c>
      <c r="H992" t="s">
        <v>29</v>
      </c>
      <c r="I992">
        <f>VLOOKUP(Table4[[#This Row],[Visitor]],'NHL Model'!$A$6:$B$38,2,FALSE)</f>
        <v>-1.3516250707060606</v>
      </c>
      <c r="J992">
        <f>($B$1+Table4[[#This Row],[Home Differential]])-Table4[[#This Row],[Away Differential]]</f>
        <v>0.64585614411820214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0.62948896452288439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-0.40822279081308277</v>
      </c>
      <c r="H993" t="s">
        <v>55</v>
      </c>
      <c r="I993">
        <f>VLOOKUP(Table4[[#This Row],[Visitor]],'NHL Model'!$A$6:$B$38,2,FALSE)</f>
        <v>-0.12212311954851815</v>
      </c>
      <c r="J993">
        <f>($B$1+Table4[[#This Row],[Home Differential]])-Table4[[#This Row],[Away Differential]]</f>
        <v>-0.12352736160224623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0.47711578620208311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-1.3903684122795328</v>
      </c>
      <c r="H994" t="s">
        <v>25</v>
      </c>
      <c r="I994">
        <f>VLOOKUP(Table4[[#This Row],[Visitor]],'NHL Model'!$A$6:$B$38,2,FALSE)</f>
        <v>0.67193921242367816</v>
      </c>
      <c r="J994">
        <f>($B$1+Table4[[#This Row],[Home Differential]])-Table4[[#This Row],[Away Differential]]</f>
        <v>-1.8997353150408927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0.81571097522063518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-7.5459708298993802E-2</v>
      </c>
      <c r="H995" t="s">
        <v>18</v>
      </c>
      <c r="I995">
        <f>VLOOKUP(Table4[[#This Row],[Visitor]],'NHL Model'!$A$6:$B$38,2,FALSE)</f>
        <v>-0.52437726201848234</v>
      </c>
      <c r="J995">
        <f>($B$1+Table4[[#This Row],[Home Differential]])-Table4[[#This Row],[Away Differential]]</f>
        <v>0.61148986338180689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0.5482465318790527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0.559441163373953</v>
      </c>
      <c r="H996" t="s">
        <v>15</v>
      </c>
      <c r="I996">
        <f>VLOOKUP(Table4[[#This Row],[Visitor]],'NHL Model'!$A$6:$B$38,2,FALSE)</f>
        <v>-0.30719665303039001</v>
      </c>
      <c r="J996">
        <f>($B$1+Table4[[#This Row],[Home Differential]])-Table4[[#This Row],[Away Differential]]</f>
        <v>1.0292101260666615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0.6593845036249093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0.26289091192875702</v>
      </c>
      <c r="H997" t="s">
        <v>27</v>
      </c>
      <c r="I997">
        <f>VLOOKUP(Table4[[#This Row],[Visitor]],'NHL Model'!$A$6:$B$38,2,FALSE)</f>
        <v>-0.51358590497437617</v>
      </c>
      <c r="J997">
        <f>($B$1+Table4[[#This Row],[Home Differential]])-Table4[[#This Row],[Away Differential]]</f>
        <v>0.93904912656545159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0.70615025885057991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-0.361361309178443</v>
      </c>
      <c r="H998" t="s">
        <v>36</v>
      </c>
      <c r="I998">
        <f>VLOOKUP(Table4[[#This Row],[Visitor]],'NHL Model'!$A$6:$B$38,2,FALSE)</f>
        <v>-0.40651947573390851</v>
      </c>
      <c r="J998">
        <f>($B$1+Table4[[#This Row],[Home Differential]])-Table4[[#This Row],[Away Differential]]</f>
        <v>0.2077304762177839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0.59482059312442681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-0.39418177254008485</v>
      </c>
      <c r="H999" t="s">
        <v>30</v>
      </c>
      <c r="I999">
        <f>VLOOKUP(Table4[[#This Row],[Visitor]],'NHL Model'!$A$6:$B$38,2,FALSE)</f>
        <v>-6.4729560818359025E-2</v>
      </c>
      <c r="J999">
        <f>($B$1+Table4[[#This Row],[Home Differential]])-Table4[[#This Row],[Away Differential]]</f>
        <v>-0.16687990205940745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0.52563521910677502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-0.635565543477981</v>
      </c>
      <c r="H1000" t="s">
        <v>37</v>
      </c>
      <c r="I1000">
        <f>VLOOKUP(Table4[[#This Row],[Visitor]],'NHL Model'!$A$6:$B$38,2,FALSE)</f>
        <v>-0.11309445867623392</v>
      </c>
      <c r="J1000">
        <f>($B$1+Table4[[#This Row],[Home Differential]])-Table4[[#This Row],[Away Differential]]</f>
        <v>-0.35989877513942869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0.55696648497142476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0.105105258369765</v>
      </c>
      <c r="H1001" t="s">
        <v>38</v>
      </c>
      <c r="I1001">
        <f>VLOOKUP(Table4[[#This Row],[Visitor]],'NHL Model'!$A$6:$B$38,2,FALSE)</f>
        <v>-0.6902088310934803</v>
      </c>
      <c r="J1001">
        <f>($B$1+Table4[[#This Row],[Home Differential]])-Table4[[#This Row],[Away Differential]]</f>
        <v>0.95788639912556373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0.66670404233641978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0.51775546328552802</v>
      </c>
      <c r="H1002" t="s">
        <v>35</v>
      </c>
      <c r="I1002">
        <f>VLOOKUP(Table4[[#This Row],[Visitor]],'NHL Model'!$A$6:$B$38,2,FALSE)</f>
        <v>-1.6211574240381006</v>
      </c>
      <c r="J1002">
        <f>($B$1+Table4[[#This Row],[Home Differential]])-Table4[[#This Row],[Away Differential]]</f>
        <v>2.3014851969859471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0.96322061122288838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-0.8683412362501769</v>
      </c>
      <c r="H1003" t="s">
        <v>37</v>
      </c>
      <c r="I1003">
        <f>VLOOKUP(Table4[[#This Row],[Visitor]],'NHL Model'!$A$6:$B$38,2,FALSE)</f>
        <v>-0.11309445867623392</v>
      </c>
      <c r="J1003">
        <f>($B$1+Table4[[#This Row],[Home Differential]])-Table4[[#This Row],[Away Differential]]</f>
        <v>-0.59267446791162459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0.5892195739944015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1.5475013591489768</v>
      </c>
      <c r="H1004" t="s">
        <v>34</v>
      </c>
      <c r="I1004">
        <f>VLOOKUP(Table4[[#This Row],[Visitor]],'NHL Model'!$A$6:$B$38,2,FALSE)</f>
        <v>-0.53650300840565446</v>
      </c>
      <c r="J1004">
        <f>($B$1+Table4[[#This Row],[Home Differential]])-Table4[[#This Row],[Away Differential]]</f>
        <v>2.2465766772169498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0.93964891092519354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0.19809534061227302</v>
      </c>
      <c r="H1005" t="s">
        <v>10</v>
      </c>
      <c r="I1005">
        <f>VLOOKUP(Table4[[#This Row],[Visitor]],'NHL Model'!$A$6:$B$38,2,FALSE)</f>
        <v>0.30570968833820172</v>
      </c>
      <c r="J1005">
        <f>($B$1+Table4[[#This Row],[Home Differential]])-Table4[[#This Row],[Away Differential]]</f>
        <v>5.4957961936389688E-2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0.55306944724152218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0.559441163373953</v>
      </c>
      <c r="H1006" t="s">
        <v>26</v>
      </c>
      <c r="I1006">
        <f>VLOOKUP(Table4[[#This Row],[Visitor]],'NHL Model'!$A$6:$B$38,2,FALSE)</f>
        <v>-0.513643833119658</v>
      </c>
      <c r="J1006">
        <f>($B$1+Table4[[#This Row],[Home Differential]])-Table4[[#This Row],[Away Differential]]</f>
        <v>1.2356573061559293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0.78286151105004165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0.26289091192875702</v>
      </c>
      <c r="H1007" t="s">
        <v>21</v>
      </c>
      <c r="I1007">
        <f>VLOOKUP(Table4[[#This Row],[Visitor]],'NHL Model'!$A$6:$B$38,2,FALSE)</f>
        <v>4.029141914856392E-2</v>
      </c>
      <c r="J1007">
        <f>($B$1+Table4[[#This Row],[Home Differential]])-Table4[[#This Row],[Away Differential]]</f>
        <v>0.38517180244251148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0.62940575675074917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-6.3745791019188943E-4</v>
      </c>
      <c r="H1008" t="s">
        <v>17</v>
      </c>
      <c r="I1008">
        <f>VLOOKUP(Table4[[#This Row],[Visitor]],'NHL Model'!$A$6:$B$38,2,FALSE)</f>
        <v>-0.61980804137564283</v>
      </c>
      <c r="J1008">
        <f>($B$1+Table4[[#This Row],[Home Differential]])-Table4[[#This Row],[Away Differential]]</f>
        <v>0.78174289312776934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0.64831725093308801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0.30570968833820172</v>
      </c>
      <c r="H1009" t="s">
        <v>55</v>
      </c>
      <c r="I1009">
        <f>VLOOKUP(Table4[[#This Row],[Visitor]],'NHL Model'!$A$6:$B$38,2,FALSE)</f>
        <v>-0.12212311954851815</v>
      </c>
      <c r="J1009">
        <f>($B$1+Table4[[#This Row],[Home Differential]])-Table4[[#This Row],[Away Differential]]</f>
        <v>0.59040511754903824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0.62180574435908076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-0.51358590497437617</v>
      </c>
      <c r="H1010" t="s">
        <v>15</v>
      </c>
      <c r="I1010">
        <f>VLOOKUP(Table4[[#This Row],[Visitor]],'NHL Model'!$A$6:$B$38,2,FALSE)</f>
        <v>-0.30719665303039001</v>
      </c>
      <c r="J1010">
        <f>($B$1+Table4[[#This Row],[Home Differential]])-Table4[[#This Row],[Away Differential]]</f>
        <v>-4.381694228166777E-2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0.60607121698702582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-0.6902088310934803</v>
      </c>
      <c r="H1011" t="s">
        <v>36</v>
      </c>
      <c r="I1011">
        <f>VLOOKUP(Table4[[#This Row],[Visitor]],'NHL Model'!$A$6:$B$38,2,FALSE)</f>
        <v>-0.40651947573390851</v>
      </c>
      <c r="J1011">
        <f>($B$1+Table4[[#This Row],[Home Differential]])-Table4[[#This Row],[Away Differential]]</f>
        <v>-0.1211170456972534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0.47678181605025416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-6.1308839486784707E-2</v>
      </c>
      <c r="H1012" t="s">
        <v>16</v>
      </c>
      <c r="I1012">
        <f>VLOOKUP(Table4[[#This Row],[Visitor]],'NHL Model'!$A$6:$B$38,2,FALSE)</f>
        <v>-1.3903684122795328</v>
      </c>
      <c r="J1012">
        <f>($B$1+Table4[[#This Row],[Home Differential]])-Table4[[#This Row],[Away Differential]]</f>
        <v>1.4916318824550665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0.74667852094598164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4.029141914856392E-2</v>
      </c>
      <c r="H1013" t="s">
        <v>13</v>
      </c>
      <c r="I1013">
        <f>VLOOKUP(Table4[[#This Row],[Visitor]],'NHL Model'!$A$6:$B$38,2,FALSE)</f>
        <v>-7.5459708298993802E-2</v>
      </c>
      <c r="J1013">
        <f>($B$1+Table4[[#This Row],[Home Differential]])-Table4[[#This Row],[Away Differential]]</f>
        <v>0.27832343710987612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0.53087181593837907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-0.8683412362501769</v>
      </c>
      <c r="H1014" t="s">
        <v>33</v>
      </c>
      <c r="I1014">
        <f>VLOOKUP(Table4[[#This Row],[Visitor]],'NHL Model'!$A$6:$B$38,2,FALSE)</f>
        <v>-0.39418177254008485</v>
      </c>
      <c r="J1014">
        <f>($B$1+Table4[[#This Row],[Home Differential]])-Table4[[#This Row],[Away Differential]]</f>
        <v>-0.31158715404777365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0.50317309981224645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0.67193921242367816</v>
      </c>
      <c r="H1015" t="s">
        <v>14</v>
      </c>
      <c r="I1015">
        <f>VLOOKUP(Table4[[#This Row],[Visitor]],'NHL Model'!$A$6:$B$38,2,FALSE)</f>
        <v>0.26289091192875702</v>
      </c>
      <c r="J1015">
        <f>($B$1+Table4[[#This Row],[Home Differential]])-Table4[[#This Row],[Away Differential]]</f>
        <v>0.57162061015723953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0.67091896444065846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1.5475013591489768</v>
      </c>
      <c r="H1016" t="s">
        <v>17</v>
      </c>
      <c r="I1016">
        <f>VLOOKUP(Table4[[#This Row],[Visitor]],'NHL Model'!$A$6:$B$38,2,FALSE)</f>
        <v>-0.61980804137564283</v>
      </c>
      <c r="J1016">
        <f>($B$1+Table4[[#This Row],[Home Differential]])-Table4[[#This Row],[Away Differential]]</f>
        <v>2.329881710186938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0.95119154500543024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0.19809534061227302</v>
      </c>
      <c r="H1017" t="s">
        <v>20</v>
      </c>
      <c r="I1017">
        <f>VLOOKUP(Table4[[#This Row],[Visitor]],'NHL Model'!$A$6:$B$38,2,FALSE)</f>
        <v>-6.3745791019188943E-4</v>
      </c>
      <c r="J1017">
        <f>($B$1+Table4[[#This Row],[Home Differential]])-Table4[[#This Row],[Away Differential]]</f>
        <v>0.36130510818478329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0.59551649857326894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-0.28105923893144158</v>
      </c>
      <c r="H1018" t="s">
        <v>26</v>
      </c>
      <c r="I1018">
        <f>VLOOKUP(Table4[[#This Row],[Visitor]],'NHL Model'!$A$6:$B$38,2,FALSE)</f>
        <v>-0.513643833119658</v>
      </c>
      <c r="J1018">
        <f>($B$1+Table4[[#This Row],[Home Differential]])-Table4[[#This Row],[Away Differential]]</f>
        <v>0.39515690385053481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0.60020695815773939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-0.53650300840565446</v>
      </c>
      <c r="H1019" t="s">
        <v>55</v>
      </c>
      <c r="I1019">
        <f>VLOOKUP(Table4[[#This Row],[Visitor]],'NHL Model'!$A$6:$B$38,2,FALSE)</f>
        <v>-0.12212311954851815</v>
      </c>
      <c r="J1019">
        <f>($B$1+Table4[[#This Row],[Home Differential]])-Table4[[#This Row],[Away Differential]]</f>
        <v>-0.25180757919481789</v>
      </c>
      <c r="K1019" t="str">
        <f>IF(Table4[[#This Row],[HomeIce Differential]]&gt;0,Table4[[#This Row],[Home]],Table4[[#This Row],[Visitor]])</f>
        <v>Utah Mammoth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0.49489012178079456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-0.52437726201848234</v>
      </c>
      <c r="H1020" t="s">
        <v>19</v>
      </c>
      <c r="I1020">
        <f>VLOOKUP(Table4[[#This Row],[Visitor]],'NHL Model'!$A$6:$B$38,2,FALSE)</f>
        <v>-0.635565543477981</v>
      </c>
      <c r="J1020">
        <f>($B$1+Table4[[#This Row],[Home Differential]])-Table4[[#This Row],[Away Differential]]</f>
        <v>0.27376059112181705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0.57793190178613607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-0.30719665303039001</v>
      </c>
      <c r="H1021" t="s">
        <v>16</v>
      </c>
      <c r="I1021">
        <f>VLOOKUP(Table4[[#This Row],[Visitor]],'NHL Model'!$A$6:$B$38,2,FALSE)</f>
        <v>-1.3903684122795328</v>
      </c>
      <c r="J1021">
        <f>($B$1+Table4[[#This Row],[Home Differential]])-Table4[[#This Row],[Away Differential]]</f>
        <v>1.2457440689114612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0.71260863398554075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-0.361361309178443</v>
      </c>
      <c r="H1022" t="s">
        <v>29</v>
      </c>
      <c r="I1022">
        <f>VLOOKUP(Table4[[#This Row],[Visitor]],'NHL Model'!$A$6:$B$38,2,FALSE)</f>
        <v>-1.3516250707060606</v>
      </c>
      <c r="J1022">
        <f>($B$1+Table4[[#This Row],[Home Differential]])-Table4[[#This Row],[Away Differential]]</f>
        <v>1.1528360711899359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0.72577316178709106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-1.6211574240381006</v>
      </c>
      <c r="H1023" t="s">
        <v>30</v>
      </c>
      <c r="I1023">
        <f>VLOOKUP(Table4[[#This Row],[Visitor]],'NHL Model'!$A$6:$B$38,2,FALSE)</f>
        <v>-6.4729560818359025E-2</v>
      </c>
      <c r="J1023">
        <f>($B$1+Table4[[#This Row],[Home Differential]])-Table4[[#This Row],[Away Differential]]</f>
        <v>-1.3938555535574231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0.69564332624843839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-0.11309445867623392</v>
      </c>
      <c r="H1024" t="s">
        <v>28</v>
      </c>
      <c r="I1024">
        <f>VLOOKUP(Table4[[#This Row],[Visitor]],'NHL Model'!$A$6:$B$38,2,FALSE)</f>
        <v>-0.40822279081308277</v>
      </c>
      <c r="J1024">
        <f>($B$1+Table4[[#This Row],[Home Differential]])-Table4[[#This Row],[Away Differential]]</f>
        <v>0.45770064179916725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0.58264915871127698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0.105105258369765</v>
      </c>
      <c r="H1025" t="s">
        <v>31</v>
      </c>
      <c r="I1025">
        <f>VLOOKUP(Table4[[#This Row],[Visitor]],'NHL Model'!$A$6:$B$38,2,FALSE)</f>
        <v>0.51775546328552802</v>
      </c>
      <c r="J1025">
        <f>($B$1+Table4[[#This Row],[Home Differential]])-Table4[[#This Row],[Away Differential]]</f>
        <v>-0.25007789525344459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0.47909490352902556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-0.40651947573390851</v>
      </c>
      <c r="H1026" t="s">
        <v>18</v>
      </c>
      <c r="I1026">
        <f>VLOOKUP(Table4[[#This Row],[Visitor]],'NHL Model'!$A$6:$B$38,2,FALSE)</f>
        <v>-0.52437726201848234</v>
      </c>
      <c r="J1026">
        <f>($B$1+Table4[[#This Row],[Home Differential]])-Table4[[#This Row],[Away Differential]]</f>
        <v>0.28043009594689222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0.50487543694056369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-0.51358590497437617</v>
      </c>
      <c r="H1027" t="s">
        <v>22</v>
      </c>
      <c r="I1027">
        <f>VLOOKUP(Table4[[#This Row],[Visitor]],'NHL Model'!$A$6:$B$38,2,FALSE)</f>
        <v>-6.1308839486784707E-2</v>
      </c>
      <c r="J1027">
        <f>($B$1+Table4[[#This Row],[Home Differential]])-Table4[[#This Row],[Away Differential]]</f>
        <v>-0.28970475582527305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0.49764562474312668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4.029141914856392E-2</v>
      </c>
      <c r="H1028" t="s">
        <v>33</v>
      </c>
      <c r="I1028">
        <f>VLOOKUP(Table4[[#This Row],[Visitor]],'NHL Model'!$A$6:$B$38,2,FALSE)</f>
        <v>-0.39418177254008485</v>
      </c>
      <c r="J1028">
        <f>($B$1+Table4[[#This Row],[Home Differential]])-Table4[[#This Row],[Away Differential]]</f>
        <v>0.59704550135096723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0.69528325432652183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-0.8683412362501769</v>
      </c>
      <c r="H1029" t="s">
        <v>22</v>
      </c>
      <c r="I1029">
        <f>VLOOKUP(Table4[[#This Row],[Visitor]],'NHL Model'!$A$6:$B$38,2,FALSE)</f>
        <v>-6.1308839486784707E-2</v>
      </c>
      <c r="J1029">
        <f>($B$1+Table4[[#This Row],[Home Differential]])-Table4[[#This Row],[Away Differential]]</f>
        <v>-0.64446008710107383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0.54929552872759868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0.67193921242367816</v>
      </c>
      <c r="H1030" t="s">
        <v>35</v>
      </c>
      <c r="I1030">
        <f>VLOOKUP(Table4[[#This Row],[Visitor]],'NHL Model'!$A$6:$B$38,2,FALSE)</f>
        <v>-1.6211574240381006</v>
      </c>
      <c r="J1030">
        <f>($B$1+Table4[[#This Row],[Home Differential]])-Table4[[#This Row],[Away Differential]]</f>
        <v>2.455668946124097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0.93197018495189465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0.19809534061227302</v>
      </c>
      <c r="H1031" t="s">
        <v>17</v>
      </c>
      <c r="I1031">
        <f>VLOOKUP(Table4[[#This Row],[Visitor]],'NHL Model'!$A$6:$B$38,2,FALSE)</f>
        <v>-0.61980804137564283</v>
      </c>
      <c r="J1031">
        <f>($B$1+Table4[[#This Row],[Home Differential]])-Table4[[#This Row],[Away Differential]]</f>
        <v>0.98047569165023418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0.70189113785614532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-0.28105923893144158</v>
      </c>
      <c r="H1032" t="s">
        <v>28</v>
      </c>
      <c r="I1032">
        <f>VLOOKUP(Table4[[#This Row],[Visitor]],'NHL Model'!$A$6:$B$38,2,FALSE)</f>
        <v>-0.40822279081308277</v>
      </c>
      <c r="J1032">
        <f>($B$1+Table4[[#This Row],[Home Differential]])-Table4[[#This Row],[Away Differential]]</f>
        <v>0.28973586154395958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0.61157398534286489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-0.53650300840565446</v>
      </c>
      <c r="H1033" t="s">
        <v>27</v>
      </c>
      <c r="I1033">
        <f>VLOOKUP(Table4[[#This Row],[Visitor]],'NHL Model'!$A$6:$B$38,2,FALSE)</f>
        <v>-0.51358590497437617</v>
      </c>
      <c r="J1033">
        <f>($B$1+Table4[[#This Row],[Home Differential]])-Table4[[#This Row],[Away Differential]]</f>
        <v>0.13965520623104011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0.55935043880848867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0.559441163373953</v>
      </c>
      <c r="H1034" t="s">
        <v>16</v>
      </c>
      <c r="I1034">
        <f>VLOOKUP(Table4[[#This Row],[Visitor]],'NHL Model'!$A$6:$B$38,2,FALSE)</f>
        <v>-1.3903684122795328</v>
      </c>
      <c r="J1034">
        <f>($B$1+Table4[[#This Row],[Home Differential]])-Table4[[#This Row],[Away Differential]]</f>
        <v>2.1123818853158043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0.94811952368628138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-0.361361309178443</v>
      </c>
      <c r="H1035" t="s">
        <v>12</v>
      </c>
      <c r="I1035">
        <f>VLOOKUP(Table4[[#This Row],[Visitor]],'NHL Model'!$A$6:$B$38,2,FALSE)</f>
        <v>1.5475013591489768</v>
      </c>
      <c r="J1035">
        <f>($B$1+Table4[[#This Row],[Home Differential]])-Table4[[#This Row],[Away Differential]]</f>
        <v>-1.7462903586651013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0.7419636592086607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-0.11309445867623392</v>
      </c>
      <c r="H1036" t="s">
        <v>26</v>
      </c>
      <c r="I1036">
        <f>VLOOKUP(Table4[[#This Row],[Visitor]],'NHL Model'!$A$6:$B$38,2,FALSE)</f>
        <v>-0.513643833119658</v>
      </c>
      <c r="J1036">
        <f>($B$1+Table4[[#This Row],[Home Differential]])-Table4[[#This Row],[Away Differential]]</f>
        <v>0.56312168410574248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0.57092599678867817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-0.635565543477981</v>
      </c>
      <c r="H1037" t="s">
        <v>31</v>
      </c>
      <c r="I1037">
        <f>VLOOKUP(Table4[[#This Row],[Visitor]],'NHL Model'!$A$6:$B$38,2,FALSE)</f>
        <v>0.51775546328552802</v>
      </c>
      <c r="J1037">
        <f>($B$1+Table4[[#This Row],[Home Differential]])-Table4[[#This Row],[Away Differential]]</f>
        <v>-0.99074869710119062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0.61804604668778607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-0.12212311954851815</v>
      </c>
      <c r="H1038" t="s">
        <v>10</v>
      </c>
      <c r="I1038">
        <f>VLOOKUP(Table4[[#This Row],[Visitor]],'NHL Model'!$A$6:$B$38,2,FALSE)</f>
        <v>0.30570968833820172</v>
      </c>
      <c r="J1038">
        <f>($B$1+Table4[[#This Row],[Home Differential]])-Table4[[#This Row],[Away Differential]]</f>
        <v>-0.26526049822440145</v>
      </c>
      <c r="K1038" t="str">
        <f>IF(Table4[[#This Row],[HomeIce Differential]]&gt;0,Table4[[#This Row],[Home]],Table4[[#This Row],[Visitor]])</f>
        <v>Chicago Blackhawks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0.44851884615198806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-0.6902088310934803</v>
      </c>
      <c r="H1039" t="s">
        <v>29</v>
      </c>
      <c r="I1039">
        <f>VLOOKUP(Table4[[#This Row],[Visitor]],'NHL Model'!$A$6:$B$38,2,FALSE)</f>
        <v>-1.3516250707060606</v>
      </c>
      <c r="J1039">
        <f>($B$1+Table4[[#This Row],[Home Differential]])-Table4[[#This Row],[Away Differential]]</f>
        <v>0.82398854927489873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0.6541707526124102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-6.3745791019188943E-4</v>
      </c>
      <c r="H1040" t="s">
        <v>14</v>
      </c>
      <c r="I1040">
        <f>VLOOKUP(Table4[[#This Row],[Visitor]],'NHL Model'!$A$6:$B$38,2,FALSE)</f>
        <v>0.26289091192875702</v>
      </c>
      <c r="J1040">
        <f>($B$1+Table4[[#This Row],[Home Differential]])-Table4[[#This Row],[Away Differential]]</f>
        <v>-0.10095606017663053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0.47398833682979291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0.105105258369765</v>
      </c>
      <c r="H1041" t="s">
        <v>15</v>
      </c>
      <c r="I1041">
        <f>VLOOKUP(Table4[[#This Row],[Visitor]],'NHL Model'!$A$6:$B$38,2,FALSE)</f>
        <v>-0.30719665303039001</v>
      </c>
      <c r="J1041">
        <f>($B$1+Table4[[#This Row],[Home Differential]])-Table4[[#This Row],[Away Differential]]</f>
        <v>0.57487422106247343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0.51272467023152535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-6.4729560818359025E-2</v>
      </c>
      <c r="H1042" t="s">
        <v>13</v>
      </c>
      <c r="I1042">
        <f>VLOOKUP(Table4[[#This Row],[Visitor]],'NHL Model'!$A$6:$B$38,2,FALSE)</f>
        <v>-7.5459708298993802E-2</v>
      </c>
      <c r="J1042">
        <f>($B$1+Table4[[#This Row],[Home Differential]])-Table4[[#This Row],[Away Differential]]</f>
        <v>0.17330245714295317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0.44261720810791144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-1.6211574240381006</v>
      </c>
      <c r="H1043" t="s">
        <v>17</v>
      </c>
      <c r="I1043">
        <f>VLOOKUP(Table4[[#This Row],[Visitor]],'NHL Model'!$A$6:$B$38,2,FALSE)</f>
        <v>-0.61980804137564283</v>
      </c>
      <c r="J1043">
        <f>($B$1+Table4[[#This Row],[Home Differential]])-Table4[[#This Row],[Away Differential]]</f>
        <v>-0.83877707300013937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0.57621983070363247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-0.8683412362501769</v>
      </c>
      <c r="H1044" t="s">
        <v>19</v>
      </c>
      <c r="I1044">
        <f>VLOOKUP(Table4[[#This Row],[Visitor]],'NHL Model'!$A$6:$B$38,2,FALSE)</f>
        <v>-0.635565543477981</v>
      </c>
      <c r="J1044">
        <f>($B$1+Table4[[#This Row],[Home Differential]])-Table4[[#This Row],[Away Differential]]</f>
        <v>-7.0203383109877504E-2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0.46972728697825394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0.19809534061227302</v>
      </c>
      <c r="H1045" t="s">
        <v>26</v>
      </c>
      <c r="I1045">
        <f>VLOOKUP(Table4[[#This Row],[Visitor]],'NHL Model'!$A$6:$B$38,2,FALSE)</f>
        <v>-0.513643833119658</v>
      </c>
      <c r="J1045">
        <f>($B$1+Table4[[#This Row],[Home Differential]])-Table4[[#This Row],[Away Differential]]</f>
        <v>0.87431148339424936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0.64037420036781056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-0.53650300840565446</v>
      </c>
      <c r="H1046" t="s">
        <v>15</v>
      </c>
      <c r="I1046">
        <f>VLOOKUP(Table4[[#This Row],[Visitor]],'NHL Model'!$A$6:$B$38,2,FALSE)</f>
        <v>-0.30719665303039001</v>
      </c>
      <c r="J1046">
        <f>($B$1+Table4[[#This Row],[Home Differential]])-Table4[[#This Row],[Away Differential]]</f>
        <v>-6.6734045712946055E-2</v>
      </c>
      <c r="K1046" t="str">
        <f>IF(Table4[[#This Row],[HomeIce Differential]]&gt;0,Table4[[#This Row],[Home]],Table4[[#This Row],[Visitor]])</f>
        <v>New York Rangers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0.61165621877747689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-0.52437726201848234</v>
      </c>
      <c r="H1047" t="s">
        <v>33</v>
      </c>
      <c r="I1047">
        <f>VLOOKUP(Table4[[#This Row],[Visitor]],'NHL Model'!$A$6:$B$38,2,FALSE)</f>
        <v>-0.39418177254008485</v>
      </c>
      <c r="J1047">
        <f>($B$1+Table4[[#This Row],[Home Differential]])-Table4[[#This Row],[Away Differential]]</f>
        <v>3.2376820183920907E-2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0.54448608895214357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0.559441163373953</v>
      </c>
      <c r="H1048" t="s">
        <v>13</v>
      </c>
      <c r="I1048">
        <f>VLOOKUP(Table4[[#This Row],[Visitor]],'NHL Model'!$A$6:$B$38,2,FALSE)</f>
        <v>-7.5459708298993802E-2</v>
      </c>
      <c r="J1048">
        <f>($B$1+Table4[[#This Row],[Home Differential]])-Table4[[#This Row],[Away Differential]]</f>
        <v>0.79747318133526524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0.64895835711439676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-6.4729560818359025E-2</v>
      </c>
      <c r="H1049" t="s">
        <v>16</v>
      </c>
      <c r="I1049">
        <f>VLOOKUP(Table4[[#This Row],[Visitor]],'NHL Model'!$A$6:$B$38,2,FALSE)</f>
        <v>-1.3903684122795328</v>
      </c>
      <c r="J1049">
        <f>($B$1+Table4[[#This Row],[Home Differential]])-Table4[[#This Row],[Away Differential]]</f>
        <v>1.4882111611234921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0.74620455036805688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-0.40651947573390851</v>
      </c>
      <c r="H1050" t="s">
        <v>31</v>
      </c>
      <c r="I1050">
        <f>VLOOKUP(Table4[[#This Row],[Visitor]],'NHL Model'!$A$6:$B$38,2,FALSE)</f>
        <v>0.51775546328552802</v>
      </c>
      <c r="J1050">
        <f>($B$1+Table4[[#This Row],[Home Differential]])-Table4[[#This Row],[Away Differential]]</f>
        <v>-0.76170262935711808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0.58380136832224683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-0.51358590497437617</v>
      </c>
      <c r="H1051" t="s">
        <v>28</v>
      </c>
      <c r="I1051">
        <f>VLOOKUP(Table4[[#This Row],[Visitor]],'NHL Model'!$A$6:$B$38,2,FALSE)</f>
        <v>-0.40822279081308277</v>
      </c>
      <c r="J1051">
        <f>($B$1+Table4[[#This Row],[Home Differential]])-Table4[[#This Row],[Away Differential]]</f>
        <v>5.720919550102499E-2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0.52966596013702816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-0.11309445867623392</v>
      </c>
      <c r="H1052" t="s">
        <v>25</v>
      </c>
      <c r="I1052">
        <f>VLOOKUP(Table4[[#This Row],[Visitor]],'NHL Model'!$A$6:$B$38,2,FALSE)</f>
        <v>0.67193921242367816</v>
      </c>
      <c r="J1052">
        <f>($B$1+Table4[[#This Row],[Home Differential]])-Table4[[#This Row],[Away Differential]]</f>
        <v>-0.62246136143759367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0.63873360253330369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-0.12212311954851815</v>
      </c>
      <c r="H1053" t="s">
        <v>14</v>
      </c>
      <c r="I1053">
        <f>VLOOKUP(Table4[[#This Row],[Visitor]],'NHL Model'!$A$6:$B$38,2,FALSE)</f>
        <v>0.26289091192875702</v>
      </c>
      <c r="J1053">
        <f>($B$1+Table4[[#This Row],[Home Differential]])-Table4[[#This Row],[Away Differential]]</f>
        <v>-0.22244172181495678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0.422548721729679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-0.6902088310934803</v>
      </c>
      <c r="H1054" t="s">
        <v>32</v>
      </c>
      <c r="I1054">
        <f>VLOOKUP(Table4[[#This Row],[Visitor]],'NHL Model'!$A$6:$B$38,2,FALSE)</f>
        <v>-0.361361309178443</v>
      </c>
      <c r="J1054">
        <f>($B$1+Table4[[#This Row],[Home Differential]])-Table4[[#This Row],[Away Differential]]</f>
        <v>-0.16627521225271891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0.48303887128090151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-6.3745791019188943E-4</v>
      </c>
      <c r="H1055" t="s">
        <v>10</v>
      </c>
      <c r="I1055">
        <f>VLOOKUP(Table4[[#This Row],[Visitor]],'NHL Model'!$A$6:$B$38,2,FALSE)</f>
        <v>0.30570968833820172</v>
      </c>
      <c r="J1055">
        <f>($B$1+Table4[[#This Row],[Home Differential]])-Table4[[#This Row],[Away Differential]]</f>
        <v>-0.14377483658607523</v>
      </c>
      <c r="K1055" t="str">
        <f>IF(Table4[[#This Row],[HomeIce Differential]]&gt;0,Table4[[#This Row],[Home]],Table4[[#This Row],[Visitor]])</f>
        <v>Chicago Blackhawks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0.50069048005625472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0.105105258369765</v>
      </c>
      <c r="H1056" t="s">
        <v>12</v>
      </c>
      <c r="I1056">
        <f>VLOOKUP(Table4[[#This Row],[Visitor]],'NHL Model'!$A$6:$B$38,2,FALSE)</f>
        <v>1.5475013591489768</v>
      </c>
      <c r="J1056">
        <f>($B$1+Table4[[#This Row],[Home Differential]])-Table4[[#This Row],[Away Differential]]</f>
        <v>-1.2798237911168933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0.66712659313420675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-6.1308839486784707E-2</v>
      </c>
      <c r="H1057" t="s">
        <v>21</v>
      </c>
      <c r="I1057">
        <f>VLOOKUP(Table4[[#This Row],[Visitor]],'NHL Model'!$A$6:$B$38,2,FALSE)</f>
        <v>4.029141914856392E-2</v>
      </c>
      <c r="J1057">
        <f>($B$1+Table4[[#This Row],[Home Differential]])-Table4[[#This Row],[Away Differential]]</f>
        <v>6.0972051026969773E-2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0.54844820593708155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-0.61980804137564283</v>
      </c>
      <c r="H1058" t="s">
        <v>29</v>
      </c>
      <c r="I1058">
        <f>VLOOKUP(Table4[[#This Row],[Visitor]],'NHL Model'!$A$6:$B$38,2,FALSE)</f>
        <v>-1.3516250707060606</v>
      </c>
      <c r="J1058">
        <f>($B$1+Table4[[#This Row],[Home Differential]])-Table4[[#This Row],[Away Differential]]</f>
        <v>0.8943893389927362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0.69996225834599257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-0.53650300840565446</v>
      </c>
      <c r="H1059" t="s">
        <v>19</v>
      </c>
      <c r="I1059">
        <f>VLOOKUP(Table4[[#This Row],[Visitor]],'NHL Model'!$A$6:$B$38,2,FALSE)</f>
        <v>-0.635565543477981</v>
      </c>
      <c r="J1059">
        <f>($B$1+Table4[[#This Row],[Home Differential]])-Table4[[#This Row],[Away Differential]]</f>
        <v>0.26163484473464493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0.5762517745656438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-0.52437726201848234</v>
      </c>
      <c r="H1060" t="s">
        <v>31</v>
      </c>
      <c r="I1060">
        <f>VLOOKUP(Table4[[#This Row],[Visitor]],'NHL Model'!$A$6:$B$38,2,FALSE)</f>
        <v>0.51775546328552802</v>
      </c>
      <c r="J1060">
        <f>($B$1+Table4[[#This Row],[Home Differential]])-Table4[[#This Row],[Away Differential]]</f>
        <v>-0.87956041564169196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0.60263994694637291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-0.40651947573390851</v>
      </c>
      <c r="H1061" t="s">
        <v>33</v>
      </c>
      <c r="I1061">
        <f>VLOOKUP(Table4[[#This Row],[Visitor]],'NHL Model'!$A$6:$B$38,2,FALSE)</f>
        <v>-0.39418177254008485</v>
      </c>
      <c r="J1061">
        <f>($B$1+Table4[[#This Row],[Home Differential]])-Table4[[#This Row],[Away Differential]]</f>
        <v>0.15023460646849474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0.56331178557659622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-0.361361309178443</v>
      </c>
      <c r="H1062" t="s">
        <v>11</v>
      </c>
      <c r="I1062">
        <f>VLOOKUP(Table4[[#This Row],[Visitor]],'NHL Model'!$A$6:$B$38,2,FALSE)</f>
        <v>-0.28105923893144158</v>
      </c>
      <c r="J1062">
        <f>($B$1+Table4[[#This Row],[Home Differential]])-Table4[[#This Row],[Away Differential]]</f>
        <v>8.227023941531697E-2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0.57743699031674978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0.105105258369765</v>
      </c>
      <c r="H1063" t="s">
        <v>35</v>
      </c>
      <c r="I1063">
        <f>VLOOKUP(Table4[[#This Row],[Visitor]],'NHL Model'!$A$6:$B$38,2,FALSE)</f>
        <v>-1.6211574240381006</v>
      </c>
      <c r="J1063">
        <f>($B$1+Table4[[#This Row],[Home Differential]])-Table4[[#This Row],[Away Differential]]</f>
        <v>1.8888349920701839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0.83775131954581505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1.5475013591489768</v>
      </c>
      <c r="H1064" t="s">
        <v>14</v>
      </c>
      <c r="I1064">
        <f>VLOOKUP(Table4[[#This Row],[Visitor]],'NHL Model'!$A$6:$B$38,2,FALSE)</f>
        <v>0.26289091192875702</v>
      </c>
      <c r="J1064">
        <f>($B$1+Table4[[#This Row],[Home Differential]])-Table4[[#This Row],[Away Differential]]</f>
        <v>1.4471827568825382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0.82888595724254932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0.19809534061227302</v>
      </c>
      <c r="H1065" t="s">
        <v>55</v>
      </c>
      <c r="I1065">
        <f>VLOOKUP(Table4[[#This Row],[Visitor]],'NHL Model'!$A$6:$B$38,2,FALSE)</f>
        <v>-0.12212311954851815</v>
      </c>
      <c r="J1065">
        <f>($B$1+Table4[[#This Row],[Home Differential]])-Table4[[#This Row],[Away Differential]]</f>
        <v>0.48279076982310953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0.63293257995039132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-0.513643833119658</v>
      </c>
      <c r="H1066" t="s">
        <v>16</v>
      </c>
      <c r="I1066">
        <f>VLOOKUP(Table4[[#This Row],[Visitor]],'NHL Model'!$A$6:$B$38,2,FALSE)</f>
        <v>-1.3903684122795328</v>
      </c>
      <c r="J1066">
        <f>($B$1+Table4[[#This Row],[Home Differential]])-Table4[[#This Row],[Away Differential]]</f>
        <v>1.0392968888221932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0.7100413243564252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0.559441163373953</v>
      </c>
      <c r="H1067" t="s">
        <v>21</v>
      </c>
      <c r="I1067">
        <f>VLOOKUP(Table4[[#This Row],[Visitor]],'NHL Model'!$A$6:$B$38,2,FALSE)</f>
        <v>4.029141914856392E-2</v>
      </c>
      <c r="J1067">
        <f>($B$1+Table4[[#This Row],[Home Differential]])-Table4[[#This Row],[Away Differential]]</f>
        <v>0.68172205388770746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0.7498892086773814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-0.30719665303039001</v>
      </c>
      <c r="H1068" t="s">
        <v>13</v>
      </c>
      <c r="I1068">
        <f>VLOOKUP(Table4[[#This Row],[Visitor]],'NHL Model'!$A$6:$B$38,2,FALSE)</f>
        <v>-7.5459708298993802E-2</v>
      </c>
      <c r="J1068">
        <f>($B$1+Table4[[#This Row],[Home Differential]])-Table4[[#This Row],[Away Differential]]</f>
        <v>-6.9164635069077815E-2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0.59097870827460475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-0.40822279081308277</v>
      </c>
      <c r="H1069" t="s">
        <v>25</v>
      </c>
      <c r="I1069">
        <f>VLOOKUP(Table4[[#This Row],[Visitor]],'NHL Model'!$A$6:$B$38,2,FALSE)</f>
        <v>0.67193921242367816</v>
      </c>
      <c r="J1069">
        <f>($B$1+Table4[[#This Row],[Home Differential]])-Table4[[#This Row],[Away Differential]]</f>
        <v>-0.91758969357444253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0.67962618996908863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0.30570968833820172</v>
      </c>
      <c r="H1070" t="s">
        <v>34</v>
      </c>
      <c r="I1070">
        <f>VLOOKUP(Table4[[#This Row],[Visitor]],'NHL Model'!$A$6:$B$38,2,FALSE)</f>
        <v>-0.53650300840565446</v>
      </c>
      <c r="J1070">
        <f>($B$1+Table4[[#This Row],[Home Differential]])-Table4[[#This Row],[Away Differential]]</f>
        <v>1.0047850064061745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0.67922166818459817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-0.61980804137564283</v>
      </c>
      <c r="H1071" t="s">
        <v>33</v>
      </c>
      <c r="I1071">
        <f>VLOOKUP(Table4[[#This Row],[Visitor]],'NHL Model'!$A$6:$B$38,2,FALSE)</f>
        <v>-0.39418177254008485</v>
      </c>
      <c r="J1071">
        <f>($B$1+Table4[[#This Row],[Home Differential]])-Table4[[#This Row],[Away Differential]]</f>
        <v>-6.3053959173239582E-2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0.43269980598913838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-0.52437726201848234</v>
      </c>
      <c r="H1072" t="s">
        <v>21</v>
      </c>
      <c r="I1072">
        <f>VLOOKUP(Table4[[#This Row],[Visitor]],'NHL Model'!$A$6:$B$38,2,FALSE)</f>
        <v>4.029141914856392E-2</v>
      </c>
      <c r="J1072">
        <f>($B$1+Table4[[#This Row],[Home Differential]])-Table4[[#This Row],[Away Differential]]</f>
        <v>-0.40209637150472788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0.51571393607084992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-0.361361309178443</v>
      </c>
      <c r="H1073" t="s">
        <v>37</v>
      </c>
      <c r="I1073">
        <f>VLOOKUP(Table4[[#This Row],[Visitor]],'NHL Model'!$A$6:$B$38,2,FALSE)</f>
        <v>-0.11309445867623392</v>
      </c>
      <c r="J1073">
        <f>($B$1+Table4[[#This Row],[Home Differential]])-Table4[[#This Row],[Away Differential]]</f>
        <v>-8.5694540839890684E-2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0.49264295186775203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-0.635565543477981</v>
      </c>
      <c r="H1074" t="s">
        <v>30</v>
      </c>
      <c r="I1074">
        <f>VLOOKUP(Table4[[#This Row],[Visitor]],'NHL Model'!$A$6:$B$38,2,FALSE)</f>
        <v>-6.4729560818359025E-2</v>
      </c>
      <c r="J1074">
        <f>($B$1+Table4[[#This Row],[Home Differential]])-Table4[[#This Row],[Away Differential]]</f>
        <v>-0.40826367299730359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0.55908103194076741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-0.6902088310934803</v>
      </c>
      <c r="H1075" t="s">
        <v>11</v>
      </c>
      <c r="I1075">
        <f>VLOOKUP(Table4[[#This Row],[Visitor]],'NHL Model'!$A$6:$B$38,2,FALSE)</f>
        <v>-0.28105923893144158</v>
      </c>
      <c r="J1075">
        <f>($B$1+Table4[[#This Row],[Home Differential]])-Table4[[#This Row],[Away Differential]]</f>
        <v>-0.24657728249972033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0.49416541885793114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-6.3745791019188943E-4</v>
      </c>
      <c r="H1076" t="s">
        <v>23</v>
      </c>
      <c r="I1076">
        <f>VLOOKUP(Table4[[#This Row],[Visitor]],'NHL Model'!$A$6:$B$38,2,FALSE)</f>
        <v>-0.8683412362501769</v>
      </c>
      <c r="J1076">
        <f>($B$1+Table4[[#This Row],[Home Differential]])-Table4[[#This Row],[Away Differential]]</f>
        <v>1.0302760880023034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0.68275367839674916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0.105105258369765</v>
      </c>
      <c r="H1077" t="s">
        <v>29</v>
      </c>
      <c r="I1077">
        <f>VLOOKUP(Table4[[#This Row],[Visitor]],'NHL Model'!$A$6:$B$38,2,FALSE)</f>
        <v>-1.3516250707060606</v>
      </c>
      <c r="J1077">
        <f>($B$1+Table4[[#This Row],[Home Differential]])-Table4[[#This Row],[Away Differential]]</f>
        <v>1.619302638738144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0.80040527673928241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0.51775546328552802</v>
      </c>
      <c r="H1078" t="s">
        <v>27</v>
      </c>
      <c r="I1078">
        <f>VLOOKUP(Table4[[#This Row],[Visitor]],'NHL Model'!$A$6:$B$38,2,FALSE)</f>
        <v>-0.51358590497437617</v>
      </c>
      <c r="J1078">
        <f>($B$1+Table4[[#This Row],[Home Differential]])-Table4[[#This Row],[Away Differential]]</f>
        <v>1.1939136779222226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0.80975698115806216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0.67193921242367816</v>
      </c>
      <c r="H1079" t="s">
        <v>14</v>
      </c>
      <c r="I1079">
        <f>VLOOKUP(Table4[[#This Row],[Visitor]],'NHL Model'!$A$6:$B$38,2,FALSE)</f>
        <v>0.26289091192875702</v>
      </c>
      <c r="J1079">
        <f>($B$1+Table4[[#This Row],[Home Differential]])-Table4[[#This Row],[Away Differential]]</f>
        <v>0.57162061015723953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0.67091896444065846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-1.3903684122795328</v>
      </c>
      <c r="H1080" t="s">
        <v>35</v>
      </c>
      <c r="I1080">
        <f>VLOOKUP(Table4[[#This Row],[Visitor]],'NHL Model'!$A$6:$B$38,2,FALSE)</f>
        <v>-1.6211574240381006</v>
      </c>
      <c r="J1080">
        <f>($B$1+Table4[[#This Row],[Home Differential]])-Table4[[#This Row],[Away Differential]]</f>
        <v>0.3933613214208862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0.59450361920047967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1.5475013591489768</v>
      </c>
      <c r="H1081" t="s">
        <v>39</v>
      </c>
      <c r="I1081">
        <f>VLOOKUP(Table4[[#This Row],[Visitor]],'NHL Model'!$A$6:$B$38,2,FALSE)</f>
        <v>0.19809534061227302</v>
      </c>
      <c r="J1081">
        <f>($B$1+Table4[[#This Row],[Home Differential]])-Table4[[#This Row],[Away Differential]]</f>
        <v>1.5119783281990222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0.74795923574876788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-0.30719665303039001</v>
      </c>
      <c r="H1082" t="s">
        <v>24</v>
      </c>
      <c r="I1082">
        <f>VLOOKUP(Table4[[#This Row],[Visitor]],'NHL Model'!$A$6:$B$38,2,FALSE)</f>
        <v>0.559441163373953</v>
      </c>
      <c r="J1082">
        <f>($B$1+Table4[[#This Row],[Home Differential]])-Table4[[#This Row],[Away Differential]]</f>
        <v>-0.70406550674202462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0.62387016551921504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-6.1308839486784707E-2</v>
      </c>
      <c r="H1083" t="s">
        <v>36</v>
      </c>
      <c r="I1083">
        <f>VLOOKUP(Table4[[#This Row],[Visitor]],'NHL Model'!$A$6:$B$38,2,FALSE)</f>
        <v>-0.40651947573390851</v>
      </c>
      <c r="J1083">
        <f>($B$1+Table4[[#This Row],[Home Differential]])-Table4[[#This Row],[Away Differential]]</f>
        <v>0.50778294590944217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0.61035772663254151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4.029141914856392E-2</v>
      </c>
      <c r="H1084" t="s">
        <v>40</v>
      </c>
      <c r="I1084">
        <f>VLOOKUP(Table4[[#This Row],[Visitor]],'NHL Model'!$A$6:$B$38,2,FALSE)</f>
        <v>0.105105258369765</v>
      </c>
      <c r="J1084">
        <f>($B$1+Table4[[#This Row],[Home Differential]])-Table4[[#This Row],[Away Differential]]</f>
        <v>9.7758470441117323E-2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0.56149048854718664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-0.40822279081308277</v>
      </c>
      <c r="H1085" t="s">
        <v>15</v>
      </c>
      <c r="I1085">
        <f>VLOOKUP(Table4[[#This Row],[Visitor]],'NHL Model'!$A$6:$B$38,2,FALSE)</f>
        <v>-0.30719665303039001</v>
      </c>
      <c r="J1085">
        <f>($B$1+Table4[[#This Row],[Home Differential]])-Table4[[#This Row],[Away Differential]]</f>
        <v>6.1546171879625633E-2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0.40611811680123444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-0.513643833119658</v>
      </c>
      <c r="H1086" t="s">
        <v>18</v>
      </c>
      <c r="I1086">
        <f>VLOOKUP(Table4[[#This Row],[Visitor]],'NHL Model'!$A$6:$B$38,2,FALSE)</f>
        <v>-0.52437726201848234</v>
      </c>
      <c r="J1086">
        <f>($B$1+Table4[[#This Row],[Home Differential]])-Table4[[#This Row],[Away Differential]]</f>
        <v>0.17330573856114273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0.51380892998138827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-0.61980804137564283</v>
      </c>
      <c r="H1087" t="s">
        <v>11</v>
      </c>
      <c r="I1087">
        <f>VLOOKUP(Table4[[#This Row],[Visitor]],'NHL Model'!$A$6:$B$38,2,FALSE)</f>
        <v>-0.28105923893144158</v>
      </c>
      <c r="J1087">
        <f>($B$1+Table4[[#This Row],[Home Differential]])-Table4[[#This Row],[Away Differential]]</f>
        <v>-0.17617649278188285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0.44837391312434893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-7.5459708298993802E-2</v>
      </c>
      <c r="H1088" t="s">
        <v>27</v>
      </c>
      <c r="I1088">
        <f>VLOOKUP(Table4[[#This Row],[Visitor]],'NHL Model'!$A$6:$B$38,2,FALSE)</f>
        <v>-0.51358590497437617</v>
      </c>
      <c r="J1088">
        <f>($B$1+Table4[[#This Row],[Home Differential]])-Table4[[#This Row],[Away Differential]]</f>
        <v>0.60069850633770072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0.62323198255858969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-0.53650300840565446</v>
      </c>
      <c r="H1089" t="s">
        <v>10</v>
      </c>
      <c r="I1089">
        <f>VLOOKUP(Table4[[#This Row],[Visitor]],'NHL Model'!$A$6:$B$38,2,FALSE)</f>
        <v>0.30570968833820172</v>
      </c>
      <c r="J1089">
        <f>($B$1+Table4[[#This Row],[Home Differential]])-Table4[[#This Row],[Away Differential]]</f>
        <v>-0.67964038708153773</v>
      </c>
      <c r="K1089" t="str">
        <f>IF(Table4[[#This Row],[HomeIce Differential]]&gt;0,Table4[[#This Row],[Home]],Table4[[#This Row],[Visitor]])</f>
        <v>Chicago Blackhawks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0.57493929486438322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-1.3516250707060606</v>
      </c>
      <c r="H1090" t="s">
        <v>32</v>
      </c>
      <c r="I1090">
        <f>VLOOKUP(Table4[[#This Row],[Visitor]],'NHL Model'!$A$6:$B$38,2,FALSE)</f>
        <v>-0.361361309178443</v>
      </c>
      <c r="J1090">
        <f>($B$1+Table4[[#This Row],[Home Differential]])-Table4[[#This Row],[Away Differential]]</f>
        <v>-0.82769145186529924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0.5746838218485889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-0.40651947573390851</v>
      </c>
      <c r="H1091" t="s">
        <v>30</v>
      </c>
      <c r="I1091">
        <f>VLOOKUP(Table4[[#This Row],[Visitor]],'NHL Model'!$A$6:$B$38,2,FALSE)</f>
        <v>-6.4729560818359025E-2</v>
      </c>
      <c r="J1091">
        <f>($B$1+Table4[[#This Row],[Home Differential]])-Table4[[#This Row],[Away Differential]]</f>
        <v>-0.1792176052532311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0.52483215196517119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-0.39418177254008485</v>
      </c>
      <c r="H1092" t="s">
        <v>23</v>
      </c>
      <c r="I1092">
        <f>VLOOKUP(Table4[[#This Row],[Visitor]],'NHL Model'!$A$6:$B$38,2,FALSE)</f>
        <v>-0.8683412362501769</v>
      </c>
      <c r="J1092">
        <f>($B$1+Table4[[#This Row],[Home Differential]])-Table4[[#This Row],[Away Differential]]</f>
        <v>0.63673177337241049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0.62822470390169205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-0.6902088310934803</v>
      </c>
      <c r="H1093" t="s">
        <v>37</v>
      </c>
      <c r="I1093">
        <f>VLOOKUP(Table4[[#This Row],[Visitor]],'NHL Model'!$A$6:$B$38,2,FALSE)</f>
        <v>-0.11309445867623392</v>
      </c>
      <c r="J1093">
        <f>($B$1+Table4[[#This Row],[Home Differential]])-Table4[[#This Row],[Away Differential]]</f>
        <v>-0.414542062754928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0.5645377859048758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-6.3745791019188943E-4</v>
      </c>
      <c r="H1094" t="s">
        <v>55</v>
      </c>
      <c r="I1094">
        <f>VLOOKUP(Table4[[#This Row],[Visitor]],'NHL Model'!$A$6:$B$38,2,FALSE)</f>
        <v>-0.12212311954851815</v>
      </c>
      <c r="J1094">
        <f>($B$1+Table4[[#This Row],[Home Differential]])-Table4[[#This Row],[Away Differential]]</f>
        <v>0.28405797130064464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0.579358693027334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-1.3903684122795328</v>
      </c>
      <c r="H1095" t="s">
        <v>11</v>
      </c>
      <c r="I1095">
        <f>VLOOKUP(Table4[[#This Row],[Visitor]],'NHL Model'!$A$6:$B$38,2,FALSE)</f>
        <v>-0.28105923893144158</v>
      </c>
      <c r="J1095">
        <f>($B$1+Table4[[#This Row],[Home Differential]])-Table4[[#This Row],[Away Differential]]</f>
        <v>-0.94673686368577281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0.59117859507639425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0.30570968833820172</v>
      </c>
      <c r="H1096" t="s">
        <v>12</v>
      </c>
      <c r="I1096">
        <f>VLOOKUP(Table4[[#This Row],[Visitor]],'NHL Model'!$A$6:$B$38,2,FALSE)</f>
        <v>1.5475013591489768</v>
      </c>
      <c r="J1096">
        <f>($B$1+Table4[[#This Row],[Home Differential]])-Table4[[#This Row],[Away Differential]]</f>
        <v>-1.0792193611484566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0.67585098241372199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-0.635565543477981</v>
      </c>
      <c r="H1097" t="s">
        <v>25</v>
      </c>
      <c r="I1097">
        <f>VLOOKUP(Table4[[#This Row],[Visitor]],'NHL Model'!$A$6:$B$38,2,FALSE)</f>
        <v>0.67193921242367816</v>
      </c>
      <c r="J1097">
        <f>($B$1+Table4[[#This Row],[Home Differential]])-Table4[[#This Row],[Away Differential]]</f>
        <v>-1.1449324462393409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0.71112649806872108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-0.12212311954851815</v>
      </c>
      <c r="H1098" t="s">
        <v>31</v>
      </c>
      <c r="I1098">
        <f>VLOOKUP(Table4[[#This Row],[Visitor]],'NHL Model'!$A$6:$B$38,2,FALSE)</f>
        <v>0.51775546328552802</v>
      </c>
      <c r="J1098">
        <f>($B$1+Table4[[#This Row],[Home Differential]])-Table4[[#This Row],[Away Differential]]</f>
        <v>-0.4773062731717278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0.47789962545446996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-6.1308839486784707E-2</v>
      </c>
      <c r="H1099" t="s">
        <v>24</v>
      </c>
      <c r="I1099">
        <f>VLOOKUP(Table4[[#This Row],[Visitor]],'NHL Model'!$A$6:$B$38,2,FALSE)</f>
        <v>0.559441163373953</v>
      </c>
      <c r="J1099">
        <f>($B$1+Table4[[#This Row],[Home Differential]])-Table4[[#This Row],[Away Differential]]</f>
        <v>-0.45817769319841928</v>
      </c>
      <c r="K1099" t="str">
        <f>IF(Table4[[#This Row],[HomeIce Differential]]&gt;0,Table4[[#This Row],[Home]],Table4[[#This Row],[Visitor]])</f>
        <v>New Jersey Devils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0.58980027855877426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-0.40822279081308277</v>
      </c>
      <c r="H1100" t="s">
        <v>32</v>
      </c>
      <c r="I1100">
        <f>VLOOKUP(Table4[[#This Row],[Visitor]],'NHL Model'!$A$6:$B$38,2,FALSE)</f>
        <v>-0.361361309178443</v>
      </c>
      <c r="J1100">
        <f>($B$1+Table4[[#This Row],[Home Differential]])-Table4[[#This Row],[Away Differential]]</f>
        <v>0.11571082802767862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0.55603273775218187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-0.513643833119658</v>
      </c>
      <c r="H1101" t="s">
        <v>21</v>
      </c>
      <c r="I1101">
        <f>VLOOKUP(Table4[[#This Row],[Visitor]],'NHL Model'!$A$6:$B$38,2,FALSE)</f>
        <v>4.029141914856392E-2</v>
      </c>
      <c r="J1101">
        <f>($B$1+Table4[[#This Row],[Home Differential]])-Table4[[#This Row],[Away Differential]]</f>
        <v>-0.39136294260590354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0.48818899065247473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-0.61980804137564283</v>
      </c>
      <c r="H1102" t="s">
        <v>37</v>
      </c>
      <c r="I1102">
        <f>VLOOKUP(Table4[[#This Row],[Visitor]],'NHL Model'!$A$6:$B$38,2,FALSE)</f>
        <v>-0.11309445867623392</v>
      </c>
      <c r="J1102">
        <f>($B$1+Table4[[#This Row],[Home Differential]])-Table4[[#This Row],[Away Differential]]</f>
        <v>-0.34414127303709052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0.51827199034412785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-7.5459708298993802E-2</v>
      </c>
      <c r="H1103" t="s">
        <v>23</v>
      </c>
      <c r="I1103">
        <f>VLOOKUP(Table4[[#This Row],[Visitor]],'NHL Model'!$A$6:$B$38,2,FALSE)</f>
        <v>-0.8683412362501769</v>
      </c>
      <c r="J1103">
        <f>($B$1+Table4[[#This Row],[Home Differential]])-Table4[[#This Row],[Away Differential]]</f>
        <v>0.95545383761350144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0.67238640733872157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-0.53650300840565446</v>
      </c>
      <c r="H1104" t="s">
        <v>39</v>
      </c>
      <c r="I1104">
        <f>VLOOKUP(Table4[[#This Row],[Visitor]],'NHL Model'!$A$6:$B$38,2,FALSE)</f>
        <v>0.19809534061227302</v>
      </c>
      <c r="J1104">
        <f>($B$1+Table4[[#This Row],[Home Differential]])-Table4[[#This Row],[Away Differential]]</f>
        <v>-0.57202603935560914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0.6317453516827104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-0.52437726201848234</v>
      </c>
      <c r="H1105" t="s">
        <v>30</v>
      </c>
      <c r="I1105">
        <f>VLOOKUP(Table4[[#This Row],[Visitor]],'NHL Model'!$A$6:$B$38,2,FALSE)</f>
        <v>-6.4729560818359025E-2</v>
      </c>
      <c r="J1105">
        <f>($B$1+Table4[[#This Row],[Home Differential]])-Table4[[#This Row],[Away Differential]]</f>
        <v>-0.29707539153780493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0.54367493219935425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-1.3516250707060606</v>
      </c>
      <c r="H1106" t="s">
        <v>20</v>
      </c>
      <c r="I1106">
        <f>VLOOKUP(Table4[[#This Row],[Visitor]],'NHL Model'!$A$6:$B$38,2,FALSE)</f>
        <v>-6.3745791019188943E-4</v>
      </c>
      <c r="J1106">
        <f>($B$1+Table4[[#This Row],[Home Differential]])-Table4[[#This Row],[Away Differential]]</f>
        <v>-1.1884153031335503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0.6454344675546958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-0.40651947573390851</v>
      </c>
      <c r="H1107" t="s">
        <v>19</v>
      </c>
      <c r="I1107">
        <f>VLOOKUP(Table4[[#This Row],[Visitor]],'NHL Model'!$A$6:$B$38,2,FALSE)</f>
        <v>-0.635565543477981</v>
      </c>
      <c r="J1107">
        <f>($B$1+Table4[[#This Row],[Home Differential]])-Table4[[#This Row],[Away Differential]]</f>
        <v>0.39161837740639088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0.59675759841058873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0.26289091192875702</v>
      </c>
      <c r="H1108" t="s">
        <v>40</v>
      </c>
      <c r="I1108">
        <f>VLOOKUP(Table4[[#This Row],[Visitor]],'NHL Model'!$A$6:$B$38,2,FALSE)</f>
        <v>0.105105258369765</v>
      </c>
      <c r="J1108">
        <f>($B$1+Table4[[#This Row],[Home Differential]])-Table4[[#This Row],[Away Differential]]</f>
        <v>0.32035796322131038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0.55459245304696692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-0.39418177254008485</v>
      </c>
      <c r="H1109" t="s">
        <v>27</v>
      </c>
      <c r="I1109">
        <f>VLOOKUP(Table4[[#This Row],[Visitor]],'NHL Model'!$A$6:$B$38,2,FALSE)</f>
        <v>-0.51358590497437617</v>
      </c>
      <c r="J1109">
        <f>($B$1+Table4[[#This Row],[Home Differential]])-Table4[[#This Row],[Away Differential]]</f>
        <v>0.28197644209660971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0.57907027912156006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-0.6902088310934803</v>
      </c>
      <c r="H1110" t="s">
        <v>35</v>
      </c>
      <c r="I1110">
        <f>VLOOKUP(Table4[[#This Row],[Visitor]],'NHL Model'!$A$6:$B$38,2,FALSE)</f>
        <v>-1.6211574240381006</v>
      </c>
      <c r="J1110">
        <f>($B$1+Table4[[#This Row],[Home Differential]])-Table4[[#This Row],[Away Differential]]</f>
        <v>1.0935209026069388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0.69151679541894284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0.51775546328552802</v>
      </c>
      <c r="H1111" t="s">
        <v>23</v>
      </c>
      <c r="I1111">
        <f>VLOOKUP(Table4[[#This Row],[Visitor]],'NHL Model'!$A$6:$B$38,2,FALSE)</f>
        <v>-0.8683412362501769</v>
      </c>
      <c r="J1111">
        <f>($B$1+Table4[[#This Row],[Home Differential]])-Table4[[#This Row],[Away Differential]]</f>
        <v>1.5486690091980233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0.85891140593819415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-1.3903684122795328</v>
      </c>
      <c r="H1112" t="s">
        <v>37</v>
      </c>
      <c r="I1112">
        <f>VLOOKUP(Table4[[#This Row],[Visitor]],'NHL Model'!$A$6:$B$38,2,FALSE)</f>
        <v>-0.11309445867623392</v>
      </c>
      <c r="J1112">
        <f>($B$1+Table4[[#This Row],[Home Differential]])-Table4[[#This Row],[Away Differential]]</f>
        <v>-1.1147016439409805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0.66155096212333886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0.30570968833820172</v>
      </c>
      <c r="H1113" t="s">
        <v>29</v>
      </c>
      <c r="I1113">
        <f>VLOOKUP(Table4[[#This Row],[Visitor]],'NHL Model'!$A$6:$B$38,2,FALSE)</f>
        <v>-1.3516250707060606</v>
      </c>
      <c r="J1113">
        <f>($B$1+Table4[[#This Row],[Home Differential]])-Table4[[#This Row],[Away Differential]]</f>
        <v>1.8199070687065808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0.79216389220665751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0.19809534061227302</v>
      </c>
      <c r="H1114" t="s">
        <v>20</v>
      </c>
      <c r="I1114">
        <f>VLOOKUP(Table4[[#This Row],[Visitor]],'NHL Model'!$A$6:$B$38,2,FALSE)</f>
        <v>-6.3745791019188943E-4</v>
      </c>
      <c r="J1114">
        <f>($B$1+Table4[[#This Row],[Home Differential]])-Table4[[#This Row],[Away Differential]]</f>
        <v>0.36130510818478329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0.59551649857326894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-6.4729560818359025E-2</v>
      </c>
      <c r="H1115" t="s">
        <v>28</v>
      </c>
      <c r="I1115">
        <f>VLOOKUP(Table4[[#This Row],[Visitor]],'NHL Model'!$A$6:$B$38,2,FALSE)</f>
        <v>-0.40822279081308277</v>
      </c>
      <c r="J1115">
        <f>($B$1+Table4[[#This Row],[Home Differential]])-Table4[[#This Row],[Away Differential]]</f>
        <v>0.50606553965704215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0.58935053434727958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-0.30719665303039001</v>
      </c>
      <c r="H1116" t="s">
        <v>40</v>
      </c>
      <c r="I1116">
        <f>VLOOKUP(Table4[[#This Row],[Visitor]],'NHL Model'!$A$6:$B$38,2,FALSE)</f>
        <v>0.105105258369765</v>
      </c>
      <c r="J1116">
        <f>($B$1+Table4[[#This Row],[Home Differential]])-Table4[[#This Row],[Away Differential]]</f>
        <v>-0.24972960173783662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0.56091798947403171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0.26289091192875702</v>
      </c>
      <c r="H1117" t="s">
        <v>25</v>
      </c>
      <c r="I1117">
        <f>VLOOKUP(Table4[[#This Row],[Visitor]],'NHL Model'!$A$6:$B$38,2,FALSE)</f>
        <v>0.67193921242367816</v>
      </c>
      <c r="J1117">
        <f>($B$1+Table4[[#This Row],[Home Differential]])-Table4[[#This Row],[Away Differential]]</f>
        <v>-0.24647599083260274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0.55028041627791646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-0.12212311954851815</v>
      </c>
      <c r="H1118" t="s">
        <v>13</v>
      </c>
      <c r="I1118">
        <f>VLOOKUP(Table4[[#This Row],[Visitor]],'NHL Model'!$A$6:$B$38,2,FALSE)</f>
        <v>-7.5459708298993802E-2</v>
      </c>
      <c r="J1118">
        <f>($B$1+Table4[[#This Row],[Home Differential]])-Table4[[#This Row],[Away Differential]]</f>
        <v>0.11590889841279405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0.50386506016891963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-6.1308839486784707E-2</v>
      </c>
      <c r="H1119" t="s">
        <v>12</v>
      </c>
      <c r="I1119">
        <f>VLOOKUP(Table4[[#This Row],[Visitor]],'NHL Model'!$A$6:$B$38,2,FALSE)</f>
        <v>1.5475013591489768</v>
      </c>
      <c r="J1119">
        <f>($B$1+Table4[[#This Row],[Home Differential]])-Table4[[#This Row],[Away Differential]]</f>
        <v>-1.4462378889734431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0.72670457932517363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-0.30719665303039001</v>
      </c>
      <c r="H1120" t="s">
        <v>36</v>
      </c>
      <c r="I1120">
        <f>VLOOKUP(Table4[[#This Row],[Visitor]],'NHL Model'!$A$6:$B$38,2,FALSE)</f>
        <v>-0.40651947573390851</v>
      </c>
      <c r="J1120">
        <f>($B$1+Table4[[#This Row],[Home Differential]])-Table4[[#This Row],[Away Differential]]</f>
        <v>0.26189513236583689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0.57628783967210073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4.029141914856392E-2</v>
      </c>
      <c r="H1121" t="s">
        <v>19</v>
      </c>
      <c r="I1121">
        <f>VLOOKUP(Table4[[#This Row],[Visitor]],'NHL Model'!$A$6:$B$38,2,FALSE)</f>
        <v>-0.635565543477981</v>
      </c>
      <c r="J1121">
        <f>($B$1+Table4[[#This Row],[Home Differential]])-Table4[[#This Row],[Away Differential]]</f>
        <v>0.83842927228886333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0.72872906716051433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-1.3903684122795328</v>
      </c>
      <c r="H1122" t="s">
        <v>13</v>
      </c>
      <c r="I1122">
        <f>VLOOKUP(Table4[[#This Row],[Visitor]],'NHL Model'!$A$6:$B$38,2,FALSE)</f>
        <v>-7.5459708298993802E-2</v>
      </c>
      <c r="J1122">
        <f>($B$1+Table4[[#This Row],[Home Differential]])-Table4[[#This Row],[Away Differential]]</f>
        <v>-1.1523363943182205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0.74106154021542259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0.19809534061227302</v>
      </c>
      <c r="H1123" t="s">
        <v>24</v>
      </c>
      <c r="I1123">
        <f>VLOOKUP(Table4[[#This Row],[Visitor]],'NHL Model'!$A$6:$B$38,2,FALSE)</f>
        <v>0.559441163373953</v>
      </c>
      <c r="J1123">
        <f>($B$1+Table4[[#This Row],[Home Differential]])-Table4[[#This Row],[Away Differential]]</f>
        <v>-0.19877351309936159</v>
      </c>
      <c r="K1123" t="str">
        <f>IF(Table4[[#This Row],[HomeIce Differential]]&gt;0,Table4[[#This Row],[Home]],Table4[[#This Row],[Visitor]])</f>
        <v>New Jersey Devils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0.52754179243138444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-0.513643833119658</v>
      </c>
      <c r="H1124" t="s">
        <v>36</v>
      </c>
      <c r="I1124">
        <f>VLOOKUP(Table4[[#This Row],[Visitor]],'NHL Model'!$A$6:$B$38,2,FALSE)</f>
        <v>-0.40651947573390851</v>
      </c>
      <c r="J1124">
        <f>($B$1+Table4[[#This Row],[Home Differential]])-Table4[[#This Row],[Away Differential]]</f>
        <v>5.5447952276568901E-2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0.57372053004298518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-0.28105923893144158</v>
      </c>
      <c r="H1125" t="s">
        <v>32</v>
      </c>
      <c r="I1125">
        <f>VLOOKUP(Table4[[#This Row],[Visitor]],'NHL Model'!$A$6:$B$38,2,FALSE)</f>
        <v>-0.361361309178443</v>
      </c>
      <c r="J1125">
        <f>($B$1+Table4[[#This Row],[Home Differential]])-Table4[[#This Row],[Away Differential]]</f>
        <v>0.24287437990931982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0.62536832595311331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-0.52437726201848234</v>
      </c>
      <c r="H1126" t="s">
        <v>25</v>
      </c>
      <c r="I1126">
        <f>VLOOKUP(Table4[[#This Row],[Visitor]],'NHL Model'!$A$6:$B$38,2,FALSE)</f>
        <v>0.67193921242367816</v>
      </c>
      <c r="J1126">
        <f>($B$1+Table4[[#This Row],[Home Differential]])-Table4[[#This Row],[Away Differential]]</f>
        <v>-1.0337441647798422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0.69572039832730792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-1.3516250707060606</v>
      </c>
      <c r="H1127" t="s">
        <v>33</v>
      </c>
      <c r="I1127">
        <f>VLOOKUP(Table4[[#This Row],[Visitor]],'NHL Model'!$A$6:$B$38,2,FALSE)</f>
        <v>-0.39418177254008485</v>
      </c>
      <c r="J1127">
        <f>($B$1+Table4[[#This Row],[Home Differential]])-Table4[[#This Row],[Away Differential]]</f>
        <v>-0.79487098850365734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0.57013626229040804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-6.4729560818359025E-2</v>
      </c>
      <c r="H1128" t="s">
        <v>10</v>
      </c>
      <c r="I1128">
        <f>VLOOKUP(Table4[[#This Row],[Visitor]],'NHL Model'!$A$6:$B$38,2,FALSE)</f>
        <v>0.30570968833820172</v>
      </c>
      <c r="J1128">
        <f>($B$1+Table4[[#This Row],[Home Differential]])-Table4[[#This Row],[Away Differential]]</f>
        <v>-0.20786693949424234</v>
      </c>
      <c r="K1128" t="str">
        <f>IF(Table4[[#This Row],[HomeIce Differential]]&gt;0,Table4[[#This Row],[Home]],Table4[[#This Row],[Visitor]])</f>
        <v>Chicago Blackhawks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0.50957099621388424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-0.51358590497437617</v>
      </c>
      <c r="H1129" t="s">
        <v>28</v>
      </c>
      <c r="I1129">
        <f>VLOOKUP(Table4[[#This Row],[Visitor]],'NHL Model'!$A$6:$B$38,2,FALSE)</f>
        <v>-0.40822279081308277</v>
      </c>
      <c r="J1129">
        <f>($B$1+Table4[[#This Row],[Home Differential]])-Table4[[#This Row],[Away Differential]]</f>
        <v>5.720919550102499E-2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0.52966596013702816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0.26289091192875702</v>
      </c>
      <c r="H1130" t="s">
        <v>12</v>
      </c>
      <c r="I1130">
        <f>VLOOKUP(Table4[[#This Row],[Visitor]],'NHL Model'!$A$6:$B$38,2,FALSE)</f>
        <v>1.5475013591489768</v>
      </c>
      <c r="J1130">
        <f>($B$1+Table4[[#This Row],[Home Differential]])-Table4[[#This Row],[Away Differential]]</f>
        <v>-1.1220381375579014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0.64526402376461578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-1.6211574240381006</v>
      </c>
      <c r="H1131" t="s">
        <v>22</v>
      </c>
      <c r="I1131">
        <f>VLOOKUP(Table4[[#This Row],[Visitor]],'NHL Model'!$A$6:$B$38,2,FALSE)</f>
        <v>-6.1308839486784707E-2</v>
      </c>
      <c r="J1131">
        <f>($B$1+Table4[[#This Row],[Home Differential]])-Table4[[#This Row],[Away Differential]]</f>
        <v>-1.3972762748889975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0.6536047340122928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-0.11309445867623392</v>
      </c>
      <c r="H1132" t="s">
        <v>34</v>
      </c>
      <c r="I1132">
        <f>VLOOKUP(Table4[[#This Row],[Visitor]],'NHL Model'!$A$6:$B$38,2,FALSE)</f>
        <v>-0.53650300840565446</v>
      </c>
      <c r="J1132">
        <f>($B$1+Table4[[#This Row],[Home Differential]])-Table4[[#This Row],[Away Differential]]</f>
        <v>0.58598085939173894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0.62119272505921919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-0.12212311954851815</v>
      </c>
      <c r="H1133" t="s">
        <v>17</v>
      </c>
      <c r="I1133">
        <f>VLOOKUP(Table4[[#This Row],[Visitor]],'NHL Model'!$A$6:$B$38,2,FALSE)</f>
        <v>-0.61980804137564283</v>
      </c>
      <c r="J1133">
        <f>($B$1+Table4[[#This Row],[Home Differential]])-Table4[[#This Row],[Away Differential]]</f>
        <v>0.66025723148944304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0.69975686603320186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-0.6902088310934803</v>
      </c>
      <c r="H1134" t="s">
        <v>31</v>
      </c>
      <c r="I1134">
        <f>VLOOKUP(Table4[[#This Row],[Visitor]],'NHL Model'!$A$6:$B$38,2,FALSE)</f>
        <v>0.51775546328552802</v>
      </c>
      <c r="J1134">
        <f>($B$1+Table4[[#This Row],[Home Differential]])-Table4[[#This Row],[Away Differential]]</f>
        <v>-1.0453919847166899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0.625617347621237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0.105105258369765</v>
      </c>
      <c r="H1135" t="s">
        <v>20</v>
      </c>
      <c r="I1135">
        <f>VLOOKUP(Table4[[#This Row],[Visitor]],'NHL Model'!$A$6:$B$38,2,FALSE)</f>
        <v>-6.3745791019188943E-4</v>
      </c>
      <c r="J1135">
        <f>($B$1+Table4[[#This Row],[Home Differential]])-Table4[[#This Row],[Away Differential]]</f>
        <v>0.2683150259422753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0.59273292710520309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-0.8683412362501769</v>
      </c>
      <c r="H1136" t="s">
        <v>21</v>
      </c>
      <c r="I1136">
        <f>VLOOKUP(Table4[[#This Row],[Visitor]],'NHL Model'!$A$6:$B$38,2,FALSE)</f>
        <v>4.029141914856392E-2</v>
      </c>
      <c r="J1136">
        <f>($B$1+Table4[[#This Row],[Home Differential]])-Table4[[#This Row],[Away Differential]]</f>
        <v>-0.74606034573642244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0.56337312483523982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-0.635565543477981</v>
      </c>
      <c r="H1137" t="s">
        <v>15</v>
      </c>
      <c r="I1137">
        <f>VLOOKUP(Table4[[#This Row],[Visitor]],'NHL Model'!$A$6:$B$38,2,FALSE)</f>
        <v>-0.30719665303039001</v>
      </c>
      <c r="J1137">
        <f>($B$1+Table4[[#This Row],[Home Differential]])-Table4[[#This Row],[Away Differential]]</f>
        <v>-0.1657965807852726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0.62538219129839789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-1.3903684122795328</v>
      </c>
      <c r="H1138" t="s">
        <v>31</v>
      </c>
      <c r="I1138">
        <f>VLOOKUP(Table4[[#This Row],[Visitor]],'NHL Model'!$A$6:$B$38,2,FALSE)</f>
        <v>0.51775546328552802</v>
      </c>
      <c r="J1138">
        <f>($B$1+Table4[[#This Row],[Home Differential]])-Table4[[#This Row],[Away Differential]]</f>
        <v>-1.7455515659027423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0.72263052383970017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-0.28105923893144158</v>
      </c>
      <c r="H1139" t="s">
        <v>34</v>
      </c>
      <c r="I1139">
        <f>VLOOKUP(Table4[[#This Row],[Visitor]],'NHL Model'!$A$6:$B$38,2,FALSE)</f>
        <v>-0.53650300840565446</v>
      </c>
      <c r="J1139">
        <f>($B$1+Table4[[#This Row],[Home Differential]])-Table4[[#This Row],[Away Differential]]</f>
        <v>0.41801607913653127</v>
      </c>
      <c r="K1139" t="str">
        <f>IF(Table4[[#This Row],[HomeIce Differential]]&gt;0,Table4[[#This Row],[Home]],Table4[[#This Row],[Visitor]])</f>
        <v>Florida Panthers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0.64963572582436568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-0.52437726201848234</v>
      </c>
      <c r="H1140" t="s">
        <v>28</v>
      </c>
      <c r="I1140">
        <f>VLOOKUP(Table4[[#This Row],[Visitor]],'NHL Model'!$A$6:$B$38,2,FALSE)</f>
        <v>-0.40822279081308277</v>
      </c>
      <c r="J1140">
        <f>($B$1+Table4[[#This Row],[Home Differential]])-Table4[[#This Row],[Away Differential]]</f>
        <v>4.6417838456918825E-2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0.52566236291727286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-1.3516250707060606</v>
      </c>
      <c r="H1141" t="s">
        <v>24</v>
      </c>
      <c r="I1141">
        <f>VLOOKUP(Table4[[#This Row],[Visitor]],'NHL Model'!$A$6:$B$38,2,FALSE)</f>
        <v>0.559441163373953</v>
      </c>
      <c r="J1141">
        <f>($B$1+Table4[[#This Row],[Home Differential]])-Table4[[#This Row],[Away Differential]]</f>
        <v>-1.7484939244176951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0.76858477180925722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-6.4729560818359025E-2</v>
      </c>
      <c r="H1142" t="s">
        <v>39</v>
      </c>
      <c r="I1142">
        <f>VLOOKUP(Table4[[#This Row],[Visitor]],'NHL Model'!$A$6:$B$38,2,FALSE)</f>
        <v>0.19809534061227302</v>
      </c>
      <c r="J1142">
        <f>($B$1+Table4[[#This Row],[Home Differential]])-Table4[[#This Row],[Away Differential]]</f>
        <v>-0.10025259176831365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0.56637705303221142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-0.40651947573390851</v>
      </c>
      <c r="H1143" t="s">
        <v>14</v>
      </c>
      <c r="I1143">
        <f>VLOOKUP(Table4[[#This Row],[Visitor]],'NHL Model'!$A$6:$B$38,2,FALSE)</f>
        <v>0.26289091192875702</v>
      </c>
      <c r="J1143">
        <f>($B$1+Table4[[#This Row],[Home Differential]])-Table4[[#This Row],[Away Differential]]</f>
        <v>-0.50683807800034719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0.52773132779297649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-0.51358590497437617</v>
      </c>
      <c r="H1144" t="s">
        <v>10</v>
      </c>
      <c r="I1144">
        <f>VLOOKUP(Table4[[#This Row],[Visitor]],'NHL Model'!$A$6:$B$38,2,FALSE)</f>
        <v>0.30570968833820172</v>
      </c>
      <c r="J1144">
        <f>($B$1+Table4[[#This Row],[Home Differential]])-Table4[[#This Row],[Away Differential]]</f>
        <v>-0.65672328365025945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0.56925557042413566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-1.6211574240381006</v>
      </c>
      <c r="H1145" t="s">
        <v>33</v>
      </c>
      <c r="I1145">
        <f>VLOOKUP(Table4[[#This Row],[Visitor]],'NHL Model'!$A$6:$B$38,2,FALSE)</f>
        <v>-0.39418177254008485</v>
      </c>
      <c r="J1145">
        <f>($B$1+Table4[[#This Row],[Home Differential]])-Table4[[#This Row],[Away Differential]]</f>
        <v>-1.0644033418356973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0.60748230509694057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-0.11309445867623392</v>
      </c>
      <c r="H1146" t="s">
        <v>32</v>
      </c>
      <c r="I1146">
        <f>VLOOKUP(Table4[[#This Row],[Visitor]],'NHL Model'!$A$6:$B$38,2,FALSE)</f>
        <v>-0.361361309178443</v>
      </c>
      <c r="J1146">
        <f>($B$1+Table4[[#This Row],[Home Differential]])-Table4[[#This Row],[Away Differential]]</f>
        <v>0.41083916016452748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0.59692532518796682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-0.12212311954851815</v>
      </c>
      <c r="H1147" t="s">
        <v>22</v>
      </c>
      <c r="I1147">
        <f>VLOOKUP(Table4[[#This Row],[Visitor]],'NHL Model'!$A$6:$B$38,2,FALSE)</f>
        <v>-6.1308839486784707E-2</v>
      </c>
      <c r="J1147">
        <f>($B$1+Table4[[#This Row],[Home Differential]])-Table4[[#This Row],[Away Differential]]</f>
        <v>0.10175802960058494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0.62237196272454143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-0.6902088310934803</v>
      </c>
      <c r="H1148" t="s">
        <v>13</v>
      </c>
      <c r="I1148">
        <f>VLOOKUP(Table4[[#This Row],[Visitor]],'NHL Model'!$A$6:$B$38,2,FALSE)</f>
        <v>-7.5459708298993802E-2</v>
      </c>
      <c r="J1148">
        <f>($B$1+Table4[[#This Row],[Home Differential]])-Table4[[#This Row],[Away Differential]]</f>
        <v>-0.45217681313216812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0.64404836399695953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-6.3745791019188943E-4</v>
      </c>
      <c r="H1149" t="s">
        <v>17</v>
      </c>
      <c r="I1149">
        <f>VLOOKUP(Table4[[#This Row],[Visitor]],'NHL Model'!$A$6:$B$38,2,FALSE)</f>
        <v>-0.61980804137564283</v>
      </c>
      <c r="J1149">
        <f>($B$1+Table4[[#This Row],[Home Differential]])-Table4[[#This Row],[Away Differential]]</f>
        <v>0.78174289312776934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0.64831725093308801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0.105105258369765</v>
      </c>
      <c r="H1150" t="s">
        <v>12</v>
      </c>
      <c r="I1150">
        <f>VLOOKUP(Table4[[#This Row],[Visitor]],'NHL Model'!$A$6:$B$38,2,FALSE)</f>
        <v>1.5475013591489768</v>
      </c>
      <c r="J1150">
        <f>($B$1+Table4[[#This Row],[Home Differential]])-Table4[[#This Row],[Away Differential]]</f>
        <v>-1.2798237911168933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0.66712659313420675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-0.8683412362501769</v>
      </c>
      <c r="H1151" t="s">
        <v>26</v>
      </c>
      <c r="I1151">
        <f>VLOOKUP(Table4[[#This Row],[Visitor]],'NHL Model'!$A$6:$B$38,2,FALSE)</f>
        <v>-0.513643833119658</v>
      </c>
      <c r="J1151">
        <f>($B$1+Table4[[#This Row],[Home Differential]])-Table4[[#This Row],[Away Differential]]</f>
        <v>-0.1921250934682005</v>
      </c>
      <c r="K1151" t="str">
        <f>IF(Table4[[#This Row],[HomeIce Differential]]&gt;0,Table4[[#This Row],[Home]],Table4[[#This Row],[Visitor]])</f>
        <v>Detroit Red Wings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0.53371998776971596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-0.30719665303039001</v>
      </c>
      <c r="H1152" t="s">
        <v>10</v>
      </c>
      <c r="I1152">
        <f>VLOOKUP(Table4[[#This Row],[Visitor]],'NHL Model'!$A$6:$B$38,2,FALSE)</f>
        <v>0.30570968833820172</v>
      </c>
      <c r="J1152">
        <f>($B$1+Table4[[#This Row],[Home Differential]])-Table4[[#This Row],[Away Differential]]</f>
        <v>-0.45033403170627334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0.54316691259640038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4.029141914856392E-2</v>
      </c>
      <c r="H1153" t="s">
        <v>34</v>
      </c>
      <c r="I1153">
        <f>VLOOKUP(Table4[[#This Row],[Visitor]],'NHL Model'!$A$6:$B$38,2,FALSE)</f>
        <v>-0.53650300840565446</v>
      </c>
      <c r="J1153">
        <f>($B$1+Table4[[#This Row],[Home Differential]])-Table4[[#This Row],[Away Differential]]</f>
        <v>0.73936673721653678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0.71500309463959333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-0.8683412362501769</v>
      </c>
      <c r="H1154" t="s">
        <v>32</v>
      </c>
      <c r="I1154">
        <f>VLOOKUP(Table4[[#This Row],[Visitor]],'NHL Model'!$A$6:$B$38,2,FALSE)</f>
        <v>-0.361361309178443</v>
      </c>
      <c r="J1154">
        <f>($B$1+Table4[[#This Row],[Home Differential]])-Table4[[#This Row],[Away Differential]]</f>
        <v>-0.3444076174094155</v>
      </c>
      <c r="K1154" t="str">
        <f>IF(Table4[[#This Row],[HomeIce Differential]]&gt;0,Table4[[#This Row],[Home]],Table4[[#This Row],[Visitor]])</f>
        <v>Seattle Kraken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0.50772065937042732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0.67193921242367816</v>
      </c>
      <c r="H1155" t="s">
        <v>24</v>
      </c>
      <c r="I1155">
        <f>VLOOKUP(Table4[[#This Row],[Visitor]],'NHL Model'!$A$6:$B$38,2,FALSE)</f>
        <v>0.559441163373953</v>
      </c>
      <c r="J1155">
        <f>($B$1+Table4[[#This Row],[Home Differential]])-Table4[[#This Row],[Away Differential]]</f>
        <v>0.27507035871204355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0.56442917090738942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-0.40822279081308277</v>
      </c>
      <c r="H1156" t="s">
        <v>33</v>
      </c>
      <c r="I1156">
        <f>VLOOKUP(Table4[[#This Row],[Visitor]],'NHL Model'!$A$6:$B$38,2,FALSE)</f>
        <v>-0.39418177254008485</v>
      </c>
      <c r="J1156">
        <f>($B$1+Table4[[#This Row],[Home Differential]])-Table4[[#This Row],[Away Differential]]</f>
        <v>0.14853129138932047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0.56058029731036285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-1.3903684122795328</v>
      </c>
      <c r="H1157" t="s">
        <v>38</v>
      </c>
      <c r="I1157">
        <f>VLOOKUP(Table4[[#This Row],[Visitor]],'NHL Model'!$A$6:$B$38,2,FALSE)</f>
        <v>-0.6902088310934803</v>
      </c>
      <c r="J1157">
        <f>($B$1+Table4[[#This Row],[Home Differential]])-Table4[[#This Row],[Away Differential]]</f>
        <v>-0.53758727152373409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0.5769999369878106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1.5475013591489768</v>
      </c>
      <c r="H1158" t="s">
        <v>40</v>
      </c>
      <c r="I1158">
        <f>VLOOKUP(Table4[[#This Row],[Visitor]],'NHL Model'!$A$6:$B$38,2,FALSE)</f>
        <v>0.105105258369765</v>
      </c>
      <c r="J1158">
        <f>($B$1+Table4[[#This Row],[Home Differential]])-Table4[[#This Row],[Away Differential]]</f>
        <v>1.6049684104415303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0.78689840788856369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-0.513643833119658</v>
      </c>
      <c r="H1159" t="s">
        <v>27</v>
      </c>
      <c r="I1159">
        <f>VLOOKUP(Table4[[#This Row],[Visitor]],'NHL Model'!$A$6:$B$38,2,FALSE)</f>
        <v>-0.51358590497437617</v>
      </c>
      <c r="J1159">
        <f>($B$1+Table4[[#This Row],[Home Differential]])-Table4[[#This Row],[Away Differential]]</f>
        <v>0.16251438151703657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0.58855551144735596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-0.61980804137564283</v>
      </c>
      <c r="H1160" t="s">
        <v>31</v>
      </c>
      <c r="I1160">
        <f>VLOOKUP(Table4[[#This Row],[Visitor]],'NHL Model'!$A$6:$B$38,2,FALSE)</f>
        <v>0.51775546328552802</v>
      </c>
      <c r="J1160">
        <f>($B$1+Table4[[#This Row],[Home Differential]])-Table4[[#This Row],[Away Differential]]</f>
        <v>-0.97499119499885245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0.57953792192231546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-7.5459708298993802E-2</v>
      </c>
      <c r="H1161" t="s">
        <v>55</v>
      </c>
      <c r="I1161">
        <f>VLOOKUP(Table4[[#This Row],[Visitor]],'NHL Model'!$A$6:$B$38,2,FALSE)</f>
        <v>-0.12212311954851815</v>
      </c>
      <c r="J1161">
        <f>($B$1+Table4[[#This Row],[Home Differential]])-Table4[[#This Row],[Away Differential]]</f>
        <v>0.20923572091184273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0.56899142196930652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-1.3516250707060606</v>
      </c>
      <c r="H1162" t="s">
        <v>18</v>
      </c>
      <c r="I1162">
        <f>VLOOKUP(Table4[[#This Row],[Visitor]],'NHL Model'!$A$6:$B$38,2,FALSE)</f>
        <v>-0.52437726201848234</v>
      </c>
      <c r="J1162">
        <f>($B$1+Table4[[#This Row],[Home Differential]])-Table4[[#This Row],[Away Differential]]</f>
        <v>-0.66467549902525991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0.62857723589310766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-6.4729560818359025E-2</v>
      </c>
      <c r="H1163" t="s">
        <v>11</v>
      </c>
      <c r="I1163">
        <f>VLOOKUP(Table4[[#This Row],[Visitor]],'NHL Model'!$A$6:$B$38,2,FALSE)</f>
        <v>-0.28105923893144158</v>
      </c>
      <c r="J1163">
        <f>($B$1+Table4[[#This Row],[Home Differential]])-Table4[[#This Row],[Away Differential]]</f>
        <v>0.37890198777540096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0.59250015324693983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0.26289091192875702</v>
      </c>
      <c r="H1164" t="s">
        <v>39</v>
      </c>
      <c r="I1164">
        <f>VLOOKUP(Table4[[#This Row],[Visitor]],'NHL Model'!$A$6:$B$38,2,FALSE)</f>
        <v>0.19809534061227302</v>
      </c>
      <c r="J1164">
        <f>($B$1+Table4[[#This Row],[Home Differential]])-Table4[[#This Row],[Away Differential]]</f>
        <v>0.22736788097880239</v>
      </c>
      <c r="K1164" t="str">
        <f>IF(Table4[[#This Row],[HomeIce Differential]]&gt;0,Table4[[#This Row],[Home]],Table4[[#This Row],[Visitor]])</f>
        <v>Pittsburgh Penguins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0.51537475758717333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-1.6211574240381006</v>
      </c>
      <c r="H1165" t="s">
        <v>19</v>
      </c>
      <c r="I1165">
        <f>VLOOKUP(Table4[[#This Row],[Visitor]],'NHL Model'!$A$6:$B$38,2,FALSE)</f>
        <v>-0.635565543477981</v>
      </c>
      <c r="J1165">
        <f>($B$1+Table4[[#This Row],[Home Differential]])-Table4[[#This Row],[Away Differential]]</f>
        <v>-0.8230195708978012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0.57403649226294817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-0.11309445867623392</v>
      </c>
      <c r="H1166" t="s">
        <v>36</v>
      </c>
      <c r="I1166">
        <f>VLOOKUP(Table4[[#This Row],[Visitor]],'NHL Model'!$A$6:$B$38,2,FALSE)</f>
        <v>-0.40651947573390851</v>
      </c>
      <c r="J1166">
        <f>($B$1+Table4[[#This Row],[Home Differential]])-Table4[[#This Row],[Away Differential]]</f>
        <v>0.45599732671999299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0.60318238041861427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-6.3745791019188943E-4</v>
      </c>
      <c r="H1167" t="s">
        <v>22</v>
      </c>
      <c r="I1167">
        <f>VLOOKUP(Table4[[#This Row],[Visitor]],'NHL Model'!$A$6:$B$38,2,FALSE)</f>
        <v>-6.1308839486784707E-2</v>
      </c>
      <c r="J1167">
        <f>($B$1+Table4[[#This Row],[Home Differential]])-Table4[[#This Row],[Away Differential]]</f>
        <v>0.22324369123891119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0.57093234762442768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0.67193921242367816</v>
      </c>
      <c r="H1168" t="s">
        <v>18</v>
      </c>
      <c r="I1168">
        <f>VLOOKUP(Table4[[#This Row],[Visitor]],'NHL Model'!$A$6:$B$38,2,FALSE)</f>
        <v>-0.52437726201848234</v>
      </c>
      <c r="J1168">
        <f>($B$1+Table4[[#This Row],[Home Differential]])-Table4[[#This Row],[Away Differential]]</f>
        <v>1.358888784104479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0.70441484682951416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-0.40822279081308277</v>
      </c>
      <c r="H1169" t="s">
        <v>21</v>
      </c>
      <c r="I1169">
        <f>VLOOKUP(Table4[[#This Row],[Visitor]],'NHL Model'!$A$6:$B$38,2,FALSE)</f>
        <v>4.029141914856392E-2</v>
      </c>
      <c r="J1169">
        <f>($B$1+Table4[[#This Row],[Home Differential]])-Table4[[#This Row],[Away Differential]]</f>
        <v>-0.28594190029932831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0.49961972771263075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0.559441163373953</v>
      </c>
      <c r="H1170" t="s">
        <v>10</v>
      </c>
      <c r="I1170">
        <f>VLOOKUP(Table4[[#This Row],[Visitor]],'NHL Model'!$A$6:$B$38,2,FALSE)</f>
        <v>0.30570968833820172</v>
      </c>
      <c r="J1170">
        <f>($B$1+Table4[[#This Row],[Home Differential]])-Table4[[#This Row],[Away Differential]]</f>
        <v>0.41630378469806967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0.69404613262672044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-0.30719665303039001</v>
      </c>
      <c r="H1171" t="s">
        <v>11</v>
      </c>
      <c r="I1171">
        <f>VLOOKUP(Table4[[#This Row],[Visitor]],'NHL Model'!$A$6:$B$38,2,FALSE)</f>
        <v>-0.28105923893144158</v>
      </c>
      <c r="J1171">
        <f>($B$1+Table4[[#This Row],[Home Differential]])-Table4[[#This Row],[Away Differential]]</f>
        <v>0.13643489556336996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0.5589042368644237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-0.51358590497437617</v>
      </c>
      <c r="H1172" t="s">
        <v>39</v>
      </c>
      <c r="I1172">
        <f>VLOOKUP(Table4[[#This Row],[Visitor]],'NHL Model'!$A$6:$B$38,2,FALSE)</f>
        <v>0.19809534061227302</v>
      </c>
      <c r="J1172">
        <f>($B$1+Table4[[#This Row],[Home Differential]])-Table4[[#This Row],[Away Differential]]</f>
        <v>-0.54910893592433085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0.6260838006011723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-0.11309445867623392</v>
      </c>
      <c r="H1173" t="s">
        <v>29</v>
      </c>
      <c r="I1173">
        <f>VLOOKUP(Table4[[#This Row],[Visitor]],'NHL Model'!$A$6:$B$38,2,FALSE)</f>
        <v>-1.3516250707060606</v>
      </c>
      <c r="J1173">
        <f>($B$1+Table4[[#This Row],[Home Differential]])-Table4[[#This Row],[Away Differential]]</f>
        <v>1.4011029216921451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0.73413494908127852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0.51775546328552802</v>
      </c>
      <c r="H1174" t="s">
        <v>19</v>
      </c>
      <c r="I1174">
        <f>VLOOKUP(Table4[[#This Row],[Visitor]],'NHL Model'!$A$6:$B$38,2,FALSE)</f>
        <v>-0.635565543477981</v>
      </c>
      <c r="J1174">
        <f>($B$1+Table4[[#This Row],[Home Differential]])-Table4[[#This Row],[Away Differential]]</f>
        <v>1.3158933164258273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0.82665831691521741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1.5475013591489768</v>
      </c>
      <c r="H1175" t="s">
        <v>16</v>
      </c>
      <c r="I1175">
        <f>VLOOKUP(Table4[[#This Row],[Visitor]],'NHL Model'!$A$6:$B$38,2,FALSE)</f>
        <v>-1.3903684122795328</v>
      </c>
      <c r="J1175">
        <f>($B$1+Table4[[#This Row],[Home Differential]])-Table4[[#This Row],[Away Differential]]</f>
        <v>3.100442081090828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-6.4729560818359025E-2</v>
      </c>
      <c r="H1176" t="s">
        <v>14</v>
      </c>
      <c r="I1176">
        <f>VLOOKUP(Table4[[#This Row],[Visitor]],'NHL Model'!$A$6:$B$38,2,FALSE)</f>
        <v>0.26289091192875702</v>
      </c>
      <c r="J1176">
        <f>($B$1+Table4[[#This Row],[Home Differential]])-Table4[[#This Row],[Away Differential]]</f>
        <v>-0.16504816308479764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0.48286885298742249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-0.39418177254008485</v>
      </c>
      <c r="H1177" t="s">
        <v>35</v>
      </c>
      <c r="I1177">
        <f>VLOOKUP(Table4[[#This Row],[Visitor]],'NHL Model'!$A$6:$B$38,2,FALSE)</f>
        <v>-1.6211574240381006</v>
      </c>
      <c r="J1177">
        <f>($B$1+Table4[[#This Row],[Home Differential]])-Table4[[#This Row],[Away Differential]]</f>
        <v>1.3895479611603341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0.73253390918638628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-6.3745791019188943E-4</v>
      </c>
      <c r="H1178" t="s">
        <v>38</v>
      </c>
      <c r="I1178">
        <f>VLOOKUP(Table4[[#This Row],[Visitor]],'NHL Model'!$A$6:$B$38,2,FALSE)</f>
        <v>-0.6902088310934803</v>
      </c>
      <c r="J1178">
        <f>($B$1+Table4[[#This Row],[Home Differential]])-Table4[[#This Row],[Away Differential]]</f>
        <v>0.85214368284560682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0.61555932749315301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4.029141914856392E-2</v>
      </c>
      <c r="H1179" t="s">
        <v>39</v>
      </c>
      <c r="I1179">
        <f>VLOOKUP(Table4[[#This Row],[Visitor]],'NHL Model'!$A$6:$B$38,2,FALSE)</f>
        <v>0.19809534061227302</v>
      </c>
      <c r="J1179">
        <f>($B$1+Table4[[#This Row],[Home Differential]])-Table4[[#This Row],[Away Differential]]</f>
        <v>4.768388198609308E-3</v>
      </c>
      <c r="K1179" t="str">
        <f>IF(Table4[[#This Row],[HomeIce Differential]]&gt;0,Table4[[#This Row],[Home]],Table4[[#This Row],[Visitor]])</f>
        <v>Boston Bruins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0.52239983193344108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-0.8683412362501769</v>
      </c>
      <c r="H1180" t="s">
        <v>30</v>
      </c>
      <c r="I1180">
        <f>VLOOKUP(Table4[[#This Row],[Visitor]],'NHL Model'!$A$6:$B$38,2,FALSE)</f>
        <v>-6.4729560818359025E-2</v>
      </c>
      <c r="J1180">
        <f>($B$1+Table4[[#This Row],[Home Differential]])-Table4[[#This Row],[Away Differential]]</f>
        <v>-0.64103936576949949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0.59133412096374416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-0.40822279081308277</v>
      </c>
      <c r="H1181" t="s">
        <v>25</v>
      </c>
      <c r="I1181">
        <f>VLOOKUP(Table4[[#This Row],[Visitor]],'NHL Model'!$A$6:$B$38,2,FALSE)</f>
        <v>0.67193921242367816</v>
      </c>
      <c r="J1181">
        <f>($B$1+Table4[[#This Row],[Home Differential]])-Table4[[#This Row],[Away Differential]]</f>
        <v>-0.91758969357444253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0.67962618996908863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0.30570968833820172</v>
      </c>
      <c r="H1182" t="s">
        <v>40</v>
      </c>
      <c r="I1182">
        <f>VLOOKUP(Table4[[#This Row],[Visitor]],'NHL Model'!$A$6:$B$38,2,FALSE)</f>
        <v>0.105105258369765</v>
      </c>
      <c r="J1182">
        <f>($B$1+Table4[[#This Row],[Home Differential]])-Table4[[#This Row],[Away Differential]]</f>
        <v>0.36317673963075514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0.5240054943978607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-0.61980804137564283</v>
      </c>
      <c r="H1183" t="s">
        <v>32</v>
      </c>
      <c r="I1183">
        <f>VLOOKUP(Table4[[#This Row],[Visitor]],'NHL Model'!$A$6:$B$38,2,FALSE)</f>
        <v>-0.361361309178443</v>
      </c>
      <c r="J1183">
        <f>($B$1+Table4[[#This Row],[Home Differential]])-Table4[[#This Row],[Away Differential]]</f>
        <v>-9.5874422534881432E-2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0.4372473655473193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-0.28105923893144158</v>
      </c>
      <c r="H1184" t="s">
        <v>36</v>
      </c>
      <c r="I1184">
        <f>VLOOKUP(Table4[[#This Row],[Visitor]],'NHL Model'!$A$6:$B$38,2,FALSE)</f>
        <v>-0.40651947573390851</v>
      </c>
      <c r="J1184">
        <f>($B$1+Table4[[#This Row],[Home Differential]])-Table4[[#This Row],[Away Differential]]</f>
        <v>0.28803254646478532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0.63162538118376066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-0.30719665303039001</v>
      </c>
      <c r="H1185" t="s">
        <v>24</v>
      </c>
      <c r="I1185">
        <f>VLOOKUP(Table4[[#This Row],[Visitor]],'NHL Model'!$A$6:$B$38,2,FALSE)</f>
        <v>0.559441163373953</v>
      </c>
      <c r="J1185">
        <f>($B$1+Table4[[#This Row],[Home Differential]])-Table4[[#This Row],[Away Differential]]</f>
        <v>-0.70406550674202462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0.62387016551921504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0.26289091192875702</v>
      </c>
      <c r="H1186" t="s">
        <v>26</v>
      </c>
      <c r="I1186">
        <f>VLOOKUP(Table4[[#This Row],[Visitor]],'NHL Model'!$A$6:$B$38,2,FALSE)</f>
        <v>-0.513643833119658</v>
      </c>
      <c r="J1186">
        <f>($B$1+Table4[[#This Row],[Home Differential]])-Table4[[#This Row],[Away Differential]]</f>
        <v>0.93910705471073341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0.6595331836434386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-0.11309445867623392</v>
      </c>
      <c r="H1187" t="s">
        <v>18</v>
      </c>
      <c r="I1187">
        <f>VLOOKUP(Table4[[#This Row],[Visitor]],'NHL Model'!$A$6:$B$38,2,FALSE)</f>
        <v>-0.52437726201848234</v>
      </c>
      <c r="J1187">
        <f>($B$1+Table4[[#This Row],[Home Differential]])-Table4[[#This Row],[Away Differential]]</f>
        <v>0.57385511300456682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0.54303191114344807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-6.1308839486784707E-2</v>
      </c>
      <c r="H1188" t="s">
        <v>27</v>
      </c>
      <c r="I1188">
        <f>VLOOKUP(Table4[[#This Row],[Visitor]],'NHL Model'!$A$6:$B$38,2,FALSE)</f>
        <v>-0.51358590497437617</v>
      </c>
      <c r="J1188">
        <f>($B$1+Table4[[#This Row],[Home Differential]])-Table4[[#This Row],[Away Differential]]</f>
        <v>0.61484937514990989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0.62519270803691229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1.5475013591489768</v>
      </c>
      <c r="H1189" t="s">
        <v>38</v>
      </c>
      <c r="I1189">
        <f>VLOOKUP(Table4[[#This Row],[Visitor]],'NHL Model'!$A$6:$B$38,2,FALSE)</f>
        <v>-0.6902088310934803</v>
      </c>
      <c r="J1189">
        <f>($B$1+Table4[[#This Row],[Home Differential]])-Table4[[#This Row],[Away Differential]]</f>
        <v>2.4002824999047756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0.92036619616571547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-7.5459708298993802E-2</v>
      </c>
      <c r="H1190" t="s">
        <v>35</v>
      </c>
      <c r="I1190">
        <f>VLOOKUP(Table4[[#This Row],[Visitor]],'NHL Model'!$A$6:$B$38,2,FALSE)</f>
        <v>-1.6211574240381006</v>
      </c>
      <c r="J1190">
        <f>($B$1+Table4[[#This Row],[Home Differential]])-Table4[[#This Row],[Away Differential]]</f>
        <v>1.7082700254014251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0.7766956126234158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-0.39418177254008485</v>
      </c>
      <c r="H1191" t="s">
        <v>31</v>
      </c>
      <c r="I1191">
        <f>VLOOKUP(Table4[[#This Row],[Visitor]],'NHL Model'!$A$6:$B$38,2,FALSE)</f>
        <v>0.51775546328552802</v>
      </c>
      <c r="J1191">
        <f>($B$1+Table4[[#This Row],[Home Differential]])-Table4[[#This Row],[Away Differential]]</f>
        <v>-0.74936492616329442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0.58460023385379367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0.67193921242367816</v>
      </c>
      <c r="H1192" t="s">
        <v>28</v>
      </c>
      <c r="I1192">
        <f>VLOOKUP(Table4[[#This Row],[Visitor]],'NHL Model'!$A$6:$B$38,2,FALSE)</f>
        <v>-0.40822279081308277</v>
      </c>
      <c r="J1192">
        <f>($B$1+Table4[[#This Row],[Home Differential]])-Table4[[#This Row],[Away Differential]]</f>
        <v>1.2427343128990793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0.74362017764180188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0.19809534061227302</v>
      </c>
      <c r="H1193" t="s">
        <v>40</v>
      </c>
      <c r="I1193">
        <f>VLOOKUP(Table4[[#This Row],[Visitor]],'NHL Model'!$A$6:$B$38,2,FALSE)</f>
        <v>0.105105258369765</v>
      </c>
      <c r="J1193">
        <f>($B$1+Table4[[#This Row],[Home Differential]])-Table4[[#This Row],[Away Differential]]</f>
        <v>0.25556239190482644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0.53541038361379889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-0.61980804137564283</v>
      </c>
      <c r="H1194" t="s">
        <v>10</v>
      </c>
      <c r="I1194">
        <f>VLOOKUP(Table4[[#This Row],[Visitor]],'NHL Model'!$A$6:$B$38,2,FALSE)</f>
        <v>0.30570968833820172</v>
      </c>
      <c r="J1194">
        <f>($B$1+Table4[[#This Row],[Home Differential]])-Table4[[#This Row],[Away Differential]]</f>
        <v>-0.76294542005152621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0.55015714261983362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-0.28105923893144158</v>
      </c>
      <c r="H1195" t="s">
        <v>21</v>
      </c>
      <c r="I1195">
        <f>VLOOKUP(Table4[[#This Row],[Visitor]],'NHL Model'!$A$6:$B$38,2,FALSE)</f>
        <v>4.029141914856392E-2</v>
      </c>
      <c r="J1195">
        <f>($B$1+Table4[[#This Row],[Home Differential]])-Table4[[#This Row],[Away Differential]]</f>
        <v>-0.15877834841768712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0.43028413951169919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-7.5459708298993802E-2</v>
      </c>
      <c r="H1196" t="s">
        <v>29</v>
      </c>
      <c r="I1196">
        <f>VLOOKUP(Table4[[#This Row],[Visitor]],'NHL Model'!$A$6:$B$38,2,FALSE)</f>
        <v>-1.3516250707060606</v>
      </c>
      <c r="J1196">
        <f>($B$1+Table4[[#This Row],[Home Differential]])-Table4[[#This Row],[Away Differential]]</f>
        <v>1.4387376720693852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0.73934956981688327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-0.53650300840565446</v>
      </c>
      <c r="H1197" t="s">
        <v>38</v>
      </c>
      <c r="I1197">
        <f>VLOOKUP(Table4[[#This Row],[Visitor]],'NHL Model'!$A$6:$B$38,2,FALSE)</f>
        <v>-0.6902088310934803</v>
      </c>
      <c r="J1197">
        <f>($B$1+Table4[[#This Row],[Home Differential]])-Table4[[#This Row],[Away Differential]]</f>
        <v>0.31627813235014424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0.54131051268502439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0.559441163373953</v>
      </c>
      <c r="H1198" t="s">
        <v>22</v>
      </c>
      <c r="I1198">
        <f>VLOOKUP(Table4[[#This Row],[Visitor]],'NHL Model'!$A$6:$B$38,2,FALSE)</f>
        <v>-6.1308839486784707E-2</v>
      </c>
      <c r="J1198">
        <f>($B$1+Table4[[#This Row],[Home Differential]])-Table4[[#This Row],[Away Differential]]</f>
        <v>0.78332231252305606</v>
      </c>
      <c r="K1198" t="str">
        <f>IF(Table4[[#This Row],[HomeIce Differential]]&gt;0,Table4[[#This Row],[Home]],Table4[[#This Row],[Visitor]])</f>
        <v>New Jersey Devils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0.76396680478502266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-0.30719665303039001</v>
      </c>
      <c r="H1199" t="s">
        <v>18</v>
      </c>
      <c r="I1199">
        <f>VLOOKUP(Table4[[#This Row],[Visitor]],'NHL Model'!$A$6:$B$38,2,FALSE)</f>
        <v>-0.52437726201848234</v>
      </c>
      <c r="J1199">
        <f>($B$1+Table4[[#This Row],[Home Differential]])-Table4[[#This Row],[Away Differential]]</f>
        <v>0.37975291865041072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0.51613737039693453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-0.40651947573390851</v>
      </c>
      <c r="H1200" t="s">
        <v>23</v>
      </c>
      <c r="I1200">
        <f>VLOOKUP(Table4[[#This Row],[Visitor]],'NHL Model'!$A$6:$B$38,2,FALSE)</f>
        <v>-0.8683412362501769</v>
      </c>
      <c r="J1200">
        <f>($B$1+Table4[[#This Row],[Home Differential]])-Table4[[#This Row],[Away Differential]]</f>
        <v>0.62439407017858684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0.62901068743356547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-0.51358590497437617</v>
      </c>
      <c r="H1201" t="s">
        <v>26</v>
      </c>
      <c r="I1201">
        <f>VLOOKUP(Table4[[#This Row],[Visitor]],'NHL Model'!$A$6:$B$38,2,FALSE)</f>
        <v>-0.513643833119658</v>
      </c>
      <c r="J1201">
        <f>($B$1+Table4[[#This Row],[Home Differential]])-Table4[[#This Row],[Away Differential]]</f>
        <v>0.16263023780760022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0.51794667252784343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-0.361361309178443</v>
      </c>
      <c r="H1202" t="s">
        <v>55</v>
      </c>
      <c r="I1202">
        <f>VLOOKUP(Table4[[#This Row],[Visitor]],'NHL Model'!$A$6:$B$38,2,FALSE)</f>
        <v>-0.12212311954851815</v>
      </c>
      <c r="J1202">
        <f>($B$1+Table4[[#This Row],[Home Differential]])-Table4[[#This Row],[Away Differential]]</f>
        <v>-7.666587996760646E-2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0.44458498606048558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-0.39418177254008485</v>
      </c>
      <c r="H1203" t="s">
        <v>19</v>
      </c>
      <c r="I1203">
        <f>VLOOKUP(Table4[[#This Row],[Visitor]],'NHL Model'!$A$6:$B$38,2,FALSE)</f>
        <v>-0.635565543477981</v>
      </c>
      <c r="J1203">
        <f>($B$1+Table4[[#This Row],[Home Differential]])-Table4[[#This Row],[Away Differential]]</f>
        <v>0.40395608060021454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0.59597161487871531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-0.11309445867623392</v>
      </c>
      <c r="H1204" t="s">
        <v>14</v>
      </c>
      <c r="I1204">
        <f>VLOOKUP(Table4[[#This Row],[Visitor]],'NHL Model'!$A$6:$B$38,2,FALSE)</f>
        <v>0.26289091192875702</v>
      </c>
      <c r="J1204">
        <f>($B$1+Table4[[#This Row],[Home Differential]])-Table4[[#This Row],[Away Differential]]</f>
        <v>-0.21341306094267254</v>
      </c>
      <c r="K1204" t="str">
        <f>IF(Table4[[#This Row],[HomeIce Differential]]&gt;0,Table4[[#This Row],[Home]],Table4[[#This Row],[Visitor]])</f>
        <v>Pittsburgh Penguins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0.48957022862342509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-6.3745791019188943E-4</v>
      </c>
      <c r="H1205" t="s">
        <v>16</v>
      </c>
      <c r="I1205">
        <f>VLOOKUP(Table4[[#This Row],[Visitor]],'NHL Model'!$A$6:$B$38,2,FALSE)</f>
        <v>-1.3903684122795328</v>
      </c>
      <c r="J1205">
        <f>($B$1+Table4[[#This Row],[Home Differential]])-Table4[[#This Row],[Away Differential]]</f>
        <v>1.5523032640316592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0.75508506652568641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0.51775546328552802</v>
      </c>
      <c r="H1206" t="s">
        <v>35</v>
      </c>
      <c r="I1206">
        <f>VLOOKUP(Table4[[#This Row],[Visitor]],'NHL Model'!$A$6:$B$38,2,FALSE)</f>
        <v>-1.6211574240381006</v>
      </c>
      <c r="J1206">
        <f>($B$1+Table4[[#This Row],[Home Differential]])-Table4[[#This Row],[Away Differential]]</f>
        <v>2.3014851969859471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0.96322061122288838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-6.4729560818359025E-2</v>
      </c>
      <c r="H1207" t="s">
        <v>27</v>
      </c>
      <c r="I1207">
        <f>VLOOKUP(Table4[[#This Row],[Visitor]],'NHL Model'!$A$6:$B$38,2,FALSE)</f>
        <v>-0.51358590497437617</v>
      </c>
      <c r="J1207">
        <f>($B$1+Table4[[#This Row],[Home Differential]])-Table4[[#This Row],[Away Differential]]</f>
        <v>0.61142865381833555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0.62471873745898754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0.51775546328552802</v>
      </c>
      <c r="H1208" t="s">
        <v>16</v>
      </c>
      <c r="I1208">
        <f>VLOOKUP(Table4[[#This Row],[Visitor]],'NHL Model'!$A$6:$B$38,2,FALSE)</f>
        <v>-1.3903684122795328</v>
      </c>
      <c r="J1208">
        <f>($B$1+Table4[[#This Row],[Home Differential]])-Table4[[#This Row],[Away Differential]]</f>
        <v>2.0706961852273791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0.93124279406713151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0.67193921242367816</v>
      </c>
      <c r="H1209" t="s">
        <v>30</v>
      </c>
      <c r="I1209">
        <f>VLOOKUP(Table4[[#This Row],[Visitor]],'NHL Model'!$A$6:$B$38,2,FALSE)</f>
        <v>-6.4729560818359025E-2</v>
      </c>
      <c r="J1209">
        <f>($B$1+Table4[[#This Row],[Home Differential]])-Table4[[#This Row],[Away Differential]]</f>
        <v>0.89924108290435556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0.67459764314144288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-0.40822279081308277</v>
      </c>
      <c r="H1210" t="s">
        <v>40</v>
      </c>
      <c r="I1210">
        <f>VLOOKUP(Table4[[#This Row],[Visitor]],'NHL Model'!$A$6:$B$38,2,FALSE)</f>
        <v>0.105105258369765</v>
      </c>
      <c r="J1210">
        <f>($B$1+Table4[[#This Row],[Home Differential]])-Table4[[#This Row],[Away Differential]]</f>
        <v>-0.35075573952052941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0.57491603616330322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0.19809534061227302</v>
      </c>
      <c r="H1211" t="s">
        <v>12</v>
      </c>
      <c r="I1211">
        <f>VLOOKUP(Table4[[#This Row],[Visitor]],'NHL Model'!$A$6:$B$38,2,FALSE)</f>
        <v>1.5475013591489768</v>
      </c>
      <c r="J1211">
        <f>($B$1+Table4[[#This Row],[Home Differential]])-Table4[[#This Row],[Away Differential]]</f>
        <v>-1.1868337088743854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0.6644460931977838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-0.61980804137564283</v>
      </c>
      <c r="H1212" t="s">
        <v>20</v>
      </c>
      <c r="I1212">
        <f>VLOOKUP(Table4[[#This Row],[Visitor]],'NHL Model'!$A$6:$B$38,2,FALSE)</f>
        <v>-6.3745791019188943E-4</v>
      </c>
      <c r="J1212">
        <f>($B$1+Table4[[#This Row],[Home Differential]])-Table4[[#This Row],[Away Differential]]</f>
        <v>-0.45659827380313256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0.50771009128808686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-7.5459708298993802E-2</v>
      </c>
      <c r="H1213" t="s">
        <v>19</v>
      </c>
      <c r="I1213">
        <f>VLOOKUP(Table4[[#This Row],[Visitor]],'NHL Model'!$A$6:$B$38,2,FALSE)</f>
        <v>-0.635565543477981</v>
      </c>
      <c r="J1213">
        <f>($B$1+Table4[[#This Row],[Home Differential]])-Table4[[#This Row],[Away Differential]]</f>
        <v>0.72267814484130555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0.64013331831574483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0.559441163373953</v>
      </c>
      <c r="H1214" t="s">
        <v>18</v>
      </c>
      <c r="I1214">
        <f>VLOOKUP(Table4[[#This Row],[Visitor]],'NHL Model'!$A$6:$B$38,2,FALSE)</f>
        <v>-0.52437726201848234</v>
      </c>
      <c r="J1214">
        <f>($B$1+Table4[[#This Row],[Home Differential]])-Table4[[#This Row],[Away Differential]]</f>
        <v>1.2463907350547538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0.75603156851580056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-0.30719665303039001</v>
      </c>
      <c r="H1215" t="s">
        <v>26</v>
      </c>
      <c r="I1215">
        <f>VLOOKUP(Table4[[#This Row],[Visitor]],'NHL Model'!$A$6:$B$38,2,FALSE)</f>
        <v>-0.513643833119658</v>
      </c>
      <c r="J1215">
        <f>($B$1+Table4[[#This Row],[Home Differential]])-Table4[[#This Row],[Away Differential]]</f>
        <v>0.36901948975158638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0.54403145604216463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-0.40651947573390851</v>
      </c>
      <c r="H1216" t="s">
        <v>34</v>
      </c>
      <c r="I1216">
        <f>VLOOKUP(Table4[[#This Row],[Visitor]],'NHL Model'!$A$6:$B$38,2,FALSE)</f>
        <v>-0.53650300840565446</v>
      </c>
      <c r="J1216">
        <f>($B$1+Table4[[#This Row],[Home Differential]])-Table4[[#This Row],[Away Differential]]</f>
        <v>0.29255584233406434</v>
      </c>
      <c r="K1216" t="str">
        <f>IF(Table4[[#This Row],[HomeIce Differential]]&gt;0,Table4[[#This Row],[Home]],Table4[[#This Row],[Visitor]])</f>
        <v>Ottawa Senators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0.58303162588966773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0.26289091192875702</v>
      </c>
      <c r="H1217" t="s">
        <v>11</v>
      </c>
      <c r="I1217">
        <f>VLOOKUP(Table4[[#This Row],[Visitor]],'NHL Model'!$A$6:$B$38,2,FALSE)</f>
        <v>-0.28105923893144158</v>
      </c>
      <c r="J1217">
        <f>($B$1+Table4[[#This Row],[Home Differential]])-Table4[[#This Row],[Away Differential]]</f>
        <v>0.70652246052251699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0.6739316746385321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-0.361361309178443</v>
      </c>
      <c r="H1218" t="s">
        <v>10</v>
      </c>
      <c r="I1218">
        <f>VLOOKUP(Table4[[#This Row],[Visitor]],'NHL Model'!$A$6:$B$38,2,FALSE)</f>
        <v>0.30570968833820172</v>
      </c>
      <c r="J1218">
        <f>($B$1+Table4[[#This Row],[Home Differential]])-Table4[[#This Row],[Away Differential]]</f>
        <v>-0.50449868785432628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0.5244481187693546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-0.39418177254008485</v>
      </c>
      <c r="H1219" t="s">
        <v>29</v>
      </c>
      <c r="I1219">
        <f>VLOOKUP(Table4[[#This Row],[Visitor]],'NHL Model'!$A$6:$B$38,2,FALSE)</f>
        <v>-1.3516250707060606</v>
      </c>
      <c r="J1219">
        <f>($B$1+Table4[[#This Row],[Home Differential]])-Table4[[#This Row],[Away Differential]]</f>
        <v>1.1200156078282941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0.69518786637985364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-0.11309445867623392</v>
      </c>
      <c r="H1220" t="s">
        <v>21</v>
      </c>
      <c r="I1220">
        <f>VLOOKUP(Table4[[#This Row],[Visitor]],'NHL Model'!$A$6:$B$38,2,FALSE)</f>
        <v>4.029141914856392E-2</v>
      </c>
      <c r="J1220">
        <f>($B$1+Table4[[#This Row],[Home Differential]])-Table4[[#This Row],[Away Differential]]</f>
        <v>9.1864318375205478E-3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0.54127285972315431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-0.6902088310934803</v>
      </c>
      <c r="H1221" t="s">
        <v>55</v>
      </c>
      <c r="I1221">
        <f>VLOOKUP(Table4[[#This Row],[Visitor]],'NHL Model'!$A$6:$B$38,2,FALSE)</f>
        <v>-0.12212311954851815</v>
      </c>
      <c r="J1221">
        <f>($B$1+Table4[[#This Row],[Home Differential]])-Table4[[#This Row],[Away Differential]]</f>
        <v>-0.40551340188264373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0.51618739523516655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-6.1308839486784707E-2</v>
      </c>
      <c r="H1222" t="s">
        <v>23</v>
      </c>
      <c r="I1222">
        <f>VLOOKUP(Table4[[#This Row],[Visitor]],'NHL Model'!$A$6:$B$38,2,FALSE)</f>
        <v>-0.8683412362501769</v>
      </c>
      <c r="J1222">
        <f>($B$1+Table4[[#This Row],[Home Differential]])-Table4[[#This Row],[Away Differential]]</f>
        <v>0.96960470642571062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0.67434713281704428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1.5475013591489768</v>
      </c>
      <c r="H1223" t="s">
        <v>35</v>
      </c>
      <c r="I1223">
        <f>VLOOKUP(Table4[[#This Row],[Visitor]],'NHL Model'!$A$6:$B$38,2,FALSE)</f>
        <v>-1.6211574240381006</v>
      </c>
      <c r="J1223">
        <f>($B$1+Table4[[#This Row],[Home Differential]])-Table4[[#This Row],[Away Differential]]</f>
        <v>3.3312310928493956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-0.513643833119658</v>
      </c>
      <c r="H1224" t="s">
        <v>34</v>
      </c>
      <c r="I1224">
        <f>VLOOKUP(Table4[[#This Row],[Visitor]],'NHL Model'!$A$6:$B$38,2,FALSE)</f>
        <v>-0.53650300840565446</v>
      </c>
      <c r="J1224">
        <f>($B$1+Table4[[#This Row],[Home Differential]])-Table4[[#This Row],[Away Differential]]</f>
        <v>0.18543148494831485</v>
      </c>
      <c r="K1224" t="str">
        <f>IF(Table4[[#This Row],[HomeIce Differential]]&gt;0,Table4[[#This Row],[Home]],Table4[[#This Row],[Visitor]])</f>
        <v>Detroit Red Wings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0.5917308746835902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-0.52437726201848234</v>
      </c>
      <c r="H1225" t="s">
        <v>24</v>
      </c>
      <c r="I1225">
        <f>VLOOKUP(Table4[[#This Row],[Visitor]],'NHL Model'!$A$6:$B$38,2,FALSE)</f>
        <v>0.559441163373953</v>
      </c>
      <c r="J1225">
        <f>($B$1+Table4[[#This Row],[Home Differential]])-Table4[[#This Row],[Away Differential]]</f>
        <v>-0.92124611573011694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0.65396242056670573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-0.30719665303039001</v>
      </c>
      <c r="H1226" t="s">
        <v>22</v>
      </c>
      <c r="I1226">
        <f>VLOOKUP(Table4[[#This Row],[Visitor]],'NHL Model'!$A$6:$B$38,2,FALSE)</f>
        <v>-6.1308839486784707E-2</v>
      </c>
      <c r="J1226">
        <f>($B$1+Table4[[#This Row],[Home Differential]])-Table4[[#This Row],[Away Differential]]</f>
        <v>-8.3315503881286918E-2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0.47154408491571803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-0.40651947573390851</v>
      </c>
      <c r="H1227" t="s">
        <v>25</v>
      </c>
      <c r="I1227">
        <f>VLOOKUP(Table4[[#This Row],[Visitor]],'NHL Model'!$A$6:$B$38,2,FALSE)</f>
        <v>0.67193921242367816</v>
      </c>
      <c r="J1227">
        <f>($B$1+Table4[[#This Row],[Home Differential]])-Table4[[#This Row],[Away Differential]]</f>
        <v>-0.91588637849526822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0.6769039930618912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-0.51358590497437617</v>
      </c>
      <c r="H1228" t="s">
        <v>21</v>
      </c>
      <c r="I1228">
        <f>VLOOKUP(Table4[[#This Row],[Visitor]],'NHL Model'!$A$6:$B$38,2,FALSE)</f>
        <v>4.029141914856392E-2</v>
      </c>
      <c r="J1228">
        <f>($B$1+Table4[[#This Row],[Home Differential]])-Table4[[#This Row],[Away Differential]]</f>
        <v>-0.39130501446062171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0.51172322085076793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0.26289091192875702</v>
      </c>
      <c r="H1229" t="s">
        <v>11</v>
      </c>
      <c r="I1229">
        <f>VLOOKUP(Table4[[#This Row],[Visitor]],'NHL Model'!$A$6:$B$38,2,FALSE)</f>
        <v>-0.28105923893144158</v>
      </c>
      <c r="J1229">
        <f>($B$1+Table4[[#This Row],[Home Differential]])-Table4[[#This Row],[Away Differential]]</f>
        <v>0.70652246052251699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0.6739316746385321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-0.8683412362501769</v>
      </c>
      <c r="H1230" t="s">
        <v>37</v>
      </c>
      <c r="I1230">
        <f>VLOOKUP(Table4[[#This Row],[Visitor]],'NHL Model'!$A$6:$B$38,2,FALSE)</f>
        <v>-0.11309445867623392</v>
      </c>
      <c r="J1230">
        <f>($B$1+Table4[[#This Row],[Home Differential]])-Table4[[#This Row],[Away Differential]]</f>
        <v>-0.59267446791162459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0.5892195739944015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-7.5459708298993802E-2</v>
      </c>
      <c r="H1231" t="s">
        <v>29</v>
      </c>
      <c r="I1231">
        <f>VLOOKUP(Table4[[#This Row],[Visitor]],'NHL Model'!$A$6:$B$38,2,FALSE)</f>
        <v>-1.3516250707060606</v>
      </c>
      <c r="J1231">
        <f>($B$1+Table4[[#This Row],[Home Differential]])-Table4[[#This Row],[Away Differential]]</f>
        <v>1.4387376720693852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0.73934956981688327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-0.39418177254008485</v>
      </c>
      <c r="H1232" t="s">
        <v>10</v>
      </c>
      <c r="I1232">
        <f>VLOOKUP(Table4[[#This Row],[Visitor]],'NHL Model'!$A$6:$B$38,2,FALSE)</f>
        <v>0.30570968833820172</v>
      </c>
      <c r="J1232">
        <f>($B$1+Table4[[#This Row],[Home Differential]])-Table4[[#This Row],[Away Differential]]</f>
        <v>-0.53731915121596818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0.55521945455131183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0.105105258369765</v>
      </c>
      <c r="H1233" t="s">
        <v>32</v>
      </c>
      <c r="I1233">
        <f>VLOOKUP(Table4[[#This Row],[Visitor]],'NHL Model'!$A$6:$B$38,2,FALSE)</f>
        <v>-0.361361309178443</v>
      </c>
      <c r="J1233">
        <f>($B$1+Table4[[#This Row],[Home Differential]])-Table4[[#This Row],[Away Differential]]</f>
        <v>0.62903887721052643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0.66319565284597071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0.51775546328552802</v>
      </c>
      <c r="H1234" t="s">
        <v>29</v>
      </c>
      <c r="I1234">
        <f>VLOOKUP(Table4[[#This Row],[Visitor]],'NHL Model'!$A$6:$B$38,2,FALSE)</f>
        <v>-1.3516250707060606</v>
      </c>
      <c r="J1234">
        <f>($B$1+Table4[[#This Row],[Home Differential]])-Table4[[#This Row],[Away Differential]]</f>
        <v>2.0319528436539072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0.92587456841635574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0.67193921242367816</v>
      </c>
      <c r="H1235" t="s">
        <v>21</v>
      </c>
      <c r="I1235">
        <f>VLOOKUP(Table4[[#This Row],[Visitor]],'NHL Model'!$A$6:$B$38,2,FALSE)</f>
        <v>4.029141914856392E-2</v>
      </c>
      <c r="J1235">
        <f>($B$1+Table4[[#This Row],[Home Differential]])-Table4[[#This Row],[Away Differential]]</f>
        <v>0.79422010293743261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0.70176205278723769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0.19809534061227302</v>
      </c>
      <c r="H1236" t="s">
        <v>16</v>
      </c>
      <c r="I1236">
        <f>VLOOKUP(Table4[[#This Row],[Visitor]],'NHL Model'!$A$6:$B$38,2,FALSE)</f>
        <v>-1.3903684122795328</v>
      </c>
      <c r="J1236">
        <f>($B$1+Table4[[#This Row],[Home Differential]])-Table4[[#This Row],[Away Differential]]</f>
        <v>1.7510360625541241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0.80865895344874372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-0.513643833119658</v>
      </c>
      <c r="H1237" t="s">
        <v>28</v>
      </c>
      <c r="I1237">
        <f>VLOOKUP(Table4[[#This Row],[Visitor]],'NHL Model'!$A$6:$B$38,2,FALSE)</f>
        <v>-0.40822279081308277</v>
      </c>
      <c r="J1237">
        <f>($B$1+Table4[[#This Row],[Home Differential]])-Table4[[#This Row],[Away Differential]]</f>
        <v>5.7151267355743163E-2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0.55337334871036759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-0.53650300840565446</v>
      </c>
      <c r="H1238" t="s">
        <v>32</v>
      </c>
      <c r="I1238">
        <f>VLOOKUP(Table4[[#This Row],[Visitor]],'NHL Model'!$A$6:$B$38,2,FALSE)</f>
        <v>-0.361361309178443</v>
      </c>
      <c r="J1238">
        <f>($B$1+Table4[[#This Row],[Home Differential]])-Table4[[#This Row],[Away Differential]]</f>
        <v>-1.2569389564893063E-2</v>
      </c>
      <c r="K1238" t="str">
        <f>IF(Table4[[#This Row],[HomeIce Differential]]&gt;0,Table4[[#This Row],[Home]],Table4[[#This Row],[Visitor]])</f>
        <v>Seattle Kraken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0.46174159782652957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-0.52437726201848234</v>
      </c>
      <c r="H1239" t="s">
        <v>11</v>
      </c>
      <c r="I1239">
        <f>VLOOKUP(Table4[[#This Row],[Visitor]],'NHL Model'!$A$6:$B$38,2,FALSE)</f>
        <v>-0.28105923893144158</v>
      </c>
      <c r="J1239">
        <f>($B$1+Table4[[#This Row],[Home Differential]])-Table4[[#This Row],[Away Differential]]</f>
        <v>-8.0745713424722365E-2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0.47118801818306699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0.559441163373953</v>
      </c>
      <c r="H1240" t="s">
        <v>27</v>
      </c>
      <c r="I1240">
        <f>VLOOKUP(Table4[[#This Row],[Visitor]],'NHL Model'!$A$6:$B$38,2,FALSE)</f>
        <v>-0.51358590497437617</v>
      </c>
      <c r="J1240">
        <f>($B$1+Table4[[#This Row],[Home Differential]])-Table4[[#This Row],[Away Differential]]</f>
        <v>1.2355993780106476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0.82663371077721204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-0.40651947573390851</v>
      </c>
      <c r="H1241" t="s">
        <v>37</v>
      </c>
      <c r="I1241">
        <f>VLOOKUP(Table4[[#This Row],[Visitor]],'NHL Model'!$A$6:$B$38,2,FALSE)</f>
        <v>-0.11309445867623392</v>
      </c>
      <c r="J1241">
        <f>($B$1+Table4[[#This Row],[Home Differential]])-Table4[[#This Row],[Away Differential]]</f>
        <v>-0.1308527073953562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0.52271793229247143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-1.6211574240381006</v>
      </c>
      <c r="H1242" t="s">
        <v>12</v>
      </c>
      <c r="I1242">
        <f>VLOOKUP(Table4[[#This Row],[Visitor]],'NHL Model'!$A$6:$B$38,2,FALSE)</f>
        <v>1.5475013591489768</v>
      </c>
      <c r="J1242">
        <f>($B$1+Table4[[#This Row],[Home Differential]])-Table4[[#This Row],[Away Differential]]</f>
        <v>-3.0060864735247588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0.94283511538218923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-0.12212311954851815</v>
      </c>
      <c r="H1243" t="s">
        <v>17</v>
      </c>
      <c r="I1243">
        <f>VLOOKUP(Table4[[#This Row],[Visitor]],'NHL Model'!$A$6:$B$38,2,FALSE)</f>
        <v>-0.61980804137564283</v>
      </c>
      <c r="J1243">
        <f>($B$1+Table4[[#This Row],[Home Differential]])-Table4[[#This Row],[Away Differential]]</f>
        <v>0.66025723148944304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0.69975686603320186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-0.6902088310934803</v>
      </c>
      <c r="H1244" t="s">
        <v>20</v>
      </c>
      <c r="I1244">
        <f>VLOOKUP(Table4[[#This Row],[Visitor]],'NHL Model'!$A$6:$B$38,2,FALSE)</f>
        <v>-6.3745791019188943E-4</v>
      </c>
      <c r="J1244">
        <f>($B$1+Table4[[#This Row],[Home Differential]])-Table4[[#This Row],[Away Differential]]</f>
        <v>-0.52699906352097003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0.5537895169870084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-0.30719665303039001</v>
      </c>
      <c r="H1245" t="s">
        <v>23</v>
      </c>
      <c r="I1245">
        <f>VLOOKUP(Table4[[#This Row],[Visitor]],'NHL Model'!$A$6:$B$38,2,FALSE)</f>
        <v>-0.8683412362501769</v>
      </c>
      <c r="J1245">
        <f>($B$1+Table4[[#This Row],[Home Differential]])-Table4[[#This Row],[Away Differential]]</f>
        <v>0.72371689288210528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0.64027724585660351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-0.39418177254008485</v>
      </c>
      <c r="H1246" t="s">
        <v>17</v>
      </c>
      <c r="I1246">
        <f>VLOOKUP(Table4[[#This Row],[Visitor]],'NHL Model'!$A$6:$B$38,2,FALSE)</f>
        <v>-0.61980804137564283</v>
      </c>
      <c r="J1246">
        <f>($B$1+Table4[[#This Row],[Home Differential]])-Table4[[#This Row],[Away Differential]]</f>
        <v>0.38819857849787637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0.593788276438031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-0.635565543477981</v>
      </c>
      <c r="H1247" t="s">
        <v>22</v>
      </c>
      <c r="I1247">
        <f>VLOOKUP(Table4[[#This Row],[Visitor]],'NHL Model'!$A$6:$B$38,2,FALSE)</f>
        <v>-6.1308839486784707E-2</v>
      </c>
      <c r="J1247">
        <f>($B$1+Table4[[#This Row],[Home Differential]])-Table4[[#This Row],[Away Differential]]</f>
        <v>-0.41168439432887788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0.51704243970462183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0.51775546328552802</v>
      </c>
      <c r="H1248" t="s">
        <v>33</v>
      </c>
      <c r="I1248">
        <f>VLOOKUP(Table4[[#This Row],[Visitor]],'NHL Model'!$A$6:$B$38,2,FALSE)</f>
        <v>-0.39418177254008485</v>
      </c>
      <c r="J1248">
        <f>($B$1+Table4[[#This Row],[Home Differential]])-Table4[[#This Row],[Away Differential]]</f>
        <v>1.0745095454879312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0.7932125040812249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-0.8683412362501769</v>
      </c>
      <c r="H1249" t="s">
        <v>28</v>
      </c>
      <c r="I1249">
        <f>VLOOKUP(Table4[[#This Row],[Visitor]],'NHL Model'!$A$6:$B$38,2,FALSE)</f>
        <v>-0.40822279081308277</v>
      </c>
      <c r="J1249">
        <f>($B$1+Table4[[#This Row],[Home Differential]])-Table4[[#This Row],[Away Differential]]</f>
        <v>-0.29754613577477573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0.52199682584711704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0.30570968833820172</v>
      </c>
      <c r="H1250" t="s">
        <v>25</v>
      </c>
      <c r="I1250">
        <f>VLOOKUP(Table4[[#This Row],[Visitor]],'NHL Model'!$A$6:$B$38,2,FALSE)</f>
        <v>0.67193921242367816</v>
      </c>
      <c r="J1250">
        <f>($B$1+Table4[[#This Row],[Home Differential]])-Table4[[#This Row],[Away Differential]]</f>
        <v>-0.20365721442315804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0.58070465940792482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1.5475013591489768</v>
      </c>
      <c r="H1251" t="s">
        <v>16</v>
      </c>
      <c r="I1251">
        <f>VLOOKUP(Table4[[#This Row],[Visitor]],'NHL Model'!$A$6:$B$38,2,FALSE)</f>
        <v>-1.3903684122795328</v>
      </c>
      <c r="J1251">
        <f>($B$1+Table4[[#This Row],[Home Differential]])-Table4[[#This Row],[Away Differential]]</f>
        <v>3.100442081090828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0.19809534061227302</v>
      </c>
      <c r="H1252" t="s">
        <v>34</v>
      </c>
      <c r="I1252">
        <f>VLOOKUP(Table4[[#This Row],[Visitor]],'NHL Model'!$A$6:$B$38,2,FALSE)</f>
        <v>-0.53650300840565446</v>
      </c>
      <c r="J1252">
        <f>($B$1+Table4[[#This Row],[Home Differential]])-Table4[[#This Row],[Away Differential]]</f>
        <v>0.89717065868024592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0.69034850377590873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-0.513643833119658</v>
      </c>
      <c r="H1253" t="s">
        <v>27</v>
      </c>
      <c r="I1253">
        <f>VLOOKUP(Table4[[#This Row],[Visitor]],'NHL Model'!$A$6:$B$38,2,FALSE)</f>
        <v>-0.51358590497437617</v>
      </c>
      <c r="J1253">
        <f>($B$1+Table4[[#This Row],[Home Differential]])-Table4[[#This Row],[Away Differential]]</f>
        <v>0.16251438151703657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0.58855551144735596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-7.5459708298993802E-2</v>
      </c>
      <c r="H1254" t="s">
        <v>38</v>
      </c>
      <c r="I1254">
        <f>VLOOKUP(Table4[[#This Row],[Visitor]],'NHL Model'!$A$6:$B$38,2,FALSE)</f>
        <v>-0.6902088310934803</v>
      </c>
      <c r="J1254">
        <f>($B$1+Table4[[#This Row],[Home Differential]])-Table4[[#This Row],[Away Differential]]</f>
        <v>0.77732143245680485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0.60519205643512552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-0.52437726201848234</v>
      </c>
      <c r="H1255" t="s">
        <v>37</v>
      </c>
      <c r="I1255">
        <f>VLOOKUP(Table4[[#This Row],[Visitor]],'NHL Model'!$A$6:$B$38,2,FALSE)</f>
        <v>-0.11309445867623392</v>
      </c>
      <c r="J1255">
        <f>($B$1+Table4[[#This Row],[Home Differential]])-Table4[[#This Row],[Away Differential]]</f>
        <v>-0.24871049367993003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0.5415603852300116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0.559441163373953</v>
      </c>
      <c r="H1256" t="s">
        <v>14</v>
      </c>
      <c r="I1256">
        <f>VLOOKUP(Table4[[#This Row],[Visitor]],'NHL Model'!$A$6:$B$38,2,FALSE)</f>
        <v>0.26289091192875702</v>
      </c>
      <c r="J1256">
        <f>($B$1+Table4[[#This Row],[Home Differential]])-Table4[[#This Row],[Away Differential]]</f>
        <v>0.45912256110751437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0.71904612033080206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-6.4729560818359025E-2</v>
      </c>
      <c r="H1257" t="s">
        <v>19</v>
      </c>
      <c r="I1257">
        <f>VLOOKUP(Table4[[#This Row],[Visitor]],'NHL Model'!$A$6:$B$38,2,FALSE)</f>
        <v>-0.635565543477981</v>
      </c>
      <c r="J1257">
        <f>($B$1+Table4[[#This Row],[Home Differential]])-Table4[[#This Row],[Away Differential]]</f>
        <v>0.73340829232194038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0.64162007321614278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-0.40651947573390851</v>
      </c>
      <c r="H1258" t="s">
        <v>11</v>
      </c>
      <c r="I1258">
        <f>VLOOKUP(Table4[[#This Row],[Visitor]],'NHL Model'!$A$6:$B$38,2,FALSE)</f>
        <v>-0.28105923893144158</v>
      </c>
      <c r="J1258">
        <f>($B$1+Table4[[#This Row],[Home Differential]])-Table4[[#This Row],[Away Differential]]</f>
        <v>3.7112072859851464E-2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0.54763767844138567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-0.361361309178443</v>
      </c>
      <c r="H1259" t="s">
        <v>20</v>
      </c>
      <c r="I1259">
        <f>VLOOKUP(Table4[[#This Row],[Visitor]],'NHL Model'!$A$6:$B$38,2,FALSE)</f>
        <v>-6.3745791019188943E-4</v>
      </c>
      <c r="J1259">
        <f>($B$1+Table4[[#This Row],[Home Differential]])-Table4[[#This Row],[Away Differential]]</f>
        <v>-0.19815154160593271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0.4820010674376079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-1.6211574240381006</v>
      </c>
      <c r="H1260" t="s">
        <v>40</v>
      </c>
      <c r="I1260">
        <f>VLOOKUP(Table4[[#This Row],[Visitor]],'NHL Model'!$A$6:$B$38,2,FALSE)</f>
        <v>0.105105258369765</v>
      </c>
      <c r="J1260">
        <f>($B$1+Table4[[#This Row],[Home Differential]])-Table4[[#This Row],[Away Differential]]</f>
        <v>-1.5636903727455471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0.74297863857060653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-0.12212311954851815</v>
      </c>
      <c r="H1261" t="s">
        <v>29</v>
      </c>
      <c r="I1261">
        <f>VLOOKUP(Table4[[#This Row],[Visitor]],'NHL Model'!$A$6:$B$38,2,FALSE)</f>
        <v>-1.3516250707060606</v>
      </c>
      <c r="J1261">
        <f>($B$1+Table4[[#This Row],[Home Differential]])-Table4[[#This Row],[Away Differential]]</f>
        <v>1.3920742608198609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0.8011564559750245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4.029141914856392E-2</v>
      </c>
      <c r="H1262" t="s">
        <v>37</v>
      </c>
      <c r="I1262">
        <f>VLOOKUP(Table4[[#This Row],[Visitor]],'NHL Model'!$A$6:$B$38,2,FALSE)</f>
        <v>-0.11309445867623392</v>
      </c>
      <c r="J1262">
        <f>($B$1+Table4[[#This Row],[Home Differential]])-Table4[[#This Row],[Away Differential]]</f>
        <v>0.31595818748711624</v>
      </c>
      <c r="K1262" t="str">
        <f>IF(Table4[[#This Row],[HomeIce Differential]]&gt;0,Table4[[#This Row],[Home]],Table4[[#This Row],[Visitor]])</f>
        <v>Boston Bruins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0.61070787822455908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0.30570968833820172</v>
      </c>
      <c r="H1263" t="s">
        <v>35</v>
      </c>
      <c r="I1263">
        <f>VLOOKUP(Table4[[#This Row],[Visitor]],'NHL Model'!$A$6:$B$38,2,FALSE)</f>
        <v>-1.6211574240381006</v>
      </c>
      <c r="J1263">
        <f>($B$1+Table4[[#This Row],[Home Differential]])-Table4[[#This Row],[Away Differential]]</f>
        <v>2.0894394220386205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0.82950993501319004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1.5475013591489768</v>
      </c>
      <c r="H1264" t="s">
        <v>20</v>
      </c>
      <c r="I1264">
        <f>VLOOKUP(Table4[[#This Row],[Visitor]],'NHL Model'!$A$6:$B$38,2,FALSE)</f>
        <v>-6.3745791019188943E-4</v>
      </c>
      <c r="J1264">
        <f>($B$1+Table4[[#This Row],[Home Differential]])-Table4[[#This Row],[Away Differential]]</f>
        <v>1.7107111267214872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0.84572950053514329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0.19809534061227302</v>
      </c>
      <c r="H1265" t="s">
        <v>15</v>
      </c>
      <c r="I1265">
        <f>VLOOKUP(Table4[[#This Row],[Visitor]],'NHL Model'!$A$6:$B$38,2,FALSE)</f>
        <v>-0.30719665303039001</v>
      </c>
      <c r="J1265">
        <f>($B$1+Table4[[#This Row],[Home Differential]])-Table4[[#This Row],[Away Differential]]</f>
        <v>0.66786430330498137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0.5156153087357922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-0.513643833119658</v>
      </c>
      <c r="H1266" t="s">
        <v>24</v>
      </c>
      <c r="I1266">
        <f>VLOOKUP(Table4[[#This Row],[Visitor]],'NHL Model'!$A$6:$B$38,2,FALSE)</f>
        <v>0.559441163373953</v>
      </c>
      <c r="J1266">
        <f>($B$1+Table4[[#This Row],[Home Differential]])-Table4[[#This Row],[Away Differential]]</f>
        <v>-0.91051268683129261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0.62615942152370296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-7.5459708298993802E-2</v>
      </c>
      <c r="H1267" t="s">
        <v>17</v>
      </c>
      <c r="I1267">
        <f>VLOOKUP(Table4[[#This Row],[Visitor]],'NHL Model'!$A$6:$B$38,2,FALSE)</f>
        <v>-0.61980804137564283</v>
      </c>
      <c r="J1267">
        <f>($B$1+Table4[[#This Row],[Home Differential]])-Table4[[#This Row],[Away Differential]]</f>
        <v>0.70692064273896738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0.63794997987506052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-0.52437726201848234</v>
      </c>
      <c r="H1268" t="s">
        <v>28</v>
      </c>
      <c r="I1268">
        <f>VLOOKUP(Table4[[#This Row],[Visitor]],'NHL Model'!$A$6:$B$38,2,FALSE)</f>
        <v>-0.40822279081308277</v>
      </c>
      <c r="J1268">
        <f>($B$1+Table4[[#This Row],[Home Differential]])-Table4[[#This Row],[Away Differential]]</f>
        <v>4.6417838456918825E-2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0.52566236291727286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-1.3516250707060606</v>
      </c>
      <c r="H1269" t="s">
        <v>34</v>
      </c>
      <c r="I1269">
        <f>VLOOKUP(Table4[[#This Row],[Visitor]],'NHL Model'!$A$6:$B$38,2,FALSE)</f>
        <v>-0.53650300840565446</v>
      </c>
      <c r="J1269">
        <f>($B$1+Table4[[#This Row],[Home Differential]])-Table4[[#This Row],[Away Differential]]</f>
        <v>-0.65254975263808779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0.55041642197733653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-6.4729560818359025E-2</v>
      </c>
      <c r="H1270" t="s">
        <v>36</v>
      </c>
      <c r="I1270">
        <f>VLOOKUP(Table4[[#This Row],[Visitor]],'NHL Model'!$A$6:$B$38,2,FALSE)</f>
        <v>-0.40651947573390851</v>
      </c>
      <c r="J1270">
        <f>($B$1+Table4[[#This Row],[Home Differential]])-Table4[[#This Row],[Away Differential]]</f>
        <v>0.50436222457786783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0.60988375605461687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0.26289091192875702</v>
      </c>
      <c r="H1271" t="s">
        <v>22</v>
      </c>
      <c r="I1271">
        <f>VLOOKUP(Table4[[#This Row],[Visitor]],'NHL Model'!$A$6:$B$38,2,FALSE)</f>
        <v>-6.1308839486784707E-2</v>
      </c>
      <c r="J1271">
        <f>($B$1+Table4[[#This Row],[Home Differential]])-Table4[[#This Row],[Away Differential]]</f>
        <v>0.48677206107786014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0.64348335285839042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-0.361361309178443</v>
      </c>
      <c r="H1272" t="s">
        <v>16</v>
      </c>
      <c r="I1272">
        <f>VLOOKUP(Table4[[#This Row],[Visitor]],'NHL Model'!$A$6:$B$38,2,FALSE)</f>
        <v>-1.3903684122795328</v>
      </c>
      <c r="J1272">
        <f>($B$1+Table4[[#This Row],[Home Differential]])-Table4[[#This Row],[Away Differential]]</f>
        <v>1.1915794127634083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0.73114138743786683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-0.39418177254008485</v>
      </c>
      <c r="H1273" t="s">
        <v>38</v>
      </c>
      <c r="I1273">
        <f>VLOOKUP(Table4[[#This Row],[Visitor]],'NHL Model'!$A$6:$B$38,2,FALSE)</f>
        <v>-0.6902088310934803</v>
      </c>
      <c r="J1273">
        <f>($B$1+Table4[[#This Row],[Home Differential]])-Table4[[#This Row],[Away Differential]]</f>
        <v>0.45859936821571384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0.56103035299809589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-0.635565543477981</v>
      </c>
      <c r="H1274" t="s">
        <v>11</v>
      </c>
      <c r="I1274">
        <f>VLOOKUP(Table4[[#This Row],[Visitor]],'NHL Model'!$A$6:$B$38,2,FALSE)</f>
        <v>-0.28105923893144158</v>
      </c>
      <c r="J1274">
        <f>($B$1+Table4[[#This Row],[Home Differential]])-Table4[[#This Row],[Away Differential]]</f>
        <v>-0.19193399488422103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0.48659411792448021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-0.12212311954851815</v>
      </c>
      <c r="H1275" t="s">
        <v>25</v>
      </c>
      <c r="I1275">
        <f>VLOOKUP(Table4[[#This Row],[Visitor]],'NHL Model'!$A$6:$B$38,2,FALSE)</f>
        <v>0.67193921242367816</v>
      </c>
      <c r="J1275">
        <f>($B$1+Table4[[#This Row],[Home Differential]])-Table4[[#This Row],[Away Differential]]</f>
        <v>-0.63149002230987794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0.57025703456663401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0.105105258369765</v>
      </c>
      <c r="H1276" t="s">
        <v>27</v>
      </c>
      <c r="I1276">
        <f>VLOOKUP(Table4[[#This Row],[Visitor]],'NHL Model'!$A$6:$B$38,2,FALSE)</f>
        <v>-0.51358590497437617</v>
      </c>
      <c r="J1276">
        <f>($B$1+Table4[[#This Row],[Home Differential]])-Table4[[#This Row],[Away Differential]]</f>
        <v>0.7812634730064596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0.68428768948098884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0.51775546328552802</v>
      </c>
      <c r="H1277" t="s">
        <v>38</v>
      </c>
      <c r="I1277">
        <f>VLOOKUP(Table4[[#This Row],[Visitor]],'NHL Model'!$A$6:$B$38,2,FALSE)</f>
        <v>-0.6902088310934803</v>
      </c>
      <c r="J1277">
        <f>($B$1+Table4[[#This Row],[Home Differential]])-Table4[[#This Row],[Away Differential]]</f>
        <v>1.3705366040413267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0.79429532533705627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-0.40822279081308277</v>
      </c>
      <c r="H1278" t="s">
        <v>21</v>
      </c>
      <c r="I1278">
        <f>VLOOKUP(Table4[[#This Row],[Visitor]],'NHL Model'!$A$6:$B$38,2,FALSE)</f>
        <v>4.029141914856392E-2</v>
      </c>
      <c r="J1278">
        <f>($B$1+Table4[[#This Row],[Home Differential]])-Table4[[#This Row],[Away Differential]]</f>
        <v>-0.28594190029932831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0.49961972771263075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-1.3903684122795328</v>
      </c>
      <c r="H1279" t="s">
        <v>55</v>
      </c>
      <c r="I1279">
        <f>VLOOKUP(Table4[[#This Row],[Visitor]],'NHL Model'!$A$6:$B$38,2,FALSE)</f>
        <v>-0.12212311954851815</v>
      </c>
      <c r="J1279">
        <f>($B$1+Table4[[#This Row],[Home Differential]])-Table4[[#This Row],[Away Differential]]</f>
        <v>-1.1056729830686962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0.61320057145362961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0.559441163373953</v>
      </c>
      <c r="H1280" t="s">
        <v>36</v>
      </c>
      <c r="I1280">
        <f>VLOOKUP(Table4[[#This Row],[Visitor]],'NHL Model'!$A$6:$B$38,2,FALSE)</f>
        <v>-0.40651947573390851</v>
      </c>
      <c r="J1280">
        <f>($B$1+Table4[[#This Row],[Home Differential]])-Table4[[#This Row],[Away Differential]]</f>
        <v>1.1285329487701798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0.81179872937284125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-6.4729560818359025E-2</v>
      </c>
      <c r="H1281" t="s">
        <v>18</v>
      </c>
      <c r="I1281">
        <f>VLOOKUP(Table4[[#This Row],[Visitor]],'NHL Model'!$A$6:$B$38,2,FALSE)</f>
        <v>-0.52437726201848234</v>
      </c>
      <c r="J1281">
        <f>($B$1+Table4[[#This Row],[Home Differential]])-Table4[[#This Row],[Away Differential]]</f>
        <v>0.62222001086244172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0.54973328677945066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-6.1308839486784707E-2</v>
      </c>
      <c r="H1282" t="s">
        <v>14</v>
      </c>
      <c r="I1282">
        <f>VLOOKUP(Table4[[#This Row],[Visitor]],'NHL Model'!$A$6:$B$38,2,FALSE)</f>
        <v>0.26289091192875702</v>
      </c>
      <c r="J1282">
        <f>($B$1+Table4[[#This Row],[Home Differential]])-Table4[[#This Row],[Away Differential]]</f>
        <v>-0.16162744175322333</v>
      </c>
      <c r="K1282" t="str">
        <f>IF(Table4[[#This Row],[HomeIce Differential]]&gt;0,Table4[[#This Row],[Home]],Table4[[#This Row],[Visitor]])</f>
        <v>Pittsburgh Penguins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0.48239488240949779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0.30570968833820172</v>
      </c>
      <c r="H1283" t="s">
        <v>23</v>
      </c>
      <c r="I1283">
        <f>VLOOKUP(Table4[[#This Row],[Visitor]],'NHL Model'!$A$6:$B$38,2,FALSE)</f>
        <v>-0.8683412362501769</v>
      </c>
      <c r="J1283">
        <f>($B$1+Table4[[#This Row],[Home Differential]])-Table4[[#This Row],[Away Differential]]</f>
        <v>1.336623234250697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0.72520072972849592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-0.61980804137564283</v>
      </c>
      <c r="H1284" t="s">
        <v>12</v>
      </c>
      <c r="I1284">
        <f>VLOOKUP(Table4[[#This Row],[Visitor]],'NHL Model'!$A$6:$B$38,2,FALSE)</f>
        <v>1.5475013591489768</v>
      </c>
      <c r="J1284">
        <f>($B$1+Table4[[#This Row],[Home Differential]])-Table4[[#This Row],[Away Differential]]</f>
        <v>-2.0047370908623012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0.76756961152749659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-0.28105923893144158</v>
      </c>
      <c r="H1285" t="s">
        <v>15</v>
      </c>
      <c r="I1285">
        <f>VLOOKUP(Table4[[#This Row],[Visitor]],'NHL Model'!$A$6:$B$38,2,FALSE)</f>
        <v>-0.30719665303039001</v>
      </c>
      <c r="J1285">
        <f>($B$1+Table4[[#This Row],[Home Differential]])-Table4[[#This Row],[Away Differential]]</f>
        <v>0.18870972376126682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0.47512695906175656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-1.3516250707060606</v>
      </c>
      <c r="H1286" t="s">
        <v>33</v>
      </c>
      <c r="I1286">
        <f>VLOOKUP(Table4[[#This Row],[Visitor]],'NHL Model'!$A$6:$B$38,2,FALSE)</f>
        <v>-0.39418177254008485</v>
      </c>
      <c r="J1286">
        <f>($B$1+Table4[[#This Row],[Home Differential]])-Table4[[#This Row],[Away Differential]]</f>
        <v>-0.79487098850365734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0.57013626229040804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-0.51358590497437617</v>
      </c>
      <c r="H1287" t="s">
        <v>25</v>
      </c>
      <c r="I1287">
        <f>VLOOKUP(Table4[[#This Row],[Visitor]],'NHL Model'!$A$6:$B$38,2,FALSE)</f>
        <v>0.67193921242367816</v>
      </c>
      <c r="J1287">
        <f>($B$1+Table4[[#This Row],[Home Differential]])-Table4[[#This Row],[Away Differential]]</f>
        <v>-1.0229528077357359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0.69173897446626198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-0.361361309178443</v>
      </c>
      <c r="H1288" t="s">
        <v>13</v>
      </c>
      <c r="I1288">
        <f>VLOOKUP(Table4[[#This Row],[Visitor]],'NHL Model'!$A$6:$B$38,2,FALSE)</f>
        <v>-7.5459708298993802E-2</v>
      </c>
      <c r="J1288">
        <f>($B$1+Table4[[#This Row],[Home Differential]])-Table4[[#This Row],[Away Differential]]</f>
        <v>-0.12332929121713081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0.57264389738968136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-1.6211574240381006</v>
      </c>
      <c r="H1289" t="s">
        <v>34</v>
      </c>
      <c r="I1289">
        <f>VLOOKUP(Table4[[#This Row],[Visitor]],'NHL Model'!$A$6:$B$38,2,FALSE)</f>
        <v>-0.53650300840565446</v>
      </c>
      <c r="J1289">
        <f>($B$1+Table4[[#This Row],[Home Differential]])-Table4[[#This Row],[Away Differential]]</f>
        <v>-0.92208210597012774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0.58776246478386907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-0.11309445867623392</v>
      </c>
      <c r="H1290" t="s">
        <v>26</v>
      </c>
      <c r="I1290">
        <f>VLOOKUP(Table4[[#This Row],[Visitor]],'NHL Model'!$A$6:$B$38,2,FALSE)</f>
        <v>-0.513643833119658</v>
      </c>
      <c r="J1290">
        <f>($B$1+Table4[[#This Row],[Home Differential]])-Table4[[#This Row],[Away Differential]]</f>
        <v>0.56312168410574248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0.57092599678867817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-0.635565543477981</v>
      </c>
      <c r="H1291" t="s">
        <v>39</v>
      </c>
      <c r="I1291">
        <f>VLOOKUP(Table4[[#This Row],[Visitor]],'NHL Model'!$A$6:$B$38,2,FALSE)</f>
        <v>0.19809534061227302</v>
      </c>
      <c r="J1291">
        <f>($B$1+Table4[[#This Row],[Home Differential]])-Table4[[#This Row],[Away Differential]]</f>
        <v>-0.67108857442793557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0.64547132420363129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-6.3745791019188943E-4</v>
      </c>
      <c r="H1292" t="s">
        <v>40</v>
      </c>
      <c r="I1292">
        <f>VLOOKUP(Table4[[#This Row],[Visitor]],'NHL Model'!$A$6:$B$38,2,FALSE)</f>
        <v>0.105105258369765</v>
      </c>
      <c r="J1292">
        <f>($B$1+Table4[[#This Row],[Home Differential]])-Table4[[#This Row],[Away Differential]]</f>
        <v>5.6829593382361487E-2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0.48155844306611389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4.029141914856392E-2</v>
      </c>
      <c r="H1293" t="s">
        <v>24</v>
      </c>
      <c r="I1293">
        <f>VLOOKUP(Table4[[#This Row],[Visitor]],'NHL Model'!$A$6:$B$38,2,FALSE)</f>
        <v>0.559441163373953</v>
      </c>
      <c r="J1293">
        <f>($B$1+Table4[[#This Row],[Home Differential]])-Table4[[#This Row],[Away Differential]]</f>
        <v>-0.35657743456307067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0.5014616874979968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-0.40822279081308277</v>
      </c>
      <c r="H1294" t="s">
        <v>22</v>
      </c>
      <c r="I1294">
        <f>VLOOKUP(Table4[[#This Row],[Visitor]],'NHL Model'!$A$6:$B$38,2,FALSE)</f>
        <v>-6.1308839486784707E-2</v>
      </c>
      <c r="J1294">
        <f>($B$1+Table4[[#This Row],[Home Differential]])-Table4[[#This Row],[Away Differential]]</f>
        <v>-0.18434164166397968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0.48554213160498944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-1.3903684122795328</v>
      </c>
      <c r="H1295" t="s">
        <v>12</v>
      </c>
      <c r="I1295">
        <f>VLOOKUP(Table4[[#This Row],[Visitor]],'NHL Model'!$A$6:$B$38,2,FALSE)</f>
        <v>1.5475013591489768</v>
      </c>
      <c r="J1295">
        <f>($B$1+Table4[[#This Row],[Home Differential]])-Table4[[#This Row],[Away Differential]]</f>
        <v>-2.7752974617661912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0.91085729822643235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-0.53650300840565446</v>
      </c>
      <c r="H1296" t="s">
        <v>31</v>
      </c>
      <c r="I1296">
        <f>VLOOKUP(Table4[[#This Row],[Visitor]],'NHL Model'!$A$6:$B$38,2,FALSE)</f>
        <v>0.51775546328552802</v>
      </c>
      <c r="J1296">
        <f>($B$1+Table4[[#This Row],[Home Differential]])-Table4[[#This Row],[Away Differential]]</f>
        <v>-0.89168616202886408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0.60432007416686506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-6.4729560818359025E-2</v>
      </c>
      <c r="H1297" t="s">
        <v>25</v>
      </c>
      <c r="I1297">
        <f>VLOOKUP(Table4[[#This Row],[Visitor]],'NHL Model'!$A$6:$B$38,2,FALSE)</f>
        <v>0.67193921242367816</v>
      </c>
      <c r="J1297">
        <f>($B$1+Table4[[#This Row],[Home Differential]])-Table4[[#This Row],[Away Differential]]</f>
        <v>-0.57409646357971877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0.6320322268973011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-0.51358590497437617</v>
      </c>
      <c r="H1298" t="s">
        <v>18</v>
      </c>
      <c r="I1298">
        <f>VLOOKUP(Table4[[#This Row],[Visitor]],'NHL Model'!$A$6:$B$38,2,FALSE)</f>
        <v>-0.52437726201848234</v>
      </c>
      <c r="J1298">
        <f>($B$1+Table4[[#This Row],[Home Differential]])-Table4[[#This Row],[Away Differential]]</f>
        <v>0.17336366670642456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0.49004045553619291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-1.6211574240381006</v>
      </c>
      <c r="H1299" t="s">
        <v>14</v>
      </c>
      <c r="I1299">
        <f>VLOOKUP(Table4[[#This Row],[Visitor]],'NHL Model'!$A$6:$B$38,2,FALSE)</f>
        <v>0.26289091192875702</v>
      </c>
      <c r="J1299">
        <f>($B$1+Table4[[#This Row],[Home Differential]])-Table4[[#This Row],[Away Differential]]</f>
        <v>-1.7214760263045392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0.69852541846651339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-0.12212311954851815</v>
      </c>
      <c r="H1300" t="s">
        <v>40</v>
      </c>
      <c r="I1300">
        <f>VLOOKUP(Table4[[#This Row],[Visitor]],'NHL Model'!$A$6:$B$38,2,FALSE)</f>
        <v>0.105105258369765</v>
      </c>
      <c r="J1300">
        <f>($B$1+Table4[[#This Row],[Home Differential]])-Table4[[#This Row],[Away Differential]]</f>
        <v>-6.465606825596476E-2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0.46548039757324783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-0.6902088310934803</v>
      </c>
      <c r="H1301" t="s">
        <v>13</v>
      </c>
      <c r="I1301">
        <f>VLOOKUP(Table4[[#This Row],[Visitor]],'NHL Model'!$A$6:$B$38,2,FALSE)</f>
        <v>-7.5459708298993802E-2</v>
      </c>
      <c r="J1301">
        <f>($B$1+Table4[[#This Row],[Home Differential]])-Table4[[#This Row],[Away Differential]]</f>
        <v>-0.45217681313216812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0.64404836399695953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-0.8683412362501769</v>
      </c>
      <c r="H1302" t="s">
        <v>39</v>
      </c>
      <c r="I1302">
        <f>VLOOKUP(Table4[[#This Row],[Visitor]],'NHL Model'!$A$6:$B$38,2,FALSE)</f>
        <v>0.19809534061227302</v>
      </c>
      <c r="J1302">
        <f>($B$1+Table4[[#This Row],[Home Differential]])-Table4[[#This Row],[Away Differential]]</f>
        <v>-0.90386426720013158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0.67772441322660804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0.30570968833820172</v>
      </c>
      <c r="H1303" t="s">
        <v>33</v>
      </c>
      <c r="I1303">
        <f>VLOOKUP(Table4[[#This Row],[Visitor]],'NHL Model'!$A$6:$B$38,2,FALSE)</f>
        <v>-0.39418177254008485</v>
      </c>
      <c r="J1303">
        <f>($B$1+Table4[[#This Row],[Home Differential]])-Table4[[#This Row],[Away Differential]]</f>
        <v>0.86246377054060497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0.65950182787152667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-0.28105923893144158</v>
      </c>
      <c r="H1304" t="s">
        <v>26</v>
      </c>
      <c r="I1304">
        <f>VLOOKUP(Table4[[#This Row],[Visitor]],'NHL Model'!$A$6:$B$38,2,FALSE)</f>
        <v>-0.513643833119658</v>
      </c>
      <c r="J1304">
        <f>($B$1+Table4[[#This Row],[Home Differential]])-Table4[[#This Row],[Away Differential]]</f>
        <v>0.39515690385053481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0.60020695815773939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-0.40651947573390851</v>
      </c>
      <c r="H1305" t="s">
        <v>19</v>
      </c>
      <c r="I1305">
        <f>VLOOKUP(Table4[[#This Row],[Visitor]],'NHL Model'!$A$6:$B$38,2,FALSE)</f>
        <v>-0.635565543477981</v>
      </c>
      <c r="J1305">
        <f>($B$1+Table4[[#This Row],[Home Differential]])-Table4[[#This Row],[Away Differential]]</f>
        <v>0.39161837740639088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0.59675759841058873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-0.11309445867623392</v>
      </c>
      <c r="H1306" t="s">
        <v>15</v>
      </c>
      <c r="I1306">
        <f>VLOOKUP(Table4[[#This Row],[Visitor]],'NHL Model'!$A$6:$B$38,2,FALSE)</f>
        <v>-0.30719665303039001</v>
      </c>
      <c r="J1306">
        <f>($B$1+Table4[[#This Row],[Home Differential]])-Table4[[#This Row],[Away Differential]]</f>
        <v>0.35667450401647449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0.44701070423701939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-6.3745791019188943E-4</v>
      </c>
      <c r="H1307" t="s">
        <v>32</v>
      </c>
      <c r="I1307">
        <f>VLOOKUP(Table4[[#This Row],[Visitor]],'NHL Model'!$A$6:$B$38,2,FALSE)</f>
        <v>-0.361361309178443</v>
      </c>
      <c r="J1307">
        <f>($B$1+Table4[[#This Row],[Home Differential]])-Table4[[#This Row],[Away Differential]]</f>
        <v>0.52329616093056952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0.61250721698159905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-1.3903684122795328</v>
      </c>
      <c r="H1308" t="s">
        <v>13</v>
      </c>
      <c r="I1308">
        <f>VLOOKUP(Table4[[#This Row],[Visitor]],'NHL Model'!$A$6:$B$38,2,FALSE)</f>
        <v>-7.5459708298993802E-2</v>
      </c>
      <c r="J1308">
        <f>($B$1+Table4[[#This Row],[Home Differential]])-Table4[[#This Row],[Away Differential]]</f>
        <v>-1.1523363943182205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0.74106154021542259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1.5475013591489768</v>
      </c>
      <c r="H1309" t="s">
        <v>32</v>
      </c>
      <c r="I1309">
        <f>VLOOKUP(Table4[[#This Row],[Visitor]],'NHL Model'!$A$6:$B$38,2,FALSE)</f>
        <v>-0.361361309178443</v>
      </c>
      <c r="J1309">
        <f>($B$1+Table4[[#This Row],[Home Differential]])-Table4[[#This Row],[Away Differential]]</f>
        <v>2.0714349779897381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0.91538151105394117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-0.61980804137564283</v>
      </c>
      <c r="H1310" t="s">
        <v>38</v>
      </c>
      <c r="I1310">
        <f>VLOOKUP(Table4[[#This Row],[Visitor]],'NHL Model'!$A$6:$B$38,2,FALSE)</f>
        <v>-0.6902088310934803</v>
      </c>
      <c r="J1310">
        <f>($B$1+Table4[[#This Row],[Home Differential]])-Table4[[#This Row],[Away Differential]]</f>
        <v>0.23297309938015587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0.56626102394312994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-1.3516250707060606</v>
      </c>
      <c r="H1311" t="s">
        <v>31</v>
      </c>
      <c r="I1311">
        <f>VLOOKUP(Table4[[#This Row],[Visitor]],'NHL Model'!$A$6:$B$38,2,FALSE)</f>
        <v>0.51775546328552802</v>
      </c>
      <c r="J1311">
        <f>($B$1+Table4[[#This Row],[Home Differential]])-Table4[[#This Row],[Away Differential]]</f>
        <v>-1.7068082243292704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0.7172622981889244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-0.12212311954851815</v>
      </c>
      <c r="H1312" t="s">
        <v>35</v>
      </c>
      <c r="I1312">
        <f>VLOOKUP(Table4[[#This Row],[Visitor]],'NHL Model'!$A$6:$B$38,2,FALSE)</f>
        <v>-1.6211574240381006</v>
      </c>
      <c r="J1312">
        <f>($B$1+Table4[[#This Row],[Home Differential]])-Table4[[#This Row],[Away Differential]]</f>
        <v>1.6616066141519008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0.83850249878155703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0.105105258369765</v>
      </c>
      <c r="H1313" t="s">
        <v>33</v>
      </c>
      <c r="I1313">
        <f>VLOOKUP(Table4[[#This Row],[Visitor]],'NHL Model'!$A$6:$B$38,2,FALSE)</f>
        <v>-0.39418177254008485</v>
      </c>
      <c r="J1313">
        <f>($B$1+Table4[[#This Row],[Home Differential]])-Table4[[#This Row],[Away Differential]]</f>
        <v>0.66185934057216822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0.66774321240415158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9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8" priority="9" operator="containsText" text="NO">
      <formula>NOT(ISERROR(SEARCH("NO",M2)))</formula>
    </cfRule>
    <cfRule type="containsText" dxfId="7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6" priority="3" operator="containsText" text="YES">
      <formula>NOT(ISERROR(SEARCH("YES",R1)))</formula>
    </cfRule>
    <cfRule type="containsText" dxfId="5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1B57C-C55E-6349-A9EE-324B5DF56C01}">
  <dimension ref="A1:X1313"/>
  <sheetViews>
    <sheetView topLeftCell="I1" zoomScale="75" workbookViewId="0">
      <pane ySplit="1" topLeftCell="A2" activePane="bottomLeft" state="frozen"/>
      <selection activeCell="G1" sqref="G1"/>
      <selection pane="bottomLeft" activeCell="Q2" sqref="Q2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3" width="19.83203125" customWidth="1"/>
    <col min="14" max="14" width="28.33203125" bestFit="1" customWidth="1"/>
    <col min="15" max="16" width="28.33203125" customWidth="1"/>
    <col min="18" max="18" width="29.1640625" bestFit="1" customWidth="1"/>
    <col min="19" max="19" width="19.83203125" bestFit="1" customWidth="1"/>
    <col min="20" max="20" width="17.33203125" bestFit="1" customWidth="1"/>
    <col min="22" max="22" width="13.6640625" bestFit="1" customWidth="1"/>
    <col min="24" max="24" width="15.33203125" bestFit="1" customWidth="1"/>
  </cols>
  <sheetData>
    <row r="1" spans="1:24" x14ac:dyDescent="0.2">
      <c r="A1" s="3" t="s">
        <v>41</v>
      </c>
      <c r="B1">
        <f>HomeEdge</f>
        <v>0.16257230966231839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255</v>
      </c>
      <c r="N1" s="9" t="s">
        <v>256</v>
      </c>
      <c r="O1" s="9" t="s">
        <v>257</v>
      </c>
      <c r="P1" s="9" t="s">
        <v>258</v>
      </c>
      <c r="Q1" s="9" t="s">
        <v>242</v>
      </c>
      <c r="R1" s="9" t="s">
        <v>247</v>
      </c>
      <c r="S1" s="9" t="s">
        <v>245</v>
      </c>
      <c r="T1" s="9" t="s">
        <v>246</v>
      </c>
    </row>
    <row r="2" spans="1:24" x14ac:dyDescent="0.2">
      <c r="D2" s="1">
        <v>45937</v>
      </c>
      <c r="E2" s="2">
        <v>0.70833333333333337</v>
      </c>
      <c r="F2" t="s">
        <v>11</v>
      </c>
      <c r="G2">
        <f>VLOOKUP(Table46[[#This Row],[Home]],'NHL Model'!$A$6:$B$38,2,FALSE)</f>
        <v>-0.28105923893144158</v>
      </c>
      <c r="H2" t="s">
        <v>10</v>
      </c>
      <c r="I2">
        <f>VLOOKUP(Table46[[#This Row],[Visitor]],'NHL Model'!$A$6:$B$38,2,FALSE)</f>
        <v>0.30570968833820172</v>
      </c>
      <c r="J2">
        <f>($B$1+Table46[[#This Row],[Home Differential]])-Table46[[#This Row],[Away Differential]]</f>
        <v>-0.42419661760732491</v>
      </c>
      <c r="K2" t="str">
        <f>IF(Table46[[#This Row],[HomeIce Differential]]&gt;0,Table46[[#This Row],[Home]],Table46[[#This Row],[Visitor]])</f>
        <v>Chicago Blackhawks</v>
      </c>
      <c r="L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0.48495522144074837</v>
      </c>
      <c r="M2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2" t="str">
        <f>IF(OR((NHL2025_26Results[[#This Row],[Winning Team]]="")),"-",IF(Table46[[#This Row],[Predicted Winner]]=NHL2025_26Results[[#This Row],[Winning Team]],"YES","NO"))</f>
        <v>NO</v>
      </c>
      <c r="O2" t="str">
        <f>IF(OR((NHL2025_26Results[[#This Row],[Winning Team]]="")),"-",IF(Table46[[#This Row],[Prob Winner]]=NHL2025_26Results[[#This Row],[Winning Team]],"YES","NO"))</f>
        <v>YES</v>
      </c>
      <c r="P2" t="str">
        <f>IF(Table46[[#This Row],[Locked Prediction]]&lt;&gt;Table46[[#This Row],[Prob Winner]], "Changed", "Same")</f>
        <v>Same</v>
      </c>
      <c r="Q2">
        <f>IF(Table46[[#This Row],[Adjusted Predicted Correct]]="-", "",IF(Table46[[#This Row],[Adjusted Predicted Correct]]="YES",(Table46[[#This Row],[Strength of Win]]-1)^2,(Table46[[#This Row],[Strength of Win]]-0)^2))</f>
        <v>0.23518156680264529</v>
      </c>
      <c r="R2">
        <v>2.0105266887074272E-2</v>
      </c>
      <c r="S2" t="s">
        <v>11</v>
      </c>
      <c r="T2" t="s">
        <v>248</v>
      </c>
      <c r="V2" s="3" t="s">
        <v>252</v>
      </c>
      <c r="X2" s="3" t="s">
        <v>253</v>
      </c>
    </row>
    <row r="3" spans="1:24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VLOOKUP(Table46[[#This Row],[Home]],'NHL Model'!$A$6:$B$38,2,FALSE)</f>
        <v>-7.5459708298993802E-2</v>
      </c>
      <c r="H3" t="s">
        <v>12</v>
      </c>
      <c r="I3">
        <f>VLOOKUP(Table46[[#This Row],[Visitor]],'NHL Model'!$A$6:$B$38,2,FALSE)</f>
        <v>1.5475013591489768</v>
      </c>
      <c r="J3">
        <f>($B$1+Table46[[#This Row],[Home Differential]])-Table46[[#This Row],[Away Differential]]</f>
        <v>-1.4603887577856522</v>
      </c>
      <c r="K3" t="str">
        <f>IF(Table46[[#This Row],[HomeIce Differential]]&gt;0,Table46[[#This Row],[Home]],Table46[[#This Row],[Visitor]])</f>
        <v>Colorado Avalanche</v>
      </c>
      <c r="L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0.72042921190529097</v>
      </c>
      <c r="M3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3" t="str">
        <f>IF(OR((NHL2025_26Results[[#This Row],[Winning Team]]="")),"-",IF(Table46[[#This Row],[Predicted Winner]]=NHL2025_26Results[[#This Row],[Winning Team]],"YES","NO"))</f>
        <v>YES</v>
      </c>
      <c r="O3" t="str">
        <f>IF(OR((NHL2025_26Results[[#This Row],[Winning Team]]="")),"-",IF(Table46[[#This Row],[Prob Winner]]=NHL2025_26Results[[#This Row],[Winning Team]],"YES","NO"))</f>
        <v>YES</v>
      </c>
      <c r="P3" t="str">
        <f>IF(Table46[[#This Row],[Locked Prediction]]&lt;&gt;Table46[[#This Row],[Prob Winner]], "Changed", "Same")</f>
        <v>Same</v>
      </c>
      <c r="Q3">
        <f>IF(Table46[[#This Row],[Adjusted Predicted Correct]]="-", "",IF(Table46[[#This Row],[Adjusted Predicted Correct]]="YES",(Table46[[#This Row],[Strength of Win]]-1)^2,(Table46[[#This Row],[Strength of Win]]-0)^2))</f>
        <v>7.8159825555896706E-2</v>
      </c>
      <c r="R3">
        <v>-7.4443026939693735E-2</v>
      </c>
      <c r="S3" t="s">
        <v>12</v>
      </c>
      <c r="T3" t="s">
        <v>248</v>
      </c>
      <c r="V3">
        <f>COUNTIF(Table46[Adjusted Predicted Correct],"YES")</f>
        <v>174</v>
      </c>
      <c r="X3">
        <f>COUNTIF(Table46[Locked Correct],"YES")</f>
        <v>142</v>
      </c>
    </row>
    <row r="4" spans="1:24" x14ac:dyDescent="0.2">
      <c r="A4" s="4" t="s">
        <v>31</v>
      </c>
      <c r="B4">
        <v>0.67589123806071094</v>
      </c>
      <c r="D4" s="1">
        <v>45937</v>
      </c>
      <c r="E4" s="2">
        <v>0.83333333333333337</v>
      </c>
      <c r="F4" t="s">
        <v>15</v>
      </c>
      <c r="G4">
        <f>VLOOKUP(Table46[[#This Row],[Home]],'NHL Model'!$A$6:$B$38,2,FALSE)</f>
        <v>-0.30719665303039001</v>
      </c>
      <c r="H4" t="s">
        <v>14</v>
      </c>
      <c r="I4">
        <f>VLOOKUP(Table46[[#This Row],[Visitor]],'NHL Model'!$A$6:$B$38,2,FALSE)</f>
        <v>0.26289091192875702</v>
      </c>
      <c r="J4">
        <f>($B$1+Table46[[#This Row],[Home Differential]])-Table46[[#This Row],[Away Differential]]</f>
        <v>-0.40751525529682864</v>
      </c>
      <c r="K4" t="str">
        <f>IF(Table46[[#This Row],[HomeIce Differential]]&gt;0,Table46[[#This Row],[Home]],Table46[[#This Row],[Visitor]])</f>
        <v>Pittsburgh Penguins</v>
      </c>
      <c r="L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0.51416652276802033</v>
      </c>
      <c r="M4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4" t="str">
        <f>IF(OR((NHL2025_26Results[[#This Row],[Winning Team]]="")),"-",IF(Table46[[#This Row],[Predicted Winner]]=NHL2025_26Results[[#This Row],[Winning Team]],"YES","NO"))</f>
        <v>YES</v>
      </c>
      <c r="O4" t="str">
        <f>IF(OR((NHL2025_26Results[[#This Row],[Winning Team]]="")),"-",IF(Table46[[#This Row],[Prob Winner]]=NHL2025_26Results[[#This Row],[Winning Team]],"YES","NO"))</f>
        <v>YES</v>
      </c>
      <c r="P4" t="str">
        <f>IF(Table46[[#This Row],[Locked Prediction]]&lt;&gt;Table46[[#This Row],[Prob Winner]], "Changed", "Same")</f>
        <v>Same</v>
      </c>
      <c r="Q4">
        <f>IF(Table46[[#This Row],[Adjusted Predicted Correct]]="-", "",IF(Table46[[#This Row],[Adjusted Predicted Correct]]="YES",(Table46[[#This Row],[Strength of Win]]-1)^2,(Table46[[#This Row],[Strength of Win]]-0)^2))</f>
        <v>0.2360341675993165</v>
      </c>
      <c r="R4">
        <v>-7.3597467237512884E-2</v>
      </c>
      <c r="S4" t="s">
        <v>14</v>
      </c>
      <c r="T4" t="s">
        <v>248</v>
      </c>
      <c r="V4">
        <f>COUNTIF(Table46[Adjusted Predicted Correct],"NO")</f>
        <v>126</v>
      </c>
      <c r="X4">
        <f>COUNTIF(Table46[[#All],[Locked Correct]],"NO")</f>
        <v>75</v>
      </c>
    </row>
    <row r="5" spans="1:24" x14ac:dyDescent="0.2">
      <c r="A5" s="4" t="s">
        <v>21</v>
      </c>
      <c r="B5">
        <v>-0.36229703367336352</v>
      </c>
      <c r="D5" s="1">
        <v>45938</v>
      </c>
      <c r="E5" s="2">
        <v>0.91666666666666663</v>
      </c>
      <c r="F5" t="s">
        <v>17</v>
      </c>
      <c r="G5">
        <f>VLOOKUP(Table46[[#This Row],[Home]],'NHL Model'!$A$6:$B$38,2,FALSE)</f>
        <v>-0.61980804137564283</v>
      </c>
      <c r="H5" t="s">
        <v>16</v>
      </c>
      <c r="I5">
        <f>VLOOKUP(Table46[[#This Row],[Visitor]],'NHL Model'!$A$6:$B$38,2,FALSE)</f>
        <v>-1.3903684122795328</v>
      </c>
      <c r="J5">
        <f>($B$1+Table46[[#This Row],[Home Differential]])-Table46[[#This Row],[Away Differential]]</f>
        <v>0.93313268056620835</v>
      </c>
      <c r="K5" t="str">
        <f>IF(Table46[[#This Row],[HomeIce Differential]]&gt;0,Table46[[#This Row],[Home]],Table46[[#This Row],[Visitor]])</f>
        <v>Edmonton Oilers</v>
      </c>
      <c r="L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0.70006793496485997</v>
      </c>
      <c r="M5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5" t="str">
        <f>IF(OR((NHL2025_26Results[[#This Row],[Winning Team]]="")),"-",IF(Table46[[#This Row],[Predicted Winner]]=NHL2025_26Results[[#This Row],[Winning Team]],"YES","NO"))</f>
        <v>NO</v>
      </c>
      <c r="O5" t="str">
        <f>IF(OR((NHL2025_26Results[[#This Row],[Winning Team]]="")),"-",IF(Table46[[#This Row],[Prob Winner]]=NHL2025_26Results[[#This Row],[Winning Team]],"YES","NO"))</f>
        <v>NO</v>
      </c>
      <c r="P5" t="str">
        <f>IF(Table46[[#This Row],[Locked Prediction]]&lt;&gt;Table46[[#This Row],[Prob Winner]], "Changed", "Same")</f>
        <v>Changed</v>
      </c>
      <c r="Q5">
        <f>IF(Table46[[#This Row],[Adjusted Predicted Correct]]="-", "",IF(Table46[[#This Row],[Adjusted Predicted Correct]]="YES",(Table46[[#This Row],[Strength of Win]]-1)^2,(Table46[[#This Row],[Strength of Win]]-0)^2))</f>
        <v>0.49009511356596341</v>
      </c>
      <c r="R5">
        <v>-4.1674767740132361E-3</v>
      </c>
      <c r="S5" t="s">
        <v>16</v>
      </c>
      <c r="T5" t="s">
        <v>248</v>
      </c>
      <c r="V5">
        <f>SUM(V3:V4)</f>
        <v>300</v>
      </c>
      <c r="X5">
        <f>SUM(X3:X4)</f>
        <v>217</v>
      </c>
    </row>
    <row r="6" spans="1:24" x14ac:dyDescent="0.2">
      <c r="A6" s="4" t="s">
        <v>23</v>
      </c>
      <c r="B6">
        <v>-0.98107012063491528</v>
      </c>
      <c r="D6" s="1">
        <v>45938</v>
      </c>
      <c r="E6" s="2">
        <v>0.79166666666666663</v>
      </c>
      <c r="F6" t="s">
        <v>19</v>
      </c>
      <c r="G6">
        <f>VLOOKUP(Table46[[#This Row],[Home]],'NHL Model'!$A$6:$B$38,2,FALSE)</f>
        <v>-0.635565543477981</v>
      </c>
      <c r="H6" t="s">
        <v>18</v>
      </c>
      <c r="I6">
        <f>VLOOKUP(Table46[[#This Row],[Visitor]],'NHL Model'!$A$6:$B$38,2,FALSE)</f>
        <v>-0.52437726201848234</v>
      </c>
      <c r="J6">
        <f>($B$1+Table46[[#This Row],[Home Differential]])-Table46[[#This Row],[Away Differential]]</f>
        <v>5.1384028202819731E-2</v>
      </c>
      <c r="K6" t="str">
        <f>IF(Table46[[#This Row],[HomeIce Differential]]&gt;0,Table46[[#This Row],[Home]],Table46[[#This Row],[Visitor]])</f>
        <v>Toronto Maple Leafs</v>
      </c>
      <c r="L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0.47034922727084566</v>
      </c>
      <c r="M6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6" t="str">
        <f>IF(OR((NHL2025_26Results[[#This Row],[Winning Team]]="")),"-",IF(Table46[[#This Row],[Predicted Winner]]=NHL2025_26Results[[#This Row],[Winning Team]],"YES","NO"))</f>
        <v>YES</v>
      </c>
      <c r="O6" t="str">
        <f>IF(OR((NHL2025_26Results[[#This Row],[Winning Team]]="")),"-",IF(Table46[[#This Row],[Prob Winner]]=NHL2025_26Results[[#This Row],[Winning Team]],"YES","NO"))</f>
        <v>NO</v>
      </c>
      <c r="P6" t="str">
        <f>IF(Table46[[#This Row],[Locked Prediction]]&lt;&gt;Table46[[#This Row],[Prob Winner]], "Changed", "Same")</f>
        <v>Same</v>
      </c>
      <c r="Q6">
        <f>IF(Table46[[#This Row],[Adjusted Predicted Correct]]="-", "",IF(Table46[[#This Row],[Adjusted Predicted Correct]]="YES",(Table46[[#This Row],[Strength of Win]]-1)^2,(Table46[[#This Row],[Strength of Win]]-0)^2))</f>
        <v>0.28052994105259038</v>
      </c>
      <c r="R6">
        <v>-4.4363714293103977E-3</v>
      </c>
      <c r="S6" t="s">
        <v>18</v>
      </c>
      <c r="T6" t="s">
        <v>249</v>
      </c>
      <c r="V6" s="13">
        <f>V3/V5</f>
        <v>0.57999999999999996</v>
      </c>
      <c r="X6" s="13">
        <f>X3/X5</f>
        <v>0.65437788018433185</v>
      </c>
    </row>
    <row r="7" spans="1:24" x14ac:dyDescent="0.2">
      <c r="A7" s="4" t="s">
        <v>16</v>
      </c>
      <c r="B7">
        <v>-1.6364974858741121</v>
      </c>
      <c r="D7" s="1">
        <v>45938</v>
      </c>
      <c r="E7" s="2">
        <v>0.91666666666666663</v>
      </c>
      <c r="F7" t="s">
        <v>20</v>
      </c>
      <c r="G7">
        <f>VLOOKUP(Table46[[#This Row],[Home]],'NHL Model'!$A$6:$B$38,2,FALSE)</f>
        <v>-6.3745791019188943E-4</v>
      </c>
      <c r="H7" t="s">
        <v>13</v>
      </c>
      <c r="I7">
        <f>VLOOKUP(Table46[[#This Row],[Visitor]],'NHL Model'!$A$6:$B$38,2,FALSE)</f>
        <v>-7.5459708298993802E-2</v>
      </c>
      <c r="J7">
        <f>($B$1+Table46[[#This Row],[Home Differential]])-Table46[[#This Row],[Away Differential]]</f>
        <v>0.23739456005112031</v>
      </c>
      <c r="K7" t="str">
        <f>IF(Table46[[#This Row],[HomeIce Differential]]&gt;0,Table46[[#This Row],[Home]],Table46[[#This Row],[Visitor]])</f>
        <v>Vegas Golden Knights</v>
      </c>
      <c r="L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0.45015890017525273</v>
      </c>
      <c r="M7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7" t="str">
        <f>IF(OR((NHL2025_26Results[[#This Row],[Winning Team]]="")),"-",IF(Table46[[#This Row],[Predicted Winner]]=NHL2025_26Results[[#This Row],[Winning Team]],"YES","NO"))</f>
        <v>NO</v>
      </c>
      <c r="O7" t="str">
        <f>IF(OR((NHL2025_26Results[[#This Row],[Winning Team]]="")),"-",IF(Table46[[#This Row],[Prob Winner]]=NHL2025_26Results[[#This Row],[Winning Team]],"YES","NO"))</f>
        <v>YES</v>
      </c>
      <c r="P7" t="str">
        <f>IF(Table46[[#This Row],[Locked Prediction]]&lt;&gt;Table46[[#This Row],[Prob Winner]], "Changed", "Same")</f>
        <v>Changed</v>
      </c>
      <c r="Q7">
        <f>IF(Table46[[#This Row],[Adjusted Predicted Correct]]="-", "",IF(Table46[[#This Row],[Adjusted Predicted Correct]]="YES",(Table46[[#This Row],[Strength of Win]]-1)^2,(Table46[[#This Row],[Strength of Win]]-0)^2))</f>
        <v>0.20264303540699316</v>
      </c>
      <c r="R7">
        <v>3.0320065545480886E-2</v>
      </c>
      <c r="S7" t="s">
        <v>20</v>
      </c>
      <c r="T7" t="s">
        <v>249</v>
      </c>
      <c r="V7" s="3" t="s">
        <v>49</v>
      </c>
    </row>
    <row r="8" spans="1:24" x14ac:dyDescent="0.2">
      <c r="A8" s="4" t="s">
        <v>25</v>
      </c>
      <c r="B8">
        <v>0.75139366829567689</v>
      </c>
      <c r="D8" s="1">
        <v>45938</v>
      </c>
      <c r="E8" s="2">
        <v>0.8125</v>
      </c>
      <c r="F8" t="s">
        <v>22</v>
      </c>
      <c r="G8">
        <f>VLOOKUP(Table46[[#This Row],[Home]],'NHL Model'!$A$6:$B$38,2,FALSE)</f>
        <v>-6.1308839486784707E-2</v>
      </c>
      <c r="H8" t="s">
        <v>21</v>
      </c>
      <c r="I8">
        <f>VLOOKUP(Table46[[#This Row],[Visitor]],'NHL Model'!$A$6:$B$38,2,FALSE)</f>
        <v>4.029141914856392E-2</v>
      </c>
      <c r="J8">
        <f>($B$1+Table46[[#This Row],[Home Differential]])-Table46[[#This Row],[Away Differential]]</f>
        <v>6.0972051026969773E-2</v>
      </c>
      <c r="K8" t="str">
        <f>IF(Table46[[#This Row],[HomeIce Differential]]&gt;0,Table46[[#This Row],[Home]],Table46[[#This Row],[Visitor]])</f>
        <v>Washington Capitals</v>
      </c>
      <c r="L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0.54810434443186595</v>
      </c>
      <c r="M8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8" t="str">
        <f>IF(OR((NHL2025_26Results[[#This Row],[Winning Team]]="")),"-",IF(Table46[[#This Row],[Predicted Winner]]=NHL2025_26Results[[#This Row],[Winning Team]],"YES","NO"))</f>
        <v>NO</v>
      </c>
      <c r="O8" t="str">
        <f>IF(OR((NHL2025_26Results[[#This Row],[Winning Team]]="")),"-",IF(Table46[[#This Row],[Prob Winner]]=NHL2025_26Results[[#This Row],[Winning Team]],"YES","NO"))</f>
        <v>NO</v>
      </c>
      <c r="P8" t="str">
        <f>IF(Table46[[#This Row],[Locked Prediction]]&lt;&gt;Table46[[#This Row],[Prob Winner]], "Changed", "Same")</f>
        <v>Changed</v>
      </c>
      <c r="Q8">
        <f>IF(Table46[[#This Row],[Adjusted Predicted Correct]]="-", "",IF(Table46[[#This Row],[Adjusted Predicted Correct]]="YES",(Table46[[#This Row],[Strength of Win]]-1)^2,(Table46[[#This Row],[Strength of Win]]-0)^2))</f>
        <v>0.30041837238508556</v>
      </c>
      <c r="R8">
        <v>-4.9858230986448791E-3</v>
      </c>
      <c r="S8" t="s">
        <v>21</v>
      </c>
      <c r="T8" t="s">
        <v>248</v>
      </c>
      <c r="V8">
        <f>SUM(Table46[Error])</f>
        <v>65.746316380265895</v>
      </c>
    </row>
    <row r="9" spans="1:24" x14ac:dyDescent="0.2">
      <c r="A9" s="4" t="s">
        <v>10</v>
      </c>
      <c r="B9">
        <v>-0.12943750136512031</v>
      </c>
      <c r="D9" s="1">
        <v>45939</v>
      </c>
      <c r="E9" s="2">
        <v>0.79166666666666663</v>
      </c>
      <c r="F9" t="s">
        <v>21</v>
      </c>
      <c r="G9">
        <f>VLOOKUP(Table46[[#This Row],[Home]],'NHL Model'!$A$6:$B$38,2,FALSE)</f>
        <v>4.029141914856392E-2</v>
      </c>
      <c r="H9" t="s">
        <v>10</v>
      </c>
      <c r="I9">
        <f>VLOOKUP(Table46[[#This Row],[Visitor]],'NHL Model'!$A$6:$B$38,2,FALSE)</f>
        <v>0.30570968833820172</v>
      </c>
      <c r="J9">
        <f>($B$1+Table46[[#This Row],[Home Differential]])-Table46[[#This Row],[Away Differential]]</f>
        <v>-0.1028459595273194</v>
      </c>
      <c r="K9" t="str">
        <f>IF(Table46[[#This Row],[HomeIce Differential]]&gt;0,Table46[[#This Row],[Home]],Table46[[#This Row],[Visitor]])</f>
        <v>Chicago Blackhawks</v>
      </c>
      <c r="L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0.42107759014517443</v>
      </c>
      <c r="M9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9" t="str">
        <f>IF(OR((NHL2025_26Results[[#This Row],[Winning Team]]="")),"-",IF(Table46[[#This Row],[Predicted Winner]]=NHL2025_26Results[[#This Row],[Winning Team]],"YES","NO"))</f>
        <v>NO</v>
      </c>
      <c r="O9" t="str">
        <f>IF(OR((NHL2025_26Results[[#This Row],[Winning Team]]="")),"-",IF(Table46[[#This Row],[Prob Winner]]=NHL2025_26Results[[#This Row],[Winning Team]],"YES","NO"))</f>
        <v>YES</v>
      </c>
      <c r="P9" t="str">
        <f>IF(Table46[[#This Row],[Locked Prediction]]&lt;&gt;Table46[[#This Row],[Prob Winner]], "Changed", "Same")</f>
        <v>Same</v>
      </c>
      <c r="Q9">
        <f>IF(Table46[[#This Row],[Adjusted Predicted Correct]]="-", "",IF(Table46[[#This Row],[Adjusted Predicted Correct]]="YES",(Table46[[#This Row],[Strength of Win]]-1)^2,(Table46[[#This Row],[Strength of Win]]-0)^2))</f>
        <v>0.1773063369224675</v>
      </c>
      <c r="R9">
        <v>6.0525584604573038E-3</v>
      </c>
      <c r="S9" t="s">
        <v>21</v>
      </c>
      <c r="T9" t="s">
        <v>248</v>
      </c>
      <c r="V9" s="3" t="s">
        <v>243</v>
      </c>
    </row>
    <row r="10" spans="1:24" x14ac:dyDescent="0.2">
      <c r="A10" s="4" t="s">
        <v>12</v>
      </c>
      <c r="B10">
        <v>0.7236021009982504</v>
      </c>
      <c r="D10" s="1">
        <v>45939</v>
      </c>
      <c r="E10" s="2">
        <v>0.79166666666666663</v>
      </c>
      <c r="F10" t="s">
        <v>23</v>
      </c>
      <c r="G10">
        <f>VLOOKUP(Table46[[#This Row],[Home]],'NHL Model'!$A$6:$B$38,2,FALSE)</f>
        <v>-0.8683412362501769</v>
      </c>
      <c r="H10" t="s">
        <v>15</v>
      </c>
      <c r="I10">
        <f>VLOOKUP(Table46[[#This Row],[Visitor]],'NHL Model'!$A$6:$B$38,2,FALSE)</f>
        <v>-0.30719665303039001</v>
      </c>
      <c r="J10">
        <f>($B$1+Table46[[#This Row],[Home Differential]])-Table46[[#This Row],[Away Differential]]</f>
        <v>-0.39857227355746849</v>
      </c>
      <c r="K10" t="str">
        <f>IF(Table46[[#This Row],[HomeIce Differential]]&gt;0,Table46[[#This Row],[Home]],Table46[[#This Row],[Visitor]])</f>
        <v>New York Rangers</v>
      </c>
      <c r="L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0.65538746907648004</v>
      </c>
      <c r="M10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0" t="str">
        <f>IF(OR((NHL2025_26Results[[#This Row],[Winning Team]]="")),"-",IF(Table46[[#This Row],[Predicted Winner]]=NHL2025_26Results[[#This Row],[Winning Team]],"YES","NO"))</f>
        <v>YES</v>
      </c>
      <c r="O10" t="str">
        <f>IF(OR((NHL2025_26Results[[#This Row],[Winning Team]]="")),"-",IF(Table46[[#This Row],[Prob Winner]]=NHL2025_26Results[[#This Row],[Winning Team]],"YES","NO"))</f>
        <v>YES</v>
      </c>
      <c r="P10" t="str">
        <f>IF(Table46[[#This Row],[Locked Prediction]]&lt;&gt;Table46[[#This Row],[Prob Winner]], "Changed", "Same")</f>
        <v>Changed</v>
      </c>
      <c r="Q10">
        <f>IF(Table46[[#This Row],[Adjusted Predicted Correct]]="-", "",IF(Table46[[#This Row],[Adjusted Predicted Correct]]="YES",(Table46[[#This Row],[Strength of Win]]-1)^2,(Table46[[#This Row],[Strength of Win]]-0)^2))</f>
        <v>0.118757796469514</v>
      </c>
      <c r="R10">
        <v>2.893763878885032E-2</v>
      </c>
      <c r="S10" t="s">
        <v>23</v>
      </c>
      <c r="T10" t="s">
        <v>249</v>
      </c>
      <c r="V10">
        <v>0.13291900625552316</v>
      </c>
    </row>
    <row r="11" spans="1:24" x14ac:dyDescent="0.2">
      <c r="A11" s="4" t="s">
        <v>28</v>
      </c>
      <c r="B11">
        <v>-0.67350769084089512</v>
      </c>
      <c r="D11" s="1">
        <v>45939</v>
      </c>
      <c r="E11" s="2">
        <v>0.8125</v>
      </c>
      <c r="F11" t="s">
        <v>25</v>
      </c>
      <c r="G11">
        <f>VLOOKUP(Table46[[#This Row],[Home]],'NHL Model'!$A$6:$B$38,2,FALSE)</f>
        <v>0.67193921242367816</v>
      </c>
      <c r="H11" t="s">
        <v>24</v>
      </c>
      <c r="I11">
        <f>VLOOKUP(Table46[[#This Row],[Visitor]],'NHL Model'!$A$6:$B$38,2,FALSE)</f>
        <v>0.559441163373953</v>
      </c>
      <c r="J11">
        <f>($B$1+Table46[[#This Row],[Home Differential]])-Table46[[#This Row],[Away Differential]]</f>
        <v>0.27507035871204355</v>
      </c>
      <c r="K11" t="str">
        <f>IF(Table46[[#This Row],[HomeIce Differential]]&gt;0,Table46[[#This Row],[Home]],Table46[[#This Row],[Visitor]])</f>
        <v>Carolina Hurricanes</v>
      </c>
      <c r="L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0.56287786820403929</v>
      </c>
      <c r="M11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1" t="str">
        <f>IF(OR((NHL2025_26Results[[#This Row],[Winning Team]]="")),"-",IF(Table46[[#This Row],[Predicted Winner]]=NHL2025_26Results[[#This Row],[Winning Team]],"YES","NO"))</f>
        <v>YES</v>
      </c>
      <c r="O11" t="str">
        <f>IF(OR((NHL2025_26Results[[#This Row],[Winning Team]]="")),"-",IF(Table46[[#This Row],[Prob Winner]]=NHL2025_26Results[[#This Row],[Winning Team]],"YES","NO"))</f>
        <v>YES</v>
      </c>
      <c r="P11" t="str">
        <f>IF(Table46[[#This Row],[Locked Prediction]]&lt;&gt;Table46[[#This Row],[Prob Winner]], "Changed", "Same")</f>
        <v>Changed</v>
      </c>
      <c r="Q11">
        <f>IF(Table46[[#This Row],[Adjusted Predicted Correct]]="-", "",IF(Table46[[#This Row],[Adjusted Predicted Correct]]="YES",(Table46[[#This Row],[Strength of Win]]-1)^2,(Table46[[#This Row],[Strength of Win]]-0)^2))</f>
        <v>0.19107575810584523</v>
      </c>
      <c r="R11">
        <v>-6.4941247330767612E-3</v>
      </c>
      <c r="S11" t="s">
        <v>24</v>
      </c>
      <c r="T11" t="s">
        <v>249</v>
      </c>
    </row>
    <row r="12" spans="1:24" x14ac:dyDescent="0.2">
      <c r="A12" s="4" t="s">
        <v>39</v>
      </c>
      <c r="B12">
        <v>-0.8442242291169858</v>
      </c>
      <c r="D12" s="1">
        <v>45939</v>
      </c>
      <c r="E12" s="2">
        <v>0.875</v>
      </c>
      <c r="F12" t="s">
        <v>12</v>
      </c>
      <c r="G12">
        <f>VLOOKUP(Table46[[#This Row],[Home]],'NHL Model'!$A$6:$B$38,2,FALSE)</f>
        <v>1.5475013591489768</v>
      </c>
      <c r="H12" t="s">
        <v>55</v>
      </c>
      <c r="I12">
        <f>VLOOKUP(Table46[[#This Row],[Visitor]],'NHL Model'!$A$6:$B$38,2,FALSE)</f>
        <v>-0.12212311954851815</v>
      </c>
      <c r="J12">
        <f>($B$1+Table46[[#This Row],[Home Differential]])-Table46[[#This Row],[Away Differential]]</f>
        <v>1.8321967883598134</v>
      </c>
      <c r="K12" t="str">
        <f>IF(Table46[[#This Row],[HomeIce Differential]]&gt;0,Table46[[#This Row],[Home]],Table46[[#This Row],[Visitor]])</f>
        <v>Colorado Avalanche</v>
      </c>
      <c r="L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0.87190002412918233</v>
      </c>
      <c r="M12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2" t="str">
        <f>IF(OR((NHL2025_26Results[[#This Row],[Winning Team]]="")),"-",IF(Table46[[#This Row],[Predicted Winner]]=NHL2025_26Results[[#This Row],[Winning Team]],"YES","NO"))</f>
        <v>YES</v>
      </c>
      <c r="O12" t="str">
        <f>IF(OR((NHL2025_26Results[[#This Row],[Winning Team]]="")),"-",IF(Table46[[#This Row],[Prob Winner]]=NHL2025_26Results[[#This Row],[Winning Team]],"YES","NO"))</f>
        <v>YES</v>
      </c>
      <c r="P12" t="str">
        <f>IF(Table46[[#This Row],[Locked Prediction]]&lt;&gt;Table46[[#This Row],[Prob Winner]], "Changed", "Same")</f>
        <v>Same</v>
      </c>
      <c r="Q12">
        <f>IF(Table46[[#This Row],[Adjusted Predicted Correct]]="-", "",IF(Table46[[#This Row],[Adjusted Predicted Correct]]="YES",(Table46[[#This Row],[Strength of Win]]-1)^2,(Table46[[#This Row],[Strength of Win]]-0)^2))</f>
        <v>1.6409603818104069E-2</v>
      </c>
      <c r="R12">
        <v>2.8930897748292054E-2</v>
      </c>
      <c r="S12" t="s">
        <v>12</v>
      </c>
      <c r="T12" t="s">
        <v>248</v>
      </c>
    </row>
    <row r="13" spans="1:24" x14ac:dyDescent="0.2">
      <c r="A13" s="4" t="s">
        <v>26</v>
      </c>
      <c r="B13">
        <v>-0.72507871760130671</v>
      </c>
      <c r="D13" s="1">
        <v>45939</v>
      </c>
      <c r="E13" s="2">
        <v>0.79166666666666663</v>
      </c>
      <c r="F13" t="s">
        <v>26</v>
      </c>
      <c r="G13">
        <f>VLOOKUP(Table46[[#This Row],[Home]],'NHL Model'!$A$6:$B$38,2,FALSE)</f>
        <v>-0.513643833119658</v>
      </c>
      <c r="H13" t="s">
        <v>18</v>
      </c>
      <c r="I13">
        <f>VLOOKUP(Table46[[#This Row],[Visitor]],'NHL Model'!$A$6:$B$38,2,FALSE)</f>
        <v>-0.52437726201848234</v>
      </c>
      <c r="J13">
        <f>($B$1+Table46[[#This Row],[Home Differential]])-Table46[[#This Row],[Away Differential]]</f>
        <v>0.17330573856114273</v>
      </c>
      <c r="K13" t="str">
        <f>IF(Table46[[#This Row],[HomeIce Differential]]&gt;0,Table46[[#This Row],[Home]],Table46[[#This Row],[Visitor]])</f>
        <v>Detroit Red Wings</v>
      </c>
      <c r="L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0.5128315449152735</v>
      </c>
      <c r="M13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13" t="str">
        <f>IF(OR((NHL2025_26Results[[#This Row],[Winning Team]]="")),"-",IF(Table46[[#This Row],[Predicted Winner]]=NHL2025_26Results[[#This Row],[Winning Team]],"YES","NO"))</f>
        <v>NO</v>
      </c>
      <c r="O13" t="str">
        <f>IF(OR((NHL2025_26Results[[#This Row],[Winning Team]]="")),"-",IF(Table46[[#This Row],[Prob Winner]]=NHL2025_26Results[[#This Row],[Winning Team]],"YES","NO"))</f>
        <v>NO</v>
      </c>
      <c r="P13" t="str">
        <f>IF(Table46[[#This Row],[Locked Prediction]]&lt;&gt;Table46[[#This Row],[Prob Winner]], "Changed", "Same")</f>
        <v>Changed</v>
      </c>
      <c r="Q13">
        <f>IF(Table46[[#This Row],[Adjusted Predicted Correct]]="-", "",IF(Table46[[#This Row],[Adjusted Predicted Correct]]="YES",(Table46[[#This Row],[Strength of Win]]-1)^2,(Table46[[#This Row],[Strength of Win]]-0)^2))</f>
        <v>0.26299619346018616</v>
      </c>
      <c r="R13">
        <v>-5.9607629045580939E-3</v>
      </c>
      <c r="S13" t="s">
        <v>18</v>
      </c>
      <c r="T13" t="s">
        <v>248</v>
      </c>
      <c r="V13" cm="1">
        <f t="array" ref="V13">SUMPRODUCT(--(S2:S218&lt;&gt;M2:M218))</f>
        <v>74</v>
      </c>
    </row>
    <row r="14" spans="1:24" x14ac:dyDescent="0.2">
      <c r="A14" s="4" t="s">
        <v>17</v>
      </c>
      <c r="B14">
        <v>-0.89465487798910692</v>
      </c>
      <c r="D14" s="1">
        <v>45939</v>
      </c>
      <c r="E14" s="2">
        <v>0.79166666666666663</v>
      </c>
      <c r="F14" t="s">
        <v>11</v>
      </c>
      <c r="G14">
        <f>VLOOKUP(Table46[[#This Row],[Home]],'NHL Model'!$A$6:$B$38,2,FALSE)</f>
        <v>-0.28105923893144158</v>
      </c>
      <c r="H14" t="s">
        <v>27</v>
      </c>
      <c r="I14">
        <f>VLOOKUP(Table46[[#This Row],[Visitor]],'NHL Model'!$A$6:$B$38,2,FALSE)</f>
        <v>-0.51358590497437617</v>
      </c>
      <c r="J14">
        <f>($B$1+Table46[[#This Row],[Home Differential]])-Table46[[#This Row],[Away Differential]]</f>
        <v>0.39509897570525299</v>
      </c>
      <c r="K14" t="str">
        <f>IF(Table46[[#This Row],[HomeIce Differential]]&gt;0,Table46[[#This Row],[Home]],Table46[[#This Row],[Visitor]])</f>
        <v>Florida Panthers</v>
      </c>
      <c r="L1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0.64423213955467817</v>
      </c>
      <c r="M14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14" t="str">
        <f>IF(OR((NHL2025_26Results[[#This Row],[Winning Team]]="")),"-",IF(Table46[[#This Row],[Predicted Winner]]=NHL2025_26Results[[#This Row],[Winning Team]],"YES","NO"))</f>
        <v>YES</v>
      </c>
      <c r="O14" t="str">
        <f>IF(OR((NHL2025_26Results[[#This Row],[Winning Team]]="")),"-",IF(Table46[[#This Row],[Prob Winner]]=NHL2025_26Results[[#This Row],[Winning Team]],"YES","NO"))</f>
        <v>YES</v>
      </c>
      <c r="P14" t="str">
        <f>IF(Table46[[#This Row],[Locked Prediction]]&lt;&gt;Table46[[#This Row],[Prob Winner]], "Changed", "Same")</f>
        <v>Same</v>
      </c>
      <c r="Q14">
        <f>IF(Table46[[#This Row],[Adjusted Predicted Correct]]="-", "",IF(Table46[[#This Row],[Adjusted Predicted Correct]]="YES",(Table46[[#This Row],[Strength of Win]]-1)^2,(Table46[[#This Row],[Strength of Win]]-0)^2))</f>
        <v>0.12657077052584198</v>
      </c>
      <c r="R14">
        <v>5.6848248641608633E-3</v>
      </c>
      <c r="S14" t="s">
        <v>11</v>
      </c>
      <c r="T14" t="s">
        <v>248</v>
      </c>
    </row>
    <row r="15" spans="1:24" x14ac:dyDescent="0.2">
      <c r="A15" s="4" t="s">
        <v>11</v>
      </c>
      <c r="B15">
        <v>-0.55913244459734224</v>
      </c>
      <c r="D15" s="1">
        <v>45939</v>
      </c>
      <c r="E15" s="2">
        <v>0.83333333333333337</v>
      </c>
      <c r="F15" t="s">
        <v>29</v>
      </c>
      <c r="G15">
        <f>VLOOKUP(Table46[[#This Row],[Home]],'NHL Model'!$A$6:$B$38,2,FALSE)</f>
        <v>-1.3516250707060606</v>
      </c>
      <c r="H15" t="s">
        <v>28</v>
      </c>
      <c r="I15">
        <f>VLOOKUP(Table46[[#This Row],[Visitor]],'NHL Model'!$A$6:$B$38,2,FALSE)</f>
        <v>-0.40822279081308277</v>
      </c>
      <c r="J15">
        <f>($B$1+Table46[[#This Row],[Home Differential]])-Table46[[#This Row],[Away Differential]]</f>
        <v>-0.78082997023065948</v>
      </c>
      <c r="K15" t="str">
        <f>IF(Table46[[#This Row],[HomeIce Differential]]&gt;0,Table46[[#This Row],[Home]],Table46[[#This Row],[Visitor]])</f>
        <v>Columbus Blue Jackets</v>
      </c>
      <c r="L1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0.58455637446681974</v>
      </c>
      <c r="M15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15" t="str">
        <f>IF(OR((NHL2025_26Results[[#This Row],[Winning Team]]="")),"-",IF(Table46[[#This Row],[Predicted Winner]]=NHL2025_26Results[[#This Row],[Winning Team]],"YES","NO"))</f>
        <v>NO</v>
      </c>
      <c r="O15" t="str">
        <f>IF(OR((NHL2025_26Results[[#This Row],[Winning Team]]="")),"-",IF(Table46[[#This Row],[Prob Winner]]=NHL2025_26Results[[#This Row],[Winning Team]],"YES","NO"))</f>
        <v>NO</v>
      </c>
      <c r="P15" t="str">
        <f>IF(Table46[[#This Row],[Locked Prediction]]&lt;&gt;Table46[[#This Row],[Prob Winner]], "Changed", "Same")</f>
        <v>Same</v>
      </c>
      <c r="Q15">
        <f>IF(Table46[[#This Row],[Adjusted Predicted Correct]]="-", "",IF(Table46[[#This Row],[Adjusted Predicted Correct]]="YES",(Table46[[#This Row],[Strength of Win]]-1)^2,(Table46[[#This Row],[Strength of Win]]-0)^2))</f>
        <v>0.34170615492979278</v>
      </c>
      <c r="R15">
        <v>-6.6115255590244596E-3</v>
      </c>
      <c r="S15" t="s">
        <v>28</v>
      </c>
      <c r="T15" t="s">
        <v>249</v>
      </c>
    </row>
    <row r="16" spans="1:24" x14ac:dyDescent="0.2">
      <c r="A16" s="4" t="s">
        <v>13</v>
      </c>
      <c r="B16">
        <v>-0.82572272961247006</v>
      </c>
      <c r="D16" s="1">
        <v>45939</v>
      </c>
      <c r="E16" s="2">
        <v>0.79166666666666663</v>
      </c>
      <c r="F16" t="s">
        <v>14</v>
      </c>
      <c r="G16">
        <f>VLOOKUP(Table46[[#This Row],[Home]],'NHL Model'!$A$6:$B$38,2,FALSE)</f>
        <v>0.26289091192875702</v>
      </c>
      <c r="H16" t="s">
        <v>30</v>
      </c>
      <c r="I16">
        <f>VLOOKUP(Table46[[#This Row],[Visitor]],'NHL Model'!$A$6:$B$38,2,FALSE)</f>
        <v>-6.4729560818359025E-2</v>
      </c>
      <c r="J16">
        <f>($B$1+Table46[[#This Row],[Home Differential]])-Table46[[#This Row],[Away Differential]]</f>
        <v>0.49019278240943442</v>
      </c>
      <c r="K16" t="str">
        <f>IF(Table46[[#This Row],[HomeIce Differential]]&gt;0,Table46[[#This Row],[Home]],Table46[[#This Row],[Visitor]])</f>
        <v>Pittsburgh Penguins</v>
      </c>
      <c r="L1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0.59913652003576379</v>
      </c>
      <c r="M16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6" t="str">
        <f>IF(OR((NHL2025_26Results[[#This Row],[Winning Team]]="")),"-",IF(Table46[[#This Row],[Predicted Winner]]=NHL2025_26Results[[#This Row],[Winning Team]],"YES","NO"))</f>
        <v>YES</v>
      </c>
      <c r="O16" t="str">
        <f>IF(OR((NHL2025_26Results[[#This Row],[Winning Team]]="")),"-",IF(Table46[[#This Row],[Prob Winner]]=NHL2025_26Results[[#This Row],[Winning Team]],"YES","NO"))</f>
        <v>YES</v>
      </c>
      <c r="P16" t="str">
        <f>IF(Table46[[#This Row],[Locked Prediction]]&lt;&gt;Table46[[#This Row],[Prob Winner]], "Changed", "Same")</f>
        <v>Same</v>
      </c>
      <c r="Q16">
        <f>IF(Table46[[#This Row],[Adjusted Predicted Correct]]="-", "",IF(Table46[[#This Row],[Adjusted Predicted Correct]]="YES",(Table46[[#This Row],[Strength of Win]]-1)^2,(Table46[[#This Row],[Strength of Win]]-0)^2))</f>
        <v>0.16069152956903759</v>
      </c>
      <c r="R16">
        <v>2.9201411927810918E-2</v>
      </c>
      <c r="S16" t="s">
        <v>14</v>
      </c>
      <c r="T16" t="s">
        <v>248</v>
      </c>
    </row>
    <row r="17" spans="1:22" x14ac:dyDescent="0.2">
      <c r="A17" s="4" t="s">
        <v>34</v>
      </c>
      <c r="B17">
        <v>-1.129650014050841</v>
      </c>
      <c r="D17" s="1">
        <v>45939</v>
      </c>
      <c r="E17" s="2">
        <v>0.91666666666666663</v>
      </c>
      <c r="F17" t="s">
        <v>32</v>
      </c>
      <c r="G17">
        <f>VLOOKUP(Table46[[#This Row],[Home]],'NHL Model'!$A$6:$B$38,2,FALSE)</f>
        <v>-0.361361309178443</v>
      </c>
      <c r="H17" t="s">
        <v>31</v>
      </c>
      <c r="I17">
        <f>VLOOKUP(Table46[[#This Row],[Visitor]],'NHL Model'!$A$6:$B$38,2,FALSE)</f>
        <v>0.51775546328552802</v>
      </c>
      <c r="J17">
        <f>($B$1+Table46[[#This Row],[Home Differential]])-Table46[[#This Row],[Away Differential]]</f>
        <v>-0.71654446280165263</v>
      </c>
      <c r="K17" t="str">
        <f>IF(Table46[[#This Row],[HomeIce Differential]]&gt;0,Table46[[#This Row],[Home]],Table46[[#This Row],[Visitor]])</f>
        <v>Anaheim Ducks</v>
      </c>
      <c r="L1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0.54978783247894791</v>
      </c>
      <c r="M17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7" t="str">
        <f>IF(OR((NHL2025_26Results[[#This Row],[Winning Team]]="")),"-",IF(Table46[[#This Row],[Predicted Winner]]=NHL2025_26Results[[#This Row],[Winning Team]],"YES","NO"))</f>
        <v>NO</v>
      </c>
      <c r="O17" t="str">
        <f>IF(OR((NHL2025_26Results[[#This Row],[Winning Team]]="")),"-",IF(Table46[[#This Row],[Prob Winner]]=NHL2025_26Results[[#This Row],[Winning Team]],"YES","NO"))</f>
        <v>NO</v>
      </c>
      <c r="P17" t="str">
        <f>IF(Table46[[#This Row],[Locked Prediction]]&lt;&gt;Table46[[#This Row],[Prob Winner]], "Changed", "Same")</f>
        <v>Same</v>
      </c>
      <c r="Q17">
        <f>IF(Table46[[#This Row],[Adjusted Predicted Correct]]="-", "",IF(Table46[[#This Row],[Adjusted Predicted Correct]]="YES",(Table46[[#This Row],[Strength of Win]]-1)^2,(Table46[[#This Row],[Strength of Win]]-0)^2))</f>
        <v>0.30226666074189967</v>
      </c>
      <c r="R17">
        <v>-6.0975676813695015E-3</v>
      </c>
      <c r="S17" t="s">
        <v>31</v>
      </c>
      <c r="T17" t="s">
        <v>249</v>
      </c>
    </row>
    <row r="18" spans="1:22" x14ac:dyDescent="0.2">
      <c r="A18" s="4" t="s">
        <v>18</v>
      </c>
      <c r="B18">
        <v>-0.3325615497694045</v>
      </c>
      <c r="D18" s="1">
        <v>45939</v>
      </c>
      <c r="E18" s="2">
        <v>0.91666666666666663</v>
      </c>
      <c r="F18" t="s">
        <v>33</v>
      </c>
      <c r="G18">
        <f>VLOOKUP(Table46[[#This Row],[Home]],'NHL Model'!$A$6:$B$38,2,FALSE)</f>
        <v>-0.39418177254008485</v>
      </c>
      <c r="H18" t="s">
        <v>20</v>
      </c>
      <c r="I18">
        <f>VLOOKUP(Table46[[#This Row],[Visitor]],'NHL Model'!$A$6:$B$38,2,FALSE)</f>
        <v>-6.3745791019188943E-4</v>
      </c>
      <c r="J18">
        <f>($B$1+Table46[[#This Row],[Home Differential]])-Table46[[#This Row],[Away Differential]]</f>
        <v>-0.23097200496757456</v>
      </c>
      <c r="K18" t="str">
        <f>IF(Table46[[#This Row],[HomeIce Differential]]&gt;0,Table46[[#This Row],[Home]],Table46[[#This Row],[Visitor]])</f>
        <v>Vegas Golden Knights</v>
      </c>
      <c r="L1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0.51146980014236654</v>
      </c>
      <c r="M18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8" t="str">
        <f>IF(OR((NHL2025_26Results[[#This Row],[Winning Team]]="")),"-",IF(Table46[[#This Row],[Predicted Winner]]=NHL2025_26Results[[#This Row],[Winning Team]],"YES","NO"))</f>
        <v>YES</v>
      </c>
      <c r="O18" t="str">
        <f>IF(OR((NHL2025_26Results[[#This Row],[Winning Team]]="")),"-",IF(Table46[[#This Row],[Prob Winner]]=NHL2025_26Results[[#This Row],[Winning Team]],"YES","NO"))</f>
        <v>YES</v>
      </c>
      <c r="P18" t="str">
        <f>IF(Table46[[#This Row],[Locked Prediction]]&lt;&gt;Table46[[#This Row],[Prob Winner]], "Changed", "Same")</f>
        <v>Same</v>
      </c>
      <c r="Q18">
        <f>IF(Table46[[#This Row],[Adjusted Predicted Correct]]="-", "",IF(Table46[[#This Row],[Adjusted Predicted Correct]]="YES",(Table46[[#This Row],[Strength of Win]]-1)^2,(Table46[[#This Row],[Strength of Win]]-0)^2))</f>
        <v>0.2386617561729393</v>
      </c>
      <c r="R18">
        <v>-5.6918684069913695E-3</v>
      </c>
      <c r="S18" t="s">
        <v>20</v>
      </c>
      <c r="T18" t="s">
        <v>248</v>
      </c>
    </row>
    <row r="19" spans="1:22" x14ac:dyDescent="0.2">
      <c r="A19" s="4" t="s">
        <v>29</v>
      </c>
      <c r="B19">
        <v>-1.5502901879355027</v>
      </c>
      <c r="D19" s="1">
        <v>45939</v>
      </c>
      <c r="E19" s="2">
        <v>0.83333333333333337</v>
      </c>
      <c r="F19" t="s">
        <v>35</v>
      </c>
      <c r="G19">
        <f>VLOOKUP(Table46[[#This Row],[Home]],'NHL Model'!$A$6:$B$38,2,FALSE)</f>
        <v>-1.6211574240381006</v>
      </c>
      <c r="H19" t="s">
        <v>34</v>
      </c>
      <c r="I19">
        <f>VLOOKUP(Table46[[#This Row],[Visitor]],'NHL Model'!$A$6:$B$38,2,FALSE)</f>
        <v>-0.53650300840565446</v>
      </c>
      <c r="J19">
        <f>($B$1+Table46[[#This Row],[Home Differential]])-Table46[[#This Row],[Away Differential]]</f>
        <v>-0.92208210597012774</v>
      </c>
      <c r="K19" t="str">
        <f>IF(Table46[[#This Row],[HomeIce Differential]]&gt;0,Table46[[#This Row],[Home]],Table46[[#This Row],[Visitor]])</f>
        <v>Minnesota Wild</v>
      </c>
      <c r="L1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0.58256223721154943</v>
      </c>
      <c r="M19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19" t="str">
        <f>IF(OR((NHL2025_26Results[[#This Row],[Winning Team]]="")),"-",IF(Table46[[#This Row],[Predicted Winner]]=NHL2025_26Results[[#This Row],[Winning Team]],"YES","NO"))</f>
        <v>YES</v>
      </c>
      <c r="O19" t="str">
        <f>IF(OR((NHL2025_26Results[[#This Row],[Winning Team]]="")),"-",IF(Table46[[#This Row],[Prob Winner]]=NHL2025_26Results[[#This Row],[Winning Team]],"YES","NO"))</f>
        <v>YES</v>
      </c>
      <c r="P19" t="str">
        <f>IF(Table46[[#This Row],[Locked Prediction]]&lt;&gt;Table46[[#This Row],[Prob Winner]], "Changed", "Same")</f>
        <v>Same</v>
      </c>
      <c r="Q19">
        <f>IF(Table46[[#This Row],[Adjusted Predicted Correct]]="-", "",IF(Table46[[#This Row],[Adjusted Predicted Correct]]="YES",(Table46[[#This Row],[Strength of Win]]-1)^2,(Table46[[#This Row],[Strength of Win]]-0)^2))</f>
        <v>0.17425428580182672</v>
      </c>
      <c r="R19">
        <v>-6.50955344648943E-3</v>
      </c>
      <c r="S19" t="s">
        <v>34</v>
      </c>
      <c r="T19" t="s">
        <v>248</v>
      </c>
    </row>
    <row r="20" spans="1:22" x14ac:dyDescent="0.2">
      <c r="A20" s="4" t="s">
        <v>24</v>
      </c>
      <c r="B20">
        <v>0.30391099573521668</v>
      </c>
      <c r="D20" s="1">
        <v>45939</v>
      </c>
      <c r="E20" s="2">
        <v>0.79166666666666663</v>
      </c>
      <c r="F20" t="s">
        <v>37</v>
      </c>
      <c r="G20">
        <f>VLOOKUP(Table46[[#This Row],[Home]],'NHL Model'!$A$6:$B$38,2,FALSE)</f>
        <v>-0.11309445867623392</v>
      </c>
      <c r="H20" t="s">
        <v>36</v>
      </c>
      <c r="I20">
        <f>VLOOKUP(Table46[[#This Row],[Visitor]],'NHL Model'!$A$6:$B$38,2,FALSE)</f>
        <v>-0.40651947573390851</v>
      </c>
      <c r="J20">
        <f>($B$1+Table46[[#This Row],[Home Differential]])-Table46[[#This Row],[Away Differential]]</f>
        <v>0.45599732671999299</v>
      </c>
      <c r="K20" t="str">
        <f>IF(Table46[[#This Row],[HomeIce Differential]]&gt;0,Table46[[#This Row],[Home]],Table46[[#This Row],[Visitor]])</f>
        <v>Tampa Bay Lightning</v>
      </c>
      <c r="L2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0.60061071152279666</v>
      </c>
      <c r="M20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20" t="str">
        <f>IF(OR((NHL2025_26Results[[#This Row],[Winning Team]]="")),"-",IF(Table46[[#This Row],[Predicted Winner]]=NHL2025_26Results[[#This Row],[Winning Team]],"YES","NO"))</f>
        <v>NO</v>
      </c>
      <c r="O20" t="str">
        <f>IF(OR((NHL2025_26Results[[#This Row],[Winning Team]]="")),"-",IF(Table46[[#This Row],[Prob Winner]]=NHL2025_26Results[[#This Row],[Winning Team]],"YES","NO"))</f>
        <v>NO</v>
      </c>
      <c r="P20" t="str">
        <f>IF(Table46[[#This Row],[Locked Prediction]]&lt;&gt;Table46[[#This Row],[Prob Winner]], "Changed", "Same")</f>
        <v>Changed</v>
      </c>
      <c r="Q20">
        <f>IF(Table46[[#This Row],[Adjusted Predicted Correct]]="-", "",IF(Table46[[#This Row],[Adjusted Predicted Correct]]="YES",(Table46[[#This Row],[Strength of Win]]-1)^2,(Table46[[#This Row],[Strength of Win]]-0)^2))</f>
        <v>0.36073322679592007</v>
      </c>
      <c r="R20">
        <v>-6.0975919278263326E-3</v>
      </c>
      <c r="S20" t="s">
        <v>36</v>
      </c>
      <c r="T20" t="s">
        <v>248</v>
      </c>
      <c r="V20" t="s">
        <v>259</v>
      </c>
    </row>
    <row r="21" spans="1:22" x14ac:dyDescent="0.2">
      <c r="A21" s="4" t="s">
        <v>30</v>
      </c>
      <c r="B21">
        <v>-0.89477420677894726</v>
      </c>
      <c r="D21" s="1">
        <v>45939</v>
      </c>
      <c r="E21" s="2">
        <v>0.91666666666666663</v>
      </c>
      <c r="F21" t="s">
        <v>38</v>
      </c>
      <c r="G21">
        <f>VLOOKUP(Table46[[#This Row],[Home]],'NHL Model'!$A$6:$B$38,2,FALSE)</f>
        <v>-0.6902088310934803</v>
      </c>
      <c r="H21" t="s">
        <v>16</v>
      </c>
      <c r="I21">
        <f>VLOOKUP(Table46[[#This Row],[Visitor]],'NHL Model'!$A$6:$B$38,2,FALSE)</f>
        <v>-1.3903684122795328</v>
      </c>
      <c r="J21">
        <f>($B$1+Table46[[#This Row],[Home Differential]])-Table46[[#This Row],[Away Differential]]</f>
        <v>0.86273189084837087</v>
      </c>
      <c r="K21" t="str">
        <f>IF(Table46[[#This Row],[HomeIce Differential]]&gt;0,Table46[[#This Row],[Home]],Table46[[#This Row],[Visitor]])</f>
        <v>Vancouver Canucks</v>
      </c>
      <c r="L2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0.65467346559651396</v>
      </c>
      <c r="M21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21" t="str">
        <f>IF(OR((NHL2025_26Results[[#This Row],[Winning Team]]="")),"-",IF(Table46[[#This Row],[Predicted Winner]]=NHL2025_26Results[[#This Row],[Winning Team]],"YES","NO"))</f>
        <v>YES</v>
      </c>
      <c r="O21" t="str">
        <f>IF(OR((NHL2025_26Results[[#This Row],[Winning Team]]="")),"-",IF(Table46[[#This Row],[Prob Winner]]=NHL2025_26Results[[#This Row],[Winning Team]],"YES","NO"))</f>
        <v>YES</v>
      </c>
      <c r="P21" t="str">
        <f>IF(Table46[[#This Row],[Locked Prediction]]&lt;&gt;Table46[[#This Row],[Prob Winner]], "Changed", "Same")</f>
        <v>Changed</v>
      </c>
      <c r="Q21">
        <f>IF(Table46[[#This Row],[Adjusted Predicted Correct]]="-", "",IF(Table46[[#This Row],[Adjusted Predicted Correct]]="YES",(Table46[[#This Row],[Strength of Win]]-1)^2,(Table46[[#This Row],[Strength of Win]]-0)^2))</f>
        <v>0.11925041536312203</v>
      </c>
      <c r="R21">
        <v>-6.0976402465102745E-3</v>
      </c>
      <c r="S21" t="s">
        <v>16</v>
      </c>
      <c r="T21" t="s">
        <v>249</v>
      </c>
      <c r="V21">
        <v>32</v>
      </c>
    </row>
    <row r="22" spans="1:22" x14ac:dyDescent="0.2">
      <c r="A22" s="4" t="s">
        <v>15</v>
      </c>
      <c r="B22">
        <v>-0.58422894442043993</v>
      </c>
      <c r="D22" s="1">
        <v>45939</v>
      </c>
      <c r="E22" s="2">
        <v>0.83333333333333337</v>
      </c>
      <c r="F22" t="s">
        <v>40</v>
      </c>
      <c r="G22">
        <f>VLOOKUP(Table46[[#This Row],[Home]],'NHL Model'!$A$6:$B$38,2,FALSE)</f>
        <v>0.105105258369765</v>
      </c>
      <c r="H22" t="s">
        <v>39</v>
      </c>
      <c r="I22">
        <f>VLOOKUP(Table46[[#This Row],[Visitor]],'NHL Model'!$A$6:$B$38,2,FALSE)</f>
        <v>0.19809534061227302</v>
      </c>
      <c r="J22">
        <f>($B$1+Table46[[#This Row],[Home Differential]])-Table46[[#This Row],[Away Differential]]</f>
        <v>6.9582227419810405E-2</v>
      </c>
      <c r="K22" t="str">
        <f>IF(Table46[[#This Row],[HomeIce Differential]]&gt;0,Table46[[#This Row],[Home]],Table46[[#This Row],[Visitor]])</f>
        <v>Winnipeg Jets</v>
      </c>
      <c r="L2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0.49311976826362258</v>
      </c>
      <c r="M22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22" t="str">
        <f>IF(OR((NHL2025_26Results[[#This Row],[Winning Team]]="")),"-",IF(Table46[[#This Row],[Predicted Winner]]=NHL2025_26Results[[#This Row],[Winning Team]],"YES","NO"))</f>
        <v>NO</v>
      </c>
      <c r="O22" t="str">
        <f>IF(OR((NHL2025_26Results[[#This Row],[Winning Team]]="")),"-",IF(Table46[[#This Row],[Prob Winner]]=NHL2025_26Results[[#This Row],[Winning Team]],"YES","NO"))</f>
        <v>YES</v>
      </c>
      <c r="P22" t="str">
        <f>IF(Table46[[#This Row],[Locked Prediction]]&lt;&gt;Table46[[#This Row],[Prob Winner]], "Changed", "Same")</f>
        <v>Same</v>
      </c>
      <c r="Q22">
        <f>IF(Table46[[#This Row],[Adjusted Predicted Correct]]="-", "",IF(Table46[[#This Row],[Adjusted Predicted Correct]]="YES",(Table46[[#This Row],[Strength of Win]]-1)^2,(Table46[[#This Row],[Strength of Win]]-0)^2))</f>
        <v>0.24316710585236884</v>
      </c>
      <c r="R22">
        <v>-6.2374432430158909E-3</v>
      </c>
      <c r="S22" t="s">
        <v>39</v>
      </c>
      <c r="T22" t="s">
        <v>248</v>
      </c>
      <c r="V22" t="s">
        <v>260</v>
      </c>
    </row>
    <row r="23" spans="1:22" x14ac:dyDescent="0.2">
      <c r="A23" s="4" t="s">
        <v>36</v>
      </c>
      <c r="B23">
        <v>-0.9519500606481569</v>
      </c>
      <c r="D23" s="1">
        <v>45941</v>
      </c>
      <c r="E23" s="2">
        <v>0.79166666666666663</v>
      </c>
      <c r="F23" t="s">
        <v>21</v>
      </c>
      <c r="G23">
        <f>VLOOKUP(Table46[[#This Row],[Home]],'NHL Model'!$A$6:$B$38,2,FALSE)</f>
        <v>4.029141914856392E-2</v>
      </c>
      <c r="H23" t="s">
        <v>23</v>
      </c>
      <c r="I23">
        <f>VLOOKUP(Table46[[#This Row],[Visitor]],'NHL Model'!$A$6:$B$38,2,FALSE)</f>
        <v>-0.8683412362501769</v>
      </c>
      <c r="J23">
        <f>($B$1+Table46[[#This Row],[Home Differential]])-Table46[[#This Row],[Away Differential]]</f>
        <v>1.0712049650610593</v>
      </c>
      <c r="K23" t="str">
        <f>IF(Table46[[#This Row],[HomeIce Differential]]&gt;0,Table46[[#This Row],[Home]],Table46[[#This Row],[Visitor]])</f>
        <v>Boston Bruins</v>
      </c>
      <c r="L2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0.75494092671070401</v>
      </c>
      <c r="M23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23" t="str">
        <f>IF(OR((NHL2025_26Results[[#This Row],[Winning Team]]="")),"-",IF(Table46[[#This Row],[Predicted Winner]]=NHL2025_26Results[[#This Row],[Winning Team]],"YES","NO"))</f>
        <v>YES</v>
      </c>
      <c r="O23" t="str">
        <f>IF(OR((NHL2025_26Results[[#This Row],[Winning Team]]="")),"-",IF(Table46[[#This Row],[Prob Winner]]=NHL2025_26Results[[#This Row],[Winning Team]],"YES","NO"))</f>
        <v>YES</v>
      </c>
      <c r="P23" t="str">
        <f>IF(Table46[[#This Row],[Locked Prediction]]&lt;&gt;Table46[[#This Row],[Prob Winner]], "Changed", "Same")</f>
        <v>Changed</v>
      </c>
      <c r="Q23">
        <f>IF(Table46[[#This Row],[Adjusted Predicted Correct]]="-", "",IF(Table46[[#This Row],[Adjusted Predicted Correct]]="YES",(Table46[[#This Row],[Strength of Win]]-1)^2,(Table46[[#This Row],[Strength of Win]]-0)^2))</f>
        <v>6.0053949401408548E-2</v>
      </c>
      <c r="R23">
        <v>-9.3426966771708291E-3</v>
      </c>
      <c r="S23" t="s">
        <v>23</v>
      </c>
      <c r="T23" t="s">
        <v>249</v>
      </c>
      <c r="V23">
        <v>30</v>
      </c>
    </row>
    <row r="24" spans="1:22" x14ac:dyDescent="0.2">
      <c r="A24" s="4" t="s">
        <v>27</v>
      </c>
      <c r="B24">
        <v>-0.38938029723699569</v>
      </c>
      <c r="D24" s="1">
        <v>45941</v>
      </c>
      <c r="E24" s="2">
        <v>0.79166666666666663</v>
      </c>
      <c r="F24" t="s">
        <v>25</v>
      </c>
      <c r="G24">
        <f>VLOOKUP(Table46[[#This Row],[Home]],'NHL Model'!$A$6:$B$38,2,FALSE)</f>
        <v>0.67193921242367816</v>
      </c>
      <c r="H24" t="s">
        <v>27</v>
      </c>
      <c r="I24">
        <f>VLOOKUP(Table46[[#This Row],[Visitor]],'NHL Model'!$A$6:$B$38,2,FALSE)</f>
        <v>-0.51358590497437617</v>
      </c>
      <c r="J24">
        <f>($B$1+Table46[[#This Row],[Home Differential]])-Table46[[#This Row],[Away Differential]]</f>
        <v>1.3480974270603727</v>
      </c>
      <c r="K24" t="str">
        <f>IF(Table46[[#This Row],[HomeIce Differential]]&gt;0,Table46[[#This Row],[Home]],Table46[[#This Row],[Visitor]])</f>
        <v>Carolina Hurricanes</v>
      </c>
      <c r="L2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0.77090374667185324</v>
      </c>
      <c r="M24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24" t="str">
        <f>IF(OR((NHL2025_26Results[[#This Row],[Winning Team]]="")),"-",IF(Table46[[#This Row],[Predicted Winner]]=NHL2025_26Results[[#This Row],[Winning Team]],"YES","NO"))</f>
        <v>YES</v>
      </c>
      <c r="O24" t="str">
        <f>IF(OR((NHL2025_26Results[[#This Row],[Winning Team]]="")),"-",IF(Table46[[#This Row],[Prob Winner]]=NHL2025_26Results[[#This Row],[Winning Team]],"YES","NO"))</f>
        <v>YES</v>
      </c>
      <c r="P24" t="str">
        <f>IF(Table46[[#This Row],[Locked Prediction]]&lt;&gt;Table46[[#This Row],[Prob Winner]], "Changed", "Same")</f>
        <v>Changed</v>
      </c>
      <c r="Q24">
        <f>IF(Table46[[#This Row],[Adjusted Predicted Correct]]="-", "",IF(Table46[[#This Row],[Adjusted Predicted Correct]]="YES",(Table46[[#This Row],[Strength of Win]]-1)^2,(Table46[[#This Row],[Strength of Win]]-0)^2))</f>
        <v>5.2485093288994394E-2</v>
      </c>
      <c r="R24">
        <v>-9.1888913892817486E-3</v>
      </c>
      <c r="S24" t="s">
        <v>27</v>
      </c>
      <c r="T24" t="s">
        <v>249</v>
      </c>
    </row>
    <row r="25" spans="1:22" x14ac:dyDescent="0.2">
      <c r="A25" s="4" t="s">
        <v>14</v>
      </c>
      <c r="B25">
        <v>0.1156804124763835</v>
      </c>
      <c r="D25" s="1">
        <v>45941</v>
      </c>
      <c r="E25" s="2">
        <v>0.66666666666666663</v>
      </c>
      <c r="F25" t="s">
        <v>16</v>
      </c>
      <c r="G25">
        <f>VLOOKUP(Table46[[#This Row],[Home]],'NHL Model'!$A$6:$B$38,2,FALSE)</f>
        <v>-1.3903684122795328</v>
      </c>
      <c r="H25" t="s">
        <v>35</v>
      </c>
      <c r="I25">
        <f>VLOOKUP(Table46[[#This Row],[Visitor]],'NHL Model'!$A$6:$B$38,2,FALSE)</f>
        <v>-1.6211574240381006</v>
      </c>
      <c r="J25">
        <f>($B$1+Table46[[#This Row],[Home Differential]])-Table46[[#This Row],[Away Differential]]</f>
        <v>0.3933613214208862</v>
      </c>
      <c r="K25" t="str">
        <f>IF(Table46[[#This Row],[HomeIce Differential]]&gt;0,Table46[[#This Row],[Home]],Table46[[#This Row],[Visitor]])</f>
        <v>Calgary Flames</v>
      </c>
      <c r="L2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0.59228519594262363</v>
      </c>
      <c r="M25" s="11" t="str">
        <f>IF(Table46[[#This Row],[Strength of Win]]&gt; 0.5,Table46[[#This Row],[Predicted Winner]], IF(Table46[[#This Row],[Home]]=Table46[[#This Row],[Predicted Winner]],Table46[[#This Row],[Visitor]],Table46[[#This Row],[Home]]))</f>
        <v>Calgary Flames</v>
      </c>
      <c r="N25" t="str">
        <f>IF(OR((NHL2025_26Results[[#This Row],[Winning Team]]="")),"-",IF(Table46[[#This Row],[Predicted Winner]]=NHL2025_26Results[[#This Row],[Winning Team]],"YES","NO"))</f>
        <v>NO</v>
      </c>
      <c r="O25" t="str">
        <f>IF(OR((NHL2025_26Results[[#This Row],[Winning Team]]="")),"-",IF(Table46[[#This Row],[Prob Winner]]=NHL2025_26Results[[#This Row],[Winning Team]],"YES","NO"))</f>
        <v>NO</v>
      </c>
      <c r="P25" t="str">
        <f>IF(Table46[[#This Row],[Locked Prediction]]&lt;&gt;Table46[[#This Row],[Prob Winner]], "Changed", "Same")</f>
        <v>Changed</v>
      </c>
      <c r="Q25">
        <f>IF(Table46[[#This Row],[Adjusted Predicted Correct]]="-", "",IF(Table46[[#This Row],[Adjusted Predicted Correct]]="YES",(Table46[[#This Row],[Strength of Win]]-1)^2,(Table46[[#This Row],[Strength of Win]]-0)^2))</f>
        <v>0.35080175333279207</v>
      </c>
      <c r="R25">
        <v>-9.5103763466094973E-3</v>
      </c>
      <c r="S25" t="s">
        <v>35</v>
      </c>
      <c r="T25" t="s">
        <v>248</v>
      </c>
    </row>
    <row r="26" spans="1:22" x14ac:dyDescent="0.2">
      <c r="A26" s="4" t="s">
        <v>33</v>
      </c>
      <c r="B26">
        <v>-0.51314575972450138</v>
      </c>
      <c r="D26" s="1">
        <v>45941</v>
      </c>
      <c r="E26" s="2">
        <v>0.79166666666666663</v>
      </c>
      <c r="F26" t="s">
        <v>10</v>
      </c>
      <c r="G26">
        <f>VLOOKUP(Table46[[#This Row],[Home]],'NHL Model'!$A$6:$B$38,2,FALSE)</f>
        <v>0.30570968833820172</v>
      </c>
      <c r="H26" t="s">
        <v>18</v>
      </c>
      <c r="I26">
        <f>VLOOKUP(Table46[[#This Row],[Visitor]],'NHL Model'!$A$6:$B$38,2,FALSE)</f>
        <v>-0.52437726201848234</v>
      </c>
      <c r="J26">
        <f>($B$1+Table46[[#This Row],[Home Differential]])-Table46[[#This Row],[Away Differential]]</f>
        <v>0.99265926001900251</v>
      </c>
      <c r="K26" t="str">
        <f>IF(Table46[[#This Row],[HomeIce Differential]]&gt;0,Table46[[#This Row],[Home]],Table46[[#This Row],[Visitor]])</f>
        <v>Chicago Blackhawks</v>
      </c>
      <c r="L2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0.59546259569678983</v>
      </c>
      <c r="M26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26" t="str">
        <f>IF(OR((NHL2025_26Results[[#This Row],[Winning Team]]="")),"-",IF(Table46[[#This Row],[Predicted Winner]]=NHL2025_26Results[[#This Row],[Winning Team]],"YES","NO"))</f>
        <v>NO</v>
      </c>
      <c r="O26" t="str">
        <f>IF(OR((NHL2025_26Results[[#This Row],[Winning Team]]="")),"-",IF(Table46[[#This Row],[Prob Winner]]=NHL2025_26Results[[#This Row],[Winning Team]],"YES","NO"))</f>
        <v>NO</v>
      </c>
      <c r="P26" t="str">
        <f>IF(Table46[[#This Row],[Locked Prediction]]&lt;&gt;Table46[[#This Row],[Prob Winner]], "Changed", "Same")</f>
        <v>Changed</v>
      </c>
      <c r="Q26">
        <f>IF(Table46[[#This Row],[Adjusted Predicted Correct]]="-", "",IF(Table46[[#This Row],[Adjusted Predicted Correct]]="YES",(Table46[[#This Row],[Strength of Win]]-1)^2,(Table46[[#This Row],[Strength of Win]]-0)^2))</f>
        <v>0.35457570287395856</v>
      </c>
      <c r="R26">
        <v>-2.1357589868893485E-2</v>
      </c>
      <c r="S26" t="s">
        <v>18</v>
      </c>
      <c r="T26" t="s">
        <v>248</v>
      </c>
    </row>
    <row r="27" spans="1:22" x14ac:dyDescent="0.2">
      <c r="A27" s="4" t="s">
        <v>32</v>
      </c>
      <c r="B27">
        <v>-0.74912552763444196</v>
      </c>
      <c r="D27" s="1">
        <v>45941</v>
      </c>
      <c r="E27" s="2">
        <v>0.875</v>
      </c>
      <c r="F27" t="s">
        <v>12</v>
      </c>
      <c r="G27">
        <f>VLOOKUP(Table46[[#This Row],[Home]],'NHL Model'!$A$6:$B$38,2,FALSE)</f>
        <v>1.5475013591489768</v>
      </c>
      <c r="H27" t="s">
        <v>39</v>
      </c>
      <c r="I27">
        <f>VLOOKUP(Table46[[#This Row],[Visitor]],'NHL Model'!$A$6:$B$38,2,FALSE)</f>
        <v>0.19809534061227302</v>
      </c>
      <c r="J27">
        <f>($B$1+Table46[[#This Row],[Home Differential]])-Table46[[#This Row],[Away Differential]]</f>
        <v>1.5119783281990222</v>
      </c>
      <c r="K27" t="str">
        <f>IF(Table46[[#This Row],[HomeIce Differential]]&gt;0,Table46[[#This Row],[Home]],Table46[[#This Row],[Visitor]])</f>
        <v>Colorado Avalanche</v>
      </c>
      <c r="L2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0.73943219532563975</v>
      </c>
      <c r="M27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27" t="str">
        <f>IF(OR((NHL2025_26Results[[#This Row],[Winning Team]]="")),"-",IF(Table46[[#This Row],[Predicted Winner]]=NHL2025_26Results[[#This Row],[Winning Team]],"YES","NO"))</f>
        <v>NO</v>
      </c>
      <c r="O27" t="str">
        <f>IF(OR((NHL2025_26Results[[#This Row],[Winning Team]]="")),"-",IF(Table46[[#This Row],[Prob Winner]]=NHL2025_26Results[[#This Row],[Winning Team]],"YES","NO"))</f>
        <v>NO</v>
      </c>
      <c r="P27" t="str">
        <f>IF(Table46[[#This Row],[Locked Prediction]]&lt;&gt;Table46[[#This Row],[Prob Winner]], "Changed", "Same")</f>
        <v>Same</v>
      </c>
      <c r="Q27">
        <f>IF(Table46[[#This Row],[Adjusted Predicted Correct]]="-", "",IF(Table46[[#This Row],[Adjusted Predicted Correct]]="YES",(Table46[[#This Row],[Strength of Win]]-1)^2,(Table46[[#This Row],[Strength of Win]]-0)^2))</f>
        <v>0.54675997148409505</v>
      </c>
      <c r="R27">
        <v>2.5681029019048729E-2</v>
      </c>
      <c r="S27" t="s">
        <v>12</v>
      </c>
      <c r="T27" t="s">
        <v>249</v>
      </c>
    </row>
    <row r="28" spans="1:22" x14ac:dyDescent="0.2">
      <c r="A28" s="4" t="s">
        <v>35</v>
      </c>
      <c r="B28">
        <v>-2.0022540417261516</v>
      </c>
      <c r="D28" s="1">
        <v>45941</v>
      </c>
      <c r="E28" s="2">
        <v>0.79166666666666663</v>
      </c>
      <c r="F28" t="s">
        <v>26</v>
      </c>
      <c r="G28">
        <f>VLOOKUP(Table46[[#This Row],[Home]],'NHL Model'!$A$6:$B$38,2,FALSE)</f>
        <v>-0.513643833119658</v>
      </c>
      <c r="H28" t="s">
        <v>19</v>
      </c>
      <c r="I28">
        <f>VLOOKUP(Table46[[#This Row],[Visitor]],'NHL Model'!$A$6:$B$38,2,FALSE)</f>
        <v>-0.635565543477981</v>
      </c>
      <c r="J28">
        <f>($B$1+Table46[[#This Row],[Home Differential]])-Table46[[#This Row],[Away Differential]]</f>
        <v>0.28449402002064139</v>
      </c>
      <c r="K28" t="str">
        <f>IF(Table46[[#This Row],[HomeIce Differential]]&gt;0,Table46[[#This Row],[Home]],Table46[[#This Row],[Visitor]])</f>
        <v>Detroit Red Wings</v>
      </c>
      <c r="L2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0.60385239827583914</v>
      </c>
      <c r="M28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28" t="str">
        <f>IF(OR((NHL2025_26Results[[#This Row],[Winning Team]]="")),"-",IF(Table46[[#This Row],[Predicted Winner]]=NHL2025_26Results[[#This Row],[Winning Team]],"YES","NO"))</f>
        <v>YES</v>
      </c>
      <c r="O28" t="str">
        <f>IF(OR((NHL2025_26Results[[#This Row],[Winning Team]]="")),"-",IF(Table46[[#This Row],[Prob Winner]]=NHL2025_26Results[[#This Row],[Winning Team]],"YES","NO"))</f>
        <v>YES</v>
      </c>
      <c r="P28" t="str">
        <f>IF(Table46[[#This Row],[Locked Prediction]]&lt;&gt;Table46[[#This Row],[Prob Winner]], "Changed", "Same")</f>
        <v>Changed</v>
      </c>
      <c r="Q28">
        <f>IF(Table46[[#This Row],[Adjusted Predicted Correct]]="-", "",IF(Table46[[#This Row],[Adjusted Predicted Correct]]="YES",(Table46[[#This Row],[Strength of Win]]-1)^2,(Table46[[#This Row],[Strength of Win]]-0)^2))</f>
        <v>0.15693292235180437</v>
      </c>
      <c r="R28">
        <v>-9.2074635980839616E-3</v>
      </c>
      <c r="S28" t="s">
        <v>19</v>
      </c>
      <c r="T28" t="s">
        <v>249</v>
      </c>
    </row>
    <row r="29" spans="1:22" x14ac:dyDescent="0.2">
      <c r="A29" s="4" t="s">
        <v>37</v>
      </c>
      <c r="B29">
        <v>-1.0848625138064328E-3</v>
      </c>
      <c r="D29" s="1">
        <v>45941</v>
      </c>
      <c r="E29" s="2">
        <v>0.91666666666666663</v>
      </c>
      <c r="F29" t="s">
        <v>17</v>
      </c>
      <c r="G29">
        <f>VLOOKUP(Table46[[#This Row],[Home]],'NHL Model'!$A$6:$B$38,2,FALSE)</f>
        <v>-0.61980804137564283</v>
      </c>
      <c r="H29" t="s">
        <v>38</v>
      </c>
      <c r="I29">
        <f>VLOOKUP(Table46[[#This Row],[Visitor]],'NHL Model'!$A$6:$B$38,2,FALSE)</f>
        <v>-0.6902088310934803</v>
      </c>
      <c r="J29">
        <f>($B$1+Table46[[#This Row],[Home Differential]])-Table46[[#This Row],[Away Differential]]</f>
        <v>0.23297309938015587</v>
      </c>
      <c r="K29" t="str">
        <f>IF(Table46[[#This Row],[HomeIce Differential]]&gt;0,Table46[[#This Row],[Home]],Table46[[#This Row],[Visitor]])</f>
        <v>Edmonton Oilers</v>
      </c>
      <c r="L2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0.56494713537815144</v>
      </c>
      <c r="M29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29" t="str">
        <f>IF(OR((NHL2025_26Results[[#This Row],[Winning Team]]="")),"-",IF(Table46[[#This Row],[Predicted Winner]]=NHL2025_26Results[[#This Row],[Winning Team]],"YES","NO"))</f>
        <v>YES</v>
      </c>
      <c r="O29" t="str">
        <f>IF(OR((NHL2025_26Results[[#This Row],[Winning Team]]="")),"-",IF(Table46[[#This Row],[Prob Winner]]=NHL2025_26Results[[#This Row],[Winning Team]],"YES","NO"))</f>
        <v>YES</v>
      </c>
      <c r="P29" t="str">
        <f>IF(Table46[[#This Row],[Locked Prediction]]&lt;&gt;Table46[[#This Row],[Prob Winner]], "Changed", "Same")</f>
        <v>Changed</v>
      </c>
      <c r="Q29">
        <f>IF(Table46[[#This Row],[Adjusted Predicted Correct]]="-", "",IF(Table46[[#This Row],[Adjusted Predicted Correct]]="YES",(Table46[[#This Row],[Strength of Win]]-1)^2,(Table46[[#This Row],[Strength of Win]]-0)^2))</f>
        <v>0.18927099501567649</v>
      </c>
      <c r="R29">
        <v>-8.8016920868381129E-3</v>
      </c>
      <c r="S29" t="s">
        <v>38</v>
      </c>
      <c r="T29" t="s">
        <v>249</v>
      </c>
    </row>
    <row r="30" spans="1:22" x14ac:dyDescent="0.2">
      <c r="A30" s="4" t="s">
        <v>19</v>
      </c>
      <c r="B30">
        <v>-0.5832533324245347</v>
      </c>
      <c r="D30" s="1">
        <v>45941</v>
      </c>
      <c r="E30" s="2">
        <v>0.79166666666666663</v>
      </c>
      <c r="F30" t="s">
        <v>11</v>
      </c>
      <c r="G30">
        <f>VLOOKUP(Table46[[#This Row],[Home]],'NHL Model'!$A$6:$B$38,2,FALSE)</f>
        <v>-0.28105923893144158</v>
      </c>
      <c r="H30" t="s">
        <v>36</v>
      </c>
      <c r="I30">
        <f>VLOOKUP(Table46[[#This Row],[Visitor]],'NHL Model'!$A$6:$B$38,2,FALSE)</f>
        <v>-0.40651947573390851</v>
      </c>
      <c r="J30">
        <f>($B$1+Table46[[#This Row],[Home Differential]])-Table46[[#This Row],[Away Differential]]</f>
        <v>0.28803254646478532</v>
      </c>
      <c r="K30" t="str">
        <f>IF(Table46[[#This Row],[HomeIce Differential]]&gt;0,Table46[[#This Row],[Home]],Table46[[#This Row],[Visitor]])</f>
        <v>Florida Panthers</v>
      </c>
      <c r="L3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0.63000097617670792</v>
      </c>
      <c r="M30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30" t="str">
        <f>IF(OR((NHL2025_26Results[[#This Row],[Winning Team]]="")),"-",IF(Table46[[#This Row],[Predicted Winner]]=NHL2025_26Results[[#This Row],[Winning Team]],"YES","NO"))</f>
        <v>YES</v>
      </c>
      <c r="O30" t="str">
        <f>IF(OR((NHL2025_26Results[[#This Row],[Winning Team]]="")),"-",IF(Table46[[#This Row],[Prob Winner]]=NHL2025_26Results[[#This Row],[Winning Team]],"YES","NO"))</f>
        <v>YES</v>
      </c>
      <c r="P30" t="str">
        <f>IF(Table46[[#This Row],[Locked Prediction]]&lt;&gt;Table46[[#This Row],[Prob Winner]], "Changed", "Same")</f>
        <v>Same</v>
      </c>
      <c r="Q30">
        <f>IF(Table46[[#This Row],[Adjusted Predicted Correct]]="-", "",IF(Table46[[#This Row],[Adjusted Predicted Correct]]="YES",(Table46[[#This Row],[Strength of Win]]-1)^2,(Table46[[#This Row],[Strength of Win]]-0)^2))</f>
        <v>0.13689927763018905</v>
      </c>
      <c r="R30">
        <v>2.423581240189359E-3</v>
      </c>
      <c r="S30" t="s">
        <v>11</v>
      </c>
      <c r="T30" t="s">
        <v>248</v>
      </c>
    </row>
    <row r="31" spans="1:22" x14ac:dyDescent="0.2">
      <c r="A31" s="4" t="s">
        <v>55</v>
      </c>
      <c r="B31">
        <v>-3.8449595931531758E-2</v>
      </c>
      <c r="D31" s="1">
        <v>45941</v>
      </c>
      <c r="E31" s="2">
        <v>0.83333333333333337</v>
      </c>
      <c r="F31" t="s">
        <v>34</v>
      </c>
      <c r="G31">
        <f>VLOOKUP(Table46[[#This Row],[Home]],'NHL Model'!$A$6:$B$38,2,FALSE)</f>
        <v>-0.53650300840565446</v>
      </c>
      <c r="H31" t="s">
        <v>28</v>
      </c>
      <c r="I31">
        <f>VLOOKUP(Table46[[#This Row],[Visitor]],'NHL Model'!$A$6:$B$38,2,FALSE)</f>
        <v>-0.40822279081308277</v>
      </c>
      <c r="J31">
        <f>($B$1+Table46[[#This Row],[Home Differential]])-Table46[[#This Row],[Away Differential]]</f>
        <v>3.4292092069746705E-2</v>
      </c>
      <c r="K31" t="str">
        <f>IF(Table46[[#This Row],[HomeIce Differential]]&gt;0,Table46[[#This Row],[Home]],Table46[[#This Row],[Visitor]])</f>
        <v>Minnesota Wild</v>
      </c>
      <c r="L3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0.52378884003110293</v>
      </c>
      <c r="M31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31" t="str">
        <f>IF(OR((NHL2025_26Results[[#This Row],[Winning Team]]="")),"-",IF(Table46[[#This Row],[Predicted Winner]]=NHL2025_26Results[[#This Row],[Winning Team]],"YES","NO"))</f>
        <v>NO</v>
      </c>
      <c r="O31" t="str">
        <f>IF(OR((NHL2025_26Results[[#This Row],[Winning Team]]="")),"-",IF(Table46[[#This Row],[Prob Winner]]=NHL2025_26Results[[#This Row],[Winning Team]],"YES","NO"))</f>
        <v>NO</v>
      </c>
      <c r="P31" t="str">
        <f>IF(Table46[[#This Row],[Locked Prediction]]&lt;&gt;Table46[[#This Row],[Prob Winner]], "Changed", "Same")</f>
        <v>Changed</v>
      </c>
      <c r="Q31">
        <f>IF(Table46[[#This Row],[Adjusted Predicted Correct]]="-", "",IF(Table46[[#This Row],[Adjusted Predicted Correct]]="YES",(Table46[[#This Row],[Strength of Win]]-1)^2,(Table46[[#This Row],[Strength of Win]]-0)^2))</f>
        <v>0.27435474894112832</v>
      </c>
      <c r="R31">
        <v>-9.7151346375800168E-3</v>
      </c>
      <c r="S31" t="s">
        <v>28</v>
      </c>
      <c r="T31" t="s">
        <v>248</v>
      </c>
    </row>
    <row r="32" spans="1:22" x14ac:dyDescent="0.2">
      <c r="A32" s="4" t="s">
        <v>38</v>
      </c>
      <c r="B32">
        <v>-1.4294227670343234</v>
      </c>
      <c r="D32" s="1">
        <v>45941</v>
      </c>
      <c r="E32" s="2">
        <v>0.83333333333333337</v>
      </c>
      <c r="F32" t="s">
        <v>29</v>
      </c>
      <c r="G32">
        <f>VLOOKUP(Table46[[#This Row],[Home]],'NHL Model'!$A$6:$B$38,2,FALSE)</f>
        <v>-1.3516250707060606</v>
      </c>
      <c r="H32" t="s">
        <v>55</v>
      </c>
      <c r="I32">
        <f>VLOOKUP(Table46[[#This Row],[Visitor]],'NHL Model'!$A$6:$B$38,2,FALSE)</f>
        <v>-0.12212311954851815</v>
      </c>
      <c r="J32">
        <f>($B$1+Table46[[#This Row],[Home Differential]])-Table46[[#This Row],[Away Differential]]</f>
        <v>-1.0669296414952241</v>
      </c>
      <c r="K32" t="str">
        <f>IF(Table46[[#This Row],[HomeIce Differential]]&gt;0,Table46[[#This Row],[Home]],Table46[[#This Row],[Visitor]])</f>
        <v>Utah Mammoth</v>
      </c>
      <c r="L3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0.60181522769210682</v>
      </c>
      <c r="M32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32" t="str">
        <f>IF(OR((NHL2025_26Results[[#This Row],[Winning Team]]="")),"-",IF(Table46[[#This Row],[Predicted Winner]]=NHL2025_26Results[[#This Row],[Winning Team]],"YES","NO"))</f>
        <v>YES</v>
      </c>
      <c r="O32" t="str">
        <f>IF(OR((NHL2025_26Results[[#This Row],[Winning Team]]="")),"-",IF(Table46[[#This Row],[Prob Winner]]=NHL2025_26Results[[#This Row],[Winning Team]],"YES","NO"))</f>
        <v>YES</v>
      </c>
      <c r="P32" t="str">
        <f>IF(Table46[[#This Row],[Locked Prediction]]&lt;&gt;Table46[[#This Row],[Prob Winner]], "Changed", "Same")</f>
        <v>Changed</v>
      </c>
      <c r="Q32">
        <f>IF(Table46[[#This Row],[Adjusted Predicted Correct]]="-", "",IF(Table46[[#This Row],[Adjusted Predicted Correct]]="YES",(Table46[[#This Row],[Strength of Win]]-1)^2,(Table46[[#This Row],[Strength of Win]]-0)^2))</f>
        <v>0.15855111289788873</v>
      </c>
      <c r="R32">
        <v>-9.2090114557647589E-3</v>
      </c>
      <c r="S32" t="s">
        <v>250</v>
      </c>
      <c r="T32" t="s">
        <v>249</v>
      </c>
    </row>
    <row r="33" spans="1:20" x14ac:dyDescent="0.2">
      <c r="A33" s="4" t="s">
        <v>20</v>
      </c>
      <c r="B33">
        <v>4.1921578688071317E-4</v>
      </c>
      <c r="D33" s="1">
        <v>45941</v>
      </c>
      <c r="E33" s="2">
        <v>0.79166666666666663</v>
      </c>
      <c r="F33" t="s">
        <v>30</v>
      </c>
      <c r="G33">
        <f>VLOOKUP(Table46[[#This Row],[Home]],'NHL Model'!$A$6:$B$38,2,FALSE)</f>
        <v>-6.4729560818359025E-2</v>
      </c>
      <c r="H33" t="s">
        <v>22</v>
      </c>
      <c r="I33">
        <f>VLOOKUP(Table46[[#This Row],[Visitor]],'NHL Model'!$A$6:$B$38,2,FALSE)</f>
        <v>-6.1308839486784707E-2</v>
      </c>
      <c r="J33">
        <f>($B$1+Table46[[#This Row],[Home Differential]])-Table46[[#This Row],[Away Differential]]</f>
        <v>0.15915158833074408</v>
      </c>
      <c r="K33" t="str">
        <f>IF(Table46[[#This Row],[HomeIce Differential]]&gt;0,Table46[[#This Row],[Home]],Table46[[#This Row],[Visitor]])</f>
        <v>New York Islanders</v>
      </c>
      <c r="L3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0.56115427096491066</v>
      </c>
      <c r="M33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33" t="str">
        <f>IF(OR((NHL2025_26Results[[#This Row],[Winning Team]]="")),"-",IF(Table46[[#This Row],[Predicted Winner]]=NHL2025_26Results[[#This Row],[Winning Team]],"YES","NO"))</f>
        <v>NO</v>
      </c>
      <c r="O33" t="str">
        <f>IF(OR((NHL2025_26Results[[#This Row],[Winning Team]]="")),"-",IF(Table46[[#This Row],[Prob Winner]]=NHL2025_26Results[[#This Row],[Winning Team]],"YES","NO"))</f>
        <v>NO</v>
      </c>
      <c r="P33" t="str">
        <f>IF(Table46[[#This Row],[Locked Prediction]]&lt;&gt;Table46[[#This Row],[Prob Winner]], "Changed", "Same")</f>
        <v>Changed</v>
      </c>
      <c r="Q33">
        <f>IF(Table46[[#This Row],[Adjusted Predicted Correct]]="-", "",IF(Table46[[#This Row],[Adjusted Predicted Correct]]="YES",(Table46[[#This Row],[Strength of Win]]-1)^2,(Table46[[#This Row],[Strength of Win]]-0)^2))</f>
        <v>0.31489411582216037</v>
      </c>
      <c r="R33">
        <v>-9.207463858015923E-3</v>
      </c>
      <c r="S33" t="s">
        <v>22</v>
      </c>
      <c r="T33" t="s">
        <v>248</v>
      </c>
    </row>
    <row r="34" spans="1:20" x14ac:dyDescent="0.2">
      <c r="A34" s="4" t="s">
        <v>22</v>
      </c>
      <c r="B34">
        <v>-0.48470977774289092</v>
      </c>
      <c r="D34" s="1">
        <v>45941</v>
      </c>
      <c r="E34" s="2">
        <v>0.79166666666666663</v>
      </c>
      <c r="F34" t="s">
        <v>14</v>
      </c>
      <c r="G34">
        <f>VLOOKUP(Table46[[#This Row],[Home]],'NHL Model'!$A$6:$B$38,2,FALSE)</f>
        <v>0.26289091192875702</v>
      </c>
      <c r="H34" t="s">
        <v>15</v>
      </c>
      <c r="I34">
        <f>VLOOKUP(Table46[[#This Row],[Visitor]],'NHL Model'!$A$6:$B$38,2,FALSE)</f>
        <v>-0.30719665303039001</v>
      </c>
      <c r="J34">
        <f>($B$1+Table46[[#This Row],[Home Differential]])-Table46[[#This Row],[Away Differential]]</f>
        <v>0.73265987462146542</v>
      </c>
      <c r="K34" t="str">
        <f>IF(Table46[[#This Row],[HomeIce Differential]]&gt;0,Table46[[#This Row],[Home]],Table46[[#This Row],[Visitor]])</f>
        <v>Pittsburgh Penguins</v>
      </c>
      <c r="L3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0.53045528859971358</v>
      </c>
      <c r="M34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34" t="str">
        <f>IF(OR((NHL2025_26Results[[#This Row],[Winning Team]]="")),"-",IF(Table46[[#This Row],[Predicted Winner]]=NHL2025_26Results[[#This Row],[Winning Team]],"YES","NO"))</f>
        <v>NO</v>
      </c>
      <c r="O34" t="str">
        <f>IF(OR((NHL2025_26Results[[#This Row],[Winning Team]]="")),"-",IF(Table46[[#This Row],[Prob Winner]]=NHL2025_26Results[[#This Row],[Winning Team]],"YES","NO"))</f>
        <v>NO</v>
      </c>
      <c r="P34" t="str">
        <f>IF(Table46[[#This Row],[Locked Prediction]]&lt;&gt;Table46[[#This Row],[Prob Winner]], "Changed", "Same")</f>
        <v>Same</v>
      </c>
      <c r="Q34">
        <f>IF(Table46[[#This Row],[Adjusted Predicted Correct]]="-", "",IF(Table46[[#This Row],[Adjusted Predicted Correct]]="YES",(Table46[[#This Row],[Strength of Win]]-1)^2,(Table46[[#This Row],[Strength of Win]]-0)^2))</f>
        <v>0.28138281320340541</v>
      </c>
      <c r="R34">
        <v>6.057884203130582E-2</v>
      </c>
      <c r="S34" t="s">
        <v>14</v>
      </c>
      <c r="T34" t="s">
        <v>249</v>
      </c>
    </row>
    <row r="35" spans="1:20" x14ac:dyDescent="0.2">
      <c r="A35" s="4" t="s">
        <v>40</v>
      </c>
      <c r="B35">
        <v>-1.542283927006498E-2</v>
      </c>
      <c r="D35" s="1">
        <v>45941</v>
      </c>
      <c r="E35" s="2">
        <v>0.91666666666666663</v>
      </c>
      <c r="F35" t="s">
        <v>32</v>
      </c>
      <c r="G35">
        <f>VLOOKUP(Table46[[#This Row],[Home]],'NHL Model'!$A$6:$B$38,2,FALSE)</f>
        <v>-0.361361309178443</v>
      </c>
      <c r="H35" t="s">
        <v>20</v>
      </c>
      <c r="I35">
        <f>VLOOKUP(Table46[[#This Row],[Visitor]],'NHL Model'!$A$6:$B$38,2,FALSE)</f>
        <v>-6.3745791019188943E-4</v>
      </c>
      <c r="J35">
        <f>($B$1+Table46[[#This Row],[Home Differential]])-Table46[[#This Row],[Away Differential]]</f>
        <v>-0.19815154160593271</v>
      </c>
      <c r="K35" t="str">
        <f>IF(Table46[[#This Row],[HomeIce Differential]]&gt;0,Table46[[#This Row],[Home]],Table46[[#This Row],[Visitor]])</f>
        <v>Vegas Golden Knights</v>
      </c>
      <c r="L3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0.48088356054371506</v>
      </c>
      <c r="M35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35" t="str">
        <f>IF(OR((NHL2025_26Results[[#This Row],[Winning Team]]="")),"-",IF(Table46[[#This Row],[Predicted Winner]]=NHL2025_26Results[[#This Row],[Winning Team]],"YES","NO"))</f>
        <v>NO</v>
      </c>
      <c r="O35" t="str">
        <f>IF(OR((NHL2025_26Results[[#This Row],[Winning Team]]="")),"-",IF(Table46[[#This Row],[Prob Winner]]=NHL2025_26Results[[#This Row],[Winning Team]],"YES","NO"))</f>
        <v>YES</v>
      </c>
      <c r="P35" t="str">
        <f>IF(Table46[[#This Row],[Locked Prediction]]&lt;&gt;Table46[[#This Row],[Prob Winner]], "Changed", "Same")</f>
        <v>Changed</v>
      </c>
      <c r="Q35">
        <f>IF(Table46[[#This Row],[Adjusted Predicted Correct]]="-", "",IF(Table46[[#This Row],[Adjusted Predicted Correct]]="YES",(Table46[[#This Row],[Strength of Win]]-1)^2,(Table46[[#This Row],[Strength of Win]]-0)^2))</f>
        <v>0.23124899880120087</v>
      </c>
      <c r="R35">
        <v>-9.2121793041826973E-3</v>
      </c>
      <c r="S35" t="s">
        <v>20</v>
      </c>
      <c r="T35" t="s">
        <v>249</v>
      </c>
    </row>
    <row r="36" spans="1:20" x14ac:dyDescent="0.2">
      <c r="A36" s="4" t="s">
        <v>45</v>
      </c>
      <c r="B36">
        <v>-16.710428964795035</v>
      </c>
      <c r="D36" s="1">
        <v>45941</v>
      </c>
      <c r="E36" s="2">
        <v>0.91666666666666663</v>
      </c>
      <c r="F36" t="s">
        <v>33</v>
      </c>
      <c r="G36">
        <f>VLOOKUP(Table46[[#This Row],[Home]],'NHL Model'!$A$6:$B$38,2,FALSE)</f>
        <v>-0.39418177254008485</v>
      </c>
      <c r="H36" t="s">
        <v>31</v>
      </c>
      <c r="I36">
        <f>VLOOKUP(Table46[[#This Row],[Visitor]],'NHL Model'!$A$6:$B$38,2,FALSE)</f>
        <v>0.51775546328552802</v>
      </c>
      <c r="J36">
        <f>($B$1+Table46[[#This Row],[Home Differential]])-Table46[[#This Row],[Away Differential]]</f>
        <v>-0.74936492616329442</v>
      </c>
      <c r="K36" t="str">
        <f>IF(Table46[[#This Row],[HomeIce Differential]]&gt;0,Table46[[#This Row],[Home]],Table46[[#This Row],[Visitor]])</f>
        <v>Anaheim Ducks</v>
      </c>
      <c r="L3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0.58037407207759928</v>
      </c>
      <c r="M36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36" t="str">
        <f>IF(OR((NHL2025_26Results[[#This Row],[Winning Team]]="")),"-",IF(Table46[[#This Row],[Predicted Winner]]=NHL2025_26Results[[#This Row],[Winning Team]],"YES","NO"))</f>
        <v>YES</v>
      </c>
      <c r="O36" t="str">
        <f>IF(OR((NHL2025_26Results[[#This Row],[Winning Team]]="")),"-",IF(Table46[[#This Row],[Prob Winner]]=NHL2025_26Results[[#This Row],[Winning Team]],"YES","NO"))</f>
        <v>YES</v>
      </c>
      <c r="P36" t="str">
        <f>IF(Table46[[#This Row],[Locked Prediction]]&lt;&gt;Table46[[#This Row],[Prob Winner]], "Changed", "Same")</f>
        <v>Same</v>
      </c>
      <c r="Q36">
        <f>IF(Table46[[#This Row],[Adjusted Predicted Correct]]="-", "",IF(Table46[[#This Row],[Adjusted Predicted Correct]]="YES",(Table46[[#This Row],[Strength of Win]]-1)^2,(Table46[[#This Row],[Strength of Win]]-0)^2))</f>
        <v>0.17608591938473583</v>
      </c>
      <c r="R36">
        <v>-8.7970492492562904E-3</v>
      </c>
      <c r="S36" t="s">
        <v>31</v>
      </c>
      <c r="T36" t="s">
        <v>248</v>
      </c>
    </row>
    <row r="37" spans="1:20" x14ac:dyDescent="0.2">
      <c r="D37" s="1">
        <v>45941</v>
      </c>
      <c r="E37" s="2">
        <v>0.79166666666666663</v>
      </c>
      <c r="F37" t="s">
        <v>37</v>
      </c>
      <c r="G37">
        <f>VLOOKUP(Table46[[#This Row],[Home]],'NHL Model'!$A$6:$B$38,2,FALSE)</f>
        <v>-0.11309445867623392</v>
      </c>
      <c r="H37" t="s">
        <v>24</v>
      </c>
      <c r="I37">
        <f>VLOOKUP(Table46[[#This Row],[Visitor]],'NHL Model'!$A$6:$B$38,2,FALSE)</f>
        <v>0.559441163373953</v>
      </c>
      <c r="J37">
        <f>($B$1+Table46[[#This Row],[Home Differential]])-Table46[[#This Row],[Away Differential]]</f>
        <v>-0.50996331238786852</v>
      </c>
      <c r="K37" t="str">
        <f>IF(Table46[[#This Row],[HomeIce Differential]]&gt;0,Table46[[#This Row],[Home]],Table46[[#This Row],[Visitor]])</f>
        <v>New Jersey Devils</v>
      </c>
      <c r="L3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0.59409960618305457</v>
      </c>
      <c r="M37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37" t="str">
        <f>IF(OR((NHL2025_26Results[[#This Row],[Winning Team]]="")),"-",IF(Table46[[#This Row],[Predicted Winner]]=NHL2025_26Results[[#This Row],[Winning Team]],"YES","NO"))</f>
        <v>YES</v>
      </c>
      <c r="O37" t="str">
        <f>IF(OR((NHL2025_26Results[[#This Row],[Winning Team]]="")),"-",IF(Table46[[#This Row],[Prob Winner]]=NHL2025_26Results[[#This Row],[Winning Team]],"YES","NO"))</f>
        <v>YES</v>
      </c>
      <c r="P37" t="str">
        <f>IF(Table46[[#This Row],[Locked Prediction]]&lt;&gt;Table46[[#This Row],[Prob Winner]], "Changed", "Same")</f>
        <v>Same</v>
      </c>
      <c r="Q37">
        <f>IF(Table46[[#This Row],[Adjusted Predicted Correct]]="-", "",IF(Table46[[#This Row],[Adjusted Predicted Correct]]="YES",(Table46[[#This Row],[Strength of Win]]-1)^2,(Table46[[#This Row],[Strength of Win]]-0)^2))</f>
        <v>0.1647551297007514</v>
      </c>
      <c r="R37">
        <v>-9.4712703452670185E-3</v>
      </c>
      <c r="S37" t="s">
        <v>24</v>
      </c>
      <c r="T37" t="s">
        <v>248</v>
      </c>
    </row>
    <row r="38" spans="1:20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VLOOKUP(Table46[[#This Row],[Home]],'NHL Model'!$A$6:$B$38,2,FALSE)</f>
        <v>0.105105258369765</v>
      </c>
      <c r="H38" t="s">
        <v>13</v>
      </c>
      <c r="I38">
        <f>VLOOKUP(Table46[[#This Row],[Visitor]],'NHL Model'!$A$6:$B$38,2,FALSE)</f>
        <v>-7.5459708298993802E-2</v>
      </c>
      <c r="J38">
        <f>($B$1+Table46[[#This Row],[Home Differential]])-Table46[[#This Row],[Away Differential]]</f>
        <v>0.34313727633107721</v>
      </c>
      <c r="K38" t="str">
        <f>IF(Table46[[#This Row],[HomeIce Differential]]&gt;0,Table46[[#This Row],[Home]],Table46[[#This Row],[Visitor]])</f>
        <v>Winnipeg Jets</v>
      </c>
      <c r="L3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0.50015492032460818</v>
      </c>
      <c r="M38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38" t="str">
        <f>IF(OR((NHL2025_26Results[[#This Row],[Winning Team]]="")),"-",IF(Table46[[#This Row],[Predicted Winner]]=NHL2025_26Results[[#This Row],[Winning Team]],"YES","NO"))</f>
        <v>YES</v>
      </c>
      <c r="O38" t="str">
        <f>IF(OR((NHL2025_26Results[[#This Row],[Winning Team]]="")),"-",IF(Table46[[#This Row],[Prob Winner]]=NHL2025_26Results[[#This Row],[Winning Team]],"YES","NO"))</f>
        <v>YES</v>
      </c>
      <c r="P38" t="str">
        <f>IF(Table46[[#This Row],[Locked Prediction]]&lt;&gt;Table46[[#This Row],[Prob Winner]], "Changed", "Same")</f>
        <v>Same</v>
      </c>
      <c r="Q38">
        <f>IF(Table46[[#This Row],[Adjusted Predicted Correct]]="-", "",IF(Table46[[#This Row],[Adjusted Predicted Correct]]="YES",(Table46[[#This Row],[Strength of Win]]-1)^2,(Table46[[#This Row],[Strength of Win]]-0)^2))</f>
        <v>0.24984510367569879</v>
      </c>
      <c r="R38">
        <v>2.6396033238882982E-2</v>
      </c>
      <c r="S38" t="s">
        <v>40</v>
      </c>
      <c r="T38" t="s">
        <v>248</v>
      </c>
    </row>
    <row r="39" spans="1:20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VLOOKUP(Table46[[#This Row],[Home]],'NHL Model'!$A$6:$B$38,2,FALSE)</f>
        <v>-0.30719665303039001</v>
      </c>
      <c r="H39" t="s">
        <v>22</v>
      </c>
      <c r="I39">
        <f>VLOOKUP(Table46[[#This Row],[Visitor]],'NHL Model'!$A$6:$B$38,2,FALSE)</f>
        <v>-6.1308839486784707E-2</v>
      </c>
      <c r="J39">
        <f>($B$1+Table46[[#This Row],[Home Differential]])-Table46[[#This Row],[Away Differential]]</f>
        <v>-8.3315503881286918E-2</v>
      </c>
      <c r="K39" t="str">
        <f>IF(Table46[[#This Row],[HomeIce Differential]]&gt;0,Table46[[#This Row],[Home]],Table46[[#This Row],[Visitor]])</f>
        <v>Washington Capitals</v>
      </c>
      <c r="L3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0.47107421398157884</v>
      </c>
      <c r="M39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39" t="str">
        <f>IF(OR((NHL2025_26Results[[#This Row],[Winning Team]]="")),"-",IF(Table46[[#This Row],[Predicted Winner]]=NHL2025_26Results[[#This Row],[Winning Team]],"YES","NO"))</f>
        <v>YES</v>
      </c>
      <c r="O39" t="str">
        <f>IF(OR((NHL2025_26Results[[#This Row],[Winning Team]]="")),"-",IF(Table46[[#This Row],[Prob Winner]]=NHL2025_26Results[[#This Row],[Winning Team]],"YES","NO"))</f>
        <v>NO</v>
      </c>
      <c r="P39" t="str">
        <f>IF(Table46[[#This Row],[Locked Prediction]]&lt;&gt;Table46[[#This Row],[Prob Winner]], "Changed", "Same")</f>
        <v>Changed</v>
      </c>
      <c r="Q39">
        <f>IF(Table46[[#This Row],[Adjusted Predicted Correct]]="-", "",IF(Table46[[#This Row],[Adjusted Predicted Correct]]="YES",(Table46[[#This Row],[Strength of Win]]-1)^2,(Table46[[#This Row],[Strength of Win]]-0)^2))</f>
        <v>0.27976248711520457</v>
      </c>
      <c r="R39">
        <v>-0.8829558401088724</v>
      </c>
      <c r="S39" t="s">
        <v>22</v>
      </c>
      <c r="T39" t="s">
        <v>248</v>
      </c>
    </row>
    <row r="40" spans="1:20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VLOOKUP(Table46[[#This Row],[Home]],'NHL Model'!$A$6:$B$38,2,FALSE)</f>
        <v>4.029141914856392E-2</v>
      </c>
      <c r="H40" t="s">
        <v>37</v>
      </c>
      <c r="I40">
        <f>VLOOKUP(Table46[[#This Row],[Visitor]],'NHL Model'!$A$6:$B$38,2,FALSE)</f>
        <v>-0.11309445867623392</v>
      </c>
      <c r="J40">
        <f>($B$1+Table46[[#This Row],[Home Differential]])-Table46[[#This Row],[Away Differential]]</f>
        <v>0.31595818748711624</v>
      </c>
      <c r="K40" t="str">
        <f>IF(Table46[[#This Row],[HomeIce Differential]]&gt;0,Table46[[#This Row],[Home]],Table46[[#This Row],[Visitor]])</f>
        <v>Boston Bruins</v>
      </c>
      <c r="L4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0.6089259821573515</v>
      </c>
      <c r="M40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40" t="str">
        <f>IF(OR((NHL2025_26Results[[#This Row],[Winning Team]]="")),"-",IF(Table46[[#This Row],[Predicted Winner]]=NHL2025_26Results[[#This Row],[Winning Team]],"YES","NO"))</f>
        <v>NO</v>
      </c>
      <c r="O40" t="str">
        <f>IF(OR((NHL2025_26Results[[#This Row],[Winning Team]]="")),"-",IF(Table46[[#This Row],[Prob Winner]]=NHL2025_26Results[[#This Row],[Winning Team]],"YES","NO"))</f>
        <v>NO</v>
      </c>
      <c r="P40" t="str">
        <f>IF(Table46[[#This Row],[Locked Prediction]]&lt;&gt;Table46[[#This Row],[Prob Winner]], "Changed", "Same")</f>
        <v>Changed</v>
      </c>
      <c r="Q40">
        <f>IF(Table46[[#This Row],[Adjusted Predicted Correct]]="-", "",IF(Table46[[#This Row],[Adjusted Predicted Correct]]="YES",(Table46[[#This Row],[Strength of Win]]-1)^2,(Table46[[#This Row],[Strength of Win]]-0)^2))</f>
        <v>0.37079085174629517</v>
      </c>
      <c r="R40">
        <v>-0.37995028146814053</v>
      </c>
      <c r="S40" t="s">
        <v>37</v>
      </c>
      <c r="T40" t="s">
        <v>248</v>
      </c>
    </row>
    <row r="41" spans="1:20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VLOOKUP(Table46[[#This Row],[Home]],'NHL Model'!$A$6:$B$38,2,FALSE)</f>
        <v>-0.8683412362501769</v>
      </c>
      <c r="H41" t="s">
        <v>12</v>
      </c>
      <c r="I41">
        <f>VLOOKUP(Table46[[#This Row],[Visitor]],'NHL Model'!$A$6:$B$38,2,FALSE)</f>
        <v>1.5475013591489768</v>
      </c>
      <c r="J41">
        <f>($B$1+Table46[[#This Row],[Home Differential]])-Table46[[#This Row],[Away Differential]]</f>
        <v>-2.2532702857368352</v>
      </c>
      <c r="K41" t="str">
        <f>IF(Table46[[#This Row],[HomeIce Differential]]&gt;0,Table46[[#This Row],[Home]],Table46[[#This Row],[Visitor]])</f>
        <v>Colorado Avalanche</v>
      </c>
      <c r="L4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0.82581823667892307</v>
      </c>
      <c r="M41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41" t="str">
        <f>IF(OR((NHL2025_26Results[[#This Row],[Winning Team]]="")),"-",IF(Table46[[#This Row],[Predicted Winner]]=NHL2025_26Results[[#This Row],[Winning Team]],"YES","NO"))</f>
        <v>YES</v>
      </c>
      <c r="O41" t="str">
        <f>IF(OR((NHL2025_26Results[[#This Row],[Winning Team]]="")),"-",IF(Table46[[#This Row],[Prob Winner]]=NHL2025_26Results[[#This Row],[Winning Team]],"YES","NO"))</f>
        <v>YES</v>
      </c>
      <c r="P41" t="str">
        <f>IF(Table46[[#This Row],[Locked Prediction]]&lt;&gt;Table46[[#This Row],[Prob Winner]], "Changed", "Same")</f>
        <v>Same</v>
      </c>
      <c r="Q41">
        <f>IF(Table46[[#This Row],[Adjusted Predicted Correct]]="-", "",IF(Table46[[#This Row],[Adjusted Predicted Correct]]="YES",(Table46[[#This Row],[Strength of Win]]-1)^2,(Table46[[#This Row],[Strength of Win]]-0)^2))</f>
        <v>3.0339286673639661E-2</v>
      </c>
      <c r="R41">
        <v>-0.5751720838197506</v>
      </c>
      <c r="S41" t="s">
        <v>12</v>
      </c>
      <c r="T41" t="s">
        <v>248</v>
      </c>
    </row>
    <row r="42" spans="1:20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VLOOKUP(Table46[[#This Row],[Home]],'NHL Model'!$A$6:$B$38,2,FALSE)</f>
        <v>-0.40822279081308277</v>
      </c>
      <c r="H42" t="s">
        <v>24</v>
      </c>
      <c r="I42">
        <f>VLOOKUP(Table46[[#This Row],[Visitor]],'NHL Model'!$A$6:$B$38,2,FALSE)</f>
        <v>0.559441163373953</v>
      </c>
      <c r="J42">
        <f>($B$1+Table46[[#This Row],[Home Differential]])-Table46[[#This Row],[Away Differential]]</f>
        <v>-0.80509164452471738</v>
      </c>
      <c r="K42" t="str">
        <f>IF(Table46[[#This Row],[HomeIce Differential]]&gt;0,Table46[[#This Row],[Home]],Table46[[#This Row],[Visitor]])</f>
        <v>New Jersey Devils</v>
      </c>
      <c r="L4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0.63332777080853453</v>
      </c>
      <c r="M42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42" t="str">
        <f>IF(OR((NHL2025_26Results[[#This Row],[Winning Team]]="")),"-",IF(Table46[[#This Row],[Predicted Winner]]=NHL2025_26Results[[#This Row],[Winning Team]],"YES","NO"))</f>
        <v>YES</v>
      </c>
      <c r="O42" t="str">
        <f>IF(OR((NHL2025_26Results[[#This Row],[Winning Team]]="")),"-",IF(Table46[[#This Row],[Prob Winner]]=NHL2025_26Results[[#This Row],[Winning Team]],"YES","NO"))</f>
        <v>YES</v>
      </c>
      <c r="P42" t="str">
        <f>IF(Table46[[#This Row],[Locked Prediction]]&lt;&gt;Table46[[#This Row],[Prob Winner]], "Changed", "Same")</f>
        <v>Same</v>
      </c>
      <c r="Q42">
        <f>IF(Table46[[#This Row],[Adjusted Predicted Correct]]="-", "",IF(Table46[[#This Row],[Adjusted Predicted Correct]]="YES",(Table46[[#This Row],[Strength of Win]]-1)^2,(Table46[[#This Row],[Strength of Win]]-0)^2))</f>
        <v>0.13444852366023857</v>
      </c>
      <c r="R42">
        <v>-0.43763260116194724</v>
      </c>
      <c r="S42" t="s">
        <v>24</v>
      </c>
      <c r="T42" t="s">
        <v>248</v>
      </c>
    </row>
    <row r="43" spans="1:20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VLOOKUP(Table46[[#This Row],[Home]],'NHL Model'!$A$6:$B$38,2,FALSE)</f>
        <v>0.30570968833820172</v>
      </c>
      <c r="H43" t="s">
        <v>55</v>
      </c>
      <c r="I43">
        <f>VLOOKUP(Table46[[#This Row],[Visitor]],'NHL Model'!$A$6:$B$38,2,FALSE)</f>
        <v>-0.12212311954851815</v>
      </c>
      <c r="J43">
        <f>($B$1+Table46[[#This Row],[Home Differential]])-Table46[[#This Row],[Away Differential]]</f>
        <v>0.59040511754903824</v>
      </c>
      <c r="K43" t="str">
        <f>IF(Table46[[#This Row],[HomeIce Differential]]&gt;0,Table46[[#This Row],[Home]],Table46[[#This Row],[Visitor]])</f>
        <v>Chicago Blackhawks</v>
      </c>
      <c r="L4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0.61847606151279355</v>
      </c>
      <c r="M43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43" t="str">
        <f>IF(OR((NHL2025_26Results[[#This Row],[Winning Team]]="")),"-",IF(Table46[[#This Row],[Predicted Winner]]=NHL2025_26Results[[#This Row],[Winning Team]],"YES","NO"))</f>
        <v>YES</v>
      </c>
      <c r="O43" t="str">
        <f>IF(OR((NHL2025_26Results[[#This Row],[Winning Team]]="")),"-",IF(Table46[[#This Row],[Prob Winner]]=NHL2025_26Results[[#This Row],[Winning Team]],"YES","NO"))</f>
        <v>YES</v>
      </c>
      <c r="P43" t="str">
        <f>IF(Table46[[#This Row],[Locked Prediction]]&lt;&gt;Table46[[#This Row],[Prob Winner]], "Changed", "Same")</f>
        <v>Changed</v>
      </c>
      <c r="Q43">
        <f>IF(Table46[[#This Row],[Adjusted Predicted Correct]]="-", "",IF(Table46[[#This Row],[Adjusted Predicted Correct]]="YES",(Table46[[#This Row],[Strength of Win]]-1)^2,(Table46[[#This Row],[Strength of Win]]-0)^2))</f>
        <v>0.14556051563878969</v>
      </c>
      <c r="R43">
        <v>-0.50738766212517128</v>
      </c>
      <c r="S43" t="s">
        <v>250</v>
      </c>
      <c r="T43" t="s">
        <v>249</v>
      </c>
    </row>
    <row r="44" spans="1:20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VLOOKUP(Table46[[#This Row],[Home]],'NHL Model'!$A$6:$B$38,2,FALSE)</f>
        <v>-0.53650300840565446</v>
      </c>
      <c r="H44" t="s">
        <v>13</v>
      </c>
      <c r="I44">
        <f>VLOOKUP(Table46[[#This Row],[Visitor]],'NHL Model'!$A$6:$B$38,2,FALSE)</f>
        <v>-7.5459708298993802E-2</v>
      </c>
      <c r="J44">
        <f>($B$1+Table46[[#This Row],[Home Differential]])-Table46[[#This Row],[Away Differential]]</f>
        <v>-0.29847099044434228</v>
      </c>
      <c r="K44" t="str">
        <f>IF(Table46[[#This Row],[HomeIce Differential]]&gt;0,Table46[[#This Row],[Home]],Table46[[#This Row],[Visitor]])</f>
        <v>Los Angeles Kings</v>
      </c>
      <c r="L4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0.62106781628317309</v>
      </c>
      <c r="M44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44" t="str">
        <f>IF(OR((NHL2025_26Results[[#This Row],[Winning Team]]="")),"-",IF(Table46[[#This Row],[Predicted Winner]]=NHL2025_26Results[[#This Row],[Winning Team]],"YES","NO"))</f>
        <v>NO</v>
      </c>
      <c r="O44" t="str">
        <f>IF(OR((NHL2025_26Results[[#This Row],[Winning Team]]="")),"-",IF(Table46[[#This Row],[Prob Winner]]=NHL2025_26Results[[#This Row],[Winning Team]],"YES","NO"))</f>
        <v>NO</v>
      </c>
      <c r="P44" t="str">
        <f>IF(Table46[[#This Row],[Locked Prediction]]&lt;&gt;Table46[[#This Row],[Prob Winner]], "Changed", "Same")</f>
        <v>Same</v>
      </c>
      <c r="Q44">
        <f>IF(Table46[[#This Row],[Adjusted Predicted Correct]]="-", "",IF(Table46[[#This Row],[Adjusted Predicted Correct]]="YES",(Table46[[#This Row],[Strength of Win]]-1)^2,(Table46[[#This Row],[Strength of Win]]-0)^2))</f>
        <v>0.38572523242274925</v>
      </c>
      <c r="R44">
        <v>-0.41264949281827218</v>
      </c>
      <c r="S44" t="s">
        <v>13</v>
      </c>
      <c r="T44" t="s">
        <v>249</v>
      </c>
    </row>
    <row r="45" spans="1:20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VLOOKUP(Table46[[#This Row],[Home]],'NHL Model'!$A$6:$B$38,2,FALSE)</f>
        <v>-6.4729560818359025E-2</v>
      </c>
      <c r="H45" t="s">
        <v>40</v>
      </c>
      <c r="I45">
        <f>VLOOKUP(Table46[[#This Row],[Visitor]],'NHL Model'!$A$6:$B$38,2,FALSE)</f>
        <v>0.105105258369765</v>
      </c>
      <c r="J45">
        <f>($B$1+Table46[[#This Row],[Home Differential]])-Table46[[#This Row],[Away Differential]]</f>
        <v>-7.2625095258056355E-3</v>
      </c>
      <c r="K45" t="str">
        <f>IF(Table46[[#This Row],[HomeIce Differential]]&gt;0,Table46[[#This Row],[Home]],Table46[[#This Row],[Visitor]])</f>
        <v>Winnipeg Jets</v>
      </c>
      <c r="L4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0.52728111502277553</v>
      </c>
      <c r="M45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45" t="str">
        <f>IF(OR((NHL2025_26Results[[#This Row],[Winning Team]]="")),"-",IF(Table46[[#This Row],[Predicted Winner]]=NHL2025_26Results[[#This Row],[Winning Team]],"YES","NO"))</f>
        <v>YES</v>
      </c>
      <c r="O45" t="str">
        <f>IF(OR((NHL2025_26Results[[#This Row],[Winning Team]]="")),"-",IF(Table46[[#This Row],[Prob Winner]]=NHL2025_26Results[[#This Row],[Winning Team]],"YES","NO"))</f>
        <v>YES</v>
      </c>
      <c r="P45" t="str">
        <f>IF(Table46[[#This Row],[Locked Prediction]]&lt;&gt;Table46[[#This Row],[Prob Winner]], "Changed", "Same")</f>
        <v>Same</v>
      </c>
      <c r="Q45">
        <f>IF(Table46[[#This Row],[Adjusted Predicted Correct]]="-", "",IF(Table46[[#This Row],[Adjusted Predicted Correct]]="YES",(Table46[[#This Row],[Strength of Win]]-1)^2,(Table46[[#This Row],[Strength of Win]]-0)^2))</f>
        <v>0.22346314421411037</v>
      </c>
      <c r="R45">
        <v>-0.50491654693414467</v>
      </c>
      <c r="S45" t="s">
        <v>40</v>
      </c>
      <c r="T45" t="s">
        <v>248</v>
      </c>
    </row>
    <row r="46" spans="1:20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VLOOKUP(Table46[[#This Row],[Home]],'NHL Model'!$A$6:$B$38,2,FALSE)</f>
        <v>-0.40651947573390851</v>
      </c>
      <c r="H46" t="s">
        <v>29</v>
      </c>
      <c r="I46">
        <f>VLOOKUP(Table46[[#This Row],[Visitor]],'NHL Model'!$A$6:$B$38,2,FALSE)</f>
        <v>-1.3516250707060606</v>
      </c>
      <c r="J46">
        <f>($B$1+Table46[[#This Row],[Home Differential]])-Table46[[#This Row],[Away Differential]]</f>
        <v>1.1076779046344705</v>
      </c>
      <c r="K46" t="str">
        <f>IF(Table46[[#This Row],[HomeIce Differential]]&gt;0,Table46[[#This Row],[Home]],Table46[[#This Row],[Visitor]])</f>
        <v>Ottawa Senators</v>
      </c>
      <c r="L4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0.68972692553955395</v>
      </c>
      <c r="M46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46" t="str">
        <f>IF(OR((NHL2025_26Results[[#This Row],[Winning Team]]="")),"-",IF(Table46[[#This Row],[Predicted Winner]]=NHL2025_26Results[[#This Row],[Winning Team]],"YES","NO"))</f>
        <v>NO</v>
      </c>
      <c r="O46" t="str">
        <f>IF(OR((NHL2025_26Results[[#This Row],[Winning Team]]="")),"-",IF(Table46[[#This Row],[Prob Winner]]=NHL2025_26Results[[#This Row],[Winning Team]],"YES","NO"))</f>
        <v>NO</v>
      </c>
      <c r="P46" t="str">
        <f>IF(Table46[[#This Row],[Locked Prediction]]&lt;&gt;Table46[[#This Row],[Prob Winner]], "Changed", "Same")</f>
        <v>Changed</v>
      </c>
      <c r="Q46">
        <f>IF(Table46[[#This Row],[Adjusted Predicted Correct]]="-", "",IF(Table46[[#This Row],[Adjusted Predicted Correct]]="YES",(Table46[[#This Row],[Strength of Win]]-1)^2,(Table46[[#This Row],[Strength of Win]]-0)^2))</f>
        <v>0.47572323181424542</v>
      </c>
      <c r="R46">
        <v>-0.50375844504465972</v>
      </c>
      <c r="S46" t="s">
        <v>29</v>
      </c>
      <c r="T46" t="s">
        <v>248</v>
      </c>
    </row>
    <row r="47" spans="1:20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VLOOKUP(Table46[[#This Row],[Home]],'NHL Model'!$A$6:$B$38,2,FALSE)</f>
        <v>-0.51358590497437617</v>
      </c>
      <c r="H47" t="s">
        <v>11</v>
      </c>
      <c r="I47">
        <f>VLOOKUP(Table46[[#This Row],[Visitor]],'NHL Model'!$A$6:$B$38,2,FALSE)</f>
        <v>-0.28105923893144158</v>
      </c>
      <c r="J47">
        <f>($B$1+Table46[[#This Row],[Home Differential]])-Table46[[#This Row],[Away Differential]]</f>
        <v>-6.9954356380616201E-2</v>
      </c>
      <c r="K47" t="str">
        <f>IF(Table46[[#This Row],[HomeIce Differential]]&gt;0,Table46[[#This Row],[Home]],Table46[[#This Row],[Visitor]])</f>
        <v>Florida Panthers</v>
      </c>
      <c r="L4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0.46680278432901628</v>
      </c>
      <c r="M47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47" t="str">
        <f>IF(OR((NHL2025_26Results[[#This Row],[Winning Team]]="")),"-",IF(Table46[[#This Row],[Predicted Winner]]=NHL2025_26Results[[#This Row],[Winning Team]],"YES","NO"))</f>
        <v>NO</v>
      </c>
      <c r="O47" t="str">
        <f>IF(OR((NHL2025_26Results[[#This Row],[Winning Team]]="")),"-",IF(Table46[[#This Row],[Prob Winner]]=NHL2025_26Results[[#This Row],[Winning Team]],"YES","NO"))</f>
        <v>YES</v>
      </c>
      <c r="P47" t="str">
        <f>IF(Table46[[#This Row],[Locked Prediction]]&lt;&gt;Table46[[#This Row],[Prob Winner]], "Changed", "Same")</f>
        <v>Changed</v>
      </c>
      <c r="Q47">
        <f>IF(Table46[[#This Row],[Adjusted Predicted Correct]]="-", "",IF(Table46[[#This Row],[Adjusted Predicted Correct]]="YES",(Table46[[#This Row],[Strength of Win]]-1)^2,(Table46[[#This Row],[Strength of Win]]-0)^2))</f>
        <v>0.21790483945732209</v>
      </c>
      <c r="R47">
        <v>-0.56356457777219926</v>
      </c>
      <c r="S47" t="s">
        <v>11</v>
      </c>
      <c r="T47" t="s">
        <v>249</v>
      </c>
    </row>
    <row r="48" spans="1:20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VLOOKUP(Table46[[#This Row],[Home]],'NHL Model'!$A$6:$B$38,2,FALSE)</f>
        <v>-0.635565543477981</v>
      </c>
      <c r="H48" t="s">
        <v>26</v>
      </c>
      <c r="I48">
        <f>VLOOKUP(Table46[[#This Row],[Visitor]],'NHL Model'!$A$6:$B$38,2,FALSE)</f>
        <v>-0.513643833119658</v>
      </c>
      <c r="J48">
        <f>($B$1+Table46[[#This Row],[Home Differential]])-Table46[[#This Row],[Away Differential]]</f>
        <v>4.0650599303995394E-2</v>
      </c>
      <c r="K48" t="str">
        <f>IF(Table46[[#This Row],[HomeIce Differential]]&gt;0,Table46[[#This Row],[Home]],Table46[[#This Row],[Visitor]])</f>
        <v>Toronto Maple Leafs</v>
      </c>
      <c r="L4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0.4983038457824483</v>
      </c>
      <c r="M48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48" t="str">
        <f>IF(OR((NHL2025_26Results[[#This Row],[Winning Team]]="")),"-",IF(Table46[[#This Row],[Predicted Winner]]=NHL2025_26Results[[#This Row],[Winning Team]],"YES","NO"))</f>
        <v>NO</v>
      </c>
      <c r="O48" t="str">
        <f>IF(OR((NHL2025_26Results[[#This Row],[Winning Team]]="")),"-",IF(Table46[[#This Row],[Prob Winner]]=NHL2025_26Results[[#This Row],[Winning Team]],"YES","NO"))</f>
        <v>YES</v>
      </c>
      <c r="P48" t="str">
        <f>IF(Table46[[#This Row],[Locked Prediction]]&lt;&gt;Table46[[#This Row],[Prob Winner]], "Changed", "Same")</f>
        <v>Same</v>
      </c>
      <c r="Q48">
        <f>IF(Table46[[#This Row],[Adjusted Predicted Correct]]="-", "",IF(Table46[[#This Row],[Adjusted Predicted Correct]]="YES",(Table46[[#This Row],[Strength of Win]]-1)^2,(Table46[[#This Row],[Strength of Win]]-0)^2))</f>
        <v>0.24830672272157803</v>
      </c>
      <c r="R48">
        <v>-0.46138269297271539</v>
      </c>
      <c r="S48" t="s">
        <v>26</v>
      </c>
      <c r="T48" t="s">
        <v>248</v>
      </c>
    </row>
    <row r="49" spans="1:20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VLOOKUP(Table46[[#This Row],[Home]],'NHL Model'!$A$6:$B$38,2,FALSE)</f>
        <v>-0.6902088310934803</v>
      </c>
      <c r="H49" t="s">
        <v>35</v>
      </c>
      <c r="I49">
        <f>VLOOKUP(Table46[[#This Row],[Visitor]],'NHL Model'!$A$6:$B$38,2,FALSE)</f>
        <v>-1.6211574240381006</v>
      </c>
      <c r="J49">
        <f>($B$1+Table46[[#This Row],[Home Differential]])-Table46[[#This Row],[Away Differential]]</f>
        <v>1.0935209026069388</v>
      </c>
      <c r="K49" t="str">
        <f>IF(Table46[[#This Row],[HomeIce Differential]]&gt;0,Table46[[#This Row],[Home]],Table46[[#This Row],[Visitor]])</f>
        <v>Vancouver Canucks</v>
      </c>
      <c r="L4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0.68534971169415704</v>
      </c>
      <c r="M49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49" t="str">
        <f>IF(OR((NHL2025_26Results[[#This Row],[Winning Team]]="")),"-",IF(Table46[[#This Row],[Predicted Winner]]=NHL2025_26Results[[#This Row],[Winning Team]],"YES","NO"))</f>
        <v>NO</v>
      </c>
      <c r="O49" t="str">
        <f>IF(OR((NHL2025_26Results[[#This Row],[Winning Team]]="")),"-",IF(Table46[[#This Row],[Prob Winner]]=NHL2025_26Results[[#This Row],[Winning Team]],"YES","NO"))</f>
        <v>NO</v>
      </c>
      <c r="P49" t="str">
        <f>IF(Table46[[#This Row],[Locked Prediction]]&lt;&gt;Table46[[#This Row],[Prob Winner]], "Changed", "Same")</f>
        <v>Changed</v>
      </c>
      <c r="Q49">
        <f>IF(Table46[[#This Row],[Adjusted Predicted Correct]]="-", "",IF(Table46[[#This Row],[Adjusted Predicted Correct]]="YES",(Table46[[#This Row],[Strength of Win]]-1)^2,(Table46[[#This Row],[Strength of Win]]-0)^2))</f>
        <v>0.46970422731926414</v>
      </c>
      <c r="R49">
        <v>-0.41348669663993171</v>
      </c>
      <c r="S49" t="s">
        <v>35</v>
      </c>
      <c r="T49" t="s">
        <v>248</v>
      </c>
    </row>
    <row r="50" spans="1:20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VLOOKUP(Table46[[#This Row],[Home]],'NHL Model'!$A$6:$B$38,2,FALSE)</f>
        <v>0.51775546328552802</v>
      </c>
      <c r="H50" t="s">
        <v>14</v>
      </c>
      <c r="I50">
        <f>VLOOKUP(Table46[[#This Row],[Visitor]],'NHL Model'!$A$6:$B$38,2,FALSE)</f>
        <v>0.26289091192875702</v>
      </c>
      <c r="J50">
        <f>($B$1+Table46[[#This Row],[Home Differential]])-Table46[[#This Row],[Away Differential]]</f>
        <v>0.41743686101908939</v>
      </c>
      <c r="K50" t="str">
        <f>IF(Table46[[#This Row],[HomeIce Differential]]&gt;0,Table46[[#This Row],[Home]],Table46[[#This Row],[Visitor]])</f>
        <v>Anaheim Ducks</v>
      </c>
      <c r="L5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0.6998151896482987</v>
      </c>
      <c r="M50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50" t="str">
        <f>IF(OR((NHL2025_26Results[[#This Row],[Winning Team]]="")),"-",IF(Table46[[#This Row],[Predicted Winner]]=NHL2025_26Results[[#This Row],[Winning Team]],"YES","NO"))</f>
        <v>YES</v>
      </c>
      <c r="O50" t="str">
        <f>IF(OR((NHL2025_26Results[[#This Row],[Winning Team]]="")),"-",IF(Table46[[#This Row],[Prob Winner]]=NHL2025_26Results[[#This Row],[Winning Team]],"YES","NO"))</f>
        <v>YES</v>
      </c>
      <c r="P50" t="str">
        <f>IF(Table46[[#This Row],[Locked Prediction]]&lt;&gt;Table46[[#This Row],[Prob Winner]], "Changed", "Same")</f>
        <v>Same</v>
      </c>
      <c r="Q50">
        <f>IF(Table46[[#This Row],[Adjusted Predicted Correct]]="-", "",IF(Table46[[#This Row],[Adjusted Predicted Correct]]="YES",(Table46[[#This Row],[Strength of Win]]-1)^2,(Table46[[#This Row],[Strength of Win]]-0)^2))</f>
        <v>9.0110920365886873E-2</v>
      </c>
      <c r="R50">
        <v>0.41593738547769288</v>
      </c>
      <c r="S50" t="s">
        <v>31</v>
      </c>
      <c r="T50" t="s">
        <v>248</v>
      </c>
    </row>
    <row r="51" spans="1:20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VLOOKUP(Table46[[#This Row],[Home]],'NHL Model'!$A$6:$B$38,2,FALSE)</f>
        <v>-1.3903684122795328</v>
      </c>
      <c r="H51" t="s">
        <v>20</v>
      </c>
      <c r="I51">
        <f>VLOOKUP(Table46[[#This Row],[Visitor]],'NHL Model'!$A$6:$B$38,2,FALSE)</f>
        <v>-6.3745791019188943E-4</v>
      </c>
      <c r="J51">
        <f>($B$1+Table46[[#This Row],[Home Differential]])-Table46[[#This Row],[Away Differential]]</f>
        <v>-1.2271586447070224</v>
      </c>
      <c r="K51" t="str">
        <f>IF(Table46[[#This Row],[HomeIce Differential]]&gt;0,Table46[[#This Row],[Home]],Table46[[#This Row],[Visitor]])</f>
        <v>Vegas Golden Knights</v>
      </c>
      <c r="L5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0.64388193834156282</v>
      </c>
      <c r="M51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51" t="str">
        <f>IF(OR((NHL2025_26Results[[#This Row],[Winning Team]]="")),"-",IF(Table46[[#This Row],[Predicted Winner]]=NHL2025_26Results[[#This Row],[Winning Team]],"YES","NO"))</f>
        <v>YES</v>
      </c>
      <c r="O51" t="str">
        <f>IF(OR((NHL2025_26Results[[#This Row],[Winning Team]]="")),"-",IF(Table46[[#This Row],[Prob Winner]]=NHL2025_26Results[[#This Row],[Winning Team]],"YES","NO"))</f>
        <v>YES</v>
      </c>
      <c r="P51" t="str">
        <f>IF(Table46[[#This Row],[Locked Prediction]]&lt;&gt;Table46[[#This Row],[Prob Winner]], "Changed", "Same")</f>
        <v>Same</v>
      </c>
      <c r="Q51">
        <f>IF(Table46[[#This Row],[Adjusted Predicted Correct]]="-", "",IF(Table46[[#This Row],[Adjusted Predicted Correct]]="YES",(Table46[[#This Row],[Strength of Win]]-1)^2,(Table46[[#This Row],[Strength of Win]]-0)^2))</f>
        <v>0.12682007383936247</v>
      </c>
      <c r="R51">
        <v>-2.7999232315021185</v>
      </c>
      <c r="S51" t="s">
        <v>20</v>
      </c>
      <c r="T51" t="s">
        <v>248</v>
      </c>
    </row>
    <row r="52" spans="1:20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VLOOKUP(Table46[[#This Row],[Home]],'NHL Model'!$A$6:$B$38,2,FALSE)</f>
        <v>0.19809534061227302</v>
      </c>
      <c r="H52" t="s">
        <v>34</v>
      </c>
      <c r="I52">
        <f>VLOOKUP(Table46[[#This Row],[Visitor]],'NHL Model'!$A$6:$B$38,2,FALSE)</f>
        <v>-0.53650300840565446</v>
      </c>
      <c r="J52">
        <f>($B$1+Table46[[#This Row],[Home Differential]])-Table46[[#This Row],[Away Differential]]</f>
        <v>0.89717065868024592</v>
      </c>
      <c r="K52" t="str">
        <f>IF(Table46[[#This Row],[HomeIce Differential]]&gt;0,Table46[[#This Row],[Home]],Table46[[#This Row],[Visitor]])</f>
        <v>Dallas Stars</v>
      </c>
      <c r="L5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0.685288768242448</v>
      </c>
      <c r="M52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52" t="str">
        <f>IF(OR((NHL2025_26Results[[#This Row],[Winning Team]]="")),"-",IF(Table46[[#This Row],[Predicted Winner]]=NHL2025_26Results[[#This Row],[Winning Team]],"YES","NO"))</f>
        <v>YES</v>
      </c>
      <c r="O52" t="str">
        <f>IF(OR((NHL2025_26Results[[#This Row],[Winning Team]]="")),"-",IF(Table46[[#This Row],[Prob Winner]]=NHL2025_26Results[[#This Row],[Winning Team]],"YES","NO"))</f>
        <v>YES</v>
      </c>
      <c r="P52" t="str">
        <f>IF(Table46[[#This Row],[Locked Prediction]]&lt;&gt;Table46[[#This Row],[Prob Winner]], "Changed", "Same")</f>
        <v>Same</v>
      </c>
      <c r="Q52">
        <f>IF(Table46[[#This Row],[Adjusted Predicted Correct]]="-", "",IF(Table46[[#This Row],[Adjusted Predicted Correct]]="YES",(Table46[[#This Row],[Strength of Win]]-1)^2,(Table46[[#This Row],[Strength of Win]]-0)^2))</f>
        <v>9.9043159394355609E-2</v>
      </c>
      <c r="R52">
        <v>1.6430406835080806</v>
      </c>
      <c r="S52" t="s">
        <v>39</v>
      </c>
      <c r="T52" t="s">
        <v>248</v>
      </c>
    </row>
    <row r="53" spans="1:20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VLOOKUP(Table46[[#This Row],[Home]],'NHL Model'!$A$6:$B$38,2,FALSE)</f>
        <v>-0.52437726201848234</v>
      </c>
      <c r="H53" t="s">
        <v>32</v>
      </c>
      <c r="I53">
        <f>VLOOKUP(Table46[[#This Row],[Visitor]],'NHL Model'!$A$6:$B$38,2,FALSE)</f>
        <v>-0.361361309178443</v>
      </c>
      <c r="J53">
        <f>($B$1+Table46[[#This Row],[Home Differential]])-Table46[[#This Row],[Away Differential]]</f>
        <v>-4.4364317772094264E-4</v>
      </c>
      <c r="K53" t="str">
        <f>IF(Table46[[#This Row],[HomeIce Differential]]&gt;0,Table46[[#This Row],[Home]],Table46[[#This Row],[Visitor]])</f>
        <v>Seattle Kraken</v>
      </c>
      <c r="L5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0.46005896861031476</v>
      </c>
      <c r="M53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53" t="str">
        <f>IF(OR((NHL2025_26Results[[#This Row],[Winning Team]]="")),"-",IF(Table46[[#This Row],[Predicted Winner]]=NHL2025_26Results[[#This Row],[Winning Team]],"YES","NO"))</f>
        <v>NO</v>
      </c>
      <c r="O53" t="str">
        <f>IF(OR((NHL2025_26Results[[#This Row],[Winning Team]]="")),"-",IF(Table46[[#This Row],[Prob Winner]]=NHL2025_26Results[[#This Row],[Winning Team]],"YES","NO"))</f>
        <v>YES</v>
      </c>
      <c r="P53" t="str">
        <f>IF(Table46[[#This Row],[Locked Prediction]]&lt;&gt;Table46[[#This Row],[Prob Winner]], "Changed", "Same")</f>
        <v>Same</v>
      </c>
      <c r="Q53">
        <f>IF(Table46[[#This Row],[Adjusted Predicted Correct]]="-", "",IF(Table46[[#This Row],[Adjusted Predicted Correct]]="YES",(Table46[[#This Row],[Strength of Win]]-1)^2,(Table46[[#This Row],[Strength of Win]]-0)^2))</f>
        <v>0.21165425459878659</v>
      </c>
      <c r="R53">
        <v>0.85958615494926893</v>
      </c>
      <c r="S53" t="s">
        <v>18</v>
      </c>
      <c r="T53" t="s">
        <v>248</v>
      </c>
    </row>
    <row r="54" spans="1:20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VLOOKUP(Table46[[#This Row],[Home]],'NHL Model'!$A$6:$B$38,2,FALSE)</f>
        <v>-0.30719665303039001</v>
      </c>
      <c r="H54" t="s">
        <v>17</v>
      </c>
      <c r="I54">
        <f>VLOOKUP(Table46[[#This Row],[Visitor]],'NHL Model'!$A$6:$B$38,2,FALSE)</f>
        <v>-0.61980804137564283</v>
      </c>
      <c r="J54">
        <f>($B$1+Table46[[#This Row],[Home Differential]])-Table46[[#This Row],[Away Differential]]</f>
        <v>0.47518369800757121</v>
      </c>
      <c r="K54" t="str">
        <f>IF(Table46[[#This Row],[HomeIce Differential]]&gt;0,Table46[[#This Row],[Home]],Table46[[#This Row],[Visitor]])</f>
        <v>New York Rangers</v>
      </c>
      <c r="L5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0.60316094492799099</v>
      </c>
      <c r="M54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54" t="str">
        <f>IF(OR((NHL2025_26Results[[#This Row],[Winning Team]]="")),"-",IF(Table46[[#This Row],[Predicted Winner]]=NHL2025_26Results[[#This Row],[Winning Team]],"YES","NO"))</f>
        <v>NO</v>
      </c>
      <c r="O54" t="str">
        <f>IF(OR((NHL2025_26Results[[#This Row],[Winning Team]]="")),"-",IF(Table46[[#This Row],[Prob Winner]]=NHL2025_26Results[[#This Row],[Winning Team]],"YES","NO"))</f>
        <v>NO</v>
      </c>
      <c r="P54" t="str">
        <f>IF(Table46[[#This Row],[Locked Prediction]]&lt;&gt;Table46[[#This Row],[Prob Winner]], "Changed", "Same")</f>
        <v>Changed</v>
      </c>
      <c r="Q54">
        <f>IF(Table46[[#This Row],[Adjusted Predicted Correct]]="-", "",IF(Table46[[#This Row],[Adjusted Predicted Correct]]="YES",(Table46[[#This Row],[Strength of Win]]-1)^2,(Table46[[#This Row],[Strength of Win]]-0)^2))</f>
        <v>0.36380312548642696</v>
      </c>
      <c r="R54">
        <v>-0.16117643107239488</v>
      </c>
      <c r="S54" t="s">
        <v>17</v>
      </c>
      <c r="T54" t="s">
        <v>248</v>
      </c>
    </row>
    <row r="55" spans="1:20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VLOOKUP(Table46[[#This Row],[Home]],'NHL Model'!$A$6:$B$38,2,FALSE)</f>
        <v>-0.39418177254008485</v>
      </c>
      <c r="H55" t="s">
        <v>25</v>
      </c>
      <c r="I55">
        <f>VLOOKUP(Table46[[#This Row],[Visitor]],'NHL Model'!$A$6:$B$38,2,FALSE)</f>
        <v>0.67193921242367816</v>
      </c>
      <c r="J55">
        <f>($B$1+Table46[[#This Row],[Home Differential]])-Table46[[#This Row],[Away Differential]]</f>
        <v>-0.90354867530144456</v>
      </c>
      <c r="K55" t="str">
        <f>IF(Table46[[#This Row],[HomeIce Differential]]&gt;0,Table46[[#This Row],[Home]],Table46[[#This Row],[Visitor]])</f>
        <v>Carolina Hurricanes</v>
      </c>
      <c r="L5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0.67258497986986632</v>
      </c>
      <c r="M55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55" t="str">
        <f>IF(OR((NHL2025_26Results[[#This Row],[Winning Team]]="")),"-",IF(Table46[[#This Row],[Predicted Winner]]=NHL2025_26Results[[#This Row],[Winning Team]],"YES","NO"))</f>
        <v>YES</v>
      </c>
      <c r="O55" t="str">
        <f>IF(OR((NHL2025_26Results[[#This Row],[Winning Team]]="")),"-",IF(Table46[[#This Row],[Prob Winner]]=NHL2025_26Results[[#This Row],[Winning Team]],"YES","NO"))</f>
        <v>YES</v>
      </c>
      <c r="P55" t="str">
        <f>IF(Table46[[#This Row],[Locked Prediction]]&lt;&gt;Table46[[#This Row],[Prob Winner]], "Changed", "Same")</f>
        <v>Same</v>
      </c>
      <c r="Q55">
        <f>IF(Table46[[#This Row],[Adjusted Predicted Correct]]="-", "",IF(Table46[[#This Row],[Adjusted Predicted Correct]]="YES",(Table46[[#This Row],[Strength of Win]]-1)^2,(Table46[[#This Row],[Strength of Win]]-0)^2))</f>
        <v>0.10720059540681584</v>
      </c>
      <c r="R55">
        <v>-5.0405968411257467</v>
      </c>
      <c r="S55" t="s">
        <v>25</v>
      </c>
      <c r="T55" t="s">
        <v>248</v>
      </c>
    </row>
    <row r="56" spans="1:20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VLOOKUP(Table46[[#This Row],[Home]],'NHL Model'!$A$6:$B$38,2,FALSE)</f>
        <v>-0.635565543477981</v>
      </c>
      <c r="H56" t="s">
        <v>29</v>
      </c>
      <c r="I56">
        <f>VLOOKUP(Table46[[#This Row],[Visitor]],'NHL Model'!$A$6:$B$38,2,FALSE)</f>
        <v>-1.3516250707060606</v>
      </c>
      <c r="J56">
        <f>($B$1+Table46[[#This Row],[Home Differential]])-Table46[[#This Row],[Away Differential]]</f>
        <v>0.87863183689039803</v>
      </c>
      <c r="K56" t="str">
        <f>IF(Table46[[#This Row],[HomeIce Differential]]&gt;0,Table46[[#This Row],[Home]],Table46[[#This Row],[Visitor]])</f>
        <v>Toronto Maple Leafs</v>
      </c>
      <c r="L5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0.6567868706239367</v>
      </c>
      <c r="M56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56" t="str">
        <f>IF(OR((NHL2025_26Results[[#This Row],[Winning Team]]="")),"-",IF(Table46[[#This Row],[Predicted Winner]]=NHL2025_26Results[[#This Row],[Winning Team]],"YES","NO"))</f>
        <v>YES</v>
      </c>
      <c r="O56" t="str">
        <f>IF(OR((NHL2025_26Results[[#This Row],[Winning Team]]="")),"-",IF(Table46[[#This Row],[Prob Winner]]=NHL2025_26Results[[#This Row],[Winning Team]],"YES","NO"))</f>
        <v>YES</v>
      </c>
      <c r="P56" t="str">
        <f>IF(Table46[[#This Row],[Locked Prediction]]&lt;&gt;Table46[[#This Row],[Prob Winner]], "Changed", "Same")</f>
        <v>Same</v>
      </c>
      <c r="Q56">
        <f>IF(Table46[[#This Row],[Adjusted Predicted Correct]]="-", "",IF(Table46[[#This Row],[Adjusted Predicted Correct]]="YES",(Table46[[#This Row],[Strength of Win]]-1)^2,(Table46[[#This Row],[Strength of Win]]-0)^2))</f>
        <v>0.11779525217611037</v>
      </c>
      <c r="R56">
        <v>2.1298584308104078</v>
      </c>
      <c r="S56" t="s">
        <v>19</v>
      </c>
      <c r="T56" t="s">
        <v>248</v>
      </c>
    </row>
    <row r="57" spans="1:20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VLOOKUP(Table46[[#This Row],[Home]],'NHL Model'!$A$6:$B$38,2,FALSE)</f>
        <v>-6.1308839486784707E-2</v>
      </c>
      <c r="H57" t="s">
        <v>37</v>
      </c>
      <c r="I57">
        <f>VLOOKUP(Table46[[#This Row],[Visitor]],'NHL Model'!$A$6:$B$38,2,FALSE)</f>
        <v>-0.11309445867623392</v>
      </c>
      <c r="J57">
        <f>($B$1+Table46[[#This Row],[Home Differential]])-Table46[[#This Row],[Away Differential]]</f>
        <v>0.21435792885176763</v>
      </c>
      <c r="K57" t="str">
        <f>IF(Table46[[#This Row],[HomeIce Differential]]&gt;0,Table46[[#This Row],[Home]],Table46[[#This Row],[Visitor]])</f>
        <v>Washington Capitals</v>
      </c>
      <c r="L5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0.52139285140523883</v>
      </c>
      <c r="M57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57" t="str">
        <f>IF(OR((NHL2025_26Results[[#This Row],[Winning Team]]="")),"-",IF(Table46[[#This Row],[Predicted Winner]]=NHL2025_26Results[[#This Row],[Winning Team]],"YES","NO"))</f>
        <v>YES</v>
      </c>
      <c r="O57" t="str">
        <f>IF(OR((NHL2025_26Results[[#This Row],[Winning Team]]="")),"-",IF(Table46[[#This Row],[Prob Winner]]=NHL2025_26Results[[#This Row],[Winning Team]],"YES","NO"))</f>
        <v>YES</v>
      </c>
      <c r="P57" t="str">
        <f>IF(Table46[[#This Row],[Locked Prediction]]&lt;&gt;Table46[[#This Row],[Prob Winner]], "Changed", "Same")</f>
        <v>Same</v>
      </c>
      <c r="Q57">
        <f>IF(Table46[[#This Row],[Adjusted Predicted Correct]]="-", "",IF(Table46[[#This Row],[Adjusted Predicted Correct]]="YES",(Table46[[#This Row],[Strength of Win]]-1)^2,(Table46[[#This Row],[Strength of Win]]-0)^2))</f>
        <v>0.22906480268600779</v>
      </c>
      <c r="R57">
        <v>0.14833899542151885</v>
      </c>
      <c r="S57" t="s">
        <v>22</v>
      </c>
      <c r="T57" t="s">
        <v>248</v>
      </c>
    </row>
    <row r="58" spans="1:20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VLOOKUP(Table46[[#This Row],[Home]],'NHL Model'!$A$6:$B$38,2,FALSE)</f>
        <v>-0.8683412362501769</v>
      </c>
      <c r="H58" t="s">
        <v>36</v>
      </c>
      <c r="I58">
        <f>VLOOKUP(Table46[[#This Row],[Visitor]],'NHL Model'!$A$6:$B$38,2,FALSE)</f>
        <v>-0.40651947573390851</v>
      </c>
      <c r="J58">
        <f>($B$1+Table46[[#This Row],[Home Differential]])-Table46[[#This Row],[Away Differential]]</f>
        <v>-0.29924945085394999</v>
      </c>
      <c r="K58" t="str">
        <f>IF(Table46[[#This Row],[HomeIce Differential]]&gt;0,Table46[[#This Row],[Home]],Table46[[#This Row],[Visitor]])</f>
        <v>Ottawa Senators</v>
      </c>
      <c r="L5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0.4997759396300181</v>
      </c>
      <c r="M58" s="11" t="str">
        <f>IF(Table46[[#This Row],[Strength of Win]]&gt; 0.5,Table46[[#This Row],[Predicted Winner]], IF(Table46[[#This Row],[Home]]=Table46[[#This Row],[Predicted Winner]],Table46[[#This Row],[Visitor]],Table46[[#This Row],[Home]]))</f>
        <v>Buffalo Sabres</v>
      </c>
      <c r="N58" t="str">
        <f>IF(OR((NHL2025_26Results[[#This Row],[Winning Team]]="")),"-",IF(Table46[[#This Row],[Predicted Winner]]=NHL2025_26Results[[#This Row],[Winning Team]],"YES","NO"))</f>
        <v>NO</v>
      </c>
      <c r="O58" t="str">
        <f>IF(OR((NHL2025_26Results[[#This Row],[Winning Team]]="")),"-",IF(Table46[[#This Row],[Prob Winner]]=NHL2025_26Results[[#This Row],[Winning Team]],"YES","NO"))</f>
        <v>YES</v>
      </c>
      <c r="P58" t="str">
        <f>IF(Table46[[#This Row],[Locked Prediction]]&lt;&gt;Table46[[#This Row],[Prob Winner]], "Changed", "Same")</f>
        <v>Same</v>
      </c>
      <c r="Q58">
        <f>IF(Table46[[#This Row],[Adjusted Predicted Correct]]="-", "",IF(Table46[[#This Row],[Adjusted Predicted Correct]]="YES",(Table46[[#This Row],[Strength of Win]]-1)^2,(Table46[[#This Row],[Strength of Win]]-0)^2))</f>
        <v>0.24977598983306748</v>
      </c>
      <c r="R58">
        <v>1.4455201446216579</v>
      </c>
      <c r="S58" t="s">
        <v>23</v>
      </c>
      <c r="T58" t="s">
        <v>248</v>
      </c>
    </row>
    <row r="59" spans="1:20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VLOOKUP(Table46[[#This Row],[Home]],'NHL Model'!$A$6:$B$38,2,FALSE)</f>
        <v>-0.513643833119658</v>
      </c>
      <c r="H59" t="s">
        <v>11</v>
      </c>
      <c r="I59">
        <f>VLOOKUP(Table46[[#This Row],[Visitor]],'NHL Model'!$A$6:$B$38,2,FALSE)</f>
        <v>-0.28105923893144158</v>
      </c>
      <c r="J59">
        <f>($B$1+Table46[[#This Row],[Home Differential]])-Table46[[#This Row],[Away Differential]]</f>
        <v>-7.0012284525898028E-2</v>
      </c>
      <c r="K59" t="str">
        <f>IF(Table46[[#This Row],[HomeIce Differential]]&gt;0,Table46[[#This Row],[Home]],Table46[[#This Row],[Visitor]])</f>
        <v>Florida Panthers</v>
      </c>
      <c r="L5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0.44326822743580474</v>
      </c>
      <c r="M59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59" t="str">
        <f>IF(OR((NHL2025_26Results[[#This Row],[Winning Team]]="")),"-",IF(Table46[[#This Row],[Predicted Winner]]=NHL2025_26Results[[#This Row],[Winning Team]],"YES","NO"))</f>
        <v>NO</v>
      </c>
      <c r="O59" t="str">
        <f>IF(OR((NHL2025_26Results[[#This Row],[Winning Team]]="")),"-",IF(Table46[[#This Row],[Prob Winner]]=NHL2025_26Results[[#This Row],[Winning Team]],"YES","NO"))</f>
        <v>YES</v>
      </c>
      <c r="P59" t="str">
        <f>IF(Table46[[#This Row],[Locked Prediction]]&lt;&gt;Table46[[#This Row],[Prob Winner]], "Changed", "Same")</f>
        <v>Same</v>
      </c>
      <c r="Q59">
        <f>IF(Table46[[#This Row],[Adjusted Predicted Correct]]="-", "",IF(Table46[[#This Row],[Adjusted Predicted Correct]]="YES",(Table46[[#This Row],[Strength of Win]]-1)^2,(Table46[[#This Row],[Strength of Win]]-0)^2))</f>
        <v>0.19648672145408033</v>
      </c>
      <c r="R59">
        <v>1.8633871095705374</v>
      </c>
      <c r="S59" t="s">
        <v>26</v>
      </c>
      <c r="T59" t="s">
        <v>248</v>
      </c>
    </row>
    <row r="60" spans="1:20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VLOOKUP(Table46[[#This Row],[Home]],'NHL Model'!$A$6:$B$38,2,FALSE)</f>
        <v>-1.6211574240381006</v>
      </c>
      <c r="H60" t="s">
        <v>10</v>
      </c>
      <c r="I60">
        <f>VLOOKUP(Table46[[#This Row],[Visitor]],'NHL Model'!$A$6:$B$38,2,FALSE)</f>
        <v>0.30570968833820172</v>
      </c>
      <c r="J60">
        <f>($B$1+Table46[[#This Row],[Home Differential]])-Table46[[#This Row],[Away Differential]]</f>
        <v>-1.764294802713984</v>
      </c>
      <c r="K60" t="str">
        <f>IF(Table46[[#This Row],[HomeIce Differential]]&gt;0,Table46[[#This Row],[Home]],Table46[[#This Row],[Visitor]])</f>
        <v>Chicago Blackhawks</v>
      </c>
      <c r="L6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0.71527754268775778</v>
      </c>
      <c r="M60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60" t="str">
        <f>IF(OR((NHL2025_26Results[[#This Row],[Winning Team]]="")),"-",IF(Table46[[#This Row],[Predicted Winner]]=NHL2025_26Results[[#This Row],[Winning Team]],"YES","NO"))</f>
        <v>YES</v>
      </c>
      <c r="O60" t="str">
        <f>IF(OR((NHL2025_26Results[[#This Row],[Winning Team]]="")),"-",IF(Table46[[#This Row],[Prob Winner]]=NHL2025_26Results[[#This Row],[Winning Team]],"YES","NO"))</f>
        <v>YES</v>
      </c>
      <c r="P60" t="str">
        <f>IF(Table46[[#This Row],[Locked Prediction]]&lt;&gt;Table46[[#This Row],[Prob Winner]], "Changed", "Same")</f>
        <v>Same</v>
      </c>
      <c r="Q60">
        <f>IF(Table46[[#This Row],[Adjusted Predicted Correct]]="-", "",IF(Table46[[#This Row],[Adjusted Predicted Correct]]="YES",(Table46[[#This Row],[Strength of Win]]-1)^2,(Table46[[#This Row],[Strength of Win]]-0)^2))</f>
        <v>8.1066877697921591E-2</v>
      </c>
      <c r="R60">
        <v>-4.2176854798538637</v>
      </c>
      <c r="S60" t="s">
        <v>10</v>
      </c>
      <c r="T60" t="s">
        <v>248</v>
      </c>
    </row>
    <row r="61" spans="1:20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VLOOKUP(Table46[[#This Row],[Home]],'NHL Model'!$A$6:$B$38,2,FALSE)</f>
        <v>-0.12212311954851815</v>
      </c>
      <c r="H61" t="s">
        <v>16</v>
      </c>
      <c r="I61">
        <f>VLOOKUP(Table46[[#This Row],[Visitor]],'NHL Model'!$A$6:$B$38,2,FALSE)</f>
        <v>-1.3903684122795328</v>
      </c>
      <c r="J61">
        <f>($B$1+Table46[[#This Row],[Home Differential]])-Table46[[#This Row],[Away Differential]]</f>
        <v>1.430817602393333</v>
      </c>
      <c r="K61" t="str">
        <f>IF(Table46[[#This Row],[HomeIce Differential]]&gt;0,Table46[[#This Row],[Home]],Table46[[#This Row],[Visitor]])</f>
        <v>Utah Mammoth</v>
      </c>
      <c r="L6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0.79845535992575711</v>
      </c>
      <c r="M61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61" t="str">
        <f>IF(OR((NHL2025_26Results[[#This Row],[Winning Team]]="")),"-",IF(Table46[[#This Row],[Predicted Winner]]=NHL2025_26Results[[#This Row],[Winning Team]],"YES","NO"))</f>
        <v>YES</v>
      </c>
      <c r="O61" t="str">
        <f>IF(OR((NHL2025_26Results[[#This Row],[Winning Team]]="")),"-",IF(Table46[[#This Row],[Prob Winner]]=NHL2025_26Results[[#This Row],[Winning Team]],"YES","NO"))</f>
        <v>YES</v>
      </c>
      <c r="P61" t="str">
        <f>IF(Table46[[#This Row],[Locked Prediction]]&lt;&gt;Table46[[#This Row],[Prob Winner]], "Changed", "Same")</f>
        <v>Same</v>
      </c>
      <c r="Q61">
        <f>IF(Table46[[#This Row],[Adjusted Predicted Correct]]="-", "",IF(Table46[[#This Row],[Adjusted Predicted Correct]]="YES",(Table46[[#This Row],[Strength of Win]]-1)^2,(Table46[[#This Row],[Strength of Win]]-0)^2))</f>
        <v>4.0620241942656114E-2</v>
      </c>
      <c r="R61">
        <v>2.479038166774715</v>
      </c>
      <c r="S61" t="s">
        <v>55</v>
      </c>
      <c r="T61" t="s">
        <v>248</v>
      </c>
    </row>
    <row r="62" spans="1:20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VLOOKUP(Table46[[#This Row],[Home]],'NHL Model'!$A$6:$B$38,2,FALSE)</f>
        <v>0.51775546328552802</v>
      </c>
      <c r="H62" t="s">
        <v>25</v>
      </c>
      <c r="I62">
        <f>VLOOKUP(Table46[[#This Row],[Visitor]],'NHL Model'!$A$6:$B$38,2,FALSE)</f>
        <v>0.67193921242367816</v>
      </c>
      <c r="J62">
        <f>($B$1+Table46[[#This Row],[Home Differential]])-Table46[[#This Row],[Away Differential]]</f>
        <v>8.3885605241682537E-3</v>
      </c>
      <c r="K62" t="str">
        <f>IF(Table46[[#This Row],[HomeIce Differential]]&gt;0,Table46[[#This Row],[Home]],Table46[[#This Row],[Visitor]])</f>
        <v>Anaheim Ducks</v>
      </c>
      <c r="L6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0.55667055468434234</v>
      </c>
      <c r="M62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62" t="str">
        <f>IF(OR((NHL2025_26Results[[#This Row],[Winning Team]]="")),"-",IF(Table46[[#This Row],[Predicted Winner]]=NHL2025_26Results[[#This Row],[Winning Team]],"YES","NO"))</f>
        <v>NO</v>
      </c>
      <c r="O62" t="str">
        <f>IF(OR((NHL2025_26Results[[#This Row],[Winning Team]]="")),"-",IF(Table46[[#This Row],[Prob Winner]]=NHL2025_26Results[[#This Row],[Winning Team]],"YES","NO"))</f>
        <v>NO</v>
      </c>
      <c r="P62" t="str">
        <f>IF(Table46[[#This Row],[Locked Prediction]]&lt;&gt;Table46[[#This Row],[Prob Winner]], "Changed", "Same")</f>
        <v>Changed</v>
      </c>
      <c r="Q62">
        <f>IF(Table46[[#This Row],[Adjusted Predicted Correct]]="-", "",IF(Table46[[#This Row],[Adjusted Predicted Correct]]="YES",(Table46[[#This Row],[Strength of Win]]-1)^2,(Table46[[#This Row],[Strength of Win]]-0)^2))</f>
        <v>0.30988210645257336</v>
      </c>
      <c r="R62">
        <v>-4.3084880924528859</v>
      </c>
      <c r="S62" t="s">
        <v>25</v>
      </c>
      <c r="T62" t="s">
        <v>248</v>
      </c>
    </row>
    <row r="63" spans="1:20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VLOOKUP(Table46[[#This Row],[Home]],'NHL Model'!$A$6:$B$38,2,FALSE)</f>
        <v>-0.40822279081308277</v>
      </c>
      <c r="H63" t="s">
        <v>12</v>
      </c>
      <c r="I63">
        <f>VLOOKUP(Table46[[#This Row],[Visitor]],'NHL Model'!$A$6:$B$38,2,FALSE)</f>
        <v>1.5475013591489768</v>
      </c>
      <c r="J63">
        <f>($B$1+Table46[[#This Row],[Home Differential]])-Table46[[#This Row],[Away Differential]]</f>
        <v>-1.7931518402997413</v>
      </c>
      <c r="K63" t="str">
        <f>IF(Table46[[#This Row],[HomeIce Differential]]&gt;0,Table46[[#This Row],[Home]],Table46[[#This Row],[Visitor]])</f>
        <v>Colorado Avalanche</v>
      </c>
      <c r="L6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0.76465975015158838</v>
      </c>
      <c r="M63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63" t="str">
        <f>IF(OR((NHL2025_26Results[[#This Row],[Winning Team]]="")),"-",IF(Table46[[#This Row],[Predicted Winner]]=NHL2025_26Results[[#This Row],[Winning Team]],"YES","NO"))</f>
        <v>YES</v>
      </c>
      <c r="O63" t="str">
        <f>IF(OR((NHL2025_26Results[[#This Row],[Winning Team]]="")),"-",IF(Table46[[#This Row],[Prob Winner]]=NHL2025_26Results[[#This Row],[Winning Team]],"YES","NO"))</f>
        <v>YES</v>
      </c>
      <c r="P63" t="str">
        <f>IF(Table46[[#This Row],[Locked Prediction]]&lt;&gt;Table46[[#This Row],[Prob Winner]], "Changed", "Same")</f>
        <v>Same</v>
      </c>
      <c r="Q63">
        <f>IF(Table46[[#This Row],[Adjusted Predicted Correct]]="-", "",IF(Table46[[#This Row],[Adjusted Predicted Correct]]="YES",(Table46[[#This Row],[Strength of Win]]-1)^2,(Table46[[#This Row],[Strength of Win]]-0)^2))</f>
        <v>5.5385033198712803E-2</v>
      </c>
      <c r="R63">
        <v>-1.5334194010980093</v>
      </c>
      <c r="S63" t="s">
        <v>12</v>
      </c>
      <c r="T63" t="s">
        <v>248</v>
      </c>
    </row>
    <row r="64" spans="1:20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VLOOKUP(Table46[[#This Row],[Home]],'NHL Model'!$A$6:$B$38,2,FALSE)</f>
        <v>0.19809534061227302</v>
      </c>
      <c r="H64" t="s">
        <v>38</v>
      </c>
      <c r="I64">
        <f>VLOOKUP(Table46[[#This Row],[Visitor]],'NHL Model'!$A$6:$B$38,2,FALSE)</f>
        <v>-0.6902088310934803</v>
      </c>
      <c r="J64">
        <f>($B$1+Table46[[#This Row],[Home Differential]])-Table46[[#This Row],[Away Differential]]</f>
        <v>1.0508764813680718</v>
      </c>
      <c r="K64" t="str">
        <f>IF(Table46[[#This Row],[HomeIce Differential]]&gt;0,Table46[[#This Row],[Home]],Table46[[#This Row],[Visitor]])</f>
        <v>Dallas Stars</v>
      </c>
      <c r="L6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0.66349098141026863</v>
      </c>
      <c r="M64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64" t="str">
        <f>IF(OR((NHL2025_26Results[[#This Row],[Winning Team]]="")),"-",IF(Table46[[#This Row],[Predicted Winner]]=NHL2025_26Results[[#This Row],[Winning Team]],"YES","NO"))</f>
        <v>NO</v>
      </c>
      <c r="O64" t="str">
        <f>IF(OR((NHL2025_26Results[[#This Row],[Winning Team]]="")),"-",IF(Table46[[#This Row],[Prob Winner]]=NHL2025_26Results[[#This Row],[Winning Team]],"YES","NO"))</f>
        <v>NO</v>
      </c>
      <c r="P64" t="str">
        <f>IF(Table46[[#This Row],[Locked Prediction]]&lt;&gt;Table46[[#This Row],[Prob Winner]], "Changed", "Same")</f>
        <v>Same</v>
      </c>
      <c r="Q64">
        <f>IF(Table46[[#This Row],[Adjusted Predicted Correct]]="-", "",IF(Table46[[#This Row],[Adjusted Predicted Correct]]="YES",(Table46[[#This Row],[Strength of Win]]-1)^2,(Table46[[#This Row],[Strength of Win]]-0)^2))</f>
        <v>0.44022028241276145</v>
      </c>
      <c r="R64">
        <v>3.8850895497282538</v>
      </c>
      <c r="S64" t="s">
        <v>39</v>
      </c>
      <c r="T64" t="s">
        <v>249</v>
      </c>
    </row>
    <row r="65" spans="1:20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VLOOKUP(Table46[[#This Row],[Home]],'NHL Model'!$A$6:$B$38,2,FALSE)</f>
        <v>-7.5459708298993802E-2</v>
      </c>
      <c r="H65" t="s">
        <v>14</v>
      </c>
      <c r="I65">
        <f>VLOOKUP(Table46[[#This Row],[Visitor]],'NHL Model'!$A$6:$B$38,2,FALSE)</f>
        <v>0.26289091192875702</v>
      </c>
      <c r="J65">
        <f>($B$1+Table46[[#This Row],[Home Differential]])-Table46[[#This Row],[Away Differential]]</f>
        <v>-0.17577831056543242</v>
      </c>
      <c r="K65" t="str">
        <f>IF(Table46[[#This Row],[HomeIce Differential]]&gt;0,Table46[[#This Row],[Home]],Table46[[#This Row],[Visitor]])</f>
        <v>Pittsburgh Penguins</v>
      </c>
      <c r="L6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0.48336427836163204</v>
      </c>
      <c r="M65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65" t="str">
        <f>IF(OR((NHL2025_26Results[[#This Row],[Winning Team]]="")),"-",IF(Table46[[#This Row],[Predicted Winner]]=NHL2025_26Results[[#This Row],[Winning Team]],"YES","NO"))</f>
        <v>YES</v>
      </c>
      <c r="O65" t="str">
        <f>IF(OR((NHL2025_26Results[[#This Row],[Winning Team]]="")),"-",IF(Table46[[#This Row],[Prob Winner]]=NHL2025_26Results[[#This Row],[Winning Team]],"YES","NO"))</f>
        <v>NO</v>
      </c>
      <c r="P65" t="str">
        <f>IF(Table46[[#This Row],[Locked Prediction]]&lt;&gt;Table46[[#This Row],[Prob Winner]], "Changed", "Same")</f>
        <v>Changed</v>
      </c>
      <c r="Q65">
        <f>IF(Table46[[#This Row],[Adjusted Predicted Correct]]="-", "",IF(Table46[[#This Row],[Adjusted Predicted Correct]]="YES",(Table46[[#This Row],[Strength of Win]]-1)^2,(Table46[[#This Row],[Strength of Win]]-0)^2))</f>
        <v>0.26691246887279718</v>
      </c>
      <c r="R65">
        <v>-0.52754766201235714</v>
      </c>
      <c r="S65" t="s">
        <v>14</v>
      </c>
      <c r="T65" t="s">
        <v>248</v>
      </c>
    </row>
    <row r="66" spans="1:20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VLOOKUP(Table46[[#This Row],[Home]],'NHL Model'!$A$6:$B$38,2,FALSE)</f>
        <v>-0.52437726201848234</v>
      </c>
      <c r="H66" t="s">
        <v>29</v>
      </c>
      <c r="I66">
        <f>VLOOKUP(Table46[[#This Row],[Visitor]],'NHL Model'!$A$6:$B$38,2,FALSE)</f>
        <v>-1.3516250707060606</v>
      </c>
      <c r="J66">
        <f>($B$1+Table46[[#This Row],[Home Differential]])-Table46[[#This Row],[Away Differential]]</f>
        <v>0.98982011834989669</v>
      </c>
      <c r="K66" t="str">
        <f>IF(Table46[[#This Row],[HomeIce Differential]]&gt;0,Table46[[#This Row],[Home]],Table46[[#This Row],[Visitor]])</f>
        <v>Montreal Canadiens</v>
      </c>
      <c r="L6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0.67156590650279258</v>
      </c>
      <c r="M66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66" t="str">
        <f>IF(OR((NHL2025_26Results[[#This Row],[Winning Team]]="")),"-",IF(Table46[[#This Row],[Predicted Winner]]=NHL2025_26Results[[#This Row],[Winning Team]],"YES","NO"))</f>
        <v>YES</v>
      </c>
      <c r="O66" t="str">
        <f>IF(OR((NHL2025_26Results[[#This Row],[Winning Team]]="")),"-",IF(Table46[[#This Row],[Prob Winner]]=NHL2025_26Results[[#This Row],[Winning Team]],"YES","NO"))</f>
        <v>YES</v>
      </c>
      <c r="P66" t="str">
        <f>IF(Table46[[#This Row],[Locked Prediction]]&lt;&gt;Table46[[#This Row],[Prob Winner]], "Changed", "Same")</f>
        <v>Same</v>
      </c>
      <c r="Q66">
        <f>IF(Table46[[#This Row],[Adjusted Predicted Correct]]="-", "",IF(Table46[[#This Row],[Adjusted Predicted Correct]]="YES",(Table46[[#This Row],[Strength of Win]]-1)^2,(Table46[[#This Row],[Strength of Win]]-0)^2))</f>
        <v>0.10786895377133239</v>
      </c>
      <c r="R66">
        <v>2.339648587475144</v>
      </c>
      <c r="S66" t="s">
        <v>18</v>
      </c>
      <c r="T66" t="s">
        <v>248</v>
      </c>
    </row>
    <row r="67" spans="1:20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VLOOKUP(Table46[[#This Row],[Home]],'NHL Model'!$A$6:$B$38,2,FALSE)</f>
        <v>0.559441163373953</v>
      </c>
      <c r="H67" t="s">
        <v>11</v>
      </c>
      <c r="I67">
        <f>VLOOKUP(Table46[[#This Row],[Visitor]],'NHL Model'!$A$6:$B$38,2,FALSE)</f>
        <v>-0.28105923893144158</v>
      </c>
      <c r="J67">
        <f>($B$1+Table46[[#This Row],[Home Differential]])-Table46[[#This Row],[Away Differential]]</f>
        <v>1.003072711967713</v>
      </c>
      <c r="K67" t="str">
        <f>IF(Table46[[#This Row],[HomeIce Differential]]&gt;0,Table46[[#This Row],[Home]],Table46[[#This Row],[Visitor]])</f>
        <v>New Jersey Devils</v>
      </c>
      <c r="L6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0.78875813968726793</v>
      </c>
      <c r="M67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67" t="str">
        <f>IF(OR((NHL2025_26Results[[#This Row],[Winning Team]]="")),"-",IF(Table46[[#This Row],[Predicted Winner]]=NHL2025_26Results[[#This Row],[Winning Team]],"YES","NO"))</f>
        <v>YES</v>
      </c>
      <c r="O67" t="str">
        <f>IF(OR((NHL2025_26Results[[#This Row],[Winning Team]]="")),"-",IF(Table46[[#This Row],[Prob Winner]]=NHL2025_26Results[[#This Row],[Winning Team]],"YES","NO"))</f>
        <v>YES</v>
      </c>
      <c r="P67" t="str">
        <f>IF(Table46[[#This Row],[Locked Prediction]]&lt;&gt;Table46[[#This Row],[Prob Winner]], "Changed", "Same")</f>
        <v>Changed</v>
      </c>
      <c r="Q67">
        <f>IF(Table46[[#This Row],[Adjusted Predicted Correct]]="-", "",IF(Table46[[#This Row],[Adjusted Predicted Correct]]="YES",(Table46[[#This Row],[Strength of Win]]-1)^2,(Table46[[#This Row],[Strength of Win]]-0)^2))</f>
        <v>4.4623123548383804E-2</v>
      </c>
      <c r="R67">
        <v>-1.6909131319341026</v>
      </c>
      <c r="S67" t="s">
        <v>11</v>
      </c>
      <c r="T67" t="s">
        <v>249</v>
      </c>
    </row>
    <row r="68" spans="1:20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VLOOKUP(Table46[[#This Row],[Home]],'NHL Model'!$A$6:$B$38,2,FALSE)</f>
        <v>-6.4729560818359025E-2</v>
      </c>
      <c r="H68" t="s">
        <v>17</v>
      </c>
      <c r="I68">
        <f>VLOOKUP(Table46[[#This Row],[Visitor]],'NHL Model'!$A$6:$B$38,2,FALSE)</f>
        <v>-0.61980804137564283</v>
      </c>
      <c r="J68">
        <f>($B$1+Table46[[#This Row],[Home Differential]])-Table46[[#This Row],[Away Differential]]</f>
        <v>0.71765079021960221</v>
      </c>
      <c r="K68" t="str">
        <f>IF(Table46[[#This Row],[HomeIce Differential]]&gt;0,Table46[[#This Row],[Home]],Table46[[#This Row],[Visitor]])</f>
        <v>New York Islanders</v>
      </c>
      <c r="L6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0.63538942987448044</v>
      </c>
      <c r="M68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68" t="str">
        <f>IF(OR((NHL2025_26Results[[#This Row],[Winning Team]]="")),"-",IF(Table46[[#This Row],[Predicted Winner]]=NHL2025_26Results[[#This Row],[Winning Team]],"YES","NO"))</f>
        <v>YES</v>
      </c>
      <c r="O68" t="str">
        <f>IF(OR((NHL2025_26Results[[#This Row],[Winning Team]]="")),"-",IF(Table46[[#This Row],[Prob Winner]]=NHL2025_26Results[[#This Row],[Winning Team]],"YES","NO"))</f>
        <v>YES</v>
      </c>
      <c r="P68" t="str">
        <f>IF(Table46[[#This Row],[Locked Prediction]]&lt;&gt;Table46[[#This Row],[Prob Winner]], "Changed", "Same")</f>
        <v>Changed</v>
      </c>
      <c r="Q68">
        <f>IF(Table46[[#This Row],[Adjusted Predicted Correct]]="-", "",IF(Table46[[#This Row],[Adjusted Predicted Correct]]="YES",(Table46[[#This Row],[Strength of Win]]-1)^2,(Table46[[#This Row],[Strength of Win]]-0)^2))</f>
        <v>0.13294086784725642</v>
      </c>
      <c r="R68">
        <v>-1.6728852332952138</v>
      </c>
      <c r="S68" t="s">
        <v>17</v>
      </c>
      <c r="T68" t="s">
        <v>249</v>
      </c>
    </row>
    <row r="69" spans="1:20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VLOOKUP(Table46[[#This Row],[Home]],'NHL Model'!$A$6:$B$38,2,FALSE)</f>
        <v>-0.40651947573390851</v>
      </c>
      <c r="H69" t="s">
        <v>32</v>
      </c>
      <c r="I69">
        <f>VLOOKUP(Table46[[#This Row],[Visitor]],'NHL Model'!$A$6:$B$38,2,FALSE)</f>
        <v>-0.361361309178443</v>
      </c>
      <c r="J69">
        <f>($B$1+Table46[[#This Row],[Home Differential]])-Table46[[#This Row],[Away Differential]]</f>
        <v>0.11741414310685289</v>
      </c>
      <c r="K69" t="str">
        <f>IF(Table46[[#This Row],[HomeIce Differential]]&gt;0,Table46[[#This Row],[Home]],Table46[[#This Row],[Visitor]])</f>
        <v>Ottawa Senators</v>
      </c>
      <c r="L6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0.55810205042644656</v>
      </c>
      <c r="M69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69" t="str">
        <f>IF(OR((NHL2025_26Results[[#This Row],[Winning Team]]="")),"-",IF(Table46[[#This Row],[Predicted Winner]]=NHL2025_26Results[[#This Row],[Winning Team]],"YES","NO"))</f>
        <v>YES</v>
      </c>
      <c r="O69" t="str">
        <f>IF(OR((NHL2025_26Results[[#This Row],[Winning Team]]="")),"-",IF(Table46[[#This Row],[Prob Winner]]=NHL2025_26Results[[#This Row],[Winning Team]],"YES","NO"))</f>
        <v>YES</v>
      </c>
      <c r="P69" t="str">
        <f>IF(Table46[[#This Row],[Locked Prediction]]&lt;&gt;Table46[[#This Row],[Prob Winner]], "Changed", "Same")</f>
        <v>Changed</v>
      </c>
      <c r="Q69">
        <f>IF(Table46[[#This Row],[Adjusted Predicted Correct]]="-", "",IF(Table46[[#This Row],[Adjusted Predicted Correct]]="YES",(Table46[[#This Row],[Strength of Win]]-1)^2,(Table46[[#This Row],[Strength of Win]]-0)^2))</f>
        <v>0.19527379783731078</v>
      </c>
      <c r="R69">
        <v>-4.8332640228227977</v>
      </c>
      <c r="S69" t="s">
        <v>32</v>
      </c>
      <c r="T69" t="s">
        <v>249</v>
      </c>
    </row>
    <row r="70" spans="1:20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VLOOKUP(Table46[[#This Row],[Home]],'NHL Model'!$A$6:$B$38,2,FALSE)</f>
        <v>-0.51358590497437617</v>
      </c>
      <c r="H70" t="s">
        <v>40</v>
      </c>
      <c r="I70">
        <f>VLOOKUP(Table46[[#This Row],[Visitor]],'NHL Model'!$A$6:$B$38,2,FALSE)</f>
        <v>0.105105258369765</v>
      </c>
      <c r="J70">
        <f>($B$1+Table46[[#This Row],[Home Differential]])-Table46[[#This Row],[Away Differential]]</f>
        <v>-0.45611885368182281</v>
      </c>
      <c r="K70" t="str">
        <f>IF(Table46[[#This Row],[HomeIce Differential]]&gt;0,Table46[[#This Row],[Home]],Table46[[#This Row],[Visitor]])</f>
        <v>Winnipeg Jets</v>
      </c>
      <c r="L7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0.58443638857531999</v>
      </c>
      <c r="M70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70" t="str">
        <f>IF(OR((NHL2025_26Results[[#This Row],[Winning Team]]="")),"-",IF(Table46[[#This Row],[Predicted Winner]]=NHL2025_26Results[[#This Row],[Winning Team]],"YES","NO"))</f>
        <v>YES</v>
      </c>
      <c r="O70" t="str">
        <f>IF(OR((NHL2025_26Results[[#This Row],[Winning Team]]="")),"-",IF(Table46[[#This Row],[Prob Winner]]=NHL2025_26Results[[#This Row],[Winning Team]],"YES","NO"))</f>
        <v>YES</v>
      </c>
      <c r="P70" t="str">
        <f>IF(Table46[[#This Row],[Locked Prediction]]&lt;&gt;Table46[[#This Row],[Prob Winner]], "Changed", "Same")</f>
        <v>Changed</v>
      </c>
      <c r="Q70">
        <f>IF(Table46[[#This Row],[Adjusted Predicted Correct]]="-", "",IF(Table46[[#This Row],[Adjusted Predicted Correct]]="YES",(Table46[[#This Row],[Strength of Win]]-1)^2,(Table46[[#This Row],[Strength of Win]]-0)^2))</f>
        <v>0.17269311514032243</v>
      </c>
      <c r="R70">
        <v>0.86525103971963047</v>
      </c>
      <c r="S70" t="s">
        <v>27</v>
      </c>
      <c r="T70" t="s">
        <v>249</v>
      </c>
    </row>
    <row r="71" spans="1:20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VLOOKUP(Table46[[#This Row],[Home]],'NHL Model'!$A$6:$B$38,2,FALSE)</f>
        <v>-0.635565543477981</v>
      </c>
      <c r="H71" t="s">
        <v>15</v>
      </c>
      <c r="I71">
        <f>VLOOKUP(Table46[[#This Row],[Visitor]],'NHL Model'!$A$6:$B$38,2,FALSE)</f>
        <v>-0.30719665303039001</v>
      </c>
      <c r="J71">
        <f>($B$1+Table46[[#This Row],[Home Differential]])-Table46[[#This Row],[Away Differential]]</f>
        <v>-0.1657965807852726</v>
      </c>
      <c r="K71" t="str">
        <f>IF(Table46[[#This Row],[HomeIce Differential]]&gt;0,Table46[[#This Row],[Home]],Table46[[#This Row],[Visitor]])</f>
        <v>New York Rangers</v>
      </c>
      <c r="L7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0.62444715531275885</v>
      </c>
      <c r="M71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71" t="str">
        <f>IF(OR((NHL2025_26Results[[#This Row],[Winning Team]]="")),"-",IF(Table46[[#This Row],[Predicted Winner]]=NHL2025_26Results[[#This Row],[Winning Team]],"YES","NO"))</f>
        <v>NO</v>
      </c>
      <c r="O71" t="str">
        <f>IF(OR((NHL2025_26Results[[#This Row],[Winning Team]]="")),"-",IF(Table46[[#This Row],[Prob Winner]]=NHL2025_26Results[[#This Row],[Winning Team]],"YES","NO"))</f>
        <v>NO</v>
      </c>
      <c r="P71" t="str">
        <f>IF(Table46[[#This Row],[Locked Prediction]]&lt;&gt;Table46[[#This Row],[Prob Winner]], "Changed", "Same")</f>
        <v>Changed</v>
      </c>
      <c r="Q71">
        <f>IF(Table46[[#This Row],[Adjusted Predicted Correct]]="-", "",IF(Table46[[#This Row],[Adjusted Predicted Correct]]="YES",(Table46[[#This Row],[Strength of Win]]-1)^2,(Table46[[#This Row],[Strength of Win]]-0)^2))</f>
        <v>0.3899342497781968</v>
      </c>
      <c r="R71">
        <v>2.9856907520763394</v>
      </c>
      <c r="S71" t="s">
        <v>19</v>
      </c>
      <c r="T71" t="s">
        <v>248</v>
      </c>
    </row>
    <row r="72" spans="1:20" x14ac:dyDescent="0.2">
      <c r="D72" s="1">
        <v>45946</v>
      </c>
      <c r="E72" s="2">
        <v>0.91666666666666663</v>
      </c>
      <c r="F72" t="s">
        <v>20</v>
      </c>
      <c r="G72">
        <f>VLOOKUP(Table46[[#This Row],[Home]],'NHL Model'!$A$6:$B$38,2,FALSE)</f>
        <v>-6.3745791019188943E-4</v>
      </c>
      <c r="H72" t="s">
        <v>21</v>
      </c>
      <c r="I72">
        <f>VLOOKUP(Table46[[#This Row],[Visitor]],'NHL Model'!$A$6:$B$38,2,FALSE)</f>
        <v>4.029141914856392E-2</v>
      </c>
      <c r="J72">
        <f>($B$1+Table46[[#This Row],[Home Differential]])-Table46[[#This Row],[Away Differential]]</f>
        <v>0.12164343260356257</v>
      </c>
      <c r="K72" t="str">
        <f>IF(Table46[[#This Row],[HomeIce Differential]]&gt;0,Table46[[#This Row],[Home]],Table46[[#This Row],[Visitor]])</f>
        <v>Vegas Golden Knights</v>
      </c>
      <c r="L7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0.55616872417917629</v>
      </c>
      <c r="M72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72" t="str">
        <f>IF(OR((NHL2025_26Results[[#This Row],[Winning Team]]="")),"-",IF(Table46[[#This Row],[Predicted Winner]]=NHL2025_26Results[[#This Row],[Winning Team]],"YES","NO"))</f>
        <v>YES</v>
      </c>
      <c r="O72" t="str">
        <f>IF(OR((NHL2025_26Results[[#This Row],[Winning Team]]="")),"-",IF(Table46[[#This Row],[Prob Winner]]=NHL2025_26Results[[#This Row],[Winning Team]],"YES","NO"))</f>
        <v>YES</v>
      </c>
      <c r="P72" t="str">
        <f>IF(Table46[[#This Row],[Locked Prediction]]&lt;&gt;Table46[[#This Row],[Prob Winner]], "Changed", "Same")</f>
        <v>Changed</v>
      </c>
      <c r="Q72">
        <f>IF(Table46[[#This Row],[Adjusted Predicted Correct]]="-", "",IF(Table46[[#This Row],[Adjusted Predicted Correct]]="YES",(Table46[[#This Row],[Strength of Win]]-1)^2,(Table46[[#This Row],[Strength of Win]]-0)^2))</f>
        <v>0.19698620139674008</v>
      </c>
      <c r="R72">
        <v>-2.5601464660303166</v>
      </c>
      <c r="S72" t="s">
        <v>21</v>
      </c>
      <c r="T72" t="s">
        <v>249</v>
      </c>
    </row>
    <row r="73" spans="1:20" x14ac:dyDescent="0.2">
      <c r="D73" s="1">
        <v>45947</v>
      </c>
      <c r="E73" s="2">
        <v>0.85416666666666663</v>
      </c>
      <c r="F73" t="s">
        <v>10</v>
      </c>
      <c r="G73">
        <f>VLOOKUP(Table46[[#This Row],[Home]],'NHL Model'!$A$6:$B$38,2,FALSE)</f>
        <v>0.30570968833820172</v>
      </c>
      <c r="H73" t="s">
        <v>38</v>
      </c>
      <c r="I73">
        <f>VLOOKUP(Table46[[#This Row],[Visitor]],'NHL Model'!$A$6:$B$38,2,FALSE)</f>
        <v>-0.6902088310934803</v>
      </c>
      <c r="J73">
        <f>($B$1+Table46[[#This Row],[Home Differential]])-Table46[[#This Row],[Away Differential]]</f>
        <v>1.1584908290940004</v>
      </c>
      <c r="K73" t="str">
        <f>IF(Table46[[#This Row],[HomeIce Differential]]&gt;0,Table46[[#This Row],[Home]],Table46[[#This Row],[Visitor]])</f>
        <v>Chicago Blackhawks</v>
      </c>
      <c r="L7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0.6514728869452413</v>
      </c>
      <c r="M73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73" t="str">
        <f>IF(OR((NHL2025_26Results[[#This Row],[Winning Team]]="")),"-",IF(Table46[[#This Row],[Predicted Winner]]=NHL2025_26Results[[#This Row],[Winning Team]],"YES","NO"))</f>
        <v>NO</v>
      </c>
      <c r="O73" t="str">
        <f>IF(OR((NHL2025_26Results[[#This Row],[Winning Team]]="")),"-",IF(Table46[[#This Row],[Prob Winner]]=NHL2025_26Results[[#This Row],[Winning Team]],"YES","NO"))</f>
        <v>NO</v>
      </c>
      <c r="P73" t="str">
        <f>IF(Table46[[#This Row],[Locked Prediction]]&lt;&gt;Table46[[#This Row],[Prob Winner]], "Changed", "Same")</f>
        <v>Same</v>
      </c>
      <c r="Q73">
        <f>IF(Table46[[#This Row],[Adjusted Predicted Correct]]="-", "",IF(Table46[[#This Row],[Adjusted Predicted Correct]]="YES",(Table46[[#This Row],[Strength of Win]]-1)^2,(Table46[[#This Row],[Strength of Win]]-0)^2))</f>
        <v>0.42441692242476714</v>
      </c>
      <c r="R73">
        <v>0.50461758683915225</v>
      </c>
      <c r="S73" t="s">
        <v>10</v>
      </c>
      <c r="T73" t="s">
        <v>249</v>
      </c>
    </row>
    <row r="74" spans="1:20" x14ac:dyDescent="0.2">
      <c r="D74" s="1">
        <v>45947</v>
      </c>
      <c r="E74" s="2">
        <v>0.79166666666666663</v>
      </c>
      <c r="F74" t="s">
        <v>26</v>
      </c>
      <c r="G74">
        <f>VLOOKUP(Table46[[#This Row],[Home]],'NHL Model'!$A$6:$B$38,2,FALSE)</f>
        <v>-0.513643833119658</v>
      </c>
      <c r="H74" t="s">
        <v>37</v>
      </c>
      <c r="I74">
        <f>VLOOKUP(Table46[[#This Row],[Visitor]],'NHL Model'!$A$6:$B$38,2,FALSE)</f>
        <v>-0.11309445867623392</v>
      </c>
      <c r="J74">
        <f>($B$1+Table46[[#This Row],[Home Differential]])-Table46[[#This Row],[Away Differential]]</f>
        <v>-0.2379770647811057</v>
      </c>
      <c r="K74" t="str">
        <f>IF(Table46[[#This Row],[HomeIce Differential]]&gt;0,Table46[[#This Row],[Home]],Table46[[#This Row],[Visitor]])</f>
        <v>Tampa Bay Lightning</v>
      </c>
      <c r="L7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0.51240090573154162</v>
      </c>
      <c r="M74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74" t="str">
        <f>IF(OR((NHL2025_26Results[[#This Row],[Winning Team]]="")),"-",IF(Table46[[#This Row],[Predicted Winner]]=NHL2025_26Results[[#This Row],[Winning Team]],"YES","NO"))</f>
        <v>NO</v>
      </c>
      <c r="O74" t="str">
        <f>IF(OR((NHL2025_26Results[[#This Row],[Winning Team]]="")),"-",IF(Table46[[#This Row],[Prob Winner]]=NHL2025_26Results[[#This Row],[Winning Team]],"YES","NO"))</f>
        <v>NO</v>
      </c>
      <c r="P74" t="str">
        <f>IF(Table46[[#This Row],[Locked Prediction]]&lt;&gt;Table46[[#This Row],[Prob Winner]], "Changed", "Same")</f>
        <v>Changed</v>
      </c>
      <c r="Q74">
        <f>IF(Table46[[#This Row],[Adjusted Predicted Correct]]="-", "",IF(Table46[[#This Row],[Adjusted Predicted Correct]]="YES",(Table46[[#This Row],[Strength of Win]]-1)^2,(Table46[[#This Row],[Strength of Win]]-0)^2))</f>
        <v>0.26255468819450423</v>
      </c>
      <c r="R74">
        <v>2.1140058846338787</v>
      </c>
      <c r="S74" t="s">
        <v>26</v>
      </c>
      <c r="T74" t="s">
        <v>248</v>
      </c>
    </row>
    <row r="75" spans="1:20" x14ac:dyDescent="0.2">
      <c r="D75" s="1">
        <v>45947</v>
      </c>
      <c r="E75" s="2">
        <v>0.875</v>
      </c>
      <c r="F75" t="s">
        <v>55</v>
      </c>
      <c r="G75">
        <f>VLOOKUP(Table46[[#This Row],[Home]],'NHL Model'!$A$6:$B$38,2,FALSE)</f>
        <v>-0.12212311954851815</v>
      </c>
      <c r="H75" t="s">
        <v>33</v>
      </c>
      <c r="I75">
        <f>VLOOKUP(Table46[[#This Row],[Visitor]],'NHL Model'!$A$6:$B$38,2,FALSE)</f>
        <v>-0.39418177254008485</v>
      </c>
      <c r="J75">
        <f>($B$1+Table46[[#This Row],[Home Differential]])-Table46[[#This Row],[Away Differential]]</f>
        <v>0.43463096265388512</v>
      </c>
      <c r="K75" t="str">
        <f>IF(Table46[[#This Row],[HomeIce Differential]]&gt;0,Table46[[#This Row],[Home]],Table46[[#This Row],[Visitor]])</f>
        <v>Utah Mammoth</v>
      </c>
      <c r="L7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0.66604322172656083</v>
      </c>
      <c r="M75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75" t="str">
        <f>IF(OR((NHL2025_26Results[[#This Row],[Winning Team]]="")),"-",IF(Table46[[#This Row],[Predicted Winner]]=NHL2025_26Results[[#This Row],[Winning Team]],"YES","NO"))</f>
        <v>YES</v>
      </c>
      <c r="O75" t="str">
        <f>IF(OR((NHL2025_26Results[[#This Row],[Winning Team]]="")),"-",IF(Table46[[#This Row],[Prob Winner]]=NHL2025_26Results[[#This Row],[Winning Team]],"YES","NO"))</f>
        <v>YES</v>
      </c>
      <c r="P75" t="str">
        <f>IF(Table46[[#This Row],[Locked Prediction]]&lt;&gt;Table46[[#This Row],[Prob Winner]], "Changed", "Same")</f>
        <v>Same</v>
      </c>
      <c r="Q75">
        <f>IF(Table46[[#This Row],[Adjusted Predicted Correct]]="-", "",IF(Table46[[#This Row],[Adjusted Predicted Correct]]="YES",(Table46[[#This Row],[Strength of Win]]-1)^2,(Table46[[#This Row],[Strength of Win]]-0)^2))</f>
        <v>0.11152712975477501</v>
      </c>
      <c r="R75">
        <v>1.4498410342373456</v>
      </c>
      <c r="S75" t="s">
        <v>55</v>
      </c>
      <c r="T75" t="s">
        <v>248</v>
      </c>
    </row>
    <row r="76" spans="1:20" x14ac:dyDescent="0.2">
      <c r="D76" s="1">
        <v>45947</v>
      </c>
      <c r="E76" s="2">
        <v>0.79166666666666663</v>
      </c>
      <c r="F76" t="s">
        <v>22</v>
      </c>
      <c r="G76">
        <f>VLOOKUP(Table46[[#This Row],[Home]],'NHL Model'!$A$6:$B$38,2,FALSE)</f>
        <v>-6.1308839486784707E-2</v>
      </c>
      <c r="H76" t="s">
        <v>34</v>
      </c>
      <c r="I76">
        <f>VLOOKUP(Table46[[#This Row],[Visitor]],'NHL Model'!$A$6:$B$38,2,FALSE)</f>
        <v>-0.53650300840565446</v>
      </c>
      <c r="J76">
        <f>($B$1+Table46[[#This Row],[Home Differential]])-Table46[[#This Row],[Away Differential]]</f>
        <v>0.63776647858118818</v>
      </c>
      <c r="K76" t="str">
        <f>IF(Table46[[#This Row],[HomeIce Differential]]&gt;0,Table46[[#This Row],[Home]],Table46[[#This Row],[Visitor]])</f>
        <v>Washington Capitals</v>
      </c>
      <c r="L7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0.62477128655609593</v>
      </c>
      <c r="M76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76" t="str">
        <f>IF(OR((NHL2025_26Results[[#This Row],[Winning Team]]="")),"-",IF(Table46[[#This Row],[Predicted Winner]]=NHL2025_26Results[[#This Row],[Winning Team]],"YES","NO"))</f>
        <v>YES</v>
      </c>
      <c r="O76" t="str">
        <f>IF(OR((NHL2025_26Results[[#This Row],[Winning Team]]="")),"-",IF(Table46[[#This Row],[Prob Winner]]=NHL2025_26Results[[#This Row],[Winning Team]],"YES","NO"))</f>
        <v>YES</v>
      </c>
      <c r="P76" t="str">
        <f>IF(Table46[[#This Row],[Locked Prediction]]&lt;&gt;Table46[[#This Row],[Prob Winner]], "Changed", "Same")</f>
        <v>Same</v>
      </c>
      <c r="Q76">
        <f>IF(Table46[[#This Row],[Adjusted Predicted Correct]]="-", "",IF(Table46[[#This Row],[Adjusted Predicted Correct]]="YES",(Table46[[#This Row],[Strength of Win]]-1)^2,(Table46[[#This Row],[Strength of Win]]-0)^2))</f>
        <v>0.14079658739276749</v>
      </c>
      <c r="R76">
        <v>1.932573010009293</v>
      </c>
      <c r="S76" t="s">
        <v>22</v>
      </c>
      <c r="T76" t="s">
        <v>248</v>
      </c>
    </row>
    <row r="77" spans="1:20" x14ac:dyDescent="0.2">
      <c r="D77" s="1">
        <v>45948</v>
      </c>
      <c r="E77" s="2">
        <v>0.54166666666666663</v>
      </c>
      <c r="F77" t="s">
        <v>23</v>
      </c>
      <c r="G77">
        <f>VLOOKUP(Table46[[#This Row],[Home]],'NHL Model'!$A$6:$B$38,2,FALSE)</f>
        <v>-0.8683412362501769</v>
      </c>
      <c r="H77" t="s">
        <v>11</v>
      </c>
      <c r="I77">
        <f>VLOOKUP(Table46[[#This Row],[Visitor]],'NHL Model'!$A$6:$B$38,2,FALSE)</f>
        <v>-0.28105923893144158</v>
      </c>
      <c r="J77">
        <f>($B$1+Table46[[#This Row],[Home Differential]])-Table46[[#This Row],[Away Differential]]</f>
        <v>-0.42470968765641692</v>
      </c>
      <c r="K77" t="str">
        <f>IF(Table46[[#This Row],[HomeIce Differential]]&gt;0,Table46[[#This Row],[Home]],Table46[[#This Row],[Visitor]])</f>
        <v>Florida Panthers</v>
      </c>
      <c r="L7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0.51645198963038463</v>
      </c>
      <c r="M77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77" t="str">
        <f>IF(OR((NHL2025_26Results[[#This Row],[Winning Team]]="")),"-",IF(Table46[[#This Row],[Predicted Winner]]=NHL2025_26Results[[#This Row],[Winning Team]],"YES","NO"))</f>
        <v>NO</v>
      </c>
      <c r="O77" t="str">
        <f>IF(OR((NHL2025_26Results[[#This Row],[Winning Team]]="")),"-",IF(Table46[[#This Row],[Prob Winner]]=NHL2025_26Results[[#This Row],[Winning Team]],"YES","NO"))</f>
        <v>NO</v>
      </c>
      <c r="P77" t="str">
        <f>IF(Table46[[#This Row],[Locked Prediction]]&lt;&gt;Table46[[#This Row],[Prob Winner]], "Changed", "Same")</f>
        <v>Changed</v>
      </c>
      <c r="Q77">
        <f>IF(Table46[[#This Row],[Adjusted Predicted Correct]]="-", "",IF(Table46[[#This Row],[Adjusted Predicted Correct]]="YES",(Table46[[#This Row],[Strength of Win]]-1)^2,(Table46[[#This Row],[Strength of Win]]-0)^2))</f>
        <v>0.26672265759318292</v>
      </c>
      <c r="R77">
        <v>0.49609379868750247</v>
      </c>
      <c r="S77" t="s">
        <v>23</v>
      </c>
      <c r="T77" t="s">
        <v>248</v>
      </c>
    </row>
    <row r="78" spans="1:20" x14ac:dyDescent="0.2">
      <c r="D78" s="1">
        <v>45948</v>
      </c>
      <c r="E78" s="2">
        <v>0.79166666666666663</v>
      </c>
      <c r="F78" t="s">
        <v>28</v>
      </c>
      <c r="G78">
        <f>VLOOKUP(Table46[[#This Row],[Home]],'NHL Model'!$A$6:$B$38,2,FALSE)</f>
        <v>-0.40822279081308277</v>
      </c>
      <c r="H78" t="s">
        <v>37</v>
      </c>
      <c r="I78">
        <f>VLOOKUP(Table46[[#This Row],[Visitor]],'NHL Model'!$A$6:$B$38,2,FALSE)</f>
        <v>-0.11309445867623392</v>
      </c>
      <c r="J78">
        <f>($B$1+Table46[[#This Row],[Home Differential]])-Table46[[#This Row],[Away Differential]]</f>
        <v>-0.13255602247453047</v>
      </c>
      <c r="K78" t="str">
        <f>IF(Table46[[#This Row],[HomeIce Differential]]&gt;0,Table46[[#This Row],[Home]],Table46[[#This Row],[Visitor]])</f>
        <v>Tampa Bay Lightning</v>
      </c>
      <c r="L7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0.52471860626122968</v>
      </c>
      <c r="M78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78" t="str">
        <f>IF(OR((NHL2025_26Results[[#This Row],[Winning Team]]="")),"-",IF(Table46[[#This Row],[Predicted Winner]]=NHL2025_26Results[[#This Row],[Winning Team]],"YES","NO"))</f>
        <v>NO</v>
      </c>
      <c r="O78" t="str">
        <f>IF(OR((NHL2025_26Results[[#This Row],[Winning Team]]="")),"-",IF(Table46[[#This Row],[Prob Winner]]=NHL2025_26Results[[#This Row],[Winning Team]],"YES","NO"))</f>
        <v>NO</v>
      </c>
      <c r="P78" t="str">
        <f>IF(Table46[[#This Row],[Locked Prediction]]&lt;&gt;Table46[[#This Row],[Prob Winner]], "Changed", "Same")</f>
        <v>Changed</v>
      </c>
      <c r="Q78">
        <f>IF(Table46[[#This Row],[Adjusted Predicted Correct]]="-", "",IF(Table46[[#This Row],[Adjusted Predicted Correct]]="YES",(Table46[[#This Row],[Strength of Win]]-1)^2,(Table46[[#This Row],[Strength of Win]]-0)^2))</f>
        <v>0.27532961575672737</v>
      </c>
      <c r="R78">
        <v>0.46611340656220523</v>
      </c>
      <c r="S78" t="s">
        <v>28</v>
      </c>
      <c r="T78" t="s">
        <v>248</v>
      </c>
    </row>
    <row r="79" spans="1:20" x14ac:dyDescent="0.2">
      <c r="D79" s="1">
        <v>45948</v>
      </c>
      <c r="E79" s="2">
        <v>0.875</v>
      </c>
      <c r="F79" t="s">
        <v>12</v>
      </c>
      <c r="G79">
        <f>VLOOKUP(Table46[[#This Row],[Home]],'NHL Model'!$A$6:$B$38,2,FALSE)</f>
        <v>1.5475013591489768</v>
      </c>
      <c r="H79" t="s">
        <v>21</v>
      </c>
      <c r="I79">
        <f>VLOOKUP(Table46[[#This Row],[Visitor]],'NHL Model'!$A$6:$B$38,2,FALSE)</f>
        <v>4.029141914856392E-2</v>
      </c>
      <c r="J79">
        <f>($B$1+Table46[[#This Row],[Home Differential]])-Table46[[#This Row],[Away Differential]]</f>
        <v>1.6697822496627313</v>
      </c>
      <c r="K79" t="str">
        <f>IF(Table46[[#This Row],[HomeIce Differential]]&gt;0,Table46[[#This Row],[Home]],Table46[[#This Row],[Visitor]])</f>
        <v>Colorado Avalanche</v>
      </c>
      <c r="L7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0.85031204504411695</v>
      </c>
      <c r="M79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79" t="str">
        <f>IF(OR((NHL2025_26Results[[#This Row],[Winning Team]]="")),"-",IF(Table46[[#This Row],[Predicted Winner]]=NHL2025_26Results[[#This Row],[Winning Team]],"YES","NO"))</f>
        <v>YES</v>
      </c>
      <c r="O79" t="str">
        <f>IF(OR((NHL2025_26Results[[#This Row],[Winning Team]]="")),"-",IF(Table46[[#This Row],[Prob Winner]]=NHL2025_26Results[[#This Row],[Winning Team]],"YES","NO"))</f>
        <v>YES</v>
      </c>
      <c r="P79" t="str">
        <f>IF(Table46[[#This Row],[Locked Prediction]]&lt;&gt;Table46[[#This Row],[Prob Winner]], "Changed", "Same")</f>
        <v>Same</v>
      </c>
      <c r="Q79">
        <f>IF(Table46[[#This Row],[Adjusted Predicted Correct]]="-", "",IF(Table46[[#This Row],[Adjusted Predicted Correct]]="YES",(Table46[[#This Row],[Strength of Win]]-1)^2,(Table46[[#This Row],[Strength of Win]]-0)^2))</f>
        <v>2.2406483858874473E-2</v>
      </c>
      <c r="R79">
        <v>1.3275581364572637</v>
      </c>
      <c r="S79" t="s">
        <v>12</v>
      </c>
      <c r="T79" t="s">
        <v>248</v>
      </c>
    </row>
    <row r="80" spans="1:20" x14ac:dyDescent="0.2">
      <c r="D80" s="1">
        <v>45948</v>
      </c>
      <c r="E80" s="2">
        <v>0.875</v>
      </c>
      <c r="F80" t="s">
        <v>13</v>
      </c>
      <c r="G80">
        <f>VLOOKUP(Table46[[#This Row],[Home]],'NHL Model'!$A$6:$B$38,2,FALSE)</f>
        <v>-7.5459708298993802E-2</v>
      </c>
      <c r="H80" t="s">
        <v>25</v>
      </c>
      <c r="I80">
        <f>VLOOKUP(Table46[[#This Row],[Visitor]],'NHL Model'!$A$6:$B$38,2,FALSE)</f>
        <v>0.67193921242367816</v>
      </c>
      <c r="J80">
        <f>($B$1+Table46[[#This Row],[Home Differential]])-Table46[[#This Row],[Away Differential]]</f>
        <v>-0.58482661106035361</v>
      </c>
      <c r="K80" t="str">
        <f>IF(Table46[[#This Row],[HomeIce Differential]]&gt;0,Table46[[#This Row],[Home]],Table46[[#This Row],[Visitor]])</f>
        <v>Carolina Hurricanes</v>
      </c>
      <c r="L8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0.63022075981923142</v>
      </c>
      <c r="M80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80" t="str">
        <f>IF(OR((NHL2025_26Results[[#This Row],[Winning Team]]="")),"-",IF(Table46[[#This Row],[Predicted Winner]]=NHL2025_26Results[[#This Row],[Winning Team]],"YES","NO"))</f>
        <v>YES</v>
      </c>
      <c r="O80" t="str">
        <f>IF(OR((NHL2025_26Results[[#This Row],[Winning Team]]="")),"-",IF(Table46[[#This Row],[Prob Winner]]=NHL2025_26Results[[#This Row],[Winning Team]],"YES","NO"))</f>
        <v>YES</v>
      </c>
      <c r="P80" t="str">
        <f>IF(Table46[[#This Row],[Locked Prediction]]&lt;&gt;Table46[[#This Row],[Prob Winner]], "Changed", "Same")</f>
        <v>Same</v>
      </c>
      <c r="Q80">
        <f>IF(Table46[[#This Row],[Adjusted Predicted Correct]]="-", "",IF(Table46[[#This Row],[Adjusted Predicted Correct]]="YES",(Table46[[#This Row],[Strength of Win]]-1)^2,(Table46[[#This Row],[Strength of Win]]-0)^2))</f>
        <v>0.13673668646866655</v>
      </c>
      <c r="R80">
        <v>-2.4361086420440561</v>
      </c>
      <c r="S80" t="s">
        <v>25</v>
      </c>
      <c r="T80" t="s">
        <v>248</v>
      </c>
    </row>
    <row r="81" spans="4:20" x14ac:dyDescent="0.2">
      <c r="D81" s="1">
        <v>45948</v>
      </c>
      <c r="E81" s="2">
        <v>0.79166666666666663</v>
      </c>
      <c r="F81" t="s">
        <v>18</v>
      </c>
      <c r="G81">
        <f>VLOOKUP(Table46[[#This Row],[Home]],'NHL Model'!$A$6:$B$38,2,FALSE)</f>
        <v>-0.52437726201848234</v>
      </c>
      <c r="H81" t="s">
        <v>15</v>
      </c>
      <c r="I81">
        <f>VLOOKUP(Table46[[#This Row],[Visitor]],'NHL Model'!$A$6:$B$38,2,FALSE)</f>
        <v>-0.30719665303039001</v>
      </c>
      <c r="J81">
        <f>($B$1+Table46[[#This Row],[Home Differential]])-Table46[[#This Row],[Away Differential]]</f>
        <v>-5.4608299325773935E-2</v>
      </c>
      <c r="K81" t="str">
        <f>IF(Table46[[#This Row],[HomeIce Differential]]&gt;0,Table46[[#This Row],[Home]],Table46[[#This Row],[Visitor]])</f>
        <v>New York Rangers</v>
      </c>
      <c r="L8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0.60966811943390287</v>
      </c>
      <c r="M81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81" t="str">
        <f>IF(OR((NHL2025_26Results[[#This Row],[Winning Team]]="")),"-",IF(Table46[[#This Row],[Predicted Winner]]=NHL2025_26Results[[#This Row],[Winning Team]],"YES","NO"))</f>
        <v>YES</v>
      </c>
      <c r="O81" t="str">
        <f>IF(OR((NHL2025_26Results[[#This Row],[Winning Team]]="")),"-",IF(Table46[[#This Row],[Prob Winner]]=NHL2025_26Results[[#This Row],[Winning Team]],"YES","NO"))</f>
        <v>YES</v>
      </c>
      <c r="P81" t="str">
        <f>IF(Table46[[#This Row],[Locked Prediction]]&lt;&gt;Table46[[#This Row],[Prob Winner]], "Changed", "Same")</f>
        <v>Changed</v>
      </c>
      <c r="Q81">
        <f>IF(Table46[[#This Row],[Adjusted Predicted Correct]]="-", "",IF(Table46[[#This Row],[Adjusted Predicted Correct]]="YES",(Table46[[#This Row],[Strength of Win]]-1)^2,(Table46[[#This Row],[Strength of Win]]-0)^2))</f>
        <v>0.15235897698626591</v>
      </c>
      <c r="R81">
        <v>0.14585649835472669</v>
      </c>
      <c r="S81" t="s">
        <v>18</v>
      </c>
      <c r="T81" t="s">
        <v>249</v>
      </c>
    </row>
    <row r="82" spans="4:20" x14ac:dyDescent="0.2">
      <c r="D82" s="1">
        <v>45948</v>
      </c>
      <c r="E82" s="2">
        <v>0.64583333333333337</v>
      </c>
      <c r="F82" t="s">
        <v>24</v>
      </c>
      <c r="G82">
        <f>VLOOKUP(Table46[[#This Row],[Home]],'NHL Model'!$A$6:$B$38,2,FALSE)</f>
        <v>0.559441163373953</v>
      </c>
      <c r="H82" t="s">
        <v>17</v>
      </c>
      <c r="I82">
        <f>VLOOKUP(Table46[[#This Row],[Visitor]],'NHL Model'!$A$6:$B$38,2,FALSE)</f>
        <v>-0.61980804137564283</v>
      </c>
      <c r="J82">
        <f>($B$1+Table46[[#This Row],[Home Differential]])-Table46[[#This Row],[Away Differential]]</f>
        <v>1.3418215144119143</v>
      </c>
      <c r="K82" t="str">
        <f>IF(Table46[[#This Row],[HomeIce Differential]]&gt;0,Table46[[#This Row],[Home]],Table46[[#This Row],[Visitor]])</f>
        <v>New Jersey Devils</v>
      </c>
      <c r="L8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0.8337842938783997</v>
      </c>
      <c r="M82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82" t="str">
        <f>IF(OR((NHL2025_26Results[[#This Row],[Winning Team]]="")),"-",IF(Table46[[#This Row],[Predicted Winner]]=NHL2025_26Results[[#This Row],[Winning Team]],"YES","NO"))</f>
        <v>YES</v>
      </c>
      <c r="O82" t="str">
        <f>IF(OR((NHL2025_26Results[[#This Row],[Winning Team]]="")),"-",IF(Table46[[#This Row],[Prob Winner]]=NHL2025_26Results[[#This Row],[Winning Team]],"YES","NO"))</f>
        <v>YES</v>
      </c>
      <c r="P82" t="str">
        <f>IF(Table46[[#This Row],[Locked Prediction]]&lt;&gt;Table46[[#This Row],[Prob Winner]], "Changed", "Same")</f>
        <v>Same</v>
      </c>
      <c r="Q82">
        <f>IF(Table46[[#This Row],[Adjusted Predicted Correct]]="-", "",IF(Table46[[#This Row],[Adjusted Predicted Correct]]="YES",(Table46[[#This Row],[Strength of Win]]-1)^2,(Table46[[#This Row],[Strength of Win]]-0)^2))</f>
        <v>2.7627660961502196E-2</v>
      </c>
      <c r="R82">
        <v>1.3001093292131507</v>
      </c>
      <c r="S82" t="s">
        <v>24</v>
      </c>
      <c r="T82" t="s">
        <v>248</v>
      </c>
    </row>
    <row r="83" spans="4:20" x14ac:dyDescent="0.2">
      <c r="D83" s="1">
        <v>45948</v>
      </c>
      <c r="E83" s="2">
        <v>0.625</v>
      </c>
      <c r="F83" t="s">
        <v>36</v>
      </c>
      <c r="G83">
        <f>VLOOKUP(Table46[[#This Row],[Home]],'NHL Model'!$A$6:$B$38,2,FALSE)</f>
        <v>-0.40651947573390851</v>
      </c>
      <c r="H83" t="s">
        <v>30</v>
      </c>
      <c r="I83">
        <f>VLOOKUP(Table46[[#This Row],[Visitor]],'NHL Model'!$A$6:$B$38,2,FALSE)</f>
        <v>-6.4729560818359025E-2</v>
      </c>
      <c r="J83">
        <f>($B$1+Table46[[#This Row],[Home Differential]])-Table46[[#This Row],[Away Differential]]</f>
        <v>-0.1792176052532311</v>
      </c>
      <c r="K83" t="str">
        <f>IF(Table46[[#This Row],[HomeIce Differential]]&gt;0,Table46[[#This Row],[Home]],Table46[[#This Row],[Visitor]])</f>
        <v>New York Islanders</v>
      </c>
      <c r="L8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0.52382142599375414</v>
      </c>
      <c r="M83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83" t="str">
        <f>IF(OR((NHL2025_26Results[[#This Row],[Winning Team]]="")),"-",IF(Table46[[#This Row],[Predicted Winner]]=NHL2025_26Results[[#This Row],[Winning Team]],"YES","NO"))</f>
        <v>YES</v>
      </c>
      <c r="O83" t="str">
        <f>IF(OR((NHL2025_26Results[[#This Row],[Winning Team]]="")),"-",IF(Table46[[#This Row],[Prob Winner]]=NHL2025_26Results[[#This Row],[Winning Team]],"YES","NO"))</f>
        <v>YES</v>
      </c>
      <c r="P83" t="str">
        <f>IF(Table46[[#This Row],[Locked Prediction]]&lt;&gt;Table46[[#This Row],[Prob Winner]], "Changed", "Same")</f>
        <v>Same</v>
      </c>
      <c r="Q83">
        <f>IF(Table46[[#This Row],[Adjusted Predicted Correct]]="-", "",IF(Table46[[#This Row],[Adjusted Predicted Correct]]="YES",(Table46[[#This Row],[Strength of Win]]-1)^2,(Table46[[#This Row],[Strength of Win]]-0)^2))</f>
        <v>0.22674603434262178</v>
      </c>
      <c r="R83">
        <v>-1.5775627493950353</v>
      </c>
      <c r="S83" t="s">
        <v>30</v>
      </c>
      <c r="T83" t="s">
        <v>248</v>
      </c>
    </row>
    <row r="84" spans="4:20" x14ac:dyDescent="0.2">
      <c r="D84" s="1">
        <v>45948</v>
      </c>
      <c r="E84" s="2">
        <v>0.79166666666666663</v>
      </c>
      <c r="F84" t="s">
        <v>27</v>
      </c>
      <c r="G84">
        <f>VLOOKUP(Table46[[#This Row],[Home]],'NHL Model'!$A$6:$B$38,2,FALSE)</f>
        <v>-0.51358590497437617</v>
      </c>
      <c r="H84" t="s">
        <v>34</v>
      </c>
      <c r="I84">
        <f>VLOOKUP(Table46[[#This Row],[Visitor]],'NHL Model'!$A$6:$B$38,2,FALSE)</f>
        <v>-0.53650300840565446</v>
      </c>
      <c r="J84">
        <f>($B$1+Table46[[#This Row],[Home Differential]])-Table46[[#This Row],[Away Differential]]</f>
        <v>0.18548941309359668</v>
      </c>
      <c r="K84" t="str">
        <f>IF(Table46[[#This Row],[HomeIce Differential]]&gt;0,Table46[[#This Row],[Home]],Table46[[#This Row],[Visitor]])</f>
        <v>Philadelphia Flyers</v>
      </c>
      <c r="L8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0.56715054766366102</v>
      </c>
      <c r="M84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84" t="str">
        <f>IF(OR((NHL2025_26Results[[#This Row],[Winning Team]]="")),"-",IF(Table46[[#This Row],[Predicted Winner]]=NHL2025_26Results[[#This Row],[Winning Team]],"YES","NO"))</f>
        <v>YES</v>
      </c>
      <c r="O84" t="str">
        <f>IF(OR((NHL2025_26Results[[#This Row],[Winning Team]]="")),"-",IF(Table46[[#This Row],[Prob Winner]]=NHL2025_26Results[[#This Row],[Winning Team]],"YES","NO"))</f>
        <v>YES</v>
      </c>
      <c r="P84" t="str">
        <f>IF(Table46[[#This Row],[Locked Prediction]]&lt;&gt;Table46[[#This Row],[Prob Winner]], "Changed", "Same")</f>
        <v>Same</v>
      </c>
      <c r="Q84">
        <f>IF(Table46[[#This Row],[Adjusted Predicted Correct]]="-", "",IF(Table46[[#This Row],[Adjusted Predicted Correct]]="YES",(Table46[[#This Row],[Strength of Win]]-1)^2,(Table46[[#This Row],[Strength of Win]]-0)^2))</f>
        <v>0.18735864838786859</v>
      </c>
      <c r="R84">
        <v>0.87342927478910926</v>
      </c>
      <c r="S84" t="s">
        <v>27</v>
      </c>
      <c r="T84" t="s">
        <v>248</v>
      </c>
    </row>
    <row r="85" spans="4:20" x14ac:dyDescent="0.2">
      <c r="D85" s="1">
        <v>45948</v>
      </c>
      <c r="E85" s="2">
        <v>0.91666666666666663</v>
      </c>
      <c r="F85" t="s">
        <v>33</v>
      </c>
      <c r="G85">
        <f>VLOOKUP(Table46[[#This Row],[Home]],'NHL Model'!$A$6:$B$38,2,FALSE)</f>
        <v>-0.39418177254008485</v>
      </c>
      <c r="H85" t="s">
        <v>14</v>
      </c>
      <c r="I85">
        <f>VLOOKUP(Table46[[#This Row],[Visitor]],'NHL Model'!$A$6:$B$38,2,FALSE)</f>
        <v>0.26289091192875702</v>
      </c>
      <c r="J85">
        <f>($B$1+Table46[[#This Row],[Home Differential]])-Table46[[#This Row],[Away Differential]]</f>
        <v>-0.49450037480652348</v>
      </c>
      <c r="K85" t="str">
        <f>IF(Table46[[#This Row],[HomeIce Differential]]&gt;0,Table46[[#This Row],[Home]],Table46[[#This Row],[Visitor]])</f>
        <v>Pittsburgh Penguins</v>
      </c>
      <c r="L8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0.52572849841226688</v>
      </c>
      <c r="M85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85" t="str">
        <f>IF(OR((NHL2025_26Results[[#This Row],[Winning Team]]="")),"-",IF(Table46[[#This Row],[Predicted Winner]]=NHL2025_26Results[[#This Row],[Winning Team]],"YES","NO"))</f>
        <v>YES</v>
      </c>
      <c r="O85" t="str">
        <f>IF(OR((NHL2025_26Results[[#This Row],[Winning Team]]="")),"-",IF(Table46[[#This Row],[Prob Winner]]=NHL2025_26Results[[#This Row],[Winning Team]],"YES","NO"))</f>
        <v>YES</v>
      </c>
      <c r="P85" t="str">
        <f>IF(Table46[[#This Row],[Locked Prediction]]&lt;&gt;Table46[[#This Row],[Prob Winner]], "Changed", "Same")</f>
        <v>Same</v>
      </c>
      <c r="Q85">
        <f>IF(Table46[[#This Row],[Adjusted Predicted Correct]]="-", "",IF(Table46[[#This Row],[Adjusted Predicted Correct]]="YES",(Table46[[#This Row],[Strength of Win]]-1)^2,(Table46[[#This Row],[Strength of Win]]-0)^2))</f>
        <v>0.22493345721828314</v>
      </c>
      <c r="R85">
        <v>-2.3124303956750296</v>
      </c>
      <c r="S85" t="s">
        <v>14</v>
      </c>
      <c r="T85" t="s">
        <v>248</v>
      </c>
    </row>
    <row r="86" spans="4:20" x14ac:dyDescent="0.2">
      <c r="D86" s="1">
        <v>45948</v>
      </c>
      <c r="E86" s="2">
        <v>0.79166666666666663</v>
      </c>
      <c r="F86" t="s">
        <v>35</v>
      </c>
      <c r="G86">
        <f>VLOOKUP(Table46[[#This Row],[Home]],'NHL Model'!$A$6:$B$38,2,FALSE)</f>
        <v>-1.6211574240381006</v>
      </c>
      <c r="H86" t="s">
        <v>39</v>
      </c>
      <c r="I86">
        <f>VLOOKUP(Table46[[#This Row],[Visitor]],'NHL Model'!$A$6:$B$38,2,FALSE)</f>
        <v>0.19809534061227302</v>
      </c>
      <c r="J86">
        <f>($B$1+Table46[[#This Row],[Home Differential]])-Table46[[#This Row],[Away Differential]]</f>
        <v>-1.6566804549880552</v>
      </c>
      <c r="K86" t="str">
        <f>IF(Table46[[#This Row],[HomeIce Differential]]&gt;0,Table46[[#This Row],[Home]],Table46[[#This Row],[Visitor]])</f>
        <v>Dallas Stars</v>
      </c>
      <c r="L8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0.77269050760526414</v>
      </c>
      <c r="M86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86" t="str">
        <f>IF(OR((NHL2025_26Results[[#This Row],[Winning Team]]="")),"-",IF(Table46[[#This Row],[Predicted Winner]]=NHL2025_26Results[[#This Row],[Winning Team]],"YES","NO"))</f>
        <v>NO</v>
      </c>
      <c r="O86" t="str">
        <f>IF(OR((NHL2025_26Results[[#This Row],[Winning Team]]="")),"-",IF(Table46[[#This Row],[Prob Winner]]=NHL2025_26Results[[#This Row],[Winning Team]],"YES","NO"))</f>
        <v>NO</v>
      </c>
      <c r="P86" t="str">
        <f>IF(Table46[[#This Row],[Locked Prediction]]&lt;&gt;Table46[[#This Row],[Prob Winner]], "Changed", "Same")</f>
        <v>Same</v>
      </c>
      <c r="Q86">
        <f>IF(Table46[[#This Row],[Adjusted Predicted Correct]]="-", "",IF(Table46[[#This Row],[Adjusted Predicted Correct]]="YES",(Table46[[#This Row],[Strength of Win]]-1)^2,(Table46[[#This Row],[Strength of Win]]-0)^2))</f>
        <v>0.59705062054328073</v>
      </c>
      <c r="R86">
        <v>-1.7422218213901475</v>
      </c>
      <c r="S86" t="s">
        <v>39</v>
      </c>
      <c r="T86" t="s">
        <v>249</v>
      </c>
    </row>
    <row r="87" spans="4:20" x14ac:dyDescent="0.2">
      <c r="D87" s="1">
        <v>45948</v>
      </c>
      <c r="E87" s="2">
        <v>0.79166666666666663</v>
      </c>
      <c r="F87" t="s">
        <v>19</v>
      </c>
      <c r="G87">
        <f>VLOOKUP(Table46[[#This Row],[Home]],'NHL Model'!$A$6:$B$38,2,FALSE)</f>
        <v>-0.635565543477981</v>
      </c>
      <c r="H87" t="s">
        <v>32</v>
      </c>
      <c r="I87">
        <f>VLOOKUP(Table46[[#This Row],[Visitor]],'NHL Model'!$A$6:$B$38,2,FALSE)</f>
        <v>-0.361361309178443</v>
      </c>
      <c r="J87">
        <f>($B$1+Table46[[#This Row],[Home Differential]])-Table46[[#This Row],[Away Differential]]</f>
        <v>-0.1116319246372196</v>
      </c>
      <c r="K87" t="str">
        <f>IF(Table46[[#This Row],[HomeIce Differential]]&gt;0,Table46[[#This Row],[Home]],Table46[[#This Row],[Visitor]])</f>
        <v>Seattle Kraken</v>
      </c>
      <c r="L8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0.47483800448917068</v>
      </c>
      <c r="M87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87" t="str">
        <f>IF(OR((NHL2025_26Results[[#This Row],[Winning Team]]="")),"-",IF(Table46[[#This Row],[Predicted Winner]]=NHL2025_26Results[[#This Row],[Winning Team]],"YES","NO"))</f>
        <v>YES</v>
      </c>
      <c r="O87" t="str">
        <f>IF(OR((NHL2025_26Results[[#This Row],[Winning Team]]="")),"-",IF(Table46[[#This Row],[Prob Winner]]=NHL2025_26Results[[#This Row],[Winning Team]],"YES","NO"))</f>
        <v>NO</v>
      </c>
      <c r="P87" t="str">
        <f>IF(Table46[[#This Row],[Locked Prediction]]&lt;&gt;Table46[[#This Row],[Prob Winner]], "Changed", "Same")</f>
        <v>Same</v>
      </c>
      <c r="Q87">
        <f>IF(Table46[[#This Row],[Adjusted Predicted Correct]]="-", "",IF(Table46[[#This Row],[Adjusted Predicted Correct]]="YES",(Table46[[#This Row],[Strength of Win]]-1)^2,(Table46[[#This Row],[Strength of Win]]-0)^2))</f>
        <v>0.27579512152891633</v>
      </c>
      <c r="R87">
        <v>0.74601483428085158</v>
      </c>
      <c r="S87" t="s">
        <v>19</v>
      </c>
      <c r="T87" t="s">
        <v>249</v>
      </c>
    </row>
    <row r="88" spans="4:20" x14ac:dyDescent="0.2">
      <c r="D88" s="1">
        <v>45948</v>
      </c>
      <c r="E88" s="2">
        <v>0.91666666666666663</v>
      </c>
      <c r="F88" t="s">
        <v>20</v>
      </c>
      <c r="G88">
        <f>VLOOKUP(Table46[[#This Row],[Home]],'NHL Model'!$A$6:$B$38,2,FALSE)</f>
        <v>-6.3745791019188943E-4</v>
      </c>
      <c r="H88" t="s">
        <v>16</v>
      </c>
      <c r="I88">
        <f>VLOOKUP(Table46[[#This Row],[Visitor]],'NHL Model'!$A$6:$B$38,2,FALSE)</f>
        <v>-1.3903684122795328</v>
      </c>
      <c r="J88">
        <f>($B$1+Table46[[#This Row],[Home Differential]])-Table46[[#This Row],[Away Differential]]</f>
        <v>1.5523032640316592</v>
      </c>
      <c r="K88" t="str">
        <f>IF(Table46[[#This Row],[HomeIce Differential]]&gt;0,Table46[[#This Row],[Home]],Table46[[#This Row],[Visitor]])</f>
        <v>Vegas Golden Knights</v>
      </c>
      <c r="L8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0.74633060726229317</v>
      </c>
      <c r="M88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88" t="str">
        <f>IF(OR((NHL2025_26Results[[#This Row],[Winning Team]]="")),"-",IF(Table46[[#This Row],[Predicted Winner]]=NHL2025_26Results[[#This Row],[Winning Team]],"YES","NO"))</f>
        <v>YES</v>
      </c>
      <c r="O88" t="str">
        <f>IF(OR((NHL2025_26Results[[#This Row],[Winning Team]]="")),"-",IF(Table46[[#This Row],[Prob Winner]]=NHL2025_26Results[[#This Row],[Winning Team]],"YES","NO"))</f>
        <v>YES</v>
      </c>
      <c r="P88" t="str">
        <f>IF(Table46[[#This Row],[Locked Prediction]]&lt;&gt;Table46[[#This Row],[Prob Winner]], "Changed", "Same")</f>
        <v>Same</v>
      </c>
      <c r="Q88">
        <f>IF(Table46[[#This Row],[Adjusted Predicted Correct]]="-", "",IF(Table46[[#This Row],[Adjusted Predicted Correct]]="YES",(Table46[[#This Row],[Strength of Win]]-1)^2,(Table46[[#This Row],[Strength of Win]]-0)^2))</f>
        <v>6.4348160811916952E-2</v>
      </c>
      <c r="R88">
        <v>2.6044294042757858</v>
      </c>
      <c r="S88" t="s">
        <v>20</v>
      </c>
      <c r="T88" t="s">
        <v>248</v>
      </c>
    </row>
    <row r="89" spans="4:20" x14ac:dyDescent="0.2">
      <c r="D89" s="1">
        <v>45948</v>
      </c>
      <c r="E89" s="2">
        <v>0.79166666666666663</v>
      </c>
      <c r="F89" t="s">
        <v>40</v>
      </c>
      <c r="G89">
        <f>VLOOKUP(Table46[[#This Row],[Home]],'NHL Model'!$A$6:$B$38,2,FALSE)</f>
        <v>0.105105258369765</v>
      </c>
      <c r="H89" t="s">
        <v>29</v>
      </c>
      <c r="I89">
        <f>VLOOKUP(Table46[[#This Row],[Visitor]],'NHL Model'!$A$6:$B$38,2,FALSE)</f>
        <v>-1.3516250707060606</v>
      </c>
      <c r="J89">
        <f>($B$1+Table46[[#This Row],[Home Differential]])-Table46[[#This Row],[Away Differential]]</f>
        <v>1.619302638738144</v>
      </c>
      <c r="K89" t="str">
        <f>IF(Table46[[#This Row],[HomeIce Differential]]&gt;0,Table46[[#This Row],[Home]],Table46[[#This Row],[Visitor]])</f>
        <v>Winnipeg Jets</v>
      </c>
      <c r="L8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0.7912729639274676</v>
      </c>
      <c r="M89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89" t="str">
        <f>IF(OR((NHL2025_26Results[[#This Row],[Winning Team]]="")),"-",IF(Table46[[#This Row],[Predicted Winner]]=NHL2025_26Results[[#This Row],[Winning Team]],"YES","NO"))</f>
        <v>YES</v>
      </c>
      <c r="O89" t="str">
        <f>IF(OR((NHL2025_26Results[[#This Row],[Winning Team]]="")),"-",IF(Table46[[#This Row],[Prob Winner]]=NHL2025_26Results[[#This Row],[Winning Team]],"YES","NO"))</f>
        <v>YES</v>
      </c>
      <c r="P89" t="str">
        <f>IF(Table46[[#This Row],[Locked Prediction]]&lt;&gt;Table46[[#This Row],[Prob Winner]], "Changed", "Same")</f>
        <v>Same</v>
      </c>
      <c r="Q89">
        <f>IF(Table46[[#This Row],[Adjusted Predicted Correct]]="-", "",IF(Table46[[#This Row],[Adjusted Predicted Correct]]="YES",(Table46[[#This Row],[Strength of Win]]-1)^2,(Table46[[#This Row],[Strength of Win]]-0)^2))</f>
        <v>4.3566975587624242E-2</v>
      </c>
      <c r="R89">
        <v>1.9282325309043316</v>
      </c>
      <c r="S89" t="s">
        <v>40</v>
      </c>
      <c r="T89" t="s">
        <v>248</v>
      </c>
    </row>
    <row r="90" spans="4:20" x14ac:dyDescent="0.2">
      <c r="D90" s="1">
        <v>45949</v>
      </c>
      <c r="E90" s="2">
        <v>0.79166666666666663</v>
      </c>
      <c r="F90" t="s">
        <v>10</v>
      </c>
      <c r="G90">
        <f>VLOOKUP(Table46[[#This Row],[Home]],'NHL Model'!$A$6:$B$38,2,FALSE)</f>
        <v>0.30570968833820172</v>
      </c>
      <c r="H90" t="s">
        <v>31</v>
      </c>
      <c r="I90">
        <f>VLOOKUP(Table46[[#This Row],[Visitor]],'NHL Model'!$A$6:$B$38,2,FALSE)</f>
        <v>0.51775546328552802</v>
      </c>
      <c r="J90">
        <f>($B$1+Table46[[#This Row],[Home Differential]])-Table46[[#This Row],[Away Differential]]</f>
        <v>-4.94734652850079E-2</v>
      </c>
      <c r="K90" t="str">
        <f>IF(Table46[[#This Row],[HomeIce Differential]]&gt;0,Table46[[#This Row],[Home]],Table46[[#This Row],[Visitor]])</f>
        <v>Anaheim Ducks</v>
      </c>
      <c r="L9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0.48734519461093112</v>
      </c>
      <c r="M90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90" t="str">
        <f>IF(OR((NHL2025_26Results[[#This Row],[Winning Team]]="")),"-",IF(Table46[[#This Row],[Predicted Winner]]=NHL2025_26Results[[#This Row],[Winning Team]],"YES","NO"))</f>
        <v>NO</v>
      </c>
      <c r="O90" t="str">
        <f>IF(OR((NHL2025_26Results[[#This Row],[Winning Team]]="")),"-",IF(Table46[[#This Row],[Prob Winner]]=NHL2025_26Results[[#This Row],[Winning Team]],"YES","NO"))</f>
        <v>YES</v>
      </c>
      <c r="P90" t="str">
        <f>IF(Table46[[#This Row],[Locked Prediction]]&lt;&gt;Table46[[#This Row],[Prob Winner]], "Changed", "Same")</f>
        <v>Same</v>
      </c>
      <c r="Q90">
        <f>IF(Table46[[#This Row],[Adjusted Predicted Correct]]="-", "",IF(Table46[[#This Row],[Adjusted Predicted Correct]]="YES",(Table46[[#This Row],[Strength of Win]]-1)^2,(Table46[[#This Row],[Strength of Win]]-0)^2))</f>
        <v>0.23750533871036633</v>
      </c>
      <c r="R90">
        <v>1.0236082778054616</v>
      </c>
      <c r="S90" t="s">
        <v>10</v>
      </c>
      <c r="T90" t="s">
        <v>248</v>
      </c>
    </row>
    <row r="91" spans="4:20" x14ac:dyDescent="0.2">
      <c r="D91" s="1">
        <v>45949</v>
      </c>
      <c r="E91" s="2">
        <v>0.625</v>
      </c>
      <c r="F91" t="s">
        <v>26</v>
      </c>
      <c r="G91">
        <f>VLOOKUP(Table46[[#This Row],[Home]],'NHL Model'!$A$6:$B$38,2,FALSE)</f>
        <v>-0.513643833119658</v>
      </c>
      <c r="H91" t="s">
        <v>17</v>
      </c>
      <c r="I91">
        <f>VLOOKUP(Table46[[#This Row],[Visitor]],'NHL Model'!$A$6:$B$38,2,FALSE)</f>
        <v>-0.61980804137564283</v>
      </c>
      <c r="J91">
        <f>($B$1+Table46[[#This Row],[Home Differential]])-Table46[[#This Row],[Away Differential]]</f>
        <v>0.26873651791830322</v>
      </c>
      <c r="K91" t="str">
        <f>IF(Table46[[#This Row],[HomeIce Differential]]&gt;0,Table46[[#This Row],[Home]],Table46[[#This Row],[Visitor]])</f>
        <v>Detroit Red Wings</v>
      </c>
      <c r="L9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0.60175792675532702</v>
      </c>
      <c r="M91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91" t="str">
        <f>IF(OR((NHL2025_26Results[[#This Row],[Winning Team]]="")),"-",IF(Table46[[#This Row],[Predicted Winner]]=NHL2025_26Results[[#This Row],[Winning Team]],"YES","NO"))</f>
        <v>YES</v>
      </c>
      <c r="O91" t="str">
        <f>IF(OR((NHL2025_26Results[[#This Row],[Winning Team]]="")),"-",IF(Table46[[#This Row],[Prob Winner]]=NHL2025_26Results[[#This Row],[Winning Team]],"YES","NO"))</f>
        <v>YES</v>
      </c>
      <c r="P91" t="str">
        <f>IF(Table46[[#This Row],[Locked Prediction]]&lt;&gt;Table46[[#This Row],[Prob Winner]], "Changed", "Same")</f>
        <v>Same</v>
      </c>
      <c r="Q91">
        <f>IF(Table46[[#This Row],[Adjusted Predicted Correct]]="-", "",IF(Table46[[#This Row],[Adjusted Predicted Correct]]="YES",(Table46[[#This Row],[Strength of Win]]-1)^2,(Table46[[#This Row],[Strength of Win]]-0)^2))</f>
        <v>0.15859674890221548</v>
      </c>
      <c r="R91">
        <v>1.8006704637232276</v>
      </c>
      <c r="S91" t="s">
        <v>26</v>
      </c>
      <c r="T91" t="s">
        <v>248</v>
      </c>
    </row>
    <row r="92" spans="4:20" x14ac:dyDescent="0.2">
      <c r="D92" s="1">
        <v>45949</v>
      </c>
      <c r="E92" s="2">
        <v>0.79166666666666663</v>
      </c>
      <c r="F92" t="s">
        <v>55</v>
      </c>
      <c r="G92">
        <f>VLOOKUP(Table46[[#This Row],[Home]],'NHL Model'!$A$6:$B$38,2,FALSE)</f>
        <v>-0.12212311954851815</v>
      </c>
      <c r="H92" t="s">
        <v>21</v>
      </c>
      <c r="I92">
        <f>VLOOKUP(Table46[[#This Row],[Visitor]],'NHL Model'!$A$6:$B$38,2,FALSE)</f>
        <v>4.029141914856392E-2</v>
      </c>
      <c r="J92">
        <f>($B$1+Table46[[#This Row],[Home Differential]])-Table46[[#This Row],[Away Differential]]</f>
        <v>1.5777096523632295E-4</v>
      </c>
      <c r="K92" t="str">
        <f>IF(Table46[[#This Row],[HomeIce Differential]]&gt;0,Table46[[#This Row],[Home]],Table46[[#This Row],[Visitor]])</f>
        <v>Utah Mammoth</v>
      </c>
      <c r="L9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0.60829347684264012</v>
      </c>
      <c r="M92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92" t="str">
        <f>IF(OR((NHL2025_26Results[[#This Row],[Winning Team]]="")),"-",IF(Table46[[#This Row],[Predicted Winner]]=NHL2025_26Results[[#This Row],[Winning Team]],"YES","NO"))</f>
        <v>YES</v>
      </c>
      <c r="O92" t="str">
        <f>IF(OR((NHL2025_26Results[[#This Row],[Winning Team]]="")),"-",IF(Table46[[#This Row],[Prob Winner]]=NHL2025_26Results[[#This Row],[Winning Team]],"YES","NO"))</f>
        <v>YES</v>
      </c>
      <c r="P92" t="str">
        <f>IF(Table46[[#This Row],[Locked Prediction]]&lt;&gt;Table46[[#This Row],[Prob Winner]], "Changed", "Same")</f>
        <v>Changed</v>
      </c>
      <c r="Q92">
        <f>IF(Table46[[#This Row],[Adjusted Predicted Correct]]="-", "",IF(Table46[[#This Row],[Adjusted Predicted Correct]]="YES",(Table46[[#This Row],[Strength of Win]]-1)^2,(Table46[[#This Row],[Strength of Win]]-0)^2))</f>
        <v>0.15343400028402732</v>
      </c>
      <c r="R92">
        <v>-3.8498221269855248E-2</v>
      </c>
      <c r="S92" t="s">
        <v>21</v>
      </c>
      <c r="T92" t="s">
        <v>249</v>
      </c>
    </row>
    <row r="93" spans="4:20" x14ac:dyDescent="0.2">
      <c r="D93" s="1">
        <v>45949</v>
      </c>
      <c r="E93" s="2">
        <v>0.52083333333333337</v>
      </c>
      <c r="F93" t="s">
        <v>22</v>
      </c>
      <c r="G93">
        <f>VLOOKUP(Table46[[#This Row],[Home]],'NHL Model'!$A$6:$B$38,2,FALSE)</f>
        <v>-6.1308839486784707E-2</v>
      </c>
      <c r="H93" t="s">
        <v>38</v>
      </c>
      <c r="I93">
        <f>VLOOKUP(Table46[[#This Row],[Visitor]],'NHL Model'!$A$6:$B$38,2,FALSE)</f>
        <v>-0.6902088310934803</v>
      </c>
      <c r="J93">
        <f>($B$1+Table46[[#This Row],[Home Differential]])-Table46[[#This Row],[Away Differential]]</f>
        <v>0.79147230126901402</v>
      </c>
      <c r="K93" t="str">
        <f>IF(Table46[[#This Row],[HomeIce Differential]]&gt;0,Table46[[#This Row],[Home]],Table46[[#This Row],[Visitor]])</f>
        <v>Washington Capitals</v>
      </c>
      <c r="L9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0.60268914894937908</v>
      </c>
      <c r="M93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93" t="str">
        <f>IF(OR((NHL2025_26Results[[#This Row],[Winning Team]]="")),"-",IF(Table46[[#This Row],[Predicted Winner]]=NHL2025_26Results[[#This Row],[Winning Team]],"YES","NO"))</f>
        <v>NO</v>
      </c>
      <c r="O93" t="str">
        <f>IF(OR((NHL2025_26Results[[#This Row],[Winning Team]]="")),"-",IF(Table46[[#This Row],[Prob Winner]]=NHL2025_26Results[[#This Row],[Winning Team]],"YES","NO"))</f>
        <v>NO</v>
      </c>
      <c r="P93" t="str">
        <f>IF(Table46[[#This Row],[Locked Prediction]]&lt;&gt;Table46[[#This Row],[Prob Winner]], "Changed", "Same")</f>
        <v>Same</v>
      </c>
      <c r="Q93">
        <f>IF(Table46[[#This Row],[Adjusted Predicted Correct]]="-", "",IF(Table46[[#This Row],[Adjusted Predicted Correct]]="YES",(Table46[[#This Row],[Strength of Win]]-1)^2,(Table46[[#This Row],[Strength of Win]]-0)^2))</f>
        <v>0.36323421026132685</v>
      </c>
      <c r="R93">
        <v>0.52602722443981031</v>
      </c>
      <c r="S93" t="s">
        <v>22</v>
      </c>
      <c r="T93" t="s">
        <v>249</v>
      </c>
    </row>
    <row r="94" spans="4:20" x14ac:dyDescent="0.2">
      <c r="D94" s="1">
        <v>45950</v>
      </c>
      <c r="E94" s="2">
        <v>0.89583333333333337</v>
      </c>
      <c r="F94" t="s">
        <v>16</v>
      </c>
      <c r="G94">
        <f>VLOOKUP(Table46[[#This Row],[Home]],'NHL Model'!$A$6:$B$38,2,FALSE)</f>
        <v>-1.3903684122795328</v>
      </c>
      <c r="H94" t="s">
        <v>40</v>
      </c>
      <c r="I94">
        <f>VLOOKUP(Table46[[#This Row],[Visitor]],'NHL Model'!$A$6:$B$38,2,FALSE)</f>
        <v>0.105105258369765</v>
      </c>
      <c r="J94">
        <f>($B$1+Table46[[#This Row],[Home Differential]])-Table46[[#This Row],[Away Differential]]</f>
        <v>-1.3329013609869793</v>
      </c>
      <c r="K94" t="str">
        <f>IF(Table46[[#This Row],[HomeIce Differential]]&gt;0,Table46[[#This Row],[Home]],Table46[[#This Row],[Visitor]])</f>
        <v>Winnipeg Jets</v>
      </c>
      <c r="L9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0.7034837138127078</v>
      </c>
      <c r="M94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94" t="str">
        <f>IF(OR((NHL2025_26Results[[#This Row],[Winning Team]]="")),"-",IF(Table46[[#This Row],[Predicted Winner]]=NHL2025_26Results[[#This Row],[Winning Team]],"YES","NO"))</f>
        <v>YES</v>
      </c>
      <c r="O94" t="str">
        <f>IF(OR((NHL2025_26Results[[#This Row],[Winning Team]]="")),"-",IF(Table46[[#This Row],[Prob Winner]]=NHL2025_26Results[[#This Row],[Winning Team]],"YES","NO"))</f>
        <v>YES</v>
      </c>
      <c r="P94" t="str">
        <f>IF(Table46[[#This Row],[Locked Prediction]]&lt;&gt;Table46[[#This Row],[Prob Winner]], "Changed", "Same")</f>
        <v>Same</v>
      </c>
      <c r="Q94">
        <f>IF(Table46[[#This Row],[Adjusted Predicted Correct]]="-", "",IF(Table46[[#This Row],[Adjusted Predicted Correct]]="YES",(Table46[[#This Row],[Strength of Win]]-1)^2,(Table46[[#This Row],[Strength of Win]]-0)^2))</f>
        <v>8.7921907974304173E-2</v>
      </c>
      <c r="R94">
        <v>-3.1150923655116651</v>
      </c>
      <c r="S94" t="s">
        <v>40</v>
      </c>
      <c r="T94" t="s">
        <v>248</v>
      </c>
    </row>
    <row r="95" spans="4:20" x14ac:dyDescent="0.2">
      <c r="D95" s="1">
        <v>45950</v>
      </c>
      <c r="E95" s="2">
        <v>0.8125</v>
      </c>
      <c r="F95" t="s">
        <v>18</v>
      </c>
      <c r="G95">
        <f>VLOOKUP(Table46[[#This Row],[Home]],'NHL Model'!$A$6:$B$38,2,FALSE)</f>
        <v>-0.52437726201848234</v>
      </c>
      <c r="H95" t="s">
        <v>23</v>
      </c>
      <c r="I95">
        <f>VLOOKUP(Table46[[#This Row],[Visitor]],'NHL Model'!$A$6:$B$38,2,FALSE)</f>
        <v>-0.8683412362501769</v>
      </c>
      <c r="J95">
        <f>($B$1+Table46[[#This Row],[Home Differential]])-Table46[[#This Row],[Away Differential]]</f>
        <v>0.50653628389401295</v>
      </c>
      <c r="K95" t="str">
        <f>IF(Table46[[#This Row],[HomeIce Differential]]&gt;0,Table46[[#This Row],[Home]],Table46[[#This Row],[Visitor]])</f>
        <v>Montreal Canadiens</v>
      </c>
      <c r="L9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0.60732829948755784</v>
      </c>
      <c r="M95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95" t="str">
        <f>IF(OR((NHL2025_26Results[[#This Row],[Winning Team]]="")),"-",IF(Table46[[#This Row],[Predicted Winner]]=NHL2025_26Results[[#This Row],[Winning Team]],"YES","NO"))</f>
        <v>YES</v>
      </c>
      <c r="O95" t="str">
        <f>IF(OR((NHL2025_26Results[[#This Row],[Winning Team]]="")),"-",IF(Table46[[#This Row],[Prob Winner]]=NHL2025_26Results[[#This Row],[Winning Team]],"YES","NO"))</f>
        <v>YES</v>
      </c>
      <c r="P95" t="str">
        <f>IF(Table46[[#This Row],[Locked Prediction]]&lt;&gt;Table46[[#This Row],[Prob Winner]], "Changed", "Same")</f>
        <v>Same</v>
      </c>
      <c r="Q95">
        <f>IF(Table46[[#This Row],[Adjusted Predicted Correct]]="-", "",IF(Table46[[#This Row],[Adjusted Predicted Correct]]="YES",(Table46[[#This Row],[Strength of Win]]-1)^2,(Table46[[#This Row],[Strength of Win]]-0)^2))</f>
        <v>0.15419106438333308</v>
      </c>
      <c r="R95">
        <v>1.3370911623551756</v>
      </c>
      <c r="S95" t="s">
        <v>18</v>
      </c>
      <c r="T95" t="s">
        <v>248</v>
      </c>
    </row>
    <row r="96" spans="4:20" x14ac:dyDescent="0.2">
      <c r="D96" s="1">
        <v>45950</v>
      </c>
      <c r="E96" s="2">
        <v>0.79166666666666663</v>
      </c>
      <c r="F96" t="s">
        <v>15</v>
      </c>
      <c r="G96">
        <f>VLOOKUP(Table46[[#This Row],[Home]],'NHL Model'!$A$6:$B$38,2,FALSE)</f>
        <v>-0.30719665303039001</v>
      </c>
      <c r="H96" t="s">
        <v>34</v>
      </c>
      <c r="I96">
        <f>VLOOKUP(Table46[[#This Row],[Visitor]],'NHL Model'!$A$6:$B$38,2,FALSE)</f>
        <v>-0.53650300840565446</v>
      </c>
      <c r="J96">
        <f>($B$1+Table46[[#This Row],[Home Differential]])-Table46[[#This Row],[Away Differential]]</f>
        <v>0.39187866503758284</v>
      </c>
      <c r="K96" t="str">
        <f>IF(Table46[[#This Row],[HomeIce Differential]]&gt;0,Table46[[#This Row],[Home]],Table46[[#This Row],[Visitor]])</f>
        <v>New York Rangers</v>
      </c>
      <c r="L9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0.59208812272953659</v>
      </c>
      <c r="M96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96" t="str">
        <f>IF(OR((NHL2025_26Results[[#This Row],[Winning Team]]="")),"-",IF(Table46[[#This Row],[Predicted Winner]]=NHL2025_26Results[[#This Row],[Winning Team]],"YES","NO"))</f>
        <v>NO</v>
      </c>
      <c r="O96" t="str">
        <f>IF(OR((NHL2025_26Results[[#This Row],[Winning Team]]="")),"-",IF(Table46[[#This Row],[Prob Winner]]=NHL2025_26Results[[#This Row],[Winning Team]],"YES","NO"))</f>
        <v>NO</v>
      </c>
      <c r="P96" t="str">
        <f>IF(Table46[[#This Row],[Locked Prediction]]&lt;&gt;Table46[[#This Row],[Prob Winner]], "Changed", "Same")</f>
        <v>Same</v>
      </c>
      <c r="Q96">
        <f>IF(Table46[[#This Row],[Adjusted Predicted Correct]]="-", "",IF(Table46[[#This Row],[Adjusted Predicted Correct]]="YES",(Table46[[#This Row],[Strength of Win]]-1)^2,(Table46[[#This Row],[Strength of Win]]-0)^2))</f>
        <v>0.35056834507738677</v>
      </c>
      <c r="R96">
        <v>0.5226306009326972</v>
      </c>
      <c r="S96" t="s">
        <v>15</v>
      </c>
      <c r="T96" t="s">
        <v>249</v>
      </c>
    </row>
    <row r="97" spans="4:20" x14ac:dyDescent="0.2">
      <c r="D97" s="1">
        <v>45950</v>
      </c>
      <c r="E97" s="2">
        <v>0.79166666666666663</v>
      </c>
      <c r="F97" t="s">
        <v>27</v>
      </c>
      <c r="G97">
        <f>VLOOKUP(Table46[[#This Row],[Home]],'NHL Model'!$A$6:$B$38,2,FALSE)</f>
        <v>-0.51358590497437617</v>
      </c>
      <c r="H97" t="s">
        <v>32</v>
      </c>
      <c r="I97">
        <f>VLOOKUP(Table46[[#This Row],[Visitor]],'NHL Model'!$A$6:$B$38,2,FALSE)</f>
        <v>-0.361361309178443</v>
      </c>
      <c r="J97">
        <f>($B$1+Table46[[#This Row],[Home Differential]])-Table46[[#This Row],[Away Differential]]</f>
        <v>1.0347713866385222E-2</v>
      </c>
      <c r="K97" t="str">
        <f>IF(Table46[[#This Row],[HomeIce Differential]]&gt;0,Table46[[#This Row],[Home]],Table46[[#This Row],[Visitor]])</f>
        <v>Philadelphia Flyers</v>
      </c>
      <c r="L9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0.5438708870484763</v>
      </c>
      <c r="M97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97" t="str">
        <f>IF(OR((NHL2025_26Results[[#This Row],[Winning Team]]="")),"-",IF(Table46[[#This Row],[Predicted Winner]]=NHL2025_26Results[[#This Row],[Winning Team]],"YES","NO"))</f>
        <v>YES</v>
      </c>
      <c r="O97" t="str">
        <f>IF(OR((NHL2025_26Results[[#This Row],[Winning Team]]="")),"-",IF(Table46[[#This Row],[Prob Winner]]=NHL2025_26Results[[#This Row],[Winning Team]],"YES","NO"))</f>
        <v>YES</v>
      </c>
      <c r="P97" t="str">
        <f>IF(Table46[[#This Row],[Locked Prediction]]&lt;&gt;Table46[[#This Row],[Prob Winner]], "Changed", "Same")</f>
        <v>Same</v>
      </c>
      <c r="Q97">
        <f>IF(Table46[[#This Row],[Adjusted Predicted Correct]]="-", "",IF(Table46[[#This Row],[Adjusted Predicted Correct]]="YES",(Table46[[#This Row],[Strength of Win]]-1)^2,(Table46[[#This Row],[Strength of Win]]-0)^2))</f>
        <v>0.20805376768194386</v>
      </c>
      <c r="R97">
        <v>0.66782260380233516</v>
      </c>
      <c r="S97" t="s">
        <v>27</v>
      </c>
      <c r="T97" t="s">
        <v>248</v>
      </c>
    </row>
    <row r="98" spans="4:20" x14ac:dyDescent="0.2">
      <c r="D98" s="1">
        <v>45950</v>
      </c>
      <c r="E98" s="2">
        <v>0.91666666666666663</v>
      </c>
      <c r="F98" t="s">
        <v>20</v>
      </c>
      <c r="G98">
        <f>VLOOKUP(Table46[[#This Row],[Home]],'NHL Model'!$A$6:$B$38,2,FALSE)</f>
        <v>-6.3745791019188943E-4</v>
      </c>
      <c r="H98" t="s">
        <v>25</v>
      </c>
      <c r="I98">
        <f>VLOOKUP(Table46[[#This Row],[Visitor]],'NHL Model'!$A$6:$B$38,2,FALSE)</f>
        <v>0.67193921242367816</v>
      </c>
      <c r="J98">
        <f>($B$1+Table46[[#This Row],[Home Differential]])-Table46[[#This Row],[Away Differential]]</f>
        <v>-0.51000436067155164</v>
      </c>
      <c r="K98" t="str">
        <f>IF(Table46[[#This Row],[HomeIce Differential]]&gt;0,Table46[[#This Row],[Home]],Table46[[#This Row],[Visitor]])</f>
        <v>Carolina Hurricanes</v>
      </c>
      <c r="L9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0.62027546065174999</v>
      </c>
      <c r="M98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98" t="str">
        <f>IF(OR((NHL2025_26Results[[#This Row],[Winning Team]]="")),"-",IF(Table46[[#This Row],[Predicted Winner]]=NHL2025_26Results[[#This Row],[Winning Team]],"YES","NO"))</f>
        <v>NO</v>
      </c>
      <c r="O98" t="str">
        <f>IF(OR((NHL2025_26Results[[#This Row],[Winning Team]]="")),"-",IF(Table46[[#This Row],[Prob Winner]]=NHL2025_26Results[[#This Row],[Winning Team]],"YES","NO"))</f>
        <v>NO</v>
      </c>
      <c r="P98" t="str">
        <f>IF(Table46[[#This Row],[Locked Prediction]]&lt;&gt;Table46[[#This Row],[Prob Winner]], "Changed", "Same")</f>
        <v>Same</v>
      </c>
      <c r="Q98">
        <f>IF(Table46[[#This Row],[Adjusted Predicted Correct]]="-", "",IF(Table46[[#This Row],[Adjusted Predicted Correct]]="YES",(Table46[[#This Row],[Strength of Win]]-1)^2,(Table46[[#This Row],[Strength of Win]]-0)^2))</f>
        <v>0.38474164708674063</v>
      </c>
      <c r="R98">
        <v>-0.4989921219968072</v>
      </c>
      <c r="S98" t="s">
        <v>25</v>
      </c>
      <c r="T98" t="s">
        <v>249</v>
      </c>
    </row>
    <row r="99" spans="4:20" x14ac:dyDescent="0.2">
      <c r="D99" s="1">
        <v>45951</v>
      </c>
      <c r="E99" s="2">
        <v>0.8125</v>
      </c>
      <c r="F99" t="s">
        <v>21</v>
      </c>
      <c r="G99">
        <f>VLOOKUP(Table46[[#This Row],[Home]],'NHL Model'!$A$6:$B$38,2,FALSE)</f>
        <v>4.029141914856392E-2</v>
      </c>
      <c r="H99" t="s">
        <v>11</v>
      </c>
      <c r="I99">
        <f>VLOOKUP(Table46[[#This Row],[Visitor]],'NHL Model'!$A$6:$B$38,2,FALSE)</f>
        <v>-0.28105923893144158</v>
      </c>
      <c r="J99">
        <f>($B$1+Table46[[#This Row],[Home Differential]])-Table46[[#This Row],[Away Differential]]</f>
        <v>0.48392296774232391</v>
      </c>
      <c r="K99" t="str">
        <f>IF(Table46[[#This Row],[HomeIce Differential]]&gt;0,Table46[[#This Row],[Home]],Table46[[#This Row],[Visitor]])</f>
        <v>Boston Bruins</v>
      </c>
      <c r="L9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0.67687998723533882</v>
      </c>
      <c r="M99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99" t="str">
        <f>IF(OR((NHL2025_26Results[[#This Row],[Winning Team]]="")),"-",IF(Table46[[#This Row],[Predicted Winner]]=NHL2025_26Results[[#This Row],[Winning Team]],"YES","NO"))</f>
        <v>NO</v>
      </c>
      <c r="O99" t="str">
        <f>IF(OR((NHL2025_26Results[[#This Row],[Winning Team]]="")),"-",IF(Table46[[#This Row],[Prob Winner]]=NHL2025_26Results[[#This Row],[Winning Team]],"YES","NO"))</f>
        <v>NO</v>
      </c>
      <c r="P99" t="str">
        <f>IF(Table46[[#This Row],[Locked Prediction]]&lt;&gt;Table46[[#This Row],[Prob Winner]], "Changed", "Same")</f>
        <v>Same</v>
      </c>
      <c r="Q99">
        <f>IF(Table46[[#This Row],[Adjusted Predicted Correct]]="-", "",IF(Table46[[#This Row],[Adjusted Predicted Correct]]="YES",(Table46[[#This Row],[Strength of Win]]-1)^2,(Table46[[#This Row],[Strength of Win]]-0)^2))</f>
        <v>0.45816651711971246</v>
      </c>
      <c r="R99">
        <v>0.44292105787578795</v>
      </c>
      <c r="S99" t="s">
        <v>21</v>
      </c>
      <c r="T99" t="s">
        <v>249</v>
      </c>
    </row>
    <row r="100" spans="4:20" x14ac:dyDescent="0.2">
      <c r="D100" s="1">
        <v>45951</v>
      </c>
      <c r="E100" s="2">
        <v>0.83333333333333337</v>
      </c>
      <c r="F100" t="s">
        <v>39</v>
      </c>
      <c r="G100">
        <f>VLOOKUP(Table46[[#This Row],[Home]],'NHL Model'!$A$6:$B$38,2,FALSE)</f>
        <v>0.19809534061227302</v>
      </c>
      <c r="H100" t="s">
        <v>28</v>
      </c>
      <c r="I100">
        <f>VLOOKUP(Table46[[#This Row],[Visitor]],'NHL Model'!$A$6:$B$38,2,FALSE)</f>
        <v>-0.40822279081308277</v>
      </c>
      <c r="J100">
        <f>($B$1+Table46[[#This Row],[Home Differential]])-Table46[[#This Row],[Away Differential]]</f>
        <v>0.76889044108767424</v>
      </c>
      <c r="K100" t="str">
        <f>IF(Table46[[#This Row],[HomeIce Differential]]&gt;0,Table46[[#This Row],[Home]],Table46[[#This Row],[Visitor]])</f>
        <v>Dallas Stars</v>
      </c>
      <c r="L10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0.64765469880328996</v>
      </c>
      <c r="M100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00" t="str">
        <f>IF(OR((NHL2025_26Results[[#This Row],[Winning Team]]="")),"-",IF(Table46[[#This Row],[Predicted Winner]]=NHL2025_26Results[[#This Row],[Winning Team]],"YES","NO"))</f>
        <v>NO</v>
      </c>
      <c r="O100" t="str">
        <f>IF(OR((NHL2025_26Results[[#This Row],[Winning Team]]="")),"-",IF(Table46[[#This Row],[Prob Winner]]=NHL2025_26Results[[#This Row],[Winning Team]],"YES","NO"))</f>
        <v>NO</v>
      </c>
      <c r="P100" t="str">
        <f>IF(Table46[[#This Row],[Locked Prediction]]&lt;&gt;Table46[[#This Row],[Prob Winner]], "Changed", "Same")</f>
        <v>Changed</v>
      </c>
      <c r="Q100">
        <f>IF(Table46[[#This Row],[Adjusted Predicted Correct]]="-", "",IF(Table46[[#This Row],[Adjusted Predicted Correct]]="YES",(Table46[[#This Row],[Strength of Win]]-1)^2,(Table46[[#This Row],[Strength of Win]]-0)^2))</f>
        <v>0.41945660888198022</v>
      </c>
      <c r="R100">
        <v>-0.92191943902201234</v>
      </c>
      <c r="S100" t="s">
        <v>28</v>
      </c>
      <c r="T100" t="s">
        <v>248</v>
      </c>
    </row>
    <row r="101" spans="4:20" x14ac:dyDescent="0.2">
      <c r="D101" s="1">
        <v>45951</v>
      </c>
      <c r="E101" s="2">
        <v>0.83333333333333337</v>
      </c>
      <c r="F101" t="s">
        <v>29</v>
      </c>
      <c r="G101">
        <f>VLOOKUP(Table46[[#This Row],[Home]],'NHL Model'!$A$6:$B$38,2,FALSE)</f>
        <v>-1.3516250707060606</v>
      </c>
      <c r="H101" t="s">
        <v>31</v>
      </c>
      <c r="I101">
        <f>VLOOKUP(Table46[[#This Row],[Visitor]],'NHL Model'!$A$6:$B$38,2,FALSE)</f>
        <v>0.51775546328552802</v>
      </c>
      <c r="J101">
        <f>($B$1+Table46[[#This Row],[Home Differential]])-Table46[[#This Row],[Away Differential]]</f>
        <v>-1.7068082243292704</v>
      </c>
      <c r="K101" t="str">
        <f>IF(Table46[[#This Row],[HomeIce Differential]]&gt;0,Table46[[#This Row],[Home]],Table46[[#This Row],[Visitor]])</f>
        <v>Anaheim Ducks</v>
      </c>
      <c r="L10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0.70763648381583144</v>
      </c>
      <c r="M101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01" t="str">
        <f>IF(OR((NHL2025_26Results[[#This Row],[Winning Team]]="")),"-",IF(Table46[[#This Row],[Predicted Winner]]=NHL2025_26Results[[#This Row],[Winning Team]],"YES","NO"))</f>
        <v>YES</v>
      </c>
      <c r="O101" t="str">
        <f>IF(OR((NHL2025_26Results[[#This Row],[Winning Team]]="")),"-",IF(Table46[[#This Row],[Prob Winner]]=NHL2025_26Results[[#This Row],[Winning Team]],"YES","NO"))</f>
        <v>YES</v>
      </c>
      <c r="P101" t="str">
        <f>IF(Table46[[#This Row],[Locked Prediction]]&lt;&gt;Table46[[#This Row],[Prob Winner]], "Changed", "Same")</f>
        <v>Same</v>
      </c>
      <c r="Q101">
        <f>IF(Table46[[#This Row],[Adjusted Predicted Correct]]="-", "",IF(Table46[[#This Row],[Adjusted Predicted Correct]]="YES",(Table46[[#This Row],[Strength of Win]]-1)^2,(Table46[[#This Row],[Strength of Win]]-0)^2))</f>
        <v>8.5476425595570588E-2</v>
      </c>
      <c r="R101">
        <v>-0.62542389291989786</v>
      </c>
      <c r="S101" t="s">
        <v>31</v>
      </c>
      <c r="T101" t="s">
        <v>248</v>
      </c>
    </row>
    <row r="102" spans="4:20" x14ac:dyDescent="0.2">
      <c r="D102" s="1">
        <v>45951</v>
      </c>
      <c r="E102" s="2">
        <v>0.79166666666666663</v>
      </c>
      <c r="F102" t="s">
        <v>30</v>
      </c>
      <c r="G102">
        <f>VLOOKUP(Table46[[#This Row],[Home]],'NHL Model'!$A$6:$B$38,2,FALSE)</f>
        <v>-6.4729560818359025E-2</v>
      </c>
      <c r="H102" t="s">
        <v>33</v>
      </c>
      <c r="I102">
        <f>VLOOKUP(Table46[[#This Row],[Visitor]],'NHL Model'!$A$6:$B$38,2,FALSE)</f>
        <v>-0.39418177254008485</v>
      </c>
      <c r="J102">
        <f>($B$1+Table46[[#This Row],[Home Differential]])-Table46[[#This Row],[Away Differential]]</f>
        <v>0.49202452138404423</v>
      </c>
      <c r="K102" t="str">
        <f>IF(Table46[[#This Row],[HomeIce Differential]]&gt;0,Table46[[#This Row],[Home]],Table46[[#This Row],[Visitor]])</f>
        <v>New York Islanders</v>
      </c>
      <c r="L10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0.60539941043571655</v>
      </c>
      <c r="M102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02" t="str">
        <f>IF(OR((NHL2025_26Results[[#This Row],[Winning Team]]="")),"-",IF(Table46[[#This Row],[Predicted Winner]]=NHL2025_26Results[[#This Row],[Winning Team]],"YES","NO"))</f>
        <v>YES</v>
      </c>
      <c r="O102" t="str">
        <f>IF(OR((NHL2025_26Results[[#This Row],[Winning Team]]="")),"-",IF(Table46[[#This Row],[Prob Winner]]=NHL2025_26Results[[#This Row],[Winning Team]],"YES","NO"))</f>
        <v>YES</v>
      </c>
      <c r="P102" t="str">
        <f>IF(Table46[[#This Row],[Locked Prediction]]&lt;&gt;Table46[[#This Row],[Prob Winner]], "Changed", "Same")</f>
        <v>Same</v>
      </c>
      <c r="Q102">
        <f>IF(Table46[[#This Row],[Adjusted Predicted Correct]]="-", "",IF(Table46[[#This Row],[Adjusted Predicted Correct]]="YES",(Table46[[#This Row],[Strength of Win]]-1)^2,(Table46[[#This Row],[Strength of Win]]-0)^2))</f>
        <v>0.1557096252844801</v>
      </c>
      <c r="R102">
        <v>1.0691126570687239</v>
      </c>
      <c r="S102" t="s">
        <v>30</v>
      </c>
      <c r="T102" t="s">
        <v>248</v>
      </c>
    </row>
    <row r="103" spans="4:20" x14ac:dyDescent="0.2">
      <c r="D103" s="1">
        <v>45951</v>
      </c>
      <c r="E103" s="2">
        <v>0.79166666666666663</v>
      </c>
      <c r="F103" t="s">
        <v>36</v>
      </c>
      <c r="G103">
        <f>VLOOKUP(Table46[[#This Row],[Home]],'NHL Model'!$A$6:$B$38,2,FALSE)</f>
        <v>-0.40651947573390851</v>
      </c>
      <c r="H103" t="s">
        <v>17</v>
      </c>
      <c r="I103">
        <f>VLOOKUP(Table46[[#This Row],[Visitor]],'NHL Model'!$A$6:$B$38,2,FALSE)</f>
        <v>-0.61980804137564283</v>
      </c>
      <c r="J103">
        <f>($B$1+Table46[[#This Row],[Home Differential]])-Table46[[#This Row],[Away Differential]]</f>
        <v>0.37586087530405271</v>
      </c>
      <c r="K103" t="str">
        <f>IF(Table46[[#This Row],[HomeIce Differential]]&gt;0,Table46[[#This Row],[Home]],Table46[[#This Row],[Visitor]])</f>
        <v>Ottawa Senators</v>
      </c>
      <c r="L10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0.59245453324008568</v>
      </c>
      <c r="M103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103" t="str">
        <f>IF(OR((NHL2025_26Results[[#This Row],[Winning Team]]="")),"-",IF(Table46[[#This Row],[Predicted Winner]]=NHL2025_26Results[[#This Row],[Winning Team]],"YES","NO"))</f>
        <v>NO</v>
      </c>
      <c r="O103" t="str">
        <f>IF(OR((NHL2025_26Results[[#This Row],[Winning Team]]="")),"-",IF(Table46[[#This Row],[Prob Winner]]=NHL2025_26Results[[#This Row],[Winning Team]],"YES","NO"))</f>
        <v>NO</v>
      </c>
      <c r="P103" t="str">
        <f>IF(Table46[[#This Row],[Locked Prediction]]&lt;&gt;Table46[[#This Row],[Prob Winner]], "Changed", "Same")</f>
        <v>Changed</v>
      </c>
      <c r="Q103">
        <f>IF(Table46[[#This Row],[Adjusted Predicted Correct]]="-", "",IF(Table46[[#This Row],[Adjusted Predicted Correct]]="YES",(Table46[[#This Row],[Strength of Win]]-1)^2,(Table46[[#This Row],[Strength of Win]]-0)^2))</f>
        <v>0.35100237395672779</v>
      </c>
      <c r="R103">
        <v>-1.4748079518247106</v>
      </c>
      <c r="S103" t="s">
        <v>17</v>
      </c>
      <c r="T103" t="s">
        <v>248</v>
      </c>
    </row>
    <row r="104" spans="4:20" x14ac:dyDescent="0.2">
      <c r="D104" s="1">
        <v>45951</v>
      </c>
      <c r="E104" s="2">
        <v>0.79166666666666663</v>
      </c>
      <c r="F104" t="s">
        <v>14</v>
      </c>
      <c r="G104">
        <f>VLOOKUP(Table46[[#This Row],[Home]],'NHL Model'!$A$6:$B$38,2,FALSE)</f>
        <v>0.26289091192875702</v>
      </c>
      <c r="H104" t="s">
        <v>38</v>
      </c>
      <c r="I104">
        <f>VLOOKUP(Table46[[#This Row],[Visitor]],'NHL Model'!$A$6:$B$38,2,FALSE)</f>
        <v>-0.6902088310934803</v>
      </c>
      <c r="J104">
        <f>($B$1+Table46[[#This Row],[Home Differential]])-Table46[[#This Row],[Away Differential]]</f>
        <v>1.1156720526845558</v>
      </c>
      <c r="K104" t="str">
        <f>IF(Table46[[#This Row],[HomeIce Differential]]&gt;0,Table46[[#This Row],[Home]],Table46[[#This Row],[Visitor]])</f>
        <v>Pittsburgh Penguins</v>
      </c>
      <c r="L10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0.68227460307416266</v>
      </c>
      <c r="M104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04" t="str">
        <f>IF(OR((NHL2025_26Results[[#This Row],[Winning Team]]="")),"-",IF(Table46[[#This Row],[Predicted Winner]]=NHL2025_26Results[[#This Row],[Winning Team]],"YES","NO"))</f>
        <v>YES</v>
      </c>
      <c r="O104" t="str">
        <f>IF(OR((NHL2025_26Results[[#This Row],[Winning Team]]="")),"-",IF(Table46[[#This Row],[Prob Winner]]=NHL2025_26Results[[#This Row],[Winning Team]],"YES","NO"))</f>
        <v>YES</v>
      </c>
      <c r="P104" t="str">
        <f>IF(Table46[[#This Row],[Locked Prediction]]&lt;&gt;Table46[[#This Row],[Prob Winner]], "Changed", "Same")</f>
        <v>Same</v>
      </c>
      <c r="Q104">
        <f>IF(Table46[[#This Row],[Adjusted Predicted Correct]]="-", "",IF(Table46[[#This Row],[Adjusted Predicted Correct]]="YES",(Table46[[#This Row],[Strength of Win]]-1)^2,(Table46[[#This Row],[Strength of Win]]-0)^2))</f>
        <v>0.10094942785168089</v>
      </c>
      <c r="R104">
        <v>1.0677563390447324</v>
      </c>
      <c r="S104" t="s">
        <v>14</v>
      </c>
      <c r="T104" t="s">
        <v>248</v>
      </c>
    </row>
    <row r="105" spans="4:20" x14ac:dyDescent="0.2">
      <c r="D105" s="1">
        <v>45951</v>
      </c>
      <c r="E105" s="2">
        <v>0.83333333333333337</v>
      </c>
      <c r="F105" t="s">
        <v>35</v>
      </c>
      <c r="G105">
        <f>VLOOKUP(Table46[[#This Row],[Home]],'NHL Model'!$A$6:$B$38,2,FALSE)</f>
        <v>-1.6211574240381006</v>
      </c>
      <c r="H105" t="s">
        <v>13</v>
      </c>
      <c r="I105">
        <f>VLOOKUP(Table46[[#This Row],[Visitor]],'NHL Model'!$A$6:$B$38,2,FALSE)</f>
        <v>-7.5459708298993802E-2</v>
      </c>
      <c r="J105">
        <f>($B$1+Table46[[#This Row],[Home Differential]])-Table46[[#This Row],[Away Differential]]</f>
        <v>-1.3831254060767884</v>
      </c>
      <c r="K105" t="str">
        <f>IF(Table46[[#This Row],[HomeIce Differential]]&gt;0,Table46[[#This Row],[Home]],Table46[[#This Row],[Visitor]])</f>
        <v>Los Angeles Kings</v>
      </c>
      <c r="L10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0.76523900333970296</v>
      </c>
      <c r="M105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05" t="str">
        <f>IF(OR((NHL2025_26Results[[#This Row],[Winning Team]]="")),"-",IF(Table46[[#This Row],[Predicted Winner]]=NHL2025_26Results[[#This Row],[Winning Team]],"YES","NO"))</f>
        <v>YES</v>
      </c>
      <c r="O105" t="str">
        <f>IF(OR((NHL2025_26Results[[#This Row],[Winning Team]]="")),"-",IF(Table46[[#This Row],[Prob Winner]]=NHL2025_26Results[[#This Row],[Winning Team]],"YES","NO"))</f>
        <v>YES</v>
      </c>
      <c r="P105" t="str">
        <f>IF(Table46[[#This Row],[Locked Prediction]]&lt;&gt;Table46[[#This Row],[Prob Winner]], "Changed", "Same")</f>
        <v>Same</v>
      </c>
      <c r="Q105">
        <f>IF(Table46[[#This Row],[Adjusted Predicted Correct]]="-", "",IF(Table46[[#This Row],[Adjusted Predicted Correct]]="YES",(Table46[[#This Row],[Strength of Win]]-1)^2,(Table46[[#This Row],[Strength of Win]]-0)^2))</f>
        <v>5.5112725552935997E-2</v>
      </c>
      <c r="R105">
        <v>-0.87093694319375814</v>
      </c>
      <c r="S105" t="s">
        <v>13</v>
      </c>
      <c r="T105" t="s">
        <v>248</v>
      </c>
    </row>
    <row r="106" spans="4:20" x14ac:dyDescent="0.2">
      <c r="D106" s="1">
        <v>45951</v>
      </c>
      <c r="E106" s="2">
        <v>0.79166666666666663</v>
      </c>
      <c r="F106" t="s">
        <v>19</v>
      </c>
      <c r="G106">
        <f>VLOOKUP(Table46[[#This Row],[Home]],'NHL Model'!$A$6:$B$38,2,FALSE)</f>
        <v>-0.635565543477981</v>
      </c>
      <c r="H106" t="s">
        <v>24</v>
      </c>
      <c r="I106">
        <f>VLOOKUP(Table46[[#This Row],[Visitor]],'NHL Model'!$A$6:$B$38,2,FALSE)</f>
        <v>0.559441163373953</v>
      </c>
      <c r="J106">
        <f>($B$1+Table46[[#This Row],[Home Differential]])-Table46[[#This Row],[Away Differential]]</f>
        <v>-1.0324343971896157</v>
      </c>
      <c r="K106" t="str">
        <f>IF(Table46[[#This Row],[HomeIce Differential]]&gt;0,Table46[[#This Row],[Home]],Table46[[#This Row],[Visitor]])</f>
        <v>New Jersey Devils</v>
      </c>
      <c r="L10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0.66354594357214802</v>
      </c>
      <c r="M106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06" t="str">
        <f>IF(OR((NHL2025_26Results[[#This Row],[Winning Team]]="")),"-",IF(Table46[[#This Row],[Predicted Winner]]=NHL2025_26Results[[#This Row],[Winning Team]],"YES","NO"))</f>
        <v>YES</v>
      </c>
      <c r="O106" t="str">
        <f>IF(OR((NHL2025_26Results[[#This Row],[Winning Team]]="")),"-",IF(Table46[[#This Row],[Prob Winner]]=NHL2025_26Results[[#This Row],[Winning Team]],"YES","NO"))</f>
        <v>YES</v>
      </c>
      <c r="P106" t="str">
        <f>IF(Table46[[#This Row],[Locked Prediction]]&lt;&gt;Table46[[#This Row],[Prob Winner]], "Changed", "Same")</f>
        <v>Same</v>
      </c>
      <c r="Q106">
        <f>IF(Table46[[#This Row],[Adjusted Predicted Correct]]="-", "",IF(Table46[[#This Row],[Adjusted Predicted Correct]]="YES",(Table46[[#This Row],[Strength of Win]]-1)^2,(Table46[[#This Row],[Strength of Win]]-0)^2))</f>
        <v>0.1132013320867562</v>
      </c>
      <c r="R106">
        <v>-1.0367746954820527</v>
      </c>
      <c r="S106" t="s">
        <v>24</v>
      </c>
      <c r="T106" t="s">
        <v>248</v>
      </c>
    </row>
    <row r="107" spans="4:20" x14ac:dyDescent="0.2">
      <c r="D107" s="1">
        <v>45951</v>
      </c>
      <c r="E107" s="2">
        <v>0.91666666666666663</v>
      </c>
      <c r="F107" t="s">
        <v>55</v>
      </c>
      <c r="G107">
        <f>VLOOKUP(Table46[[#This Row],[Home]],'NHL Model'!$A$6:$B$38,2,FALSE)</f>
        <v>-0.12212311954851815</v>
      </c>
      <c r="H107" t="s">
        <v>12</v>
      </c>
      <c r="I107">
        <f>VLOOKUP(Table46[[#This Row],[Visitor]],'NHL Model'!$A$6:$B$38,2,FALSE)</f>
        <v>1.5475013591489768</v>
      </c>
      <c r="J107">
        <f>($B$1+Table46[[#This Row],[Home Differential]])-Table46[[#This Row],[Away Differential]]</f>
        <v>-1.5070521690351766</v>
      </c>
      <c r="K107" t="str">
        <f>IF(Table46[[#This Row],[HomeIce Differential]]&gt;0,Table46[[#This Row],[Home]],Table46[[#This Row],[Visitor]])</f>
        <v>Colorado Avalanche</v>
      </c>
      <c r="L10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0.65683761581382116</v>
      </c>
      <c r="M107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07" t="str">
        <f>IF(OR((NHL2025_26Results[[#This Row],[Winning Team]]="")),"-",IF(Table46[[#This Row],[Predicted Winner]]=NHL2025_26Results[[#This Row],[Winning Team]],"YES","NO"))</f>
        <v>NO</v>
      </c>
      <c r="O107" t="str">
        <f>IF(OR((NHL2025_26Results[[#This Row],[Winning Team]]="")),"-",IF(Table46[[#This Row],[Prob Winner]]=NHL2025_26Results[[#This Row],[Winning Team]],"YES","NO"))</f>
        <v>NO</v>
      </c>
      <c r="P107" t="str">
        <f>IF(Table46[[#This Row],[Locked Prediction]]&lt;&gt;Table46[[#This Row],[Prob Winner]], "Changed", "Same")</f>
        <v>Same</v>
      </c>
      <c r="Q107">
        <f>IF(Table46[[#This Row],[Adjusted Predicted Correct]]="-", "",IF(Table46[[#This Row],[Adjusted Predicted Correct]]="YES",(Table46[[#This Row],[Strength of Win]]-1)^2,(Table46[[#This Row],[Strength of Win]]-0)^2))</f>
        <v>0.43143565354798491</v>
      </c>
      <c r="R107">
        <v>-0.97626211840201049</v>
      </c>
      <c r="S107" t="s">
        <v>12</v>
      </c>
      <c r="T107" t="s">
        <v>249</v>
      </c>
    </row>
    <row r="108" spans="4:20" x14ac:dyDescent="0.2">
      <c r="D108" s="1">
        <v>45951</v>
      </c>
      <c r="E108" s="2">
        <v>0.79166666666666663</v>
      </c>
      <c r="F108" t="s">
        <v>22</v>
      </c>
      <c r="G108">
        <f>VLOOKUP(Table46[[#This Row],[Home]],'NHL Model'!$A$6:$B$38,2,FALSE)</f>
        <v>-6.1308839486784707E-2</v>
      </c>
      <c r="H108" t="s">
        <v>32</v>
      </c>
      <c r="I108">
        <f>VLOOKUP(Table46[[#This Row],[Visitor]],'NHL Model'!$A$6:$B$38,2,FALSE)</f>
        <v>-0.361361309178443</v>
      </c>
      <c r="J108">
        <f>($B$1+Table46[[#This Row],[Home Differential]])-Table46[[#This Row],[Away Differential]]</f>
        <v>0.46262477935397672</v>
      </c>
      <c r="K108" t="str">
        <f>IF(Table46[[#This Row],[HomeIce Differential]]&gt;0,Table46[[#This Row],[Home]],Table46[[#This Row],[Visitor]])</f>
        <v>Washington Capitals</v>
      </c>
      <c r="L10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0.60149162594091132</v>
      </c>
      <c r="M108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108" t="str">
        <f>IF(OR((NHL2025_26Results[[#This Row],[Winning Team]]="")),"-",IF(Table46[[#This Row],[Predicted Winner]]=NHL2025_26Results[[#This Row],[Winning Team]],"YES","NO"))</f>
        <v>YES</v>
      </c>
      <c r="O108" t="str">
        <f>IF(OR((NHL2025_26Results[[#This Row],[Winning Team]]="")),"-",IF(Table46[[#This Row],[Prob Winner]]=NHL2025_26Results[[#This Row],[Winning Team]],"YES","NO"))</f>
        <v>YES</v>
      </c>
      <c r="P108" t="str">
        <f>IF(Table46[[#This Row],[Locked Prediction]]&lt;&gt;Table46[[#This Row],[Prob Winner]], "Changed", "Same")</f>
        <v>Same</v>
      </c>
      <c r="Q108">
        <f>IF(Table46[[#This Row],[Adjusted Predicted Correct]]="-", "",IF(Table46[[#This Row],[Adjusted Predicted Correct]]="YES",(Table46[[#This Row],[Strength of Win]]-1)^2,(Table46[[#This Row],[Strength of Win]]-0)^2))</f>
        <v>0.15880892419521855</v>
      </c>
      <c r="R108">
        <v>1.3141203348853641</v>
      </c>
      <c r="S108" t="s">
        <v>22</v>
      </c>
      <c r="T108" t="s">
        <v>248</v>
      </c>
    </row>
    <row r="109" spans="4:20" x14ac:dyDescent="0.2">
      <c r="D109" s="1">
        <v>45952</v>
      </c>
      <c r="E109" s="2">
        <v>0.8125</v>
      </c>
      <c r="F109" t="s">
        <v>23</v>
      </c>
      <c r="G109">
        <f>VLOOKUP(Table46[[#This Row],[Home]],'NHL Model'!$A$6:$B$38,2,FALSE)</f>
        <v>-0.8683412362501769</v>
      </c>
      <c r="H109" t="s">
        <v>26</v>
      </c>
      <c r="I109">
        <f>VLOOKUP(Table46[[#This Row],[Visitor]],'NHL Model'!$A$6:$B$38,2,FALSE)</f>
        <v>-0.513643833119658</v>
      </c>
      <c r="J109">
        <f>($B$1+Table46[[#This Row],[Home Differential]])-Table46[[#This Row],[Away Differential]]</f>
        <v>-0.1921250934682005</v>
      </c>
      <c r="K109" t="str">
        <f>IF(Table46[[#This Row],[HomeIce Differential]]&gt;0,Table46[[#This Row],[Home]],Table46[[#This Row],[Visitor]])</f>
        <v>Detroit Red Wings</v>
      </c>
      <c r="L10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0.53263646798127295</v>
      </c>
      <c r="M109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109" t="str">
        <f>IF(OR((NHL2025_26Results[[#This Row],[Winning Team]]="")),"-",IF(Table46[[#This Row],[Predicted Winner]]=NHL2025_26Results[[#This Row],[Winning Team]],"YES","NO"))</f>
        <v>NO</v>
      </c>
      <c r="O109" t="str">
        <f>IF(OR((NHL2025_26Results[[#This Row],[Winning Team]]="")),"-",IF(Table46[[#This Row],[Prob Winner]]=NHL2025_26Results[[#This Row],[Winning Team]],"YES","NO"))</f>
        <v>NO</v>
      </c>
      <c r="P109" t="str">
        <f>IF(Table46[[#This Row],[Locked Prediction]]&lt;&gt;Table46[[#This Row],[Prob Winner]], "Changed", "Same")</f>
        <v>Same</v>
      </c>
      <c r="Q109">
        <f>IF(Table46[[#This Row],[Adjusted Predicted Correct]]="-", "",IF(Table46[[#This Row],[Adjusted Predicted Correct]]="YES",(Table46[[#This Row],[Strength of Win]]-1)^2,(Table46[[#This Row],[Strength of Win]]-0)^2))</f>
        <v>0.28370160702356562</v>
      </c>
      <c r="R109">
        <v>-0.41892772401668504</v>
      </c>
      <c r="S109" t="s">
        <v>26</v>
      </c>
      <c r="T109" t="s">
        <v>249</v>
      </c>
    </row>
    <row r="110" spans="4:20" x14ac:dyDescent="0.2">
      <c r="D110" s="1">
        <v>45952</v>
      </c>
      <c r="E110" s="2">
        <v>0.85416666666666663</v>
      </c>
      <c r="F110" t="s">
        <v>16</v>
      </c>
      <c r="G110">
        <f>VLOOKUP(Table46[[#This Row],[Home]],'NHL Model'!$A$6:$B$38,2,FALSE)</f>
        <v>-1.3903684122795328</v>
      </c>
      <c r="H110" t="s">
        <v>18</v>
      </c>
      <c r="I110">
        <f>VLOOKUP(Table46[[#This Row],[Visitor]],'NHL Model'!$A$6:$B$38,2,FALSE)</f>
        <v>-0.52437726201848234</v>
      </c>
      <c r="J110">
        <f>($B$1+Table46[[#This Row],[Home Differential]])-Table46[[#This Row],[Away Differential]]</f>
        <v>-0.70341884059873205</v>
      </c>
      <c r="K110" t="str">
        <f>IF(Table46[[#This Row],[HomeIce Differential]]&gt;0,Table46[[#This Row],[Home]],Table46[[#This Row],[Visitor]])</f>
        <v>Montreal Canadiens</v>
      </c>
      <c r="L1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0.62997841996907467</v>
      </c>
      <c r="M110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110" t="str">
        <f>IF(OR((NHL2025_26Results[[#This Row],[Winning Team]]="")),"-",IF(Table46[[#This Row],[Predicted Winner]]=NHL2025_26Results[[#This Row],[Winning Team]],"YES","NO"))</f>
        <v>YES</v>
      </c>
      <c r="O110" t="str">
        <f>IF(OR((NHL2025_26Results[[#This Row],[Winning Team]]="")),"-",IF(Table46[[#This Row],[Prob Winner]]=NHL2025_26Results[[#This Row],[Winning Team]],"YES","NO"))</f>
        <v>YES</v>
      </c>
      <c r="P110" t="str">
        <f>IF(Table46[[#This Row],[Locked Prediction]]&lt;&gt;Table46[[#This Row],[Prob Winner]], "Changed", "Same")</f>
        <v>Same</v>
      </c>
      <c r="Q110">
        <f>IF(Table46[[#This Row],[Adjusted Predicted Correct]]="-", "",IF(Table46[[#This Row],[Adjusted Predicted Correct]]="YES",(Table46[[#This Row],[Strength of Win]]-1)^2,(Table46[[#This Row],[Strength of Win]]-0)^2))</f>
        <v>0.1369159696885825</v>
      </c>
      <c r="R110">
        <v>-2.2196818976878778</v>
      </c>
      <c r="S110" t="s">
        <v>18</v>
      </c>
      <c r="T110" t="s">
        <v>248</v>
      </c>
    </row>
    <row r="111" spans="4:20" x14ac:dyDescent="0.2">
      <c r="D111" s="1">
        <v>45952</v>
      </c>
      <c r="E111" s="2">
        <v>0.79166666666666663</v>
      </c>
      <c r="F111" t="s">
        <v>24</v>
      </c>
      <c r="G111">
        <f>VLOOKUP(Table46[[#This Row],[Home]],'NHL Model'!$A$6:$B$38,2,FALSE)</f>
        <v>0.559441163373953</v>
      </c>
      <c r="H111" t="s">
        <v>34</v>
      </c>
      <c r="I111">
        <f>VLOOKUP(Table46[[#This Row],[Visitor]],'NHL Model'!$A$6:$B$38,2,FALSE)</f>
        <v>-0.53650300840565446</v>
      </c>
      <c r="J111">
        <f>($B$1+Table46[[#This Row],[Home Differential]])-Table46[[#This Row],[Away Differential]]</f>
        <v>1.2585164814419258</v>
      </c>
      <c r="K111" t="str">
        <f>IF(Table46[[#This Row],[HomeIce Differential]]&gt;0,Table46[[#This Row],[Home]],Table46[[#This Row],[Visitor]])</f>
        <v>New Jersey Devils</v>
      </c>
      <c r="L1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0.82271147167994529</v>
      </c>
      <c r="M111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11" t="str">
        <f>IF(OR((NHL2025_26Results[[#This Row],[Winning Team]]="")),"-",IF(Table46[[#This Row],[Predicted Winner]]=NHL2025_26Results[[#This Row],[Winning Team]],"YES","NO"))</f>
        <v>YES</v>
      </c>
      <c r="O111" t="str">
        <f>IF(OR((NHL2025_26Results[[#This Row],[Winning Team]]="")),"-",IF(Table46[[#This Row],[Prob Winner]]=NHL2025_26Results[[#This Row],[Winning Team]],"YES","NO"))</f>
        <v>YES</v>
      </c>
      <c r="P111" t="str">
        <f>IF(Table46[[#This Row],[Locked Prediction]]&lt;&gt;Table46[[#This Row],[Prob Winner]], "Changed", "Same")</f>
        <v>Same</v>
      </c>
      <c r="Q111">
        <f>IF(Table46[[#This Row],[Adjusted Predicted Correct]]="-", "",IF(Table46[[#This Row],[Adjusted Predicted Correct]]="YES",(Table46[[#This Row],[Strength of Win]]-1)^2,(Table46[[#This Row],[Strength of Win]]-0)^2))</f>
        <v>3.1431222273890842E-2</v>
      </c>
      <c r="R111">
        <v>1.9998104208686476</v>
      </c>
      <c r="S111" t="s">
        <v>24</v>
      </c>
      <c r="T111" t="s">
        <v>248</v>
      </c>
    </row>
    <row r="112" spans="4:20" x14ac:dyDescent="0.2">
      <c r="D112" s="1">
        <v>45953</v>
      </c>
      <c r="E112" s="2">
        <v>0.79166666666666663</v>
      </c>
      <c r="F112" t="s">
        <v>21</v>
      </c>
      <c r="G112">
        <f>VLOOKUP(Table46[[#This Row],[Home]],'NHL Model'!$A$6:$B$38,2,FALSE)</f>
        <v>4.029141914856392E-2</v>
      </c>
      <c r="H112" t="s">
        <v>31</v>
      </c>
      <c r="I112">
        <f>VLOOKUP(Table46[[#This Row],[Visitor]],'NHL Model'!$A$6:$B$38,2,FALSE)</f>
        <v>0.51775546328552802</v>
      </c>
      <c r="J112">
        <f>($B$1+Table46[[#This Row],[Home Differential]])-Table46[[#This Row],[Away Differential]]</f>
        <v>-0.31489173447464569</v>
      </c>
      <c r="K112" t="str">
        <f>IF(Table46[[#This Row],[HomeIce Differential]]&gt;0,Table46[[#This Row],[Home]],Table46[[#This Row],[Visitor]])</f>
        <v>Anaheim Ducks</v>
      </c>
      <c r="L1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0.44926250383185534</v>
      </c>
      <c r="M112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12" t="str">
        <f>IF(OR((NHL2025_26Results[[#This Row],[Winning Team]]="")),"-",IF(Table46[[#This Row],[Predicted Winner]]=NHL2025_26Results[[#This Row],[Winning Team]],"YES","NO"))</f>
        <v>YES</v>
      </c>
      <c r="O112" t="str">
        <f>IF(OR((NHL2025_26Results[[#This Row],[Winning Team]]="")),"-",IF(Table46[[#This Row],[Prob Winner]]=NHL2025_26Results[[#This Row],[Winning Team]],"YES","NO"))</f>
        <v>NO</v>
      </c>
      <c r="P112" t="str">
        <f>IF(Table46[[#This Row],[Locked Prediction]]&lt;&gt;Table46[[#This Row],[Prob Winner]], "Changed", "Same")</f>
        <v>Changed</v>
      </c>
      <c r="Q112">
        <f>IF(Table46[[#This Row],[Adjusted Predicted Correct]]="-", "",IF(Table46[[#This Row],[Adjusted Predicted Correct]]="YES",(Table46[[#This Row],[Strength of Win]]-1)^2,(Table46[[#This Row],[Strength of Win]]-0)^2))</f>
        <v>0.30331178968555711</v>
      </c>
      <c r="R112">
        <v>-0.39773897735093061</v>
      </c>
      <c r="S112" t="s">
        <v>31</v>
      </c>
      <c r="T112" t="s">
        <v>248</v>
      </c>
    </row>
    <row r="113" spans="4:20" x14ac:dyDescent="0.2">
      <c r="D113" s="1">
        <v>45953</v>
      </c>
      <c r="E113" s="2">
        <v>0.875</v>
      </c>
      <c r="F113" t="s">
        <v>12</v>
      </c>
      <c r="G113">
        <f>VLOOKUP(Table46[[#This Row],[Home]],'NHL Model'!$A$6:$B$38,2,FALSE)</f>
        <v>1.5475013591489768</v>
      </c>
      <c r="H113" t="s">
        <v>25</v>
      </c>
      <c r="I113">
        <f>VLOOKUP(Table46[[#This Row],[Visitor]],'NHL Model'!$A$6:$B$38,2,FALSE)</f>
        <v>0.67193921242367816</v>
      </c>
      <c r="J113">
        <f>($B$1+Table46[[#This Row],[Home Differential]])-Table46[[#This Row],[Away Differential]]</f>
        <v>1.0381344563876169</v>
      </c>
      <c r="K113" t="str">
        <f>IF(Table46[[#This Row],[HomeIce Differential]]&gt;0,Table46[[#This Row],[Home]],Table46[[#This Row],[Visitor]])</f>
        <v>Colorado Avalanche</v>
      </c>
      <c r="L1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0.67644933876419822</v>
      </c>
      <c r="M113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13" t="str">
        <f>IF(OR((NHL2025_26Results[[#This Row],[Winning Team]]="")),"-",IF(Table46[[#This Row],[Predicted Winner]]=NHL2025_26Results[[#This Row],[Winning Team]],"YES","NO"))</f>
        <v>NO</v>
      </c>
      <c r="O113" t="str">
        <f>IF(OR((NHL2025_26Results[[#This Row],[Winning Team]]="")),"-",IF(Table46[[#This Row],[Prob Winner]]=NHL2025_26Results[[#This Row],[Winning Team]],"YES","NO"))</f>
        <v>NO</v>
      </c>
      <c r="P113" t="str">
        <f>IF(Table46[[#This Row],[Locked Prediction]]&lt;&gt;Table46[[#This Row],[Prob Winner]], "Changed", "Same")</f>
        <v>Changed</v>
      </c>
      <c r="Q113">
        <f>IF(Table46[[#This Row],[Adjusted Predicted Correct]]="-", "",IF(Table46[[#This Row],[Adjusted Predicted Correct]]="YES",(Table46[[#This Row],[Strength of Win]]-1)^2,(Table46[[#This Row],[Strength of Win]]-0)^2))</f>
        <v>0.45758370791452102</v>
      </c>
      <c r="R113">
        <v>-0.34965912817062916</v>
      </c>
      <c r="S113" t="s">
        <v>25</v>
      </c>
      <c r="T113" t="s">
        <v>248</v>
      </c>
    </row>
    <row r="114" spans="4:20" x14ac:dyDescent="0.2">
      <c r="D114" s="1">
        <v>45953</v>
      </c>
      <c r="E114" s="2">
        <v>0.875</v>
      </c>
      <c r="F114" t="s">
        <v>39</v>
      </c>
      <c r="G114">
        <f>VLOOKUP(Table46[[#This Row],[Home]],'NHL Model'!$A$6:$B$38,2,FALSE)</f>
        <v>0.19809534061227302</v>
      </c>
      <c r="H114" t="s">
        <v>13</v>
      </c>
      <c r="I114">
        <f>VLOOKUP(Table46[[#This Row],[Visitor]],'NHL Model'!$A$6:$B$38,2,FALSE)</f>
        <v>-7.5459708298993802E-2</v>
      </c>
      <c r="J114">
        <f>($B$1+Table46[[#This Row],[Home Differential]])-Table46[[#This Row],[Away Differential]]</f>
        <v>0.4361273585735852</v>
      </c>
      <c r="K114" t="str">
        <f>IF(Table46[[#This Row],[HomeIce Differential]]&gt;0,Table46[[#This Row],[Home]],Table46[[#This Row],[Visitor]])</f>
        <v>Dallas Stars</v>
      </c>
      <c r="L11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0.50241405954689156</v>
      </c>
      <c r="M114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14" t="str">
        <f>IF(OR((NHL2025_26Results[[#This Row],[Winning Team]]="")),"-",IF(Table46[[#This Row],[Predicted Winner]]=NHL2025_26Results[[#This Row],[Winning Team]],"YES","NO"))</f>
        <v>NO</v>
      </c>
      <c r="O114" t="str">
        <f>IF(OR((NHL2025_26Results[[#This Row],[Winning Team]]="")),"-",IF(Table46[[#This Row],[Prob Winner]]=NHL2025_26Results[[#This Row],[Winning Team]],"YES","NO"))</f>
        <v>NO</v>
      </c>
      <c r="P114" t="str">
        <f>IF(Table46[[#This Row],[Locked Prediction]]&lt;&gt;Table46[[#This Row],[Prob Winner]], "Changed", "Same")</f>
        <v>Changed</v>
      </c>
      <c r="Q114">
        <f>IF(Table46[[#This Row],[Adjusted Predicted Correct]]="-", "",IF(Table46[[#This Row],[Adjusted Predicted Correct]]="YES",(Table46[[#This Row],[Strength of Win]]-1)^2,(Table46[[#This Row],[Strength of Win]]-0)^2))</f>
        <v>0.2524198872303875</v>
      </c>
      <c r="R114">
        <v>-0.32576645692512685</v>
      </c>
      <c r="S114" t="s">
        <v>13</v>
      </c>
      <c r="T114" t="s">
        <v>248</v>
      </c>
    </row>
    <row r="115" spans="4:20" x14ac:dyDescent="0.2">
      <c r="D115" s="1">
        <v>45953</v>
      </c>
      <c r="E115" s="2">
        <v>0.875</v>
      </c>
      <c r="F115" t="s">
        <v>17</v>
      </c>
      <c r="G115">
        <f>VLOOKUP(Table46[[#This Row],[Home]],'NHL Model'!$A$6:$B$38,2,FALSE)</f>
        <v>-0.61980804137564283</v>
      </c>
      <c r="H115" t="s">
        <v>18</v>
      </c>
      <c r="I115">
        <f>VLOOKUP(Table46[[#This Row],[Visitor]],'NHL Model'!$A$6:$B$38,2,FALSE)</f>
        <v>-0.52437726201848234</v>
      </c>
      <c r="J115">
        <f>($B$1+Table46[[#This Row],[Home Differential]])-Table46[[#This Row],[Away Differential]]</f>
        <v>6.7141530305157904E-2</v>
      </c>
      <c r="K115" t="str">
        <f>IF(Table46[[#This Row],[HomeIce Differential]]&gt;0,Table46[[#This Row],[Home]],Table46[[#This Row],[Visitor]])</f>
        <v>Edmonton Oilers</v>
      </c>
      <c r="L11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0.50892438548663665</v>
      </c>
      <c r="M115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115" t="str">
        <f>IF(OR((NHL2025_26Results[[#This Row],[Winning Team]]="")),"-",IF(Table46[[#This Row],[Predicted Winner]]=NHL2025_26Results[[#This Row],[Winning Team]],"YES","NO"))</f>
        <v>YES</v>
      </c>
      <c r="O115" t="str">
        <f>IF(OR((NHL2025_26Results[[#This Row],[Winning Team]]="")),"-",IF(Table46[[#This Row],[Prob Winner]]=NHL2025_26Results[[#This Row],[Winning Team]],"YES","NO"))</f>
        <v>YES</v>
      </c>
      <c r="P115" t="str">
        <f>IF(Table46[[#This Row],[Locked Prediction]]&lt;&gt;Table46[[#This Row],[Prob Winner]], "Changed", "Same")</f>
        <v>Changed</v>
      </c>
      <c r="Q115">
        <f>IF(Table46[[#This Row],[Adjusted Predicted Correct]]="-", "",IF(Table46[[#This Row],[Adjusted Predicted Correct]]="YES",(Table46[[#This Row],[Strength of Win]]-1)^2,(Table46[[#This Row],[Strength of Win]]-0)^2))</f>
        <v>0.24115525916967745</v>
      </c>
      <c r="R115">
        <v>-0.50670452281282297</v>
      </c>
      <c r="S115" t="s">
        <v>18</v>
      </c>
      <c r="T115" t="s">
        <v>249</v>
      </c>
    </row>
    <row r="116" spans="4:20" x14ac:dyDescent="0.2">
      <c r="D116" s="1">
        <v>45953</v>
      </c>
      <c r="E116" s="2">
        <v>0.79166666666666663</v>
      </c>
      <c r="F116" t="s">
        <v>11</v>
      </c>
      <c r="G116">
        <f>VLOOKUP(Table46[[#This Row],[Home]],'NHL Model'!$A$6:$B$38,2,FALSE)</f>
        <v>-0.28105923893144158</v>
      </c>
      <c r="H116" t="s">
        <v>14</v>
      </c>
      <c r="I116">
        <f>VLOOKUP(Table46[[#This Row],[Visitor]],'NHL Model'!$A$6:$B$38,2,FALSE)</f>
        <v>0.26289091192875702</v>
      </c>
      <c r="J116">
        <f>($B$1+Table46[[#This Row],[Home Differential]])-Table46[[#This Row],[Away Differential]]</f>
        <v>-0.38137784119788021</v>
      </c>
      <c r="K116" t="str">
        <f>IF(Table46[[#This Row],[HomeIce Differential]]&gt;0,Table46[[#This Row],[Home]],Table46[[#This Row],[Visitor]])</f>
        <v>Pittsburgh Penguins</v>
      </c>
      <c r="L11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0.45897638732853807</v>
      </c>
      <c r="M116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116" t="str">
        <f>IF(OR((NHL2025_26Results[[#This Row],[Winning Team]]="")),"-",IF(Table46[[#This Row],[Predicted Winner]]=NHL2025_26Results[[#This Row],[Winning Team]],"YES","NO"))</f>
        <v>YES</v>
      </c>
      <c r="O116" t="str">
        <f>IF(OR((NHL2025_26Results[[#This Row],[Winning Team]]="")),"-",IF(Table46[[#This Row],[Prob Winner]]=NHL2025_26Results[[#This Row],[Winning Team]],"YES","NO"))</f>
        <v>NO</v>
      </c>
      <c r="P116" t="str">
        <f>IF(Table46[[#This Row],[Locked Prediction]]&lt;&gt;Table46[[#This Row],[Prob Winner]], "Changed", "Same")</f>
        <v>Changed</v>
      </c>
      <c r="Q116">
        <f>IF(Table46[[#This Row],[Adjusted Predicted Correct]]="-", "",IF(Table46[[#This Row],[Adjusted Predicted Correct]]="YES",(Table46[[#This Row],[Strength of Win]]-1)^2,(Table46[[#This Row],[Strength of Win]]-0)^2))</f>
        <v>0.29270654946808006</v>
      </c>
      <c r="R116">
        <v>-1.4674283701132262</v>
      </c>
      <c r="S116" t="s">
        <v>14</v>
      </c>
      <c r="T116" t="s">
        <v>248</v>
      </c>
    </row>
    <row r="117" spans="4:20" x14ac:dyDescent="0.2">
      <c r="D117" s="1">
        <v>45953</v>
      </c>
      <c r="E117" s="2">
        <v>0.83333333333333337</v>
      </c>
      <c r="F117" t="s">
        <v>29</v>
      </c>
      <c r="G117">
        <f>VLOOKUP(Table46[[#This Row],[Home]],'NHL Model'!$A$6:$B$38,2,FALSE)</f>
        <v>-1.3516250707060606</v>
      </c>
      <c r="H117" t="s">
        <v>38</v>
      </c>
      <c r="I117">
        <f>VLOOKUP(Table46[[#This Row],[Visitor]],'NHL Model'!$A$6:$B$38,2,FALSE)</f>
        <v>-0.6902088310934803</v>
      </c>
      <c r="J117">
        <f>($B$1+Table46[[#This Row],[Home Differential]])-Table46[[#This Row],[Away Differential]]</f>
        <v>-0.49884392995026194</v>
      </c>
      <c r="K117" t="str">
        <f>IF(Table46[[#This Row],[HomeIce Differential]]&gt;0,Table46[[#This Row],[Home]],Table46[[#This Row],[Visitor]])</f>
        <v>Vancouver Canucks</v>
      </c>
      <c r="L11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0.56881840225965896</v>
      </c>
      <c r="M117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117" t="str">
        <f>IF(OR((NHL2025_26Results[[#This Row],[Winning Team]]="")),"-",IF(Table46[[#This Row],[Predicted Winner]]=NHL2025_26Results[[#This Row],[Winning Team]],"YES","NO"))</f>
        <v>NO</v>
      </c>
      <c r="O117" t="str">
        <f>IF(OR((NHL2025_26Results[[#This Row],[Winning Team]]="")),"-",IF(Table46[[#This Row],[Prob Winner]]=NHL2025_26Results[[#This Row],[Winning Team]],"YES","NO"))</f>
        <v>NO</v>
      </c>
      <c r="P117" t="str">
        <f>IF(Table46[[#This Row],[Locked Prediction]]&lt;&gt;Table46[[#This Row],[Prob Winner]], "Changed", "Same")</f>
        <v>Same</v>
      </c>
      <c r="Q117">
        <f>IF(Table46[[#This Row],[Adjusted Predicted Correct]]="-", "",IF(Table46[[#This Row],[Adjusted Predicted Correct]]="YES",(Table46[[#This Row],[Strength of Win]]-1)^2,(Table46[[#This Row],[Strength of Win]]-0)^2))</f>
        <v>0.32355437474923121</v>
      </c>
      <c r="R117">
        <v>-7.8624778851855703E-2</v>
      </c>
      <c r="S117" t="s">
        <v>38</v>
      </c>
      <c r="T117" t="s">
        <v>249</v>
      </c>
    </row>
    <row r="118" spans="4:20" x14ac:dyDescent="0.2">
      <c r="D118" s="1">
        <v>45953</v>
      </c>
      <c r="E118" s="2">
        <v>0.79166666666666663</v>
      </c>
      <c r="F118" t="s">
        <v>30</v>
      </c>
      <c r="G118">
        <f>VLOOKUP(Table46[[#This Row],[Home]],'NHL Model'!$A$6:$B$38,2,FALSE)</f>
        <v>-6.4729560818359025E-2</v>
      </c>
      <c r="H118" t="s">
        <v>26</v>
      </c>
      <c r="I118">
        <f>VLOOKUP(Table46[[#This Row],[Visitor]],'NHL Model'!$A$6:$B$38,2,FALSE)</f>
        <v>-0.513643833119658</v>
      </c>
      <c r="J118">
        <f>($B$1+Table46[[#This Row],[Home Differential]])-Table46[[#This Row],[Away Differential]]</f>
        <v>0.61148658196361738</v>
      </c>
      <c r="K118" t="str">
        <f>IF(Table46[[#This Row],[HomeIce Differential]]&gt;0,Table46[[#This Row],[Home]],Table46[[#This Row],[Visitor]])</f>
        <v>New York Islanders</v>
      </c>
      <c r="L11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0.57417879733246024</v>
      </c>
      <c r="M118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18" t="str">
        <f>IF(OR((NHL2025_26Results[[#This Row],[Winning Team]]="")),"-",IF(Table46[[#This Row],[Predicted Winner]]=NHL2025_26Results[[#This Row],[Winning Team]],"YES","NO"))</f>
        <v>YES</v>
      </c>
      <c r="O118" t="str">
        <f>IF(OR((NHL2025_26Results[[#This Row],[Winning Team]]="")),"-",IF(Table46[[#This Row],[Prob Winner]]=NHL2025_26Results[[#This Row],[Winning Team]],"YES","NO"))</f>
        <v>YES</v>
      </c>
      <c r="P118" t="str">
        <f>IF(Table46[[#This Row],[Locked Prediction]]&lt;&gt;Table46[[#This Row],[Prob Winner]], "Changed", "Same")</f>
        <v>Same</v>
      </c>
      <c r="Q118">
        <f>IF(Table46[[#This Row],[Adjusted Predicted Correct]]="-", "",IF(Table46[[#This Row],[Adjusted Predicted Correct]]="YES",(Table46[[#This Row],[Strength of Win]]-1)^2,(Table46[[#This Row],[Strength of Win]]-0)^2))</f>
        <v>0.18132369664122996</v>
      </c>
      <c r="R118">
        <v>0.73239461200505884</v>
      </c>
      <c r="S118" t="s">
        <v>30</v>
      </c>
      <c r="T118" t="s">
        <v>248</v>
      </c>
    </row>
    <row r="119" spans="4:20" x14ac:dyDescent="0.2">
      <c r="D119" s="1">
        <v>45953</v>
      </c>
      <c r="E119" s="2">
        <v>0.79166666666666663</v>
      </c>
      <c r="F119" t="s">
        <v>15</v>
      </c>
      <c r="G119">
        <f>VLOOKUP(Table46[[#This Row],[Home]],'NHL Model'!$A$6:$B$38,2,FALSE)</f>
        <v>-0.30719665303039001</v>
      </c>
      <c r="H119" t="s">
        <v>33</v>
      </c>
      <c r="I119">
        <f>VLOOKUP(Table46[[#This Row],[Visitor]],'NHL Model'!$A$6:$B$38,2,FALSE)</f>
        <v>-0.39418177254008485</v>
      </c>
      <c r="J119">
        <f>($B$1+Table46[[#This Row],[Home Differential]])-Table46[[#This Row],[Away Differential]]</f>
        <v>0.24955742917201323</v>
      </c>
      <c r="K119" t="str">
        <f>IF(Table46[[#This Row],[HomeIce Differential]]&gt;0,Table46[[#This Row],[Home]],Table46[[#This Row],[Visitor]])</f>
        <v>New York Rangers</v>
      </c>
      <c r="L11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0.5731709254892271</v>
      </c>
      <c r="M119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19" t="str">
        <f>IF(OR((NHL2025_26Results[[#This Row],[Winning Team]]="")),"-",IF(Table46[[#This Row],[Predicted Winner]]=NHL2025_26Results[[#This Row],[Winning Team]],"YES","NO"))</f>
        <v>NO</v>
      </c>
      <c r="O119" t="str">
        <f>IF(OR((NHL2025_26Results[[#This Row],[Winning Team]]="")),"-",IF(Table46[[#This Row],[Prob Winner]]=NHL2025_26Results[[#This Row],[Winning Team]],"YES","NO"))</f>
        <v>NO</v>
      </c>
      <c r="P119" t="str">
        <f>IF(Table46[[#This Row],[Locked Prediction]]&lt;&gt;Table46[[#This Row],[Prob Winner]], "Changed", "Same")</f>
        <v>Same</v>
      </c>
      <c r="Q119">
        <f>IF(Table46[[#This Row],[Adjusted Predicted Correct]]="-", "",IF(Table46[[#This Row],[Adjusted Predicted Correct]]="YES",(Table46[[#This Row],[Strength of Win]]-1)^2,(Table46[[#This Row],[Strength of Win]]-0)^2))</f>
        <v>0.3285249098261771</v>
      </c>
      <c r="R119">
        <v>1.1009319693558097</v>
      </c>
      <c r="S119" t="s">
        <v>15</v>
      </c>
      <c r="T119" t="s">
        <v>249</v>
      </c>
    </row>
    <row r="120" spans="4:20" x14ac:dyDescent="0.2">
      <c r="D120" s="1">
        <v>45953</v>
      </c>
      <c r="E120" s="2">
        <v>0.79166666666666663</v>
      </c>
      <c r="F120" t="s">
        <v>36</v>
      </c>
      <c r="G120">
        <f>VLOOKUP(Table46[[#This Row],[Home]],'NHL Model'!$A$6:$B$38,2,FALSE)</f>
        <v>-0.40651947573390851</v>
      </c>
      <c r="H120" t="s">
        <v>27</v>
      </c>
      <c r="I120">
        <f>VLOOKUP(Table46[[#This Row],[Visitor]],'NHL Model'!$A$6:$B$38,2,FALSE)</f>
        <v>-0.51358590497437617</v>
      </c>
      <c r="J120">
        <f>($B$1+Table46[[#This Row],[Home Differential]])-Table46[[#This Row],[Away Differential]]</f>
        <v>0.26963873890278606</v>
      </c>
      <c r="K120" t="str">
        <f>IF(Table46[[#This Row],[HomeIce Differential]]&gt;0,Table46[[#This Row],[Home]],Table46[[#This Row],[Visitor]])</f>
        <v>Ottawa Senators</v>
      </c>
      <c r="L12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0.57833559242729071</v>
      </c>
      <c r="M120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120" t="str">
        <f>IF(OR((NHL2025_26Results[[#This Row],[Winning Team]]="")),"-",IF(Table46[[#This Row],[Predicted Winner]]=NHL2025_26Results[[#This Row],[Winning Team]],"YES","NO"))</f>
        <v>YES</v>
      </c>
      <c r="O120" t="str">
        <f>IF(OR((NHL2025_26Results[[#This Row],[Winning Team]]="")),"-",IF(Table46[[#This Row],[Prob Winner]]=NHL2025_26Results[[#This Row],[Winning Team]],"YES","NO"))</f>
        <v>YES</v>
      </c>
      <c r="P120" t="str">
        <f>IF(Table46[[#This Row],[Locked Prediction]]&lt;&gt;Table46[[#This Row],[Prob Winner]], "Changed", "Same")</f>
        <v>Changed</v>
      </c>
      <c r="Q120">
        <f>IF(Table46[[#This Row],[Adjusted Predicted Correct]]="-", "",IF(Table46[[#This Row],[Adjusted Predicted Correct]]="YES",(Table46[[#This Row],[Strength of Win]]-1)^2,(Table46[[#This Row],[Strength of Win]]-0)^2))</f>
        <v>0.17780087261364388</v>
      </c>
      <c r="R120">
        <v>-1.4864009253791441</v>
      </c>
      <c r="S120" t="s">
        <v>27</v>
      </c>
      <c r="T120" t="s">
        <v>249</v>
      </c>
    </row>
    <row r="121" spans="4:20" x14ac:dyDescent="0.2">
      <c r="D121" s="1">
        <v>45953</v>
      </c>
      <c r="E121" s="2">
        <v>0.83333333333333337</v>
      </c>
      <c r="F121" t="s">
        <v>35</v>
      </c>
      <c r="G121">
        <f>VLOOKUP(Table46[[#This Row],[Home]],'NHL Model'!$A$6:$B$38,2,FALSE)</f>
        <v>-1.6211574240381006</v>
      </c>
      <c r="H121" t="s">
        <v>55</v>
      </c>
      <c r="I121">
        <f>VLOOKUP(Table46[[#This Row],[Visitor]],'NHL Model'!$A$6:$B$38,2,FALSE)</f>
        <v>-0.12212311954851815</v>
      </c>
      <c r="J121">
        <f>($B$1+Table46[[#This Row],[Home Differential]])-Table46[[#This Row],[Away Differential]]</f>
        <v>-1.336461994827264</v>
      </c>
      <c r="K121" t="str">
        <f>IF(Table46[[#This Row],[HomeIce Differential]]&gt;0,Table46[[#This Row],[Home]],Table46[[#This Row],[Visitor]])</f>
        <v>Utah Mammoth</v>
      </c>
      <c r="L12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0.63764120025071414</v>
      </c>
      <c r="M121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21" t="str">
        <f>IF(OR((NHL2025_26Results[[#This Row],[Winning Team]]="")),"-",IF(Table46[[#This Row],[Predicted Winner]]=NHL2025_26Results[[#This Row],[Winning Team]],"YES","NO"))</f>
        <v>YES</v>
      </c>
      <c r="O121" t="str">
        <f>IF(OR((NHL2025_26Results[[#This Row],[Winning Team]]="")),"-",IF(Table46[[#This Row],[Prob Winner]]=NHL2025_26Results[[#This Row],[Winning Team]],"YES","NO"))</f>
        <v>YES</v>
      </c>
      <c r="P121" t="str">
        <f>IF(Table46[[#This Row],[Locked Prediction]]&lt;&gt;Table46[[#This Row],[Prob Winner]], "Changed", "Same")</f>
        <v>Same</v>
      </c>
      <c r="Q121">
        <f>IF(Table46[[#This Row],[Adjusted Predicted Correct]]="-", "",IF(Table46[[#This Row],[Adjusted Predicted Correct]]="YES",(Table46[[#This Row],[Strength of Win]]-1)^2,(Table46[[#This Row],[Strength of Win]]-0)^2))</f>
        <v>0.13130389975574305</v>
      </c>
      <c r="R121">
        <v>-2.1149466864988273</v>
      </c>
      <c r="S121" t="s">
        <v>55</v>
      </c>
      <c r="T121" t="s">
        <v>248</v>
      </c>
    </row>
    <row r="122" spans="4:20" x14ac:dyDescent="0.2">
      <c r="D122" s="1">
        <v>45953</v>
      </c>
      <c r="E122" s="2">
        <v>0.78125</v>
      </c>
      <c r="F122" t="s">
        <v>37</v>
      </c>
      <c r="G122">
        <f>VLOOKUP(Table46[[#This Row],[Home]],'NHL Model'!$A$6:$B$38,2,FALSE)</f>
        <v>-0.11309445867623392</v>
      </c>
      <c r="H122" t="s">
        <v>10</v>
      </c>
      <c r="I122">
        <f>VLOOKUP(Table46[[#This Row],[Visitor]],'NHL Model'!$A$6:$B$38,2,FALSE)</f>
        <v>0.30570968833820172</v>
      </c>
      <c r="J122">
        <f>($B$1+Table46[[#This Row],[Home Differential]])-Table46[[#This Row],[Away Differential]]</f>
        <v>-0.25623183735211724</v>
      </c>
      <c r="K122" t="str">
        <f>IF(Table46[[#This Row],[HomeIce Differential]]&gt;0,Table46[[#This Row],[Home]],Table46[[#This Row],[Visitor]])</f>
        <v>Chicago Blackhawks</v>
      </c>
      <c r="L12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0.51482731196110099</v>
      </c>
      <c r="M122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22" t="str">
        <f>IF(OR((NHL2025_26Results[[#This Row],[Winning Team]]="")),"-",IF(Table46[[#This Row],[Predicted Winner]]=NHL2025_26Results[[#This Row],[Winning Team]],"YES","NO"))</f>
        <v>YES</v>
      </c>
      <c r="O122" t="str">
        <f>IF(OR((NHL2025_26Results[[#This Row],[Winning Team]]="")),"-",IF(Table46[[#This Row],[Prob Winner]]=NHL2025_26Results[[#This Row],[Winning Team]],"YES","NO"))</f>
        <v>YES</v>
      </c>
      <c r="P122" t="str">
        <f>IF(Table46[[#This Row],[Locked Prediction]]&lt;&gt;Table46[[#This Row],[Prob Winner]], "Changed", "Same")</f>
        <v>Same</v>
      </c>
      <c r="Q122">
        <f>IF(Table46[[#This Row],[Adjusted Predicted Correct]]="-", "",IF(Table46[[#This Row],[Adjusted Predicted Correct]]="YES",(Table46[[#This Row],[Strength of Win]]-1)^2,(Table46[[#This Row],[Strength of Win]]-0)^2))</f>
        <v>0.23539253721889083</v>
      </c>
      <c r="R122">
        <v>-0.95850189586624734</v>
      </c>
      <c r="S122" t="s">
        <v>10</v>
      </c>
      <c r="T122" t="s">
        <v>248</v>
      </c>
    </row>
    <row r="123" spans="4:20" x14ac:dyDescent="0.2">
      <c r="D123" s="1">
        <v>45953</v>
      </c>
      <c r="E123" s="2">
        <v>0.83333333333333337</v>
      </c>
      <c r="F123" t="s">
        <v>40</v>
      </c>
      <c r="G123">
        <f>VLOOKUP(Table46[[#This Row],[Home]],'NHL Model'!$A$6:$B$38,2,FALSE)</f>
        <v>0.105105258369765</v>
      </c>
      <c r="H123" t="s">
        <v>32</v>
      </c>
      <c r="I123">
        <f>VLOOKUP(Table46[[#This Row],[Visitor]],'NHL Model'!$A$6:$B$38,2,FALSE)</f>
        <v>-0.361361309178443</v>
      </c>
      <c r="J123">
        <f>($B$1+Table46[[#This Row],[Home Differential]])-Table46[[#This Row],[Away Differential]]</f>
        <v>0.62903887721052643</v>
      </c>
      <c r="K123" t="str">
        <f>IF(Table46[[#This Row],[HomeIce Differential]]&gt;0,Table46[[#This Row],[Home]],Table46[[#This Row],[Visitor]])</f>
        <v>Winnipeg Jets</v>
      </c>
      <c r="L12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0.65964808881436032</v>
      </c>
      <c r="M123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23" t="str">
        <f>IF(OR((NHL2025_26Results[[#This Row],[Winning Team]]="")),"-",IF(Table46[[#This Row],[Predicted Winner]]=NHL2025_26Results[[#This Row],[Winning Team]],"YES","NO"))</f>
        <v>NO</v>
      </c>
      <c r="O123" t="str">
        <f>IF(OR((NHL2025_26Results[[#This Row],[Winning Team]]="")),"-",IF(Table46[[#This Row],[Prob Winner]]=NHL2025_26Results[[#This Row],[Winning Team]],"YES","NO"))</f>
        <v>NO</v>
      </c>
      <c r="P123" t="str">
        <f>IF(Table46[[#This Row],[Locked Prediction]]&lt;&gt;Table46[[#This Row],[Prob Winner]], "Changed", "Same")</f>
        <v>Same</v>
      </c>
      <c r="Q123">
        <f>IF(Table46[[#This Row],[Adjusted Predicted Correct]]="-", "",IF(Table46[[#This Row],[Adjusted Predicted Correct]]="YES",(Table46[[#This Row],[Strength of Win]]-1)^2,(Table46[[#This Row],[Strength of Win]]-0)^2))</f>
        <v>0.43513560107643823</v>
      </c>
      <c r="R123">
        <v>0.56071005316440559</v>
      </c>
      <c r="S123" t="s">
        <v>40</v>
      </c>
      <c r="T123" t="s">
        <v>249</v>
      </c>
    </row>
    <row r="124" spans="4:20" x14ac:dyDescent="0.2">
      <c r="D124" s="1">
        <v>45954</v>
      </c>
      <c r="E124" s="2">
        <v>0.8125</v>
      </c>
      <c r="F124" t="s">
        <v>23</v>
      </c>
      <c r="G124">
        <f>VLOOKUP(Table46[[#This Row],[Home]],'NHL Model'!$A$6:$B$38,2,FALSE)</f>
        <v>-0.8683412362501769</v>
      </c>
      <c r="H124" t="s">
        <v>19</v>
      </c>
      <c r="I124">
        <f>VLOOKUP(Table46[[#This Row],[Visitor]],'NHL Model'!$A$6:$B$38,2,FALSE)</f>
        <v>-0.635565543477981</v>
      </c>
      <c r="J124">
        <f>($B$1+Table46[[#This Row],[Home Differential]])-Table46[[#This Row],[Away Differential]]</f>
        <v>-7.0203383109877504E-2</v>
      </c>
      <c r="K124" t="str">
        <f>IF(Table46[[#This Row],[HomeIce Differential]]&gt;0,Table46[[#This Row],[Home]],Table46[[#This Row],[Visitor]])</f>
        <v>Toronto Maple Leafs</v>
      </c>
      <c r="L12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0.4693313639187407</v>
      </c>
      <c r="M124" s="11" t="str">
        <f>IF(Table46[[#This Row],[Strength of Win]]&gt; 0.5,Table46[[#This Row],[Predicted Winner]], IF(Table46[[#This Row],[Home]]=Table46[[#This Row],[Predicted Winner]],Table46[[#This Row],[Visitor]],Table46[[#This Row],[Home]]))</f>
        <v>Buffalo Sabres</v>
      </c>
      <c r="N124" t="str">
        <f>IF(OR((NHL2025_26Results[[#This Row],[Winning Team]]="")),"-",IF(Table46[[#This Row],[Predicted Winner]]=NHL2025_26Results[[#This Row],[Winning Team]],"YES","NO"))</f>
        <v>NO</v>
      </c>
      <c r="O124" t="str">
        <f>IF(OR((NHL2025_26Results[[#This Row],[Winning Team]]="")),"-",IF(Table46[[#This Row],[Prob Winner]]=NHL2025_26Results[[#This Row],[Winning Team]],"YES","NO"))</f>
        <v>YES</v>
      </c>
      <c r="P124" t="str">
        <f>IF(Table46[[#This Row],[Locked Prediction]]&lt;&gt;Table46[[#This Row],[Prob Winner]], "Changed", "Same")</f>
        <v>Same</v>
      </c>
      <c r="Q124">
        <f>IF(Table46[[#This Row],[Adjusted Predicted Correct]]="-", "",IF(Table46[[#This Row],[Adjusted Predicted Correct]]="YES",(Table46[[#This Row],[Strength of Win]]-1)^2,(Table46[[#This Row],[Strength of Win]]-0)^2))</f>
        <v>0.22027192915782542</v>
      </c>
      <c r="R124">
        <v>0.41694922370540466</v>
      </c>
      <c r="S124" t="s">
        <v>23</v>
      </c>
      <c r="T124" t="s">
        <v>248</v>
      </c>
    </row>
    <row r="125" spans="4:20" x14ac:dyDescent="0.2">
      <c r="D125" s="1">
        <v>45954</v>
      </c>
      <c r="E125" s="2">
        <v>0.79166666666666663</v>
      </c>
      <c r="F125" t="s">
        <v>28</v>
      </c>
      <c r="G125">
        <f>VLOOKUP(Table46[[#This Row],[Home]],'NHL Model'!$A$6:$B$38,2,FALSE)</f>
        <v>-0.40822279081308277</v>
      </c>
      <c r="H125" t="s">
        <v>22</v>
      </c>
      <c r="I125">
        <f>VLOOKUP(Table46[[#This Row],[Visitor]],'NHL Model'!$A$6:$B$38,2,FALSE)</f>
        <v>-6.1308839486784707E-2</v>
      </c>
      <c r="J125">
        <f>($B$1+Table46[[#This Row],[Home Differential]])-Table46[[#This Row],[Away Differential]]</f>
        <v>-0.18434164166397968</v>
      </c>
      <c r="K125" t="str">
        <f>IF(Table46[[#This Row],[HomeIce Differential]]&gt;0,Table46[[#This Row],[Home]],Table46[[#This Row],[Visitor]])</f>
        <v>Washington Capitals</v>
      </c>
      <c r="L12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0.48450250782148796</v>
      </c>
      <c r="M125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125" t="str">
        <f>IF(OR((NHL2025_26Results[[#This Row],[Winning Team]]="")),"-",IF(Table46[[#This Row],[Predicted Winner]]=NHL2025_26Results[[#This Row],[Winning Team]],"YES","NO"))</f>
        <v>YES</v>
      </c>
      <c r="O125" t="str">
        <f>IF(OR((NHL2025_26Results[[#This Row],[Winning Team]]="")),"-",IF(Table46[[#This Row],[Prob Winner]]=NHL2025_26Results[[#This Row],[Winning Team]],"YES","NO"))</f>
        <v>NO</v>
      </c>
      <c r="P125" t="str">
        <f>IF(Table46[[#This Row],[Locked Prediction]]&lt;&gt;Table46[[#This Row],[Prob Winner]], "Changed", "Same")</f>
        <v>Changed</v>
      </c>
      <c r="Q125">
        <f>IF(Table46[[#This Row],[Adjusted Predicted Correct]]="-", "",IF(Table46[[#This Row],[Adjusted Predicted Correct]]="YES",(Table46[[#This Row],[Strength of Win]]-1)^2,(Table46[[#This Row],[Strength of Win]]-0)^2))</f>
        <v>0.2657376644423351</v>
      </c>
      <c r="R125">
        <v>-1.2375491643754386</v>
      </c>
      <c r="S125" t="s">
        <v>22</v>
      </c>
      <c r="T125" t="s">
        <v>248</v>
      </c>
    </row>
    <row r="126" spans="4:20" x14ac:dyDescent="0.2">
      <c r="D126" s="1">
        <v>45954</v>
      </c>
      <c r="E126" s="2">
        <v>0.79166666666666663</v>
      </c>
      <c r="F126" t="s">
        <v>24</v>
      </c>
      <c r="G126">
        <f>VLOOKUP(Table46[[#This Row],[Home]],'NHL Model'!$A$6:$B$38,2,FALSE)</f>
        <v>0.559441163373953</v>
      </c>
      <c r="H126" t="s">
        <v>33</v>
      </c>
      <c r="I126">
        <f>VLOOKUP(Table46[[#This Row],[Visitor]],'NHL Model'!$A$6:$B$38,2,FALSE)</f>
        <v>-0.39418177254008485</v>
      </c>
      <c r="J126">
        <f>($B$1+Table46[[#This Row],[Home Differential]])-Table46[[#This Row],[Away Differential]]</f>
        <v>1.1161952455763562</v>
      </c>
      <c r="K126" t="str">
        <f>IF(Table46[[#This Row],[HomeIce Differential]]&gt;0,Table46[[#This Row],[Home]],Table46[[#This Row],[Visitor]])</f>
        <v>New Jersey Devils</v>
      </c>
      <c r="L12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0.8037942744396358</v>
      </c>
      <c r="M126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26" t="str">
        <f>IF(OR((NHL2025_26Results[[#This Row],[Winning Team]]="")),"-",IF(Table46[[#This Row],[Predicted Winner]]=NHL2025_26Results[[#This Row],[Winning Team]],"YES","NO"))</f>
        <v>YES</v>
      </c>
      <c r="O126" t="str">
        <f>IF(OR((NHL2025_26Results[[#This Row],[Winning Team]]="")),"-",IF(Table46[[#This Row],[Prob Winner]]=NHL2025_26Results[[#This Row],[Winning Team]],"YES","NO"))</f>
        <v>YES</v>
      </c>
      <c r="P126" t="str">
        <f>IF(Table46[[#This Row],[Locked Prediction]]&lt;&gt;Table46[[#This Row],[Prob Winner]], "Changed", "Same")</f>
        <v>Same</v>
      </c>
      <c r="Q126">
        <f>IF(Table46[[#This Row],[Adjusted Predicted Correct]]="-", "",IF(Table46[[#This Row],[Adjusted Predicted Correct]]="YES",(Table46[[#This Row],[Strength of Win]]-1)^2,(Table46[[#This Row],[Strength of Win]]-0)^2))</f>
        <v>3.8496686742668949E-2</v>
      </c>
      <c r="R126">
        <v>2.2472008139585085</v>
      </c>
      <c r="S126" t="s">
        <v>24</v>
      </c>
      <c r="T126" t="s">
        <v>248</v>
      </c>
    </row>
    <row r="127" spans="4:20" x14ac:dyDescent="0.2">
      <c r="D127" s="1">
        <v>45954</v>
      </c>
      <c r="E127" s="2">
        <v>0.83333333333333337</v>
      </c>
      <c r="F127" t="s">
        <v>40</v>
      </c>
      <c r="G127">
        <f>VLOOKUP(Table46[[#This Row],[Home]],'NHL Model'!$A$6:$B$38,2,FALSE)</f>
        <v>0.105105258369765</v>
      </c>
      <c r="H127" t="s">
        <v>16</v>
      </c>
      <c r="I127">
        <f>VLOOKUP(Table46[[#This Row],[Visitor]],'NHL Model'!$A$6:$B$38,2,FALSE)</f>
        <v>-1.3903684122795328</v>
      </c>
      <c r="J127">
        <f>($B$1+Table46[[#This Row],[Home Differential]])-Table46[[#This Row],[Away Differential]]</f>
        <v>1.6580459803116163</v>
      </c>
      <c r="K127" t="str">
        <f>IF(Table46[[#This Row],[HomeIce Differential]]&gt;0,Table46[[#This Row],[Home]],Table46[[#This Row],[Visitor]])</f>
        <v>Winnipeg Jets</v>
      </c>
      <c r="L12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0.79642269038843183</v>
      </c>
      <c r="M127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27" t="str">
        <f>IF(OR((NHL2025_26Results[[#This Row],[Winning Team]]="")),"-",IF(Table46[[#This Row],[Predicted Winner]]=NHL2025_26Results[[#This Row],[Winning Team]],"YES","NO"))</f>
        <v>YES</v>
      </c>
      <c r="O127" t="str">
        <f>IF(OR((NHL2025_26Results[[#This Row],[Winning Team]]="")),"-",IF(Table46[[#This Row],[Prob Winner]]=NHL2025_26Results[[#This Row],[Winning Team]],"YES","NO"))</f>
        <v>YES</v>
      </c>
      <c r="P127" t="str">
        <f>IF(Table46[[#This Row],[Locked Prediction]]&lt;&gt;Table46[[#This Row],[Prob Winner]], "Changed", "Same")</f>
        <v>Same</v>
      </c>
      <c r="Q127">
        <f>IF(Table46[[#This Row],[Adjusted Predicted Correct]]="-", "",IF(Table46[[#This Row],[Adjusted Predicted Correct]]="YES",(Table46[[#This Row],[Strength of Win]]-1)^2,(Table46[[#This Row],[Strength of Win]]-0)^2))</f>
        <v>4.1443720988684284E-2</v>
      </c>
      <c r="R127">
        <v>2.4626344898479542</v>
      </c>
      <c r="S127" t="s">
        <v>40</v>
      </c>
      <c r="T127" t="s">
        <v>248</v>
      </c>
    </row>
    <row r="128" spans="4:20" x14ac:dyDescent="0.2">
      <c r="D128" s="1">
        <v>45955</v>
      </c>
      <c r="E128" s="2">
        <v>0.625</v>
      </c>
      <c r="F128" t="s">
        <v>21</v>
      </c>
      <c r="G128">
        <f>VLOOKUP(Table46[[#This Row],[Home]],'NHL Model'!$A$6:$B$38,2,FALSE)</f>
        <v>4.029141914856392E-2</v>
      </c>
      <c r="H128" t="s">
        <v>12</v>
      </c>
      <c r="I128">
        <f>VLOOKUP(Table46[[#This Row],[Visitor]],'NHL Model'!$A$6:$B$38,2,FALSE)</f>
        <v>1.5475013591489768</v>
      </c>
      <c r="J128">
        <f>($B$1+Table46[[#This Row],[Home Differential]])-Table46[[#This Row],[Away Differential]]</f>
        <v>-1.3446376303380945</v>
      </c>
      <c r="K128" t="str">
        <f>IF(Table46[[#This Row],[HomeIce Differential]]&gt;0,Table46[[#This Row],[Home]],Table46[[#This Row],[Visitor]])</f>
        <v>Colorado Avalanche</v>
      </c>
      <c r="L12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0.63078269211886906</v>
      </c>
      <c r="M128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28" t="str">
        <f>IF(OR((NHL2025_26Results[[#This Row],[Winning Team]]="")),"-",IF(Table46[[#This Row],[Predicted Winner]]=NHL2025_26Results[[#This Row],[Winning Team]],"YES","NO"))</f>
        <v>NO</v>
      </c>
      <c r="O128" t="str">
        <f>IF(OR((NHL2025_26Results[[#This Row],[Winning Team]]="")),"-",IF(Table46[[#This Row],[Prob Winner]]=NHL2025_26Results[[#This Row],[Winning Team]],"YES","NO"))</f>
        <v>NO</v>
      </c>
      <c r="P128" t="str">
        <f>IF(Table46[[#This Row],[Locked Prediction]]&lt;&gt;Table46[[#This Row],[Prob Winner]], "Changed", "Same")</f>
        <v>Same</v>
      </c>
      <c r="Q128">
        <f>IF(Table46[[#This Row],[Adjusted Predicted Correct]]="-", "",IF(Table46[[#This Row],[Adjusted Predicted Correct]]="YES",(Table46[[#This Row],[Strength of Win]]-1)^2,(Table46[[#This Row],[Strength of Win]]-0)^2))</f>
        <v>0.39788680467672793</v>
      </c>
      <c r="R128">
        <v>-1.0133330670111027</v>
      </c>
      <c r="S128" t="s">
        <v>12</v>
      </c>
      <c r="T128" t="s">
        <v>249</v>
      </c>
    </row>
    <row r="129" spans="4:20" x14ac:dyDescent="0.2">
      <c r="D129" s="1">
        <v>45955</v>
      </c>
      <c r="E129" s="2">
        <v>0.83333333333333337</v>
      </c>
      <c r="F129" t="s">
        <v>39</v>
      </c>
      <c r="G129">
        <f>VLOOKUP(Table46[[#This Row],[Home]],'NHL Model'!$A$6:$B$38,2,FALSE)</f>
        <v>0.19809534061227302</v>
      </c>
      <c r="H129" t="s">
        <v>25</v>
      </c>
      <c r="I129">
        <f>VLOOKUP(Table46[[#This Row],[Visitor]],'NHL Model'!$A$6:$B$38,2,FALSE)</f>
        <v>0.67193921242367816</v>
      </c>
      <c r="J129">
        <f>($B$1+Table46[[#This Row],[Home Differential]])-Table46[[#This Row],[Away Differential]]</f>
        <v>-0.31127156214908674</v>
      </c>
      <c r="K129" t="str">
        <f>IF(Table46[[#This Row],[HomeIce Differential]]&gt;0,Table46[[#This Row],[Home]],Table46[[#This Row],[Visitor]])</f>
        <v>Carolina Hurricanes</v>
      </c>
      <c r="L12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0.56768969619014509</v>
      </c>
      <c r="M129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29" t="str">
        <f>IF(OR((NHL2025_26Results[[#This Row],[Winning Team]]="")),"-",IF(Table46[[#This Row],[Predicted Winner]]=NHL2025_26Results[[#This Row],[Winning Team]],"YES","NO"))</f>
        <v>NO</v>
      </c>
      <c r="O129" t="str">
        <f>IF(OR((NHL2025_26Results[[#This Row],[Winning Team]]="")),"-",IF(Table46[[#This Row],[Prob Winner]]=NHL2025_26Results[[#This Row],[Winning Team]],"YES","NO"))</f>
        <v>NO</v>
      </c>
      <c r="P129" t="str">
        <f>IF(Table46[[#This Row],[Locked Prediction]]&lt;&gt;Table46[[#This Row],[Prob Winner]], "Changed", "Same")</f>
        <v>Same</v>
      </c>
      <c r="Q129">
        <f>IF(Table46[[#This Row],[Adjusted Predicted Correct]]="-", "",IF(Table46[[#This Row],[Adjusted Predicted Correct]]="YES",(Table46[[#This Row],[Strength of Win]]-1)^2,(Table46[[#This Row],[Strength of Win]]-0)^2))</f>
        <v>0.32227159116045923</v>
      </c>
      <c r="R129">
        <v>-1.7156103470627815</v>
      </c>
      <c r="S129" t="s">
        <v>25</v>
      </c>
      <c r="T129" t="s">
        <v>249</v>
      </c>
    </row>
    <row r="130" spans="4:20" x14ac:dyDescent="0.2">
      <c r="D130" s="1">
        <v>45955</v>
      </c>
      <c r="E130" s="2">
        <v>0.79166666666666663</v>
      </c>
      <c r="F130" t="s">
        <v>26</v>
      </c>
      <c r="G130">
        <f>VLOOKUP(Table46[[#This Row],[Home]],'NHL Model'!$A$6:$B$38,2,FALSE)</f>
        <v>-0.513643833119658</v>
      </c>
      <c r="H130" t="s">
        <v>35</v>
      </c>
      <c r="I130">
        <f>VLOOKUP(Table46[[#This Row],[Visitor]],'NHL Model'!$A$6:$B$38,2,FALSE)</f>
        <v>-1.6211574240381006</v>
      </c>
      <c r="J130">
        <f>($B$1+Table46[[#This Row],[Home Differential]])-Table46[[#This Row],[Away Differential]]</f>
        <v>1.270085900580761</v>
      </c>
      <c r="K130" t="str">
        <f>IF(Table46[[#This Row],[HomeIce Differential]]&gt;0,Table46[[#This Row],[Home]],Table46[[#This Row],[Visitor]])</f>
        <v>Detroit Red Wings</v>
      </c>
      <c r="L13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0.73485629161340249</v>
      </c>
      <c r="M130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130" t="str">
        <f>IF(OR((NHL2025_26Results[[#This Row],[Winning Team]]="")),"-",IF(Table46[[#This Row],[Predicted Winner]]=NHL2025_26Results[[#This Row],[Winning Team]],"YES","NO"))</f>
        <v>YES</v>
      </c>
      <c r="O130" t="str">
        <f>IF(OR((NHL2025_26Results[[#This Row],[Winning Team]]="")),"-",IF(Table46[[#This Row],[Prob Winner]]=NHL2025_26Results[[#This Row],[Winning Team]],"YES","NO"))</f>
        <v>YES</v>
      </c>
      <c r="P130" t="str">
        <f>IF(Table46[[#This Row],[Locked Prediction]]&lt;&gt;Table46[[#This Row],[Prob Winner]], "Changed", "Same")</f>
        <v>Same</v>
      </c>
      <c r="Q130">
        <f>IF(Table46[[#This Row],[Adjusted Predicted Correct]]="-", "",IF(Table46[[#This Row],[Adjusted Predicted Correct]]="YES",(Table46[[#This Row],[Strength of Win]]-1)^2,(Table46[[#This Row],[Strength of Win]]-0)^2))</f>
        <v>7.0301186096997065E-2</v>
      </c>
      <c r="R130">
        <v>1.4751590066233431</v>
      </c>
      <c r="S130" t="s">
        <v>26</v>
      </c>
      <c r="T130" t="s">
        <v>248</v>
      </c>
    </row>
    <row r="131" spans="4:20" x14ac:dyDescent="0.2">
      <c r="D131" s="1">
        <v>45955</v>
      </c>
      <c r="E131" s="2">
        <v>0.75</v>
      </c>
      <c r="F131" t="s">
        <v>11</v>
      </c>
      <c r="G131">
        <f>VLOOKUP(Table46[[#This Row],[Home]],'NHL Model'!$A$6:$B$38,2,FALSE)</f>
        <v>-0.28105923893144158</v>
      </c>
      <c r="H131" t="s">
        <v>20</v>
      </c>
      <c r="I131">
        <f>VLOOKUP(Table46[[#This Row],[Visitor]],'NHL Model'!$A$6:$B$38,2,FALSE)</f>
        <v>-6.3745791019188943E-4</v>
      </c>
      <c r="J131">
        <f>($B$1+Table46[[#This Row],[Home Differential]])-Table46[[#This Row],[Away Differential]]</f>
        <v>-0.1178494713589313</v>
      </c>
      <c r="K131" t="str">
        <f>IF(Table46[[#This Row],[HomeIce Differential]]&gt;0,Table46[[#This Row],[Home]],Table46[[#This Row],[Visitor]])</f>
        <v>Vegas Golden Knights</v>
      </c>
      <c r="L13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0.44423586319219649</v>
      </c>
      <c r="M131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131" t="str">
        <f>IF(OR((NHL2025_26Results[[#This Row],[Winning Team]]="")),"-",IF(Table46[[#This Row],[Predicted Winner]]=NHL2025_26Results[[#This Row],[Winning Team]],"YES","NO"))</f>
        <v>NO</v>
      </c>
      <c r="O131" t="str">
        <f>IF(OR((NHL2025_26Results[[#This Row],[Winning Team]]="")),"-",IF(Table46[[#This Row],[Prob Winner]]=NHL2025_26Results[[#This Row],[Winning Team]],"YES","NO"))</f>
        <v>YES</v>
      </c>
      <c r="P131" t="str">
        <f>IF(Table46[[#This Row],[Locked Prediction]]&lt;&gt;Table46[[#This Row],[Prob Winner]], "Changed", "Same")</f>
        <v>Changed</v>
      </c>
      <c r="Q131">
        <f>IF(Table46[[#This Row],[Adjusted Predicted Correct]]="-", "",IF(Table46[[#This Row],[Adjusted Predicted Correct]]="YES",(Table46[[#This Row],[Strength of Win]]-1)^2,(Table46[[#This Row],[Strength of Win]]-0)^2))</f>
        <v>0.1973455021461159</v>
      </c>
      <c r="R131">
        <v>-0.31959801453705095</v>
      </c>
      <c r="S131" t="s">
        <v>20</v>
      </c>
      <c r="T131" t="s">
        <v>249</v>
      </c>
    </row>
    <row r="132" spans="4:20" x14ac:dyDescent="0.2">
      <c r="D132" s="1">
        <v>45955</v>
      </c>
      <c r="E132" s="2">
        <v>0.75</v>
      </c>
      <c r="F132" t="s">
        <v>34</v>
      </c>
      <c r="G132">
        <f>VLOOKUP(Table46[[#This Row],[Home]],'NHL Model'!$A$6:$B$38,2,FALSE)</f>
        <v>-0.53650300840565446</v>
      </c>
      <c r="H132" t="s">
        <v>55</v>
      </c>
      <c r="I132">
        <f>VLOOKUP(Table46[[#This Row],[Visitor]],'NHL Model'!$A$6:$B$38,2,FALSE)</f>
        <v>-0.12212311954851815</v>
      </c>
      <c r="J132">
        <f>($B$1+Table46[[#This Row],[Home Differential]])-Table46[[#This Row],[Away Differential]]</f>
        <v>-0.25180757919481789</v>
      </c>
      <c r="K132" t="str">
        <f>IF(Table46[[#This Row],[HomeIce Differential]]&gt;0,Table46[[#This Row],[Home]],Table46[[#This Row],[Visitor]])</f>
        <v>Utah Mammoth</v>
      </c>
      <c r="L13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0.49347001319418415</v>
      </c>
      <c r="M132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132" t="str">
        <f>IF(OR((NHL2025_26Results[[#This Row],[Winning Team]]="")),"-",IF(Table46[[#This Row],[Predicted Winner]]=NHL2025_26Results[[#This Row],[Winning Team]],"YES","NO"))</f>
        <v>YES</v>
      </c>
      <c r="O132" t="str">
        <f>IF(OR((NHL2025_26Results[[#This Row],[Winning Team]]="")),"-",IF(Table46[[#This Row],[Prob Winner]]=NHL2025_26Results[[#This Row],[Winning Team]],"YES","NO"))</f>
        <v>NO</v>
      </c>
      <c r="P132" t="str">
        <f>IF(Table46[[#This Row],[Locked Prediction]]&lt;&gt;Table46[[#This Row],[Prob Winner]], "Changed", "Same")</f>
        <v>Changed</v>
      </c>
      <c r="Q132">
        <f>IF(Table46[[#This Row],[Adjusted Predicted Correct]]="-", "",IF(Table46[[#This Row],[Adjusted Predicted Correct]]="YES",(Table46[[#This Row],[Strength of Win]]-1)^2,(Table46[[#This Row],[Strength of Win]]-0)^2))</f>
        <v>0.25657262753349996</v>
      </c>
      <c r="R132">
        <v>-1.993561697378085</v>
      </c>
      <c r="S132" t="s">
        <v>55</v>
      </c>
      <c r="T132" t="s">
        <v>248</v>
      </c>
    </row>
    <row r="133" spans="4:20" x14ac:dyDescent="0.2">
      <c r="D133" s="1">
        <v>45955</v>
      </c>
      <c r="E133" s="2">
        <v>0.83333333333333337</v>
      </c>
      <c r="F133" t="s">
        <v>29</v>
      </c>
      <c r="G133">
        <f>VLOOKUP(Table46[[#This Row],[Home]],'NHL Model'!$A$6:$B$38,2,FALSE)</f>
        <v>-1.3516250707060606</v>
      </c>
      <c r="H133" t="s">
        <v>13</v>
      </c>
      <c r="I133">
        <f>VLOOKUP(Table46[[#This Row],[Visitor]],'NHL Model'!$A$6:$B$38,2,FALSE)</f>
        <v>-7.5459708298993802E-2</v>
      </c>
      <c r="J133">
        <f>($B$1+Table46[[#This Row],[Home Differential]])-Table46[[#This Row],[Away Differential]]</f>
        <v>-1.1135930527447484</v>
      </c>
      <c r="K133" t="str">
        <f>IF(Table46[[#This Row],[HomeIce Differential]]&gt;0,Table46[[#This Row],[Home]],Table46[[#This Row],[Visitor]])</f>
        <v>Los Angeles Kings</v>
      </c>
      <c r="L13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0.72941303078109565</v>
      </c>
      <c r="M133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33" t="str">
        <f>IF(OR((NHL2025_26Results[[#This Row],[Winning Team]]="")),"-",IF(Table46[[#This Row],[Predicted Winner]]=NHL2025_26Results[[#This Row],[Winning Team]],"YES","NO"))</f>
        <v>NO</v>
      </c>
      <c r="O133" t="str">
        <f>IF(OR((NHL2025_26Results[[#This Row],[Winning Team]]="")),"-",IF(Table46[[#This Row],[Prob Winner]]=NHL2025_26Results[[#This Row],[Winning Team]],"YES","NO"))</f>
        <v>NO</v>
      </c>
      <c r="P133" t="str">
        <f>IF(Table46[[#This Row],[Locked Prediction]]&lt;&gt;Table46[[#This Row],[Prob Winner]], "Changed", "Same")</f>
        <v>Changed</v>
      </c>
      <c r="Q133">
        <f>IF(Table46[[#This Row],[Adjusted Predicted Correct]]="-", "",IF(Table46[[#This Row],[Adjusted Predicted Correct]]="YES",(Table46[[#This Row],[Strength of Win]]-1)^2,(Table46[[#This Row],[Strength of Win]]-0)^2))</f>
        <v>0.53204336947326358</v>
      </c>
      <c r="R133">
        <v>0.10789824799456826</v>
      </c>
      <c r="S133" t="s">
        <v>29</v>
      </c>
      <c r="T133" t="s">
        <v>248</v>
      </c>
    </row>
    <row r="134" spans="4:20" x14ac:dyDescent="0.2">
      <c r="D134" s="1">
        <v>45955</v>
      </c>
      <c r="E134" s="2">
        <v>0.52083333333333337</v>
      </c>
      <c r="F134" t="s">
        <v>27</v>
      </c>
      <c r="G134">
        <f>VLOOKUP(Table46[[#This Row],[Home]],'NHL Model'!$A$6:$B$38,2,FALSE)</f>
        <v>-0.51358590497437617</v>
      </c>
      <c r="H134" t="s">
        <v>30</v>
      </c>
      <c r="I134">
        <f>VLOOKUP(Table46[[#This Row],[Visitor]],'NHL Model'!$A$6:$B$38,2,FALSE)</f>
        <v>-6.4729560818359025E-2</v>
      </c>
      <c r="J134">
        <f>($B$1+Table46[[#This Row],[Home Differential]])-Table46[[#This Row],[Away Differential]]</f>
        <v>-0.28628403449369877</v>
      </c>
      <c r="K134" t="str">
        <f>IF(Table46[[#This Row],[HomeIce Differential]]&gt;0,Table46[[#This Row],[Home]],Table46[[#This Row],[Visitor]])</f>
        <v>New York Islanders</v>
      </c>
      <c r="L13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0.5380525893717244</v>
      </c>
      <c r="M134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34" t="str">
        <f>IF(OR((NHL2025_26Results[[#This Row],[Winning Team]]="")),"-",IF(Table46[[#This Row],[Predicted Winner]]=NHL2025_26Results[[#This Row],[Winning Team]],"YES","NO"))</f>
        <v>NO</v>
      </c>
      <c r="O134" t="str">
        <f>IF(OR((NHL2025_26Results[[#This Row],[Winning Team]]="")),"-",IF(Table46[[#This Row],[Prob Winner]]=NHL2025_26Results[[#This Row],[Winning Team]],"YES","NO"))</f>
        <v>NO</v>
      </c>
      <c r="P134" t="str">
        <f>IF(Table46[[#This Row],[Locked Prediction]]&lt;&gt;Table46[[#This Row],[Prob Winner]], "Changed", "Same")</f>
        <v>Changed</v>
      </c>
      <c r="Q134">
        <f>IF(Table46[[#This Row],[Adjusted Predicted Correct]]="-", "",IF(Table46[[#This Row],[Adjusted Predicted Correct]]="YES",(Table46[[#This Row],[Strength of Win]]-1)^2,(Table46[[#This Row],[Strength of Win]]-0)^2))</f>
        <v>0.2895005889296175</v>
      </c>
      <c r="R134">
        <v>0.13057390256868451</v>
      </c>
      <c r="S134" t="s">
        <v>27</v>
      </c>
      <c r="T134" t="s">
        <v>248</v>
      </c>
    </row>
    <row r="135" spans="4:20" x14ac:dyDescent="0.2">
      <c r="D135" s="1">
        <v>45955</v>
      </c>
      <c r="E135" s="2">
        <v>0.79166666666666663</v>
      </c>
      <c r="F135" t="s">
        <v>14</v>
      </c>
      <c r="G135">
        <f>VLOOKUP(Table46[[#This Row],[Home]],'NHL Model'!$A$6:$B$38,2,FALSE)</f>
        <v>0.26289091192875702</v>
      </c>
      <c r="H135" t="s">
        <v>28</v>
      </c>
      <c r="I135">
        <f>VLOOKUP(Table46[[#This Row],[Visitor]],'NHL Model'!$A$6:$B$38,2,FALSE)</f>
        <v>-0.40822279081308277</v>
      </c>
      <c r="J135">
        <f>($B$1+Table46[[#This Row],[Home Differential]])-Table46[[#This Row],[Away Differential]]</f>
        <v>0.83368601240415818</v>
      </c>
      <c r="K135" t="str">
        <f>IF(Table46[[#This Row],[HomeIce Differential]]&gt;0,Table46[[#This Row],[Home]],Table46[[#This Row],[Visitor]])</f>
        <v>Pittsburgh Penguins</v>
      </c>
      <c r="L13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0.66636827185344605</v>
      </c>
      <c r="M135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35" t="str">
        <f>IF(OR((NHL2025_26Results[[#This Row],[Winning Team]]="")),"-",IF(Table46[[#This Row],[Predicted Winner]]=NHL2025_26Results[[#This Row],[Winning Team]],"YES","NO"))</f>
        <v>NO</v>
      </c>
      <c r="O135" t="str">
        <f>IF(OR((NHL2025_26Results[[#This Row],[Winning Team]]="")),"-",IF(Table46[[#This Row],[Prob Winner]]=NHL2025_26Results[[#This Row],[Winning Team]],"YES","NO"))</f>
        <v>NO</v>
      </c>
      <c r="P135" t="str">
        <f>IF(Table46[[#This Row],[Locked Prediction]]&lt;&gt;Table46[[#This Row],[Prob Winner]], "Changed", "Same")</f>
        <v>Same</v>
      </c>
      <c r="Q135">
        <f>IF(Table46[[#This Row],[Adjusted Predicted Correct]]="-", "",IF(Table46[[#This Row],[Adjusted Predicted Correct]]="YES",(Table46[[#This Row],[Strength of Win]]-1)^2,(Table46[[#This Row],[Strength of Win]]-0)^2))</f>
        <v>0.44404667373294815</v>
      </c>
      <c r="R135">
        <v>0.55149848008752778</v>
      </c>
      <c r="S135" t="s">
        <v>14</v>
      </c>
      <c r="T135" t="s">
        <v>249</v>
      </c>
    </row>
    <row r="136" spans="4:20" x14ac:dyDescent="0.2">
      <c r="D136" s="1">
        <v>45955</v>
      </c>
      <c r="E136" s="2">
        <v>0.91666666666666663</v>
      </c>
      <c r="F136" t="s">
        <v>32</v>
      </c>
      <c r="G136">
        <f>VLOOKUP(Table46[[#This Row],[Home]],'NHL Model'!$A$6:$B$38,2,FALSE)</f>
        <v>-0.361361309178443</v>
      </c>
      <c r="H136" t="s">
        <v>17</v>
      </c>
      <c r="I136">
        <f>VLOOKUP(Table46[[#This Row],[Visitor]],'NHL Model'!$A$6:$B$38,2,FALSE)</f>
        <v>-0.61980804137564283</v>
      </c>
      <c r="J136">
        <f>($B$1+Table46[[#This Row],[Home Differential]])-Table46[[#This Row],[Away Differential]]</f>
        <v>0.42101904185951822</v>
      </c>
      <c r="K136" t="str">
        <f>IF(Table46[[#This Row],[HomeIce Differential]]&gt;0,Table46[[#This Row],[Home]],Table46[[#This Row],[Visitor]])</f>
        <v>Seattle Kraken</v>
      </c>
      <c r="L13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0.62199916850767623</v>
      </c>
      <c r="M136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136" t="str">
        <f>IF(OR((NHL2025_26Results[[#This Row],[Winning Team]]="")),"-",IF(Table46[[#This Row],[Predicted Winner]]=NHL2025_26Results[[#This Row],[Winning Team]],"YES","NO"))</f>
        <v>YES</v>
      </c>
      <c r="O136" t="str">
        <f>IF(OR((NHL2025_26Results[[#This Row],[Winning Team]]="")),"-",IF(Table46[[#This Row],[Prob Winner]]=NHL2025_26Results[[#This Row],[Winning Team]],"YES","NO"))</f>
        <v>YES</v>
      </c>
      <c r="P136" t="str">
        <f>IF(Table46[[#This Row],[Locked Prediction]]&lt;&gt;Table46[[#This Row],[Prob Winner]], "Changed", "Same")</f>
        <v>Same</v>
      </c>
      <c r="Q136">
        <f>IF(Table46[[#This Row],[Adjusted Predicted Correct]]="-", "",IF(Table46[[#This Row],[Adjusted Predicted Correct]]="YES",(Table46[[#This Row],[Strength of Win]]-1)^2,(Table46[[#This Row],[Strength of Win]]-0)^2))</f>
        <v>0.14288462860888815</v>
      </c>
      <c r="R136">
        <v>0.51837409396596268</v>
      </c>
      <c r="S136" t="s">
        <v>32</v>
      </c>
      <c r="T136" t="s">
        <v>248</v>
      </c>
    </row>
    <row r="137" spans="4:20" x14ac:dyDescent="0.2">
      <c r="D137" s="1">
        <v>45955</v>
      </c>
      <c r="E137" s="2">
        <v>0.70833333333333337</v>
      </c>
      <c r="F137" t="s">
        <v>37</v>
      </c>
      <c r="G137">
        <f>VLOOKUP(Table46[[#This Row],[Home]],'NHL Model'!$A$6:$B$38,2,FALSE)</f>
        <v>-0.11309445867623392</v>
      </c>
      <c r="H137" t="s">
        <v>31</v>
      </c>
      <c r="I137">
        <f>VLOOKUP(Table46[[#This Row],[Visitor]],'NHL Model'!$A$6:$B$38,2,FALSE)</f>
        <v>0.51775546328552802</v>
      </c>
      <c r="J137">
        <f>($B$1+Table46[[#This Row],[Home Differential]])-Table46[[#This Row],[Away Differential]]</f>
        <v>-0.46827761229944354</v>
      </c>
      <c r="K137" t="str">
        <f>IF(Table46[[#This Row],[HomeIce Differential]]&gt;0,Table46[[#This Row],[Home]],Table46[[#This Row],[Visitor]])</f>
        <v>Anaheim Ducks</v>
      </c>
      <c r="L13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0.54301222564778195</v>
      </c>
      <c r="M137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37" t="str">
        <f>IF(OR((NHL2025_26Results[[#This Row],[Winning Team]]="")),"-",IF(Table46[[#This Row],[Predicted Winner]]=NHL2025_26Results[[#This Row],[Winning Team]],"YES","NO"))</f>
        <v>NO</v>
      </c>
      <c r="O137" t="str">
        <f>IF(OR((NHL2025_26Results[[#This Row],[Winning Team]]="")),"-",IF(Table46[[#This Row],[Prob Winner]]=NHL2025_26Results[[#This Row],[Winning Team]],"YES","NO"))</f>
        <v>NO</v>
      </c>
      <c r="P137" t="str">
        <f>IF(Table46[[#This Row],[Locked Prediction]]&lt;&gt;Table46[[#This Row],[Prob Winner]], "Changed", "Same")</f>
        <v>Same</v>
      </c>
      <c r="Q137">
        <f>IF(Table46[[#This Row],[Adjusted Predicted Correct]]="-", "",IF(Table46[[#This Row],[Adjusted Predicted Correct]]="YES",(Table46[[#This Row],[Strength of Win]]-1)^2,(Table46[[#This Row],[Strength of Win]]-0)^2))</f>
        <v>0.29486227720295766</v>
      </c>
      <c r="R137">
        <v>-0.43394746276688168</v>
      </c>
      <c r="S137" t="s">
        <v>31</v>
      </c>
      <c r="T137" t="s">
        <v>249</v>
      </c>
    </row>
    <row r="138" spans="4:20" x14ac:dyDescent="0.2">
      <c r="D138" s="1">
        <v>45955</v>
      </c>
      <c r="E138" s="2">
        <v>0.79166666666666663</v>
      </c>
      <c r="F138" t="s">
        <v>19</v>
      </c>
      <c r="G138">
        <f>VLOOKUP(Table46[[#This Row],[Home]],'NHL Model'!$A$6:$B$38,2,FALSE)</f>
        <v>-0.635565543477981</v>
      </c>
      <c r="H138" t="s">
        <v>23</v>
      </c>
      <c r="I138">
        <f>VLOOKUP(Table46[[#This Row],[Visitor]],'NHL Model'!$A$6:$B$38,2,FALSE)</f>
        <v>-0.8683412362501769</v>
      </c>
      <c r="J138">
        <f>($B$1+Table46[[#This Row],[Home Differential]])-Table46[[#This Row],[Away Differential]]</f>
        <v>0.39534800243451429</v>
      </c>
      <c r="K138" t="str">
        <f>IF(Table46[[#This Row],[HomeIce Differential]]&gt;0,Table46[[#This Row],[Home]],Table46[[#This Row],[Visitor]])</f>
        <v>Toronto Maple Leafs</v>
      </c>
      <c r="L13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0.59254926360870186</v>
      </c>
      <c r="M138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138" t="str">
        <f>IF(OR((NHL2025_26Results[[#This Row],[Winning Team]]="")),"-",IF(Table46[[#This Row],[Predicted Winner]]=NHL2025_26Results[[#This Row],[Winning Team]],"YES","NO"))</f>
        <v>YES</v>
      </c>
      <c r="O138" t="str">
        <f>IF(OR((NHL2025_26Results[[#This Row],[Winning Team]]="")),"-",IF(Table46[[#This Row],[Prob Winner]]=NHL2025_26Results[[#This Row],[Winning Team]],"YES","NO"))</f>
        <v>YES</v>
      </c>
      <c r="P138" t="str">
        <f>IF(Table46[[#This Row],[Locked Prediction]]&lt;&gt;Table46[[#This Row],[Prob Winner]], "Changed", "Same")</f>
        <v>Changed</v>
      </c>
      <c r="Q138">
        <f>IF(Table46[[#This Row],[Adjusted Predicted Correct]]="-", "",IF(Table46[[#This Row],[Adjusted Predicted Correct]]="YES",(Table46[[#This Row],[Strength of Win]]-1)^2,(Table46[[#This Row],[Strength of Win]]-0)^2))</f>
        <v>0.16601610258581112</v>
      </c>
      <c r="R138">
        <v>-0.16475592245622639</v>
      </c>
      <c r="S138" t="s">
        <v>23</v>
      </c>
      <c r="T138" t="s">
        <v>249</v>
      </c>
    </row>
    <row r="139" spans="4:20" x14ac:dyDescent="0.2">
      <c r="D139" s="1">
        <v>45955</v>
      </c>
      <c r="E139" s="2">
        <v>0.79166666666666663</v>
      </c>
      <c r="F139" t="s">
        <v>38</v>
      </c>
      <c r="G139">
        <f>VLOOKUP(Table46[[#This Row],[Home]],'NHL Model'!$A$6:$B$38,2,FALSE)</f>
        <v>-0.6902088310934803</v>
      </c>
      <c r="H139" t="s">
        <v>18</v>
      </c>
      <c r="I139">
        <f>VLOOKUP(Table46[[#This Row],[Visitor]],'NHL Model'!$A$6:$B$38,2,FALSE)</f>
        <v>-0.52437726201848234</v>
      </c>
      <c r="J139">
        <f>($B$1+Table46[[#This Row],[Home Differential]])-Table46[[#This Row],[Away Differential]]</f>
        <v>-3.2592594126795715E-3</v>
      </c>
      <c r="K139" t="str">
        <f>IF(Table46[[#This Row],[HomeIce Differential]]&gt;0,Table46[[#This Row],[Home]],Table46[[#This Row],[Visitor]])</f>
        <v>Montreal Canadiens</v>
      </c>
      <c r="L13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0.53691390421754126</v>
      </c>
      <c r="M139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139" t="str">
        <f>IF(OR((NHL2025_26Results[[#This Row],[Winning Team]]="")),"-",IF(Table46[[#This Row],[Predicted Winner]]=NHL2025_26Results[[#This Row],[Winning Team]],"YES","NO"))</f>
        <v>YES</v>
      </c>
      <c r="O139" t="str">
        <f>IF(OR((NHL2025_26Results[[#This Row],[Winning Team]]="")),"-",IF(Table46[[#This Row],[Prob Winner]]=NHL2025_26Results[[#This Row],[Winning Team]],"YES","NO"))</f>
        <v>YES</v>
      </c>
      <c r="P139" t="str">
        <f>IF(Table46[[#This Row],[Locked Prediction]]&lt;&gt;Table46[[#This Row],[Prob Winner]], "Changed", "Same")</f>
        <v>Same</v>
      </c>
      <c r="Q139">
        <f>IF(Table46[[#This Row],[Adjusted Predicted Correct]]="-", "",IF(Table46[[#This Row],[Adjusted Predicted Correct]]="YES",(Table46[[#This Row],[Strength of Win]]-1)^2,(Table46[[#This Row],[Strength of Win]]-0)^2))</f>
        <v>0.21444873210704055</v>
      </c>
      <c r="R139">
        <v>-0.91879396386780554</v>
      </c>
      <c r="S139" t="s">
        <v>18</v>
      </c>
      <c r="T139" t="s">
        <v>248</v>
      </c>
    </row>
    <row r="140" spans="4:20" x14ac:dyDescent="0.2">
      <c r="D140" s="1">
        <v>45955</v>
      </c>
      <c r="E140" s="2">
        <v>0.79166666666666663</v>
      </c>
      <c r="F140" t="s">
        <v>22</v>
      </c>
      <c r="G140">
        <f>VLOOKUP(Table46[[#This Row],[Home]],'NHL Model'!$A$6:$B$38,2,FALSE)</f>
        <v>-6.1308839486784707E-2</v>
      </c>
      <c r="H140" t="s">
        <v>36</v>
      </c>
      <c r="I140">
        <f>VLOOKUP(Table46[[#This Row],[Visitor]],'NHL Model'!$A$6:$B$38,2,FALSE)</f>
        <v>-0.40651947573390851</v>
      </c>
      <c r="J140">
        <f>($B$1+Table46[[#This Row],[Home Differential]])-Table46[[#This Row],[Away Differential]]</f>
        <v>0.50778294590944217</v>
      </c>
      <c r="K140" t="str">
        <f>IF(Table46[[#This Row],[HomeIce Differential]]&gt;0,Table46[[#This Row],[Home]],Table46[[#This Row],[Visitor]])</f>
        <v>Washington Capitals</v>
      </c>
      <c r="L14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0.60749400456378511</v>
      </c>
      <c r="M140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140" t="str">
        <f>IF(OR((NHL2025_26Results[[#This Row],[Winning Team]]="")),"-",IF(Table46[[#This Row],[Predicted Winner]]=NHL2025_26Results[[#This Row],[Winning Team]],"YES","NO"))</f>
        <v>NO</v>
      </c>
      <c r="O140" t="str">
        <f>IF(OR((NHL2025_26Results[[#This Row],[Winning Team]]="")),"-",IF(Table46[[#This Row],[Prob Winner]]=NHL2025_26Results[[#This Row],[Winning Team]],"YES","NO"))</f>
        <v>NO</v>
      </c>
      <c r="P140" t="str">
        <f>IF(Table46[[#This Row],[Locked Prediction]]&lt;&gt;Table46[[#This Row],[Prob Winner]], "Changed", "Same")</f>
        <v>Same</v>
      </c>
      <c r="Q140">
        <f>IF(Table46[[#This Row],[Adjusted Predicted Correct]]="-", "",IF(Table46[[#This Row],[Adjusted Predicted Correct]]="YES",(Table46[[#This Row],[Strength of Win]]-1)^2,(Table46[[#This Row],[Strength of Win]]-0)^2))</f>
        <v>0.36904896558094413</v>
      </c>
      <c r="R140">
        <v>0.9258064541029658</v>
      </c>
      <c r="S140" t="s">
        <v>22</v>
      </c>
      <c r="T140" t="s">
        <v>249</v>
      </c>
    </row>
    <row r="141" spans="4:20" x14ac:dyDescent="0.2">
      <c r="D141" s="1">
        <v>45956</v>
      </c>
      <c r="E141" s="2">
        <v>0.83333333333333337</v>
      </c>
      <c r="F141" t="s">
        <v>16</v>
      </c>
      <c r="G141">
        <f>VLOOKUP(Table46[[#This Row],[Home]],'NHL Model'!$A$6:$B$38,2,FALSE)</f>
        <v>-1.3903684122795328</v>
      </c>
      <c r="H141" t="s">
        <v>15</v>
      </c>
      <c r="I141">
        <f>VLOOKUP(Table46[[#This Row],[Visitor]],'NHL Model'!$A$6:$B$38,2,FALSE)</f>
        <v>-0.30719665303039001</v>
      </c>
      <c r="J141">
        <f>($B$1+Table46[[#This Row],[Home Differential]])-Table46[[#This Row],[Away Differential]]</f>
        <v>-0.92059944958682438</v>
      </c>
      <c r="K141" t="str">
        <f>IF(Table46[[#This Row],[HomeIce Differential]]&gt;0,Table46[[#This Row],[Home]],Table46[[#This Row],[Visitor]])</f>
        <v>New York Rangers</v>
      </c>
      <c r="L14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0.72477480255267912</v>
      </c>
      <c r="M141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41" t="str">
        <f>IF(OR((NHL2025_26Results[[#This Row],[Winning Team]]="")),"-",IF(Table46[[#This Row],[Predicted Winner]]=NHL2025_26Results[[#This Row],[Winning Team]],"YES","NO"))</f>
        <v>NO</v>
      </c>
      <c r="O141" t="str">
        <f>IF(OR((NHL2025_26Results[[#This Row],[Winning Team]]="")),"-",IF(Table46[[#This Row],[Prob Winner]]=NHL2025_26Results[[#This Row],[Winning Team]],"YES","NO"))</f>
        <v>NO</v>
      </c>
      <c r="P141" t="str">
        <f>IF(Table46[[#This Row],[Locked Prediction]]&lt;&gt;Table46[[#This Row],[Prob Winner]], "Changed", "Same")</f>
        <v>Same</v>
      </c>
      <c r="Q141">
        <f>IF(Table46[[#This Row],[Adjusted Predicted Correct]]="-", "",IF(Table46[[#This Row],[Adjusted Predicted Correct]]="YES",(Table46[[#This Row],[Strength of Win]]-1)^2,(Table46[[#This Row],[Strength of Win]]-0)^2))</f>
        <v>0.52529851441527498</v>
      </c>
      <c r="R141">
        <v>-0.64418985918620675</v>
      </c>
      <c r="S141" t="s">
        <v>15</v>
      </c>
      <c r="T141" t="s">
        <v>249</v>
      </c>
    </row>
    <row r="142" spans="4:20" x14ac:dyDescent="0.2">
      <c r="D142" s="1">
        <v>45956</v>
      </c>
      <c r="E142" s="2">
        <v>0.79166666666666663</v>
      </c>
      <c r="F142" t="s">
        <v>10</v>
      </c>
      <c r="G142">
        <f>VLOOKUP(Table46[[#This Row],[Home]],'NHL Model'!$A$6:$B$38,2,FALSE)</f>
        <v>0.30570968833820172</v>
      </c>
      <c r="H142" t="s">
        <v>13</v>
      </c>
      <c r="I142">
        <f>VLOOKUP(Table46[[#This Row],[Visitor]],'NHL Model'!$A$6:$B$38,2,FALSE)</f>
        <v>-7.5459708298993802E-2</v>
      </c>
      <c r="J142">
        <f>($B$1+Table46[[#This Row],[Home Differential]])-Table46[[#This Row],[Away Differential]]</f>
        <v>0.5437417062995139</v>
      </c>
      <c r="K142" t="str">
        <f>IF(Table46[[#This Row],[HomeIce Differential]]&gt;0,Table46[[#This Row],[Home]],Table46[[#This Row],[Visitor]])</f>
        <v>Chicago Blackhawks</v>
      </c>
      <c r="L14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0.49087825842380461</v>
      </c>
      <c r="M142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42" t="str">
        <f>IF(OR((NHL2025_26Results[[#This Row],[Winning Team]]="")),"-",IF(Table46[[#This Row],[Predicted Winner]]=NHL2025_26Results[[#This Row],[Winning Team]],"YES","NO"))</f>
        <v>NO</v>
      </c>
      <c r="O142" t="str">
        <f>IF(OR((NHL2025_26Results[[#This Row],[Winning Team]]="")),"-",IF(Table46[[#This Row],[Prob Winner]]=NHL2025_26Results[[#This Row],[Winning Team]],"YES","NO"))</f>
        <v>YES</v>
      </c>
      <c r="P142" t="str">
        <f>IF(Table46[[#This Row],[Locked Prediction]]&lt;&gt;Table46[[#This Row],[Prob Winner]], "Changed", "Same")</f>
        <v>Changed</v>
      </c>
      <c r="Q142">
        <f>IF(Table46[[#This Row],[Adjusted Predicted Correct]]="-", "",IF(Table46[[#This Row],[Adjusted Predicted Correct]]="YES",(Table46[[#This Row],[Strength of Win]]-1)^2,(Table46[[#This Row],[Strength of Win]]-0)^2))</f>
        <v>0.24096146459318751</v>
      </c>
      <c r="R142">
        <v>0.57301428236358698</v>
      </c>
      <c r="S142" t="s">
        <v>10</v>
      </c>
      <c r="T142" t="s">
        <v>249</v>
      </c>
    </row>
    <row r="143" spans="4:20" x14ac:dyDescent="0.2">
      <c r="D143" s="1">
        <v>45956</v>
      </c>
      <c r="E143" s="2">
        <v>0.75</v>
      </c>
      <c r="F143" t="s">
        <v>34</v>
      </c>
      <c r="G143">
        <f>VLOOKUP(Table46[[#This Row],[Home]],'NHL Model'!$A$6:$B$38,2,FALSE)</f>
        <v>-0.53650300840565446</v>
      </c>
      <c r="H143" t="s">
        <v>33</v>
      </c>
      <c r="I143">
        <f>VLOOKUP(Table46[[#This Row],[Visitor]],'NHL Model'!$A$6:$B$38,2,FALSE)</f>
        <v>-0.39418177254008485</v>
      </c>
      <c r="J143">
        <f>($B$1+Table46[[#This Row],[Home Differential]])-Table46[[#This Row],[Away Differential]]</f>
        <v>2.0251073796748786E-2</v>
      </c>
      <c r="K143" t="str">
        <f>IF(Table46[[#This Row],[HomeIce Differential]]&gt;0,Table46[[#This Row],[Home]],Table46[[#This Row],[Visitor]])</f>
        <v>Minnesota Wild</v>
      </c>
      <c r="L14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0.54269175260467117</v>
      </c>
      <c r="M143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143" t="str">
        <f>IF(OR((NHL2025_26Results[[#This Row],[Winning Team]]="")),"-",IF(Table46[[#This Row],[Predicted Winner]]=NHL2025_26Results[[#This Row],[Winning Team]],"YES","NO"))</f>
        <v>NO</v>
      </c>
      <c r="O143" t="str">
        <f>IF(OR((NHL2025_26Results[[#This Row],[Winning Team]]="")),"-",IF(Table46[[#This Row],[Prob Winner]]=NHL2025_26Results[[#This Row],[Winning Team]],"YES","NO"))</f>
        <v>NO</v>
      </c>
      <c r="P143" t="str">
        <f>IF(Table46[[#This Row],[Locked Prediction]]&lt;&gt;Table46[[#This Row],[Prob Winner]], "Changed", "Same")</f>
        <v>Same</v>
      </c>
      <c r="Q143">
        <f>IF(Table46[[#This Row],[Adjusted Predicted Correct]]="-", "",IF(Table46[[#This Row],[Adjusted Predicted Correct]]="YES",(Table46[[#This Row],[Strength of Win]]-1)^2,(Table46[[#This Row],[Strength of Win]]-0)^2))</f>
        <v>0.29451433834512963</v>
      </c>
      <c r="R143">
        <v>1.6075713996527963E-2</v>
      </c>
      <c r="S143" t="s">
        <v>34</v>
      </c>
      <c r="T143" t="s">
        <v>249</v>
      </c>
    </row>
    <row r="144" spans="4:20" x14ac:dyDescent="0.2">
      <c r="D144" s="1">
        <v>45956</v>
      </c>
      <c r="E144" s="2">
        <v>0.54166666666666663</v>
      </c>
      <c r="F144" t="s">
        <v>24</v>
      </c>
      <c r="G144">
        <f>VLOOKUP(Table46[[#This Row],[Home]],'NHL Model'!$A$6:$B$38,2,FALSE)</f>
        <v>0.559441163373953</v>
      </c>
      <c r="H144" t="s">
        <v>12</v>
      </c>
      <c r="I144">
        <f>VLOOKUP(Table46[[#This Row],[Visitor]],'NHL Model'!$A$6:$B$38,2,FALSE)</f>
        <v>1.5475013591489768</v>
      </c>
      <c r="J144">
        <f>($B$1+Table46[[#This Row],[Home Differential]])-Table46[[#This Row],[Away Differential]]</f>
        <v>-0.8254878861127054</v>
      </c>
      <c r="K144" t="str">
        <f>IF(Table46[[#This Row],[HomeIce Differential]]&gt;0,Table46[[#This Row],[Home]],Table46[[#This Row],[Visitor]])</f>
        <v>Colorado Avalanche</v>
      </c>
      <c r="L14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0.5165026905150224</v>
      </c>
      <c r="M144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44" t="str">
        <f>IF(OR((NHL2025_26Results[[#This Row],[Winning Team]]="")),"-",IF(Table46[[#This Row],[Predicted Winner]]=NHL2025_26Results[[#This Row],[Winning Team]],"YES","NO"))</f>
        <v>NO</v>
      </c>
      <c r="O144" t="str">
        <f>IF(OR((NHL2025_26Results[[#This Row],[Winning Team]]="")),"-",IF(Table46[[#This Row],[Prob Winner]]=NHL2025_26Results[[#This Row],[Winning Team]],"YES","NO"))</f>
        <v>NO</v>
      </c>
      <c r="P144" t="str">
        <f>IF(Table46[[#This Row],[Locked Prediction]]&lt;&gt;Table46[[#This Row],[Prob Winner]], "Changed", "Same")</f>
        <v>Changed</v>
      </c>
      <c r="Q144">
        <f>IF(Table46[[#This Row],[Adjusted Predicted Correct]]="-", "",IF(Table46[[#This Row],[Adjusted Predicted Correct]]="YES",(Table46[[#This Row],[Strength of Win]]-1)^2,(Table46[[#This Row],[Strength of Win]]-0)^2))</f>
        <v>0.26677502930925701</v>
      </c>
      <c r="R144">
        <v>0.28310290944792438</v>
      </c>
      <c r="S144" t="s">
        <v>24</v>
      </c>
      <c r="T144" t="s">
        <v>248</v>
      </c>
    </row>
    <row r="145" spans="4:20" x14ac:dyDescent="0.2">
      <c r="D145" s="1">
        <v>45956</v>
      </c>
      <c r="E145" s="2">
        <v>0.79166666666666663</v>
      </c>
      <c r="F145" t="s">
        <v>29</v>
      </c>
      <c r="G145">
        <f>VLOOKUP(Table46[[#This Row],[Home]],'NHL Model'!$A$6:$B$38,2,FALSE)</f>
        <v>-1.3516250707060606</v>
      </c>
      <c r="H145" t="s">
        <v>39</v>
      </c>
      <c r="I145">
        <f>VLOOKUP(Table46[[#This Row],[Visitor]],'NHL Model'!$A$6:$B$38,2,FALSE)</f>
        <v>0.19809534061227302</v>
      </c>
      <c r="J145">
        <f>($B$1+Table46[[#This Row],[Home Differential]])-Table46[[#This Row],[Away Differential]]</f>
        <v>-1.3871481016560152</v>
      </c>
      <c r="K145" t="str">
        <f>IF(Table46[[#This Row],[HomeIce Differential]]&gt;0,Table46[[#This Row],[Home]],Table46[[#This Row],[Visitor]])</f>
        <v>Dallas Stars</v>
      </c>
      <c r="L14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0.73686453504665683</v>
      </c>
      <c r="M145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45" t="str">
        <f>IF(OR((NHL2025_26Results[[#This Row],[Winning Team]]="")),"-",IF(Table46[[#This Row],[Predicted Winner]]=NHL2025_26Results[[#This Row],[Winning Team]],"YES","NO"))</f>
        <v>YES</v>
      </c>
      <c r="O145" t="str">
        <f>IF(OR((NHL2025_26Results[[#This Row],[Winning Team]]="")),"-",IF(Table46[[#This Row],[Prob Winner]]=NHL2025_26Results[[#This Row],[Winning Team]],"YES","NO"))</f>
        <v>YES</v>
      </c>
      <c r="P145" t="str">
        <f>IF(Table46[[#This Row],[Locked Prediction]]&lt;&gt;Table46[[#This Row],[Prob Winner]], "Changed", "Same")</f>
        <v>Same</v>
      </c>
      <c r="Q145">
        <f>IF(Table46[[#This Row],[Adjusted Predicted Correct]]="-", "",IF(Table46[[#This Row],[Adjusted Predicted Correct]]="YES",(Table46[[#This Row],[Strength of Win]]-1)^2,(Table46[[#This Row],[Strength of Win]]-0)^2))</f>
        <v>6.9240272916212084E-2</v>
      </c>
      <c r="R145">
        <v>-0.20187186904748766</v>
      </c>
      <c r="S145" t="s">
        <v>39</v>
      </c>
      <c r="T145" t="s">
        <v>248</v>
      </c>
    </row>
    <row r="146" spans="4:20" x14ac:dyDescent="0.2">
      <c r="D146" s="1">
        <v>45956</v>
      </c>
      <c r="E146" s="2">
        <v>0.70833333333333337</v>
      </c>
      <c r="F146" t="s">
        <v>37</v>
      </c>
      <c r="G146">
        <f>VLOOKUP(Table46[[#This Row],[Home]],'NHL Model'!$A$6:$B$38,2,FALSE)</f>
        <v>-0.11309445867623392</v>
      </c>
      <c r="H146" t="s">
        <v>20</v>
      </c>
      <c r="I146">
        <f>VLOOKUP(Table46[[#This Row],[Visitor]],'NHL Model'!$A$6:$B$38,2,FALSE)</f>
        <v>-6.3745791019188943E-4</v>
      </c>
      <c r="J146">
        <f>($B$1+Table46[[#This Row],[Home Differential]])-Table46[[#This Row],[Away Differential]]</f>
        <v>5.0115308896276356E-2</v>
      </c>
      <c r="K146" t="str">
        <f>IF(Table46[[#This Row],[HomeIce Differential]]&gt;0,Table46[[#This Row],[Home]],Table46[[#This Row],[Visitor]])</f>
        <v>Tampa Bay Lightning</v>
      </c>
      <c r="L14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0.5258920462874509</v>
      </c>
      <c r="M146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46" t="str">
        <f>IF(OR((NHL2025_26Results[[#This Row],[Winning Team]]="")),"-",IF(Table46[[#This Row],[Predicted Winner]]=NHL2025_26Results[[#This Row],[Winning Team]],"YES","NO"))</f>
        <v>YES</v>
      </c>
      <c r="O146" t="str">
        <f>IF(OR((NHL2025_26Results[[#This Row],[Winning Team]]="")),"-",IF(Table46[[#This Row],[Prob Winner]]=NHL2025_26Results[[#This Row],[Winning Team]],"YES","NO"))</f>
        <v>YES</v>
      </c>
      <c r="P146" t="str">
        <f>IF(Table46[[#This Row],[Locked Prediction]]&lt;&gt;Table46[[#This Row],[Prob Winner]], "Changed", "Same")</f>
        <v>Changed</v>
      </c>
      <c r="Q146">
        <f>IF(Table46[[#This Row],[Adjusted Predicted Correct]]="-", "",IF(Table46[[#This Row],[Adjusted Predicted Correct]]="YES",(Table46[[#This Row],[Strength of Win]]-1)^2,(Table46[[#This Row],[Strength of Win]]-0)^2))</f>
        <v>0.22477835177350061</v>
      </c>
      <c r="R146">
        <v>-0.51384602530268031</v>
      </c>
      <c r="S146" t="s">
        <v>20</v>
      </c>
      <c r="T146" t="s">
        <v>249</v>
      </c>
    </row>
    <row r="147" spans="4:20" x14ac:dyDescent="0.2">
      <c r="D147" s="1">
        <v>45956</v>
      </c>
      <c r="E147" s="2">
        <v>0.91666666666666663</v>
      </c>
      <c r="F147" t="s">
        <v>38</v>
      </c>
      <c r="G147">
        <f>VLOOKUP(Table46[[#This Row],[Home]],'NHL Model'!$A$6:$B$38,2,FALSE)</f>
        <v>-0.6902088310934803</v>
      </c>
      <c r="H147" t="s">
        <v>17</v>
      </c>
      <c r="I147">
        <f>VLOOKUP(Table46[[#This Row],[Visitor]],'NHL Model'!$A$6:$B$38,2,FALSE)</f>
        <v>-0.61980804137564283</v>
      </c>
      <c r="J147">
        <f>($B$1+Table46[[#This Row],[Home Differential]])-Table46[[#This Row],[Away Differential]]</f>
        <v>9.2171519944480917E-2</v>
      </c>
      <c r="K147" t="str">
        <f>IF(Table46[[#This Row],[HomeIce Differential]]&gt;0,Table46[[#This Row],[Home]],Table46[[#This Row],[Visitor]])</f>
        <v>Vancouver Canucks</v>
      </c>
      <c r="L14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0.55225134683608157</v>
      </c>
      <c r="M147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147" t="str">
        <f>IF(OR((NHL2025_26Results[[#This Row],[Winning Team]]="")),"-",IF(Table46[[#This Row],[Predicted Winner]]=NHL2025_26Results[[#This Row],[Winning Team]],"YES","NO"))</f>
        <v>YES</v>
      </c>
      <c r="O147" t="str">
        <f>IF(OR((NHL2025_26Results[[#This Row],[Winning Team]]="")),"-",IF(Table46[[#This Row],[Prob Winner]]=NHL2025_26Results[[#This Row],[Winning Team]],"YES","NO"))</f>
        <v>YES</v>
      </c>
      <c r="P147" t="str">
        <f>IF(Table46[[#This Row],[Locked Prediction]]&lt;&gt;Table46[[#This Row],[Prob Winner]], "Changed", "Same")</f>
        <v>Same</v>
      </c>
      <c r="Q147">
        <f>IF(Table46[[#This Row],[Adjusted Predicted Correct]]="-", "",IF(Table46[[#This Row],[Adjusted Predicted Correct]]="YES",(Table46[[#This Row],[Strength of Win]]-1)^2,(Table46[[#This Row],[Strength of Win]]-0)^2))</f>
        <v>0.20047885641010293</v>
      </c>
      <c r="R147">
        <v>2.171278557883749E-2</v>
      </c>
      <c r="S147" t="s">
        <v>38</v>
      </c>
      <c r="T147" t="s">
        <v>248</v>
      </c>
    </row>
    <row r="148" spans="4:20" x14ac:dyDescent="0.2">
      <c r="D148" s="1">
        <v>45956</v>
      </c>
      <c r="E148" s="2">
        <v>0.75</v>
      </c>
      <c r="F148" t="s">
        <v>40</v>
      </c>
      <c r="G148">
        <f>VLOOKUP(Table46[[#This Row],[Home]],'NHL Model'!$A$6:$B$38,2,FALSE)</f>
        <v>0.105105258369765</v>
      </c>
      <c r="H148" t="s">
        <v>55</v>
      </c>
      <c r="I148">
        <f>VLOOKUP(Table46[[#This Row],[Visitor]],'NHL Model'!$A$6:$B$38,2,FALSE)</f>
        <v>-0.12212311954851815</v>
      </c>
      <c r="J148">
        <f>($B$1+Table46[[#This Row],[Home Differential]])-Table46[[#This Row],[Away Differential]]</f>
        <v>0.3898006875806016</v>
      </c>
      <c r="K148" t="str">
        <f>IF(Table46[[#This Row],[HomeIce Differential]]&gt;0,Table46[[#This Row],[Home]],Table46[[#This Row],[Visitor]])</f>
        <v>Winnipeg Jets</v>
      </c>
      <c r="L14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0.62784878639038033</v>
      </c>
      <c r="M148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48" t="str">
        <f>IF(OR((NHL2025_26Results[[#This Row],[Winning Team]]="")),"-",IF(Table46[[#This Row],[Predicted Winner]]=NHL2025_26Results[[#This Row],[Winning Team]],"YES","NO"))</f>
        <v>NO</v>
      </c>
      <c r="O148" t="str">
        <f>IF(OR((NHL2025_26Results[[#This Row],[Winning Team]]="")),"-",IF(Table46[[#This Row],[Prob Winner]]=NHL2025_26Results[[#This Row],[Winning Team]],"YES","NO"))</f>
        <v>NO</v>
      </c>
      <c r="P148" t="str">
        <f>IF(Table46[[#This Row],[Locked Prediction]]&lt;&gt;Table46[[#This Row],[Prob Winner]], "Changed", "Same")</f>
        <v>Changed</v>
      </c>
      <c r="Q148">
        <f>IF(Table46[[#This Row],[Adjusted Predicted Correct]]="-", "",IF(Table46[[#This Row],[Adjusted Predicted Correct]]="YES",(Table46[[#This Row],[Strength of Win]]-1)^2,(Table46[[#This Row],[Strength of Win]]-0)^2))</f>
        <v>0.39419409857187343</v>
      </c>
      <c r="R148">
        <v>-0.38432540401627707</v>
      </c>
      <c r="S148" t="s">
        <v>55</v>
      </c>
      <c r="T148" t="s">
        <v>248</v>
      </c>
    </row>
    <row r="149" spans="4:20" x14ac:dyDescent="0.2">
      <c r="D149" s="1">
        <v>45957</v>
      </c>
      <c r="E149" s="2">
        <v>0.8125</v>
      </c>
      <c r="F149" t="s">
        <v>36</v>
      </c>
      <c r="G149">
        <f>VLOOKUP(Table46[[#This Row],[Home]],'NHL Model'!$A$6:$B$38,2,FALSE)</f>
        <v>-0.40651947573390851</v>
      </c>
      <c r="H149" t="s">
        <v>21</v>
      </c>
      <c r="I149">
        <f>VLOOKUP(Table46[[#This Row],[Visitor]],'NHL Model'!$A$6:$B$38,2,FALSE)</f>
        <v>4.029141914856392E-2</v>
      </c>
      <c r="J149">
        <f>($B$1+Table46[[#This Row],[Home Differential]])-Table46[[#This Row],[Away Differential]]</f>
        <v>-0.28423858522015405</v>
      </c>
      <c r="K149" t="str">
        <f>IF(Table46[[#This Row],[HomeIce Differential]]&gt;0,Table46[[#This Row],[Home]],Table46[[#This Row],[Visitor]])</f>
        <v>Boston Bruins</v>
      </c>
      <c r="L14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0.49528523108259875</v>
      </c>
      <c r="M149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149" t="str">
        <f>IF(OR((NHL2025_26Results[[#This Row],[Winning Team]]="")),"-",IF(Table46[[#This Row],[Predicted Winner]]=NHL2025_26Results[[#This Row],[Winning Team]],"YES","NO"))</f>
        <v>NO</v>
      </c>
      <c r="O149" t="str">
        <f>IF(OR((NHL2025_26Results[[#This Row],[Winning Team]]="")),"-",IF(Table46[[#This Row],[Prob Winner]]=NHL2025_26Results[[#This Row],[Winning Team]],"YES","NO"))</f>
        <v>YES</v>
      </c>
      <c r="P149" t="str">
        <f>IF(Table46[[#This Row],[Locked Prediction]]&lt;&gt;Table46[[#This Row],[Prob Winner]], "Changed", "Same")</f>
        <v>Same</v>
      </c>
      <c r="Q149">
        <f>IF(Table46[[#This Row],[Adjusted Predicted Correct]]="-", "",IF(Table46[[#This Row],[Adjusted Predicted Correct]]="YES",(Table46[[#This Row],[Strength of Win]]-1)^2,(Table46[[#This Row],[Strength of Win]]-0)^2))</f>
        <v>0.24530746012854324</v>
      </c>
      <c r="R149">
        <v>0.55252281846528895</v>
      </c>
      <c r="S149" t="s">
        <v>36</v>
      </c>
      <c r="T149" t="s">
        <v>248</v>
      </c>
    </row>
    <row r="150" spans="4:20" x14ac:dyDescent="0.2">
      <c r="D150" s="1">
        <v>45957</v>
      </c>
      <c r="E150" s="2">
        <v>0.79166666666666663</v>
      </c>
      <c r="F150" t="s">
        <v>14</v>
      </c>
      <c r="G150">
        <f>VLOOKUP(Table46[[#This Row],[Home]],'NHL Model'!$A$6:$B$38,2,FALSE)</f>
        <v>0.26289091192875702</v>
      </c>
      <c r="H150" t="s">
        <v>35</v>
      </c>
      <c r="I150">
        <f>VLOOKUP(Table46[[#This Row],[Visitor]],'NHL Model'!$A$6:$B$38,2,FALSE)</f>
        <v>-1.6211574240381006</v>
      </c>
      <c r="J150">
        <f>($B$1+Table46[[#This Row],[Home Differential]])-Table46[[#This Row],[Away Differential]]</f>
        <v>2.0466206456291758</v>
      </c>
      <c r="K150" t="str">
        <f>IF(Table46[[#This Row],[HomeIce Differential]]&gt;0,Table46[[#This Row],[Home]],Table46[[#This Row],[Visitor]])</f>
        <v>Pittsburgh Penguins</v>
      </c>
      <c r="L15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0.84807164875851426</v>
      </c>
      <c r="M150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50" t="str">
        <f>IF(OR((NHL2025_26Results[[#This Row],[Winning Team]]="")),"-",IF(Table46[[#This Row],[Predicted Winner]]=NHL2025_26Results[[#This Row],[Winning Team]],"YES","NO"))</f>
        <v>YES</v>
      </c>
      <c r="O150" t="str">
        <f>IF(OR((NHL2025_26Results[[#This Row],[Winning Team]]="")),"-",IF(Table46[[#This Row],[Prob Winner]]=NHL2025_26Results[[#This Row],[Winning Team]],"YES","NO"))</f>
        <v>YES</v>
      </c>
      <c r="P150" t="str">
        <f>IF(Table46[[#This Row],[Locked Prediction]]&lt;&gt;Table46[[#This Row],[Prob Winner]], "Changed", "Same")</f>
        <v>Same</v>
      </c>
      <c r="Q150">
        <f>IF(Table46[[#This Row],[Adjusted Predicted Correct]]="-", "",IF(Table46[[#This Row],[Adjusted Predicted Correct]]="YES",(Table46[[#This Row],[Strength of Win]]-1)^2,(Table46[[#This Row],[Strength of Win]]-0)^2))</f>
        <v>2.3082223910956261E-2</v>
      </c>
      <c r="R150">
        <v>2.3662838120905634</v>
      </c>
      <c r="S150" t="s">
        <v>14</v>
      </c>
      <c r="T150" t="s">
        <v>248</v>
      </c>
    </row>
    <row r="151" spans="4:20" x14ac:dyDescent="0.2">
      <c r="D151" s="1">
        <v>45958</v>
      </c>
      <c r="E151" s="2">
        <v>0.80208333333333337</v>
      </c>
      <c r="F151" t="s">
        <v>21</v>
      </c>
      <c r="G151">
        <f>VLOOKUP(Table46[[#This Row],[Home]],'NHL Model'!$A$6:$B$38,2,FALSE)</f>
        <v>4.029141914856392E-2</v>
      </c>
      <c r="H151" t="s">
        <v>30</v>
      </c>
      <c r="I151">
        <f>VLOOKUP(Table46[[#This Row],[Visitor]],'NHL Model'!$A$6:$B$38,2,FALSE)</f>
        <v>-6.4729560818359025E-2</v>
      </c>
      <c r="J151">
        <f>($B$1+Table46[[#This Row],[Home Differential]])-Table46[[#This Row],[Away Differential]]</f>
        <v>0.26759328962924134</v>
      </c>
      <c r="K151" t="str">
        <f>IF(Table46[[#This Row],[HomeIce Differential]]&gt;0,Table46[[#This Row],[Home]],Table46[[#This Row],[Visitor]])</f>
        <v>Boston Bruins</v>
      </c>
      <c r="L15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0.60699680556673663</v>
      </c>
      <c r="M151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51" t="str">
        <f>IF(OR((NHL2025_26Results[[#This Row],[Winning Team]]="")),"-",IF(Table46[[#This Row],[Predicted Winner]]=NHL2025_26Results[[#This Row],[Winning Team]],"YES","NO"))</f>
        <v>YES</v>
      </c>
      <c r="O151" t="str">
        <f>IF(OR((NHL2025_26Results[[#This Row],[Winning Team]]="")),"-",IF(Table46[[#This Row],[Prob Winner]]=NHL2025_26Results[[#This Row],[Winning Team]],"YES","NO"))</f>
        <v>YES</v>
      </c>
      <c r="P151" t="str">
        <f>IF(Table46[[#This Row],[Locked Prediction]]&lt;&gt;Table46[[#This Row],[Prob Winner]], "Changed", "Same")</f>
        <v>Same</v>
      </c>
      <c r="Q151">
        <f>IF(Table46[[#This Row],[Adjusted Predicted Correct]]="-", "",IF(Table46[[#This Row],[Adjusted Predicted Correct]]="YES",(Table46[[#This Row],[Strength of Win]]-1)^2,(Table46[[#This Row],[Strength of Win]]-0)^2))</f>
        <v>0.15445151083474942</v>
      </c>
      <c r="R151">
        <v>0.26870995720827462</v>
      </c>
      <c r="S151" t="s">
        <v>21</v>
      </c>
      <c r="T151" t="s">
        <v>248</v>
      </c>
    </row>
    <row r="152" spans="4:20" x14ac:dyDescent="0.2">
      <c r="D152" s="1">
        <v>45958</v>
      </c>
      <c r="E152" s="2">
        <v>0.78125</v>
      </c>
      <c r="F152" t="s">
        <v>23</v>
      </c>
      <c r="G152">
        <f>VLOOKUP(Table46[[#This Row],[Home]],'NHL Model'!$A$6:$B$38,2,FALSE)</f>
        <v>-0.8683412362501769</v>
      </c>
      <c r="H152" t="s">
        <v>28</v>
      </c>
      <c r="I152">
        <f>VLOOKUP(Table46[[#This Row],[Visitor]],'NHL Model'!$A$6:$B$38,2,FALSE)</f>
        <v>-0.40822279081308277</v>
      </c>
      <c r="J152">
        <f>($B$1+Table46[[#This Row],[Home Differential]])-Table46[[#This Row],[Away Differential]]</f>
        <v>-0.29754613577477573</v>
      </c>
      <c r="K152" t="str">
        <f>IF(Table46[[#This Row],[HomeIce Differential]]&gt;0,Table46[[#This Row],[Home]],Table46[[#This Row],[Visitor]])</f>
        <v>Columbus Blue Jackets</v>
      </c>
      <c r="L15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0.5203187674515849</v>
      </c>
      <c r="M152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152" t="str">
        <f>IF(OR((NHL2025_26Results[[#This Row],[Winning Team]]="")),"-",IF(Table46[[#This Row],[Predicted Winner]]=NHL2025_26Results[[#This Row],[Winning Team]],"YES","NO"))</f>
        <v>YES</v>
      </c>
      <c r="O152" t="str">
        <f>IF(OR((NHL2025_26Results[[#This Row],[Winning Team]]="")),"-",IF(Table46[[#This Row],[Prob Winner]]=NHL2025_26Results[[#This Row],[Winning Team]],"YES","NO"))</f>
        <v>YES</v>
      </c>
      <c r="P152" t="str">
        <f>IF(Table46[[#This Row],[Locked Prediction]]&lt;&gt;Table46[[#This Row],[Prob Winner]], "Changed", "Same")</f>
        <v>Same</v>
      </c>
      <c r="Q152">
        <f>IF(Table46[[#This Row],[Adjusted Predicted Correct]]="-", "",IF(Table46[[#This Row],[Adjusted Predicted Correct]]="YES",(Table46[[#This Row],[Strength of Win]]-1)^2,(Table46[[#This Row],[Strength of Win]]-0)^2))</f>
        <v>0.23009408485916669</v>
      </c>
      <c r="R152">
        <v>-0.42139729402418508</v>
      </c>
      <c r="S152" t="s">
        <v>28</v>
      </c>
      <c r="T152" t="s">
        <v>248</v>
      </c>
    </row>
    <row r="153" spans="4:20" x14ac:dyDescent="0.2">
      <c r="D153" s="1">
        <v>45958</v>
      </c>
      <c r="E153" s="2">
        <v>0.77083333333333337</v>
      </c>
      <c r="F153" t="s">
        <v>25</v>
      </c>
      <c r="G153">
        <f>VLOOKUP(Table46[[#This Row],[Home]],'NHL Model'!$A$6:$B$38,2,FALSE)</f>
        <v>0.67193921242367816</v>
      </c>
      <c r="H153" t="s">
        <v>20</v>
      </c>
      <c r="I153">
        <f>VLOOKUP(Table46[[#This Row],[Visitor]],'NHL Model'!$A$6:$B$38,2,FALSE)</f>
        <v>-6.3745791019188943E-4</v>
      </c>
      <c r="J153">
        <f>($B$1+Table46[[#This Row],[Home Differential]])-Table46[[#This Row],[Away Differential]]</f>
        <v>0.83514897999618842</v>
      </c>
      <c r="K153" t="str">
        <f>IF(Table46[[#This Row],[HomeIce Differential]]&gt;0,Table46[[#This Row],[Home]],Table46[[#This Row],[Visitor]])</f>
        <v>Carolina Hurricanes</v>
      </c>
      <c r="L15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0.68243574392497863</v>
      </c>
      <c r="M153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53" t="str">
        <f>IF(OR((NHL2025_26Results[[#This Row],[Winning Team]]="")),"-",IF(Table46[[#This Row],[Predicted Winner]]=NHL2025_26Results[[#This Row],[Winning Team]],"YES","NO"))</f>
        <v>NO</v>
      </c>
      <c r="O153" t="str">
        <f>IF(OR((NHL2025_26Results[[#This Row],[Winning Team]]="")),"-",IF(Table46[[#This Row],[Prob Winner]]=NHL2025_26Results[[#This Row],[Winning Team]],"YES","NO"))</f>
        <v>NO</v>
      </c>
      <c r="P153" t="str">
        <f>IF(Table46[[#This Row],[Locked Prediction]]&lt;&gt;Table46[[#This Row],[Prob Winner]], "Changed", "Same")</f>
        <v>Same</v>
      </c>
      <c r="Q153">
        <f>IF(Table46[[#This Row],[Adjusted Predicted Correct]]="-", "",IF(Table46[[#This Row],[Adjusted Predicted Correct]]="YES",(Table46[[#This Row],[Strength of Win]]-1)^2,(Table46[[#This Row],[Strength of Win]]-0)^2))</f>
        <v>0.46571854458643902</v>
      </c>
      <c r="R153">
        <v>0.48863019270550906</v>
      </c>
      <c r="S153" t="s">
        <v>25</v>
      </c>
      <c r="T153" t="s">
        <v>249</v>
      </c>
    </row>
    <row r="154" spans="4:20" x14ac:dyDescent="0.2">
      <c r="D154" s="1">
        <v>45958</v>
      </c>
      <c r="E154" s="2">
        <v>0.86458333333333337</v>
      </c>
      <c r="F154" t="s">
        <v>10</v>
      </c>
      <c r="G154">
        <f>VLOOKUP(Table46[[#This Row],[Home]],'NHL Model'!$A$6:$B$38,2,FALSE)</f>
        <v>0.30570968833820172</v>
      </c>
      <c r="H154" t="s">
        <v>36</v>
      </c>
      <c r="I154">
        <f>VLOOKUP(Table46[[#This Row],[Visitor]],'NHL Model'!$A$6:$B$38,2,FALSE)</f>
        <v>-0.40651947573390851</v>
      </c>
      <c r="J154">
        <f>($B$1+Table46[[#This Row],[Home Differential]])-Table46[[#This Row],[Away Differential]]</f>
        <v>0.87480147373442863</v>
      </c>
      <c r="K154" t="str">
        <f>IF(Table46[[#This Row],[HomeIce Differential]]&gt;0,Table46[[#This Row],[Home]],Table46[[#This Row],[Visitor]])</f>
        <v>Chicago Blackhawks</v>
      </c>
      <c r="L15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0.65627774255964744</v>
      </c>
      <c r="M154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54" t="str">
        <f>IF(OR((NHL2025_26Results[[#This Row],[Winning Team]]="")),"-",IF(Table46[[#This Row],[Predicted Winner]]=NHL2025_26Results[[#This Row],[Winning Team]],"YES","NO"))</f>
        <v>YES</v>
      </c>
      <c r="O154" t="str">
        <f>IF(OR((NHL2025_26Results[[#This Row],[Winning Team]]="")),"-",IF(Table46[[#This Row],[Prob Winner]]=NHL2025_26Results[[#This Row],[Winning Team]],"YES","NO"))</f>
        <v>YES</v>
      </c>
      <c r="P154" t="str">
        <f>IF(Table46[[#This Row],[Locked Prediction]]&lt;&gt;Table46[[#This Row],[Prob Winner]], "Changed", "Same")</f>
        <v>Same</v>
      </c>
      <c r="Q154">
        <f>IF(Table46[[#This Row],[Adjusted Predicted Correct]]="-", "",IF(Table46[[#This Row],[Adjusted Predicted Correct]]="YES",(Table46[[#This Row],[Strength of Win]]-1)^2,(Table46[[#This Row],[Strength of Win]]-0)^2))</f>
        <v>0.118144990259892</v>
      </c>
      <c r="R154">
        <v>0.98762295214981388</v>
      </c>
      <c r="S154" t="s">
        <v>10</v>
      </c>
      <c r="T154" t="s">
        <v>248</v>
      </c>
    </row>
    <row r="155" spans="4:20" x14ac:dyDescent="0.2">
      <c r="D155" s="1">
        <v>45958</v>
      </c>
      <c r="E155" s="2">
        <v>0.875</v>
      </c>
      <c r="F155" t="s">
        <v>12</v>
      </c>
      <c r="G155">
        <f>VLOOKUP(Table46[[#This Row],[Home]],'NHL Model'!$A$6:$B$38,2,FALSE)</f>
        <v>1.5475013591489768</v>
      </c>
      <c r="H155" t="s">
        <v>24</v>
      </c>
      <c r="I155">
        <f>VLOOKUP(Table46[[#This Row],[Visitor]],'NHL Model'!$A$6:$B$38,2,FALSE)</f>
        <v>0.559441163373953</v>
      </c>
      <c r="J155">
        <f>($B$1+Table46[[#This Row],[Home Differential]])-Table46[[#This Row],[Away Differential]]</f>
        <v>1.1506325054373421</v>
      </c>
      <c r="K155" t="str">
        <f>IF(Table46[[#This Row],[HomeIce Differential]]&gt;0,Table46[[#This Row],[Home]],Table46[[#This Row],[Visitor]])</f>
        <v>Colorado Avalanche</v>
      </c>
      <c r="L15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0.71745705822029249</v>
      </c>
      <c r="M155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55" t="str">
        <f>IF(OR((NHL2025_26Results[[#This Row],[Winning Team]]="")),"-",IF(Table46[[#This Row],[Predicted Winner]]=NHL2025_26Results[[#This Row],[Winning Team]],"YES","NO"))</f>
        <v>YES</v>
      </c>
      <c r="O155" t="str">
        <f>IF(OR((NHL2025_26Results[[#This Row],[Winning Team]]="")),"-",IF(Table46[[#This Row],[Prob Winner]]=NHL2025_26Results[[#This Row],[Winning Team]],"YES","NO"))</f>
        <v>YES</v>
      </c>
      <c r="P155" t="str">
        <f>IF(Table46[[#This Row],[Locked Prediction]]&lt;&gt;Table46[[#This Row],[Prob Winner]], "Changed", "Same")</f>
        <v>Same</v>
      </c>
      <c r="Q155">
        <f>IF(Table46[[#This Row],[Adjusted Predicted Correct]]="-", "",IF(Table46[[#This Row],[Adjusted Predicted Correct]]="YES",(Table46[[#This Row],[Strength of Win]]-1)^2,(Table46[[#This Row],[Strength of Win]]-0)^2))</f>
        <v>7.9830513949531196E-2</v>
      </c>
      <c r="R155">
        <v>0.55368086990765564</v>
      </c>
      <c r="S155" t="s">
        <v>12</v>
      </c>
      <c r="T155" t="s">
        <v>248</v>
      </c>
    </row>
    <row r="156" spans="4:20" x14ac:dyDescent="0.2">
      <c r="D156" s="1">
        <v>45958</v>
      </c>
      <c r="E156" s="2">
        <v>0.85416666666666663</v>
      </c>
      <c r="F156" t="s">
        <v>39</v>
      </c>
      <c r="G156">
        <f>VLOOKUP(Table46[[#This Row],[Home]],'NHL Model'!$A$6:$B$38,2,FALSE)</f>
        <v>0.19809534061227302</v>
      </c>
      <c r="H156" t="s">
        <v>22</v>
      </c>
      <c r="I156">
        <f>VLOOKUP(Table46[[#This Row],[Visitor]],'NHL Model'!$A$6:$B$38,2,FALSE)</f>
        <v>-6.1308839486784707E-2</v>
      </c>
      <c r="J156">
        <f>($B$1+Table46[[#This Row],[Home Differential]])-Table46[[#This Row],[Away Differential]]</f>
        <v>0.42197648976137614</v>
      </c>
      <c r="K156" t="str">
        <f>IF(Table46[[#This Row],[HomeIce Differential]]&gt;0,Table46[[#This Row],[Home]],Table46[[#This Row],[Visitor]])</f>
        <v>Dallas Stars</v>
      </c>
      <c r="L15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0.62212643153133262</v>
      </c>
      <c r="M156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56" t="str">
        <f>IF(OR((NHL2025_26Results[[#This Row],[Winning Team]]="")),"-",IF(Table46[[#This Row],[Predicted Winner]]=NHL2025_26Results[[#This Row],[Winning Team]],"YES","NO"))</f>
        <v>YES</v>
      </c>
      <c r="O156" t="str">
        <f>IF(OR((NHL2025_26Results[[#This Row],[Winning Team]]="")),"-",IF(Table46[[#This Row],[Prob Winner]]=NHL2025_26Results[[#This Row],[Winning Team]],"YES","NO"))</f>
        <v>YES</v>
      </c>
      <c r="P156" t="str">
        <f>IF(Table46[[#This Row],[Locked Prediction]]&lt;&gt;Table46[[#This Row],[Prob Winner]], "Changed", "Same")</f>
        <v>Changed</v>
      </c>
      <c r="Q156">
        <f>IF(Table46[[#This Row],[Adjusted Predicted Correct]]="-", "",IF(Table46[[#This Row],[Adjusted Predicted Correct]]="YES",(Table46[[#This Row],[Strength of Win]]-1)^2,(Table46[[#This Row],[Strength of Win]]-0)^2))</f>
        <v>0.14278843374724465</v>
      </c>
      <c r="R156">
        <v>-0.27880271192204642</v>
      </c>
      <c r="S156" t="s">
        <v>22</v>
      </c>
      <c r="T156" t="s">
        <v>249</v>
      </c>
    </row>
    <row r="157" spans="4:20" x14ac:dyDescent="0.2">
      <c r="D157" s="1">
        <v>45958</v>
      </c>
      <c r="E157" s="2">
        <v>0.89583333333333337</v>
      </c>
      <c r="F157" t="s">
        <v>17</v>
      </c>
      <c r="G157">
        <f>VLOOKUP(Table46[[#This Row],[Home]],'NHL Model'!$A$6:$B$38,2,FALSE)</f>
        <v>-0.61980804137564283</v>
      </c>
      <c r="H157" t="s">
        <v>55</v>
      </c>
      <c r="I157">
        <f>VLOOKUP(Table46[[#This Row],[Visitor]],'NHL Model'!$A$6:$B$38,2,FALSE)</f>
        <v>-0.12212311954851815</v>
      </c>
      <c r="J157">
        <f>($B$1+Table46[[#This Row],[Home Differential]])-Table46[[#This Row],[Away Differential]]</f>
        <v>-0.33511261216480626</v>
      </c>
      <c r="K157" t="str">
        <f>IF(Table46[[#This Row],[HomeIce Differential]]&gt;0,Table46[[#This Row],[Home]],Table46[[#This Row],[Visitor]])</f>
        <v>Utah Mammoth</v>
      </c>
      <c r="L15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0.46850596903319164</v>
      </c>
      <c r="M157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157" t="str">
        <f>IF(OR((NHL2025_26Results[[#This Row],[Winning Team]]="")),"-",IF(Table46[[#This Row],[Predicted Winner]]=NHL2025_26Results[[#This Row],[Winning Team]],"YES","NO"))</f>
        <v>NO</v>
      </c>
      <c r="O157" t="str">
        <f>IF(OR((NHL2025_26Results[[#This Row],[Winning Team]]="")),"-",IF(Table46[[#This Row],[Prob Winner]]=NHL2025_26Results[[#This Row],[Winning Team]],"YES","NO"))</f>
        <v>YES</v>
      </c>
      <c r="P157" t="str">
        <f>IF(Table46[[#This Row],[Locked Prediction]]&lt;&gt;Table46[[#This Row],[Prob Winner]], "Changed", "Same")</f>
        <v>Changed</v>
      </c>
      <c r="Q157">
        <f>IF(Table46[[#This Row],[Adjusted Predicted Correct]]="-", "",IF(Table46[[#This Row],[Adjusted Predicted Correct]]="YES",(Table46[[#This Row],[Strength of Win]]-1)^2,(Table46[[#This Row],[Strength of Win]]-0)^2))</f>
        <v>0.21949784301972991</v>
      </c>
      <c r="R157">
        <v>-0.61234047472558972</v>
      </c>
      <c r="S157" t="s">
        <v>55</v>
      </c>
      <c r="T157" t="s">
        <v>249</v>
      </c>
    </row>
    <row r="158" spans="4:20" x14ac:dyDescent="0.2">
      <c r="D158" s="1">
        <v>45958</v>
      </c>
      <c r="E158" s="2">
        <v>0.79166666666666663</v>
      </c>
      <c r="F158" t="s">
        <v>11</v>
      </c>
      <c r="G158">
        <f>VLOOKUP(Table46[[#This Row],[Home]],'NHL Model'!$A$6:$B$38,2,FALSE)</f>
        <v>-0.28105923893144158</v>
      </c>
      <c r="H158" t="s">
        <v>31</v>
      </c>
      <c r="I158">
        <f>VLOOKUP(Table46[[#This Row],[Visitor]],'NHL Model'!$A$6:$B$38,2,FALSE)</f>
        <v>0.51775546328552802</v>
      </c>
      <c r="J158">
        <f>($B$1+Table46[[#This Row],[Home Differential]])-Table46[[#This Row],[Away Differential]]</f>
        <v>-0.6362423925546512</v>
      </c>
      <c r="K158" t="str">
        <f>IF(Table46[[#This Row],[HomeIce Differential]]&gt;0,Table46[[#This Row],[Home]],Table46[[#This Row],[Visitor]])</f>
        <v>Anaheim Ducks</v>
      </c>
      <c r="L15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0.51314013512742929</v>
      </c>
      <c r="M158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58" t="str">
        <f>IF(OR((NHL2025_26Results[[#This Row],[Winning Team]]="")),"-",IF(Table46[[#This Row],[Predicted Winner]]=NHL2025_26Results[[#This Row],[Winning Team]],"YES","NO"))</f>
        <v>YES</v>
      </c>
      <c r="O158" t="str">
        <f>IF(OR((NHL2025_26Results[[#This Row],[Winning Team]]="")),"-",IF(Table46[[#This Row],[Prob Winner]]=NHL2025_26Results[[#This Row],[Winning Team]],"YES","NO"))</f>
        <v>YES</v>
      </c>
      <c r="P158" t="str">
        <f>IF(Table46[[#This Row],[Locked Prediction]]&lt;&gt;Table46[[#This Row],[Prob Winner]], "Changed", "Same")</f>
        <v>Same</v>
      </c>
      <c r="Q158">
        <f>IF(Table46[[#This Row],[Adjusted Predicted Correct]]="-", "",IF(Table46[[#This Row],[Adjusted Predicted Correct]]="YES",(Table46[[#This Row],[Strength of Win]]-1)^2,(Table46[[#This Row],[Strength of Win]]-0)^2))</f>
        <v>0.23703252802373781</v>
      </c>
      <c r="R158">
        <v>-0.14621168379070282</v>
      </c>
      <c r="S158" t="s">
        <v>31</v>
      </c>
      <c r="T158" t="s">
        <v>248</v>
      </c>
    </row>
    <row r="159" spans="4:20" x14ac:dyDescent="0.2">
      <c r="D159" s="1">
        <v>45958</v>
      </c>
      <c r="E159" s="2">
        <v>0.83333333333333337</v>
      </c>
      <c r="F159" t="s">
        <v>34</v>
      </c>
      <c r="G159">
        <f>VLOOKUP(Table46[[#This Row],[Home]],'NHL Model'!$A$6:$B$38,2,FALSE)</f>
        <v>-0.53650300840565446</v>
      </c>
      <c r="H159" t="s">
        <v>40</v>
      </c>
      <c r="I159">
        <f>VLOOKUP(Table46[[#This Row],[Visitor]],'NHL Model'!$A$6:$B$38,2,FALSE)</f>
        <v>0.105105258369765</v>
      </c>
      <c r="J159">
        <f>($B$1+Table46[[#This Row],[Home Differential]])-Table46[[#This Row],[Away Differential]]</f>
        <v>-0.4790359571131011</v>
      </c>
      <c r="K159" t="str">
        <f>IF(Table46[[#This Row],[HomeIce Differential]]&gt;0,Table46[[#This Row],[Home]],Table46[[#This Row],[Visitor]])</f>
        <v>Winnipeg Jets</v>
      </c>
      <c r="L15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0.58998877285382101</v>
      </c>
      <c r="M159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59" t="str">
        <f>IF(OR((NHL2025_26Results[[#This Row],[Winning Team]]="")),"-",IF(Table46[[#This Row],[Predicted Winner]]=NHL2025_26Results[[#This Row],[Winning Team]],"YES","NO"))</f>
        <v>YES</v>
      </c>
      <c r="O159" t="str">
        <f>IF(OR((NHL2025_26Results[[#This Row],[Winning Team]]="")),"-",IF(Table46[[#This Row],[Prob Winner]]=NHL2025_26Results[[#This Row],[Winning Team]],"YES","NO"))</f>
        <v>YES</v>
      </c>
      <c r="P159" t="str">
        <f>IF(Table46[[#This Row],[Locked Prediction]]&lt;&gt;Table46[[#This Row],[Prob Winner]], "Changed", "Same")</f>
        <v>Same</v>
      </c>
      <c r="Q159">
        <f>IF(Table46[[#This Row],[Adjusted Predicted Correct]]="-", "",IF(Table46[[#This Row],[Adjusted Predicted Correct]]="YES",(Table46[[#This Row],[Strength of Win]]-1)^2,(Table46[[#This Row],[Strength of Win]]-0)^2))</f>
        <v>0.16810920638591559</v>
      </c>
      <c r="R159">
        <v>-1.3973653400344825</v>
      </c>
      <c r="S159" t="s">
        <v>40</v>
      </c>
      <c r="T159" t="s">
        <v>248</v>
      </c>
    </row>
    <row r="160" spans="4:20" x14ac:dyDescent="0.2">
      <c r="D160" s="1">
        <v>45958</v>
      </c>
      <c r="E160" s="2">
        <v>0.82291666666666663</v>
      </c>
      <c r="F160" t="s">
        <v>29</v>
      </c>
      <c r="G160">
        <f>VLOOKUP(Table46[[#This Row],[Home]],'NHL Model'!$A$6:$B$38,2,FALSE)</f>
        <v>-1.3516250707060606</v>
      </c>
      <c r="H160" t="s">
        <v>37</v>
      </c>
      <c r="I160">
        <f>VLOOKUP(Table46[[#This Row],[Visitor]],'NHL Model'!$A$6:$B$38,2,FALSE)</f>
        <v>-0.11309445867623392</v>
      </c>
      <c r="J160">
        <f>($B$1+Table46[[#This Row],[Home Differential]])-Table46[[#This Row],[Away Differential]]</f>
        <v>-1.0759583023675083</v>
      </c>
      <c r="K160" t="str">
        <f>IF(Table46[[#This Row],[HomeIce Differential]]&gt;0,Table46[[#This Row],[Home]],Table46[[#This Row],[Visitor]])</f>
        <v>Tampa Bay Lightning</v>
      </c>
      <c r="L16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0.65011469980379921</v>
      </c>
      <c r="M160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60" t="str">
        <f>IF(OR((NHL2025_26Results[[#This Row],[Winning Team]]="")),"-",IF(Table46[[#This Row],[Predicted Winner]]=NHL2025_26Results[[#This Row],[Winning Team]],"YES","NO"))</f>
        <v>YES</v>
      </c>
      <c r="O160" t="str">
        <f>IF(OR((NHL2025_26Results[[#This Row],[Winning Team]]="")),"-",IF(Table46[[#This Row],[Prob Winner]]=NHL2025_26Results[[#This Row],[Winning Team]],"YES","NO"))</f>
        <v>YES</v>
      </c>
      <c r="P160" t="str">
        <f>IF(Table46[[#This Row],[Locked Prediction]]&lt;&gt;Table46[[#This Row],[Prob Winner]], "Changed", "Same")</f>
        <v>Same</v>
      </c>
      <c r="Q160">
        <f>IF(Table46[[#This Row],[Adjusted Predicted Correct]]="-", "",IF(Table46[[#This Row],[Adjusted Predicted Correct]]="YES",(Table46[[#This Row],[Strength of Win]]-1)^2,(Table46[[#This Row],[Strength of Win]]-0)^2))</f>
        <v>0.12241972329338555</v>
      </c>
      <c r="R160">
        <v>-0.73773821882949986</v>
      </c>
      <c r="S160" t="s">
        <v>37</v>
      </c>
      <c r="T160" t="s">
        <v>248</v>
      </c>
    </row>
    <row r="161" spans="4:20" x14ac:dyDescent="0.2">
      <c r="D161" s="1">
        <v>45958</v>
      </c>
      <c r="E161" s="2">
        <v>0.75</v>
      </c>
      <c r="F161" t="s">
        <v>27</v>
      </c>
      <c r="G161">
        <f>VLOOKUP(Table46[[#This Row],[Home]],'NHL Model'!$A$6:$B$38,2,FALSE)</f>
        <v>-0.51358590497437617</v>
      </c>
      <c r="H161" t="s">
        <v>14</v>
      </c>
      <c r="I161">
        <f>VLOOKUP(Table46[[#This Row],[Visitor]],'NHL Model'!$A$6:$B$38,2,FALSE)</f>
        <v>0.26289091192875702</v>
      </c>
      <c r="J161">
        <f>($B$1+Table46[[#This Row],[Home Differential]])-Table46[[#This Row],[Away Differential]]</f>
        <v>-0.6139045072408148</v>
      </c>
      <c r="K161" t="str">
        <f>IF(Table46[[#This Row],[HomeIce Differential]]&gt;0,Table46[[#This Row],[Home]],Table46[[#This Row],[Visitor]])</f>
        <v>Pittsburgh Penguins</v>
      </c>
      <c r="L16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0.53910409783389579</v>
      </c>
      <c r="M161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61" t="str">
        <f>IF(OR((NHL2025_26Results[[#This Row],[Winning Team]]="")),"-",IF(Table46[[#This Row],[Predicted Winner]]=NHL2025_26Results[[#This Row],[Winning Team]],"YES","NO"))</f>
        <v>NO</v>
      </c>
      <c r="O161" t="str">
        <f>IF(OR((NHL2025_26Results[[#This Row],[Winning Team]]="")),"-",IF(Table46[[#This Row],[Prob Winner]]=NHL2025_26Results[[#This Row],[Winning Team]],"YES","NO"))</f>
        <v>NO</v>
      </c>
      <c r="P161" t="str">
        <f>IF(Table46[[#This Row],[Locked Prediction]]&lt;&gt;Table46[[#This Row],[Prob Winner]], "Changed", "Same")</f>
        <v>Same</v>
      </c>
      <c r="Q161">
        <f>IF(Table46[[#This Row],[Adjusted Predicted Correct]]="-", "",IF(Table46[[#This Row],[Adjusted Predicted Correct]]="YES",(Table46[[#This Row],[Strength of Win]]-1)^2,(Table46[[#This Row],[Strength of Win]]-0)^2))</f>
        <v>0.29063322830129867</v>
      </c>
      <c r="R161">
        <v>-6.56917424764355E-2</v>
      </c>
      <c r="S161" t="s">
        <v>14</v>
      </c>
      <c r="T161" t="s">
        <v>249</v>
      </c>
    </row>
    <row r="162" spans="4:20" x14ac:dyDescent="0.2">
      <c r="D162" s="1">
        <v>45958</v>
      </c>
      <c r="E162" s="2">
        <v>0.9375</v>
      </c>
      <c r="F162" t="s">
        <v>32</v>
      </c>
      <c r="G162">
        <f>VLOOKUP(Table46[[#This Row],[Home]],'NHL Model'!$A$6:$B$38,2,FALSE)</f>
        <v>-0.361361309178443</v>
      </c>
      <c r="H162" t="s">
        <v>18</v>
      </c>
      <c r="I162">
        <f>VLOOKUP(Table46[[#This Row],[Visitor]],'NHL Model'!$A$6:$B$38,2,FALSE)</f>
        <v>-0.52437726201848234</v>
      </c>
      <c r="J162">
        <f>($B$1+Table46[[#This Row],[Home Differential]])-Table46[[#This Row],[Away Differential]]</f>
        <v>0.32558826250235773</v>
      </c>
      <c r="K162" t="str">
        <f>IF(Table46[[#This Row],[HomeIce Differential]]&gt;0,Table46[[#This Row],[Home]],Table46[[#This Row],[Visitor]])</f>
        <v>Seattle Kraken</v>
      </c>
      <c r="L16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0.5330727866676227</v>
      </c>
      <c r="M162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162" t="str">
        <f>IF(OR((NHL2025_26Results[[#This Row],[Winning Team]]="")),"-",IF(Table46[[#This Row],[Predicted Winner]]=NHL2025_26Results[[#This Row],[Winning Team]],"YES","NO"))</f>
        <v>NO</v>
      </c>
      <c r="O162" t="str">
        <f>IF(OR((NHL2025_26Results[[#This Row],[Winning Team]]="")),"-",IF(Table46[[#This Row],[Prob Winner]]=NHL2025_26Results[[#This Row],[Winning Team]],"YES","NO"))</f>
        <v>NO</v>
      </c>
      <c r="P162" t="str">
        <f>IF(Table46[[#This Row],[Locked Prediction]]&lt;&gt;Table46[[#This Row],[Prob Winner]], "Changed", "Same")</f>
        <v>Changed</v>
      </c>
      <c r="Q162">
        <f>IF(Table46[[#This Row],[Adjusted Predicted Correct]]="-", "",IF(Table46[[#This Row],[Adjusted Predicted Correct]]="YES",(Table46[[#This Row],[Strength of Win]]-1)^2,(Table46[[#This Row],[Strength of Win]]-0)^2))</f>
        <v>0.28416659588558479</v>
      </c>
      <c r="R162">
        <v>-7.2371383510853704E-2</v>
      </c>
      <c r="S162" t="s">
        <v>18</v>
      </c>
      <c r="T162" t="s">
        <v>248</v>
      </c>
    </row>
    <row r="163" spans="4:20" x14ac:dyDescent="0.2">
      <c r="D163" s="1">
        <v>45958</v>
      </c>
      <c r="E163" s="2">
        <v>0.95833333333333337</v>
      </c>
      <c r="F163" t="s">
        <v>33</v>
      </c>
      <c r="G163">
        <f>VLOOKUP(Table46[[#This Row],[Home]],'NHL Model'!$A$6:$B$38,2,FALSE)</f>
        <v>-0.39418177254008485</v>
      </c>
      <c r="H163" t="s">
        <v>13</v>
      </c>
      <c r="I163">
        <f>VLOOKUP(Table46[[#This Row],[Visitor]],'NHL Model'!$A$6:$B$38,2,FALSE)</f>
        <v>-7.5459708298993802E-2</v>
      </c>
      <c r="J163">
        <f>($B$1+Table46[[#This Row],[Home Differential]])-Table46[[#This Row],[Away Differential]]</f>
        <v>-0.15614975457877267</v>
      </c>
      <c r="K163" t="str">
        <f>IF(Table46[[#This Row],[HomeIce Differential]]&gt;0,Table46[[#This Row],[Home]],Table46[[#This Row],[Visitor]])</f>
        <v>Los Angeles Kings</v>
      </c>
      <c r="L16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0.6021506190428636</v>
      </c>
      <c r="M163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63" t="str">
        <f>IF(OR((NHL2025_26Results[[#This Row],[Winning Team]]="")),"-",IF(Table46[[#This Row],[Predicted Winner]]=NHL2025_26Results[[#This Row],[Winning Team]],"YES","NO"))</f>
        <v>YES</v>
      </c>
      <c r="O163" t="str">
        <f>IF(OR((NHL2025_26Results[[#This Row],[Winning Team]]="")),"-",IF(Table46[[#This Row],[Prob Winner]]=NHL2025_26Results[[#This Row],[Winning Team]],"YES","NO"))</f>
        <v>YES</v>
      </c>
      <c r="P163" t="str">
        <f>IF(Table46[[#This Row],[Locked Prediction]]&lt;&gt;Table46[[#This Row],[Prob Winner]], "Changed", "Same")</f>
        <v>Same</v>
      </c>
      <c r="Q163">
        <f>IF(Table46[[#This Row],[Adjusted Predicted Correct]]="-", "",IF(Table46[[#This Row],[Adjusted Predicted Correct]]="YES",(Table46[[#This Row],[Strength of Win]]-1)^2,(Table46[[#This Row],[Strength of Win]]-0)^2))</f>
        <v>0.15828412992797664</v>
      </c>
      <c r="R163">
        <v>-0.75273919431601166</v>
      </c>
      <c r="S163" t="s">
        <v>13</v>
      </c>
      <c r="T163" t="s">
        <v>248</v>
      </c>
    </row>
    <row r="164" spans="4:20" x14ac:dyDescent="0.2">
      <c r="D164" s="1">
        <v>45958</v>
      </c>
      <c r="E164" s="2">
        <v>0.84375</v>
      </c>
      <c r="F164" t="s">
        <v>35</v>
      </c>
      <c r="G164">
        <f>VLOOKUP(Table46[[#This Row],[Home]],'NHL Model'!$A$6:$B$38,2,FALSE)</f>
        <v>-1.6211574240381006</v>
      </c>
      <c r="H164" t="s">
        <v>26</v>
      </c>
      <c r="I164">
        <f>VLOOKUP(Table46[[#This Row],[Visitor]],'NHL Model'!$A$6:$B$38,2,FALSE)</f>
        <v>-0.513643833119658</v>
      </c>
      <c r="J164">
        <f>($B$1+Table46[[#This Row],[Home Differential]])-Table46[[#This Row],[Away Differential]]</f>
        <v>-0.9449412812561242</v>
      </c>
      <c r="K164" t="str">
        <f>IF(Table46[[#This Row],[HomeIce Differential]]&gt;0,Table46[[#This Row],[Home]],Table46[[#This Row],[Visitor]])</f>
        <v>Detroit Red Wings</v>
      </c>
      <c r="L16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0.63270004755511511</v>
      </c>
      <c r="M164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164" t="str">
        <f>IF(OR((NHL2025_26Results[[#This Row],[Winning Team]]="")),"-",IF(Table46[[#This Row],[Predicted Winner]]=NHL2025_26Results[[#This Row],[Winning Team]],"YES","NO"))</f>
        <v>YES</v>
      </c>
      <c r="O164" t="str">
        <f>IF(OR((NHL2025_26Results[[#This Row],[Winning Team]]="")),"-",IF(Table46[[#This Row],[Prob Winner]]=NHL2025_26Results[[#This Row],[Winning Team]],"YES","NO"))</f>
        <v>YES</v>
      </c>
      <c r="P164" t="str">
        <f>IF(Table46[[#This Row],[Locked Prediction]]&lt;&gt;Table46[[#This Row],[Prob Winner]], "Changed", "Same")</f>
        <v>Same</v>
      </c>
      <c r="Q164">
        <f>IF(Table46[[#This Row],[Adjusted Predicted Correct]]="-", "",IF(Table46[[#This Row],[Adjusted Predicted Correct]]="YES",(Table46[[#This Row],[Strength of Win]]-1)^2,(Table46[[#This Row],[Strength of Win]]-0)^2))</f>
        <v>0.1349092550660147</v>
      </c>
      <c r="R164">
        <v>-1.4495967256561701</v>
      </c>
      <c r="S164" t="s">
        <v>26</v>
      </c>
      <c r="T164" t="s">
        <v>248</v>
      </c>
    </row>
    <row r="165" spans="4:20" x14ac:dyDescent="0.2">
      <c r="D165" s="1">
        <v>45958</v>
      </c>
      <c r="E165" s="2">
        <v>0.76041666666666663</v>
      </c>
      <c r="F165" t="s">
        <v>19</v>
      </c>
      <c r="G165">
        <f>VLOOKUP(Table46[[#This Row],[Home]],'NHL Model'!$A$6:$B$38,2,FALSE)</f>
        <v>-0.635565543477981</v>
      </c>
      <c r="H165" t="s">
        <v>16</v>
      </c>
      <c r="I165">
        <f>VLOOKUP(Table46[[#This Row],[Visitor]],'NHL Model'!$A$6:$B$38,2,FALSE)</f>
        <v>-1.3903684122795328</v>
      </c>
      <c r="J165">
        <f>($B$1+Table46[[#This Row],[Home Differential]])-Table46[[#This Row],[Away Differential]]</f>
        <v>0.91737517846387018</v>
      </c>
      <c r="K165" t="str">
        <f>IF(Table46[[#This Row],[HomeIce Differential]]&gt;0,Table46[[#This Row],[Home]],Table46[[#This Row],[Visitor]])</f>
        <v>Toronto Maple Leafs</v>
      </c>
      <c r="L16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0.66193659708490094</v>
      </c>
      <c r="M165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165" t="str">
        <f>IF(OR((NHL2025_26Results[[#This Row],[Winning Team]]="")),"-",IF(Table46[[#This Row],[Predicted Winner]]=NHL2025_26Results[[#This Row],[Winning Team]],"YES","NO"))</f>
        <v>YES</v>
      </c>
      <c r="O165" t="str">
        <f>IF(OR((NHL2025_26Results[[#This Row],[Winning Team]]="")),"-",IF(Table46[[#This Row],[Prob Winner]]=NHL2025_26Results[[#This Row],[Winning Team]],"YES","NO"))</f>
        <v>YES</v>
      </c>
      <c r="P165" t="str">
        <f>IF(Table46[[#This Row],[Locked Prediction]]&lt;&gt;Table46[[#This Row],[Prob Winner]], "Changed", "Same")</f>
        <v>Same</v>
      </c>
      <c r="Q165">
        <f>IF(Table46[[#This Row],[Adjusted Predicted Correct]]="-", "",IF(Table46[[#This Row],[Adjusted Predicted Correct]]="YES",(Table46[[#This Row],[Strength of Win]]-1)^2,(Table46[[#This Row],[Strength of Win]]-0)^2))</f>
        <v>0.1142868643905366</v>
      </c>
      <c r="R165">
        <v>0.97153793139646627</v>
      </c>
      <c r="S165" t="s">
        <v>19</v>
      </c>
      <c r="T165" t="s">
        <v>248</v>
      </c>
    </row>
    <row r="166" spans="4:20" x14ac:dyDescent="0.2">
      <c r="D166" s="1">
        <v>45958</v>
      </c>
      <c r="E166" s="2">
        <v>0.91666666666666663</v>
      </c>
      <c r="F166" t="s">
        <v>38</v>
      </c>
      <c r="G166">
        <f>VLOOKUP(Table46[[#This Row],[Home]],'NHL Model'!$A$6:$B$38,2,FALSE)</f>
        <v>-0.6902088310934803</v>
      </c>
      <c r="H166" t="s">
        <v>15</v>
      </c>
      <c r="I166">
        <f>VLOOKUP(Table46[[#This Row],[Visitor]],'NHL Model'!$A$6:$B$38,2,FALSE)</f>
        <v>-0.30719665303039001</v>
      </c>
      <c r="J166">
        <f>($B$1+Table46[[#This Row],[Home Differential]])-Table46[[#This Row],[Away Differential]]</f>
        <v>-0.2204398684007719</v>
      </c>
      <c r="K166" t="str">
        <f>IF(Table46[[#This Row],[HomeIce Differential]]&gt;0,Table46[[#This Row],[Home]],Table46[[#This Row],[Visitor]])</f>
        <v>New York Rangers</v>
      </c>
      <c r="L16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0.63171028680114572</v>
      </c>
      <c r="M166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66" t="str">
        <f>IF(OR((NHL2025_26Results[[#This Row],[Winning Team]]="")),"-",IF(Table46[[#This Row],[Predicted Winner]]=NHL2025_26Results[[#This Row],[Winning Team]],"YES","NO"))</f>
        <v>YES</v>
      </c>
      <c r="O166" t="str">
        <f>IF(OR((NHL2025_26Results[[#This Row],[Winning Team]]="")),"-",IF(Table46[[#This Row],[Prob Winner]]=NHL2025_26Results[[#This Row],[Winning Team]],"YES","NO"))</f>
        <v>YES</v>
      </c>
      <c r="P166" t="str">
        <f>IF(Table46[[#This Row],[Locked Prediction]]&lt;&gt;Table46[[#This Row],[Prob Winner]], "Changed", "Same")</f>
        <v>Changed</v>
      </c>
      <c r="Q166">
        <f>IF(Table46[[#This Row],[Adjusted Predicted Correct]]="-", "",IF(Table46[[#This Row],[Adjusted Predicted Correct]]="YES",(Table46[[#This Row],[Strength of Win]]-1)^2,(Table46[[#This Row],[Strength of Win]]-0)^2))</f>
        <v>0.13563731284809435</v>
      </c>
      <c r="R166">
        <v>2.5241601366947641E-2</v>
      </c>
      <c r="S166" t="s">
        <v>38</v>
      </c>
      <c r="T166" t="s">
        <v>249</v>
      </c>
    </row>
    <row r="167" spans="4:20" x14ac:dyDescent="0.2">
      <c r="D167" s="1">
        <v>45959</v>
      </c>
      <c r="E167" s="2">
        <v>0.8125</v>
      </c>
      <c r="F167" t="s">
        <v>28</v>
      </c>
      <c r="G167">
        <f>VLOOKUP(Table46[[#This Row],[Home]],'NHL Model'!$A$6:$B$38,2,FALSE)</f>
        <v>-0.40822279081308277</v>
      </c>
      <c r="H167" t="s">
        <v>19</v>
      </c>
      <c r="I167">
        <f>VLOOKUP(Table46[[#This Row],[Visitor]],'NHL Model'!$A$6:$B$38,2,FALSE)</f>
        <v>-0.635565543477981</v>
      </c>
      <c r="J167">
        <f>($B$1+Table46[[#This Row],[Home Differential]])-Table46[[#This Row],[Away Differential]]</f>
        <v>0.38991506232721662</v>
      </c>
      <c r="K167" t="str">
        <f>IF(Table46[[#This Row],[HomeIce Differential]]&gt;0,Table46[[#This Row],[Home]],Table46[[#This Row],[Visitor]])</f>
        <v>Columbus Blue Jackets</v>
      </c>
      <c r="L16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0.59182712260859405</v>
      </c>
      <c r="M167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167" t="str">
        <f>IF(OR((NHL2025_26Results[[#This Row],[Winning Team]]="")),"-",IF(Table46[[#This Row],[Predicted Winner]]=NHL2025_26Results[[#This Row],[Winning Team]],"YES","NO"))</f>
        <v>YES</v>
      </c>
      <c r="O167" t="str">
        <f>IF(OR((NHL2025_26Results[[#This Row],[Winning Team]]="")),"-",IF(Table46[[#This Row],[Prob Winner]]=NHL2025_26Results[[#This Row],[Winning Team]],"YES","NO"))</f>
        <v>YES</v>
      </c>
      <c r="P167" t="str">
        <f>IF(Table46[[#This Row],[Locked Prediction]]&lt;&gt;Table46[[#This Row],[Prob Winner]], "Changed", "Same")</f>
        <v>Same</v>
      </c>
      <c r="Q167">
        <f>IF(Table46[[#This Row],[Adjusted Predicted Correct]]="-", "",IF(Table46[[#This Row],[Adjusted Predicted Correct]]="YES",(Table46[[#This Row],[Strength of Win]]-1)^2,(Table46[[#This Row],[Strength of Win]]-0)^2))</f>
        <v>0.16660509783797972</v>
      </c>
      <c r="R167">
        <v>1.1840705527104549</v>
      </c>
      <c r="S167" t="s">
        <v>28</v>
      </c>
      <c r="T167" t="s">
        <v>248</v>
      </c>
    </row>
    <row r="168" spans="4:20" x14ac:dyDescent="0.2">
      <c r="D168" s="1">
        <v>45960</v>
      </c>
      <c r="E168" s="2">
        <v>0.79166666666666663</v>
      </c>
      <c r="F168" t="s">
        <v>21</v>
      </c>
      <c r="G168">
        <f>VLOOKUP(Table46[[#This Row],[Home]],'NHL Model'!$A$6:$B$38,2,FALSE)</f>
        <v>4.029141914856392E-2</v>
      </c>
      <c r="H168" t="s">
        <v>23</v>
      </c>
      <c r="I168">
        <f>VLOOKUP(Table46[[#This Row],[Visitor]],'NHL Model'!$A$6:$B$38,2,FALSE)</f>
        <v>-0.8683412362501769</v>
      </c>
      <c r="J168">
        <f>($B$1+Table46[[#This Row],[Home Differential]])-Table46[[#This Row],[Away Differential]]</f>
        <v>1.0712049650610593</v>
      </c>
      <c r="K168" t="str">
        <f>IF(Table46[[#This Row],[HomeIce Differential]]&gt;0,Table46[[#This Row],[Home]],Table46[[#This Row],[Visitor]])</f>
        <v>Boston Bruins</v>
      </c>
      <c r="L16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0.75494092671070401</v>
      </c>
      <c r="M168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68" t="str">
        <f>IF(OR((NHL2025_26Results[[#This Row],[Winning Team]]="")),"-",IF(Table46[[#This Row],[Predicted Winner]]=NHL2025_26Results[[#This Row],[Winning Team]],"YES","NO"))</f>
        <v>YES</v>
      </c>
      <c r="O168" t="str">
        <f>IF(OR((NHL2025_26Results[[#This Row],[Winning Team]]="")),"-",IF(Table46[[#This Row],[Prob Winner]]=NHL2025_26Results[[#This Row],[Winning Team]],"YES","NO"))</f>
        <v>YES</v>
      </c>
      <c r="P168" t="str">
        <f>IF(Table46[[#This Row],[Locked Prediction]]&lt;&gt;Table46[[#This Row],[Prob Winner]], "Changed", "Same")</f>
        <v>Same</v>
      </c>
      <c r="Q168">
        <f>IF(Table46[[#This Row],[Adjusted Predicted Correct]]="-", "",IF(Table46[[#This Row],[Adjusted Predicted Correct]]="YES",(Table46[[#This Row],[Strength of Win]]-1)^2,(Table46[[#This Row],[Strength of Win]]-0)^2))</f>
        <v>6.0053949401408548E-2</v>
      </c>
      <c r="R168">
        <v>0.43665774434634153</v>
      </c>
      <c r="S168" t="s">
        <v>21</v>
      </c>
      <c r="T168" t="s">
        <v>248</v>
      </c>
    </row>
    <row r="169" spans="4:20" x14ac:dyDescent="0.2">
      <c r="D169" s="1">
        <v>45960</v>
      </c>
      <c r="E169" s="2">
        <v>0.8125</v>
      </c>
      <c r="F169" t="s">
        <v>25</v>
      </c>
      <c r="G169">
        <f>VLOOKUP(Table46[[#This Row],[Home]],'NHL Model'!$A$6:$B$38,2,FALSE)</f>
        <v>0.67193921242367816</v>
      </c>
      <c r="H169" t="s">
        <v>30</v>
      </c>
      <c r="I169">
        <f>VLOOKUP(Table46[[#This Row],[Visitor]],'NHL Model'!$A$6:$B$38,2,FALSE)</f>
        <v>-6.4729560818359025E-2</v>
      </c>
      <c r="J169">
        <f>($B$1+Table46[[#This Row],[Home Differential]])-Table46[[#This Row],[Away Differential]]</f>
        <v>0.89924108290435556</v>
      </c>
      <c r="K169" t="str">
        <f>IF(Table46[[#This Row],[HomeIce Differential]]&gt;0,Table46[[#This Row],[Home]],Table46[[#This Row],[Visitor]])</f>
        <v>Carolina Hurricanes</v>
      </c>
      <c r="L16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0.66952623112378751</v>
      </c>
      <c r="M169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69" t="str">
        <f>IF(OR((NHL2025_26Results[[#This Row],[Winning Team]]="")),"-",IF(Table46[[#This Row],[Predicted Winner]]=NHL2025_26Results[[#This Row],[Winning Team]],"YES","NO"))</f>
        <v>YES</v>
      </c>
      <c r="O169" t="str">
        <f>IF(OR((NHL2025_26Results[[#This Row],[Winning Team]]="")),"-",IF(Table46[[#This Row],[Prob Winner]]=NHL2025_26Results[[#This Row],[Winning Team]],"YES","NO"))</f>
        <v>YES</v>
      </c>
      <c r="P169" t="str">
        <f>IF(Table46[[#This Row],[Locked Prediction]]&lt;&gt;Table46[[#This Row],[Prob Winner]], "Changed", "Same")</f>
        <v>Same</v>
      </c>
      <c r="Q169">
        <f>IF(Table46[[#This Row],[Adjusted Predicted Correct]]="-", "",IF(Table46[[#This Row],[Adjusted Predicted Correct]]="YES",(Table46[[#This Row],[Strength of Win]]-1)^2,(Table46[[#This Row],[Strength of Win]]-0)^2))</f>
        <v>0.10921291191524832</v>
      </c>
      <c r="R169">
        <v>1.8923710949151284</v>
      </c>
      <c r="S169" t="s">
        <v>25</v>
      </c>
      <c r="T169" t="s">
        <v>248</v>
      </c>
    </row>
    <row r="170" spans="4:20" x14ac:dyDescent="0.2">
      <c r="D170" s="1">
        <v>45960</v>
      </c>
      <c r="E170" s="2">
        <v>0.875</v>
      </c>
      <c r="F170" t="s">
        <v>17</v>
      </c>
      <c r="G170">
        <f>VLOOKUP(Table46[[#This Row],[Home]],'NHL Model'!$A$6:$B$38,2,FALSE)</f>
        <v>-0.61980804137564283</v>
      </c>
      <c r="H170" t="s">
        <v>15</v>
      </c>
      <c r="I170">
        <f>VLOOKUP(Table46[[#This Row],[Visitor]],'NHL Model'!$A$6:$B$38,2,FALSE)</f>
        <v>-0.30719665303039001</v>
      </c>
      <c r="J170">
        <f>($B$1+Table46[[#This Row],[Home Differential]])-Table46[[#This Row],[Away Differential]]</f>
        <v>-0.15003907868293442</v>
      </c>
      <c r="K170" t="str">
        <f>IF(Table46[[#This Row],[HomeIce Differential]]&gt;0,Table46[[#This Row],[Home]],Table46[[#This Row],[Visitor]])</f>
        <v>New York Rangers</v>
      </c>
      <c r="L17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0.58687217909629763</v>
      </c>
      <c r="M170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70" t="str">
        <f>IF(OR((NHL2025_26Results[[#This Row],[Winning Team]]="")),"-",IF(Table46[[#This Row],[Predicted Winner]]=NHL2025_26Results[[#This Row],[Winning Team]],"YES","NO"))</f>
        <v>YES</v>
      </c>
      <c r="O170" t="str">
        <f>IF(OR((NHL2025_26Results[[#This Row],[Winning Team]]="")),"-",IF(Table46[[#This Row],[Prob Winner]]=NHL2025_26Results[[#This Row],[Winning Team]],"YES","NO"))</f>
        <v>YES</v>
      </c>
      <c r="P170" t="str">
        <f>IF(Table46[[#This Row],[Locked Prediction]]&lt;&gt;Table46[[#This Row],[Prob Winner]], "Changed", "Same")</f>
        <v>Changed</v>
      </c>
      <c r="Q170">
        <f>IF(Table46[[#This Row],[Adjusted Predicted Correct]]="-", "",IF(Table46[[#This Row],[Adjusted Predicted Correct]]="YES",(Table46[[#This Row],[Strength of Win]]-1)^2,(Table46[[#This Row],[Strength of Win]]-0)^2))</f>
        <v>0.17067459640464158</v>
      </c>
      <c r="R170">
        <v>0.33322147454206563</v>
      </c>
      <c r="S170" t="s">
        <v>17</v>
      </c>
      <c r="T170" t="s">
        <v>249</v>
      </c>
    </row>
    <row r="171" spans="4:20" x14ac:dyDescent="0.2">
      <c r="D171" s="1">
        <v>45960</v>
      </c>
      <c r="E171" s="2">
        <v>0.9375</v>
      </c>
      <c r="F171" t="s">
        <v>13</v>
      </c>
      <c r="G171">
        <f>VLOOKUP(Table46[[#This Row],[Home]],'NHL Model'!$A$6:$B$38,2,FALSE)</f>
        <v>-7.5459708298993802E-2</v>
      </c>
      <c r="H171" t="s">
        <v>26</v>
      </c>
      <c r="I171">
        <f>VLOOKUP(Table46[[#This Row],[Visitor]],'NHL Model'!$A$6:$B$38,2,FALSE)</f>
        <v>-0.513643833119658</v>
      </c>
      <c r="J171">
        <f>($B$1+Table46[[#This Row],[Home Differential]])-Table46[[#This Row],[Away Differential]]</f>
        <v>0.60075643448298255</v>
      </c>
      <c r="K171" t="str">
        <f>IF(Table46[[#This Row],[HomeIce Differential]]&gt;0,Table46[[#This Row],[Home]],Table46[[#This Row],[Visitor]])</f>
        <v>Los Angeles Kings</v>
      </c>
      <c r="L17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0.57275255679235915</v>
      </c>
      <c r="M171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71" t="str">
        <f>IF(OR((NHL2025_26Results[[#This Row],[Winning Team]]="")),"-",IF(Table46[[#This Row],[Predicted Winner]]=NHL2025_26Results[[#This Row],[Winning Team]],"YES","NO"))</f>
        <v>NO</v>
      </c>
      <c r="O171" t="str">
        <f>IF(OR((NHL2025_26Results[[#This Row],[Winning Team]]="")),"-",IF(Table46[[#This Row],[Prob Winner]]=NHL2025_26Results[[#This Row],[Winning Team]],"YES","NO"))</f>
        <v>NO</v>
      </c>
      <c r="P171" t="str">
        <f>IF(Table46[[#This Row],[Locked Prediction]]&lt;&gt;Table46[[#This Row],[Prob Winner]], "Changed", "Same")</f>
        <v>Same</v>
      </c>
      <c r="Q171">
        <f>IF(Table46[[#This Row],[Adjusted Predicted Correct]]="-", "",IF(Table46[[#This Row],[Adjusted Predicted Correct]]="YES",(Table46[[#This Row],[Strength of Win]]-1)^2,(Table46[[#This Row],[Strength of Win]]-0)^2))</f>
        <v>0.32804549131218458</v>
      </c>
      <c r="R171">
        <v>7.6439562121657145E-2</v>
      </c>
      <c r="S171" t="s">
        <v>13</v>
      </c>
      <c r="T171" t="s">
        <v>249</v>
      </c>
    </row>
    <row r="172" spans="4:20" x14ac:dyDescent="0.2">
      <c r="D172" s="1">
        <v>45960</v>
      </c>
      <c r="E172" s="2">
        <v>0.83333333333333337</v>
      </c>
      <c r="F172" t="s">
        <v>34</v>
      </c>
      <c r="G172">
        <f>VLOOKUP(Table46[[#This Row],[Home]],'NHL Model'!$A$6:$B$38,2,FALSE)</f>
        <v>-0.53650300840565446</v>
      </c>
      <c r="H172" t="s">
        <v>14</v>
      </c>
      <c r="I172">
        <f>VLOOKUP(Table46[[#This Row],[Visitor]],'NHL Model'!$A$6:$B$38,2,FALSE)</f>
        <v>0.26289091192875702</v>
      </c>
      <c r="J172">
        <f>($B$1+Table46[[#This Row],[Home Differential]])-Table46[[#This Row],[Away Differential]]</f>
        <v>-0.63682161067209309</v>
      </c>
      <c r="K172" t="str">
        <f>IF(Table46[[#This Row],[HomeIce Differential]]&gt;0,Table46[[#This Row],[Home]],Table46[[#This Row],[Visitor]])</f>
        <v>Pittsburgh Penguins</v>
      </c>
      <c r="L17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0.54464569565257626</v>
      </c>
      <c r="M172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72" t="str">
        <f>IF(OR((NHL2025_26Results[[#This Row],[Winning Team]]="")),"-",IF(Table46[[#This Row],[Predicted Winner]]=NHL2025_26Results[[#This Row],[Winning Team]],"YES","NO"))</f>
        <v>YES</v>
      </c>
      <c r="O172" t="str">
        <f>IF(OR((NHL2025_26Results[[#This Row],[Winning Team]]="")),"-",IF(Table46[[#This Row],[Prob Winner]]=NHL2025_26Results[[#This Row],[Winning Team]],"YES","NO"))</f>
        <v>YES</v>
      </c>
      <c r="P172" t="str">
        <f>IF(Table46[[#This Row],[Locked Prediction]]&lt;&gt;Table46[[#This Row],[Prob Winner]], "Changed", "Same")</f>
        <v>Same</v>
      </c>
      <c r="Q172">
        <f>IF(Table46[[#This Row],[Adjusted Predicted Correct]]="-", "",IF(Table46[[#This Row],[Adjusted Predicted Correct]]="YES",(Table46[[#This Row],[Strength of Win]]-1)^2,(Table46[[#This Row],[Strength of Win]]-0)^2))</f>
        <v>0.20734754248772622</v>
      </c>
      <c r="R172">
        <v>-1.7175845577976103</v>
      </c>
      <c r="S172" t="s">
        <v>14</v>
      </c>
      <c r="T172" t="s">
        <v>248</v>
      </c>
    </row>
    <row r="173" spans="4:20" x14ac:dyDescent="0.2">
      <c r="D173" s="1">
        <v>45960</v>
      </c>
      <c r="E173" s="2">
        <v>0.79166666666666663</v>
      </c>
      <c r="F173" t="s">
        <v>36</v>
      </c>
      <c r="G173">
        <f>VLOOKUP(Table46[[#This Row],[Home]],'NHL Model'!$A$6:$B$38,2,FALSE)</f>
        <v>-0.40651947573390851</v>
      </c>
      <c r="H173" t="s">
        <v>16</v>
      </c>
      <c r="I173">
        <f>VLOOKUP(Table46[[#This Row],[Visitor]],'NHL Model'!$A$6:$B$38,2,FALSE)</f>
        <v>-1.3903684122795328</v>
      </c>
      <c r="J173">
        <f>($B$1+Table46[[#This Row],[Home Differential]])-Table46[[#This Row],[Away Differential]]</f>
        <v>1.1464212462079426</v>
      </c>
      <c r="K173" t="str">
        <f>IF(Table46[[#This Row],[HomeIce Differential]]&gt;0,Table46[[#This Row],[Home]],Table46[[#This Row],[Visitor]])</f>
        <v>Ottawa Senators</v>
      </c>
      <c r="L17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0.69487665200051807</v>
      </c>
      <c r="M173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173" t="str">
        <f>IF(OR((NHL2025_26Results[[#This Row],[Winning Team]]="")),"-",IF(Table46[[#This Row],[Predicted Winner]]=NHL2025_26Results[[#This Row],[Winning Team]],"YES","NO"))</f>
        <v>YES</v>
      </c>
      <c r="O173" t="str">
        <f>IF(OR((NHL2025_26Results[[#This Row],[Winning Team]]="")),"-",IF(Table46[[#This Row],[Prob Winner]]=NHL2025_26Results[[#This Row],[Winning Team]],"YES","NO"))</f>
        <v>YES</v>
      </c>
      <c r="P173" t="str">
        <f>IF(Table46[[#This Row],[Locked Prediction]]&lt;&gt;Table46[[#This Row],[Prob Winner]], "Changed", "Same")</f>
        <v>Same</v>
      </c>
      <c r="Q173">
        <f>IF(Table46[[#This Row],[Adjusted Predicted Correct]]="-", "",IF(Table46[[#This Row],[Adjusted Predicted Correct]]="YES",(Table46[[#This Row],[Strength of Win]]-1)^2,(Table46[[#This Row],[Strength of Win]]-0)^2))</f>
        <v>9.3100257494412961E-2</v>
      </c>
      <c r="R173">
        <v>1.1358057578210119</v>
      </c>
      <c r="S173" t="s">
        <v>36</v>
      </c>
      <c r="T173" t="s">
        <v>248</v>
      </c>
    </row>
    <row r="174" spans="4:20" x14ac:dyDescent="0.2">
      <c r="D174" s="1">
        <v>45960</v>
      </c>
      <c r="E174" s="2">
        <v>0.79166666666666663</v>
      </c>
      <c r="F174" t="s">
        <v>27</v>
      </c>
      <c r="G174">
        <f>VLOOKUP(Table46[[#This Row],[Home]],'NHL Model'!$A$6:$B$38,2,FALSE)</f>
        <v>-0.51358590497437617</v>
      </c>
      <c r="H174" t="s">
        <v>29</v>
      </c>
      <c r="I174">
        <f>VLOOKUP(Table46[[#This Row],[Visitor]],'NHL Model'!$A$6:$B$38,2,FALSE)</f>
        <v>-1.3516250707060606</v>
      </c>
      <c r="J174">
        <f>($B$1+Table46[[#This Row],[Home Differential]])-Table46[[#This Row],[Away Differential]]</f>
        <v>1.000611475394003</v>
      </c>
      <c r="K174" t="str">
        <f>IF(Table46[[#This Row],[HomeIce Differential]]&gt;0,Table46[[#This Row],[Home]],Table46[[#This Row],[Visitor]])</f>
        <v>Philadelphia Flyers</v>
      </c>
      <c r="L17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0.67549576216158369</v>
      </c>
      <c r="M174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174" t="str">
        <f>IF(OR((NHL2025_26Results[[#This Row],[Winning Team]]="")),"-",IF(Table46[[#This Row],[Predicted Winner]]=NHL2025_26Results[[#This Row],[Winning Team]],"YES","NO"))</f>
        <v>YES</v>
      </c>
      <c r="O174" t="str">
        <f>IF(OR((NHL2025_26Results[[#This Row],[Winning Team]]="")),"-",IF(Table46[[#This Row],[Prob Winner]]=NHL2025_26Results[[#This Row],[Winning Team]],"YES","NO"))</f>
        <v>YES</v>
      </c>
      <c r="P174" t="str">
        <f>IF(Table46[[#This Row],[Locked Prediction]]&lt;&gt;Table46[[#This Row],[Prob Winner]], "Changed", "Same")</f>
        <v>Same</v>
      </c>
      <c r="Q174">
        <f>IF(Table46[[#This Row],[Adjusted Predicted Correct]]="-", "",IF(Table46[[#This Row],[Adjusted Predicted Correct]]="YES",(Table46[[#This Row],[Strength of Win]]-1)^2,(Table46[[#This Row],[Strength of Win]]-0)^2))</f>
        <v>0.10530300037509147</v>
      </c>
      <c r="R174">
        <v>1.7025664901942428</v>
      </c>
      <c r="S174" t="s">
        <v>27</v>
      </c>
      <c r="T174" t="s">
        <v>248</v>
      </c>
    </row>
    <row r="175" spans="4:20" x14ac:dyDescent="0.2">
      <c r="D175" s="1">
        <v>45960</v>
      </c>
      <c r="E175" s="2">
        <v>0.91666666666666663</v>
      </c>
      <c r="F175" t="s">
        <v>33</v>
      </c>
      <c r="G175">
        <f>VLOOKUP(Table46[[#This Row],[Home]],'NHL Model'!$A$6:$B$38,2,FALSE)</f>
        <v>-0.39418177254008485</v>
      </c>
      <c r="H175" t="s">
        <v>24</v>
      </c>
      <c r="I175">
        <f>VLOOKUP(Table46[[#This Row],[Visitor]],'NHL Model'!$A$6:$B$38,2,FALSE)</f>
        <v>0.559441163373953</v>
      </c>
      <c r="J175">
        <f>($B$1+Table46[[#This Row],[Home Differential]])-Table46[[#This Row],[Away Differential]]</f>
        <v>-0.7910506262517194</v>
      </c>
      <c r="K175" t="str">
        <f>IF(Table46[[#This Row],[HomeIce Differential]]&gt;0,Table46[[#This Row],[Home]],Table46[[#This Row],[Visitor]])</f>
        <v>New Jersey Devils</v>
      </c>
      <c r="L17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0.63146145261287201</v>
      </c>
      <c r="M175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75" t="str">
        <f>IF(OR((NHL2025_26Results[[#This Row],[Winning Team]]="")),"-",IF(Table46[[#This Row],[Predicted Winner]]=NHL2025_26Results[[#This Row],[Winning Team]],"YES","NO"))</f>
        <v>NO</v>
      </c>
      <c r="O175" t="str">
        <f>IF(OR((NHL2025_26Results[[#This Row],[Winning Team]]="")),"-",IF(Table46[[#This Row],[Prob Winner]]=NHL2025_26Results[[#This Row],[Winning Team]],"YES","NO"))</f>
        <v>NO</v>
      </c>
      <c r="P175" t="str">
        <f>IF(Table46[[#This Row],[Locked Prediction]]&lt;&gt;Table46[[#This Row],[Prob Winner]], "Changed", "Same")</f>
        <v>Same</v>
      </c>
      <c r="Q175">
        <f>IF(Table46[[#This Row],[Adjusted Predicted Correct]]="-", "",IF(Table46[[#This Row],[Adjusted Predicted Correct]]="YES",(Table46[[#This Row],[Strength of Win]]-1)^2,(Table46[[#This Row],[Strength of Win]]-0)^2))</f>
        <v>0.3987435661359584</v>
      </c>
      <c r="R175">
        <v>-1.1258567565216646</v>
      </c>
      <c r="S175" t="s">
        <v>24</v>
      </c>
      <c r="T175" t="s">
        <v>249</v>
      </c>
    </row>
    <row r="176" spans="4:20" x14ac:dyDescent="0.2">
      <c r="D176" s="1">
        <v>45960</v>
      </c>
      <c r="E176" s="2">
        <v>0.83333333333333337</v>
      </c>
      <c r="F176" t="s">
        <v>35</v>
      </c>
      <c r="G176">
        <f>VLOOKUP(Table46[[#This Row],[Home]],'NHL Model'!$A$6:$B$38,2,FALSE)</f>
        <v>-1.6211574240381006</v>
      </c>
      <c r="H176" t="s">
        <v>38</v>
      </c>
      <c r="I176">
        <f>VLOOKUP(Table46[[#This Row],[Visitor]],'NHL Model'!$A$6:$B$38,2,FALSE)</f>
        <v>-0.6902088310934803</v>
      </c>
      <c r="J176">
        <f>($B$1+Table46[[#This Row],[Home Differential]])-Table46[[#This Row],[Away Differential]]</f>
        <v>-0.7683762832823019</v>
      </c>
      <c r="K176" t="str">
        <f>IF(Table46[[#This Row],[HomeIce Differential]]&gt;0,Table46[[#This Row],[Home]],Table46[[#This Row],[Visitor]])</f>
        <v>Vancouver Canucks</v>
      </c>
      <c r="L17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0.60464437481826627</v>
      </c>
      <c r="M176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176" t="str">
        <f>IF(OR((NHL2025_26Results[[#This Row],[Winning Team]]="")),"-",IF(Table46[[#This Row],[Predicted Winner]]=NHL2025_26Results[[#This Row],[Winning Team]],"YES","NO"))</f>
        <v>YES</v>
      </c>
      <c r="O176" t="str">
        <f>IF(OR((NHL2025_26Results[[#This Row],[Winning Team]]="")),"-",IF(Table46[[#This Row],[Prob Winner]]=NHL2025_26Results[[#This Row],[Winning Team]],"YES","NO"))</f>
        <v>YES</v>
      </c>
      <c r="P176" t="str">
        <f>IF(Table46[[#This Row],[Locked Prediction]]&lt;&gt;Table46[[#This Row],[Prob Winner]], "Changed", "Same")</f>
        <v>Same</v>
      </c>
      <c r="Q176">
        <f>IF(Table46[[#This Row],[Adjusted Predicted Correct]]="-", "",IF(Table46[[#This Row],[Adjusted Predicted Correct]]="YES",(Table46[[#This Row],[Strength of Win]]-1)^2,(Table46[[#This Row],[Strength of Win]]-0)^2))</f>
        <v>0.15630607036283953</v>
      </c>
      <c r="R176">
        <v>-0.87576014407702707</v>
      </c>
      <c r="S176" t="s">
        <v>38</v>
      </c>
      <c r="T176" t="s">
        <v>248</v>
      </c>
    </row>
    <row r="177" spans="4:20" x14ac:dyDescent="0.2">
      <c r="D177" s="1">
        <v>45960</v>
      </c>
      <c r="E177" s="2">
        <v>0.79166666666666663</v>
      </c>
      <c r="F177" t="s">
        <v>37</v>
      </c>
      <c r="G177">
        <f>VLOOKUP(Table46[[#This Row],[Home]],'NHL Model'!$A$6:$B$38,2,FALSE)</f>
        <v>-0.11309445867623392</v>
      </c>
      <c r="H177" t="s">
        <v>39</v>
      </c>
      <c r="I177">
        <f>VLOOKUP(Table46[[#This Row],[Visitor]],'NHL Model'!$A$6:$B$38,2,FALSE)</f>
        <v>0.19809534061227302</v>
      </c>
      <c r="J177">
        <f>($B$1+Table46[[#This Row],[Home Differential]])-Table46[[#This Row],[Away Differential]]</f>
        <v>-0.14861748962618854</v>
      </c>
      <c r="K177" t="str">
        <f>IF(Table46[[#This Row],[HomeIce Differential]]&gt;0,Table46[[#This Row],[Home]],Table46[[#This Row],[Visitor]])</f>
        <v>Dallas Stars</v>
      </c>
      <c r="L17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0.57224027687860746</v>
      </c>
      <c r="M177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77" t="str">
        <f>IF(OR((NHL2025_26Results[[#This Row],[Winning Team]]="")),"-",IF(Table46[[#This Row],[Predicted Winner]]=NHL2025_26Results[[#This Row],[Winning Team]],"YES","NO"))</f>
        <v>NO</v>
      </c>
      <c r="O177" t="str">
        <f>IF(OR((NHL2025_26Results[[#This Row],[Winning Team]]="")),"-",IF(Table46[[#This Row],[Prob Winner]]=NHL2025_26Results[[#This Row],[Winning Team]],"YES","NO"))</f>
        <v>NO</v>
      </c>
      <c r="P177" t="str">
        <f>IF(Table46[[#This Row],[Locked Prediction]]&lt;&gt;Table46[[#This Row],[Prob Winner]], "Changed", "Same")</f>
        <v>Changed</v>
      </c>
      <c r="Q177">
        <f>IF(Table46[[#This Row],[Adjusted Predicted Correct]]="-", "",IF(Table46[[#This Row],[Adjusted Predicted Correct]]="YES",(Table46[[#This Row],[Strength of Win]]-1)^2,(Table46[[#This Row],[Strength of Win]]-0)^2))</f>
        <v>0.32745893448210533</v>
      </c>
      <c r="R177">
        <v>0.580506709220174</v>
      </c>
      <c r="S177" t="s">
        <v>37</v>
      </c>
      <c r="T177" t="s">
        <v>248</v>
      </c>
    </row>
    <row r="178" spans="4:20" x14ac:dyDescent="0.2">
      <c r="D178" s="1">
        <v>45960</v>
      </c>
      <c r="E178" s="2">
        <v>0.83333333333333337</v>
      </c>
      <c r="F178" t="s">
        <v>40</v>
      </c>
      <c r="G178">
        <f>VLOOKUP(Table46[[#This Row],[Home]],'NHL Model'!$A$6:$B$38,2,FALSE)</f>
        <v>0.105105258369765</v>
      </c>
      <c r="H178" t="s">
        <v>10</v>
      </c>
      <c r="I178">
        <f>VLOOKUP(Table46[[#This Row],[Visitor]],'NHL Model'!$A$6:$B$38,2,FALSE)</f>
        <v>0.30570968833820172</v>
      </c>
      <c r="J178">
        <f>($B$1+Table46[[#This Row],[Home Differential]])-Table46[[#This Row],[Away Differential]]</f>
        <v>-3.80321203061183E-2</v>
      </c>
      <c r="K178" t="str">
        <f>IF(Table46[[#This Row],[HomeIce Differential]]&gt;0,Table46[[#This Row],[Home]],Table46[[#This Row],[Visitor]])</f>
        <v>Chicago Blackhawks</v>
      </c>
      <c r="L17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0.44949963608132415</v>
      </c>
      <c r="M178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78" t="str">
        <f>IF(OR((NHL2025_26Results[[#This Row],[Winning Team]]="")),"-",IF(Table46[[#This Row],[Predicted Winner]]=NHL2025_26Results[[#This Row],[Winning Team]],"YES","NO"))</f>
        <v>NO</v>
      </c>
      <c r="O178" t="str">
        <f>IF(OR((NHL2025_26Results[[#This Row],[Winning Team]]="")),"-",IF(Table46[[#This Row],[Prob Winner]]=NHL2025_26Results[[#This Row],[Winning Team]],"YES","NO"))</f>
        <v>YES</v>
      </c>
      <c r="P178" t="str">
        <f>IF(Table46[[#This Row],[Locked Prediction]]&lt;&gt;Table46[[#This Row],[Prob Winner]], "Changed", "Same")</f>
        <v>Same</v>
      </c>
      <c r="Q178">
        <f>IF(Table46[[#This Row],[Adjusted Predicted Correct]]="-", "",IF(Table46[[#This Row],[Adjusted Predicted Correct]]="YES",(Table46[[#This Row],[Strength of Win]]-1)^2,(Table46[[#This Row],[Strength of Win]]-0)^2))</f>
        <v>0.20204992283724285</v>
      </c>
      <c r="R178">
        <v>0.66717825796484931</v>
      </c>
      <c r="S178" t="s">
        <v>40</v>
      </c>
      <c r="T178" t="s">
        <v>248</v>
      </c>
    </row>
    <row r="179" spans="4:20" x14ac:dyDescent="0.2">
      <c r="D179" s="1">
        <v>45961</v>
      </c>
      <c r="E179" s="2">
        <v>0.91666666666666663</v>
      </c>
      <c r="F179" t="s">
        <v>31</v>
      </c>
      <c r="G179">
        <f>VLOOKUP(Table46[[#This Row],[Home]],'NHL Model'!$A$6:$B$38,2,FALSE)</f>
        <v>0.51775546328552802</v>
      </c>
      <c r="H179" t="s">
        <v>26</v>
      </c>
      <c r="I179">
        <f>VLOOKUP(Table46[[#This Row],[Visitor]],'NHL Model'!$A$6:$B$38,2,FALSE)</f>
        <v>-0.513643833119658</v>
      </c>
      <c r="J179">
        <f>($B$1+Table46[[#This Row],[Home Differential]])-Table46[[#This Row],[Away Differential]]</f>
        <v>1.1939716060675045</v>
      </c>
      <c r="K179" t="str">
        <f>IF(Table46[[#This Row],[HomeIce Differential]]&gt;0,Table46[[#This Row],[Home]],Table46[[#This Row],[Visitor]])</f>
        <v>Anaheim Ducks</v>
      </c>
      <c r="L17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0.75870151937580377</v>
      </c>
      <c r="M179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79" t="str">
        <f>IF(OR((NHL2025_26Results[[#This Row],[Winning Team]]="")),"-",IF(Table46[[#This Row],[Predicted Winner]]=NHL2025_26Results[[#This Row],[Winning Team]],"YES","NO"))</f>
        <v>YES</v>
      </c>
      <c r="O179" t="str">
        <f>IF(OR((NHL2025_26Results[[#This Row],[Winning Team]]="")),"-",IF(Table46[[#This Row],[Prob Winner]]=NHL2025_26Results[[#This Row],[Winning Team]],"YES","NO"))</f>
        <v>YES</v>
      </c>
      <c r="P179" t="str">
        <f>IF(Table46[[#This Row],[Locked Prediction]]&lt;&gt;Table46[[#This Row],[Prob Winner]], "Changed", "Same")</f>
        <v>Same</v>
      </c>
      <c r="Q179">
        <f>IF(Table46[[#This Row],[Adjusted Predicted Correct]]="-", "",IF(Table46[[#This Row],[Adjusted Predicted Correct]]="YES",(Table46[[#This Row],[Strength of Win]]-1)^2,(Table46[[#This Row],[Strength of Win]]-0)^2))</f>
        <v>5.8224956751545605E-2</v>
      </c>
      <c r="R179">
        <v>0.95394730218963719</v>
      </c>
      <c r="S179" t="s">
        <v>31</v>
      </c>
      <c r="T179" t="s">
        <v>248</v>
      </c>
    </row>
    <row r="180" spans="4:20" x14ac:dyDescent="0.2">
      <c r="D180" s="1">
        <v>45961</v>
      </c>
      <c r="E180" s="2">
        <v>0.66666666666666663</v>
      </c>
      <c r="F180" t="s">
        <v>20</v>
      </c>
      <c r="G180">
        <f>VLOOKUP(Table46[[#This Row],[Home]],'NHL Model'!$A$6:$B$38,2,FALSE)</f>
        <v>-6.3745791019188943E-4</v>
      </c>
      <c r="H180" t="s">
        <v>12</v>
      </c>
      <c r="I180">
        <f>VLOOKUP(Table46[[#This Row],[Visitor]],'NHL Model'!$A$6:$B$38,2,FALSE)</f>
        <v>1.5475013591489768</v>
      </c>
      <c r="J180">
        <f>($B$1+Table46[[#This Row],[Home Differential]])-Table46[[#This Row],[Away Differential]]</f>
        <v>-1.3855665073968504</v>
      </c>
      <c r="K180" t="str">
        <f>IF(Table46[[#This Row],[HomeIce Differential]]&gt;0,Table46[[#This Row],[Home]],Table46[[#This Row],[Visitor]])</f>
        <v>Colorado Avalanche</v>
      </c>
      <c r="L18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0.71048391273780953</v>
      </c>
      <c r="M180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80" t="str">
        <f>IF(OR((NHL2025_26Results[[#This Row],[Winning Team]]="")),"-",IF(Table46[[#This Row],[Predicted Winner]]=NHL2025_26Results[[#This Row],[Winning Team]],"YES","NO"))</f>
        <v>YES</v>
      </c>
      <c r="O180" t="str">
        <f>IF(OR((NHL2025_26Results[[#This Row],[Winning Team]]="")),"-",IF(Table46[[#This Row],[Prob Winner]]=NHL2025_26Results[[#This Row],[Winning Team]],"YES","NO"))</f>
        <v>YES</v>
      </c>
      <c r="P180" t="str">
        <f>IF(Table46[[#This Row],[Locked Prediction]]&lt;&gt;Table46[[#This Row],[Prob Winner]], "Changed", "Same")</f>
        <v>Same</v>
      </c>
      <c r="Q180">
        <f>IF(Table46[[#This Row],[Adjusted Predicted Correct]]="-", "",IF(Table46[[#This Row],[Adjusted Predicted Correct]]="YES",(Table46[[#This Row],[Strength of Win]]-1)^2,(Table46[[#This Row],[Strength of Win]]-0)^2))</f>
        <v>8.3819564783608289E-2</v>
      </c>
      <c r="R180">
        <v>-0.3993461683610306</v>
      </c>
      <c r="S180" t="s">
        <v>12</v>
      </c>
      <c r="T180" t="s">
        <v>248</v>
      </c>
    </row>
    <row r="181" spans="4:20" x14ac:dyDescent="0.2">
      <c r="D181" s="1">
        <v>45961</v>
      </c>
      <c r="E181" s="2">
        <v>0.79166666666666663</v>
      </c>
      <c r="F181" t="s">
        <v>22</v>
      </c>
      <c r="G181">
        <f>VLOOKUP(Table46[[#This Row],[Home]],'NHL Model'!$A$6:$B$38,2,FALSE)</f>
        <v>-6.1308839486784707E-2</v>
      </c>
      <c r="H181" t="s">
        <v>30</v>
      </c>
      <c r="I181">
        <f>VLOOKUP(Table46[[#This Row],[Visitor]],'NHL Model'!$A$6:$B$38,2,FALSE)</f>
        <v>-6.4729560818359025E-2</v>
      </c>
      <c r="J181">
        <f>($B$1+Table46[[#This Row],[Home Differential]])-Table46[[#This Row],[Away Differential]]</f>
        <v>0.16599303099389273</v>
      </c>
      <c r="K181" t="str">
        <f>IF(Table46[[#This Row],[HomeIce Differential]]&gt;0,Table46[[#This Row],[Home]],Table46[[#This Row],[Visitor]])</f>
        <v>Washington Capitals</v>
      </c>
      <c r="L18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0.51955106591098021</v>
      </c>
      <c r="M181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181" t="str">
        <f>IF(OR((NHL2025_26Results[[#This Row],[Winning Team]]="")),"-",IF(Table46[[#This Row],[Predicted Winner]]=NHL2025_26Results[[#This Row],[Winning Team]],"YES","NO"))</f>
        <v>NO</v>
      </c>
      <c r="O181" t="str">
        <f>IF(OR((NHL2025_26Results[[#This Row],[Winning Team]]="")),"-",IF(Table46[[#This Row],[Prob Winner]]=NHL2025_26Results[[#This Row],[Winning Team]],"YES","NO"))</f>
        <v>NO</v>
      </c>
      <c r="P181" t="str">
        <f>IF(Table46[[#This Row],[Locked Prediction]]&lt;&gt;Table46[[#This Row],[Prob Winner]], "Changed", "Same")</f>
        <v>Same</v>
      </c>
      <c r="Q181">
        <f>IF(Table46[[#This Row],[Adjusted Predicted Correct]]="-", "",IF(Table46[[#This Row],[Adjusted Predicted Correct]]="YES",(Table46[[#This Row],[Strength of Win]]-1)^2,(Table46[[#This Row],[Strength of Win]]-0)^2))</f>
        <v>0.26993331008923571</v>
      </c>
      <c r="R181">
        <v>0.26062581828964315</v>
      </c>
      <c r="S181" t="s">
        <v>22</v>
      </c>
      <c r="T181" t="s">
        <v>249</v>
      </c>
    </row>
    <row r="182" spans="4:20" x14ac:dyDescent="0.2">
      <c r="D182" s="1">
        <v>45962</v>
      </c>
      <c r="E182" s="2">
        <v>0.54166666666666663</v>
      </c>
      <c r="F182" t="s">
        <v>21</v>
      </c>
      <c r="G182">
        <f>VLOOKUP(Table46[[#This Row],[Home]],'NHL Model'!$A$6:$B$38,2,FALSE)</f>
        <v>4.029141914856392E-2</v>
      </c>
      <c r="H182" t="s">
        <v>25</v>
      </c>
      <c r="I182">
        <f>VLOOKUP(Table46[[#This Row],[Visitor]],'NHL Model'!$A$6:$B$38,2,FALSE)</f>
        <v>0.67193921242367816</v>
      </c>
      <c r="J182">
        <f>($B$1+Table46[[#This Row],[Home Differential]])-Table46[[#This Row],[Away Differential]]</f>
        <v>-0.46907548361279583</v>
      </c>
      <c r="K182" t="str">
        <f>IF(Table46[[#This Row],[HomeIce Differential]]&gt;0,Table46[[#This Row],[Home]],Table46[[#This Row],[Visitor]])</f>
        <v>Carolina Hurricanes</v>
      </c>
      <c r="L18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0.54060991670585912</v>
      </c>
      <c r="M182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82" t="str">
        <f>IF(OR((NHL2025_26Results[[#This Row],[Winning Team]]="")),"-",IF(Table46[[#This Row],[Predicted Winner]]=NHL2025_26Results[[#This Row],[Winning Team]],"YES","NO"))</f>
        <v>NO</v>
      </c>
      <c r="O182" t="str">
        <f>IF(OR((NHL2025_26Results[[#This Row],[Winning Team]]="")),"-",IF(Table46[[#This Row],[Prob Winner]]=NHL2025_26Results[[#This Row],[Winning Team]],"YES","NO"))</f>
        <v>NO</v>
      </c>
      <c r="P182" t="str">
        <f>IF(Table46[[#This Row],[Locked Prediction]]&lt;&gt;Table46[[#This Row],[Prob Winner]], "Changed", "Same")</f>
        <v>Same</v>
      </c>
      <c r="Q182">
        <f>IF(Table46[[#This Row],[Adjusted Predicted Correct]]="-", "",IF(Table46[[#This Row],[Adjusted Predicted Correct]]="YES",(Table46[[#This Row],[Strength of Win]]-1)^2,(Table46[[#This Row],[Strength of Win]]-0)^2))</f>
        <v>0.29225908204071593</v>
      </c>
      <c r="R182">
        <v>-0.83278704893044175</v>
      </c>
      <c r="S182" t="s">
        <v>25</v>
      </c>
      <c r="T182" t="s">
        <v>249</v>
      </c>
    </row>
    <row r="183" spans="4:20" x14ac:dyDescent="0.2">
      <c r="D183" s="1">
        <v>45962</v>
      </c>
      <c r="E183" s="2">
        <v>0.79166666666666663</v>
      </c>
      <c r="F183" t="s">
        <v>23</v>
      </c>
      <c r="G183">
        <f>VLOOKUP(Table46[[#This Row],[Home]],'NHL Model'!$A$6:$B$38,2,FALSE)</f>
        <v>-0.8683412362501769</v>
      </c>
      <c r="H183" t="s">
        <v>22</v>
      </c>
      <c r="I183">
        <f>VLOOKUP(Table46[[#This Row],[Visitor]],'NHL Model'!$A$6:$B$38,2,FALSE)</f>
        <v>-6.1308839486784707E-2</v>
      </c>
      <c r="J183">
        <f>($B$1+Table46[[#This Row],[Home Differential]])-Table46[[#This Row],[Away Differential]]</f>
        <v>-0.64446008710107383</v>
      </c>
      <c r="K183" t="str">
        <f>IF(Table46[[#This Row],[HomeIce Differential]]&gt;0,Table46[[#This Row],[Home]],Table46[[#This Row],[Visitor]])</f>
        <v>Washington Capitals</v>
      </c>
      <c r="L18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0.54566099434882265</v>
      </c>
      <c r="M183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183" t="str">
        <f>IF(OR((NHL2025_26Results[[#This Row],[Winning Team]]="")),"-",IF(Table46[[#This Row],[Predicted Winner]]=NHL2025_26Results[[#This Row],[Winning Team]],"YES","NO"))</f>
        <v>NO</v>
      </c>
      <c r="O183" t="str">
        <f>IF(OR((NHL2025_26Results[[#This Row],[Winning Team]]="")),"-",IF(Table46[[#This Row],[Prob Winner]]=NHL2025_26Results[[#This Row],[Winning Team]],"YES","NO"))</f>
        <v>NO</v>
      </c>
      <c r="P183" t="str">
        <f>IF(Table46[[#This Row],[Locked Prediction]]&lt;&gt;Table46[[#This Row],[Prob Winner]], "Changed", "Same")</f>
        <v>Changed</v>
      </c>
      <c r="Q183">
        <f>IF(Table46[[#This Row],[Adjusted Predicted Correct]]="-", "",IF(Table46[[#This Row],[Adjusted Predicted Correct]]="YES",(Table46[[#This Row],[Strength of Win]]-1)^2,(Table46[[#This Row],[Strength of Win]]-0)^2))</f>
        <v>0.29774592075374584</v>
      </c>
      <c r="R183">
        <v>0.23932364949177198</v>
      </c>
      <c r="S183" t="s">
        <v>23</v>
      </c>
      <c r="T183" t="s">
        <v>248</v>
      </c>
    </row>
    <row r="184" spans="4:20" x14ac:dyDescent="0.2">
      <c r="D184" s="1">
        <v>45962</v>
      </c>
      <c r="E184" s="2">
        <v>0.79166666666666663</v>
      </c>
      <c r="F184" t="s">
        <v>28</v>
      </c>
      <c r="G184">
        <f>VLOOKUP(Table46[[#This Row],[Home]],'NHL Model'!$A$6:$B$38,2,FALSE)</f>
        <v>-0.40822279081308277</v>
      </c>
      <c r="H184" t="s">
        <v>35</v>
      </c>
      <c r="I184">
        <f>VLOOKUP(Table46[[#This Row],[Visitor]],'NHL Model'!$A$6:$B$38,2,FALSE)</f>
        <v>-1.6211574240381006</v>
      </c>
      <c r="J184">
        <f>($B$1+Table46[[#This Row],[Home Differential]])-Table46[[#This Row],[Away Differential]]</f>
        <v>1.3755069428873363</v>
      </c>
      <c r="K184" t="str">
        <f>IF(Table46[[#This Row],[HomeIce Differential]]&gt;0,Table46[[#This Row],[Home]],Table46[[#This Row],[Visitor]])</f>
        <v>Columbus Blue Jackets</v>
      </c>
      <c r="L18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0.7228310159461574</v>
      </c>
      <c r="M184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184" t="str">
        <f>IF(OR((NHL2025_26Results[[#This Row],[Winning Team]]="")),"-",IF(Table46[[#This Row],[Predicted Winner]]=NHL2025_26Results[[#This Row],[Winning Team]],"YES","NO"))</f>
        <v>YES</v>
      </c>
      <c r="O184" t="str">
        <f>IF(OR((NHL2025_26Results[[#This Row],[Winning Team]]="")),"-",IF(Table46[[#This Row],[Prob Winner]]=NHL2025_26Results[[#This Row],[Winning Team]],"YES","NO"))</f>
        <v>YES</v>
      </c>
      <c r="P184" t="str">
        <f>IF(Table46[[#This Row],[Locked Prediction]]&lt;&gt;Table46[[#This Row],[Prob Winner]], "Changed", "Same")</f>
        <v>Same</v>
      </c>
      <c r="Q184">
        <f>IF(Table46[[#This Row],[Adjusted Predicted Correct]]="-", "",IF(Table46[[#This Row],[Adjusted Predicted Correct]]="YES",(Table46[[#This Row],[Strength of Win]]-1)^2,(Table46[[#This Row],[Strength of Win]]-0)^2))</f>
        <v>7.6822645721439251E-2</v>
      </c>
      <c r="R184">
        <v>2.2732468074460868</v>
      </c>
      <c r="S184" t="s">
        <v>28</v>
      </c>
      <c r="T184" t="s">
        <v>248</v>
      </c>
    </row>
    <row r="185" spans="4:20" x14ac:dyDescent="0.2">
      <c r="D185" s="1">
        <v>45962</v>
      </c>
      <c r="E185" s="2">
        <v>0.91666666666666663</v>
      </c>
      <c r="F185" t="s">
        <v>17</v>
      </c>
      <c r="G185">
        <f>VLOOKUP(Table46[[#This Row],[Home]],'NHL Model'!$A$6:$B$38,2,FALSE)</f>
        <v>-0.61980804137564283</v>
      </c>
      <c r="H185" t="s">
        <v>10</v>
      </c>
      <c r="I185">
        <f>VLOOKUP(Table46[[#This Row],[Visitor]],'NHL Model'!$A$6:$B$38,2,FALSE)</f>
        <v>0.30570968833820172</v>
      </c>
      <c r="J185">
        <f>($B$1+Table46[[#This Row],[Home Differential]])-Table46[[#This Row],[Away Differential]]</f>
        <v>-0.76294542005152621</v>
      </c>
      <c r="K185" t="str">
        <f>IF(Table46[[#This Row],[HomeIce Differential]]&gt;0,Table46[[#This Row],[Home]],Table46[[#This Row],[Visitor]])</f>
        <v>Chicago Blackhawks</v>
      </c>
      <c r="L18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0.54585439150489601</v>
      </c>
      <c r="M185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85" t="str">
        <f>IF(OR((NHL2025_26Results[[#This Row],[Winning Team]]="")),"-",IF(Table46[[#This Row],[Predicted Winner]]=NHL2025_26Results[[#This Row],[Winning Team]],"YES","NO"))</f>
        <v>NO</v>
      </c>
      <c r="O185" t="str">
        <f>IF(OR((NHL2025_26Results[[#This Row],[Winning Team]]="")),"-",IF(Table46[[#This Row],[Prob Winner]]=NHL2025_26Results[[#This Row],[Winning Team]],"YES","NO"))</f>
        <v>NO</v>
      </c>
      <c r="P185" t="str">
        <f>IF(Table46[[#This Row],[Locked Prediction]]&lt;&gt;Table46[[#This Row],[Prob Winner]], "Changed", "Same")</f>
        <v>Same</v>
      </c>
      <c r="Q185">
        <f>IF(Table46[[#This Row],[Adjusted Predicted Correct]]="-", "",IF(Table46[[#This Row],[Adjusted Predicted Correct]]="YES",(Table46[[#This Row],[Strength of Win]]-1)^2,(Table46[[#This Row],[Strength of Win]]-0)^2))</f>
        <v>0.29795701672518027</v>
      </c>
      <c r="R185">
        <v>-4.7121828211146299E-2</v>
      </c>
      <c r="S185" t="s">
        <v>10</v>
      </c>
      <c r="T185" t="s">
        <v>249</v>
      </c>
    </row>
    <row r="186" spans="4:20" x14ac:dyDescent="0.2">
      <c r="D186" s="1">
        <v>45962</v>
      </c>
      <c r="E186" s="2">
        <v>0.75</v>
      </c>
      <c r="F186" t="s">
        <v>11</v>
      </c>
      <c r="G186">
        <f>VLOOKUP(Table46[[#This Row],[Home]],'NHL Model'!$A$6:$B$38,2,FALSE)</f>
        <v>-0.28105923893144158</v>
      </c>
      <c r="H186" t="s">
        <v>39</v>
      </c>
      <c r="I186">
        <f>VLOOKUP(Table46[[#This Row],[Visitor]],'NHL Model'!$A$6:$B$38,2,FALSE)</f>
        <v>0.19809534061227302</v>
      </c>
      <c r="J186">
        <f>($B$1+Table46[[#This Row],[Home Differential]])-Table46[[#This Row],[Away Differential]]</f>
        <v>-0.31658226988139621</v>
      </c>
      <c r="K186" t="str">
        <f>IF(Table46[[#This Row],[HomeIce Differential]]&gt;0,Table46[[#This Row],[Home]],Table46[[#This Row],[Visitor]])</f>
        <v>Dallas Stars</v>
      </c>
      <c r="L18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0.54207980071075301</v>
      </c>
      <c r="M186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86" t="str">
        <f>IF(OR((NHL2025_26Results[[#This Row],[Winning Team]]="")),"-",IF(Table46[[#This Row],[Predicted Winner]]=NHL2025_26Results[[#This Row],[Winning Team]],"YES","NO"))</f>
        <v>NO</v>
      </c>
      <c r="O186" t="str">
        <f>IF(OR((NHL2025_26Results[[#This Row],[Winning Team]]="")),"-",IF(Table46[[#This Row],[Prob Winner]]=NHL2025_26Results[[#This Row],[Winning Team]],"YES","NO"))</f>
        <v>NO</v>
      </c>
      <c r="P186" t="str">
        <f>IF(Table46[[#This Row],[Locked Prediction]]&lt;&gt;Table46[[#This Row],[Prob Winner]], "Changed", "Same")</f>
        <v>Changed</v>
      </c>
      <c r="Q186">
        <f>IF(Table46[[#This Row],[Adjusted Predicted Correct]]="-", "",IF(Table46[[#This Row],[Adjusted Predicted Correct]]="YES",(Table46[[#This Row],[Strength of Win]]-1)^2,(Table46[[#This Row],[Strength of Win]]-0)^2))</f>
        <v>0.29385051033860971</v>
      </c>
      <c r="R186">
        <v>0.5084924414046591</v>
      </c>
      <c r="S186" t="s">
        <v>11</v>
      </c>
      <c r="T186" t="s">
        <v>248</v>
      </c>
    </row>
    <row r="187" spans="4:20" x14ac:dyDescent="0.2">
      <c r="D187" s="1">
        <v>45962</v>
      </c>
      <c r="E187" s="2">
        <v>0.875</v>
      </c>
      <c r="F187" t="s">
        <v>13</v>
      </c>
      <c r="G187">
        <f>VLOOKUP(Table46[[#This Row],[Home]],'NHL Model'!$A$6:$B$38,2,FALSE)</f>
        <v>-7.5459708298993802E-2</v>
      </c>
      <c r="H187" t="s">
        <v>24</v>
      </c>
      <c r="I187">
        <f>VLOOKUP(Table46[[#This Row],[Visitor]],'NHL Model'!$A$6:$B$38,2,FALSE)</f>
        <v>0.559441163373953</v>
      </c>
      <c r="J187">
        <f>($B$1+Table46[[#This Row],[Home Differential]])-Table46[[#This Row],[Away Differential]]</f>
        <v>-0.47232856201062839</v>
      </c>
      <c r="K187" t="str">
        <f>IF(Table46[[#This Row],[HomeIce Differential]]&gt;0,Table46[[#This Row],[Home]],Table46[[#This Row],[Visitor]])</f>
        <v>New Jersey Devils</v>
      </c>
      <c r="L18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0.58909723256223712</v>
      </c>
      <c r="M187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87" t="str">
        <f>IF(OR((NHL2025_26Results[[#This Row],[Winning Team]]="")),"-",IF(Table46[[#This Row],[Predicted Winner]]=NHL2025_26Results[[#This Row],[Winning Team]],"YES","NO"))</f>
        <v>YES</v>
      </c>
      <c r="O187" t="str">
        <f>IF(OR((NHL2025_26Results[[#This Row],[Winning Team]]="")),"-",IF(Table46[[#This Row],[Prob Winner]]=NHL2025_26Results[[#This Row],[Winning Team]],"YES","NO"))</f>
        <v>YES</v>
      </c>
      <c r="P187" t="str">
        <f>IF(Table46[[#This Row],[Locked Prediction]]&lt;&gt;Table46[[#This Row],[Prob Winner]], "Changed", "Same")</f>
        <v>Same</v>
      </c>
      <c r="Q187">
        <f>IF(Table46[[#This Row],[Adjusted Predicted Correct]]="-", "",IF(Table46[[#This Row],[Adjusted Predicted Correct]]="YES",(Table46[[#This Row],[Strength of Win]]-1)^2,(Table46[[#This Row],[Strength of Win]]-0)^2))</f>
        <v>0.16884108428801226</v>
      </c>
      <c r="R187">
        <v>-1.0538766188757165</v>
      </c>
      <c r="S187" t="s">
        <v>24</v>
      </c>
      <c r="T187" t="s">
        <v>248</v>
      </c>
    </row>
    <row r="188" spans="4:20" x14ac:dyDescent="0.2">
      <c r="D188" s="1">
        <v>45962</v>
      </c>
      <c r="E188" s="2">
        <v>0.79166666666666663</v>
      </c>
      <c r="F188" t="s">
        <v>34</v>
      </c>
      <c r="G188">
        <f>VLOOKUP(Table46[[#This Row],[Home]],'NHL Model'!$A$6:$B$38,2,FALSE)</f>
        <v>-0.53650300840565446</v>
      </c>
      <c r="H188" t="s">
        <v>38</v>
      </c>
      <c r="I188">
        <f>VLOOKUP(Table46[[#This Row],[Visitor]],'NHL Model'!$A$6:$B$38,2,FALSE)</f>
        <v>-0.6902088310934803</v>
      </c>
      <c r="J188">
        <f>($B$1+Table46[[#This Row],[Home Differential]])-Table46[[#This Row],[Away Differential]]</f>
        <v>0.31627813235014424</v>
      </c>
      <c r="K188" t="str">
        <f>IF(Table46[[#This Row],[HomeIce Differential]]&gt;0,Table46[[#This Row],[Home]],Table46[[#This Row],[Visitor]])</f>
        <v>Minnesota Wild</v>
      </c>
      <c r="L18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0.53952681223826371</v>
      </c>
      <c r="M188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188" t="str">
        <f>IF(OR((NHL2025_26Results[[#This Row],[Winning Team]]="")),"-",IF(Table46[[#This Row],[Predicted Winner]]=NHL2025_26Results[[#This Row],[Winning Team]],"YES","NO"))</f>
        <v>YES</v>
      </c>
      <c r="O188" t="str">
        <f>IF(OR((NHL2025_26Results[[#This Row],[Winning Team]]="")),"-",IF(Table46[[#This Row],[Prob Winner]]=NHL2025_26Results[[#This Row],[Winning Team]],"YES","NO"))</f>
        <v>YES</v>
      </c>
      <c r="P188" t="str">
        <f>IF(Table46[[#This Row],[Locked Prediction]]&lt;&gt;Table46[[#This Row],[Prob Winner]], "Changed", "Same")</f>
        <v>Same</v>
      </c>
      <c r="Q188">
        <f>IF(Table46[[#This Row],[Adjusted Predicted Correct]]="-", "",IF(Table46[[#This Row],[Adjusted Predicted Correct]]="YES",(Table46[[#This Row],[Strength of Win]]-1)^2,(Table46[[#This Row],[Strength of Win]]-0)^2))</f>
        <v>0.21203555664745524</v>
      </c>
      <c r="R188">
        <v>0.16670036800569887</v>
      </c>
      <c r="S188" t="s">
        <v>34</v>
      </c>
      <c r="T188" t="s">
        <v>248</v>
      </c>
    </row>
    <row r="189" spans="4:20" x14ac:dyDescent="0.2">
      <c r="D189" s="1">
        <v>45962</v>
      </c>
      <c r="E189" s="2">
        <v>0.79166666666666663</v>
      </c>
      <c r="F189" t="s">
        <v>18</v>
      </c>
      <c r="G189">
        <f>VLOOKUP(Table46[[#This Row],[Home]],'NHL Model'!$A$6:$B$38,2,FALSE)</f>
        <v>-0.52437726201848234</v>
      </c>
      <c r="H189" t="s">
        <v>36</v>
      </c>
      <c r="I189">
        <f>VLOOKUP(Table46[[#This Row],[Visitor]],'NHL Model'!$A$6:$B$38,2,FALSE)</f>
        <v>-0.40651947573390851</v>
      </c>
      <c r="J189">
        <f>($B$1+Table46[[#This Row],[Home Differential]])-Table46[[#This Row],[Away Differential]]</f>
        <v>4.4714523377744564E-2</v>
      </c>
      <c r="K189" t="str">
        <f>IF(Table46[[#This Row],[HomeIce Differential]]&gt;0,Table46[[#This Row],[Home]],Table46[[#This Row],[Visitor]])</f>
        <v>Montreal Canadiens</v>
      </c>
      <c r="L18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0.54594341001255919</v>
      </c>
      <c r="M189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189" t="str">
        <f>IF(OR((NHL2025_26Results[[#This Row],[Winning Team]]="")),"-",IF(Table46[[#This Row],[Predicted Winner]]=NHL2025_26Results[[#This Row],[Winning Team]],"YES","NO"))</f>
        <v>YES</v>
      </c>
      <c r="O189" t="str">
        <f>IF(OR((NHL2025_26Results[[#This Row],[Winning Team]]="")),"-",IF(Table46[[#This Row],[Prob Winner]]=NHL2025_26Results[[#This Row],[Winning Team]],"YES","NO"))</f>
        <v>YES</v>
      </c>
      <c r="P189" t="str">
        <f>IF(Table46[[#This Row],[Locked Prediction]]&lt;&gt;Table46[[#This Row],[Prob Winner]], "Changed", "Same")</f>
        <v>Same</v>
      </c>
      <c r="Q189">
        <f>IF(Table46[[#This Row],[Adjusted Predicted Correct]]="-", "",IF(Table46[[#This Row],[Adjusted Predicted Correct]]="YES",(Table46[[#This Row],[Strength of Win]]-1)^2,(Table46[[#This Row],[Strength of Win]]-0)^2))</f>
        <v>0.20616738691102293</v>
      </c>
      <c r="R189">
        <v>1.0119781657833355</v>
      </c>
      <c r="S189" t="s">
        <v>18</v>
      </c>
      <c r="T189" t="s">
        <v>248</v>
      </c>
    </row>
    <row r="190" spans="4:20" x14ac:dyDescent="0.2">
      <c r="D190" s="1">
        <v>45962</v>
      </c>
      <c r="E190" s="2">
        <v>0.64583333333333337</v>
      </c>
      <c r="F190" t="s">
        <v>29</v>
      </c>
      <c r="G190">
        <f>VLOOKUP(Table46[[#This Row],[Home]],'NHL Model'!$A$6:$B$38,2,FALSE)</f>
        <v>-1.3516250707060606</v>
      </c>
      <c r="H190" t="s">
        <v>16</v>
      </c>
      <c r="I190">
        <f>VLOOKUP(Table46[[#This Row],[Visitor]],'NHL Model'!$A$6:$B$38,2,FALSE)</f>
        <v>-1.3903684122795328</v>
      </c>
      <c r="J190">
        <f>($B$1+Table46[[#This Row],[Home Differential]])-Table46[[#This Row],[Away Differential]]</f>
        <v>0.20131565123579054</v>
      </c>
      <c r="K190" t="str">
        <f>IF(Table46[[#This Row],[HomeIce Differential]]&gt;0,Table46[[#This Row],[Home]],Table46[[#This Row],[Visitor]])</f>
        <v>Nashville Predators</v>
      </c>
      <c r="L19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0.56675867630594479</v>
      </c>
      <c r="M190" s="11" t="str">
        <f>IF(Table46[[#This Row],[Strength of Win]]&gt; 0.5,Table46[[#This Row],[Predicted Winner]], IF(Table46[[#This Row],[Home]]=Table46[[#This Row],[Predicted Winner]],Table46[[#This Row],[Visitor]],Table46[[#This Row],[Home]]))</f>
        <v>Nashville Predators</v>
      </c>
      <c r="N190" t="str">
        <f>IF(OR((NHL2025_26Results[[#This Row],[Winning Team]]="")),"-",IF(Table46[[#This Row],[Predicted Winner]]=NHL2025_26Results[[#This Row],[Winning Team]],"YES","NO"))</f>
        <v>YES</v>
      </c>
      <c r="O190" t="str">
        <f>IF(OR((NHL2025_26Results[[#This Row],[Winning Team]]="")),"-",IF(Table46[[#This Row],[Prob Winner]]=NHL2025_26Results[[#This Row],[Winning Team]],"YES","NO"))</f>
        <v>YES</v>
      </c>
      <c r="P190" t="str">
        <f>IF(Table46[[#This Row],[Locked Prediction]]&lt;&gt;Table46[[#This Row],[Prob Winner]], "Changed", "Same")</f>
        <v>Same</v>
      </c>
      <c r="Q190">
        <f>IF(Table46[[#This Row],[Adjusted Predicted Correct]]="-", "",IF(Table46[[#This Row],[Adjusted Predicted Correct]]="YES",(Table46[[#This Row],[Strength of Win]]-1)^2,(Table46[[#This Row],[Strength of Win]]-0)^2))</f>
        <v>0.18769804455617714</v>
      </c>
      <c r="R190">
        <v>0.71867492332139604</v>
      </c>
      <c r="S190" t="s">
        <v>29</v>
      </c>
      <c r="T190" t="s">
        <v>248</v>
      </c>
    </row>
    <row r="191" spans="4:20" x14ac:dyDescent="0.2">
      <c r="D191" s="1">
        <v>45962</v>
      </c>
      <c r="E191" s="2">
        <v>0.79166666666666663</v>
      </c>
      <c r="F191" t="s">
        <v>27</v>
      </c>
      <c r="G191">
        <f>VLOOKUP(Table46[[#This Row],[Home]],'NHL Model'!$A$6:$B$38,2,FALSE)</f>
        <v>-0.51358590497437617</v>
      </c>
      <c r="H191" t="s">
        <v>19</v>
      </c>
      <c r="I191">
        <f>VLOOKUP(Table46[[#This Row],[Visitor]],'NHL Model'!$A$6:$B$38,2,FALSE)</f>
        <v>-0.635565543477981</v>
      </c>
      <c r="J191">
        <f>($B$1+Table46[[#This Row],[Home Differential]])-Table46[[#This Row],[Away Differential]]</f>
        <v>0.28455194816592322</v>
      </c>
      <c r="K191" t="str">
        <f>IF(Table46[[#This Row],[HomeIce Differential]]&gt;0,Table46[[#This Row],[Home]],Table46[[#This Row],[Visitor]])</f>
        <v>Philadelphia Flyers</v>
      </c>
      <c r="L19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0.58031784138262754</v>
      </c>
      <c r="M191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191" t="str">
        <f>IF(OR((NHL2025_26Results[[#This Row],[Winning Team]]="")),"-",IF(Table46[[#This Row],[Predicted Winner]]=NHL2025_26Results[[#This Row],[Winning Team]],"YES","NO"))</f>
        <v>NO</v>
      </c>
      <c r="O191" t="str">
        <f>IF(OR((NHL2025_26Results[[#This Row],[Winning Team]]="")),"-",IF(Table46[[#This Row],[Prob Winner]]=NHL2025_26Results[[#This Row],[Winning Team]],"YES","NO"))</f>
        <v>NO</v>
      </c>
      <c r="P191" t="str">
        <f>IF(Table46[[#This Row],[Locked Prediction]]&lt;&gt;Table46[[#This Row],[Prob Winner]], "Changed", "Same")</f>
        <v>Same</v>
      </c>
      <c r="Q191">
        <f>IF(Table46[[#This Row],[Adjusted Predicted Correct]]="-", "",IF(Table46[[#This Row],[Adjusted Predicted Correct]]="YES",(Table46[[#This Row],[Strength of Win]]-1)^2,(Table46[[#This Row],[Strength of Win]]-0)^2))</f>
        <v>0.33676879702699247</v>
      </c>
      <c r="R191">
        <v>0.65347118999126108</v>
      </c>
      <c r="S191" t="s">
        <v>27</v>
      </c>
      <c r="T191" t="s">
        <v>249</v>
      </c>
    </row>
    <row r="192" spans="4:20" x14ac:dyDescent="0.2">
      <c r="D192" s="1">
        <v>45962</v>
      </c>
      <c r="E192" s="2">
        <v>0.91666666666666663</v>
      </c>
      <c r="F192" t="s">
        <v>32</v>
      </c>
      <c r="G192">
        <f>VLOOKUP(Table46[[#This Row],[Home]],'NHL Model'!$A$6:$B$38,2,FALSE)</f>
        <v>-0.361361309178443</v>
      </c>
      <c r="H192" t="s">
        <v>15</v>
      </c>
      <c r="I192">
        <f>VLOOKUP(Table46[[#This Row],[Visitor]],'NHL Model'!$A$6:$B$38,2,FALSE)</f>
        <v>-0.30719665303039001</v>
      </c>
      <c r="J192">
        <f>($B$1+Table46[[#This Row],[Home Differential]])-Table46[[#This Row],[Away Differential]]</f>
        <v>0.1084076535142654</v>
      </c>
      <c r="K192" t="str">
        <f>IF(Table46[[#This Row],[HomeIce Differential]]&gt;0,Table46[[#This Row],[Home]],Table46[[#This Row],[Visitor]])</f>
        <v>Seattle Kraken</v>
      </c>
      <c r="L19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0.43748636065253232</v>
      </c>
      <c r="M192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92" t="str">
        <f>IF(OR((NHL2025_26Results[[#This Row],[Winning Team]]="")),"-",IF(Table46[[#This Row],[Predicted Winner]]=NHL2025_26Results[[#This Row],[Winning Team]],"YES","NO"))</f>
        <v>NO</v>
      </c>
      <c r="O192" t="str">
        <f>IF(OR((NHL2025_26Results[[#This Row],[Winning Team]]="")),"-",IF(Table46[[#This Row],[Prob Winner]]=NHL2025_26Results[[#This Row],[Winning Team]],"YES","NO"))</f>
        <v>YES</v>
      </c>
      <c r="P192" t="str">
        <f>IF(Table46[[#This Row],[Locked Prediction]]&lt;&gt;Table46[[#This Row],[Prob Winner]], "Changed", "Same")</f>
        <v>Changed</v>
      </c>
      <c r="Q192">
        <f>IF(Table46[[#This Row],[Adjusted Predicted Correct]]="-", "",IF(Table46[[#This Row],[Adjusted Predicted Correct]]="YES",(Table46[[#This Row],[Strength of Win]]-1)^2,(Table46[[#This Row],[Strength of Win]]-0)^2))</f>
        <v>0.19139431575699759</v>
      </c>
      <c r="R192">
        <v>0.42226421291452432</v>
      </c>
      <c r="S192" t="s">
        <v>32</v>
      </c>
      <c r="T192" t="s">
        <v>249</v>
      </c>
    </row>
    <row r="193" spans="4:20" x14ac:dyDescent="0.2">
      <c r="D193" s="1">
        <v>45962</v>
      </c>
      <c r="E193" s="2">
        <v>0.66666666666666663</v>
      </c>
      <c r="F193" t="s">
        <v>33</v>
      </c>
      <c r="G193">
        <f>VLOOKUP(Table46[[#This Row],[Home]],'NHL Model'!$A$6:$B$38,2,FALSE)</f>
        <v>-0.39418177254008485</v>
      </c>
      <c r="H193" t="s">
        <v>12</v>
      </c>
      <c r="I193">
        <f>VLOOKUP(Table46[[#This Row],[Visitor]],'NHL Model'!$A$6:$B$38,2,FALSE)</f>
        <v>1.5475013591489768</v>
      </c>
      <c r="J193">
        <f>($B$1+Table46[[#This Row],[Home Differential]])-Table46[[#This Row],[Away Differential]]</f>
        <v>-1.7791108220267433</v>
      </c>
      <c r="K193" t="str">
        <f>IF(Table46[[#This Row],[HomeIce Differential]]&gt;0,Table46[[#This Row],[Home]],Table46[[#This Row],[Visitor]])</f>
        <v>Colorado Avalanche</v>
      </c>
      <c r="L19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0.76279343195592586</v>
      </c>
      <c r="M193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93" t="str">
        <f>IF(OR((NHL2025_26Results[[#This Row],[Winning Team]]="")),"-",IF(Table46[[#This Row],[Predicted Winner]]=NHL2025_26Results[[#This Row],[Winning Team]],"YES","NO"))</f>
        <v>NO</v>
      </c>
      <c r="O193" t="str">
        <f>IF(OR((NHL2025_26Results[[#This Row],[Winning Team]]="")),"-",IF(Table46[[#This Row],[Prob Winner]]=NHL2025_26Results[[#This Row],[Winning Team]],"YES","NO"))</f>
        <v>NO</v>
      </c>
      <c r="P193" t="str">
        <f>IF(Table46[[#This Row],[Locked Prediction]]&lt;&gt;Table46[[#This Row],[Prob Winner]], "Changed", "Same")</f>
        <v>Same</v>
      </c>
      <c r="Q193">
        <f>IF(Table46[[#This Row],[Adjusted Predicted Correct]]="-", "",IF(Table46[[#This Row],[Adjusted Predicted Correct]]="YES",(Table46[[#This Row],[Strength of Win]]-1)^2,(Table46[[#This Row],[Strength of Win]]-0)^2))</f>
        <v>0.58185381983509965</v>
      </c>
      <c r="R193">
        <v>-1.5082021501892711</v>
      </c>
      <c r="S193" t="s">
        <v>12</v>
      </c>
      <c r="T193" t="s">
        <v>249</v>
      </c>
    </row>
    <row r="194" spans="4:20" x14ac:dyDescent="0.2">
      <c r="D194" s="1">
        <v>45962</v>
      </c>
      <c r="E194" s="2">
        <v>0.625</v>
      </c>
      <c r="F194" t="s">
        <v>40</v>
      </c>
      <c r="G194">
        <f>VLOOKUP(Table46[[#This Row],[Home]],'NHL Model'!$A$6:$B$38,2,FALSE)</f>
        <v>0.105105258369765</v>
      </c>
      <c r="H194" t="s">
        <v>14</v>
      </c>
      <c r="I194">
        <f>VLOOKUP(Table46[[#This Row],[Visitor]],'NHL Model'!$A$6:$B$38,2,FALSE)</f>
        <v>0.26289091192875702</v>
      </c>
      <c r="J194">
        <f>($B$1+Table46[[#This Row],[Home Differential]])-Table46[[#This Row],[Away Differential]]</f>
        <v>4.7866561033264032E-3</v>
      </c>
      <c r="K194" t="str">
        <f>IF(Table46[[#This Row],[HomeIce Differential]]&gt;0,Table46[[#This Row],[Home]],Table46[[#This Row],[Visitor]])</f>
        <v>Winnipeg Jets</v>
      </c>
      <c r="L19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0.57667310393198812</v>
      </c>
      <c r="M194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94" t="str">
        <f>IF(OR((NHL2025_26Results[[#This Row],[Winning Team]]="")),"-",IF(Table46[[#This Row],[Predicted Winner]]=NHL2025_26Results[[#This Row],[Winning Team]],"YES","NO"))</f>
        <v>YES</v>
      </c>
      <c r="O194" t="str">
        <f>IF(OR((NHL2025_26Results[[#This Row],[Winning Team]]="")),"-",IF(Table46[[#This Row],[Prob Winner]]=NHL2025_26Results[[#This Row],[Winning Team]],"YES","NO"))</f>
        <v>YES</v>
      </c>
      <c r="P194" t="str">
        <f>IF(Table46[[#This Row],[Locked Prediction]]&lt;&gt;Table46[[#This Row],[Prob Winner]], "Changed", "Same")</f>
        <v>Same</v>
      </c>
      <c r="Q194">
        <f>IF(Table46[[#This Row],[Adjusted Predicted Correct]]="-", "",IF(Table46[[#This Row],[Adjusted Predicted Correct]]="YES",(Table46[[#This Row],[Strength of Win]]-1)^2,(Table46[[#This Row],[Strength of Win]]-0)^2))</f>
        <v>0.17920566093457732</v>
      </c>
      <c r="R194">
        <v>0.52399175013210497</v>
      </c>
      <c r="S194" t="s">
        <v>40</v>
      </c>
      <c r="T194" t="s">
        <v>248</v>
      </c>
    </row>
    <row r="195" spans="4:20" x14ac:dyDescent="0.2">
      <c r="D195" s="1">
        <v>45963</v>
      </c>
      <c r="E195" s="2">
        <v>0.83333333333333337</v>
      </c>
      <c r="F195" t="s">
        <v>31</v>
      </c>
      <c r="G195">
        <f>VLOOKUP(Table46[[#This Row],[Home]],'NHL Model'!$A$6:$B$38,2,FALSE)</f>
        <v>0.51775546328552802</v>
      </c>
      <c r="H195" t="s">
        <v>24</v>
      </c>
      <c r="I195">
        <f>VLOOKUP(Table46[[#This Row],[Visitor]],'NHL Model'!$A$6:$B$38,2,FALSE)</f>
        <v>0.559441163373953</v>
      </c>
      <c r="J195">
        <f>($B$1+Table46[[#This Row],[Home Differential]])-Table46[[#This Row],[Away Differential]]</f>
        <v>0.12088660957389341</v>
      </c>
      <c r="K195" t="str">
        <f>IF(Table46[[#This Row],[HomeIce Differential]]&gt;0,Table46[[#This Row],[Home]],Table46[[#This Row],[Visitor]])</f>
        <v>Anaheim Ducks</v>
      </c>
      <c r="L19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0.59746347685137069</v>
      </c>
      <c r="M195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95" t="str">
        <f>IF(OR((NHL2025_26Results[[#This Row],[Winning Team]]="")),"-",IF(Table46[[#This Row],[Predicted Winner]]=NHL2025_26Results[[#This Row],[Winning Team]],"YES","NO"))</f>
        <v>YES</v>
      </c>
      <c r="O195" t="str">
        <f>IF(OR((NHL2025_26Results[[#This Row],[Winning Team]]="")),"-",IF(Table46[[#This Row],[Prob Winner]]=NHL2025_26Results[[#This Row],[Winning Team]],"YES","NO"))</f>
        <v>YES</v>
      </c>
      <c r="P195" t="str">
        <f>IF(Table46[[#This Row],[Locked Prediction]]&lt;&gt;Table46[[#This Row],[Prob Winner]], "Changed", "Same")</f>
        <v>Same</v>
      </c>
      <c r="Q195">
        <f>IF(Table46[[#This Row],[Adjusted Predicted Correct]]="-", "",IF(Table46[[#This Row],[Adjusted Predicted Correct]]="YES",(Table46[[#This Row],[Strength of Win]]-1)^2,(Table46[[#This Row],[Strength of Win]]-0)^2))</f>
        <v>0.16203565246858698</v>
      </c>
      <c r="R195">
        <v>0.41790689936345415</v>
      </c>
      <c r="S195" t="s">
        <v>31</v>
      </c>
      <c r="T195" t="s">
        <v>248</v>
      </c>
    </row>
    <row r="196" spans="4:20" x14ac:dyDescent="0.2">
      <c r="D196" s="1">
        <v>45963</v>
      </c>
      <c r="E196" s="2">
        <v>0.70833333333333337</v>
      </c>
      <c r="F196" t="s">
        <v>30</v>
      </c>
      <c r="G196">
        <f>VLOOKUP(Table46[[#This Row],[Home]],'NHL Model'!$A$6:$B$38,2,FALSE)</f>
        <v>-6.4729560818359025E-2</v>
      </c>
      <c r="H196" t="s">
        <v>28</v>
      </c>
      <c r="I196">
        <f>VLOOKUP(Table46[[#This Row],[Visitor]],'NHL Model'!$A$6:$B$38,2,FALSE)</f>
        <v>-0.40822279081308277</v>
      </c>
      <c r="J196">
        <f>($B$1+Table46[[#This Row],[Home Differential]])-Table46[[#This Row],[Away Differential]]</f>
        <v>0.50606553965704215</v>
      </c>
      <c r="K196" t="str">
        <f>IF(Table46[[#This Row],[HomeIce Differential]]&gt;0,Table46[[#This Row],[Home]],Table46[[#This Row],[Visitor]])</f>
        <v>New York Islanders</v>
      </c>
      <c r="L19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0.58649649786214841</v>
      </c>
      <c r="M196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96" t="str">
        <f>IF(OR((NHL2025_26Results[[#This Row],[Winning Team]]="")),"-",IF(Table46[[#This Row],[Predicted Winner]]=NHL2025_26Results[[#This Row],[Winning Team]],"YES","NO"))</f>
        <v>YES</v>
      </c>
      <c r="O196" t="str">
        <f>IF(OR((NHL2025_26Results[[#This Row],[Winning Team]]="")),"-",IF(Table46[[#This Row],[Prob Winner]]=NHL2025_26Results[[#This Row],[Winning Team]],"YES","NO"))</f>
        <v>YES</v>
      </c>
      <c r="P196" t="str">
        <f>IF(Table46[[#This Row],[Locked Prediction]]&lt;&gt;Table46[[#This Row],[Prob Winner]], "Changed", "Same")</f>
        <v>Same</v>
      </c>
      <c r="Q196">
        <f>IF(Table46[[#This Row],[Adjusted Predicted Correct]]="-", "",IF(Table46[[#This Row],[Adjusted Predicted Correct]]="YES",(Table46[[#This Row],[Strength of Win]]-1)^2,(Table46[[#This Row],[Strength of Win]]-0)^2))</f>
        <v>0.17098514628026823</v>
      </c>
      <c r="R196">
        <v>1.9007085254070299E-2</v>
      </c>
      <c r="S196" t="s">
        <v>30</v>
      </c>
      <c r="T196" t="s">
        <v>248</v>
      </c>
    </row>
    <row r="197" spans="4:20" x14ac:dyDescent="0.2">
      <c r="D197" s="1">
        <v>45963</v>
      </c>
      <c r="E197" s="2">
        <v>0.79166666666666663</v>
      </c>
      <c r="F197" t="s">
        <v>27</v>
      </c>
      <c r="G197">
        <f>VLOOKUP(Table46[[#This Row],[Home]],'NHL Model'!$A$6:$B$38,2,FALSE)</f>
        <v>-0.51358590497437617</v>
      </c>
      <c r="H197" t="s">
        <v>16</v>
      </c>
      <c r="I197">
        <f>VLOOKUP(Table46[[#This Row],[Visitor]],'NHL Model'!$A$6:$B$38,2,FALSE)</f>
        <v>-1.3903684122795328</v>
      </c>
      <c r="J197">
        <f>($B$1+Table46[[#This Row],[Home Differential]])-Table46[[#This Row],[Away Differential]]</f>
        <v>1.0393548169674749</v>
      </c>
      <c r="K197" t="str">
        <f>IF(Table46[[#This Row],[HomeIce Differential]]&gt;0,Table46[[#This Row],[Home]],Table46[[#This Row],[Visitor]])</f>
        <v>Philadelphia Flyers</v>
      </c>
      <c r="L19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0.68064548862254792</v>
      </c>
      <c r="M197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197" t="str">
        <f>IF(OR((NHL2025_26Results[[#This Row],[Winning Team]]="")),"-",IF(Table46[[#This Row],[Predicted Winner]]=NHL2025_26Results[[#This Row],[Winning Team]],"YES","NO"))</f>
        <v>NO</v>
      </c>
      <c r="O197" t="str">
        <f>IF(OR((NHL2025_26Results[[#This Row],[Winning Team]]="")),"-",IF(Table46[[#This Row],[Prob Winner]]=NHL2025_26Results[[#This Row],[Winning Team]],"YES","NO"))</f>
        <v>NO</v>
      </c>
      <c r="P197" t="str">
        <f>IF(Table46[[#This Row],[Locked Prediction]]&lt;&gt;Table46[[#This Row],[Prob Winner]], "Changed", "Same")</f>
        <v>Same</v>
      </c>
      <c r="Q197">
        <f>IF(Table46[[#This Row],[Adjusted Predicted Correct]]="-", "",IF(Table46[[#This Row],[Adjusted Predicted Correct]]="YES",(Table46[[#This Row],[Strength of Win]]-1)^2,(Table46[[#This Row],[Strength of Win]]-0)^2))</f>
        <v>0.46327828118222703</v>
      </c>
      <c r="R197">
        <v>1.3434163037968592</v>
      </c>
      <c r="S197" t="s">
        <v>27</v>
      </c>
      <c r="T197" t="s">
        <v>249</v>
      </c>
    </row>
    <row r="198" spans="4:20" x14ac:dyDescent="0.2">
      <c r="D198" s="1">
        <v>45963</v>
      </c>
      <c r="E198" s="2">
        <v>0.83333333333333337</v>
      </c>
      <c r="F198" t="s">
        <v>33</v>
      </c>
      <c r="G198">
        <f>VLOOKUP(Table46[[#This Row],[Home]],'NHL Model'!$A$6:$B$38,2,FALSE)</f>
        <v>-0.39418177254008485</v>
      </c>
      <c r="H198" t="s">
        <v>26</v>
      </c>
      <c r="I198">
        <f>VLOOKUP(Table46[[#This Row],[Visitor]],'NHL Model'!$A$6:$B$38,2,FALSE)</f>
        <v>-0.513643833119658</v>
      </c>
      <c r="J198">
        <f>($B$1+Table46[[#This Row],[Home Differential]])-Table46[[#This Row],[Away Differential]]</f>
        <v>0.28203437024189154</v>
      </c>
      <c r="K198" t="str">
        <f>IF(Table46[[#This Row],[HomeIce Differential]]&gt;0,Table46[[#This Row],[Home]],Table46[[#This Row],[Visitor]])</f>
        <v>San Jose Sharks</v>
      </c>
      <c r="L19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0.53038833674172425</v>
      </c>
      <c r="M198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198" t="str">
        <f>IF(OR((NHL2025_26Results[[#This Row],[Winning Team]]="")),"-",IF(Table46[[#This Row],[Predicted Winner]]=NHL2025_26Results[[#This Row],[Winning Team]],"YES","NO"))</f>
        <v>NO</v>
      </c>
      <c r="O198" t="str">
        <f>IF(OR((NHL2025_26Results[[#This Row],[Winning Team]]="")),"-",IF(Table46[[#This Row],[Prob Winner]]=NHL2025_26Results[[#This Row],[Winning Team]],"YES","NO"))</f>
        <v>NO</v>
      </c>
      <c r="P198" t="str">
        <f>IF(Table46[[#This Row],[Locked Prediction]]&lt;&gt;Table46[[#This Row],[Prob Winner]], "Changed", "Same")</f>
        <v>Changed</v>
      </c>
      <c r="Q198">
        <f>IF(Table46[[#This Row],[Adjusted Predicted Correct]]="-", "",IF(Table46[[#This Row],[Adjusted Predicted Correct]]="YES",(Table46[[#This Row],[Strength of Win]]-1)^2,(Table46[[#This Row],[Strength of Win]]-0)^2))</f>
        <v>0.28131178775165266</v>
      </c>
      <c r="R198">
        <v>-0.25411072638940857</v>
      </c>
      <c r="S198" t="s">
        <v>26</v>
      </c>
      <c r="T198" t="s">
        <v>248</v>
      </c>
    </row>
    <row r="199" spans="4:20" x14ac:dyDescent="0.2">
      <c r="D199" s="1">
        <v>45963</v>
      </c>
      <c r="E199" s="2">
        <v>0.64583333333333337</v>
      </c>
      <c r="F199" t="s">
        <v>55</v>
      </c>
      <c r="G199">
        <f>VLOOKUP(Table46[[#This Row],[Home]],'NHL Model'!$A$6:$B$38,2,FALSE)</f>
        <v>-0.12212311954851815</v>
      </c>
      <c r="H199" t="s">
        <v>37</v>
      </c>
      <c r="I199">
        <f>VLOOKUP(Table46[[#This Row],[Visitor]],'NHL Model'!$A$6:$B$38,2,FALSE)</f>
        <v>-0.11309445867623392</v>
      </c>
      <c r="J199">
        <f>($B$1+Table46[[#This Row],[Home Differential]])-Table46[[#This Row],[Away Differential]]</f>
        <v>0.15354364879003418</v>
      </c>
      <c r="K199" t="str">
        <f>IF(Table46[[#This Row],[HomeIce Differential]]&gt;0,Table46[[#This Row],[Home]],Table46[[#This Row],[Visitor]])</f>
        <v>Utah Mammoth</v>
      </c>
      <c r="L19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0.58290886921401841</v>
      </c>
      <c r="M199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99" t="str">
        <f>IF(OR((NHL2025_26Results[[#This Row],[Winning Team]]="")),"-",IF(Table46[[#This Row],[Predicted Winner]]=NHL2025_26Results[[#This Row],[Winning Team]],"YES","NO"))</f>
        <v>NO</v>
      </c>
      <c r="O199" t="str">
        <f>IF(OR((NHL2025_26Results[[#This Row],[Winning Team]]="")),"-",IF(Table46[[#This Row],[Prob Winner]]=NHL2025_26Results[[#This Row],[Winning Team]],"YES","NO"))</f>
        <v>NO</v>
      </c>
      <c r="P199" t="str">
        <f>IF(Table46[[#This Row],[Locked Prediction]]&lt;&gt;Table46[[#This Row],[Prob Winner]], "Changed", "Same")</f>
        <v>Same</v>
      </c>
      <c r="Q199">
        <f>IF(Table46[[#This Row],[Adjusted Predicted Correct]]="-", "",IF(Table46[[#This Row],[Adjusted Predicted Correct]]="YES",(Table46[[#This Row],[Strength of Win]]-1)^2,(Table46[[#This Row],[Strength of Win]]-0)^2))</f>
        <v>0.33978274980836565</v>
      </c>
      <c r="R199">
        <v>0.52491065385840874</v>
      </c>
      <c r="S199" t="s">
        <v>55</v>
      </c>
      <c r="T199" t="s">
        <v>249</v>
      </c>
    </row>
    <row r="200" spans="4:20" x14ac:dyDescent="0.2">
      <c r="D200" s="1">
        <v>45964</v>
      </c>
      <c r="E200" s="2">
        <v>0.85416666666666663</v>
      </c>
      <c r="F200" t="s">
        <v>29</v>
      </c>
      <c r="G200">
        <f>VLOOKUP(Table46[[#This Row],[Home]],'NHL Model'!$A$6:$B$38,2,FALSE)</f>
        <v>-1.3516250707060606</v>
      </c>
      <c r="H200" t="s">
        <v>38</v>
      </c>
      <c r="I200">
        <f>VLOOKUP(Table46[[#This Row],[Visitor]],'NHL Model'!$A$6:$B$38,2,FALSE)</f>
        <v>-0.6902088310934803</v>
      </c>
      <c r="J200">
        <f>($B$1+Table46[[#This Row],[Home Differential]])-Table46[[#This Row],[Away Differential]]</f>
        <v>-0.49884392995026194</v>
      </c>
      <c r="K200" t="str">
        <f>IF(Table46[[#This Row],[HomeIce Differential]]&gt;0,Table46[[#This Row],[Home]],Table46[[#This Row],[Visitor]])</f>
        <v>Vancouver Canucks</v>
      </c>
      <c r="L20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0.56881840225965896</v>
      </c>
      <c r="M200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200" t="str">
        <f>IF(OR((NHL2025_26Results[[#This Row],[Winning Team]]="")),"-",IF(Table46[[#This Row],[Predicted Winner]]=NHL2025_26Results[[#This Row],[Winning Team]],"YES","NO"))</f>
        <v>YES</v>
      </c>
      <c r="O200" t="str">
        <f>IF(OR((NHL2025_26Results[[#This Row],[Winning Team]]="")),"-",IF(Table46[[#This Row],[Prob Winner]]=NHL2025_26Results[[#This Row],[Winning Team]],"YES","NO"))</f>
        <v>YES</v>
      </c>
      <c r="P200" t="str">
        <f>IF(Table46[[#This Row],[Locked Prediction]]&lt;&gt;Table46[[#This Row],[Prob Winner]], "Changed", "Same")</f>
        <v>Changed</v>
      </c>
      <c r="Q200">
        <f>IF(Table46[[#This Row],[Adjusted Predicted Correct]]="-", "",IF(Table46[[#This Row],[Adjusted Predicted Correct]]="YES",(Table46[[#This Row],[Strength of Win]]-1)^2,(Table46[[#This Row],[Strength of Win]]-0)^2))</f>
        <v>0.18591757022991326</v>
      </c>
      <c r="R200">
        <v>0.14002329669329616</v>
      </c>
      <c r="S200" t="s">
        <v>29</v>
      </c>
      <c r="T200" t="s">
        <v>249</v>
      </c>
    </row>
    <row r="201" spans="4:20" x14ac:dyDescent="0.2">
      <c r="D201" s="1">
        <v>45964</v>
      </c>
      <c r="E201" s="2">
        <v>0.91666666666666663</v>
      </c>
      <c r="F201" t="s">
        <v>32</v>
      </c>
      <c r="G201">
        <f>VLOOKUP(Table46[[#This Row],[Home]],'NHL Model'!$A$6:$B$38,2,FALSE)</f>
        <v>-0.361361309178443</v>
      </c>
      <c r="H201" t="s">
        <v>10</v>
      </c>
      <c r="I201">
        <f>VLOOKUP(Table46[[#This Row],[Visitor]],'NHL Model'!$A$6:$B$38,2,FALSE)</f>
        <v>0.30570968833820172</v>
      </c>
      <c r="J201">
        <f>($B$1+Table46[[#This Row],[Home Differential]])-Table46[[#This Row],[Away Differential]]</f>
        <v>-0.50449868785432628</v>
      </c>
      <c r="K201" t="str">
        <f>IF(Table46[[#This Row],[HomeIce Differential]]&gt;0,Table46[[#This Row],[Home]],Table46[[#This Row],[Visitor]])</f>
        <v>Chicago Blackhawks</v>
      </c>
      <c r="L20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0.52160291879226695</v>
      </c>
      <c r="M201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201" t="str">
        <f>IF(OR((NHL2025_26Results[[#This Row],[Winning Team]]="")),"-",IF(Table46[[#This Row],[Predicted Winner]]=NHL2025_26Results[[#This Row],[Winning Team]],"YES","NO"))</f>
        <v>NO</v>
      </c>
      <c r="O201" t="str">
        <f>IF(OR((NHL2025_26Results[[#This Row],[Winning Team]]="")),"-",IF(Table46[[#This Row],[Prob Winner]]=NHL2025_26Results[[#This Row],[Winning Team]],"YES","NO"))</f>
        <v>NO</v>
      </c>
      <c r="P201" t="str">
        <f>IF(Table46[[#This Row],[Locked Prediction]]&lt;&gt;Table46[[#This Row],[Prob Winner]], "Changed", "Same")</f>
        <v>Changed</v>
      </c>
      <c r="Q201">
        <f>IF(Table46[[#This Row],[Adjusted Predicted Correct]]="-", "",IF(Table46[[#This Row],[Adjusted Predicted Correct]]="YES",(Table46[[#This Row],[Strength of Win]]-1)^2,(Table46[[#This Row],[Strength of Win]]-0)^2))</f>
        <v>0.27206960489261223</v>
      </c>
      <c r="R201">
        <v>0.35360397180144315</v>
      </c>
      <c r="S201" t="s">
        <v>32</v>
      </c>
      <c r="T201" t="s">
        <v>248</v>
      </c>
    </row>
    <row r="202" spans="4:20" x14ac:dyDescent="0.2">
      <c r="D202" s="1">
        <v>45964</v>
      </c>
      <c r="E202" s="2">
        <v>0.85416666666666663</v>
      </c>
      <c r="F202" t="s">
        <v>35</v>
      </c>
      <c r="G202">
        <f>VLOOKUP(Table46[[#This Row],[Home]],'NHL Model'!$A$6:$B$38,2,FALSE)</f>
        <v>-1.6211574240381006</v>
      </c>
      <c r="H202" t="s">
        <v>17</v>
      </c>
      <c r="I202">
        <f>VLOOKUP(Table46[[#This Row],[Visitor]],'NHL Model'!$A$6:$B$38,2,FALSE)</f>
        <v>-0.61980804137564283</v>
      </c>
      <c r="J202">
        <f>($B$1+Table46[[#This Row],[Home Differential]])-Table46[[#This Row],[Away Differential]]</f>
        <v>-0.83877707300013937</v>
      </c>
      <c r="K202" t="str">
        <f>IF(Table46[[#This Row],[HomeIce Differential]]&gt;0,Table46[[#This Row],[Home]],Table46[[#This Row],[Visitor]])</f>
        <v>Edmonton Oilers</v>
      </c>
      <c r="L20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0.57148941501309491</v>
      </c>
      <c r="M202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202" t="str">
        <f>IF(OR((NHL2025_26Results[[#This Row],[Winning Team]]="")),"-",IF(Table46[[#This Row],[Predicted Winner]]=NHL2025_26Results[[#This Row],[Winning Team]],"YES","NO"))</f>
        <v>NO</v>
      </c>
      <c r="O202" t="str">
        <f>IF(OR((NHL2025_26Results[[#This Row],[Winning Team]]="")),"-",IF(Table46[[#This Row],[Prob Winner]]=NHL2025_26Results[[#This Row],[Winning Team]],"YES","NO"))</f>
        <v>NO</v>
      </c>
      <c r="P202" t="str">
        <f>IF(Table46[[#This Row],[Locked Prediction]]&lt;&gt;Table46[[#This Row],[Prob Winner]], "Changed", "Same")</f>
        <v>Same</v>
      </c>
      <c r="Q202">
        <f>IF(Table46[[#This Row],[Adjusted Predicted Correct]]="-", "",IF(Table46[[#This Row],[Adjusted Predicted Correct]]="YES",(Table46[[#This Row],[Strength of Win]]-1)^2,(Table46[[#This Row],[Strength of Win]]-0)^2))</f>
        <v>0.32660015147200944</v>
      </c>
      <c r="R202">
        <v>-0.91134649061052797</v>
      </c>
      <c r="S202" t="s">
        <v>17</v>
      </c>
      <c r="T202" t="s">
        <v>249</v>
      </c>
    </row>
    <row r="203" spans="4:20" x14ac:dyDescent="0.2">
      <c r="D203" s="1">
        <v>45964</v>
      </c>
      <c r="E203" s="2">
        <v>0.8125</v>
      </c>
      <c r="F203" t="s">
        <v>19</v>
      </c>
      <c r="G203">
        <f>VLOOKUP(Table46[[#This Row],[Home]],'NHL Model'!$A$6:$B$38,2,FALSE)</f>
        <v>-0.635565543477981</v>
      </c>
      <c r="H203" t="s">
        <v>14</v>
      </c>
      <c r="I203">
        <f>VLOOKUP(Table46[[#This Row],[Visitor]],'NHL Model'!$A$6:$B$38,2,FALSE)</f>
        <v>0.26289091192875702</v>
      </c>
      <c r="J203">
        <f>($B$1+Table46[[#This Row],[Home Differential]])-Table46[[#This Row],[Away Differential]]</f>
        <v>-0.73588414574441963</v>
      </c>
      <c r="K203" t="str">
        <f>IF(Table46[[#This Row],[HomeIce Differential]]&gt;0,Table46[[#This Row],[Home]],Table46[[#This Row],[Visitor]])</f>
        <v>Pittsburgh Penguins</v>
      </c>
      <c r="L20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0.55781298937154289</v>
      </c>
      <c r="M203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203" t="str">
        <f>IF(OR((NHL2025_26Results[[#This Row],[Winning Team]]="")),"-",IF(Table46[[#This Row],[Predicted Winner]]=NHL2025_26Results[[#This Row],[Winning Team]],"YES","NO"))</f>
        <v>NO</v>
      </c>
      <c r="O203" t="str">
        <f>IF(OR((NHL2025_26Results[[#This Row],[Winning Team]]="")),"-",IF(Table46[[#This Row],[Prob Winner]]=NHL2025_26Results[[#This Row],[Winning Team]],"YES","NO"))</f>
        <v>NO</v>
      </c>
      <c r="P203" t="str">
        <f>IF(Table46[[#This Row],[Locked Prediction]]&lt;&gt;Table46[[#This Row],[Prob Winner]], "Changed", "Same")</f>
        <v>Same</v>
      </c>
      <c r="Q203">
        <f>IF(Table46[[#This Row],[Adjusted Predicted Correct]]="-", "",IF(Table46[[#This Row],[Adjusted Predicted Correct]]="YES",(Table46[[#This Row],[Strength of Win]]-1)^2,(Table46[[#This Row],[Strength of Win]]-0)^2))</f>
        <v>0.31115533111161703</v>
      </c>
      <c r="R203">
        <v>-0.38811894988392659</v>
      </c>
      <c r="S203" t="s">
        <v>14</v>
      </c>
      <c r="T203" t="s">
        <v>249</v>
      </c>
    </row>
    <row r="204" spans="4:20" x14ac:dyDescent="0.2">
      <c r="D204" s="1">
        <v>45965</v>
      </c>
      <c r="E204" s="2">
        <v>0.91666666666666663</v>
      </c>
      <c r="F204" t="s">
        <v>31</v>
      </c>
      <c r="G204">
        <f>VLOOKUP(Table46[[#This Row],[Home]],'NHL Model'!$A$6:$B$38,2,FALSE)</f>
        <v>0.51775546328552802</v>
      </c>
      <c r="H204" t="s">
        <v>11</v>
      </c>
      <c r="I204">
        <f>VLOOKUP(Table46[[#This Row],[Visitor]],'NHL Model'!$A$6:$B$38,2,FALSE)</f>
        <v>-0.28105923893144158</v>
      </c>
      <c r="J204">
        <f>($B$1+Table46[[#This Row],[Home Differential]])-Table46[[#This Row],[Away Differential]]</f>
        <v>0.96138701187928799</v>
      </c>
      <c r="K204" t="str">
        <f>IF(Table46[[#This Row],[HomeIce Differential]]&gt;0,Table46[[#This Row],[Home]],Table46[[#This Row],[Visitor]])</f>
        <v>Anaheim Ducks</v>
      </c>
      <c r="L20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0.77211650315317826</v>
      </c>
      <c r="M204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204" t="str">
        <f>IF(OR((NHL2025_26Results[[#This Row],[Winning Team]]="")),"-",IF(Table46[[#This Row],[Predicted Winner]]=NHL2025_26Results[[#This Row],[Winning Team]],"YES","NO"))</f>
        <v>YES</v>
      </c>
      <c r="O204" t="str">
        <f>IF(OR((NHL2025_26Results[[#This Row],[Winning Team]]="")),"-",IF(Table46[[#This Row],[Prob Winner]]=NHL2025_26Results[[#This Row],[Winning Team]],"YES","NO"))</f>
        <v>YES</v>
      </c>
      <c r="P204" t="str">
        <f>IF(Table46[[#This Row],[Locked Prediction]]&lt;&gt;Table46[[#This Row],[Prob Winner]], "Changed", "Same")</f>
        <v>Same</v>
      </c>
      <c r="Q204">
        <f>IF(Table46[[#This Row],[Adjusted Predicted Correct]]="-", "",IF(Table46[[#This Row],[Adjusted Predicted Correct]]="YES",(Table46[[#This Row],[Strength of Win]]-1)^2,(Table46[[#This Row],[Strength of Win]]-0)^2))</f>
        <v>5.1930888135135418E-2</v>
      </c>
      <c r="R204">
        <v>1.6492715237405093</v>
      </c>
      <c r="S204" t="s">
        <v>31</v>
      </c>
      <c r="T204" t="s">
        <v>248</v>
      </c>
    </row>
    <row r="205" spans="4:20" x14ac:dyDescent="0.2">
      <c r="D205" s="1">
        <v>45965</v>
      </c>
      <c r="E205" s="2">
        <v>0.79166666666666663</v>
      </c>
      <c r="F205" t="s">
        <v>23</v>
      </c>
      <c r="G205">
        <f>VLOOKUP(Table46[[#This Row],[Home]],'NHL Model'!$A$6:$B$38,2,FALSE)</f>
        <v>-0.8683412362501769</v>
      </c>
      <c r="H205" t="s">
        <v>55</v>
      </c>
      <c r="I205">
        <f>VLOOKUP(Table46[[#This Row],[Visitor]],'NHL Model'!$A$6:$B$38,2,FALSE)</f>
        <v>-0.12212311954851815</v>
      </c>
      <c r="J205">
        <f>($B$1+Table46[[#This Row],[Home Differential]])-Table46[[#This Row],[Away Differential]]</f>
        <v>-0.58364580703934033</v>
      </c>
      <c r="K205" t="str">
        <f>IF(Table46[[#This Row],[HomeIce Differential]]&gt;0,Table46[[#This Row],[Home]],Table46[[#This Row],[Visitor]])</f>
        <v>Utah Mammoth</v>
      </c>
      <c r="L20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0.53757762067687198</v>
      </c>
      <c r="M205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205" t="str">
        <f>IF(OR((NHL2025_26Results[[#This Row],[Winning Team]]="")),"-",IF(Table46[[#This Row],[Predicted Winner]]=NHL2025_26Results[[#This Row],[Winning Team]],"YES","NO"))</f>
        <v>YES</v>
      </c>
      <c r="O205" t="str">
        <f>IF(OR((NHL2025_26Results[[#This Row],[Winning Team]]="")),"-",IF(Table46[[#This Row],[Prob Winner]]=NHL2025_26Results[[#This Row],[Winning Team]],"YES","NO"))</f>
        <v>YES</v>
      </c>
      <c r="P205" t="str">
        <f>IF(Table46[[#This Row],[Locked Prediction]]&lt;&gt;Table46[[#This Row],[Prob Winner]], "Changed", "Same")</f>
        <v>Same</v>
      </c>
      <c r="Q205">
        <f>IF(Table46[[#This Row],[Adjusted Predicted Correct]]="-", "",IF(Table46[[#This Row],[Adjusted Predicted Correct]]="YES",(Table46[[#This Row],[Strength of Win]]-1)^2,(Table46[[#This Row],[Strength of Win]]-0)^2))</f>
        <v>0.21383445689886291</v>
      </c>
      <c r="R205">
        <v>-0.49386432627608945</v>
      </c>
      <c r="S205" t="s">
        <v>55</v>
      </c>
      <c r="T205" t="s">
        <v>248</v>
      </c>
    </row>
    <row r="206" spans="4:20" x14ac:dyDescent="0.2">
      <c r="D206" s="1">
        <v>45965</v>
      </c>
      <c r="E206" s="2">
        <v>0.89583333333333337</v>
      </c>
      <c r="F206" t="s">
        <v>12</v>
      </c>
      <c r="G206">
        <f>VLOOKUP(Table46[[#This Row],[Home]],'NHL Model'!$A$6:$B$38,2,FALSE)</f>
        <v>1.5475013591489768</v>
      </c>
      <c r="H206" t="s">
        <v>37</v>
      </c>
      <c r="I206">
        <f>VLOOKUP(Table46[[#This Row],[Visitor]],'NHL Model'!$A$6:$B$38,2,FALSE)</f>
        <v>-0.11309445867623392</v>
      </c>
      <c r="J206">
        <f>($B$1+Table46[[#This Row],[Home Differential]])-Table46[[#This Row],[Away Differential]]</f>
        <v>1.8231681274875291</v>
      </c>
      <c r="K206" t="str">
        <f>IF(Table46[[#This Row],[HomeIce Differential]]&gt;0,Table46[[#This Row],[Home]],Table46[[#This Row],[Visitor]])</f>
        <v>Colorado Avalanche</v>
      </c>
      <c r="L20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0.82566702907571865</v>
      </c>
      <c r="M206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206" t="str">
        <f>IF(OR((NHL2025_26Results[[#This Row],[Winning Team]]="")),"-",IF(Table46[[#This Row],[Predicted Winner]]=NHL2025_26Results[[#This Row],[Winning Team]],"YES","NO"))</f>
        <v>YES</v>
      </c>
      <c r="O206" t="str">
        <f>IF(OR((NHL2025_26Results[[#This Row],[Winning Team]]="")),"-",IF(Table46[[#This Row],[Prob Winner]]=NHL2025_26Results[[#This Row],[Winning Team]],"YES","NO"))</f>
        <v>YES</v>
      </c>
      <c r="P206" t="str">
        <f>IF(Table46[[#This Row],[Locked Prediction]]&lt;&gt;Table46[[#This Row],[Prob Winner]], "Changed", "Same")</f>
        <v>Same</v>
      </c>
      <c r="Q206">
        <f>IF(Table46[[#This Row],[Adjusted Predicted Correct]]="-", "",IF(Table46[[#This Row],[Adjusted Predicted Correct]]="YES",(Table46[[#This Row],[Strength of Win]]-1)^2,(Table46[[#This Row],[Strength of Win]]-0)^2))</f>
        <v>3.0391984751286325E-2</v>
      </c>
      <c r="R206">
        <v>1.2471185353360101</v>
      </c>
      <c r="S206" t="s">
        <v>12</v>
      </c>
      <c r="T206" t="s">
        <v>248</v>
      </c>
    </row>
    <row r="207" spans="4:20" x14ac:dyDescent="0.2">
      <c r="D207" s="1">
        <v>45965</v>
      </c>
      <c r="E207" s="2">
        <v>0.83333333333333337</v>
      </c>
      <c r="F207" t="s">
        <v>39</v>
      </c>
      <c r="G207">
        <f>VLOOKUP(Table46[[#This Row],[Home]],'NHL Model'!$A$6:$B$38,2,FALSE)</f>
        <v>0.19809534061227302</v>
      </c>
      <c r="H207" t="s">
        <v>17</v>
      </c>
      <c r="I207">
        <f>VLOOKUP(Table46[[#This Row],[Visitor]],'NHL Model'!$A$6:$B$38,2,FALSE)</f>
        <v>-0.61980804137564283</v>
      </c>
      <c r="J207">
        <f>($B$1+Table46[[#This Row],[Home Differential]])-Table46[[#This Row],[Away Differential]]</f>
        <v>0.98047569165023418</v>
      </c>
      <c r="K207" t="str">
        <f>IF(Table46[[#This Row],[HomeIce Differential]]&gt;0,Table46[[#This Row],[Home]],Table46[[#This Row],[Visitor]])</f>
        <v>Dallas Stars</v>
      </c>
      <c r="L20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0.6963615904409024</v>
      </c>
      <c r="M207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207" t="str">
        <f>IF(OR((NHL2025_26Results[[#This Row],[Winning Team]]="")),"-",IF(Table46[[#This Row],[Predicted Winner]]=NHL2025_26Results[[#This Row],[Winning Team]],"YES","NO"))</f>
        <v>YES</v>
      </c>
      <c r="O207" t="str">
        <f>IF(OR((NHL2025_26Results[[#This Row],[Winning Team]]="")),"-",IF(Table46[[#This Row],[Prob Winner]]=NHL2025_26Results[[#This Row],[Winning Team]],"YES","NO"))</f>
        <v>YES</v>
      </c>
      <c r="P207" t="str">
        <f>IF(Table46[[#This Row],[Locked Prediction]]&lt;&gt;Table46[[#This Row],[Prob Winner]], "Changed", "Same")</f>
        <v>Same</v>
      </c>
      <c r="Q207">
        <f>IF(Table46[[#This Row],[Adjusted Predicted Correct]]="-", "",IF(Table46[[#This Row],[Adjusted Predicted Correct]]="YES",(Table46[[#This Row],[Strength of Win]]-1)^2,(Table46[[#This Row],[Strength of Win]]-0)^2))</f>
        <v>9.2196283759578293E-2</v>
      </c>
      <c r="R207">
        <v>0.35417609343625189</v>
      </c>
      <c r="S207" t="s">
        <v>39</v>
      </c>
      <c r="T207" t="s">
        <v>248</v>
      </c>
    </row>
    <row r="208" spans="4:20" x14ac:dyDescent="0.2">
      <c r="D208" s="1">
        <v>45965</v>
      </c>
      <c r="E208" s="2">
        <v>0.9375</v>
      </c>
      <c r="F208" t="s">
        <v>13</v>
      </c>
      <c r="G208">
        <f>VLOOKUP(Table46[[#This Row],[Home]],'NHL Model'!$A$6:$B$38,2,FALSE)</f>
        <v>-7.5459708298993802E-2</v>
      </c>
      <c r="H208" t="s">
        <v>40</v>
      </c>
      <c r="I208">
        <f>VLOOKUP(Table46[[#This Row],[Visitor]],'NHL Model'!$A$6:$B$38,2,FALSE)</f>
        <v>0.105105258369765</v>
      </c>
      <c r="J208">
        <f>($B$1+Table46[[#This Row],[Home Differential]])-Table46[[#This Row],[Away Differential]]</f>
        <v>-1.7992657006440413E-2</v>
      </c>
      <c r="K208" t="str">
        <f>IF(Table46[[#This Row],[HomeIce Differential]]&gt;0,Table46[[#This Row],[Home]],Table46[[#This Row],[Visitor]])</f>
        <v>Winnipeg Jets</v>
      </c>
      <c r="L20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0.52870735556287674</v>
      </c>
      <c r="M208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208" t="str">
        <f>IF(OR((NHL2025_26Results[[#This Row],[Winning Team]]="")),"-",IF(Table46[[#This Row],[Predicted Winner]]=NHL2025_26Results[[#This Row],[Winning Team]],"YES","NO"))</f>
        <v>NO</v>
      </c>
      <c r="O208" t="str">
        <f>IF(OR((NHL2025_26Results[[#This Row],[Winning Team]]="")),"-",IF(Table46[[#This Row],[Prob Winner]]=NHL2025_26Results[[#This Row],[Winning Team]],"YES","NO"))</f>
        <v>NO</v>
      </c>
      <c r="P208" t="str">
        <f>IF(Table46[[#This Row],[Locked Prediction]]&lt;&gt;Table46[[#This Row],[Prob Winner]], "Changed", "Same")</f>
        <v>Same</v>
      </c>
      <c r="Q208">
        <f>IF(Table46[[#This Row],[Adjusted Predicted Correct]]="-", "",IF(Table46[[#This Row],[Adjusted Predicted Correct]]="YES",(Table46[[#This Row],[Strength of Win]]-1)^2,(Table46[[#This Row],[Strength of Win]]-0)^2))</f>
        <v>0.27953146782629018</v>
      </c>
      <c r="R208">
        <v>-0.40920122541096099</v>
      </c>
      <c r="S208" t="s">
        <v>40</v>
      </c>
      <c r="T208" t="s">
        <v>249</v>
      </c>
    </row>
    <row r="209" spans="4:22" x14ac:dyDescent="0.2">
      <c r="D209" s="1">
        <v>45965</v>
      </c>
      <c r="E209" s="2">
        <v>0.83333333333333337</v>
      </c>
      <c r="F209" t="s">
        <v>34</v>
      </c>
      <c r="G209">
        <f>VLOOKUP(Table46[[#This Row],[Home]],'NHL Model'!$A$6:$B$38,2,FALSE)</f>
        <v>-0.53650300840565446</v>
      </c>
      <c r="H209" t="s">
        <v>29</v>
      </c>
      <c r="I209">
        <f>VLOOKUP(Table46[[#This Row],[Visitor]],'NHL Model'!$A$6:$B$38,2,FALSE)</f>
        <v>-1.3516250707060606</v>
      </c>
      <c r="J209">
        <f>($B$1+Table46[[#This Row],[Home Differential]])-Table46[[#This Row],[Away Differential]]</f>
        <v>0.97769437196272457</v>
      </c>
      <c r="K209" t="str">
        <f>IF(Table46[[#This Row],[HomeIce Differential]]&gt;0,Table46[[#This Row],[Home]],Table46[[#This Row],[Visitor]])</f>
        <v>Minnesota Wild</v>
      </c>
      <c r="L20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0.66995416434290322</v>
      </c>
      <c r="M209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209" t="str">
        <f>IF(OR((NHL2025_26Results[[#This Row],[Winning Team]]="")),"-",IF(Table46[[#This Row],[Predicted Winner]]=NHL2025_26Results[[#This Row],[Winning Team]],"YES","NO"))</f>
        <v>YES</v>
      </c>
      <c r="O209" t="str">
        <f>IF(OR((NHL2025_26Results[[#This Row],[Winning Team]]="")),"-",IF(Table46[[#This Row],[Prob Winner]]=NHL2025_26Results[[#This Row],[Winning Team]],"YES","NO"))</f>
        <v>YES</v>
      </c>
      <c r="P209" t="str">
        <f>IF(Table46[[#This Row],[Locked Prediction]]&lt;&gt;Table46[[#This Row],[Prob Winner]], "Changed", "Same")</f>
        <v>Same</v>
      </c>
      <c r="Q209">
        <f>IF(Table46[[#This Row],[Adjusted Predicted Correct]]="-", "",IF(Table46[[#This Row],[Adjusted Predicted Correct]]="YES",(Table46[[#This Row],[Strength of Win]]-1)^2,(Table46[[#This Row],[Strength of Win]]-0)^2))</f>
        <v>0.10893025363459133</v>
      </c>
      <c r="R209">
        <v>0.29440526942957113</v>
      </c>
      <c r="S209" t="s">
        <v>34</v>
      </c>
      <c r="T209" t="s">
        <v>248</v>
      </c>
    </row>
    <row r="210" spans="4:22" x14ac:dyDescent="0.2">
      <c r="D210" s="1">
        <v>45965</v>
      </c>
      <c r="E210" s="2">
        <v>0.79166666666666663</v>
      </c>
      <c r="F210" t="s">
        <v>18</v>
      </c>
      <c r="G210">
        <f>VLOOKUP(Table46[[#This Row],[Home]],'NHL Model'!$A$6:$B$38,2,FALSE)</f>
        <v>-0.52437726201848234</v>
      </c>
      <c r="H210" t="s">
        <v>27</v>
      </c>
      <c r="I210">
        <f>VLOOKUP(Table46[[#This Row],[Visitor]],'NHL Model'!$A$6:$B$38,2,FALSE)</f>
        <v>-0.51358590497437617</v>
      </c>
      <c r="J210">
        <f>($B$1+Table46[[#This Row],[Home Differential]])-Table46[[#This Row],[Away Differential]]</f>
        <v>0.15178095261821223</v>
      </c>
      <c r="K210" t="str">
        <f>IF(Table46[[#This Row],[HomeIce Differential]]&gt;0,Table46[[#This Row],[Home]],Table46[[#This Row],[Visitor]])</f>
        <v>Montreal Canadiens</v>
      </c>
      <c r="L2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0.56017457339052945</v>
      </c>
      <c r="M210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210" t="str">
        <f>IF(OR((NHL2025_26Results[[#This Row],[Winning Team]]="")),"-",IF(Table46[[#This Row],[Predicted Winner]]=NHL2025_26Results[[#This Row],[Winning Team]],"YES","NO"))</f>
        <v>NO</v>
      </c>
      <c r="O210" t="str">
        <f>IF(OR((NHL2025_26Results[[#This Row],[Winning Team]]="")),"-",IF(Table46[[#This Row],[Prob Winner]]=NHL2025_26Results[[#This Row],[Winning Team]],"YES","NO"))</f>
        <v>NO</v>
      </c>
      <c r="P210" t="str">
        <f>IF(Table46[[#This Row],[Locked Prediction]]&lt;&gt;Table46[[#This Row],[Prob Winner]], "Changed", "Same")</f>
        <v>Same</v>
      </c>
      <c r="Q210">
        <f>IF(Table46[[#This Row],[Adjusted Predicted Correct]]="-", "",IF(Table46[[#This Row],[Adjusted Predicted Correct]]="YES",(Table46[[#This Row],[Strength of Win]]-1)^2,(Table46[[#This Row],[Strength of Win]]-0)^2))</f>
        <v>0.31379555267326165</v>
      </c>
      <c r="R210">
        <v>0.53713197650222244</v>
      </c>
      <c r="S210" t="s">
        <v>18</v>
      </c>
      <c r="T210" t="s">
        <v>249</v>
      </c>
    </row>
    <row r="211" spans="4:22" x14ac:dyDescent="0.2">
      <c r="D211" s="1">
        <v>45965</v>
      </c>
      <c r="E211" s="2">
        <v>0.79166666666666663</v>
      </c>
      <c r="F211" t="s">
        <v>30</v>
      </c>
      <c r="G211">
        <f>VLOOKUP(Table46[[#This Row],[Home]],'NHL Model'!$A$6:$B$38,2,FALSE)</f>
        <v>-6.4729560818359025E-2</v>
      </c>
      <c r="H211" t="s">
        <v>21</v>
      </c>
      <c r="I211">
        <f>VLOOKUP(Table46[[#This Row],[Visitor]],'NHL Model'!$A$6:$B$38,2,FALSE)</f>
        <v>4.029141914856392E-2</v>
      </c>
      <c r="J211">
        <f>($B$1+Table46[[#This Row],[Home Differential]])-Table46[[#This Row],[Away Differential]]</f>
        <v>5.7551329695395448E-2</v>
      </c>
      <c r="K211" t="str">
        <f>IF(Table46[[#This Row],[HomeIce Differential]]&gt;0,Table46[[#This Row],[Home]],Table46[[#This Row],[Visitor]])</f>
        <v>New York Islanders</v>
      </c>
      <c r="L2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0.54764966555179595</v>
      </c>
      <c r="M211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211" t="str">
        <f>IF(OR((NHL2025_26Results[[#This Row],[Winning Team]]="")),"-",IF(Table46[[#This Row],[Predicted Winner]]=NHL2025_26Results[[#This Row],[Winning Team]],"YES","NO"))</f>
        <v>NO</v>
      </c>
      <c r="O211" t="str">
        <f>IF(OR((NHL2025_26Results[[#This Row],[Winning Team]]="")),"-",IF(Table46[[#This Row],[Prob Winner]]=NHL2025_26Results[[#This Row],[Winning Team]],"YES","NO"))</f>
        <v>NO</v>
      </c>
      <c r="P211" t="str">
        <f>IF(Table46[[#This Row],[Locked Prediction]]&lt;&gt;Table46[[#This Row],[Prob Winner]], "Changed", "Same")</f>
        <v>Changed</v>
      </c>
      <c r="Q211">
        <f>IF(Table46[[#This Row],[Adjusted Predicted Correct]]="-", "",IF(Table46[[#This Row],[Adjusted Predicted Correct]]="YES",(Table46[[#This Row],[Strength of Win]]-1)^2,(Table46[[#This Row],[Strength of Win]]-0)^2))</f>
        <v>0.29992015617899398</v>
      </c>
      <c r="R211">
        <v>-1.9511330716513675E-2</v>
      </c>
      <c r="S211" t="s">
        <v>21</v>
      </c>
      <c r="T211" t="s">
        <v>248</v>
      </c>
    </row>
    <row r="212" spans="4:22" x14ac:dyDescent="0.2">
      <c r="D212" s="1">
        <v>45965</v>
      </c>
      <c r="E212" s="2">
        <v>0.79166666666666663</v>
      </c>
      <c r="F212" t="s">
        <v>15</v>
      </c>
      <c r="G212">
        <f>VLOOKUP(Table46[[#This Row],[Home]],'NHL Model'!$A$6:$B$38,2,FALSE)</f>
        <v>-0.30719665303039001</v>
      </c>
      <c r="H212" t="s">
        <v>25</v>
      </c>
      <c r="I212">
        <f>VLOOKUP(Table46[[#This Row],[Visitor]],'NHL Model'!$A$6:$B$38,2,FALSE)</f>
        <v>0.67193921242367816</v>
      </c>
      <c r="J212">
        <f>($B$1+Table46[[#This Row],[Home Differential]])-Table46[[#This Row],[Away Differential]]</f>
        <v>-0.81656355579174977</v>
      </c>
      <c r="K212" t="str">
        <f>IF(Table46[[#This Row],[HomeIce Differential]]&gt;0,Table46[[#This Row],[Home]],Table46[[#This Row],[Visitor]])</f>
        <v>Carolina Hurricanes</v>
      </c>
      <c r="L2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0.66102300422561977</v>
      </c>
      <c r="M212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212" t="str">
        <f>IF(OR((NHL2025_26Results[[#This Row],[Winning Team]]="")),"-",IF(Table46[[#This Row],[Predicted Winner]]=NHL2025_26Results[[#This Row],[Winning Team]],"YES","NO"))</f>
        <v>YES</v>
      </c>
      <c r="O212" t="str">
        <f>IF(OR((NHL2025_26Results[[#This Row],[Winning Team]]="")),"-",IF(Table46[[#This Row],[Prob Winner]]=NHL2025_26Results[[#This Row],[Winning Team]],"YES","NO"))</f>
        <v>YES</v>
      </c>
      <c r="P212" t="str">
        <f>IF(Table46[[#This Row],[Locked Prediction]]&lt;&gt;Table46[[#This Row],[Prob Winner]], "Changed", "Same")</f>
        <v>Same</v>
      </c>
      <c r="Q212">
        <f>IF(Table46[[#This Row],[Adjusted Predicted Correct]]="-", "",IF(Table46[[#This Row],[Adjusted Predicted Correct]]="YES",(Table46[[#This Row],[Strength of Win]]-1)^2,(Table46[[#This Row],[Strength of Win]]-0)^2))</f>
        <v>0.11490540366422419</v>
      </c>
      <c r="R212">
        <v>-1.4110652638033832</v>
      </c>
      <c r="S212" t="s">
        <v>25</v>
      </c>
      <c r="T212" t="s">
        <v>248</v>
      </c>
    </row>
    <row r="213" spans="4:22" x14ac:dyDescent="0.2">
      <c r="D213" s="1">
        <v>45965</v>
      </c>
      <c r="E213" s="2">
        <v>0.91666666666666663</v>
      </c>
      <c r="F213" t="s">
        <v>20</v>
      </c>
      <c r="G213">
        <f>VLOOKUP(Table46[[#This Row],[Home]],'NHL Model'!$A$6:$B$38,2,FALSE)</f>
        <v>-6.3745791019188943E-4</v>
      </c>
      <c r="H213" t="s">
        <v>26</v>
      </c>
      <c r="I213">
        <f>VLOOKUP(Table46[[#This Row],[Visitor]],'NHL Model'!$A$6:$B$38,2,FALSE)</f>
        <v>-0.513643833119658</v>
      </c>
      <c r="J213">
        <f>($B$1+Table46[[#This Row],[Home Differential]])-Table46[[#This Row],[Away Differential]]</f>
        <v>0.67557868487178452</v>
      </c>
      <c r="K213" t="str">
        <f>IF(Table46[[#This Row],[HomeIce Differential]]&gt;0,Table46[[#This Row],[Home]],Table46[[#This Row],[Visitor]])</f>
        <v>Vegas Golden Knights</v>
      </c>
      <c r="L2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0.58269785595984058</v>
      </c>
      <c r="M213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213" t="str">
        <f>IF(OR((NHL2025_26Results[[#This Row],[Winning Team]]="")),"-",IF(Table46[[#This Row],[Predicted Winner]]=NHL2025_26Results[[#This Row],[Winning Team]],"YES","NO"))</f>
        <v>YES</v>
      </c>
      <c r="O213" t="str">
        <f>IF(OR((NHL2025_26Results[[#This Row],[Winning Team]]="")),"-",IF(Table46[[#This Row],[Prob Winner]]=NHL2025_26Results[[#This Row],[Winning Team]],"YES","NO"))</f>
        <v>YES</v>
      </c>
      <c r="P213" t="str">
        <f>IF(Table46[[#This Row],[Locked Prediction]]&lt;&gt;Table46[[#This Row],[Prob Winner]], "Changed", "Same")</f>
        <v>Same</v>
      </c>
      <c r="Q213">
        <f>IF(Table46[[#This Row],[Adjusted Predicted Correct]]="-", "",IF(Table46[[#This Row],[Adjusted Predicted Correct]]="YES",(Table46[[#This Row],[Strength of Win]]-1)^2,(Table46[[#This Row],[Strength of Win]]-0)^2))</f>
        <v>0.17414107942051396</v>
      </c>
      <c r="R213">
        <v>1.0630580212597851</v>
      </c>
      <c r="S213" t="s">
        <v>20</v>
      </c>
      <c r="T213" t="s">
        <v>248</v>
      </c>
    </row>
    <row r="214" spans="4:22" x14ac:dyDescent="0.2">
      <c r="D214" s="1">
        <v>45966</v>
      </c>
      <c r="E214" s="2">
        <v>0.89583333333333337</v>
      </c>
      <c r="F214" t="s">
        <v>16</v>
      </c>
      <c r="G214">
        <f>VLOOKUP(Table46[[#This Row],[Home]],'NHL Model'!$A$6:$B$38,2,FALSE)</f>
        <v>-1.3903684122795328</v>
      </c>
      <c r="H214" t="s">
        <v>28</v>
      </c>
      <c r="I214">
        <f>VLOOKUP(Table46[[#This Row],[Visitor]],'NHL Model'!$A$6:$B$38,2,FALSE)</f>
        <v>-0.40822279081308277</v>
      </c>
      <c r="J214">
        <f>($B$1+Table46[[#This Row],[Home Differential]])-Table46[[#This Row],[Away Differential]]</f>
        <v>-0.81957331180413162</v>
      </c>
      <c r="K214" t="str">
        <f>IF(Table46[[#This Row],[HomeIce Differential]]&gt;0,Table46[[#This Row],[Home]],Table46[[#This Row],[Visitor]])</f>
        <v>Columbus Blue Jackets</v>
      </c>
      <c r="L21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0.58970610092778397</v>
      </c>
      <c r="M214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214" t="str">
        <f>IF(OR((NHL2025_26Results[[#This Row],[Winning Team]]="")),"-",IF(Table46[[#This Row],[Predicted Winner]]=NHL2025_26Results[[#This Row],[Winning Team]],"YES","NO"))</f>
        <v>NO</v>
      </c>
      <c r="O214" t="str">
        <f>IF(OR((NHL2025_26Results[[#This Row],[Winning Team]]="")),"-",IF(Table46[[#This Row],[Prob Winner]]=NHL2025_26Results[[#This Row],[Winning Team]],"YES","NO"))</f>
        <v>NO</v>
      </c>
      <c r="P214" t="str">
        <f>IF(Table46[[#This Row],[Locked Prediction]]&lt;&gt;Table46[[#This Row],[Prob Winner]], "Changed", "Same")</f>
        <v>Changed</v>
      </c>
      <c r="Q214">
        <f>IF(Table46[[#This Row],[Adjusted Predicted Correct]]="-", "",IF(Table46[[#This Row],[Adjusted Predicted Correct]]="YES",(Table46[[#This Row],[Strength of Win]]-1)^2,(Table46[[#This Row],[Strength of Win]]-0)^2))</f>
        <v>0.34775328547144974</v>
      </c>
      <c r="R214">
        <v>1.5230300988070606</v>
      </c>
      <c r="S214" t="s">
        <v>20</v>
      </c>
      <c r="T214" t="s">
        <v>248</v>
      </c>
    </row>
    <row r="215" spans="4:22" x14ac:dyDescent="0.2">
      <c r="D215" s="1">
        <v>45966</v>
      </c>
      <c r="E215" s="2">
        <v>0.91666666666666663</v>
      </c>
      <c r="F215" t="s">
        <v>32</v>
      </c>
      <c r="G215">
        <f>VLOOKUP(Table46[[#This Row],[Home]],'NHL Model'!$A$6:$B$38,2,FALSE)</f>
        <v>-0.361361309178443</v>
      </c>
      <c r="H215" t="s">
        <v>33</v>
      </c>
      <c r="I215">
        <f>VLOOKUP(Table46[[#This Row],[Visitor]],'NHL Model'!$A$6:$B$38,2,FALSE)</f>
        <v>-0.39418177254008485</v>
      </c>
      <c r="J215">
        <f>($B$1+Table46[[#This Row],[Home Differential]])-Table46[[#This Row],[Away Differential]]</f>
        <v>0.19539277302396024</v>
      </c>
      <c r="K215" t="str">
        <f>IF(Table46[[#This Row],[HomeIce Differential]]&gt;0,Table46[[#This Row],[Home]],Table46[[#This Row],[Visitor]])</f>
        <v>Seattle Kraken</v>
      </c>
      <c r="L21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0.59200914906891233</v>
      </c>
      <c r="M215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215" t="str">
        <f>IF(OR((NHL2025_26Results[[#This Row],[Winning Team]]="")),"-",IF(Table46[[#This Row],[Predicted Winner]]=NHL2025_26Results[[#This Row],[Winning Team]],"YES","NO"))</f>
        <v>NO</v>
      </c>
      <c r="O215" t="str">
        <f>IF(OR((NHL2025_26Results[[#This Row],[Winning Team]]="")),"-",IF(Table46[[#This Row],[Prob Winner]]=NHL2025_26Results[[#This Row],[Winning Team]],"YES","NO"))</f>
        <v>NO</v>
      </c>
      <c r="P215" t="str">
        <f>IF(Table46[[#This Row],[Locked Prediction]]&lt;&gt;Table46[[#This Row],[Prob Winner]], "Changed", "Same")</f>
        <v>Changed</v>
      </c>
      <c r="Q215">
        <f>IF(Table46[[#This Row],[Adjusted Predicted Correct]]="-", "",IF(Table46[[#This Row],[Adjusted Predicted Correct]]="YES",(Table46[[#This Row],[Strength of Win]]-1)^2,(Table46[[#This Row],[Strength of Win]]-0)^2))</f>
        <v>0.35047483258129769</v>
      </c>
      <c r="R215">
        <v>-4.76209127026479E-2</v>
      </c>
      <c r="S215" t="s">
        <v>28</v>
      </c>
      <c r="T215" t="s">
        <v>249</v>
      </c>
    </row>
    <row r="216" spans="4:22" x14ac:dyDescent="0.2">
      <c r="D216" s="1">
        <v>45966</v>
      </c>
      <c r="E216" s="2">
        <v>0.79166666666666663</v>
      </c>
      <c r="F216" t="s">
        <v>19</v>
      </c>
      <c r="G216">
        <f>VLOOKUP(Table46[[#This Row],[Home]],'NHL Model'!$A$6:$B$38,2,FALSE)</f>
        <v>-0.635565543477981</v>
      </c>
      <c r="H216" t="s">
        <v>55</v>
      </c>
      <c r="I216">
        <f>VLOOKUP(Table46[[#This Row],[Visitor]],'NHL Model'!$A$6:$B$38,2,FALSE)</f>
        <v>-0.12212311954851815</v>
      </c>
      <c r="J216">
        <f>($B$1+Table46[[#This Row],[Home Differential]])-Table46[[#This Row],[Away Differential]]</f>
        <v>-0.35087011426714443</v>
      </c>
      <c r="K216" t="str">
        <f>IF(Table46[[#This Row],[HomeIce Differential]]&gt;0,Table46[[#This Row],[Home]],Table46[[#This Row],[Visitor]])</f>
        <v>Utah Mammoth</v>
      </c>
      <c r="L21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0.50663730691315068</v>
      </c>
      <c r="M216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216" t="str">
        <f>IF(OR((NHL2025_26Results[[#This Row],[Winning Team]]="")),"-",IF(Table46[[#This Row],[Predicted Winner]]=NHL2025_26Results[[#This Row],[Winning Team]],"YES","NO"))</f>
        <v>NO</v>
      </c>
      <c r="O216" t="str">
        <f>IF(OR((NHL2025_26Results[[#This Row],[Winning Team]]="")),"-",IF(Table46[[#This Row],[Prob Winner]]=NHL2025_26Results[[#This Row],[Winning Team]],"YES","NO"))</f>
        <v>NO</v>
      </c>
      <c r="P216" t="str">
        <f>IF(Table46[[#This Row],[Locked Prediction]]&lt;&gt;Table46[[#This Row],[Prob Winner]], "Changed", "Same")</f>
        <v>Changed</v>
      </c>
      <c r="Q216">
        <f>IF(Table46[[#This Row],[Adjusted Predicted Correct]]="-", "",IF(Table46[[#This Row],[Adjusted Predicted Correct]]="YES",(Table46[[#This Row],[Strength of Win]]-1)^2,(Table46[[#This Row],[Strength of Win]]-0)^2))</f>
        <v>0.25668136075621001</v>
      </c>
      <c r="R216">
        <v>0.5262693396027317</v>
      </c>
      <c r="S216" t="s">
        <v>32</v>
      </c>
      <c r="T216" t="s">
        <v>249</v>
      </c>
    </row>
    <row r="217" spans="4:22" x14ac:dyDescent="0.2">
      <c r="D217" s="1">
        <v>45966</v>
      </c>
      <c r="E217" s="2">
        <v>0.91666666666666663</v>
      </c>
      <c r="F217" t="s">
        <v>38</v>
      </c>
      <c r="G217">
        <f>VLOOKUP(Table46[[#This Row],[Home]],'NHL Model'!$A$6:$B$38,2,FALSE)</f>
        <v>-0.6902088310934803</v>
      </c>
      <c r="H217" t="s">
        <v>10</v>
      </c>
      <c r="I217">
        <f>VLOOKUP(Table46[[#This Row],[Visitor]],'NHL Model'!$A$6:$B$38,2,FALSE)</f>
        <v>0.30570968833820172</v>
      </c>
      <c r="J217">
        <f>($B$1+Table46[[#This Row],[Home Differential]])-Table46[[#This Row],[Away Differential]]</f>
        <v>-0.83334620976936358</v>
      </c>
      <c r="K217" t="str">
        <f>IF(Table46[[#This Row],[HomeIce Differential]]&gt;0,Table46[[#This Row],[Home]],Table46[[#This Row],[Visitor]])</f>
        <v>Chicago Blackhawks</v>
      </c>
      <c r="L21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0.5915367808385813</v>
      </c>
      <c r="M217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217" t="str">
        <f>IF(OR((NHL2025_26Results[[#This Row],[Winning Team]]="")),"-",IF(Table46[[#This Row],[Predicted Winner]]=NHL2025_26Results[[#This Row],[Winning Team]],"YES","NO"))</f>
        <v>YES</v>
      </c>
      <c r="O217" t="str">
        <f>IF(OR((NHL2025_26Results[[#This Row],[Winning Team]]="")),"-",IF(Table46[[#This Row],[Prob Winner]]=NHL2025_26Results[[#This Row],[Winning Team]],"YES","NO"))</f>
        <v>YES</v>
      </c>
      <c r="P217" t="str">
        <f>IF(Table46[[#This Row],[Locked Prediction]]&lt;&gt;Table46[[#This Row],[Prob Winner]], "Changed", "Same")</f>
        <v>Changed</v>
      </c>
      <c r="Q217">
        <f>IF(Table46[[#This Row],[Adjusted Predicted Correct]]="-", "",IF(Table46[[#This Row],[Adjusted Predicted Correct]]="YES",(Table46[[#This Row],[Strength of Win]]-1)^2,(Table46[[#This Row],[Strength of Win]]-0)^2))</f>
        <v>0.16684220140770917</v>
      </c>
      <c r="R217">
        <v>0.18113531676155015</v>
      </c>
      <c r="S217" t="s">
        <v>55</v>
      </c>
      <c r="T217" t="s">
        <v>249</v>
      </c>
    </row>
    <row r="218" spans="4:22" x14ac:dyDescent="0.2">
      <c r="D218" s="1">
        <v>45966</v>
      </c>
      <c r="E218" s="2">
        <v>0.8125</v>
      </c>
      <c r="F218" t="s">
        <v>22</v>
      </c>
      <c r="G218">
        <f>VLOOKUP(Table46[[#This Row],[Home]],'NHL Model'!$A$6:$B$38,2,FALSE)</f>
        <v>-6.1308839486784707E-2</v>
      </c>
      <c r="H218" t="s">
        <v>35</v>
      </c>
      <c r="I218">
        <f>VLOOKUP(Table46[[#This Row],[Visitor]],'NHL Model'!$A$6:$B$38,2,FALSE)</f>
        <v>-1.6211574240381006</v>
      </c>
      <c r="J218">
        <f>($B$1+Table46[[#This Row],[Home Differential]])-Table46[[#This Row],[Away Differential]]</f>
        <v>1.7224208942136343</v>
      </c>
      <c r="K218" t="str">
        <f>IF(Table46[[#This Row],[HomeIce Differential]]&gt;0,Table46[[#This Row],[Home]],Table46[[#This Row],[Visitor]])</f>
        <v>Washington Capitals</v>
      </c>
      <c r="L21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0.76894247361262591</v>
      </c>
      <c r="M218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218" t="str">
        <f>IF(OR((NHL2025_26Results[[#This Row],[Winning Team]]="")),"-",IF(Table46[[#This Row],[Predicted Winner]]=NHL2025_26Results[[#This Row],[Winning Team]],"YES","NO"))</f>
        <v>YES</v>
      </c>
      <c r="O218" t="str">
        <f>IF(OR((NHL2025_26Results[[#This Row],[Winning Team]]="")),"-",IF(Table46[[#This Row],[Prob Winner]]=NHL2025_26Results[[#This Row],[Winning Team]],"YES","NO"))</f>
        <v>YES</v>
      </c>
      <c r="P218" t="str">
        <f>IF(Table46[[#This Row],[Locked Prediction]]&lt;&gt;Table46[[#This Row],[Prob Winner]], "Changed", "Same")</f>
        <v>Changed</v>
      </c>
      <c r="Q218">
        <f>IF(Table46[[#This Row],[Adjusted Predicted Correct]]="-", "",IF(Table46[[#This Row],[Adjusted Predicted Correct]]="YES",(Table46[[#This Row],[Strength of Win]]-1)^2,(Table46[[#This Row],[Strength of Win]]-0)^2))</f>
        <v>5.3387580500252073E-2</v>
      </c>
      <c r="R218">
        <v>-0.44900289467076382</v>
      </c>
      <c r="S218" t="s">
        <v>10</v>
      </c>
      <c r="T218" t="s">
        <v>248</v>
      </c>
      <c r="V218" t="s">
        <v>254</v>
      </c>
    </row>
    <row r="219" spans="4:22" x14ac:dyDescent="0.2">
      <c r="D219" s="1">
        <v>45967</v>
      </c>
      <c r="E219" s="2">
        <v>0.79166666666666663</v>
      </c>
      <c r="F219" t="s">
        <v>21</v>
      </c>
      <c r="G219">
        <f>VLOOKUP(Table46[[#This Row],[Home]],'NHL Model'!$A$6:$B$38,2,FALSE)</f>
        <v>4.029141914856392E-2</v>
      </c>
      <c r="H219" t="s">
        <v>36</v>
      </c>
      <c r="I219">
        <f>VLOOKUP(Table46[[#This Row],[Visitor]],'NHL Model'!$A$6:$B$38,2,FALSE)</f>
        <v>-0.40651947573390851</v>
      </c>
      <c r="J219">
        <f>($B$1+Table46[[#This Row],[Home Differential]])-Table46[[#This Row],[Away Differential]]</f>
        <v>0.60938320454479089</v>
      </c>
      <c r="K219" t="str">
        <f>IF(Table46[[#This Row],[HomeIce Differential]]&gt;0,Table46[[#This Row],[Home]],Table46[[#This Row],[Visitor]])</f>
        <v>Boston Bruins</v>
      </c>
      <c r="L21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0.69355603723570536</v>
      </c>
      <c r="M219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219" t="str">
        <f>IF(OR((NHL2025_26Results[[#This Row],[Winning Team]]="")),"-",IF(Table46[[#This Row],[Predicted Winner]]=NHL2025_26Results[[#This Row],[Winning Team]],"YES","NO"))</f>
        <v>YES</v>
      </c>
      <c r="O219" t="str">
        <f>IF(OR((NHL2025_26Results[[#This Row],[Winning Team]]="")),"-",IF(Table46[[#This Row],[Prob Winner]]=NHL2025_26Results[[#This Row],[Winning Team]],"YES","NO"))</f>
        <v>YES</v>
      </c>
      <c r="P219" t="str">
        <f>IF(Table46[[#This Row],[Locked Prediction]]&lt;&gt;Table46[[#This Row],[Prob Winner]], "Changed", "Same")</f>
        <v>Changed</v>
      </c>
      <c r="Q219">
        <f>IF(Table46[[#This Row],[Adjusted Predicted Correct]]="-", "",IF(Table46[[#This Row],[Adjusted Predicted Correct]]="YES",(Table46[[#This Row],[Strength of Win]]-1)^2,(Table46[[#This Row],[Strength of Win]]-0)^2))</f>
        <v>9.3907902314684405E-2</v>
      </c>
    </row>
    <row r="220" spans="4:22" x14ac:dyDescent="0.2">
      <c r="D220" s="1">
        <v>45967</v>
      </c>
      <c r="E220" s="2">
        <v>0.79166666666666663</v>
      </c>
      <c r="F220" t="s">
        <v>23</v>
      </c>
      <c r="G220">
        <f>VLOOKUP(Table46[[#This Row],[Home]],'NHL Model'!$A$6:$B$38,2,FALSE)</f>
        <v>-0.8683412362501769</v>
      </c>
      <c r="H220" t="s">
        <v>35</v>
      </c>
      <c r="I220">
        <f>VLOOKUP(Table46[[#This Row],[Visitor]],'NHL Model'!$A$6:$B$38,2,FALSE)</f>
        <v>-1.6211574240381006</v>
      </c>
      <c r="J220">
        <f>($B$1+Table46[[#This Row],[Home Differential]])-Table46[[#This Row],[Away Differential]]</f>
        <v>0.91538849745024209</v>
      </c>
      <c r="K220" t="str">
        <f>IF(Table46[[#This Row],[HomeIce Differential]]&gt;0,Table46[[#This Row],[Home]],Table46[[#This Row],[Visitor]])</f>
        <v>Buffalo Sabres</v>
      </c>
      <c r="L22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0.66167252941882271</v>
      </c>
      <c r="M220" s="11" t="str">
        <f>IF(Table46[[#This Row],[Strength of Win]]&gt; 0.5,Table46[[#This Row],[Predicted Winner]], IF(Table46[[#This Row],[Home]]=Table46[[#This Row],[Predicted Winner]],Table46[[#This Row],[Visitor]],Table46[[#This Row],[Home]]))</f>
        <v>Buffalo Sabres</v>
      </c>
      <c r="N220" t="str">
        <f>IF(OR((NHL2025_26Results[[#This Row],[Winning Team]]="")),"-",IF(Table46[[#This Row],[Predicted Winner]]=NHL2025_26Results[[#This Row],[Winning Team]],"YES","NO"))</f>
        <v>NO</v>
      </c>
      <c r="O220" t="str">
        <f>IF(OR((NHL2025_26Results[[#This Row],[Winning Team]]="")),"-",IF(Table46[[#This Row],[Prob Winner]]=NHL2025_26Results[[#This Row],[Winning Team]],"YES","NO"))</f>
        <v>NO</v>
      </c>
      <c r="P220" t="str">
        <f>IF(Table46[[#This Row],[Locked Prediction]]&lt;&gt;Table46[[#This Row],[Prob Winner]], "Changed", "Same")</f>
        <v>Changed</v>
      </c>
      <c r="Q220">
        <f>IF(Table46[[#This Row],[Adjusted Predicted Correct]]="-", "",IF(Table46[[#This Row],[Adjusted Predicted Correct]]="YES",(Table46[[#This Row],[Strength of Win]]-1)^2,(Table46[[#This Row],[Strength of Win]]-0)^2))</f>
        <v>0.43781053618750282</v>
      </c>
    </row>
    <row r="221" spans="4:22" x14ac:dyDescent="0.2">
      <c r="D221" s="1">
        <v>45967</v>
      </c>
      <c r="E221" s="2">
        <v>0.79166666666666663</v>
      </c>
      <c r="F221" t="s">
        <v>25</v>
      </c>
      <c r="G221">
        <f>VLOOKUP(Table46[[#This Row],[Home]],'NHL Model'!$A$6:$B$38,2,FALSE)</f>
        <v>0.67193921242367816</v>
      </c>
      <c r="H221" t="s">
        <v>34</v>
      </c>
      <c r="I221">
        <f>VLOOKUP(Table46[[#This Row],[Visitor]],'NHL Model'!$A$6:$B$38,2,FALSE)</f>
        <v>-0.53650300840565446</v>
      </c>
      <c r="J221">
        <f>($B$1+Table46[[#This Row],[Home Differential]])-Table46[[#This Row],[Away Differential]]</f>
        <v>1.371014530491651</v>
      </c>
      <c r="K221" t="str">
        <f>IF(Table46[[#This Row],[HomeIce Differential]]&gt;0,Table46[[#This Row],[Home]],Table46[[#This Row],[Visitor]])</f>
        <v>Carolina Hurricanes</v>
      </c>
      <c r="L22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0.77394986528619381</v>
      </c>
      <c r="M221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221" t="str">
        <f>IF(OR((NHL2025_26Results[[#This Row],[Winning Team]]="")),"-",IF(Table46[[#This Row],[Predicted Winner]]=NHL2025_26Results[[#This Row],[Winning Team]],"YES","NO"))</f>
        <v>YES</v>
      </c>
      <c r="O221" t="str">
        <f>IF(OR((NHL2025_26Results[[#This Row],[Winning Team]]="")),"-",IF(Table46[[#This Row],[Prob Winner]]=NHL2025_26Results[[#This Row],[Winning Team]],"YES","NO"))</f>
        <v>YES</v>
      </c>
      <c r="P221" t="str">
        <f>IF(Table46[[#This Row],[Locked Prediction]]&lt;&gt;Table46[[#This Row],[Prob Winner]], "Changed", "Same")</f>
        <v>Changed</v>
      </c>
      <c r="Q221">
        <f>IF(Table46[[#This Row],[Adjusted Predicted Correct]]="-", "",IF(Table46[[#This Row],[Adjusted Predicted Correct]]="YES",(Table46[[#This Row],[Strength of Win]]-1)^2,(Table46[[#This Row],[Strength of Win]]-0)^2))</f>
        <v>5.1098663404129926E-2</v>
      </c>
    </row>
    <row r="222" spans="4:22" x14ac:dyDescent="0.2">
      <c r="D222" s="1">
        <v>45967</v>
      </c>
      <c r="E222" s="2">
        <v>0.83333333333333337</v>
      </c>
      <c r="F222" t="s">
        <v>39</v>
      </c>
      <c r="G222">
        <f>VLOOKUP(Table46[[#This Row],[Home]],'NHL Model'!$A$6:$B$38,2,FALSE)</f>
        <v>0.19809534061227302</v>
      </c>
      <c r="H222" t="s">
        <v>31</v>
      </c>
      <c r="I222">
        <f>VLOOKUP(Table46[[#This Row],[Visitor]],'NHL Model'!$A$6:$B$38,2,FALSE)</f>
        <v>0.51775546328552802</v>
      </c>
      <c r="J222">
        <f>($B$1+Table46[[#This Row],[Home Differential]])-Table46[[#This Row],[Away Differential]]</f>
        <v>-0.15708781301093661</v>
      </c>
      <c r="K222" t="str">
        <f>IF(Table46[[#This Row],[HomeIce Differential]]&gt;0,Table46[[#This Row],[Home]],Table46[[#This Row],[Visitor]])</f>
        <v>Anaheim Ducks</v>
      </c>
      <c r="L22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0.47542541054572168</v>
      </c>
      <c r="M222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222" t="str">
        <f>IF(OR((NHL2025_26Results[[#This Row],[Winning Team]]="")),"-",IF(Table46[[#This Row],[Predicted Winner]]=NHL2025_26Results[[#This Row],[Winning Team]],"YES","NO"))</f>
        <v>YES</v>
      </c>
      <c r="O222" t="str">
        <f>IF(OR((NHL2025_26Results[[#This Row],[Winning Team]]="")),"-",IF(Table46[[#This Row],[Prob Winner]]=NHL2025_26Results[[#This Row],[Winning Team]],"YES","NO"))</f>
        <v>NO</v>
      </c>
      <c r="P222" t="str">
        <f>IF(Table46[[#This Row],[Locked Prediction]]&lt;&gt;Table46[[#This Row],[Prob Winner]], "Changed", "Same")</f>
        <v>Changed</v>
      </c>
      <c r="Q222">
        <f>IF(Table46[[#This Row],[Adjusted Predicted Correct]]="-", "",IF(Table46[[#This Row],[Adjusted Predicted Correct]]="YES",(Table46[[#This Row],[Strength of Win]]-1)^2,(Table46[[#This Row],[Strength of Win]]-0)^2))</f>
        <v>0.2751784999011247</v>
      </c>
    </row>
    <row r="223" spans="4:22" x14ac:dyDescent="0.2">
      <c r="D223" s="1">
        <v>45967</v>
      </c>
      <c r="E223" s="2">
        <v>0.91666666666666663</v>
      </c>
      <c r="F223" t="s">
        <v>13</v>
      </c>
      <c r="G223">
        <f>VLOOKUP(Table46[[#This Row],[Home]],'NHL Model'!$A$6:$B$38,2,FALSE)</f>
        <v>-7.5459708298993802E-2</v>
      </c>
      <c r="H223" t="s">
        <v>11</v>
      </c>
      <c r="I223">
        <f>VLOOKUP(Table46[[#This Row],[Visitor]],'NHL Model'!$A$6:$B$38,2,FALSE)</f>
        <v>-0.28105923893144158</v>
      </c>
      <c r="J223">
        <f>($B$1+Table46[[#This Row],[Home Differential]])-Table46[[#This Row],[Away Differential]]</f>
        <v>0.36817184029476618</v>
      </c>
      <c r="K223" t="str">
        <f>IF(Table46[[#This Row],[HomeIce Differential]]&gt;0,Table46[[#This Row],[Home]],Table46[[#This Row],[Visitor]])</f>
        <v>Los Angeles Kings</v>
      </c>
      <c r="L22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0.58893703514324758</v>
      </c>
      <c r="M223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223" t="str">
        <f>IF(OR((NHL2025_26Results[[#This Row],[Winning Team]]="")),"-",IF(Table46[[#This Row],[Predicted Winner]]=NHL2025_26Results[[#This Row],[Winning Team]],"YES","NO"))</f>
        <v>NO</v>
      </c>
      <c r="O223" t="str">
        <f>IF(OR((NHL2025_26Results[[#This Row],[Winning Team]]="")),"-",IF(Table46[[#This Row],[Prob Winner]]=NHL2025_26Results[[#This Row],[Winning Team]],"YES","NO"))</f>
        <v>NO</v>
      </c>
      <c r="P223" t="str">
        <f>IF(Table46[[#This Row],[Locked Prediction]]&lt;&gt;Table46[[#This Row],[Prob Winner]], "Changed", "Same")</f>
        <v>Changed</v>
      </c>
      <c r="Q223">
        <f>IF(Table46[[#This Row],[Adjusted Predicted Correct]]="-", "",IF(Table46[[#This Row],[Adjusted Predicted Correct]]="YES",(Table46[[#This Row],[Strength of Win]]-1)^2,(Table46[[#This Row],[Strength of Win]]-0)^2))</f>
        <v>0.34684683136331884</v>
      </c>
    </row>
    <row r="224" spans="4:22" x14ac:dyDescent="0.2">
      <c r="D224" s="1">
        <v>45967</v>
      </c>
      <c r="E224" s="2">
        <v>0.79166666666666663</v>
      </c>
      <c r="F224" t="s">
        <v>24</v>
      </c>
      <c r="G224">
        <f>VLOOKUP(Table46[[#This Row],[Home]],'NHL Model'!$A$6:$B$38,2,FALSE)</f>
        <v>0.559441163373953</v>
      </c>
      <c r="H224" t="s">
        <v>18</v>
      </c>
      <c r="I224">
        <f>VLOOKUP(Table46[[#This Row],[Visitor]],'NHL Model'!$A$6:$B$38,2,FALSE)</f>
        <v>-0.52437726201848234</v>
      </c>
      <c r="J224">
        <f>($B$1+Table46[[#This Row],[Home Differential]])-Table46[[#This Row],[Away Differential]]</f>
        <v>1.2463907350547538</v>
      </c>
      <c r="K224" t="str">
        <f>IF(Table46[[#This Row],[HomeIce Differential]]&gt;0,Table46[[#This Row],[Home]],Table46[[#This Row],[Visitor]])</f>
        <v>New Jersey Devils</v>
      </c>
      <c r="L22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0.74900235124290226</v>
      </c>
      <c r="M224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224" t="str">
        <f>IF(OR((NHL2025_26Results[[#This Row],[Winning Team]]="")),"-",IF(Table46[[#This Row],[Predicted Winner]]=NHL2025_26Results[[#This Row],[Winning Team]],"YES","NO"))</f>
        <v>YES</v>
      </c>
      <c r="O224" t="str">
        <f>IF(OR((NHL2025_26Results[[#This Row],[Winning Team]]="")),"-",IF(Table46[[#This Row],[Prob Winner]]=NHL2025_26Results[[#This Row],[Winning Team]],"YES","NO"))</f>
        <v>YES</v>
      </c>
      <c r="P224" t="str">
        <f>IF(Table46[[#This Row],[Locked Prediction]]&lt;&gt;Table46[[#This Row],[Prob Winner]], "Changed", "Same")</f>
        <v>Changed</v>
      </c>
      <c r="Q224">
        <f>IF(Table46[[#This Row],[Adjusted Predicted Correct]]="-", "",IF(Table46[[#This Row],[Adjusted Predicted Correct]]="YES",(Table46[[#This Row],[Strength of Win]]-1)^2,(Table46[[#This Row],[Strength of Win]]-0)^2))</f>
        <v>6.2999819681591407E-2</v>
      </c>
    </row>
    <row r="225" spans="4:17" x14ac:dyDescent="0.2">
      <c r="D225" s="1">
        <v>45967</v>
      </c>
      <c r="E225" s="2">
        <v>0.83333333333333337</v>
      </c>
      <c r="F225" t="s">
        <v>29</v>
      </c>
      <c r="G225">
        <f>VLOOKUP(Table46[[#This Row],[Home]],'NHL Model'!$A$6:$B$38,2,FALSE)</f>
        <v>-1.3516250707060606</v>
      </c>
      <c r="H225" t="s">
        <v>27</v>
      </c>
      <c r="I225">
        <f>VLOOKUP(Table46[[#This Row],[Visitor]],'NHL Model'!$A$6:$B$38,2,FALSE)</f>
        <v>-0.51358590497437617</v>
      </c>
      <c r="J225">
        <f>($B$1+Table46[[#This Row],[Home Differential]])-Table46[[#This Row],[Away Differential]]</f>
        <v>-0.67546685606936607</v>
      </c>
      <c r="K225" t="str">
        <f>IF(Table46[[#This Row],[HomeIce Differential]]&gt;0,Table46[[#This Row],[Home]],Table46[[#This Row],[Visitor]])</f>
        <v>Philadelphia Flyers</v>
      </c>
      <c r="L22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0.54978238326728268</v>
      </c>
      <c r="M225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225" t="str">
        <f>IF(OR((NHL2025_26Results[[#This Row],[Winning Team]]="")),"-",IF(Table46[[#This Row],[Predicted Winner]]=NHL2025_26Results[[#This Row],[Winning Team]],"YES","NO"))</f>
        <v>YES</v>
      </c>
      <c r="O225" t="str">
        <f>IF(OR((NHL2025_26Results[[#This Row],[Winning Team]]="")),"-",IF(Table46[[#This Row],[Prob Winner]]=NHL2025_26Results[[#This Row],[Winning Team]],"YES","NO"))</f>
        <v>YES</v>
      </c>
      <c r="P225" t="str">
        <f>IF(Table46[[#This Row],[Locked Prediction]]&lt;&gt;Table46[[#This Row],[Prob Winner]], "Changed", "Same")</f>
        <v>Changed</v>
      </c>
      <c r="Q225">
        <f>IF(Table46[[#This Row],[Adjusted Predicted Correct]]="-", "",IF(Table46[[#This Row],[Adjusted Predicted Correct]]="YES",(Table46[[#This Row],[Strength of Win]]-1)^2,(Table46[[#This Row],[Strength of Win]]-0)^2))</f>
        <v>0.20269590241648794</v>
      </c>
    </row>
    <row r="226" spans="4:17" x14ac:dyDescent="0.2">
      <c r="D226" s="1">
        <v>45967</v>
      </c>
      <c r="E226" s="2">
        <v>0.8125</v>
      </c>
      <c r="F226" t="s">
        <v>14</v>
      </c>
      <c r="G226">
        <f>VLOOKUP(Table46[[#This Row],[Home]],'NHL Model'!$A$6:$B$38,2,FALSE)</f>
        <v>0.26289091192875702</v>
      </c>
      <c r="H226" t="s">
        <v>22</v>
      </c>
      <c r="I226">
        <f>VLOOKUP(Table46[[#This Row],[Visitor]],'NHL Model'!$A$6:$B$38,2,FALSE)</f>
        <v>-6.1308839486784707E-2</v>
      </c>
      <c r="J226">
        <f>($B$1+Table46[[#This Row],[Home Differential]])-Table46[[#This Row],[Away Differential]]</f>
        <v>0.48677206107786014</v>
      </c>
      <c r="K226" t="str">
        <f>IF(Table46[[#This Row],[HomeIce Differential]]&gt;0,Table46[[#This Row],[Home]],Table46[[#This Row],[Visitor]])</f>
        <v>Pittsburgh Penguins</v>
      </c>
      <c r="L22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0.64073812499086902</v>
      </c>
      <c r="M226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226" t="str">
        <f>IF(OR((NHL2025_26Results[[#This Row],[Winning Team]]="")),"-",IF(Table46[[#This Row],[Predicted Winner]]=NHL2025_26Results[[#This Row],[Winning Team]],"YES","NO"))</f>
        <v>YES</v>
      </c>
      <c r="O226" t="str">
        <f>IF(OR((NHL2025_26Results[[#This Row],[Winning Team]]="")),"-",IF(Table46[[#This Row],[Prob Winner]]=NHL2025_26Results[[#This Row],[Winning Team]],"YES","NO"))</f>
        <v>YES</v>
      </c>
      <c r="P226" t="str">
        <f>IF(Table46[[#This Row],[Locked Prediction]]&lt;&gt;Table46[[#This Row],[Prob Winner]], "Changed", "Same")</f>
        <v>Changed</v>
      </c>
      <c r="Q226">
        <f>IF(Table46[[#This Row],[Adjusted Predicted Correct]]="-", "",IF(Table46[[#This Row],[Adjusted Predicted Correct]]="YES",(Table46[[#This Row],[Strength of Win]]-1)^2,(Table46[[#This Row],[Strength of Win]]-0)^2))</f>
        <v>0.12906909483507645</v>
      </c>
    </row>
    <row r="227" spans="4:17" x14ac:dyDescent="0.2">
      <c r="D227" s="1">
        <v>45967</v>
      </c>
      <c r="E227" s="2">
        <v>0.91666666666666663</v>
      </c>
      <c r="F227" t="s">
        <v>20</v>
      </c>
      <c r="G227">
        <f>VLOOKUP(Table46[[#This Row],[Home]],'NHL Model'!$A$6:$B$38,2,FALSE)</f>
        <v>-6.3745791019188943E-4</v>
      </c>
      <c r="H227" t="s">
        <v>37</v>
      </c>
      <c r="I227">
        <f>VLOOKUP(Table46[[#This Row],[Visitor]],'NHL Model'!$A$6:$B$38,2,FALSE)</f>
        <v>-0.11309445867623392</v>
      </c>
      <c r="J227">
        <f>($B$1+Table46[[#This Row],[Home Differential]])-Table46[[#This Row],[Away Differential]]</f>
        <v>0.27502931042836043</v>
      </c>
      <c r="K227" t="str">
        <f>IF(Table46[[#This Row],[HomeIce Differential]]&gt;0,Table46[[#This Row],[Home]],Table46[[#This Row],[Visitor]])</f>
        <v>Vegas Golden Knights</v>
      </c>
      <c r="L22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0.52945723115254917</v>
      </c>
      <c r="M227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227" t="str">
        <f>IF(OR((NHL2025_26Results[[#This Row],[Winning Team]]="")),"-",IF(Table46[[#This Row],[Predicted Winner]]=NHL2025_26Results[[#This Row],[Winning Team]],"YES","NO"))</f>
        <v>NO</v>
      </c>
      <c r="O227" t="str">
        <f>IF(OR((NHL2025_26Results[[#This Row],[Winning Team]]="")),"-",IF(Table46[[#This Row],[Prob Winner]]=NHL2025_26Results[[#This Row],[Winning Team]],"YES","NO"))</f>
        <v>NO</v>
      </c>
      <c r="P227" t="str">
        <f>IF(Table46[[#This Row],[Locked Prediction]]&lt;&gt;Table46[[#This Row],[Prob Winner]], "Changed", "Same")</f>
        <v>Changed</v>
      </c>
      <c r="Q227">
        <f>IF(Table46[[#This Row],[Adjusted Predicted Correct]]="-", "",IF(Table46[[#This Row],[Adjusted Predicted Correct]]="YES",(Table46[[#This Row],[Strength of Win]]-1)^2,(Table46[[#This Row],[Strength of Win]]-0)^2))</f>
        <v>0.28032495961972387</v>
      </c>
    </row>
    <row r="228" spans="4:17" x14ac:dyDescent="0.2">
      <c r="D228" s="1">
        <v>45968</v>
      </c>
      <c r="E228" s="2">
        <v>0.875</v>
      </c>
      <c r="F228" t="s">
        <v>16</v>
      </c>
      <c r="G228">
        <f>VLOOKUP(Table46[[#This Row],[Home]],'NHL Model'!$A$6:$B$38,2,FALSE)</f>
        <v>-1.3903684122795328</v>
      </c>
      <c r="H228" t="s">
        <v>10</v>
      </c>
      <c r="I228">
        <f>VLOOKUP(Table46[[#This Row],[Visitor]],'NHL Model'!$A$6:$B$38,2,FALSE)</f>
        <v>0.30570968833820172</v>
      </c>
      <c r="J228">
        <f>($B$1+Table46[[#This Row],[Home Differential]])-Table46[[#This Row],[Away Differential]]</f>
        <v>-1.5335057909554162</v>
      </c>
      <c r="K228" t="str">
        <f>IF(Table46[[#This Row],[HomeIce Differential]]&gt;0,Table46[[#This Row],[Home]],Table46[[#This Row],[Visitor]])</f>
        <v>Chicago Blackhawks</v>
      </c>
      <c r="L22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0.68460129659011471</v>
      </c>
      <c r="M228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228" t="str">
        <f>IF(OR((NHL2025_26Results[[#This Row],[Winning Team]]="")),"-",IF(Table46[[#This Row],[Predicted Winner]]=NHL2025_26Results[[#This Row],[Winning Team]],"YES","NO"))</f>
        <v>YES</v>
      </c>
      <c r="O228" t="str">
        <f>IF(OR((NHL2025_26Results[[#This Row],[Winning Team]]="")),"-",IF(Table46[[#This Row],[Prob Winner]]=NHL2025_26Results[[#This Row],[Winning Team]],"YES","NO"))</f>
        <v>YES</v>
      </c>
      <c r="P228" t="str">
        <f>IF(Table46[[#This Row],[Locked Prediction]]&lt;&gt;Table46[[#This Row],[Prob Winner]], "Changed", "Same")</f>
        <v>Changed</v>
      </c>
      <c r="Q228">
        <f>IF(Table46[[#This Row],[Adjusted Predicted Correct]]="-", "",IF(Table46[[#This Row],[Adjusted Predicted Correct]]="YES",(Table46[[#This Row],[Strength of Win]]-1)^2,(Table46[[#This Row],[Strength of Win]]-0)^2))</f>
        <v>9.9476342112636784E-2</v>
      </c>
    </row>
    <row r="229" spans="4:17" x14ac:dyDescent="0.2">
      <c r="D229" s="1">
        <v>45968</v>
      </c>
      <c r="E229" s="2">
        <v>0.79166666666666663</v>
      </c>
      <c r="F229" t="s">
        <v>26</v>
      </c>
      <c r="G229">
        <f>VLOOKUP(Table46[[#This Row],[Home]],'NHL Model'!$A$6:$B$38,2,FALSE)</f>
        <v>-0.513643833119658</v>
      </c>
      <c r="H229" t="s">
        <v>15</v>
      </c>
      <c r="I229">
        <f>VLOOKUP(Table46[[#This Row],[Visitor]],'NHL Model'!$A$6:$B$38,2,FALSE)</f>
        <v>-0.30719665303039001</v>
      </c>
      <c r="J229">
        <f>($B$1+Table46[[#This Row],[Home Differential]])-Table46[[#This Row],[Away Differential]]</f>
        <v>-4.3874870426949597E-2</v>
      </c>
      <c r="K229" t="str">
        <f>IF(Table46[[#This Row],[HomeIce Differential]]&gt;0,Table46[[#This Row],[Home]],Table46[[#This Row],[Visitor]])</f>
        <v>New York Rangers</v>
      </c>
      <c r="L22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0.58275488109981699</v>
      </c>
      <c r="M229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229" t="str">
        <f>IF(OR((NHL2025_26Results[[#This Row],[Winning Team]]="")),"-",IF(Table46[[#This Row],[Predicted Winner]]=NHL2025_26Results[[#This Row],[Winning Team]],"YES","NO"))</f>
        <v>YES</v>
      </c>
      <c r="O229" t="str">
        <f>IF(OR((NHL2025_26Results[[#This Row],[Winning Team]]="")),"-",IF(Table46[[#This Row],[Prob Winner]]=NHL2025_26Results[[#This Row],[Winning Team]],"YES","NO"))</f>
        <v>YES</v>
      </c>
      <c r="P229" t="str">
        <f>IF(Table46[[#This Row],[Locked Prediction]]&lt;&gt;Table46[[#This Row],[Prob Winner]], "Changed", "Same")</f>
        <v>Changed</v>
      </c>
      <c r="Q229">
        <f>IF(Table46[[#This Row],[Adjusted Predicted Correct]]="-", "",IF(Table46[[#This Row],[Adjusted Predicted Correct]]="YES",(Table46[[#This Row],[Strength of Win]]-1)^2,(Table46[[#This Row],[Strength of Win]]-0)^2))</f>
        <v>0.17409348924602785</v>
      </c>
    </row>
    <row r="230" spans="4:17" x14ac:dyDescent="0.2">
      <c r="D230" s="1">
        <v>45968</v>
      </c>
      <c r="E230" s="2">
        <v>0.79166666666666663</v>
      </c>
      <c r="F230" t="s">
        <v>30</v>
      </c>
      <c r="G230">
        <f>VLOOKUP(Table46[[#This Row],[Home]],'NHL Model'!$A$6:$B$38,2,FALSE)</f>
        <v>-6.4729560818359025E-2</v>
      </c>
      <c r="H230" t="s">
        <v>34</v>
      </c>
      <c r="I230">
        <f>VLOOKUP(Table46[[#This Row],[Visitor]],'NHL Model'!$A$6:$B$38,2,FALSE)</f>
        <v>-0.53650300840565446</v>
      </c>
      <c r="J230">
        <f>($B$1+Table46[[#This Row],[Home Differential]])-Table46[[#This Row],[Away Differential]]</f>
        <v>0.63434575724961384</v>
      </c>
      <c r="K230" t="str">
        <f>IF(Table46[[#This Row],[HomeIce Differential]]&gt;0,Table46[[#This Row],[Home]],Table46[[#This Row],[Visitor]])</f>
        <v>New York Islanders</v>
      </c>
      <c r="L23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0.62431660767602604</v>
      </c>
      <c r="M230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230" t="str">
        <f>IF(OR((NHL2025_26Results[[#This Row],[Winning Team]]="")),"-",IF(Table46[[#This Row],[Predicted Winner]]=NHL2025_26Results[[#This Row],[Winning Team]],"YES","NO"))</f>
        <v>NO</v>
      </c>
      <c r="O230" t="str">
        <f>IF(OR((NHL2025_26Results[[#This Row],[Winning Team]]="")),"-",IF(Table46[[#This Row],[Prob Winner]]=NHL2025_26Results[[#This Row],[Winning Team]],"YES","NO"))</f>
        <v>NO</v>
      </c>
      <c r="P230" t="str">
        <f>IF(Table46[[#This Row],[Locked Prediction]]&lt;&gt;Table46[[#This Row],[Prob Winner]], "Changed", "Same")</f>
        <v>Changed</v>
      </c>
      <c r="Q230">
        <f>IF(Table46[[#This Row],[Adjusted Predicted Correct]]="-", "",IF(Table46[[#This Row],[Adjusted Predicted Correct]]="YES",(Table46[[#This Row],[Strength of Win]]-1)^2,(Table46[[#This Row],[Strength of Win]]-0)^2))</f>
        <v>0.389771226620101</v>
      </c>
    </row>
    <row r="231" spans="4:17" x14ac:dyDescent="0.2">
      <c r="D231" s="1">
        <v>45968</v>
      </c>
      <c r="E231" s="2">
        <v>0.91666666666666663</v>
      </c>
      <c r="F231" t="s">
        <v>33</v>
      </c>
      <c r="G231">
        <f>VLOOKUP(Table46[[#This Row],[Home]],'NHL Model'!$A$6:$B$38,2,FALSE)</f>
        <v>-0.39418177254008485</v>
      </c>
      <c r="H231" t="s">
        <v>40</v>
      </c>
      <c r="I231">
        <f>VLOOKUP(Table46[[#This Row],[Visitor]],'NHL Model'!$A$6:$B$38,2,FALSE)</f>
        <v>0.105105258369765</v>
      </c>
      <c r="J231">
        <f>($B$1+Table46[[#This Row],[Home Differential]])-Table46[[#This Row],[Away Differential]]</f>
        <v>-0.33671472124753143</v>
      </c>
      <c r="K231" t="str">
        <f>IF(Table46[[#This Row],[HomeIce Differential]]&gt;0,Table46[[#This Row],[Home]],Table46[[#This Row],[Visitor]])</f>
        <v>Winnipeg Jets</v>
      </c>
      <c r="L23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0.57107157561351152</v>
      </c>
      <c r="M231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231" t="str">
        <f>IF(OR((NHL2025_26Results[[#This Row],[Winning Team]]="")),"-",IF(Table46[[#This Row],[Predicted Winner]]=NHL2025_26Results[[#This Row],[Winning Team]],"YES","NO"))</f>
        <v>NO</v>
      </c>
      <c r="O231" t="str">
        <f>IF(OR((NHL2025_26Results[[#This Row],[Winning Team]]="")),"-",IF(Table46[[#This Row],[Prob Winner]]=NHL2025_26Results[[#This Row],[Winning Team]],"YES","NO"))</f>
        <v>NO</v>
      </c>
      <c r="P231" t="str">
        <f>IF(Table46[[#This Row],[Locked Prediction]]&lt;&gt;Table46[[#This Row],[Prob Winner]], "Changed", "Same")</f>
        <v>Changed</v>
      </c>
      <c r="Q231">
        <f>IF(Table46[[#This Row],[Adjusted Predicted Correct]]="-", "",IF(Table46[[#This Row],[Adjusted Predicted Correct]]="YES",(Table46[[#This Row],[Strength of Win]]-1)^2,(Table46[[#This Row],[Strength of Win]]-0)^2))</f>
        <v>0.3261227444736986</v>
      </c>
    </row>
    <row r="232" spans="4:17" x14ac:dyDescent="0.2">
      <c r="D232" s="1">
        <v>45969</v>
      </c>
      <c r="E232" s="2">
        <v>0.79166666666666663</v>
      </c>
      <c r="F232" t="s">
        <v>25</v>
      </c>
      <c r="G232">
        <f>VLOOKUP(Table46[[#This Row],[Home]],'NHL Model'!$A$6:$B$38,2,FALSE)</f>
        <v>0.67193921242367816</v>
      </c>
      <c r="H232" t="s">
        <v>23</v>
      </c>
      <c r="I232">
        <f>VLOOKUP(Table46[[#This Row],[Visitor]],'NHL Model'!$A$6:$B$38,2,FALSE)</f>
        <v>-0.8683412362501769</v>
      </c>
      <c r="J232">
        <f>($B$1+Table46[[#This Row],[Home Differential]])-Table46[[#This Row],[Away Differential]]</f>
        <v>1.7028527583361734</v>
      </c>
      <c r="K232" t="str">
        <f>IF(Table46[[#This Row],[HomeIce Differential]]&gt;0,Table46[[#This Row],[Home]],Table46[[#This Row],[Visitor]])</f>
        <v>Carolina Hurricanes</v>
      </c>
      <c r="L23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0.81805747276888163</v>
      </c>
      <c r="M232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232" t="str">
        <f>IF(OR((NHL2025_26Results[[#This Row],[Winning Team]]="")),"-",IF(Table46[[#This Row],[Predicted Winner]]=NHL2025_26Results[[#This Row],[Winning Team]],"YES","NO"))</f>
        <v>YES</v>
      </c>
      <c r="O232" t="str">
        <f>IF(OR((NHL2025_26Results[[#This Row],[Winning Team]]="")),"-",IF(Table46[[#This Row],[Prob Winner]]=NHL2025_26Results[[#This Row],[Winning Team]],"YES","NO"))</f>
        <v>YES</v>
      </c>
      <c r="P232" t="str">
        <f>IF(Table46[[#This Row],[Locked Prediction]]&lt;&gt;Table46[[#This Row],[Prob Winner]], "Changed", "Same")</f>
        <v>Changed</v>
      </c>
      <c r="Q232">
        <f>IF(Table46[[#This Row],[Adjusted Predicted Correct]]="-", "",IF(Table46[[#This Row],[Adjusted Predicted Correct]]="YES",(Table46[[#This Row],[Strength of Win]]-1)^2,(Table46[[#This Row],[Strength of Win]]-0)^2))</f>
        <v>3.310308321524625E-2</v>
      </c>
    </row>
    <row r="233" spans="4:17" x14ac:dyDescent="0.2">
      <c r="D233" s="1">
        <v>45969</v>
      </c>
      <c r="E233" s="2">
        <v>0.91666666666666663</v>
      </c>
      <c r="F233" t="s">
        <v>17</v>
      </c>
      <c r="G233">
        <f>VLOOKUP(Table46[[#This Row],[Home]],'NHL Model'!$A$6:$B$38,2,FALSE)</f>
        <v>-0.61980804137564283</v>
      </c>
      <c r="H233" t="s">
        <v>12</v>
      </c>
      <c r="I233">
        <f>VLOOKUP(Table46[[#This Row],[Visitor]],'NHL Model'!$A$6:$B$38,2,FALSE)</f>
        <v>1.5475013591489768</v>
      </c>
      <c r="J233">
        <f>($B$1+Table46[[#This Row],[Home Differential]])-Table46[[#This Row],[Away Differential]]</f>
        <v>-2.0047370908623012</v>
      </c>
      <c r="K233" t="str">
        <f>IF(Table46[[#This Row],[HomeIce Differential]]&gt;0,Table46[[#This Row],[Home]],Table46[[#This Row],[Visitor]])</f>
        <v>Colorado Avalanche</v>
      </c>
      <c r="L23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0.75626358028835239</v>
      </c>
      <c r="M233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233" t="str">
        <f>IF(OR((NHL2025_26Results[[#This Row],[Winning Team]]="")),"-",IF(Table46[[#This Row],[Predicted Winner]]=NHL2025_26Results[[#This Row],[Winning Team]],"YES","NO"))</f>
        <v>YES</v>
      </c>
      <c r="O233" t="str">
        <f>IF(OR((NHL2025_26Results[[#This Row],[Winning Team]]="")),"-",IF(Table46[[#This Row],[Prob Winner]]=NHL2025_26Results[[#This Row],[Winning Team]],"YES","NO"))</f>
        <v>YES</v>
      </c>
      <c r="P233" t="str">
        <f>IF(Table46[[#This Row],[Locked Prediction]]&lt;&gt;Table46[[#This Row],[Prob Winner]], "Changed", "Same")</f>
        <v>Changed</v>
      </c>
      <c r="Q233">
        <f>IF(Table46[[#This Row],[Adjusted Predicted Correct]]="-", "",IF(Table46[[#This Row],[Adjusted Predicted Correct]]="YES",(Table46[[#This Row],[Strength of Win]]-1)^2,(Table46[[#This Row],[Strength of Win]]-0)^2))</f>
        <v>5.940744229385244E-2</v>
      </c>
    </row>
    <row r="234" spans="4:17" x14ac:dyDescent="0.2">
      <c r="D234" s="1">
        <v>45969</v>
      </c>
      <c r="E234" s="2">
        <v>0.79166666666666663</v>
      </c>
      <c r="F234" t="s">
        <v>18</v>
      </c>
      <c r="G234">
        <f>VLOOKUP(Table46[[#This Row],[Home]],'NHL Model'!$A$6:$B$38,2,FALSE)</f>
        <v>-0.52437726201848234</v>
      </c>
      <c r="H234" t="s">
        <v>55</v>
      </c>
      <c r="I234">
        <f>VLOOKUP(Table46[[#This Row],[Visitor]],'NHL Model'!$A$6:$B$38,2,FALSE)</f>
        <v>-0.12212311954851815</v>
      </c>
      <c r="J234">
        <f>($B$1+Table46[[#This Row],[Home Differential]])-Table46[[#This Row],[Away Differential]]</f>
        <v>-0.23968183280764579</v>
      </c>
      <c r="K234" t="str">
        <f>IF(Table46[[#This Row],[HomeIce Differential]]&gt;0,Table46[[#This Row],[Home]],Table46[[#This Row],[Visitor]])</f>
        <v>Utah Mammoth</v>
      </c>
      <c r="L23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0.49185827103429475</v>
      </c>
      <c r="M234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234" t="str">
        <f>IF(OR((NHL2025_26Results[[#This Row],[Winning Team]]="")),"-",IF(Table46[[#This Row],[Predicted Winner]]=NHL2025_26Results[[#This Row],[Winning Team]],"YES","NO"))</f>
        <v>NO</v>
      </c>
      <c r="O234" t="str">
        <f>IF(OR((NHL2025_26Results[[#This Row],[Winning Team]]="")),"-",IF(Table46[[#This Row],[Prob Winner]]=NHL2025_26Results[[#This Row],[Winning Team]],"YES","NO"))</f>
        <v>YES</v>
      </c>
      <c r="P234" t="str">
        <f>IF(Table46[[#This Row],[Locked Prediction]]&lt;&gt;Table46[[#This Row],[Prob Winner]], "Changed", "Same")</f>
        <v>Changed</v>
      </c>
      <c r="Q234">
        <f>IF(Table46[[#This Row],[Adjusted Predicted Correct]]="-", "",IF(Table46[[#This Row],[Adjusted Predicted Correct]]="YES",(Table46[[#This Row],[Strength of Win]]-1)^2,(Table46[[#This Row],[Strength of Win]]-0)^2))</f>
        <v>0.24192455878484576</v>
      </c>
    </row>
    <row r="235" spans="4:17" x14ac:dyDescent="0.2">
      <c r="D235" s="1">
        <v>45969</v>
      </c>
      <c r="E235" s="2">
        <v>0.52083333333333337</v>
      </c>
      <c r="F235" t="s">
        <v>24</v>
      </c>
      <c r="G235">
        <f>VLOOKUP(Table46[[#This Row],[Home]],'NHL Model'!$A$6:$B$38,2,FALSE)</f>
        <v>0.559441163373953</v>
      </c>
      <c r="H235" t="s">
        <v>14</v>
      </c>
      <c r="I235">
        <f>VLOOKUP(Table46[[#This Row],[Visitor]],'NHL Model'!$A$6:$B$38,2,FALSE)</f>
        <v>0.26289091192875702</v>
      </c>
      <c r="J235">
        <f>($B$1+Table46[[#This Row],[Home Differential]])-Table46[[#This Row],[Away Differential]]</f>
        <v>0.45912256110751437</v>
      </c>
      <c r="K235" t="str">
        <f>IF(Table46[[#This Row],[HomeIce Differential]]&gt;0,Table46[[#This Row],[Home]],Table46[[#This Row],[Visitor]])</f>
        <v>New Jersey Devils</v>
      </c>
      <c r="L23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0.71645682618238848</v>
      </c>
      <c r="M235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235" t="str">
        <f>IF(OR((NHL2025_26Results[[#This Row],[Winning Team]]="")),"-",IF(Table46[[#This Row],[Predicted Winner]]=NHL2025_26Results[[#This Row],[Winning Team]],"YES","NO"))</f>
        <v>YES</v>
      </c>
      <c r="O235" t="str">
        <f>IF(OR((NHL2025_26Results[[#This Row],[Winning Team]]="")),"-",IF(Table46[[#This Row],[Prob Winner]]=NHL2025_26Results[[#This Row],[Winning Team]],"YES","NO"))</f>
        <v>YES</v>
      </c>
      <c r="P235" t="str">
        <f>IF(Table46[[#This Row],[Locked Prediction]]&lt;&gt;Table46[[#This Row],[Prob Winner]], "Changed", "Same")</f>
        <v>Changed</v>
      </c>
      <c r="Q235">
        <f>IF(Table46[[#This Row],[Adjusted Predicted Correct]]="-", "",IF(Table46[[#This Row],[Adjusted Predicted Correct]]="YES",(Table46[[#This Row],[Strength of Win]]-1)^2,(Table46[[#This Row],[Strength of Win]]-0)^2))</f>
        <v>8.0396731418564252E-2</v>
      </c>
    </row>
    <row r="236" spans="4:17" x14ac:dyDescent="0.2">
      <c r="D236" s="1">
        <v>45969</v>
      </c>
      <c r="E236" s="2">
        <v>0.64583333333333337</v>
      </c>
      <c r="F236" t="s">
        <v>29</v>
      </c>
      <c r="G236">
        <f>VLOOKUP(Table46[[#This Row],[Home]],'NHL Model'!$A$6:$B$38,2,FALSE)</f>
        <v>-1.3516250707060606</v>
      </c>
      <c r="H236" t="s">
        <v>39</v>
      </c>
      <c r="I236">
        <f>VLOOKUP(Table46[[#This Row],[Visitor]],'NHL Model'!$A$6:$B$38,2,FALSE)</f>
        <v>0.19809534061227302</v>
      </c>
      <c r="J236">
        <f>($B$1+Table46[[#This Row],[Home Differential]])-Table46[[#This Row],[Away Differential]]</f>
        <v>-1.3871481016560152</v>
      </c>
      <c r="K236" t="str">
        <f>IF(Table46[[#This Row],[HomeIce Differential]]&gt;0,Table46[[#This Row],[Home]],Table46[[#This Row],[Visitor]])</f>
        <v>Dallas Stars</v>
      </c>
      <c r="L23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0.73686453504665683</v>
      </c>
      <c r="M236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236" t="str">
        <f>IF(OR((NHL2025_26Results[[#This Row],[Winning Team]]="")),"-",IF(Table46[[#This Row],[Predicted Winner]]=NHL2025_26Results[[#This Row],[Winning Team]],"YES","NO"))</f>
        <v>YES</v>
      </c>
      <c r="O236" t="str">
        <f>IF(OR((NHL2025_26Results[[#This Row],[Winning Team]]="")),"-",IF(Table46[[#This Row],[Prob Winner]]=NHL2025_26Results[[#This Row],[Winning Team]],"YES","NO"))</f>
        <v>YES</v>
      </c>
      <c r="P236" t="str">
        <f>IF(Table46[[#This Row],[Locked Prediction]]&lt;&gt;Table46[[#This Row],[Prob Winner]], "Changed", "Same")</f>
        <v>Changed</v>
      </c>
      <c r="Q236">
        <f>IF(Table46[[#This Row],[Adjusted Predicted Correct]]="-", "",IF(Table46[[#This Row],[Adjusted Predicted Correct]]="YES",(Table46[[#This Row],[Strength of Win]]-1)^2,(Table46[[#This Row],[Strength of Win]]-0)^2))</f>
        <v>6.9240272916212084E-2</v>
      </c>
    </row>
    <row r="237" spans="4:17" x14ac:dyDescent="0.2">
      <c r="D237" s="1">
        <v>45969</v>
      </c>
      <c r="E237" s="2">
        <v>0.79166666666666663</v>
      </c>
      <c r="F237" t="s">
        <v>15</v>
      </c>
      <c r="G237">
        <f>VLOOKUP(Table46[[#This Row],[Home]],'NHL Model'!$A$6:$B$38,2,FALSE)</f>
        <v>-0.30719665303039001</v>
      </c>
      <c r="H237" t="s">
        <v>30</v>
      </c>
      <c r="I237">
        <f>VLOOKUP(Table46[[#This Row],[Visitor]],'NHL Model'!$A$6:$B$38,2,FALSE)</f>
        <v>-6.4729560818359025E-2</v>
      </c>
      <c r="J237">
        <f>($B$1+Table46[[#This Row],[Home Differential]])-Table46[[#This Row],[Away Differential]]</f>
        <v>-7.9894782549712592E-2</v>
      </c>
      <c r="K237" t="str">
        <f>IF(Table46[[#This Row],[HomeIce Differential]]&gt;0,Table46[[#This Row],[Home]],Table46[[#This Row],[Visitor]])</f>
        <v>New York Islanders</v>
      </c>
      <c r="L23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0.51313209791557923</v>
      </c>
      <c r="M237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237" t="str">
        <f>IF(OR((NHL2025_26Results[[#This Row],[Winning Team]]="")),"-",IF(Table46[[#This Row],[Predicted Winner]]=NHL2025_26Results[[#This Row],[Winning Team]],"YES","NO"))</f>
        <v>YES</v>
      </c>
      <c r="O237" t="str">
        <f>IF(OR((NHL2025_26Results[[#This Row],[Winning Team]]="")),"-",IF(Table46[[#This Row],[Prob Winner]]=NHL2025_26Results[[#This Row],[Winning Team]],"YES","NO"))</f>
        <v>YES</v>
      </c>
      <c r="P237" t="str">
        <f>IF(Table46[[#This Row],[Locked Prediction]]&lt;&gt;Table46[[#This Row],[Prob Winner]], "Changed", "Same")</f>
        <v>Changed</v>
      </c>
      <c r="Q237">
        <f>IF(Table46[[#This Row],[Adjusted Predicted Correct]]="-", "",IF(Table46[[#This Row],[Adjusted Predicted Correct]]="YES",(Table46[[#This Row],[Strength of Win]]-1)^2,(Table46[[#This Row],[Strength of Win]]-0)^2))</f>
        <v>0.23704035408008511</v>
      </c>
    </row>
    <row r="238" spans="4:17" x14ac:dyDescent="0.2">
      <c r="D238" s="1">
        <v>45969</v>
      </c>
      <c r="E238" s="2">
        <v>0.54166666666666663</v>
      </c>
      <c r="F238" t="s">
        <v>27</v>
      </c>
      <c r="G238">
        <f>VLOOKUP(Table46[[#This Row],[Home]],'NHL Model'!$A$6:$B$38,2,FALSE)</f>
        <v>-0.51358590497437617</v>
      </c>
      <c r="H238" t="s">
        <v>36</v>
      </c>
      <c r="I238">
        <f>VLOOKUP(Table46[[#This Row],[Visitor]],'NHL Model'!$A$6:$B$38,2,FALSE)</f>
        <v>-0.40651947573390851</v>
      </c>
      <c r="J238">
        <f>($B$1+Table46[[#This Row],[Home Differential]])-Table46[[#This Row],[Away Differential]]</f>
        <v>5.5505880421850728E-2</v>
      </c>
      <c r="K238" t="str">
        <f>IF(Table46[[#This Row],[HomeIce Differential]]&gt;0,Table46[[#This Row],[Home]],Table46[[#This Row],[Visitor]])</f>
        <v>Philadelphia Flyers</v>
      </c>
      <c r="L23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0.5498732656713502</v>
      </c>
      <c r="M238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238" t="str">
        <f>IF(OR((NHL2025_26Results[[#This Row],[Winning Team]]="")),"-",IF(Table46[[#This Row],[Predicted Winner]]=NHL2025_26Results[[#This Row],[Winning Team]],"YES","NO"))</f>
        <v>NO</v>
      </c>
      <c r="O238" t="str">
        <f>IF(OR((NHL2025_26Results[[#This Row],[Winning Team]]="")),"-",IF(Table46[[#This Row],[Prob Winner]]=NHL2025_26Results[[#This Row],[Winning Team]],"YES","NO"))</f>
        <v>NO</v>
      </c>
      <c r="P238" t="str">
        <f>IF(Table46[[#This Row],[Locked Prediction]]&lt;&gt;Table46[[#This Row],[Prob Winner]], "Changed", "Same")</f>
        <v>Changed</v>
      </c>
      <c r="Q238">
        <f>IF(Table46[[#This Row],[Adjusted Predicted Correct]]="-", "",IF(Table46[[#This Row],[Adjusted Predicted Correct]]="YES",(Table46[[#This Row],[Strength of Win]]-1)^2,(Table46[[#This Row],[Strength of Win]]-0)^2))</f>
        <v>0.30236060830007527</v>
      </c>
    </row>
    <row r="239" spans="4:17" x14ac:dyDescent="0.2">
      <c r="D239" s="1">
        <v>45969</v>
      </c>
      <c r="E239" s="2">
        <v>0.91666666666666663</v>
      </c>
      <c r="F239" t="s">
        <v>33</v>
      </c>
      <c r="G239">
        <f>VLOOKUP(Table46[[#This Row],[Home]],'NHL Model'!$A$6:$B$38,2,FALSE)</f>
        <v>-0.39418177254008485</v>
      </c>
      <c r="H239" t="s">
        <v>11</v>
      </c>
      <c r="I239">
        <f>VLOOKUP(Table46[[#This Row],[Visitor]],'NHL Model'!$A$6:$B$38,2,FALSE)</f>
        <v>-0.28105923893144158</v>
      </c>
      <c r="J239">
        <f>($B$1+Table46[[#This Row],[Home Differential]])-Table46[[#This Row],[Away Differential]]</f>
        <v>4.9449776053675121E-2</v>
      </c>
      <c r="K239" t="str">
        <f>IF(Table46[[#This Row],[HomeIce Differential]]&gt;0,Table46[[#This Row],[Home]],Table46[[#This Row],[Visitor]])</f>
        <v>San Jose Sharks</v>
      </c>
      <c r="L23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0.54657281509261268</v>
      </c>
      <c r="M239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239" t="str">
        <f>IF(OR((NHL2025_26Results[[#This Row],[Winning Team]]="")),"-",IF(Table46[[#This Row],[Predicted Winner]]=NHL2025_26Results[[#This Row],[Winning Team]],"YES","NO"))</f>
        <v>YES</v>
      </c>
      <c r="O239" t="str">
        <f>IF(OR((NHL2025_26Results[[#This Row],[Winning Team]]="")),"-",IF(Table46[[#This Row],[Prob Winner]]=NHL2025_26Results[[#This Row],[Winning Team]],"YES","NO"))</f>
        <v>YES</v>
      </c>
      <c r="P239" t="str">
        <f>IF(Table46[[#This Row],[Locked Prediction]]&lt;&gt;Table46[[#This Row],[Prob Winner]], "Changed", "Same")</f>
        <v>Changed</v>
      </c>
      <c r="Q239">
        <f>IF(Table46[[#This Row],[Adjusted Predicted Correct]]="-", "",IF(Table46[[#This Row],[Adjusted Predicted Correct]]="YES",(Table46[[#This Row],[Strength of Win]]-1)^2,(Table46[[#This Row],[Strength of Win]]-0)^2))</f>
        <v>0.20559621201303802</v>
      </c>
    </row>
    <row r="240" spans="4:17" x14ac:dyDescent="0.2">
      <c r="D240" s="1">
        <v>45969</v>
      </c>
      <c r="E240" s="2">
        <v>0.79166666666666663</v>
      </c>
      <c r="F240" t="s">
        <v>35</v>
      </c>
      <c r="G240">
        <f>VLOOKUP(Table46[[#This Row],[Home]],'NHL Model'!$A$6:$B$38,2,FALSE)</f>
        <v>-1.6211574240381006</v>
      </c>
      <c r="H240" t="s">
        <v>32</v>
      </c>
      <c r="I240">
        <f>VLOOKUP(Table46[[#This Row],[Visitor]],'NHL Model'!$A$6:$B$38,2,FALSE)</f>
        <v>-0.361361309178443</v>
      </c>
      <c r="J240">
        <f>($B$1+Table46[[#This Row],[Home Differential]])-Table46[[#This Row],[Away Differential]]</f>
        <v>-1.0972238051973391</v>
      </c>
      <c r="K240" t="str">
        <f>IF(Table46[[#This Row],[HomeIce Differential]]&gt;0,Table46[[#This Row],[Home]],Table46[[#This Row],[Visitor]])</f>
        <v>Seattle Kraken</v>
      </c>
      <c r="L24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0.60584189782673403</v>
      </c>
      <c r="M240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240" t="str">
        <f>IF(OR((NHL2025_26Results[[#This Row],[Winning Team]]="")),"-",IF(Table46[[#This Row],[Predicted Winner]]=NHL2025_26Results[[#This Row],[Winning Team]],"YES","NO"))</f>
        <v>YES</v>
      </c>
      <c r="O240" t="str">
        <f>IF(OR((NHL2025_26Results[[#This Row],[Winning Team]]="")),"-",IF(Table46[[#This Row],[Prob Winner]]=NHL2025_26Results[[#This Row],[Winning Team]],"YES","NO"))</f>
        <v>YES</v>
      </c>
      <c r="P240" t="str">
        <f>IF(Table46[[#This Row],[Locked Prediction]]&lt;&gt;Table46[[#This Row],[Prob Winner]], "Changed", "Same")</f>
        <v>Changed</v>
      </c>
      <c r="Q240">
        <f>IF(Table46[[#This Row],[Adjusted Predicted Correct]]="-", "",IF(Table46[[#This Row],[Adjusted Predicted Correct]]="YES",(Table46[[#This Row],[Strength of Win]]-1)^2,(Table46[[#This Row],[Strength of Win]]-0)^2))</f>
        <v>0.15536060950883077</v>
      </c>
    </row>
    <row r="241" spans="4:17" x14ac:dyDescent="0.2">
      <c r="D241" s="1">
        <v>45969</v>
      </c>
      <c r="E241" s="2">
        <v>0.79166666666666663</v>
      </c>
      <c r="F241" t="s">
        <v>37</v>
      </c>
      <c r="G241">
        <f>VLOOKUP(Table46[[#This Row],[Home]],'NHL Model'!$A$6:$B$38,2,FALSE)</f>
        <v>-0.11309445867623392</v>
      </c>
      <c r="H241" t="s">
        <v>22</v>
      </c>
      <c r="I241">
        <f>VLOOKUP(Table46[[#This Row],[Visitor]],'NHL Model'!$A$6:$B$38,2,FALSE)</f>
        <v>-6.1308839486784707E-2</v>
      </c>
      <c r="J241">
        <f>($B$1+Table46[[#This Row],[Home Differential]])-Table46[[#This Row],[Away Differential]]</f>
        <v>0.11078669047286918</v>
      </c>
      <c r="K241" t="str">
        <f>IF(Table46[[#This Row],[HomeIce Differential]]&gt;0,Table46[[#This Row],[Home]],Table46[[#This Row],[Visitor]])</f>
        <v>Tampa Bay Lightning</v>
      </c>
      <c r="L24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0.554725656803992</v>
      </c>
      <c r="M241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241" t="str">
        <f>IF(OR((NHL2025_26Results[[#This Row],[Winning Team]]="")),"-",IF(Table46[[#This Row],[Predicted Winner]]=NHL2025_26Results[[#This Row],[Winning Team]],"YES","NO"))</f>
        <v>YES</v>
      </c>
      <c r="O241" t="str">
        <f>IF(OR((NHL2025_26Results[[#This Row],[Winning Team]]="")),"-",IF(Table46[[#This Row],[Prob Winner]]=NHL2025_26Results[[#This Row],[Winning Team]],"YES","NO"))</f>
        <v>YES</v>
      </c>
      <c r="P241" t="str">
        <f>IF(Table46[[#This Row],[Locked Prediction]]&lt;&gt;Table46[[#This Row],[Prob Winner]], "Changed", "Same")</f>
        <v>Changed</v>
      </c>
      <c r="Q241">
        <f>IF(Table46[[#This Row],[Adjusted Predicted Correct]]="-", "",IF(Table46[[#This Row],[Adjusted Predicted Correct]]="YES",(Table46[[#This Row],[Strength of Win]]-1)^2,(Table46[[#This Row],[Strength of Win]]-0)^2))</f>
        <v>0.19826924070863633</v>
      </c>
    </row>
    <row r="242" spans="4:17" x14ac:dyDescent="0.2">
      <c r="D242" s="1">
        <v>45969</v>
      </c>
      <c r="E242" s="2">
        <v>0.79166666666666663</v>
      </c>
      <c r="F242" t="s">
        <v>19</v>
      </c>
      <c r="G242">
        <f>VLOOKUP(Table46[[#This Row],[Home]],'NHL Model'!$A$6:$B$38,2,FALSE)</f>
        <v>-0.635565543477981</v>
      </c>
      <c r="H242" t="s">
        <v>21</v>
      </c>
      <c r="I242">
        <f>VLOOKUP(Table46[[#This Row],[Visitor]],'NHL Model'!$A$6:$B$38,2,FALSE)</f>
        <v>4.029141914856392E-2</v>
      </c>
      <c r="J242">
        <f>($B$1+Table46[[#This Row],[Home Differential]])-Table46[[#This Row],[Away Differential]]</f>
        <v>-0.51328465296422654</v>
      </c>
      <c r="K242" t="str">
        <f>IF(Table46[[#This Row],[HomeIce Differential]]&gt;0,Table46[[#This Row],[Home]],Table46[[#This Row],[Visitor]])</f>
        <v>Boston Bruins</v>
      </c>
      <c r="L24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0.52822528599821605</v>
      </c>
      <c r="M242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242" t="str">
        <f>IF(OR((NHL2025_26Results[[#This Row],[Winning Team]]="")),"-",IF(Table46[[#This Row],[Predicted Winner]]=NHL2025_26Results[[#This Row],[Winning Team]],"YES","NO"))</f>
        <v>YES</v>
      </c>
      <c r="O242" t="str">
        <f>IF(OR((NHL2025_26Results[[#This Row],[Winning Team]]="")),"-",IF(Table46[[#This Row],[Prob Winner]]=NHL2025_26Results[[#This Row],[Winning Team]],"YES","NO"))</f>
        <v>YES</v>
      </c>
      <c r="P242" t="str">
        <f>IF(Table46[[#This Row],[Locked Prediction]]&lt;&gt;Table46[[#This Row],[Prob Winner]], "Changed", "Same")</f>
        <v>Changed</v>
      </c>
      <c r="Q242">
        <f>IF(Table46[[#This Row],[Adjusted Predicted Correct]]="-", "",IF(Table46[[#This Row],[Adjusted Predicted Correct]]="YES",(Table46[[#This Row],[Strength of Win]]-1)^2,(Table46[[#This Row],[Strength of Win]]-0)^2))</f>
        <v>0.22257138077146504</v>
      </c>
    </row>
    <row r="243" spans="4:17" x14ac:dyDescent="0.2">
      <c r="D243" s="1">
        <v>45969</v>
      </c>
      <c r="E243" s="2">
        <v>0.91666666666666663</v>
      </c>
      <c r="F243" t="s">
        <v>38</v>
      </c>
      <c r="G243">
        <f>VLOOKUP(Table46[[#This Row],[Home]],'NHL Model'!$A$6:$B$38,2,FALSE)</f>
        <v>-0.6902088310934803</v>
      </c>
      <c r="H243" t="s">
        <v>28</v>
      </c>
      <c r="I243">
        <f>VLOOKUP(Table46[[#This Row],[Visitor]],'NHL Model'!$A$6:$B$38,2,FALSE)</f>
        <v>-0.40822279081308277</v>
      </c>
      <c r="J243">
        <f>($B$1+Table46[[#This Row],[Home Differential]])-Table46[[#This Row],[Away Differential]]</f>
        <v>-0.11941373061807914</v>
      </c>
      <c r="K243" t="str">
        <f>IF(Table46[[#This Row],[HomeIce Differential]]&gt;0,Table46[[#This Row],[Home]],Table46[[#This Row],[Visitor]])</f>
        <v>Columbus Blue Jackets</v>
      </c>
      <c r="L24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0.49664158517625057</v>
      </c>
      <c r="M243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243" t="str">
        <f>IF(OR((NHL2025_26Results[[#This Row],[Winning Team]]="")),"-",IF(Table46[[#This Row],[Predicted Winner]]=NHL2025_26Results[[#This Row],[Winning Team]],"YES","NO"))</f>
        <v>NO</v>
      </c>
      <c r="O243" t="str">
        <f>IF(OR((NHL2025_26Results[[#This Row],[Winning Team]]="")),"-",IF(Table46[[#This Row],[Prob Winner]]=NHL2025_26Results[[#This Row],[Winning Team]],"YES","NO"))</f>
        <v>YES</v>
      </c>
      <c r="P243" t="str">
        <f>IF(Table46[[#This Row],[Locked Prediction]]&lt;&gt;Table46[[#This Row],[Prob Winner]], "Changed", "Same")</f>
        <v>Changed</v>
      </c>
      <c r="Q243">
        <f>IF(Table46[[#This Row],[Adjusted Predicted Correct]]="-", "",IF(Table46[[#This Row],[Adjusted Predicted Correct]]="YES",(Table46[[#This Row],[Strength of Win]]-1)^2,(Table46[[#This Row],[Strength of Win]]-0)^2))</f>
        <v>0.24665286412637893</v>
      </c>
    </row>
    <row r="244" spans="4:17" x14ac:dyDescent="0.2">
      <c r="D244" s="1">
        <v>45969</v>
      </c>
      <c r="E244" s="2">
        <v>0.91666666666666663</v>
      </c>
      <c r="F244" t="s">
        <v>20</v>
      </c>
      <c r="G244">
        <f>VLOOKUP(Table46[[#This Row],[Home]],'NHL Model'!$A$6:$B$38,2,FALSE)</f>
        <v>-6.3745791019188943E-4</v>
      </c>
      <c r="H244" t="s">
        <v>31</v>
      </c>
      <c r="I244">
        <f>VLOOKUP(Table46[[#This Row],[Visitor]],'NHL Model'!$A$6:$B$38,2,FALSE)</f>
        <v>0.51775546328552802</v>
      </c>
      <c r="J244">
        <f>($B$1+Table46[[#This Row],[Home Differential]])-Table46[[#This Row],[Away Differential]]</f>
        <v>-0.3558206115334015</v>
      </c>
      <c r="K244" t="str">
        <f>IF(Table46[[#This Row],[HomeIce Differential]]&gt;0,Table46[[#This Row],[Home]],Table46[[#This Row],[Visitor]])</f>
        <v>Anaheim Ducks</v>
      </c>
      <c r="L24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0.52806455285948295</v>
      </c>
      <c r="M244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244" t="str">
        <f>IF(OR((NHL2025_26Results[[#This Row],[Winning Team]]="")),"-",IF(Table46[[#This Row],[Predicted Winner]]=NHL2025_26Results[[#This Row],[Winning Team]],"YES","NO"))</f>
        <v>YES</v>
      </c>
      <c r="O244" t="str">
        <f>IF(OR((NHL2025_26Results[[#This Row],[Winning Team]]="")),"-",IF(Table46[[#This Row],[Prob Winner]]=NHL2025_26Results[[#This Row],[Winning Team]],"YES","NO"))</f>
        <v>YES</v>
      </c>
      <c r="P244" t="str">
        <f>IF(Table46[[#This Row],[Locked Prediction]]&lt;&gt;Table46[[#This Row],[Prob Winner]], "Changed", "Same")</f>
        <v>Changed</v>
      </c>
      <c r="Q244">
        <f>IF(Table46[[#This Row],[Adjusted Predicted Correct]]="-", "",IF(Table46[[#This Row],[Adjusted Predicted Correct]]="YES",(Table46[[#This Row],[Strength of Win]]-1)^2,(Table46[[#This Row],[Strength of Win]]-0)^2))</f>
        <v>0.22272306626771976</v>
      </c>
    </row>
    <row r="245" spans="4:17" x14ac:dyDescent="0.2">
      <c r="D245" s="1">
        <v>45970</v>
      </c>
      <c r="E245" s="2">
        <v>0.91666666666666663</v>
      </c>
      <c r="F245" t="s">
        <v>31</v>
      </c>
      <c r="G245">
        <f>VLOOKUP(Table46[[#This Row],[Home]],'NHL Model'!$A$6:$B$38,2,FALSE)</f>
        <v>0.51775546328552802</v>
      </c>
      <c r="H245" t="s">
        <v>40</v>
      </c>
      <c r="I245">
        <f>VLOOKUP(Table46[[#This Row],[Visitor]],'NHL Model'!$A$6:$B$38,2,FALSE)</f>
        <v>0.105105258369765</v>
      </c>
      <c r="J245">
        <f>($B$1+Table46[[#This Row],[Home Differential]])-Table46[[#This Row],[Away Differential]]</f>
        <v>0.57522251457808138</v>
      </c>
      <c r="K245" t="str">
        <f>IF(Table46[[#This Row],[HomeIce Differential]]&gt;0,Table46[[#This Row],[Home]],Table46[[#This Row],[Visitor]])</f>
        <v>Anaheim Ducks</v>
      </c>
      <c r="L24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0.65785335385073107</v>
      </c>
      <c r="M245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245" t="str">
        <f>IF(OR((NHL2025_26Results[[#This Row],[Winning Team]]="")),"-",IF(Table46[[#This Row],[Predicted Winner]]=NHL2025_26Results[[#This Row],[Winning Team]],"YES","NO"))</f>
        <v>YES</v>
      </c>
      <c r="O245" t="str">
        <f>IF(OR((NHL2025_26Results[[#This Row],[Winning Team]]="")),"-",IF(Table46[[#This Row],[Prob Winner]]=NHL2025_26Results[[#This Row],[Winning Team]],"YES","NO"))</f>
        <v>YES</v>
      </c>
      <c r="P245" t="str">
        <f>IF(Table46[[#This Row],[Locked Prediction]]&lt;&gt;Table46[[#This Row],[Prob Winner]], "Changed", "Same")</f>
        <v>Changed</v>
      </c>
      <c r="Q245">
        <f>IF(Table46[[#This Row],[Adjusted Predicted Correct]]="-", "",IF(Table46[[#This Row],[Adjusted Predicted Correct]]="YES",(Table46[[#This Row],[Strength of Win]]-1)^2,(Table46[[#This Row],[Strength of Win]]-0)^2))</f>
        <v>0.11706432747119304</v>
      </c>
    </row>
    <row r="246" spans="4:17" x14ac:dyDescent="0.2">
      <c r="D246" s="1">
        <v>45970</v>
      </c>
      <c r="E246" s="2">
        <v>0.79166666666666663</v>
      </c>
      <c r="F246" t="s">
        <v>39</v>
      </c>
      <c r="G246">
        <f>VLOOKUP(Table46[[#This Row],[Home]],'NHL Model'!$A$6:$B$38,2,FALSE)</f>
        <v>0.19809534061227302</v>
      </c>
      <c r="H246" t="s">
        <v>32</v>
      </c>
      <c r="I246">
        <f>VLOOKUP(Table46[[#This Row],[Visitor]],'NHL Model'!$A$6:$B$38,2,FALSE)</f>
        <v>-0.361361309178443</v>
      </c>
      <c r="J246">
        <f>($B$1+Table46[[#This Row],[Home Differential]])-Table46[[#This Row],[Away Differential]]</f>
        <v>0.72202895945303447</v>
      </c>
      <c r="K246" t="str">
        <f>IF(Table46[[#This Row],[HomeIce Differential]]&gt;0,Table46[[#This Row],[Home]],Table46[[#This Row],[Visitor]])</f>
        <v>Dallas Stars</v>
      </c>
      <c r="L24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0.66200910762726339</v>
      </c>
      <c r="M246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246" t="str">
        <f>IF(OR((NHL2025_26Results[[#This Row],[Winning Team]]="")),"-",IF(Table46[[#This Row],[Predicted Winner]]=NHL2025_26Results[[#This Row],[Winning Team]],"YES","NO"))</f>
        <v>YES</v>
      </c>
      <c r="O246" t="str">
        <f>IF(OR((NHL2025_26Results[[#This Row],[Winning Team]]="")),"-",IF(Table46[[#This Row],[Prob Winner]]=NHL2025_26Results[[#This Row],[Winning Team]],"YES","NO"))</f>
        <v>YES</v>
      </c>
      <c r="P246" t="str">
        <f>IF(Table46[[#This Row],[Locked Prediction]]&lt;&gt;Table46[[#This Row],[Prob Winner]], "Changed", "Same")</f>
        <v>Changed</v>
      </c>
      <c r="Q246">
        <f>IF(Table46[[#This Row],[Adjusted Predicted Correct]]="-", "",IF(Table46[[#This Row],[Adjusted Predicted Correct]]="YES",(Table46[[#This Row],[Strength of Win]]-1)^2,(Table46[[#This Row],[Strength of Win]]-0)^2))</f>
        <v>0.11423784332691882</v>
      </c>
    </row>
    <row r="247" spans="4:17" x14ac:dyDescent="0.2">
      <c r="D247" s="1">
        <v>45970</v>
      </c>
      <c r="E247" s="2">
        <v>0.54166666666666663</v>
      </c>
      <c r="F247" t="s">
        <v>26</v>
      </c>
      <c r="G247">
        <f>VLOOKUP(Table46[[#This Row],[Home]],'NHL Model'!$A$6:$B$38,2,FALSE)</f>
        <v>-0.513643833119658</v>
      </c>
      <c r="H247" t="s">
        <v>10</v>
      </c>
      <c r="I247">
        <f>VLOOKUP(Table46[[#This Row],[Visitor]],'NHL Model'!$A$6:$B$38,2,FALSE)</f>
        <v>0.30570968833820172</v>
      </c>
      <c r="J247">
        <f>($B$1+Table46[[#This Row],[Home Differential]])-Table46[[#This Row],[Away Differential]]</f>
        <v>-0.65678121179554139</v>
      </c>
      <c r="K247" t="str">
        <f>IF(Table46[[#This Row],[HomeIce Differential]]&gt;0,Table46[[#This Row],[Home]],Table46[[#This Row],[Visitor]])</f>
        <v>Chicago Blackhawks</v>
      </c>
      <c r="L24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0.54184416054461615</v>
      </c>
      <c r="M247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247" t="str">
        <f>IF(OR((NHL2025_26Results[[#This Row],[Winning Team]]="")),"-",IF(Table46[[#This Row],[Predicted Winner]]=NHL2025_26Results[[#This Row],[Winning Team]],"YES","NO"))</f>
        <v>YES</v>
      </c>
      <c r="O247" t="str">
        <f>IF(OR((NHL2025_26Results[[#This Row],[Winning Team]]="")),"-",IF(Table46[[#This Row],[Prob Winner]]=NHL2025_26Results[[#This Row],[Winning Team]],"YES","NO"))</f>
        <v>YES</v>
      </c>
      <c r="P247" t="str">
        <f>IF(Table46[[#This Row],[Locked Prediction]]&lt;&gt;Table46[[#This Row],[Prob Winner]], "Changed", "Same")</f>
        <v>Changed</v>
      </c>
      <c r="Q247">
        <f>IF(Table46[[#This Row],[Adjusted Predicted Correct]]="-", "",IF(Table46[[#This Row],[Adjusted Predicted Correct]]="YES",(Table46[[#This Row],[Strength of Win]]-1)^2,(Table46[[#This Row],[Strength of Win]]-0)^2))</f>
        <v>0.20990677322706747</v>
      </c>
    </row>
    <row r="248" spans="4:17" x14ac:dyDescent="0.2">
      <c r="D248" s="1">
        <v>45970</v>
      </c>
      <c r="E248" s="2">
        <v>0.83333333333333337</v>
      </c>
      <c r="F248" t="s">
        <v>34</v>
      </c>
      <c r="G248">
        <f>VLOOKUP(Table46[[#This Row],[Home]],'NHL Model'!$A$6:$B$38,2,FALSE)</f>
        <v>-0.53650300840565446</v>
      </c>
      <c r="H248" t="s">
        <v>16</v>
      </c>
      <c r="I248">
        <f>VLOOKUP(Table46[[#This Row],[Visitor]],'NHL Model'!$A$6:$B$38,2,FALSE)</f>
        <v>-1.3903684122795328</v>
      </c>
      <c r="J248">
        <f>($B$1+Table46[[#This Row],[Home Differential]])-Table46[[#This Row],[Away Differential]]</f>
        <v>1.0164377135361966</v>
      </c>
      <c r="K248" t="str">
        <f>IF(Table46[[#This Row],[HomeIce Differential]]&gt;0,Table46[[#This Row],[Home]],Table46[[#This Row],[Visitor]])</f>
        <v>Minnesota Wild</v>
      </c>
      <c r="L24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0.67510389080386735</v>
      </c>
      <c r="M248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248" t="str">
        <f>IF(OR((NHL2025_26Results[[#This Row],[Winning Team]]="")),"-",IF(Table46[[#This Row],[Predicted Winner]]=NHL2025_26Results[[#This Row],[Winning Team]],"YES","NO"))</f>
        <v>YES</v>
      </c>
      <c r="O248" t="str">
        <f>IF(OR((NHL2025_26Results[[#This Row],[Winning Team]]="")),"-",IF(Table46[[#This Row],[Prob Winner]]=NHL2025_26Results[[#This Row],[Winning Team]],"YES","NO"))</f>
        <v>YES</v>
      </c>
      <c r="P248" t="str">
        <f>IF(Table46[[#This Row],[Locked Prediction]]&lt;&gt;Table46[[#This Row],[Prob Winner]], "Changed", "Same")</f>
        <v>Changed</v>
      </c>
      <c r="Q248">
        <f>IF(Table46[[#This Row],[Adjusted Predicted Correct]]="-", "",IF(Table46[[#This Row],[Adjusted Predicted Correct]]="YES",(Table46[[#This Row],[Strength of Win]]-1)^2,(Table46[[#This Row],[Strength of Win]]-0)^2))</f>
        <v>0.10555748177078535</v>
      </c>
    </row>
    <row r="249" spans="4:17" x14ac:dyDescent="0.2">
      <c r="D249" s="1">
        <v>45970</v>
      </c>
      <c r="E249" s="2">
        <v>0.79166666666666663</v>
      </c>
      <c r="F249" t="s">
        <v>36</v>
      </c>
      <c r="G249">
        <f>VLOOKUP(Table46[[#This Row],[Home]],'NHL Model'!$A$6:$B$38,2,FALSE)</f>
        <v>-0.40651947573390851</v>
      </c>
      <c r="H249" t="s">
        <v>55</v>
      </c>
      <c r="I249">
        <f>VLOOKUP(Table46[[#This Row],[Visitor]],'NHL Model'!$A$6:$B$38,2,FALSE)</f>
        <v>-0.12212311954851815</v>
      </c>
      <c r="J249">
        <f>($B$1+Table46[[#This Row],[Home Differential]])-Table46[[#This Row],[Away Differential]]</f>
        <v>-0.12182404652307197</v>
      </c>
      <c r="K249" t="str">
        <f>IF(Table46[[#This Row],[HomeIce Differential]]&gt;0,Table46[[#This Row],[Home]],Table46[[#This Row],[Visitor]])</f>
        <v>Utah Mammoth</v>
      </c>
      <c r="L24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0.47369725199753343</v>
      </c>
      <c r="M249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249" t="str">
        <f>IF(OR((NHL2025_26Results[[#This Row],[Winning Team]]="")),"-",IF(Table46[[#This Row],[Predicted Winner]]=NHL2025_26Results[[#This Row],[Winning Team]],"YES","NO"))</f>
        <v>NO</v>
      </c>
      <c r="O249" t="str">
        <f>IF(OR((NHL2025_26Results[[#This Row],[Winning Team]]="")),"-",IF(Table46[[#This Row],[Prob Winner]]=NHL2025_26Results[[#This Row],[Winning Team]],"YES","NO"))</f>
        <v>YES</v>
      </c>
      <c r="P249" t="str">
        <f>IF(Table46[[#This Row],[Locked Prediction]]&lt;&gt;Table46[[#This Row],[Prob Winner]], "Changed", "Same")</f>
        <v>Changed</v>
      </c>
      <c r="Q249">
        <f>IF(Table46[[#This Row],[Adjusted Predicted Correct]]="-", "",IF(Table46[[#This Row],[Adjusted Predicted Correct]]="YES",(Table46[[#This Row],[Strength of Win]]-1)^2,(Table46[[#This Row],[Strength of Win]]-0)^2))</f>
        <v>0.22438908655001469</v>
      </c>
    </row>
    <row r="250" spans="4:17" x14ac:dyDescent="0.2">
      <c r="D250" s="1">
        <v>45970</v>
      </c>
      <c r="E250" s="2">
        <v>0.58333333333333337</v>
      </c>
      <c r="F250" t="s">
        <v>14</v>
      </c>
      <c r="G250">
        <f>VLOOKUP(Table46[[#This Row],[Home]],'NHL Model'!$A$6:$B$38,2,FALSE)</f>
        <v>0.26289091192875702</v>
      </c>
      <c r="H250" t="s">
        <v>13</v>
      </c>
      <c r="I250">
        <f>VLOOKUP(Table46[[#This Row],[Visitor]],'NHL Model'!$A$6:$B$38,2,FALSE)</f>
        <v>-7.5459708298993802E-2</v>
      </c>
      <c r="J250">
        <f>($B$1+Table46[[#This Row],[Home Differential]])-Table46[[#This Row],[Away Differential]]</f>
        <v>0.50092292989006926</v>
      </c>
      <c r="K250" t="str">
        <f>IF(Table46[[#This Row],[HomeIce Differential]]&gt;0,Table46[[#This Row],[Home]],Table46[[#This Row],[Visitor]])</f>
        <v>Pittsburgh Penguins</v>
      </c>
      <c r="L25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0.52112763259704764</v>
      </c>
      <c r="M250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250" t="str">
        <f>IF(OR((NHL2025_26Results[[#This Row],[Winning Team]]="")),"-",IF(Table46[[#This Row],[Predicted Winner]]=NHL2025_26Results[[#This Row],[Winning Team]],"YES","NO"))</f>
        <v>NO</v>
      </c>
      <c r="O250" t="str">
        <f>IF(OR((NHL2025_26Results[[#This Row],[Winning Team]]="")),"-",IF(Table46[[#This Row],[Prob Winner]]=NHL2025_26Results[[#This Row],[Winning Team]],"YES","NO"))</f>
        <v>NO</v>
      </c>
      <c r="P250" t="str">
        <f>IF(Table46[[#This Row],[Locked Prediction]]&lt;&gt;Table46[[#This Row],[Prob Winner]], "Changed", "Same")</f>
        <v>Changed</v>
      </c>
      <c r="Q250">
        <f>IF(Table46[[#This Row],[Adjusted Predicted Correct]]="-", "",IF(Table46[[#This Row],[Adjusted Predicted Correct]]="YES",(Table46[[#This Row],[Strength of Win]]-1)^2,(Table46[[#This Row],[Strength of Win]]-0)^2))</f>
        <v>0.27157400945620347</v>
      </c>
    </row>
    <row r="251" spans="4:17" x14ac:dyDescent="0.2">
      <c r="D251" s="1">
        <v>45970</v>
      </c>
      <c r="E251" s="2">
        <v>0.79166666666666663</v>
      </c>
      <c r="F251" t="s">
        <v>19</v>
      </c>
      <c r="G251">
        <f>VLOOKUP(Table46[[#This Row],[Home]],'NHL Model'!$A$6:$B$38,2,FALSE)</f>
        <v>-0.635565543477981</v>
      </c>
      <c r="H251" t="s">
        <v>25</v>
      </c>
      <c r="I251">
        <f>VLOOKUP(Table46[[#This Row],[Visitor]],'NHL Model'!$A$6:$B$38,2,FALSE)</f>
        <v>0.67193921242367816</v>
      </c>
      <c r="J251">
        <f>($B$1+Table46[[#This Row],[Home Differential]])-Table46[[#This Row],[Away Differential]]</f>
        <v>-1.1449324462393409</v>
      </c>
      <c r="K251" t="str">
        <f>IF(Table46[[#This Row],[HomeIce Differential]]&gt;0,Table46[[#This Row],[Home]],Table46[[#This Row],[Visitor]])</f>
        <v>Carolina Hurricanes</v>
      </c>
      <c r="L25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0.70466947082914233</v>
      </c>
      <c r="M251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251" t="str">
        <f>IF(OR((NHL2025_26Results[[#This Row],[Winning Team]]="")),"-",IF(Table46[[#This Row],[Predicted Winner]]=NHL2025_26Results[[#This Row],[Winning Team]],"YES","NO"))</f>
        <v>YES</v>
      </c>
      <c r="O251" t="str">
        <f>IF(OR((NHL2025_26Results[[#This Row],[Winning Team]]="")),"-",IF(Table46[[#This Row],[Prob Winner]]=NHL2025_26Results[[#This Row],[Winning Team]],"YES","NO"))</f>
        <v>YES</v>
      </c>
      <c r="P251" t="str">
        <f>IF(Table46[[#This Row],[Locked Prediction]]&lt;&gt;Table46[[#This Row],[Prob Winner]], "Changed", "Same")</f>
        <v>Changed</v>
      </c>
      <c r="Q251">
        <f>IF(Table46[[#This Row],[Adjusted Predicted Correct]]="-", "",IF(Table46[[#This Row],[Adjusted Predicted Correct]]="YES",(Table46[[#This Row],[Strength of Win]]-1)^2,(Table46[[#This Row],[Strength of Win]]-0)^2))</f>
        <v>8.7220121460338806E-2</v>
      </c>
    </row>
    <row r="252" spans="4:17" x14ac:dyDescent="0.2">
      <c r="D252" s="1">
        <v>45970</v>
      </c>
      <c r="E252" s="2">
        <v>0.91666666666666663</v>
      </c>
      <c r="F252" t="s">
        <v>38</v>
      </c>
      <c r="G252">
        <f>VLOOKUP(Table46[[#This Row],[Home]],'NHL Model'!$A$6:$B$38,2,FALSE)</f>
        <v>-0.6902088310934803</v>
      </c>
      <c r="H252" t="s">
        <v>12</v>
      </c>
      <c r="I252">
        <f>VLOOKUP(Table46[[#This Row],[Visitor]],'NHL Model'!$A$6:$B$38,2,FALSE)</f>
        <v>1.5475013591489768</v>
      </c>
      <c r="J252">
        <f>($B$1+Table46[[#This Row],[Home Differential]])-Table46[[#This Row],[Away Differential]]</f>
        <v>-2.0751378805801388</v>
      </c>
      <c r="K252" t="str">
        <f>IF(Table46[[#This Row],[HomeIce Differential]]&gt;0,Table46[[#This Row],[Home]],Table46[[#This Row],[Visitor]])</f>
        <v>Colorado Avalanche</v>
      </c>
      <c r="L25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0.80214105440358874</v>
      </c>
      <c r="M252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252" t="str">
        <f>IF(OR((NHL2025_26Results[[#This Row],[Winning Team]]="")),"-",IF(Table46[[#This Row],[Predicted Winner]]=NHL2025_26Results[[#This Row],[Winning Team]],"YES","NO"))</f>
        <v>YES</v>
      </c>
      <c r="O252" t="str">
        <f>IF(OR((NHL2025_26Results[[#This Row],[Winning Team]]="")),"-",IF(Table46[[#This Row],[Prob Winner]]=NHL2025_26Results[[#This Row],[Winning Team]],"YES","NO"))</f>
        <v>YES</v>
      </c>
      <c r="P252" t="str">
        <f>IF(Table46[[#This Row],[Locked Prediction]]&lt;&gt;Table46[[#This Row],[Prob Winner]], "Changed", "Same")</f>
        <v>Changed</v>
      </c>
      <c r="Q252">
        <f>IF(Table46[[#This Row],[Adjusted Predicted Correct]]="-", "",IF(Table46[[#This Row],[Adjusted Predicted Correct]]="YES",(Table46[[#This Row],[Strength of Win]]-1)^2,(Table46[[#This Row],[Strength of Win]]-0)^2))</f>
        <v>3.9148162352523629E-2</v>
      </c>
    </row>
    <row r="253" spans="4:17" x14ac:dyDescent="0.2">
      <c r="D253" s="1">
        <v>45971</v>
      </c>
      <c r="E253" s="2">
        <v>0.85416666666666663</v>
      </c>
      <c r="F253" t="s">
        <v>17</v>
      </c>
      <c r="G253">
        <f>VLOOKUP(Table46[[#This Row],[Home]],'NHL Model'!$A$6:$B$38,2,FALSE)</f>
        <v>-0.61980804137564283</v>
      </c>
      <c r="H253" t="s">
        <v>28</v>
      </c>
      <c r="I253">
        <f>VLOOKUP(Table46[[#This Row],[Visitor]],'NHL Model'!$A$6:$B$38,2,FALSE)</f>
        <v>-0.40822279081308277</v>
      </c>
      <c r="J253">
        <f>($B$1+Table46[[#This Row],[Home Differential]])-Table46[[#This Row],[Away Differential]]</f>
        <v>-4.9012940900241664E-2</v>
      </c>
      <c r="K253" t="str">
        <f>IF(Table46[[#This Row],[HomeIce Differential]]&gt;0,Table46[[#This Row],[Home]],Table46[[#This Row],[Visitor]])</f>
        <v>Columbus Blue Jackets</v>
      </c>
      <c r="L25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0.45095919584256522</v>
      </c>
      <c r="M253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253" t="str">
        <f>IF(OR((NHL2025_26Results[[#This Row],[Winning Team]]="")),"-",IF(Table46[[#This Row],[Predicted Winner]]=NHL2025_26Results[[#This Row],[Winning Team]],"YES","NO"))</f>
        <v>NO</v>
      </c>
      <c r="O253" t="str">
        <f>IF(OR((NHL2025_26Results[[#This Row],[Winning Team]]="")),"-",IF(Table46[[#This Row],[Prob Winner]]=NHL2025_26Results[[#This Row],[Winning Team]],"YES","NO"))</f>
        <v>YES</v>
      </c>
      <c r="P253" t="str">
        <f>IF(Table46[[#This Row],[Locked Prediction]]&lt;&gt;Table46[[#This Row],[Prob Winner]], "Changed", "Same")</f>
        <v>Changed</v>
      </c>
      <c r="Q253">
        <f>IF(Table46[[#This Row],[Adjusted Predicted Correct]]="-", "",IF(Table46[[#This Row],[Adjusted Predicted Correct]]="YES",(Table46[[#This Row],[Strength of Win]]-1)^2,(Table46[[#This Row],[Strength of Win]]-0)^2))</f>
        <v>0.2033641963149731</v>
      </c>
    </row>
    <row r="254" spans="4:17" x14ac:dyDescent="0.2">
      <c r="D254" s="1">
        <v>45971</v>
      </c>
      <c r="E254" s="2">
        <v>0.79166666666666663</v>
      </c>
      <c r="F254" t="s">
        <v>24</v>
      </c>
      <c r="G254">
        <f>VLOOKUP(Table46[[#This Row],[Home]],'NHL Model'!$A$6:$B$38,2,FALSE)</f>
        <v>0.559441163373953</v>
      </c>
      <c r="H254" t="s">
        <v>30</v>
      </c>
      <c r="I254">
        <f>VLOOKUP(Table46[[#This Row],[Visitor]],'NHL Model'!$A$6:$B$38,2,FALSE)</f>
        <v>-6.4729560818359025E-2</v>
      </c>
      <c r="J254">
        <f>($B$1+Table46[[#This Row],[Home Differential]])-Table46[[#This Row],[Away Differential]]</f>
        <v>0.7867430338546304</v>
      </c>
      <c r="K254" t="str">
        <f>IF(Table46[[#This Row],[HomeIce Differential]]&gt;0,Table46[[#This Row],[Home]],Table46[[#This Row],[Visitor]])</f>
        <v>New Jersey Devils</v>
      </c>
      <c r="L25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0.72057310223841287</v>
      </c>
      <c r="M254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254" t="str">
        <f>IF(OR((NHL2025_26Results[[#This Row],[Winning Team]]="")),"-",IF(Table46[[#This Row],[Predicted Winner]]=NHL2025_26Results[[#This Row],[Winning Team]],"YES","NO"))</f>
        <v>NO</v>
      </c>
      <c r="O254" t="str">
        <f>IF(OR((NHL2025_26Results[[#This Row],[Winning Team]]="")),"-",IF(Table46[[#This Row],[Prob Winner]]=NHL2025_26Results[[#This Row],[Winning Team]],"YES","NO"))</f>
        <v>NO</v>
      </c>
      <c r="P254" t="str">
        <f>IF(Table46[[#This Row],[Locked Prediction]]&lt;&gt;Table46[[#This Row],[Prob Winner]], "Changed", "Same")</f>
        <v>Changed</v>
      </c>
      <c r="Q254">
        <f>IF(Table46[[#This Row],[Adjusted Predicted Correct]]="-", "",IF(Table46[[#This Row],[Adjusted Predicted Correct]]="YES",(Table46[[#This Row],[Strength of Win]]-1)^2,(Table46[[#This Row],[Strength of Win]]-0)^2))</f>
        <v>0.51922559566949023</v>
      </c>
    </row>
    <row r="255" spans="4:17" x14ac:dyDescent="0.2">
      <c r="D255" s="1">
        <v>45971</v>
      </c>
      <c r="E255" s="2">
        <v>0.79166666666666663</v>
      </c>
      <c r="F255" t="s">
        <v>15</v>
      </c>
      <c r="G255">
        <f>VLOOKUP(Table46[[#This Row],[Home]],'NHL Model'!$A$6:$B$38,2,FALSE)</f>
        <v>-0.30719665303039001</v>
      </c>
      <c r="H255" t="s">
        <v>29</v>
      </c>
      <c r="I255">
        <f>VLOOKUP(Table46[[#This Row],[Visitor]],'NHL Model'!$A$6:$B$38,2,FALSE)</f>
        <v>-1.3516250707060606</v>
      </c>
      <c r="J255">
        <f>($B$1+Table46[[#This Row],[Home Differential]])-Table46[[#This Row],[Away Differential]]</f>
        <v>1.207000727337989</v>
      </c>
      <c r="K255" t="str">
        <f>IF(Table46[[#This Row],[HomeIce Differential]]&gt;0,Table46[[#This Row],[Home]],Table46[[#This Row],[Visitor]])</f>
        <v>New York Rangers</v>
      </c>
      <c r="L25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0.70043333722745915</v>
      </c>
      <c r="M255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255" t="str">
        <f>IF(OR((NHL2025_26Results[[#This Row],[Winning Team]]="")),"-",IF(Table46[[#This Row],[Predicted Winner]]=NHL2025_26Results[[#This Row],[Winning Team]],"YES","NO"))</f>
        <v>YES</v>
      </c>
      <c r="O255" t="str">
        <f>IF(OR((NHL2025_26Results[[#This Row],[Winning Team]]="")),"-",IF(Table46[[#This Row],[Prob Winner]]=NHL2025_26Results[[#This Row],[Winning Team]],"YES","NO"))</f>
        <v>YES</v>
      </c>
      <c r="P255" t="str">
        <f>IF(Table46[[#This Row],[Locked Prediction]]&lt;&gt;Table46[[#This Row],[Prob Winner]], "Changed", "Same")</f>
        <v>Changed</v>
      </c>
      <c r="Q255">
        <f>IF(Table46[[#This Row],[Adjusted Predicted Correct]]="-", "",IF(Table46[[#This Row],[Adjusted Predicted Correct]]="YES",(Table46[[#This Row],[Strength of Win]]-1)^2,(Table46[[#This Row],[Strength of Win]]-0)^2))</f>
        <v>8.9740185444677212E-2</v>
      </c>
    </row>
    <row r="256" spans="4:17" x14ac:dyDescent="0.2">
      <c r="D256" s="1">
        <v>45971</v>
      </c>
      <c r="E256" s="2">
        <v>0.91666666666666663</v>
      </c>
      <c r="F256" t="s">
        <v>20</v>
      </c>
      <c r="G256">
        <f>VLOOKUP(Table46[[#This Row],[Home]],'NHL Model'!$A$6:$B$38,2,FALSE)</f>
        <v>-6.3745791019188943E-4</v>
      </c>
      <c r="H256" t="s">
        <v>11</v>
      </c>
      <c r="I256">
        <f>VLOOKUP(Table46[[#This Row],[Visitor]],'NHL Model'!$A$6:$B$38,2,FALSE)</f>
        <v>-0.28105923893144158</v>
      </c>
      <c r="J256">
        <f>($B$1+Table46[[#This Row],[Home Differential]])-Table46[[#This Row],[Away Differential]]</f>
        <v>0.4429940906835681</v>
      </c>
      <c r="K256" t="str">
        <f>IF(Table46[[#This Row],[HomeIce Differential]]&gt;0,Table46[[#This Row],[Home]],Table46[[#This Row],[Visitor]])</f>
        <v>Vegas Golden Knights</v>
      </c>
      <c r="L25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0.59888233431072901</v>
      </c>
      <c r="M256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256" t="str">
        <f>IF(OR((NHL2025_26Results[[#This Row],[Winning Team]]="")),"-",IF(Table46[[#This Row],[Predicted Winner]]=NHL2025_26Results[[#This Row],[Winning Team]],"YES","NO"))</f>
        <v>NO</v>
      </c>
      <c r="O256" t="str">
        <f>IF(OR((NHL2025_26Results[[#This Row],[Winning Team]]="")),"-",IF(Table46[[#This Row],[Prob Winner]]=NHL2025_26Results[[#This Row],[Winning Team]],"YES","NO"))</f>
        <v>NO</v>
      </c>
      <c r="P256" t="str">
        <f>IF(Table46[[#This Row],[Locked Prediction]]&lt;&gt;Table46[[#This Row],[Prob Winner]], "Changed", "Same")</f>
        <v>Changed</v>
      </c>
      <c r="Q256">
        <f>IF(Table46[[#This Row],[Adjusted Predicted Correct]]="-", "",IF(Table46[[#This Row],[Adjusted Predicted Correct]]="YES",(Table46[[#This Row],[Strength of Win]]-1)^2,(Table46[[#This Row],[Strength of Win]]-0)^2))</f>
        <v>0.3586600503494678</v>
      </c>
    </row>
    <row r="257" spans="4:17" x14ac:dyDescent="0.2">
      <c r="D257" s="1">
        <v>45972</v>
      </c>
      <c r="E257" s="2">
        <v>0.79166666666666663</v>
      </c>
      <c r="F257" t="s">
        <v>21</v>
      </c>
      <c r="G257">
        <f>VLOOKUP(Table46[[#This Row],[Home]],'NHL Model'!$A$6:$B$38,2,FALSE)</f>
        <v>4.029141914856392E-2</v>
      </c>
      <c r="H257" t="s">
        <v>19</v>
      </c>
      <c r="I257">
        <f>VLOOKUP(Table46[[#This Row],[Visitor]],'NHL Model'!$A$6:$B$38,2,FALSE)</f>
        <v>-0.635565543477981</v>
      </c>
      <c r="J257">
        <f>($B$1+Table46[[#This Row],[Home Differential]])-Table46[[#This Row],[Away Differential]]</f>
        <v>0.83842927228886333</v>
      </c>
      <c r="K257" t="str">
        <f>IF(Table46[[#This Row],[HomeIce Differential]]&gt;0,Table46[[#This Row],[Home]],Table46[[#This Row],[Visitor]])</f>
        <v>Boston Bruins</v>
      </c>
      <c r="L25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0.7240006129469827</v>
      </c>
      <c r="M257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257" t="str">
        <f>IF(OR((NHL2025_26Results[[#This Row],[Winning Team]]="")),"-",IF(Table46[[#This Row],[Predicted Winner]]=NHL2025_26Results[[#This Row],[Winning Team]],"YES","NO"))</f>
        <v>YES</v>
      </c>
      <c r="O257" t="str">
        <f>IF(OR((NHL2025_26Results[[#This Row],[Winning Team]]="")),"-",IF(Table46[[#This Row],[Prob Winner]]=NHL2025_26Results[[#This Row],[Winning Team]],"YES","NO"))</f>
        <v>YES</v>
      </c>
      <c r="P257" t="str">
        <f>IF(Table46[[#This Row],[Locked Prediction]]&lt;&gt;Table46[[#This Row],[Prob Winner]], "Changed", "Same")</f>
        <v>Changed</v>
      </c>
      <c r="Q257">
        <f>IF(Table46[[#This Row],[Adjusted Predicted Correct]]="-", "",IF(Table46[[#This Row],[Adjusted Predicted Correct]]="YES",(Table46[[#This Row],[Strength of Win]]-1)^2,(Table46[[#This Row],[Strength of Win]]-0)^2))</f>
        <v>7.6175661653641258E-2</v>
      </c>
    </row>
    <row r="258" spans="4:17" x14ac:dyDescent="0.2">
      <c r="D258" s="1">
        <v>45972</v>
      </c>
      <c r="E258" s="2">
        <v>0.79166666666666663</v>
      </c>
      <c r="F258" t="s">
        <v>25</v>
      </c>
      <c r="G258">
        <f>VLOOKUP(Table46[[#This Row],[Home]],'NHL Model'!$A$6:$B$38,2,FALSE)</f>
        <v>0.67193921242367816</v>
      </c>
      <c r="H258" t="s">
        <v>22</v>
      </c>
      <c r="I258">
        <f>VLOOKUP(Table46[[#This Row],[Visitor]],'NHL Model'!$A$6:$B$38,2,FALSE)</f>
        <v>-6.1308839486784707E-2</v>
      </c>
      <c r="J258">
        <f>($B$1+Table46[[#This Row],[Home Differential]])-Table46[[#This Row],[Away Differential]]</f>
        <v>0.89582036157278122</v>
      </c>
      <c r="K258" t="str">
        <f>IF(Table46[[#This Row],[HomeIce Differential]]&gt;0,Table46[[#This Row],[Home]],Table46[[#This Row],[Visitor]])</f>
        <v>Carolina Hurricanes</v>
      </c>
      <c r="L25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0.71078752857507843</v>
      </c>
      <c r="M258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258" t="str">
        <f>IF(OR((NHL2025_26Results[[#This Row],[Winning Team]]="")),"-",IF(Table46[[#This Row],[Predicted Winner]]=NHL2025_26Results[[#This Row],[Winning Team]],"YES","NO"))</f>
        <v>NO</v>
      </c>
      <c r="O258" t="str">
        <f>IF(OR((NHL2025_26Results[[#This Row],[Winning Team]]="")),"-",IF(Table46[[#This Row],[Prob Winner]]=NHL2025_26Results[[#This Row],[Winning Team]],"YES","NO"))</f>
        <v>NO</v>
      </c>
      <c r="P258" t="str">
        <f>IF(Table46[[#This Row],[Locked Prediction]]&lt;&gt;Table46[[#This Row],[Prob Winner]], "Changed", "Same")</f>
        <v>Changed</v>
      </c>
      <c r="Q258">
        <f>IF(Table46[[#This Row],[Adjusted Predicted Correct]]="-", "",IF(Table46[[#This Row],[Adjusted Predicted Correct]]="YES",(Table46[[#This Row],[Strength of Win]]-1)^2,(Table46[[#This Row],[Strength of Win]]-0)^2))</f>
        <v>0.50521891077786796</v>
      </c>
    </row>
    <row r="259" spans="4:17" x14ac:dyDescent="0.2">
      <c r="D259" s="1">
        <v>45972</v>
      </c>
      <c r="E259" s="2">
        <v>0.89583333333333337</v>
      </c>
      <c r="F259" t="s">
        <v>12</v>
      </c>
      <c r="G259">
        <f>VLOOKUP(Table46[[#This Row],[Home]],'NHL Model'!$A$6:$B$38,2,FALSE)</f>
        <v>1.5475013591489768</v>
      </c>
      <c r="H259" t="s">
        <v>31</v>
      </c>
      <c r="I259">
        <f>VLOOKUP(Table46[[#This Row],[Visitor]],'NHL Model'!$A$6:$B$38,2,FALSE)</f>
        <v>0.51775546328552802</v>
      </c>
      <c r="J259">
        <f>($B$1+Table46[[#This Row],[Home Differential]])-Table46[[#This Row],[Away Differential]]</f>
        <v>1.1923182055257673</v>
      </c>
      <c r="K259" t="str">
        <f>IF(Table46[[#This Row],[HomeIce Differential]]&gt;0,Table46[[#This Row],[Home]],Table46[[#This Row],[Visitor]])</f>
        <v>Colorado Avalanche</v>
      </c>
      <c r="L25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0.76717740319276673</v>
      </c>
      <c r="M259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259" t="str">
        <f>IF(OR((NHL2025_26Results[[#This Row],[Winning Team]]="")),"-",IF(Table46[[#This Row],[Predicted Winner]]=NHL2025_26Results[[#This Row],[Winning Team]],"YES","NO"))</f>
        <v>YES</v>
      </c>
      <c r="O259" t="str">
        <f>IF(OR((NHL2025_26Results[[#This Row],[Winning Team]]="")),"-",IF(Table46[[#This Row],[Prob Winner]]=NHL2025_26Results[[#This Row],[Winning Team]],"YES","NO"))</f>
        <v>YES</v>
      </c>
      <c r="P259" t="str">
        <f>IF(Table46[[#This Row],[Locked Prediction]]&lt;&gt;Table46[[#This Row],[Prob Winner]], "Changed", "Same")</f>
        <v>Changed</v>
      </c>
      <c r="Q259">
        <f>IF(Table46[[#This Row],[Adjusted Predicted Correct]]="-", "",IF(Table46[[#This Row],[Adjusted Predicted Correct]]="YES",(Table46[[#This Row],[Strength of Win]]-1)^2,(Table46[[#This Row],[Strength of Win]]-0)^2))</f>
        <v>5.4206361584063507E-2</v>
      </c>
    </row>
    <row r="260" spans="4:17" x14ac:dyDescent="0.2">
      <c r="D260" s="1">
        <v>45972</v>
      </c>
      <c r="E260" s="2">
        <v>0.83333333333333337</v>
      </c>
      <c r="F260" t="s">
        <v>34</v>
      </c>
      <c r="G260">
        <f>VLOOKUP(Table46[[#This Row],[Home]],'NHL Model'!$A$6:$B$38,2,FALSE)</f>
        <v>-0.53650300840565446</v>
      </c>
      <c r="H260" t="s">
        <v>33</v>
      </c>
      <c r="I260">
        <f>VLOOKUP(Table46[[#This Row],[Visitor]],'NHL Model'!$A$6:$B$38,2,FALSE)</f>
        <v>-0.39418177254008485</v>
      </c>
      <c r="J260">
        <f>($B$1+Table46[[#This Row],[Home Differential]])-Table46[[#This Row],[Away Differential]]</f>
        <v>2.0251073796748786E-2</v>
      </c>
      <c r="K260" t="str">
        <f>IF(Table46[[#This Row],[HomeIce Differential]]&gt;0,Table46[[#This Row],[Home]],Table46[[#This Row],[Visitor]])</f>
        <v>Minnesota Wild</v>
      </c>
      <c r="L26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0.54269175260467117</v>
      </c>
      <c r="M260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260" t="str">
        <f>IF(OR((NHL2025_26Results[[#This Row],[Winning Team]]="")),"-",IF(Table46[[#This Row],[Predicted Winner]]=NHL2025_26Results[[#This Row],[Winning Team]],"YES","NO"))</f>
        <v>NO</v>
      </c>
      <c r="O260" t="str">
        <f>IF(OR((NHL2025_26Results[[#This Row],[Winning Team]]="")),"-",IF(Table46[[#This Row],[Prob Winner]]=NHL2025_26Results[[#This Row],[Winning Team]],"YES","NO"))</f>
        <v>NO</v>
      </c>
      <c r="P260" t="str">
        <f>IF(Table46[[#This Row],[Locked Prediction]]&lt;&gt;Table46[[#This Row],[Prob Winner]], "Changed", "Same")</f>
        <v>Changed</v>
      </c>
      <c r="Q260">
        <f>IF(Table46[[#This Row],[Adjusted Predicted Correct]]="-", "",IF(Table46[[#This Row],[Adjusted Predicted Correct]]="YES",(Table46[[#This Row],[Strength of Win]]-1)^2,(Table46[[#This Row],[Strength of Win]]-0)^2))</f>
        <v>0.29451433834512963</v>
      </c>
    </row>
    <row r="261" spans="4:17" x14ac:dyDescent="0.2">
      <c r="D261" s="1">
        <v>45972</v>
      </c>
      <c r="E261" s="2">
        <v>0.79166666666666663</v>
      </c>
      <c r="F261" t="s">
        <v>18</v>
      </c>
      <c r="G261">
        <f>VLOOKUP(Table46[[#This Row],[Home]],'NHL Model'!$A$6:$B$38,2,FALSE)</f>
        <v>-0.52437726201848234</v>
      </c>
      <c r="H261" t="s">
        <v>13</v>
      </c>
      <c r="I261">
        <f>VLOOKUP(Table46[[#This Row],[Visitor]],'NHL Model'!$A$6:$B$38,2,FALSE)</f>
        <v>-7.5459708298993802E-2</v>
      </c>
      <c r="J261">
        <f>($B$1+Table46[[#This Row],[Home Differential]])-Table46[[#This Row],[Away Differential]]</f>
        <v>-0.28634524405717016</v>
      </c>
      <c r="K261" t="str">
        <f>IF(Table46[[#This Row],[HomeIce Differential]]&gt;0,Table46[[#This Row],[Home]],Table46[[#This Row],[Visitor]])</f>
        <v>Los Angeles Kings</v>
      </c>
      <c r="L26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0.61945607412328363</v>
      </c>
      <c r="M261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261" t="str">
        <f>IF(OR((NHL2025_26Results[[#This Row],[Winning Team]]="")),"-",IF(Table46[[#This Row],[Predicted Winner]]=NHL2025_26Results[[#This Row],[Winning Team]],"YES","NO"))</f>
        <v>YES</v>
      </c>
      <c r="O261" t="str">
        <f>IF(OR((NHL2025_26Results[[#This Row],[Winning Team]]="")),"-",IF(Table46[[#This Row],[Prob Winner]]=NHL2025_26Results[[#This Row],[Winning Team]],"YES","NO"))</f>
        <v>YES</v>
      </c>
      <c r="P261" t="str">
        <f>IF(Table46[[#This Row],[Locked Prediction]]&lt;&gt;Table46[[#This Row],[Prob Winner]], "Changed", "Same")</f>
        <v>Changed</v>
      </c>
      <c r="Q261">
        <f>IF(Table46[[#This Row],[Adjusted Predicted Correct]]="-", "",IF(Table46[[#This Row],[Adjusted Predicted Correct]]="YES",(Table46[[#This Row],[Strength of Win]]-1)^2,(Table46[[#This Row],[Strength of Win]]-0)^2))</f>
        <v>0.1448136795216638</v>
      </c>
    </row>
    <row r="262" spans="4:17" x14ac:dyDescent="0.2">
      <c r="D262" s="1">
        <v>45972</v>
      </c>
      <c r="E262" s="2">
        <v>0.79166666666666663</v>
      </c>
      <c r="F262" t="s">
        <v>36</v>
      </c>
      <c r="G262">
        <f>VLOOKUP(Table46[[#This Row],[Home]],'NHL Model'!$A$6:$B$38,2,FALSE)</f>
        <v>-0.40651947573390851</v>
      </c>
      <c r="H262" t="s">
        <v>39</v>
      </c>
      <c r="I262">
        <f>VLOOKUP(Table46[[#This Row],[Visitor]],'NHL Model'!$A$6:$B$38,2,FALSE)</f>
        <v>0.19809534061227302</v>
      </c>
      <c r="J262">
        <f>($B$1+Table46[[#This Row],[Home Differential]])-Table46[[#This Row],[Away Differential]]</f>
        <v>-0.44204250668386313</v>
      </c>
      <c r="K262" t="str">
        <f>IF(Table46[[#This Row],[HomeIce Differential]]&gt;0,Table46[[#This Row],[Home]],Table46[[#This Row],[Visitor]])</f>
        <v>Dallas Stars</v>
      </c>
      <c r="L26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0.60875585071111959</v>
      </c>
      <c r="M262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262" t="str">
        <f>IF(OR((NHL2025_26Results[[#This Row],[Winning Team]]="")),"-",IF(Table46[[#This Row],[Predicted Winner]]=NHL2025_26Results[[#This Row],[Winning Team]],"YES","NO"))</f>
        <v>YES</v>
      </c>
      <c r="O262" t="str">
        <f>IF(OR((NHL2025_26Results[[#This Row],[Winning Team]]="")),"-",IF(Table46[[#This Row],[Prob Winner]]=NHL2025_26Results[[#This Row],[Winning Team]],"YES","NO"))</f>
        <v>YES</v>
      </c>
      <c r="P262" t="str">
        <f>IF(Table46[[#This Row],[Locked Prediction]]&lt;&gt;Table46[[#This Row],[Prob Winner]], "Changed", "Same")</f>
        <v>Changed</v>
      </c>
      <c r="Q262">
        <f>IF(Table46[[#This Row],[Adjusted Predicted Correct]]="-", "",IF(Table46[[#This Row],[Adjusted Predicted Correct]]="YES",(Table46[[#This Row],[Strength of Win]]-1)^2,(Table46[[#This Row],[Strength of Win]]-0)^2))</f>
        <v>0.15307198435277974</v>
      </c>
    </row>
    <row r="263" spans="4:17" x14ac:dyDescent="0.2">
      <c r="D263" s="1">
        <v>45972</v>
      </c>
      <c r="E263" s="2">
        <v>0.91666666666666663</v>
      </c>
      <c r="F263" t="s">
        <v>32</v>
      </c>
      <c r="G263">
        <f>VLOOKUP(Table46[[#This Row],[Home]],'NHL Model'!$A$6:$B$38,2,FALSE)</f>
        <v>-0.361361309178443</v>
      </c>
      <c r="H263" t="s">
        <v>28</v>
      </c>
      <c r="I263">
        <f>VLOOKUP(Table46[[#This Row],[Visitor]],'NHL Model'!$A$6:$B$38,2,FALSE)</f>
        <v>-0.40822279081308277</v>
      </c>
      <c r="J263">
        <f>($B$1+Table46[[#This Row],[Home Differential]])-Table46[[#This Row],[Away Differential]]</f>
        <v>0.20943379129695816</v>
      </c>
      <c r="K263" t="str">
        <f>IF(Table46[[#This Row],[HomeIce Differential]]&gt;0,Table46[[#This Row],[Home]],Table46[[#This Row],[Visitor]])</f>
        <v>Seattle Kraken</v>
      </c>
      <c r="L26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0.57329227687006368</v>
      </c>
      <c r="M263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263" t="str">
        <f>IF(OR((NHL2025_26Results[[#This Row],[Winning Team]]="")),"-",IF(Table46[[#This Row],[Predicted Winner]]=NHL2025_26Results[[#This Row],[Winning Team]],"YES","NO"))</f>
        <v>NO</v>
      </c>
      <c r="O263" t="str">
        <f>IF(OR((NHL2025_26Results[[#This Row],[Winning Team]]="")),"-",IF(Table46[[#This Row],[Prob Winner]]=NHL2025_26Results[[#This Row],[Winning Team]],"YES","NO"))</f>
        <v>NO</v>
      </c>
      <c r="P263" t="str">
        <f>IF(Table46[[#This Row],[Locked Prediction]]&lt;&gt;Table46[[#This Row],[Prob Winner]], "Changed", "Same")</f>
        <v>Changed</v>
      </c>
      <c r="Q263">
        <f>IF(Table46[[#This Row],[Adjusted Predicted Correct]]="-", "",IF(Table46[[#This Row],[Adjusted Predicted Correct]]="YES",(Table46[[#This Row],[Strength of Win]]-1)^2,(Table46[[#This Row],[Strength of Win]]-0)^2))</f>
        <v>0.32866403471886174</v>
      </c>
    </row>
    <row r="264" spans="4:17" x14ac:dyDescent="0.2">
      <c r="D264" s="1">
        <v>45972</v>
      </c>
      <c r="E264" s="2">
        <v>0.83333333333333337</v>
      </c>
      <c r="F264" t="s">
        <v>35</v>
      </c>
      <c r="G264">
        <f>VLOOKUP(Table46[[#This Row],[Home]],'NHL Model'!$A$6:$B$38,2,FALSE)</f>
        <v>-1.6211574240381006</v>
      </c>
      <c r="H264" t="s">
        <v>16</v>
      </c>
      <c r="I264">
        <f>VLOOKUP(Table46[[#This Row],[Visitor]],'NHL Model'!$A$6:$B$38,2,FALSE)</f>
        <v>-1.3903684122795328</v>
      </c>
      <c r="J264">
        <f>($B$1+Table46[[#This Row],[Home Differential]])-Table46[[#This Row],[Away Differential]]</f>
        <v>-6.8216702096249415E-2</v>
      </c>
      <c r="K264" t="str">
        <f>IF(Table46[[#This Row],[HomeIce Differential]]&gt;0,Table46[[#This Row],[Home]],Table46[[#This Row],[Visitor]])</f>
        <v>Calgary Flames</v>
      </c>
      <c r="L26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0.46906729625266258</v>
      </c>
      <c r="M264" s="11" t="str">
        <f>IF(Table46[[#This Row],[Strength of Win]]&gt; 0.5,Table46[[#This Row],[Predicted Winner]], IF(Table46[[#This Row],[Home]]=Table46[[#This Row],[Predicted Winner]],Table46[[#This Row],[Visitor]],Table46[[#This Row],[Home]]))</f>
        <v>St. Louis Blues</v>
      </c>
      <c r="N264" t="str">
        <f>IF(OR((NHL2025_26Results[[#This Row],[Winning Team]]="")),"-",IF(Table46[[#This Row],[Predicted Winner]]=NHL2025_26Results[[#This Row],[Winning Team]],"YES","NO"))</f>
        <v>NO</v>
      </c>
      <c r="O264" t="str">
        <f>IF(OR((NHL2025_26Results[[#This Row],[Winning Team]]="")),"-",IF(Table46[[#This Row],[Prob Winner]]=NHL2025_26Results[[#This Row],[Winning Team]],"YES","NO"))</f>
        <v>YES</v>
      </c>
      <c r="P264" t="str">
        <f>IF(Table46[[#This Row],[Locked Prediction]]&lt;&gt;Table46[[#This Row],[Prob Winner]], "Changed", "Same")</f>
        <v>Changed</v>
      </c>
      <c r="Q264">
        <f>IF(Table46[[#This Row],[Adjusted Predicted Correct]]="-", "",IF(Table46[[#This Row],[Adjusted Predicted Correct]]="YES",(Table46[[#This Row],[Strength of Win]]-1)^2,(Table46[[#This Row],[Strength of Win]]-0)^2))</f>
        <v>0.22002412841378313</v>
      </c>
    </row>
    <row r="265" spans="4:17" x14ac:dyDescent="0.2">
      <c r="D265" s="1">
        <v>45972</v>
      </c>
      <c r="E265" s="2">
        <v>0.91666666666666663</v>
      </c>
      <c r="F265" t="s">
        <v>38</v>
      </c>
      <c r="G265">
        <f>VLOOKUP(Table46[[#This Row],[Home]],'NHL Model'!$A$6:$B$38,2,FALSE)</f>
        <v>-0.6902088310934803</v>
      </c>
      <c r="H265" t="s">
        <v>40</v>
      </c>
      <c r="I265">
        <f>VLOOKUP(Table46[[#This Row],[Visitor]],'NHL Model'!$A$6:$B$38,2,FALSE)</f>
        <v>0.105105258369765</v>
      </c>
      <c r="J265">
        <f>($B$1+Table46[[#This Row],[Home Differential]])-Table46[[#This Row],[Away Differential]]</f>
        <v>-0.63274177980092694</v>
      </c>
      <c r="K265" t="str">
        <f>IF(Table46[[#This Row],[HomeIce Differential]]&gt;0,Table46[[#This Row],[Home]],Table46[[#This Row],[Visitor]])</f>
        <v>Winnipeg Jets</v>
      </c>
      <c r="L26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0.6104191980611744</v>
      </c>
      <c r="M265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265" t="str">
        <f>IF(OR((NHL2025_26Results[[#This Row],[Winning Team]]="")),"-",IF(Table46[[#This Row],[Predicted Winner]]=NHL2025_26Results[[#This Row],[Winning Team]],"YES","NO"))</f>
        <v>YES</v>
      </c>
      <c r="O265" t="str">
        <f>IF(OR((NHL2025_26Results[[#This Row],[Winning Team]]="")),"-",IF(Table46[[#This Row],[Prob Winner]]=NHL2025_26Results[[#This Row],[Winning Team]],"YES","NO"))</f>
        <v>YES</v>
      </c>
      <c r="P265" t="str">
        <f>IF(Table46[[#This Row],[Locked Prediction]]&lt;&gt;Table46[[#This Row],[Prob Winner]], "Changed", "Same")</f>
        <v>Changed</v>
      </c>
      <c r="Q265">
        <f>IF(Table46[[#This Row],[Adjusted Predicted Correct]]="-", "",IF(Table46[[#This Row],[Adjusted Predicted Correct]]="YES",(Table46[[#This Row],[Strength of Win]]-1)^2,(Table46[[#This Row],[Strength of Win]]-0)^2))</f>
        <v>0.15177320123929847</v>
      </c>
    </row>
    <row r="266" spans="4:17" x14ac:dyDescent="0.2">
      <c r="D266" s="1">
        <v>45973</v>
      </c>
      <c r="E266" s="2">
        <v>0.89583333333333337</v>
      </c>
      <c r="F266" t="s">
        <v>10</v>
      </c>
      <c r="G266">
        <f>VLOOKUP(Table46[[#This Row],[Home]],'NHL Model'!$A$6:$B$38,2,FALSE)</f>
        <v>0.30570968833820172</v>
      </c>
      <c r="H266" t="s">
        <v>24</v>
      </c>
      <c r="I266">
        <f>VLOOKUP(Table46[[#This Row],[Visitor]],'NHL Model'!$A$6:$B$38,2,FALSE)</f>
        <v>0.559441163373953</v>
      </c>
      <c r="J266">
        <f>($B$1+Table46[[#This Row],[Home Differential]])-Table46[[#This Row],[Away Differential]]</f>
        <v>-9.1159165373432882E-2</v>
      </c>
      <c r="K266" t="str">
        <f>IF(Table46[[#This Row],[HomeIce Differential]]&gt;0,Table46[[#This Row],[Home]],Table46[[#This Row],[Visitor]])</f>
        <v>New Jersey Devils</v>
      </c>
      <c r="L26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0.5384325751462038</v>
      </c>
      <c r="M266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266" t="str">
        <f>IF(OR((NHL2025_26Results[[#This Row],[Winning Team]]="")),"-",IF(Table46[[#This Row],[Predicted Winner]]=NHL2025_26Results[[#This Row],[Winning Team]],"YES","NO"))</f>
        <v>YES</v>
      </c>
      <c r="O266" t="str">
        <f>IF(OR((NHL2025_26Results[[#This Row],[Winning Team]]="")),"-",IF(Table46[[#This Row],[Prob Winner]]=NHL2025_26Results[[#This Row],[Winning Team]],"YES","NO"))</f>
        <v>YES</v>
      </c>
      <c r="P266" t="str">
        <f>IF(Table46[[#This Row],[Locked Prediction]]&lt;&gt;Table46[[#This Row],[Prob Winner]], "Changed", "Same")</f>
        <v>Changed</v>
      </c>
      <c r="Q266">
        <f>IF(Table46[[#This Row],[Adjusted Predicted Correct]]="-", "",IF(Table46[[#This Row],[Adjusted Predicted Correct]]="YES",(Table46[[#This Row],[Strength of Win]]-1)^2,(Table46[[#This Row],[Strength of Win]]-0)^2))</f>
        <v>0.2130444876861648</v>
      </c>
    </row>
    <row r="267" spans="4:17" x14ac:dyDescent="0.2">
      <c r="D267" s="1">
        <v>45973</v>
      </c>
      <c r="E267" s="2">
        <v>0.8125</v>
      </c>
      <c r="F267" t="s">
        <v>27</v>
      </c>
      <c r="G267">
        <f>VLOOKUP(Table46[[#This Row],[Home]],'NHL Model'!$A$6:$B$38,2,FALSE)</f>
        <v>-0.51358590497437617</v>
      </c>
      <c r="H267" t="s">
        <v>17</v>
      </c>
      <c r="I267">
        <f>VLOOKUP(Table46[[#This Row],[Visitor]],'NHL Model'!$A$6:$B$38,2,FALSE)</f>
        <v>-0.61980804137564283</v>
      </c>
      <c r="J267">
        <f>($B$1+Table46[[#This Row],[Home Differential]])-Table46[[#This Row],[Away Differential]]</f>
        <v>0.26879444606358505</v>
      </c>
      <c r="K267" t="str">
        <f>IF(Table46[[#This Row],[HomeIce Differential]]&gt;0,Table46[[#This Row],[Home]],Table46[[#This Row],[Visitor]])</f>
        <v>Philadelphia Flyers</v>
      </c>
      <c r="L26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0.57822336986211553</v>
      </c>
      <c r="M267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267" t="str">
        <f>IF(OR((NHL2025_26Results[[#This Row],[Winning Team]]="")),"-",IF(Table46[[#This Row],[Predicted Winner]]=NHL2025_26Results[[#This Row],[Winning Team]],"YES","NO"))</f>
        <v>NO</v>
      </c>
      <c r="O267" t="str">
        <f>IF(OR((NHL2025_26Results[[#This Row],[Winning Team]]="")),"-",IF(Table46[[#This Row],[Prob Winner]]=NHL2025_26Results[[#This Row],[Winning Team]],"YES","NO"))</f>
        <v>NO</v>
      </c>
      <c r="P267" t="str">
        <f>IF(Table46[[#This Row],[Locked Prediction]]&lt;&gt;Table46[[#This Row],[Prob Winner]], "Changed", "Same")</f>
        <v>Changed</v>
      </c>
      <c r="Q267">
        <f>IF(Table46[[#This Row],[Adjusted Predicted Correct]]="-", "",IF(Table46[[#This Row],[Adjusted Predicted Correct]]="YES",(Table46[[#This Row],[Strength of Win]]-1)^2,(Table46[[#This Row],[Strength of Win]]-0)^2))</f>
        <v>0.33434226545470086</v>
      </c>
    </row>
    <row r="268" spans="4:17" x14ac:dyDescent="0.2">
      <c r="D268" s="1">
        <v>45973</v>
      </c>
      <c r="E268" s="2">
        <v>0.79166666666666663</v>
      </c>
      <c r="F268" t="s">
        <v>37</v>
      </c>
      <c r="G268">
        <f>VLOOKUP(Table46[[#This Row],[Home]],'NHL Model'!$A$6:$B$38,2,FALSE)</f>
        <v>-0.11309445867623392</v>
      </c>
      <c r="H268" t="s">
        <v>15</v>
      </c>
      <c r="I268">
        <f>VLOOKUP(Table46[[#This Row],[Visitor]],'NHL Model'!$A$6:$B$38,2,FALSE)</f>
        <v>-0.30719665303039001</v>
      </c>
      <c r="J268">
        <f>($B$1+Table46[[#This Row],[Home Differential]])-Table46[[#This Row],[Away Differential]]</f>
        <v>0.35667450401647449</v>
      </c>
      <c r="K268" t="str">
        <f>IF(Table46[[#This Row],[HomeIce Differential]]&gt;0,Table46[[#This Row],[Home]],Table46[[#This Row],[Visitor]])</f>
        <v>Tampa Bay Lightning</v>
      </c>
      <c r="L26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0.44499918207633449</v>
      </c>
      <c r="M268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268" t="str">
        <f>IF(OR((NHL2025_26Results[[#This Row],[Winning Team]]="")),"-",IF(Table46[[#This Row],[Predicted Winner]]=NHL2025_26Results[[#This Row],[Winning Team]],"YES","NO"))</f>
        <v>NO</v>
      </c>
      <c r="O268" t="str">
        <f>IF(OR((NHL2025_26Results[[#This Row],[Winning Team]]="")),"-",IF(Table46[[#This Row],[Prob Winner]]=NHL2025_26Results[[#This Row],[Winning Team]],"YES","NO"))</f>
        <v>YES</v>
      </c>
      <c r="P268" t="str">
        <f>IF(Table46[[#This Row],[Locked Prediction]]&lt;&gt;Table46[[#This Row],[Prob Winner]], "Changed", "Same")</f>
        <v>Changed</v>
      </c>
      <c r="Q268">
        <f>IF(Table46[[#This Row],[Adjusted Predicted Correct]]="-", "",IF(Table46[[#This Row],[Adjusted Predicted Correct]]="YES",(Table46[[#This Row],[Strength of Win]]-1)^2,(Table46[[#This Row],[Strength of Win]]-0)^2))</f>
        <v>0.1980242720486067</v>
      </c>
    </row>
    <row r="269" spans="4:17" x14ac:dyDescent="0.2">
      <c r="D269" s="1">
        <v>45973</v>
      </c>
      <c r="E269" s="2">
        <v>0.875</v>
      </c>
      <c r="F269" t="s">
        <v>55</v>
      </c>
      <c r="G269">
        <f>VLOOKUP(Table46[[#This Row],[Home]],'NHL Model'!$A$6:$B$38,2,FALSE)</f>
        <v>-0.12212311954851815</v>
      </c>
      <c r="H269" t="s">
        <v>23</v>
      </c>
      <c r="I269">
        <f>VLOOKUP(Table46[[#This Row],[Visitor]],'NHL Model'!$A$6:$B$38,2,FALSE)</f>
        <v>-0.8683412362501769</v>
      </c>
      <c r="J269">
        <f>($B$1+Table46[[#This Row],[Home Differential]])-Table46[[#This Row],[Away Differential]]</f>
        <v>0.90879042636397711</v>
      </c>
      <c r="K269" t="str">
        <f>IF(Table46[[#This Row],[HomeIce Differential]]&gt;0,Table46[[#This Row],[Home]],Table46[[#This Row],[Visitor]])</f>
        <v>Utah Mammoth</v>
      </c>
      <c r="L26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0.72906802644955804</v>
      </c>
      <c r="M269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269" t="str">
        <f>IF(OR((NHL2025_26Results[[#This Row],[Winning Team]]="")),"-",IF(Table46[[#This Row],[Predicted Winner]]=NHL2025_26Results[[#This Row],[Winning Team]],"YES","NO"))</f>
        <v>YES</v>
      </c>
      <c r="O269" t="str">
        <f>IF(OR((NHL2025_26Results[[#This Row],[Winning Team]]="")),"-",IF(Table46[[#This Row],[Prob Winner]]=NHL2025_26Results[[#This Row],[Winning Team]],"YES","NO"))</f>
        <v>YES</v>
      </c>
      <c r="P269" t="str">
        <f>IF(Table46[[#This Row],[Locked Prediction]]&lt;&gt;Table46[[#This Row],[Prob Winner]], "Changed", "Same")</f>
        <v>Changed</v>
      </c>
      <c r="Q269">
        <f>IF(Table46[[#This Row],[Adjusted Predicted Correct]]="-", "",IF(Table46[[#This Row],[Adjusted Predicted Correct]]="YES",(Table46[[#This Row],[Strength of Win]]-1)^2,(Table46[[#This Row],[Strength of Win]]-0)^2))</f>
        <v>7.3404134291937387E-2</v>
      </c>
    </row>
    <row r="270" spans="4:17" x14ac:dyDescent="0.2">
      <c r="D270" s="1">
        <v>45974</v>
      </c>
      <c r="E270" s="2">
        <v>0.8125</v>
      </c>
      <c r="F270" t="s">
        <v>28</v>
      </c>
      <c r="G270">
        <f>VLOOKUP(Table46[[#This Row],[Home]],'NHL Model'!$A$6:$B$38,2,FALSE)</f>
        <v>-0.40822279081308277</v>
      </c>
      <c r="H270" t="s">
        <v>17</v>
      </c>
      <c r="I270">
        <f>VLOOKUP(Table46[[#This Row],[Visitor]],'NHL Model'!$A$6:$B$38,2,FALSE)</f>
        <v>-0.61980804137564283</v>
      </c>
      <c r="J270">
        <f>($B$1+Table46[[#This Row],[Home Differential]])-Table46[[#This Row],[Away Differential]]</f>
        <v>0.37415756022487845</v>
      </c>
      <c r="K270" t="str">
        <f>IF(Table46[[#This Row],[HomeIce Differential]]&gt;0,Table46[[#This Row],[Home]],Table46[[#This Row],[Visitor]])</f>
        <v>Columbus Blue Jackets</v>
      </c>
      <c r="L27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0.58973265108808193</v>
      </c>
      <c r="M270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270" t="str">
        <f>IF(OR((NHL2025_26Results[[#This Row],[Winning Team]]="")),"-",IF(Table46[[#This Row],[Predicted Winner]]=NHL2025_26Results[[#This Row],[Winning Team]],"YES","NO"))</f>
        <v>YES</v>
      </c>
      <c r="O270" t="str">
        <f>IF(OR((NHL2025_26Results[[#This Row],[Winning Team]]="")),"-",IF(Table46[[#This Row],[Prob Winner]]=NHL2025_26Results[[#This Row],[Winning Team]],"YES","NO"))</f>
        <v>YES</v>
      </c>
      <c r="P270" t="str">
        <f>IF(Table46[[#This Row],[Locked Prediction]]&lt;&gt;Table46[[#This Row],[Prob Winner]], "Changed", "Same")</f>
        <v>Changed</v>
      </c>
      <c r="Q270">
        <f>IF(Table46[[#This Row],[Adjusted Predicted Correct]]="-", "",IF(Table46[[#This Row],[Adjusted Predicted Correct]]="YES",(Table46[[#This Row],[Strength of Win]]-1)^2,(Table46[[#This Row],[Strength of Win]]-0)^2))</f>
        <v>0.16831929758321351</v>
      </c>
    </row>
    <row r="271" spans="4:17" x14ac:dyDescent="0.2">
      <c r="D271" s="1">
        <v>45974</v>
      </c>
      <c r="E271" s="2">
        <v>0.875</v>
      </c>
      <c r="F271" t="s">
        <v>16</v>
      </c>
      <c r="G271">
        <f>VLOOKUP(Table46[[#This Row],[Home]],'NHL Model'!$A$6:$B$38,2,FALSE)</f>
        <v>-1.3903684122795328</v>
      </c>
      <c r="H271" t="s">
        <v>33</v>
      </c>
      <c r="I271">
        <f>VLOOKUP(Table46[[#This Row],[Visitor]],'NHL Model'!$A$6:$B$38,2,FALSE)</f>
        <v>-0.39418177254008485</v>
      </c>
      <c r="J271">
        <f>($B$1+Table46[[#This Row],[Home Differential]])-Table46[[#This Row],[Away Differential]]</f>
        <v>-0.83361433007712948</v>
      </c>
      <c r="K271" t="str">
        <f>IF(Table46[[#This Row],[HomeIce Differential]]&gt;0,Table46[[#This Row],[Home]],Table46[[#This Row],[Visitor]])</f>
        <v>San Jose Sharks</v>
      </c>
      <c r="L27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0.57080318835421573</v>
      </c>
      <c r="M271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271" t="str">
        <f>IF(OR((NHL2025_26Results[[#This Row],[Winning Team]]="")),"-",IF(Table46[[#This Row],[Predicted Winner]]=NHL2025_26Results[[#This Row],[Winning Team]],"YES","NO"))</f>
        <v>NO</v>
      </c>
      <c r="O271" t="str">
        <f>IF(OR((NHL2025_26Results[[#This Row],[Winning Team]]="")),"-",IF(Table46[[#This Row],[Prob Winner]]=NHL2025_26Results[[#This Row],[Winning Team]],"YES","NO"))</f>
        <v>NO</v>
      </c>
      <c r="P271" t="str">
        <f>IF(Table46[[#This Row],[Locked Prediction]]&lt;&gt;Table46[[#This Row],[Prob Winner]], "Changed", "Same")</f>
        <v>Changed</v>
      </c>
      <c r="Q271">
        <f>IF(Table46[[#This Row],[Adjusted Predicted Correct]]="-", "",IF(Table46[[#This Row],[Adjusted Predicted Correct]]="YES",(Table46[[#This Row],[Strength of Win]]-1)^2,(Table46[[#This Row],[Strength of Win]]-0)^2))</f>
        <v>0.32581627983533828</v>
      </c>
    </row>
    <row r="272" spans="4:17" x14ac:dyDescent="0.2">
      <c r="D272" s="1">
        <v>45974</v>
      </c>
      <c r="E272" s="2">
        <v>0.875</v>
      </c>
      <c r="F272" t="s">
        <v>12</v>
      </c>
      <c r="G272">
        <f>VLOOKUP(Table46[[#This Row],[Home]],'NHL Model'!$A$6:$B$38,2,FALSE)</f>
        <v>1.5475013591489768</v>
      </c>
      <c r="H272" t="s">
        <v>23</v>
      </c>
      <c r="I272">
        <f>VLOOKUP(Table46[[#This Row],[Visitor]],'NHL Model'!$A$6:$B$38,2,FALSE)</f>
        <v>-0.8683412362501769</v>
      </c>
      <c r="J272">
        <f>($B$1+Table46[[#This Row],[Home Differential]])-Table46[[#This Row],[Away Differential]]</f>
        <v>2.578414905061472</v>
      </c>
      <c r="K272" t="str">
        <f>IF(Table46[[#This Row],[HomeIce Differential]]&gt;0,Table46[[#This Row],[Home]],Table46[[#This Row],[Visitor]])</f>
        <v>Colorado Avalanche</v>
      </c>
      <c r="L27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0.97108659465103475</v>
      </c>
      <c r="M272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272" t="str">
        <f>IF(OR((NHL2025_26Results[[#This Row],[Winning Team]]="")),"-",IF(Table46[[#This Row],[Predicted Winner]]=NHL2025_26Results[[#This Row],[Winning Team]],"YES","NO"))</f>
        <v>YES</v>
      </c>
      <c r="O272" t="str">
        <f>IF(OR((NHL2025_26Results[[#This Row],[Winning Team]]="")),"-",IF(Table46[[#This Row],[Prob Winner]]=NHL2025_26Results[[#This Row],[Winning Team]],"YES","NO"))</f>
        <v>YES</v>
      </c>
      <c r="P272" t="str">
        <f>IF(Table46[[#This Row],[Locked Prediction]]&lt;&gt;Table46[[#This Row],[Prob Winner]], "Changed", "Same")</f>
        <v>Changed</v>
      </c>
      <c r="Q272">
        <f>IF(Table46[[#This Row],[Adjusted Predicted Correct]]="-", "",IF(Table46[[#This Row],[Adjusted Predicted Correct]]="YES",(Table46[[#This Row],[Strength of Win]]-1)^2,(Table46[[#This Row],[Strength of Win]]-0)^2))</f>
        <v>8.3598500887357226E-4</v>
      </c>
    </row>
    <row r="273" spans="4:17" x14ac:dyDescent="0.2">
      <c r="D273" s="1">
        <v>45974</v>
      </c>
      <c r="E273" s="2">
        <v>0.79166666666666663</v>
      </c>
      <c r="F273" t="s">
        <v>26</v>
      </c>
      <c r="G273">
        <f>VLOOKUP(Table46[[#This Row],[Home]],'NHL Model'!$A$6:$B$38,2,FALSE)</f>
        <v>-0.513643833119658</v>
      </c>
      <c r="H273" t="s">
        <v>31</v>
      </c>
      <c r="I273">
        <f>VLOOKUP(Table46[[#This Row],[Visitor]],'NHL Model'!$A$6:$B$38,2,FALSE)</f>
        <v>0.51775546328552802</v>
      </c>
      <c r="J273">
        <f>($B$1+Table46[[#This Row],[Home Differential]])-Table46[[#This Row],[Away Differential]]</f>
        <v>-0.86882698674286762</v>
      </c>
      <c r="K273" t="str">
        <f>IF(Table46[[#This Row],[HomeIce Differential]]&gt;0,Table46[[#This Row],[Home]],Table46[[#This Row],[Visitor]])</f>
        <v>Anaheim Ducks</v>
      </c>
      <c r="L27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0.57002907423129712</v>
      </c>
      <c r="M273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273" t="str">
        <f>IF(OR((NHL2025_26Results[[#This Row],[Winning Team]]="")),"-",IF(Table46[[#This Row],[Predicted Winner]]=NHL2025_26Results[[#This Row],[Winning Team]],"YES","NO"))</f>
        <v>NO</v>
      </c>
      <c r="O273" t="str">
        <f>IF(OR((NHL2025_26Results[[#This Row],[Winning Team]]="")),"-",IF(Table46[[#This Row],[Prob Winner]]=NHL2025_26Results[[#This Row],[Winning Team]],"YES","NO"))</f>
        <v>NO</v>
      </c>
      <c r="P273" t="str">
        <f>IF(Table46[[#This Row],[Locked Prediction]]&lt;&gt;Table46[[#This Row],[Prob Winner]], "Changed", "Same")</f>
        <v>Changed</v>
      </c>
      <c r="Q273">
        <f>IF(Table46[[#This Row],[Adjusted Predicted Correct]]="-", "",IF(Table46[[#This Row],[Adjusted Predicted Correct]]="YES",(Table46[[#This Row],[Strength of Win]]-1)^2,(Table46[[#This Row],[Strength of Win]]-0)^2))</f>
        <v>0.32493314546898966</v>
      </c>
    </row>
    <row r="274" spans="4:17" x14ac:dyDescent="0.2">
      <c r="D274" s="1">
        <v>45974</v>
      </c>
      <c r="E274" s="2">
        <v>0.79166666666666663</v>
      </c>
      <c r="F274" t="s">
        <v>11</v>
      </c>
      <c r="G274">
        <f>VLOOKUP(Table46[[#This Row],[Home]],'NHL Model'!$A$6:$B$38,2,FALSE)</f>
        <v>-0.28105923893144158</v>
      </c>
      <c r="H274" t="s">
        <v>22</v>
      </c>
      <c r="I274">
        <f>VLOOKUP(Table46[[#This Row],[Visitor]],'NHL Model'!$A$6:$B$38,2,FALSE)</f>
        <v>-6.1308839486784707E-2</v>
      </c>
      <c r="J274">
        <f>($B$1+Table46[[#This Row],[Home Differential]])-Table46[[#This Row],[Away Differential]]</f>
        <v>-5.717808978233848E-2</v>
      </c>
      <c r="K274" t="str">
        <f>IF(Table46[[#This Row],[HomeIce Differential]]&gt;0,Table46[[#This Row],[Home]],Table46[[#This Row],[Visitor]])</f>
        <v>Washington Capitals</v>
      </c>
      <c r="L27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0.41588407854209658</v>
      </c>
      <c r="M274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274" t="str">
        <f>IF(OR((NHL2025_26Results[[#This Row],[Winning Team]]="")),"-",IF(Table46[[#This Row],[Predicted Winner]]=NHL2025_26Results[[#This Row],[Winning Team]],"YES","NO"))</f>
        <v>NO</v>
      </c>
      <c r="O274" t="str">
        <f>IF(OR((NHL2025_26Results[[#This Row],[Winning Team]]="")),"-",IF(Table46[[#This Row],[Prob Winner]]=NHL2025_26Results[[#This Row],[Winning Team]],"YES","NO"))</f>
        <v>YES</v>
      </c>
      <c r="P274" t="str">
        <f>IF(Table46[[#This Row],[Locked Prediction]]&lt;&gt;Table46[[#This Row],[Prob Winner]], "Changed", "Same")</f>
        <v>Changed</v>
      </c>
      <c r="Q274">
        <f>IF(Table46[[#This Row],[Adjusted Predicted Correct]]="-", "",IF(Table46[[#This Row],[Adjusted Predicted Correct]]="YES",(Table46[[#This Row],[Strength of Win]]-1)^2,(Table46[[#This Row],[Strength of Win]]-0)^2))</f>
        <v>0.17295956678480875</v>
      </c>
    </row>
    <row r="275" spans="4:17" x14ac:dyDescent="0.2">
      <c r="D275" s="1">
        <v>45974</v>
      </c>
      <c r="E275" s="2">
        <v>0.79166666666666663</v>
      </c>
      <c r="F275" t="s">
        <v>18</v>
      </c>
      <c r="G275">
        <f>VLOOKUP(Table46[[#This Row],[Home]],'NHL Model'!$A$6:$B$38,2,FALSE)</f>
        <v>-0.52437726201848234</v>
      </c>
      <c r="H275" t="s">
        <v>39</v>
      </c>
      <c r="I275">
        <f>VLOOKUP(Table46[[#This Row],[Visitor]],'NHL Model'!$A$6:$B$38,2,FALSE)</f>
        <v>0.19809534061227302</v>
      </c>
      <c r="J275">
        <f>($B$1+Table46[[#This Row],[Home Differential]])-Table46[[#This Row],[Away Differential]]</f>
        <v>-0.55990029296843691</v>
      </c>
      <c r="K275" t="str">
        <f>IF(Table46[[#This Row],[HomeIce Differential]]&gt;0,Table46[[#This Row],[Home]],Table46[[#This Row],[Visitor]])</f>
        <v>Dallas Stars</v>
      </c>
      <c r="L27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0.62690757838884481</v>
      </c>
      <c r="M275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275" t="str">
        <f>IF(OR((NHL2025_26Results[[#This Row],[Winning Team]]="")),"-",IF(Table46[[#This Row],[Predicted Winner]]=NHL2025_26Results[[#This Row],[Winning Team]],"YES","NO"))</f>
        <v>YES</v>
      </c>
      <c r="O275" t="str">
        <f>IF(OR((NHL2025_26Results[[#This Row],[Winning Team]]="")),"-",IF(Table46[[#This Row],[Prob Winner]]=NHL2025_26Results[[#This Row],[Winning Team]],"YES","NO"))</f>
        <v>YES</v>
      </c>
      <c r="P275" t="str">
        <f>IF(Table46[[#This Row],[Locked Prediction]]&lt;&gt;Table46[[#This Row],[Prob Winner]], "Changed", "Same")</f>
        <v>Changed</v>
      </c>
      <c r="Q275">
        <f>IF(Table46[[#This Row],[Adjusted Predicted Correct]]="-", "",IF(Table46[[#This Row],[Adjusted Predicted Correct]]="YES",(Table46[[#This Row],[Strength of Win]]-1)^2,(Table46[[#This Row],[Strength of Win]]-0)^2))</f>
        <v>0.13919795506367599</v>
      </c>
    </row>
    <row r="276" spans="4:17" x14ac:dyDescent="0.2">
      <c r="D276" s="1">
        <v>45974</v>
      </c>
      <c r="E276" s="2">
        <v>0.79166666666666663</v>
      </c>
      <c r="F276" t="s">
        <v>36</v>
      </c>
      <c r="G276">
        <f>VLOOKUP(Table46[[#This Row],[Home]],'NHL Model'!$A$6:$B$38,2,FALSE)</f>
        <v>-0.40651947573390851</v>
      </c>
      <c r="H276" t="s">
        <v>21</v>
      </c>
      <c r="I276">
        <f>VLOOKUP(Table46[[#This Row],[Visitor]],'NHL Model'!$A$6:$B$38,2,FALSE)</f>
        <v>4.029141914856392E-2</v>
      </c>
      <c r="J276">
        <f>($B$1+Table46[[#This Row],[Home Differential]])-Table46[[#This Row],[Away Differential]]</f>
        <v>-0.28423858522015405</v>
      </c>
      <c r="K276" t="str">
        <f>IF(Table46[[#This Row],[HomeIce Differential]]&gt;0,Table46[[#This Row],[Home]],Table46[[#This Row],[Visitor]])</f>
        <v>Boston Bruins</v>
      </c>
      <c r="L27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0.49528523108259875</v>
      </c>
      <c r="M276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276" t="str">
        <f>IF(OR((NHL2025_26Results[[#This Row],[Winning Team]]="")),"-",IF(Table46[[#This Row],[Predicted Winner]]=NHL2025_26Results[[#This Row],[Winning Team]],"YES","NO"))</f>
        <v>NO</v>
      </c>
      <c r="O276" t="str">
        <f>IF(OR((NHL2025_26Results[[#This Row],[Winning Team]]="")),"-",IF(Table46[[#This Row],[Prob Winner]]=NHL2025_26Results[[#This Row],[Winning Team]],"YES","NO"))</f>
        <v>YES</v>
      </c>
      <c r="P276" t="str">
        <f>IF(Table46[[#This Row],[Locked Prediction]]&lt;&gt;Table46[[#This Row],[Prob Winner]], "Changed", "Same")</f>
        <v>Changed</v>
      </c>
      <c r="Q276">
        <f>IF(Table46[[#This Row],[Adjusted Predicted Correct]]="-", "",IF(Table46[[#This Row],[Adjusted Predicted Correct]]="YES",(Table46[[#This Row],[Strength of Win]]-1)^2,(Table46[[#This Row],[Strength of Win]]-0)^2))</f>
        <v>0.24530746012854324</v>
      </c>
    </row>
    <row r="277" spans="4:17" x14ac:dyDescent="0.2">
      <c r="D277" s="1">
        <v>45974</v>
      </c>
      <c r="E277" s="2">
        <v>0.91666666666666663</v>
      </c>
      <c r="F277" t="s">
        <v>32</v>
      </c>
      <c r="G277">
        <f>VLOOKUP(Table46[[#This Row],[Home]],'NHL Model'!$A$6:$B$38,2,FALSE)</f>
        <v>-0.361361309178443</v>
      </c>
      <c r="H277" t="s">
        <v>40</v>
      </c>
      <c r="I277">
        <f>VLOOKUP(Table46[[#This Row],[Visitor]],'NHL Model'!$A$6:$B$38,2,FALSE)</f>
        <v>0.105105258369765</v>
      </c>
      <c r="J277">
        <f>($B$1+Table46[[#This Row],[Home Differential]])-Table46[[#This Row],[Away Differential]]</f>
        <v>-0.30389425788588964</v>
      </c>
      <c r="K277" t="str">
        <f>IF(Table46[[#This Row],[HomeIce Differential]]&gt;0,Table46[[#This Row],[Home]],Table46[[#This Row],[Visitor]])</f>
        <v>Winnipeg Jets</v>
      </c>
      <c r="L27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0.54039332276495211</v>
      </c>
      <c r="M277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277" t="str">
        <f>IF(OR((NHL2025_26Results[[#This Row],[Winning Team]]="")),"-",IF(Table46[[#This Row],[Predicted Winner]]=NHL2025_26Results[[#This Row],[Winning Team]],"YES","NO"))</f>
        <v>NO</v>
      </c>
      <c r="O277" t="str">
        <f>IF(OR((NHL2025_26Results[[#This Row],[Winning Team]]="")),"-",IF(Table46[[#This Row],[Prob Winner]]=NHL2025_26Results[[#This Row],[Winning Team]],"YES","NO"))</f>
        <v>NO</v>
      </c>
      <c r="P277" t="str">
        <f>IF(Table46[[#This Row],[Locked Prediction]]&lt;&gt;Table46[[#This Row],[Prob Winner]], "Changed", "Same")</f>
        <v>Changed</v>
      </c>
      <c r="Q277">
        <f>IF(Table46[[#This Row],[Adjusted Predicted Correct]]="-", "",IF(Table46[[#This Row],[Adjusted Predicted Correct]]="YES",(Table46[[#This Row],[Strength of Win]]-1)^2,(Table46[[#This Row],[Strength of Win]]-0)^2))</f>
        <v>0.29202494328894568</v>
      </c>
    </row>
    <row r="278" spans="4:17" x14ac:dyDescent="0.2">
      <c r="D278" s="1">
        <v>45974</v>
      </c>
      <c r="E278" s="2">
        <v>0.79166666666666663</v>
      </c>
      <c r="F278" t="s">
        <v>19</v>
      </c>
      <c r="G278">
        <f>VLOOKUP(Table46[[#This Row],[Home]],'NHL Model'!$A$6:$B$38,2,FALSE)</f>
        <v>-0.635565543477981</v>
      </c>
      <c r="H278" t="s">
        <v>13</v>
      </c>
      <c r="I278">
        <f>VLOOKUP(Table46[[#This Row],[Visitor]],'NHL Model'!$A$6:$B$38,2,FALSE)</f>
        <v>-7.5459708298993802E-2</v>
      </c>
      <c r="J278">
        <f>($B$1+Table46[[#This Row],[Home Differential]])-Table46[[#This Row],[Away Differential]]</f>
        <v>-0.39753352551666882</v>
      </c>
      <c r="K278" t="str">
        <f>IF(Table46[[#This Row],[HomeIce Differential]]&gt;0,Table46[[#This Row],[Home]],Table46[[#This Row],[Visitor]])</f>
        <v>Los Angeles Kings</v>
      </c>
      <c r="L27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0.63423511000213961</v>
      </c>
      <c r="M278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278" t="str">
        <f>IF(OR((NHL2025_26Results[[#This Row],[Winning Team]]="")),"-",IF(Table46[[#This Row],[Predicted Winner]]=NHL2025_26Results[[#This Row],[Winning Team]],"YES","NO"))</f>
        <v>YES</v>
      </c>
      <c r="O278" t="str">
        <f>IF(OR((NHL2025_26Results[[#This Row],[Winning Team]]="")),"-",IF(Table46[[#This Row],[Prob Winner]]=NHL2025_26Results[[#This Row],[Winning Team]],"YES","NO"))</f>
        <v>YES</v>
      </c>
      <c r="P278" t="str">
        <f>IF(Table46[[#This Row],[Locked Prediction]]&lt;&gt;Table46[[#This Row],[Prob Winner]], "Changed", "Same")</f>
        <v>Changed</v>
      </c>
      <c r="Q278">
        <f>IF(Table46[[#This Row],[Adjusted Predicted Correct]]="-", "",IF(Table46[[#This Row],[Adjusted Predicted Correct]]="YES",(Table46[[#This Row],[Strength of Win]]-1)^2,(Table46[[#This Row],[Strength of Win]]-0)^2))</f>
        <v>0.1337839547551469</v>
      </c>
    </row>
    <row r="279" spans="4:17" x14ac:dyDescent="0.2">
      <c r="D279" s="1">
        <v>45974</v>
      </c>
      <c r="E279" s="2">
        <v>0.91666666666666663</v>
      </c>
      <c r="F279" t="s">
        <v>20</v>
      </c>
      <c r="G279">
        <f>VLOOKUP(Table46[[#This Row],[Home]],'NHL Model'!$A$6:$B$38,2,FALSE)</f>
        <v>-6.3745791019188943E-4</v>
      </c>
      <c r="H279" t="s">
        <v>30</v>
      </c>
      <c r="I279">
        <f>VLOOKUP(Table46[[#This Row],[Visitor]],'NHL Model'!$A$6:$B$38,2,FALSE)</f>
        <v>-6.4729560818359025E-2</v>
      </c>
      <c r="J279">
        <f>($B$1+Table46[[#This Row],[Home Differential]])-Table46[[#This Row],[Away Differential]]</f>
        <v>0.22666441257048553</v>
      </c>
      <c r="K279" t="str">
        <f>IF(Table46[[#This Row],[HomeIce Differential]]&gt;0,Table46[[#This Row],[Home]],Table46[[#This Row],[Visitor]])</f>
        <v>Vegas Golden Knights</v>
      </c>
      <c r="L27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0.52761544565829055</v>
      </c>
      <c r="M279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279" t="str">
        <f>IF(OR((NHL2025_26Results[[#This Row],[Winning Team]]="")),"-",IF(Table46[[#This Row],[Predicted Winner]]=NHL2025_26Results[[#This Row],[Winning Team]],"YES","NO"))</f>
        <v>NO</v>
      </c>
      <c r="O279" t="str">
        <f>IF(OR((NHL2025_26Results[[#This Row],[Winning Team]]="")),"-",IF(Table46[[#This Row],[Prob Winner]]=NHL2025_26Results[[#This Row],[Winning Team]],"YES","NO"))</f>
        <v>NO</v>
      </c>
      <c r="P279" t="str">
        <f>IF(Table46[[#This Row],[Locked Prediction]]&lt;&gt;Table46[[#This Row],[Prob Winner]], "Changed", "Same")</f>
        <v>Changed</v>
      </c>
      <c r="Q279">
        <f>IF(Table46[[#This Row],[Adjusted Predicted Correct]]="-", "",IF(Table46[[#This Row],[Adjusted Predicted Correct]]="YES",(Table46[[#This Row],[Strength of Win]]-1)^2,(Table46[[#This Row],[Strength of Win]]-0)^2))</f>
        <v>0.27837805849719655</v>
      </c>
    </row>
    <row r="280" spans="4:17" x14ac:dyDescent="0.2">
      <c r="D280" s="1">
        <v>45975</v>
      </c>
      <c r="E280" s="2">
        <v>0.79166666666666663</v>
      </c>
      <c r="F280" t="s">
        <v>25</v>
      </c>
      <c r="G280">
        <f>VLOOKUP(Table46[[#This Row],[Home]],'NHL Model'!$A$6:$B$38,2,FALSE)</f>
        <v>0.67193921242367816</v>
      </c>
      <c r="H280" t="s">
        <v>38</v>
      </c>
      <c r="I280">
        <f>VLOOKUP(Table46[[#This Row],[Visitor]],'NHL Model'!$A$6:$B$38,2,FALSE)</f>
        <v>-0.6902088310934803</v>
      </c>
      <c r="J280">
        <f>($B$1+Table46[[#This Row],[Home Differential]])-Table46[[#This Row],[Away Differential]]</f>
        <v>1.5247203531794769</v>
      </c>
      <c r="K280" t="str">
        <f>IF(Table46[[#This Row],[HomeIce Differential]]&gt;0,Table46[[#This Row],[Home]],Table46[[#This Row],[Visitor]])</f>
        <v>Carolina Hurricanes</v>
      </c>
      <c r="L28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0.75266431416218638</v>
      </c>
      <c r="M280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280" t="str">
        <f>IF(OR((NHL2025_26Results[[#This Row],[Winning Team]]="")),"-",IF(Table46[[#This Row],[Predicted Winner]]=NHL2025_26Results[[#This Row],[Winning Team]],"YES","NO"))</f>
        <v>YES</v>
      </c>
      <c r="O280" t="str">
        <f>IF(OR((NHL2025_26Results[[#This Row],[Winning Team]]="")),"-",IF(Table46[[#This Row],[Prob Winner]]=NHL2025_26Results[[#This Row],[Winning Team]],"YES","NO"))</f>
        <v>YES</v>
      </c>
      <c r="P280" t="str">
        <f>IF(Table46[[#This Row],[Locked Prediction]]&lt;&gt;Table46[[#This Row],[Prob Winner]], "Changed", "Same")</f>
        <v>Changed</v>
      </c>
      <c r="Q280">
        <f>IF(Table46[[#This Row],[Adjusted Predicted Correct]]="-", "",IF(Table46[[#This Row],[Adjusted Predicted Correct]]="YES",(Table46[[#This Row],[Strength of Win]]-1)^2,(Table46[[#This Row],[Strength of Win]]-0)^2))</f>
        <v>6.1174941488861635E-2</v>
      </c>
    </row>
    <row r="281" spans="4:17" x14ac:dyDescent="0.2">
      <c r="D281" s="1">
        <v>45975</v>
      </c>
      <c r="E281" s="2">
        <v>0.58333333333333337</v>
      </c>
      <c r="F281" t="s">
        <v>29</v>
      </c>
      <c r="G281">
        <f>VLOOKUP(Table46[[#This Row],[Home]],'NHL Model'!$A$6:$B$38,2,FALSE)</f>
        <v>-1.3516250707060606</v>
      </c>
      <c r="H281" t="s">
        <v>14</v>
      </c>
      <c r="I281">
        <f>VLOOKUP(Table46[[#This Row],[Visitor]],'NHL Model'!$A$6:$B$38,2,FALSE)</f>
        <v>0.26289091192875702</v>
      </c>
      <c r="J281">
        <f>($B$1+Table46[[#This Row],[Home Differential]])-Table46[[#This Row],[Away Differential]]</f>
        <v>-1.4519436729724993</v>
      </c>
      <c r="K281" t="str">
        <f>IF(Table46[[#This Row],[HomeIce Differential]]&gt;0,Table46[[#This Row],[Home]],Table46[[#This Row],[Visitor]])</f>
        <v>Pittsburgh Penguins</v>
      </c>
      <c r="L28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0.65299091015049893</v>
      </c>
      <c r="M281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281" t="str">
        <f>IF(OR((NHL2025_26Results[[#This Row],[Winning Team]]="")),"-",IF(Table46[[#This Row],[Predicted Winner]]=NHL2025_26Results[[#This Row],[Winning Team]],"YES","NO"))</f>
        <v>NO</v>
      </c>
      <c r="O281" t="str">
        <f>IF(OR((NHL2025_26Results[[#This Row],[Winning Team]]="")),"-",IF(Table46[[#This Row],[Prob Winner]]=NHL2025_26Results[[#This Row],[Winning Team]],"YES","NO"))</f>
        <v>NO</v>
      </c>
      <c r="P281" t="str">
        <f>IF(Table46[[#This Row],[Locked Prediction]]&lt;&gt;Table46[[#This Row],[Prob Winner]], "Changed", "Same")</f>
        <v>Changed</v>
      </c>
      <c r="Q281">
        <f>IF(Table46[[#This Row],[Adjusted Predicted Correct]]="-", "",IF(Table46[[#This Row],[Adjusted Predicted Correct]]="YES",(Table46[[#This Row],[Strength of Win]]-1)^2,(Table46[[#This Row],[Strength of Win]]-0)^2))</f>
        <v>0.42639712873917696</v>
      </c>
    </row>
    <row r="282" spans="4:17" x14ac:dyDescent="0.2">
      <c r="D282" s="1">
        <v>45975</v>
      </c>
      <c r="E282" s="2">
        <v>0.83333333333333337</v>
      </c>
      <c r="F282" t="s">
        <v>35</v>
      </c>
      <c r="G282">
        <f>VLOOKUP(Table46[[#This Row],[Home]],'NHL Model'!$A$6:$B$38,2,FALSE)</f>
        <v>-1.6211574240381006</v>
      </c>
      <c r="H282" t="s">
        <v>27</v>
      </c>
      <c r="I282">
        <f>VLOOKUP(Table46[[#This Row],[Visitor]],'NHL Model'!$A$6:$B$38,2,FALSE)</f>
        <v>-0.51358590497437617</v>
      </c>
      <c r="J282">
        <f>($B$1+Table46[[#This Row],[Home Differential]])-Table46[[#This Row],[Away Differential]]</f>
        <v>-0.94499920940140603</v>
      </c>
      <c r="K282" t="str">
        <f>IF(Table46[[#This Row],[HomeIce Differential]]&gt;0,Table46[[#This Row],[Home]],Table46[[#This Row],[Visitor]])</f>
        <v>Philadelphia Flyers</v>
      </c>
      <c r="L28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0.58560835582588999</v>
      </c>
      <c r="M282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282" t="str">
        <f>IF(OR((NHL2025_26Results[[#This Row],[Winning Team]]="")),"-",IF(Table46[[#This Row],[Predicted Winner]]=NHL2025_26Results[[#This Row],[Winning Team]],"YES","NO"))</f>
        <v>YES</v>
      </c>
      <c r="O282" t="str">
        <f>IF(OR((NHL2025_26Results[[#This Row],[Winning Team]]="")),"-",IF(Table46[[#This Row],[Prob Winner]]=NHL2025_26Results[[#This Row],[Winning Team]],"YES","NO"))</f>
        <v>YES</v>
      </c>
      <c r="P282" t="str">
        <f>IF(Table46[[#This Row],[Locked Prediction]]&lt;&gt;Table46[[#This Row],[Prob Winner]], "Changed", "Same")</f>
        <v>Changed</v>
      </c>
      <c r="Q282">
        <f>IF(Table46[[#This Row],[Adjusted Predicted Correct]]="-", "",IF(Table46[[#This Row],[Adjusted Predicted Correct]]="YES",(Table46[[#This Row],[Strength of Win]]-1)^2,(Table46[[#This Row],[Strength of Win]]-0)^2))</f>
        <v>0.1717204347613222</v>
      </c>
    </row>
    <row r="283" spans="4:17" x14ac:dyDescent="0.2">
      <c r="D283" s="1">
        <v>45975</v>
      </c>
      <c r="E283" s="2">
        <v>0.875</v>
      </c>
      <c r="F283" t="s">
        <v>55</v>
      </c>
      <c r="G283">
        <f>VLOOKUP(Table46[[#This Row],[Home]],'NHL Model'!$A$6:$B$38,2,FALSE)</f>
        <v>-0.12212311954851815</v>
      </c>
      <c r="H283" t="s">
        <v>30</v>
      </c>
      <c r="I283">
        <f>VLOOKUP(Table46[[#This Row],[Visitor]],'NHL Model'!$A$6:$B$38,2,FALSE)</f>
        <v>-6.4729560818359025E-2</v>
      </c>
      <c r="J283">
        <f>($B$1+Table46[[#This Row],[Home Differential]])-Table46[[#This Row],[Away Differential]]</f>
        <v>0.10517875093215927</v>
      </c>
      <c r="K283" t="str">
        <f>IF(Table46[[#This Row],[HomeIce Differential]]&gt;0,Table46[[#This Row],[Home]],Table46[[#This Row],[Visitor]])</f>
        <v>Utah Mammoth</v>
      </c>
      <c r="L28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0.58099056433145024</v>
      </c>
      <c r="M283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283" t="str">
        <f>IF(OR((NHL2025_26Results[[#This Row],[Winning Team]]="")),"-",IF(Table46[[#This Row],[Predicted Winner]]=NHL2025_26Results[[#This Row],[Winning Team]],"YES","NO"))</f>
        <v>NO</v>
      </c>
      <c r="O283" t="str">
        <f>IF(OR((NHL2025_26Results[[#This Row],[Winning Team]]="")),"-",IF(Table46[[#This Row],[Prob Winner]]=NHL2025_26Results[[#This Row],[Winning Team]],"YES","NO"))</f>
        <v>NO</v>
      </c>
      <c r="P283" t="str">
        <f>IF(Table46[[#This Row],[Locked Prediction]]&lt;&gt;Table46[[#This Row],[Prob Winner]], "Changed", "Same")</f>
        <v>Changed</v>
      </c>
      <c r="Q283">
        <f>IF(Table46[[#This Row],[Adjusted Predicted Correct]]="-", "",IF(Table46[[#This Row],[Adjusted Predicted Correct]]="YES",(Table46[[#This Row],[Strength of Win]]-1)^2,(Table46[[#This Row],[Strength of Win]]-0)^2))</f>
        <v>0.33755003584217702</v>
      </c>
    </row>
    <row r="284" spans="4:17" x14ac:dyDescent="0.2">
      <c r="D284" s="1">
        <v>45976</v>
      </c>
      <c r="E284" s="2">
        <v>0.79166666666666663</v>
      </c>
      <c r="F284" t="s">
        <v>25</v>
      </c>
      <c r="G284">
        <f>VLOOKUP(Table46[[#This Row],[Home]],'NHL Model'!$A$6:$B$38,2,FALSE)</f>
        <v>0.67193921242367816</v>
      </c>
      <c r="H284" t="s">
        <v>17</v>
      </c>
      <c r="I284">
        <f>VLOOKUP(Table46[[#This Row],[Visitor]],'NHL Model'!$A$6:$B$38,2,FALSE)</f>
        <v>-0.61980804137564283</v>
      </c>
      <c r="J284">
        <f>($B$1+Table46[[#This Row],[Home Differential]])-Table46[[#This Row],[Away Differential]]</f>
        <v>1.4543195634616395</v>
      </c>
      <c r="K284" t="str">
        <f>IF(Table46[[#This Row],[HomeIce Differential]]&gt;0,Table46[[#This Row],[Home]],Table46[[#This Row],[Visitor]])</f>
        <v>Carolina Hurricanes</v>
      </c>
      <c r="L28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0.78502268748464821</v>
      </c>
      <c r="M284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284" t="str">
        <f>IF(OR((NHL2025_26Results[[#This Row],[Winning Team]]="")),"-",IF(Table46[[#This Row],[Predicted Winner]]=NHL2025_26Results[[#This Row],[Winning Team]],"YES","NO"))</f>
        <v>NO</v>
      </c>
      <c r="O284" t="str">
        <f>IF(OR((NHL2025_26Results[[#This Row],[Winning Team]]="")),"-",IF(Table46[[#This Row],[Prob Winner]]=NHL2025_26Results[[#This Row],[Winning Team]],"YES","NO"))</f>
        <v>NO</v>
      </c>
      <c r="P284" t="str">
        <f>IF(Table46[[#This Row],[Locked Prediction]]&lt;&gt;Table46[[#This Row],[Prob Winner]], "Changed", "Same")</f>
        <v>Changed</v>
      </c>
      <c r="Q284">
        <f>IF(Table46[[#This Row],[Adjusted Predicted Correct]]="-", "",IF(Table46[[#This Row],[Adjusted Predicted Correct]]="YES",(Table46[[#This Row],[Strength of Win]]-1)^2,(Table46[[#This Row],[Strength of Win]]-0)^2))</f>
        <v>0.61626061986561964</v>
      </c>
    </row>
    <row r="285" spans="4:17" x14ac:dyDescent="0.2">
      <c r="D285" s="1">
        <v>45976</v>
      </c>
      <c r="E285" s="2">
        <v>0.79166666666666663</v>
      </c>
      <c r="F285" t="s">
        <v>28</v>
      </c>
      <c r="G285">
        <f>VLOOKUP(Table46[[#This Row],[Home]],'NHL Model'!$A$6:$B$38,2,FALSE)</f>
        <v>-0.40822279081308277</v>
      </c>
      <c r="H285" t="s">
        <v>15</v>
      </c>
      <c r="I285">
        <f>VLOOKUP(Table46[[#This Row],[Visitor]],'NHL Model'!$A$6:$B$38,2,FALSE)</f>
        <v>-0.30719665303039001</v>
      </c>
      <c r="J285">
        <f>($B$1+Table46[[#This Row],[Home Differential]])-Table46[[#This Row],[Away Differential]]</f>
        <v>6.1546171879625633E-2</v>
      </c>
      <c r="K285" t="str">
        <f>IF(Table46[[#This Row],[HomeIce Differential]]&gt;0,Table46[[#This Row],[Home]],Table46[[#This Row],[Visitor]])</f>
        <v>Columbus Blue Jackets</v>
      </c>
      <c r="L28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0.40577101745085453</v>
      </c>
      <c r="M285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285" t="str">
        <f>IF(OR((NHL2025_26Results[[#This Row],[Winning Team]]="")),"-",IF(Table46[[#This Row],[Predicted Winner]]=NHL2025_26Results[[#This Row],[Winning Team]],"YES","NO"))</f>
        <v>NO</v>
      </c>
      <c r="O285" t="str">
        <f>IF(OR((NHL2025_26Results[[#This Row],[Winning Team]]="")),"-",IF(Table46[[#This Row],[Prob Winner]]=NHL2025_26Results[[#This Row],[Winning Team]],"YES","NO"))</f>
        <v>YES</v>
      </c>
      <c r="P285" t="str">
        <f>IF(Table46[[#This Row],[Locked Prediction]]&lt;&gt;Table46[[#This Row],[Prob Winner]], "Changed", "Same")</f>
        <v>Changed</v>
      </c>
      <c r="Q285">
        <f>IF(Table46[[#This Row],[Adjusted Predicted Correct]]="-", "",IF(Table46[[#This Row],[Adjusted Predicted Correct]]="YES",(Table46[[#This Row],[Strength of Win]]-1)^2,(Table46[[#This Row],[Strength of Win]]-0)^2))</f>
        <v>0.16465011860310169</v>
      </c>
    </row>
    <row r="286" spans="4:17" x14ac:dyDescent="0.2">
      <c r="D286" s="1">
        <v>45976</v>
      </c>
      <c r="E286" s="2">
        <v>0.91666666666666663</v>
      </c>
      <c r="F286" t="s">
        <v>16</v>
      </c>
      <c r="G286">
        <f>VLOOKUP(Table46[[#This Row],[Home]],'NHL Model'!$A$6:$B$38,2,FALSE)</f>
        <v>-1.3903684122795328</v>
      </c>
      <c r="H286" t="s">
        <v>40</v>
      </c>
      <c r="I286">
        <f>VLOOKUP(Table46[[#This Row],[Visitor]],'NHL Model'!$A$6:$B$38,2,FALSE)</f>
        <v>0.105105258369765</v>
      </c>
      <c r="J286">
        <f>($B$1+Table46[[#This Row],[Home Differential]])-Table46[[#This Row],[Away Differential]]</f>
        <v>-1.3329013609869793</v>
      </c>
      <c r="K286" t="str">
        <f>IF(Table46[[#This Row],[HomeIce Differential]]&gt;0,Table46[[#This Row],[Home]],Table46[[#This Row],[Visitor]])</f>
        <v>Winnipeg Jets</v>
      </c>
      <c r="L28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0.7034837138127078</v>
      </c>
      <c r="M286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286" t="str">
        <f>IF(OR((NHL2025_26Results[[#This Row],[Winning Team]]="")),"-",IF(Table46[[#This Row],[Predicted Winner]]=NHL2025_26Results[[#This Row],[Winning Team]],"YES","NO"))</f>
        <v>YES</v>
      </c>
      <c r="O286" t="str">
        <f>IF(OR((NHL2025_26Results[[#This Row],[Winning Team]]="")),"-",IF(Table46[[#This Row],[Prob Winner]]=NHL2025_26Results[[#This Row],[Winning Team]],"YES","NO"))</f>
        <v>YES</v>
      </c>
      <c r="P286" t="str">
        <f>IF(Table46[[#This Row],[Locked Prediction]]&lt;&gt;Table46[[#This Row],[Prob Winner]], "Changed", "Same")</f>
        <v>Changed</v>
      </c>
      <c r="Q286">
        <f>IF(Table46[[#This Row],[Adjusted Predicted Correct]]="-", "",IF(Table46[[#This Row],[Adjusted Predicted Correct]]="YES",(Table46[[#This Row],[Strength of Win]]-1)^2,(Table46[[#This Row],[Strength of Win]]-0)^2))</f>
        <v>8.7921907974304173E-2</v>
      </c>
    </row>
    <row r="287" spans="4:17" x14ac:dyDescent="0.2">
      <c r="D287" s="1">
        <v>45976</v>
      </c>
      <c r="E287" s="2">
        <v>0.79166666666666663</v>
      </c>
      <c r="F287" t="s">
        <v>10</v>
      </c>
      <c r="G287">
        <f>VLOOKUP(Table46[[#This Row],[Home]],'NHL Model'!$A$6:$B$38,2,FALSE)</f>
        <v>0.30570968833820172</v>
      </c>
      <c r="H287" t="s">
        <v>19</v>
      </c>
      <c r="I287">
        <f>VLOOKUP(Table46[[#This Row],[Visitor]],'NHL Model'!$A$6:$B$38,2,FALSE)</f>
        <v>-0.635565543477981</v>
      </c>
      <c r="J287">
        <f>($B$1+Table46[[#This Row],[Home Differential]])-Table46[[#This Row],[Away Differential]]</f>
        <v>1.1038475414785012</v>
      </c>
      <c r="K287" t="str">
        <f>IF(Table46[[#This Row],[HomeIce Differential]]&gt;0,Table46[[#This Row],[Home]],Table46[[#This Row],[Visitor]])</f>
        <v>Chicago Blackhawks</v>
      </c>
      <c r="L28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0.68672231827092478</v>
      </c>
      <c r="M287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287" t="str">
        <f>IF(OR((NHL2025_26Results[[#This Row],[Winning Team]]="")),"-",IF(Table46[[#This Row],[Predicted Winner]]=NHL2025_26Results[[#This Row],[Winning Team]],"YES","NO"))</f>
        <v>YES</v>
      </c>
      <c r="O287" t="str">
        <f>IF(OR((NHL2025_26Results[[#This Row],[Winning Team]]="")),"-",IF(Table46[[#This Row],[Prob Winner]]=NHL2025_26Results[[#This Row],[Winning Team]],"YES","NO"))</f>
        <v>YES</v>
      </c>
      <c r="P287" t="str">
        <f>IF(Table46[[#This Row],[Locked Prediction]]&lt;&gt;Table46[[#This Row],[Prob Winner]], "Changed", "Same")</f>
        <v>Changed</v>
      </c>
      <c r="Q287">
        <f>IF(Table46[[#This Row],[Adjusted Predicted Correct]]="-", "",IF(Table46[[#This Row],[Adjusted Predicted Correct]]="YES",(Table46[[#This Row],[Strength of Win]]-1)^2,(Table46[[#This Row],[Strength of Win]]-0)^2))</f>
        <v>9.8142905869543745E-2</v>
      </c>
    </row>
    <row r="288" spans="4:17" x14ac:dyDescent="0.2">
      <c r="D288" s="1">
        <v>45976</v>
      </c>
      <c r="E288" s="2">
        <v>0.83333333333333337</v>
      </c>
      <c r="F288" t="s">
        <v>39</v>
      </c>
      <c r="G288">
        <f>VLOOKUP(Table46[[#This Row],[Home]],'NHL Model'!$A$6:$B$38,2,FALSE)</f>
        <v>0.19809534061227302</v>
      </c>
      <c r="H288" t="s">
        <v>27</v>
      </c>
      <c r="I288">
        <f>VLOOKUP(Table46[[#This Row],[Visitor]],'NHL Model'!$A$6:$B$38,2,FALSE)</f>
        <v>-0.51358590497437617</v>
      </c>
      <c r="J288">
        <f>($B$1+Table46[[#This Row],[Home Differential]])-Table46[[#This Row],[Away Differential]]</f>
        <v>0.87425355524896764</v>
      </c>
      <c r="K288" t="str">
        <f>IF(Table46[[#This Row],[HomeIce Differential]]&gt;0,Table46[[#This Row],[Home]],Table46[[#This Row],[Visitor]])</f>
        <v>Dallas Stars</v>
      </c>
      <c r="L28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0.68224264962810754</v>
      </c>
      <c r="M288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288" t="str">
        <f>IF(OR((NHL2025_26Results[[#This Row],[Winning Team]]="")),"-",IF(Table46[[#This Row],[Predicted Winner]]=NHL2025_26Results[[#This Row],[Winning Team]],"YES","NO"))</f>
        <v>YES</v>
      </c>
      <c r="O288" t="str">
        <f>IF(OR((NHL2025_26Results[[#This Row],[Winning Team]]="")),"-",IF(Table46[[#This Row],[Prob Winner]]=NHL2025_26Results[[#This Row],[Winning Team]],"YES","NO"))</f>
        <v>YES</v>
      </c>
      <c r="P288" t="str">
        <f>IF(Table46[[#This Row],[Locked Prediction]]&lt;&gt;Table46[[#This Row],[Prob Winner]], "Changed", "Same")</f>
        <v>Changed</v>
      </c>
      <c r="Q288">
        <f>IF(Table46[[#This Row],[Adjusted Predicted Correct]]="-", "",IF(Table46[[#This Row],[Adjusted Predicted Correct]]="YES",(Table46[[#This Row],[Strength of Win]]-1)^2,(Table46[[#This Row],[Strength of Win]]-0)^2))</f>
        <v>0.10096973371536562</v>
      </c>
    </row>
    <row r="289" spans="4:17" x14ac:dyDescent="0.2">
      <c r="D289" s="1">
        <v>45976</v>
      </c>
      <c r="E289" s="2">
        <v>0.79166666666666663</v>
      </c>
      <c r="F289" t="s">
        <v>26</v>
      </c>
      <c r="G289">
        <f>VLOOKUP(Table46[[#This Row],[Home]],'NHL Model'!$A$6:$B$38,2,FALSE)</f>
        <v>-0.513643833119658</v>
      </c>
      <c r="H289" t="s">
        <v>23</v>
      </c>
      <c r="I289">
        <f>VLOOKUP(Table46[[#This Row],[Visitor]],'NHL Model'!$A$6:$B$38,2,FALSE)</f>
        <v>-0.8683412362501769</v>
      </c>
      <c r="J289">
        <f>($B$1+Table46[[#This Row],[Home Differential]])-Table46[[#This Row],[Away Differential]]</f>
        <v>0.51726971279283729</v>
      </c>
      <c r="K289" t="str">
        <f>IF(Table46[[#This Row],[HomeIce Differential]]&gt;0,Table46[[#This Row],[Home]],Table46[[#This Row],[Visitor]])</f>
        <v>Detroit Red Wings</v>
      </c>
      <c r="L28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0.63479271203956045</v>
      </c>
      <c r="M289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289" t="str">
        <f>IF(OR((NHL2025_26Results[[#This Row],[Winning Team]]="")),"-",IF(Table46[[#This Row],[Predicted Winner]]=NHL2025_26Results[[#This Row],[Winning Team]],"YES","NO"))</f>
        <v>NO</v>
      </c>
      <c r="O289" t="str">
        <f>IF(OR((NHL2025_26Results[[#This Row],[Winning Team]]="")),"-",IF(Table46[[#This Row],[Prob Winner]]=NHL2025_26Results[[#This Row],[Winning Team]],"YES","NO"))</f>
        <v>NO</v>
      </c>
      <c r="P289" t="str">
        <f>IF(Table46[[#This Row],[Locked Prediction]]&lt;&gt;Table46[[#This Row],[Prob Winner]], "Changed", "Same")</f>
        <v>Changed</v>
      </c>
      <c r="Q289">
        <f>IF(Table46[[#This Row],[Adjusted Predicted Correct]]="-", "",IF(Table46[[#This Row],[Adjusted Predicted Correct]]="YES",(Table46[[#This Row],[Strength of Win]]-1)^2,(Table46[[#This Row],[Strength of Win]]-0)^2))</f>
        <v>0.40296178725854032</v>
      </c>
    </row>
    <row r="290" spans="4:17" x14ac:dyDescent="0.2">
      <c r="D290" s="1">
        <v>45976</v>
      </c>
      <c r="E290" s="2">
        <v>0.70833333333333337</v>
      </c>
      <c r="F290" t="s">
        <v>11</v>
      </c>
      <c r="G290">
        <f>VLOOKUP(Table46[[#This Row],[Home]],'NHL Model'!$A$6:$B$38,2,FALSE)</f>
        <v>-0.28105923893144158</v>
      </c>
      <c r="H290" t="s">
        <v>37</v>
      </c>
      <c r="I290">
        <f>VLOOKUP(Table46[[#This Row],[Visitor]],'NHL Model'!$A$6:$B$38,2,FALSE)</f>
        <v>-0.11309445867623392</v>
      </c>
      <c r="J290">
        <f>($B$1+Table46[[#This Row],[Home Differential]])-Table46[[#This Row],[Away Differential]]</f>
        <v>-5.3924705928892619E-3</v>
      </c>
      <c r="K290" t="str">
        <f>IF(Table46[[#This Row],[HomeIce Differential]]&gt;0,Table46[[#This Row],[Home]],Table46[[#This Row],[Visitor]])</f>
        <v>Tampa Bay Lightning</v>
      </c>
      <c r="L29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0.45526221637792352</v>
      </c>
      <c r="M290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290" t="str">
        <f>IF(OR((NHL2025_26Results[[#This Row],[Winning Team]]="")),"-",IF(Table46[[#This Row],[Predicted Winner]]=NHL2025_26Results[[#This Row],[Winning Team]],"YES","NO"))</f>
        <v>YES</v>
      </c>
      <c r="O290" t="str">
        <f>IF(OR((NHL2025_26Results[[#This Row],[Winning Team]]="")),"-",IF(Table46[[#This Row],[Prob Winner]]=NHL2025_26Results[[#This Row],[Winning Team]],"YES","NO"))</f>
        <v>NO</v>
      </c>
      <c r="P290" t="str">
        <f>IF(Table46[[#This Row],[Locked Prediction]]&lt;&gt;Table46[[#This Row],[Prob Winner]], "Changed", "Same")</f>
        <v>Changed</v>
      </c>
      <c r="Q290">
        <f>IF(Table46[[#This Row],[Adjusted Predicted Correct]]="-", "",IF(Table46[[#This Row],[Adjusted Predicted Correct]]="YES",(Table46[[#This Row],[Strength of Win]]-1)^2,(Table46[[#This Row],[Strength of Win]]-0)^2))</f>
        <v>0.29673925290549219</v>
      </c>
    </row>
    <row r="291" spans="4:17" x14ac:dyDescent="0.2">
      <c r="D291" s="1">
        <v>45976</v>
      </c>
      <c r="E291" s="2">
        <v>0.75</v>
      </c>
      <c r="F291" t="s">
        <v>34</v>
      </c>
      <c r="G291">
        <f>VLOOKUP(Table46[[#This Row],[Home]],'NHL Model'!$A$6:$B$38,2,FALSE)</f>
        <v>-0.53650300840565446</v>
      </c>
      <c r="H291" t="s">
        <v>31</v>
      </c>
      <c r="I291">
        <f>VLOOKUP(Table46[[#This Row],[Visitor]],'NHL Model'!$A$6:$B$38,2,FALSE)</f>
        <v>0.51775546328552802</v>
      </c>
      <c r="J291">
        <f>($B$1+Table46[[#This Row],[Home Differential]])-Table46[[#This Row],[Away Differential]]</f>
        <v>-0.89168616202886408</v>
      </c>
      <c r="K291" t="str">
        <f>IF(Table46[[#This Row],[HomeIce Differential]]&gt;0,Table46[[#This Row],[Home]],Table46[[#This Row],[Visitor]])</f>
        <v>Anaheim Ducks</v>
      </c>
      <c r="L29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0.59929126931790877</v>
      </c>
      <c r="M291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291" t="str">
        <f>IF(OR((NHL2025_26Results[[#This Row],[Winning Team]]="")),"-",IF(Table46[[#This Row],[Predicted Winner]]=NHL2025_26Results[[#This Row],[Winning Team]],"YES","NO"))</f>
        <v>NO</v>
      </c>
      <c r="O291" t="str">
        <f>IF(OR((NHL2025_26Results[[#This Row],[Winning Team]]="")),"-",IF(Table46[[#This Row],[Prob Winner]]=NHL2025_26Results[[#This Row],[Winning Team]],"YES","NO"))</f>
        <v>NO</v>
      </c>
      <c r="P291" t="str">
        <f>IF(Table46[[#This Row],[Locked Prediction]]&lt;&gt;Table46[[#This Row],[Prob Winner]], "Changed", "Same")</f>
        <v>Changed</v>
      </c>
      <c r="Q291">
        <f>IF(Table46[[#This Row],[Adjusted Predicted Correct]]="-", "",IF(Table46[[#This Row],[Adjusted Predicted Correct]]="YES",(Table46[[#This Row],[Strength of Win]]-1)^2,(Table46[[#This Row],[Strength of Win]]-0)^2))</f>
        <v>0.35915002548067027</v>
      </c>
    </row>
    <row r="292" spans="4:17" x14ac:dyDescent="0.2">
      <c r="D292" s="1">
        <v>45976</v>
      </c>
      <c r="E292" s="2">
        <v>0.79166666666666663</v>
      </c>
      <c r="F292" t="s">
        <v>18</v>
      </c>
      <c r="G292">
        <f>VLOOKUP(Table46[[#This Row],[Home]],'NHL Model'!$A$6:$B$38,2,FALSE)</f>
        <v>-0.52437726201848234</v>
      </c>
      <c r="H292" t="s">
        <v>21</v>
      </c>
      <c r="I292">
        <f>VLOOKUP(Table46[[#This Row],[Visitor]],'NHL Model'!$A$6:$B$38,2,FALSE)</f>
        <v>4.029141914856392E-2</v>
      </c>
      <c r="J292">
        <f>($B$1+Table46[[#This Row],[Home Differential]])-Table46[[#This Row],[Away Differential]]</f>
        <v>-0.40209637150472788</v>
      </c>
      <c r="K292" t="str">
        <f>IF(Table46[[#This Row],[HomeIce Differential]]&gt;0,Table46[[#This Row],[Home]],Table46[[#This Row],[Visitor]])</f>
        <v>Boston Bruins</v>
      </c>
      <c r="L29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0.51344625011936007</v>
      </c>
      <c r="M292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292" t="str">
        <f>IF(OR((NHL2025_26Results[[#This Row],[Winning Team]]="")),"-",IF(Table46[[#This Row],[Predicted Winner]]=NHL2025_26Results[[#This Row],[Winning Team]],"YES","NO"))</f>
        <v>YES</v>
      </c>
      <c r="O292" t="str">
        <f>IF(OR((NHL2025_26Results[[#This Row],[Winning Team]]="")),"-",IF(Table46[[#This Row],[Prob Winner]]=NHL2025_26Results[[#This Row],[Winning Team]],"YES","NO"))</f>
        <v>YES</v>
      </c>
      <c r="P292" t="str">
        <f>IF(Table46[[#This Row],[Locked Prediction]]&lt;&gt;Table46[[#This Row],[Prob Winner]], "Changed", "Same")</f>
        <v>Changed</v>
      </c>
      <c r="Q292">
        <f>IF(Table46[[#This Row],[Adjusted Predicted Correct]]="-", "",IF(Table46[[#This Row],[Adjusted Predicted Correct]]="YES",(Table46[[#This Row],[Strength of Win]]-1)^2,(Table46[[#This Row],[Strength of Win]]-0)^2))</f>
        <v>0.23673455152291231</v>
      </c>
    </row>
    <row r="293" spans="4:17" x14ac:dyDescent="0.2">
      <c r="D293" s="1">
        <v>45976</v>
      </c>
      <c r="E293" s="2">
        <v>0.79166666666666663</v>
      </c>
      <c r="F293" t="s">
        <v>36</v>
      </c>
      <c r="G293">
        <f>VLOOKUP(Table46[[#This Row],[Home]],'NHL Model'!$A$6:$B$38,2,FALSE)</f>
        <v>-0.40651947573390851</v>
      </c>
      <c r="H293" t="s">
        <v>13</v>
      </c>
      <c r="I293">
        <f>VLOOKUP(Table46[[#This Row],[Visitor]],'NHL Model'!$A$6:$B$38,2,FALSE)</f>
        <v>-7.5459708298993802E-2</v>
      </c>
      <c r="J293">
        <f>($B$1+Table46[[#This Row],[Home Differential]])-Table46[[#This Row],[Away Differential]]</f>
        <v>-0.16848745777259633</v>
      </c>
      <c r="K293" t="str">
        <f>IF(Table46[[#This Row],[HomeIce Differential]]&gt;0,Table46[[#This Row],[Home]],Table46[[#This Row],[Visitor]])</f>
        <v>Los Angeles Kings</v>
      </c>
      <c r="L29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0.60134255387470559</v>
      </c>
      <c r="M293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293" t="str">
        <f>IF(OR((NHL2025_26Results[[#This Row],[Winning Team]]="")),"-",IF(Table46[[#This Row],[Predicted Winner]]=NHL2025_26Results[[#This Row],[Winning Team]],"YES","NO"))</f>
        <v>YES</v>
      </c>
      <c r="O293" t="str">
        <f>IF(OR((NHL2025_26Results[[#This Row],[Winning Team]]="")),"-",IF(Table46[[#This Row],[Prob Winner]]=NHL2025_26Results[[#This Row],[Winning Team]],"YES","NO"))</f>
        <v>YES</v>
      </c>
      <c r="P293" t="str">
        <f>IF(Table46[[#This Row],[Locked Prediction]]&lt;&gt;Table46[[#This Row],[Prob Winner]], "Changed", "Same")</f>
        <v>Changed</v>
      </c>
      <c r="Q293">
        <f>IF(Table46[[#This Row],[Adjusted Predicted Correct]]="-", "",IF(Table46[[#This Row],[Adjusted Predicted Correct]]="YES",(Table46[[#This Row],[Strength of Win]]-1)^2,(Table46[[#This Row],[Strength of Win]]-0)^2))</f>
        <v>0.15892775935114201</v>
      </c>
    </row>
    <row r="294" spans="4:17" x14ac:dyDescent="0.2">
      <c r="D294" s="1">
        <v>45976</v>
      </c>
      <c r="E294" s="2">
        <v>0.91666666666666663</v>
      </c>
      <c r="F294" t="s">
        <v>32</v>
      </c>
      <c r="G294">
        <f>VLOOKUP(Table46[[#This Row],[Home]],'NHL Model'!$A$6:$B$38,2,FALSE)</f>
        <v>-0.361361309178443</v>
      </c>
      <c r="H294" t="s">
        <v>33</v>
      </c>
      <c r="I294">
        <f>VLOOKUP(Table46[[#This Row],[Visitor]],'NHL Model'!$A$6:$B$38,2,FALSE)</f>
        <v>-0.39418177254008485</v>
      </c>
      <c r="J294">
        <f>($B$1+Table46[[#This Row],[Home Differential]])-Table46[[#This Row],[Away Differential]]</f>
        <v>0.19539277302396024</v>
      </c>
      <c r="K294" t="str">
        <f>IF(Table46[[#This Row],[HomeIce Differential]]&gt;0,Table46[[#This Row],[Home]],Table46[[#This Row],[Visitor]])</f>
        <v>Seattle Kraken</v>
      </c>
      <c r="L29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0.59200914906891233</v>
      </c>
      <c r="M294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294" t="str">
        <f>IF(OR((NHL2025_26Results[[#This Row],[Winning Team]]="")),"-",IF(Table46[[#This Row],[Predicted Winner]]=NHL2025_26Results[[#This Row],[Winning Team]],"YES","NO"))</f>
        <v>YES</v>
      </c>
      <c r="O294" t="str">
        <f>IF(OR((NHL2025_26Results[[#This Row],[Winning Team]]="")),"-",IF(Table46[[#This Row],[Prob Winner]]=NHL2025_26Results[[#This Row],[Winning Team]],"YES","NO"))</f>
        <v>YES</v>
      </c>
      <c r="P294" t="str">
        <f>IF(Table46[[#This Row],[Locked Prediction]]&lt;&gt;Table46[[#This Row],[Prob Winner]], "Changed", "Same")</f>
        <v>Changed</v>
      </c>
      <c r="Q294">
        <f>IF(Table46[[#This Row],[Adjusted Predicted Correct]]="-", "",IF(Table46[[#This Row],[Adjusted Predicted Correct]]="YES",(Table46[[#This Row],[Strength of Win]]-1)^2,(Table46[[#This Row],[Strength of Win]]-0)^2))</f>
        <v>0.166456534443473</v>
      </c>
    </row>
    <row r="295" spans="4:17" x14ac:dyDescent="0.2">
      <c r="D295" s="1">
        <v>45976</v>
      </c>
      <c r="E295" s="2">
        <v>0.83333333333333337</v>
      </c>
      <c r="F295" t="s">
        <v>35</v>
      </c>
      <c r="G295">
        <f>VLOOKUP(Table46[[#This Row],[Home]],'NHL Model'!$A$6:$B$38,2,FALSE)</f>
        <v>-1.6211574240381006</v>
      </c>
      <c r="H295" t="s">
        <v>20</v>
      </c>
      <c r="I295">
        <f>VLOOKUP(Table46[[#This Row],[Visitor]],'NHL Model'!$A$6:$B$38,2,FALSE)</f>
        <v>-6.3745791019188943E-4</v>
      </c>
      <c r="J295">
        <f>($B$1+Table46[[#This Row],[Home Differential]])-Table46[[#This Row],[Away Differential]]</f>
        <v>-1.4579476564655902</v>
      </c>
      <c r="K295" t="str">
        <f>IF(Table46[[#This Row],[HomeIce Differential]]&gt;0,Table46[[#This Row],[Home]],Table46[[#This Row],[Visitor]])</f>
        <v>Vegas Golden Knights</v>
      </c>
      <c r="L29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0.6745581844392059</v>
      </c>
      <c r="M295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295" t="str">
        <f>IF(OR((NHL2025_26Results[[#This Row],[Winning Team]]="")),"-",IF(Table46[[#This Row],[Predicted Winner]]=NHL2025_26Results[[#This Row],[Winning Team]],"YES","NO"))</f>
        <v>YES</v>
      </c>
      <c r="O295" t="str">
        <f>IF(OR((NHL2025_26Results[[#This Row],[Winning Team]]="")),"-",IF(Table46[[#This Row],[Prob Winner]]=NHL2025_26Results[[#This Row],[Winning Team]],"YES","NO"))</f>
        <v>YES</v>
      </c>
      <c r="P295" t="str">
        <f>IF(Table46[[#This Row],[Locked Prediction]]&lt;&gt;Table46[[#This Row],[Prob Winner]], "Changed", "Same")</f>
        <v>Changed</v>
      </c>
      <c r="Q295">
        <f>IF(Table46[[#This Row],[Adjusted Predicted Correct]]="-", "",IF(Table46[[#This Row],[Adjusted Predicted Correct]]="YES",(Table46[[#This Row],[Strength of Win]]-1)^2,(Table46[[#This Row],[Strength of Win]]-0)^2))</f>
        <v>0.10591237531550593</v>
      </c>
    </row>
    <row r="296" spans="4:17" x14ac:dyDescent="0.2">
      <c r="D296" s="1">
        <v>45976</v>
      </c>
      <c r="E296" s="2">
        <v>0.79166666666666663</v>
      </c>
      <c r="F296" t="s">
        <v>22</v>
      </c>
      <c r="G296">
        <f>VLOOKUP(Table46[[#This Row],[Home]],'NHL Model'!$A$6:$B$38,2,FALSE)</f>
        <v>-6.1308839486784707E-2</v>
      </c>
      <c r="H296" t="s">
        <v>24</v>
      </c>
      <c r="I296">
        <f>VLOOKUP(Table46[[#This Row],[Visitor]],'NHL Model'!$A$6:$B$38,2,FALSE)</f>
        <v>0.559441163373953</v>
      </c>
      <c r="J296">
        <f>($B$1+Table46[[#This Row],[Home Differential]])-Table46[[#This Row],[Away Differential]]</f>
        <v>-0.45817769319841928</v>
      </c>
      <c r="K296" t="str">
        <f>IF(Table46[[#This Row],[HomeIce Differential]]&gt;0,Table46[[#This Row],[Home]],Table46[[#This Row],[Visitor]])</f>
        <v>New Jersey Devils</v>
      </c>
      <c r="L29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0.58721631314206602</v>
      </c>
      <c r="M296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296" t="str">
        <f>IF(OR((NHL2025_26Results[[#This Row],[Winning Team]]="")),"-",IF(Table46[[#This Row],[Predicted Winner]]=NHL2025_26Results[[#This Row],[Winning Team]],"YES","NO"))</f>
        <v>YES</v>
      </c>
      <c r="O296" t="str">
        <f>IF(OR((NHL2025_26Results[[#This Row],[Winning Team]]="")),"-",IF(Table46[[#This Row],[Prob Winner]]=NHL2025_26Results[[#This Row],[Winning Team]],"YES","NO"))</f>
        <v>YES</v>
      </c>
      <c r="P296" t="str">
        <f>IF(Table46[[#This Row],[Locked Prediction]]&lt;&gt;Table46[[#This Row],[Prob Winner]], "Changed", "Same")</f>
        <v>Changed</v>
      </c>
      <c r="Q296">
        <f>IF(Table46[[#This Row],[Adjusted Predicted Correct]]="-", "",IF(Table46[[#This Row],[Adjusted Predicted Correct]]="YES",(Table46[[#This Row],[Strength of Win]]-1)^2,(Table46[[#This Row],[Strength of Win]]-0)^2))</f>
        <v>0.17039037213602889</v>
      </c>
    </row>
    <row r="297" spans="4:17" x14ac:dyDescent="0.2">
      <c r="D297" s="1">
        <v>45977</v>
      </c>
      <c r="E297" s="2">
        <v>0.875</v>
      </c>
      <c r="F297" t="s">
        <v>12</v>
      </c>
      <c r="G297">
        <f>VLOOKUP(Table46[[#This Row],[Home]],'NHL Model'!$A$6:$B$38,2,FALSE)</f>
        <v>1.5475013591489768</v>
      </c>
      <c r="H297" t="s">
        <v>30</v>
      </c>
      <c r="I297">
        <f>VLOOKUP(Table46[[#This Row],[Visitor]],'NHL Model'!$A$6:$B$38,2,FALSE)</f>
        <v>-6.4729560818359025E-2</v>
      </c>
      <c r="J297">
        <f>($B$1+Table46[[#This Row],[Home Differential]])-Table46[[#This Row],[Away Differential]]</f>
        <v>1.7748032296296543</v>
      </c>
      <c r="K297" t="str">
        <f>IF(Table46[[#This Row],[HomeIce Differential]]&gt;0,Table46[[#This Row],[Home]],Table46[[#This Row],[Visitor]])</f>
        <v>Colorado Avalanche</v>
      </c>
      <c r="L29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0.82369134112345155</v>
      </c>
      <c r="M297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297" t="str">
        <f>IF(OR((NHL2025_26Results[[#This Row],[Winning Team]]="")),"-",IF(Table46[[#This Row],[Predicted Winner]]=NHL2025_26Results[[#This Row],[Winning Team]],"YES","NO"))</f>
        <v>YES</v>
      </c>
      <c r="O297" t="str">
        <f>IF(OR((NHL2025_26Results[[#This Row],[Winning Team]]="")),"-",IF(Table46[[#This Row],[Prob Winner]]=NHL2025_26Results[[#This Row],[Winning Team]],"YES","NO"))</f>
        <v>YES</v>
      </c>
      <c r="P297" t="str">
        <f>IF(Table46[[#This Row],[Locked Prediction]]&lt;&gt;Table46[[#This Row],[Prob Winner]], "Changed", "Same")</f>
        <v>Changed</v>
      </c>
      <c r="Q297">
        <f>IF(Table46[[#This Row],[Adjusted Predicted Correct]]="-", "",IF(Table46[[#This Row],[Adjusted Predicted Correct]]="YES",(Table46[[#This Row],[Strength of Win]]-1)^2,(Table46[[#This Row],[Strength of Win]]-0)^2))</f>
        <v>3.1084743194847126E-2</v>
      </c>
    </row>
    <row r="298" spans="4:17" x14ac:dyDescent="0.2">
      <c r="D298" s="1">
        <v>45977</v>
      </c>
      <c r="E298" s="2">
        <v>0.75</v>
      </c>
      <c r="F298" t="s">
        <v>34</v>
      </c>
      <c r="G298">
        <f>VLOOKUP(Table46[[#This Row],[Home]],'NHL Model'!$A$6:$B$38,2,FALSE)</f>
        <v>-0.53650300840565446</v>
      </c>
      <c r="H298" t="s">
        <v>20</v>
      </c>
      <c r="I298">
        <f>VLOOKUP(Table46[[#This Row],[Visitor]],'NHL Model'!$A$6:$B$38,2,FALSE)</f>
        <v>-6.3745791019188943E-4</v>
      </c>
      <c r="J298">
        <f>($B$1+Table46[[#This Row],[Home Differential]])-Table46[[#This Row],[Away Differential]]</f>
        <v>-0.37329324083314419</v>
      </c>
      <c r="K298" t="str">
        <f>IF(Table46[[#This Row],[HomeIce Differential]]&gt;0,Table46[[#This Row],[Home]],Table46[[#This Row],[Visitor]])</f>
        <v>Vegas Golden Knights</v>
      </c>
      <c r="L29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0.53038699738267592</v>
      </c>
      <c r="M298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298" t="str">
        <f>IF(OR((NHL2025_26Results[[#This Row],[Winning Team]]="")),"-",IF(Table46[[#This Row],[Predicted Winner]]=NHL2025_26Results[[#This Row],[Winning Team]],"YES","NO"))</f>
        <v>NO</v>
      </c>
      <c r="O298" t="str">
        <f>IF(OR((NHL2025_26Results[[#This Row],[Winning Team]]="")),"-",IF(Table46[[#This Row],[Prob Winner]]=NHL2025_26Results[[#This Row],[Winning Team]],"YES","NO"))</f>
        <v>NO</v>
      </c>
      <c r="P298" t="str">
        <f>IF(Table46[[#This Row],[Locked Prediction]]&lt;&gt;Table46[[#This Row],[Prob Winner]], "Changed", "Same")</f>
        <v>Changed</v>
      </c>
      <c r="Q298">
        <f>IF(Table46[[#This Row],[Adjusted Predicted Correct]]="-", "",IF(Table46[[#This Row],[Adjusted Predicted Correct]]="YES",(Table46[[#This Row],[Strength of Win]]-1)^2,(Table46[[#This Row],[Strength of Win]]-0)^2))</f>
        <v>0.28131036699261069</v>
      </c>
    </row>
    <row r="299" spans="4:17" x14ac:dyDescent="0.2">
      <c r="D299" s="1">
        <v>45977</v>
      </c>
      <c r="E299" s="2">
        <v>0.79166666666666663</v>
      </c>
      <c r="F299" t="s">
        <v>15</v>
      </c>
      <c r="G299">
        <f>VLOOKUP(Table46[[#This Row],[Home]],'NHL Model'!$A$6:$B$38,2,FALSE)</f>
        <v>-0.30719665303039001</v>
      </c>
      <c r="H299" t="s">
        <v>26</v>
      </c>
      <c r="I299">
        <f>VLOOKUP(Table46[[#This Row],[Visitor]],'NHL Model'!$A$6:$B$38,2,FALSE)</f>
        <v>-0.513643833119658</v>
      </c>
      <c r="J299">
        <f>($B$1+Table46[[#This Row],[Home Differential]])-Table46[[#This Row],[Away Differential]]</f>
        <v>0.36901948975158638</v>
      </c>
      <c r="K299" t="str">
        <f>IF(Table46[[#This Row],[HomeIce Differential]]&gt;0,Table46[[#This Row],[Home]],Table46[[#This Row],[Visitor]])</f>
        <v>New York Rangers</v>
      </c>
      <c r="L29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0.5419503123859708</v>
      </c>
      <c r="M299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299" t="str">
        <f>IF(OR((NHL2025_26Results[[#This Row],[Winning Team]]="")),"-",IF(Table46[[#This Row],[Predicted Winner]]=NHL2025_26Results[[#This Row],[Winning Team]],"YES","NO"))</f>
        <v>NO</v>
      </c>
      <c r="O299" t="str">
        <f>IF(OR((NHL2025_26Results[[#This Row],[Winning Team]]="")),"-",IF(Table46[[#This Row],[Prob Winner]]=NHL2025_26Results[[#This Row],[Winning Team]],"YES","NO"))</f>
        <v>NO</v>
      </c>
      <c r="P299" t="str">
        <f>IF(Table46[[#This Row],[Locked Prediction]]&lt;&gt;Table46[[#This Row],[Prob Winner]], "Changed", "Same")</f>
        <v>Changed</v>
      </c>
      <c r="Q299">
        <f>IF(Table46[[#This Row],[Adjusted Predicted Correct]]="-", "",IF(Table46[[#This Row],[Adjusted Predicted Correct]]="YES",(Table46[[#This Row],[Strength of Win]]-1)^2,(Table46[[#This Row],[Strength of Win]]-0)^2))</f>
        <v>0.29371014109525134</v>
      </c>
    </row>
    <row r="300" spans="4:17" x14ac:dyDescent="0.2">
      <c r="D300" s="1">
        <v>45977</v>
      </c>
      <c r="E300" s="2">
        <v>0.375</v>
      </c>
      <c r="F300" t="s">
        <v>14</v>
      </c>
      <c r="G300">
        <f>VLOOKUP(Table46[[#This Row],[Home]],'NHL Model'!$A$6:$B$38,2,FALSE)</f>
        <v>0.26289091192875702</v>
      </c>
      <c r="H300" t="s">
        <v>29</v>
      </c>
      <c r="I300">
        <f>VLOOKUP(Table46[[#This Row],[Visitor]],'NHL Model'!$A$6:$B$38,2,FALSE)</f>
        <v>-1.3516250707060606</v>
      </c>
      <c r="J300">
        <f>($B$1+Table46[[#This Row],[Home Differential]])-Table46[[#This Row],[Away Differential]]</f>
        <v>1.7770882922971361</v>
      </c>
      <c r="K300" t="str">
        <f>IF(Table46[[#This Row],[HomeIce Differential]]&gt;0,Table46[[#This Row],[Home]],Table46[[#This Row],[Visitor]])</f>
        <v>Pittsburgh Penguins</v>
      </c>
      <c r="L30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0.81224567619990706</v>
      </c>
      <c r="M300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300" t="str">
        <f>IF(OR((NHL2025_26Results[[#This Row],[Winning Team]]="")),"-",IF(Table46[[#This Row],[Predicted Winner]]=NHL2025_26Results[[#This Row],[Winning Team]],"YES","NO"))</f>
        <v>YES</v>
      </c>
      <c r="O300" t="str">
        <f>IF(OR((NHL2025_26Results[[#This Row],[Winning Team]]="")),"-",IF(Table46[[#This Row],[Prob Winner]]=NHL2025_26Results[[#This Row],[Winning Team]],"YES","NO"))</f>
        <v>YES</v>
      </c>
      <c r="P300" t="str">
        <f>IF(Table46[[#This Row],[Locked Prediction]]&lt;&gt;Table46[[#This Row],[Prob Winner]], "Changed", "Same")</f>
        <v>Changed</v>
      </c>
      <c r="Q300">
        <f>IF(Table46[[#This Row],[Adjusted Predicted Correct]]="-", "",IF(Table46[[#This Row],[Adjusted Predicted Correct]]="YES",(Table46[[#This Row],[Strength of Win]]-1)^2,(Table46[[#This Row],[Strength of Win]]-0)^2))</f>
        <v>3.5251686105630148E-2</v>
      </c>
    </row>
    <row r="301" spans="4:17" x14ac:dyDescent="0.2">
      <c r="D301" s="1">
        <v>45977</v>
      </c>
      <c r="E301" s="2">
        <v>0.70833333333333337</v>
      </c>
      <c r="F301" t="s">
        <v>37</v>
      </c>
      <c r="G301">
        <f>VLOOKUP(Table46[[#This Row],[Home]],'NHL Model'!$A$6:$B$38,2,FALSE)</f>
        <v>-0.11309445867623392</v>
      </c>
      <c r="H301" t="s">
        <v>38</v>
      </c>
      <c r="I301">
        <f>VLOOKUP(Table46[[#This Row],[Visitor]],'NHL Model'!$A$6:$B$38,2,FALSE)</f>
        <v>-0.6902088310934803</v>
      </c>
      <c r="J301">
        <f>($B$1+Table46[[#This Row],[Home Differential]])-Table46[[#This Row],[Away Differential]]</f>
        <v>0.73968668207956478</v>
      </c>
      <c r="K301" t="str">
        <f>IF(Table46[[#This Row],[HomeIce Differential]]&gt;0,Table46[[#This Row],[Home]],Table46[[#This Row],[Visitor]])</f>
        <v>Tampa Bay Lightning</v>
      </c>
      <c r="L30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0.59580585590839052</v>
      </c>
      <c r="M301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301" t="str">
        <f>IF(OR((NHL2025_26Results[[#This Row],[Winning Team]]="")),"-",IF(Table46[[#This Row],[Predicted Winner]]=NHL2025_26Results[[#This Row],[Winning Team]],"YES","NO"))</f>
        <v>NO</v>
      </c>
      <c r="O301" t="str">
        <f>IF(OR((NHL2025_26Results[[#This Row],[Winning Team]]="")),"-",IF(Table46[[#This Row],[Prob Winner]]=NHL2025_26Results[[#This Row],[Winning Team]],"YES","NO"))</f>
        <v>NO</v>
      </c>
      <c r="P301" t="str">
        <f>IF(Table46[[#This Row],[Locked Prediction]]&lt;&gt;Table46[[#This Row],[Prob Winner]], "Changed", "Same")</f>
        <v>Changed</v>
      </c>
      <c r="Q301">
        <f>IF(Table46[[#This Row],[Adjusted Predicted Correct]]="-", "",IF(Table46[[#This Row],[Adjusted Predicted Correct]]="YES",(Table46[[#This Row],[Strength of Win]]-1)^2,(Table46[[#This Row],[Strength of Win]]-0)^2))</f>
        <v>0.3549846179347298</v>
      </c>
    </row>
    <row r="302" spans="4:17" x14ac:dyDescent="0.2">
      <c r="D302" s="1">
        <v>45978</v>
      </c>
      <c r="E302" s="2">
        <v>0.91666666666666663</v>
      </c>
      <c r="F302" t="s">
        <v>31</v>
      </c>
      <c r="G302">
        <f>VLOOKUP(Table46[[#This Row],[Home]],'NHL Model'!$A$6:$B$38,2,FALSE)</f>
        <v>0.51775546328552802</v>
      </c>
      <c r="H302" t="s">
        <v>55</v>
      </c>
      <c r="I302">
        <f>VLOOKUP(Table46[[#This Row],[Visitor]],'NHL Model'!$A$6:$B$38,2,FALSE)</f>
        <v>-0.12212311954851815</v>
      </c>
      <c r="J302">
        <f>($B$1+Table46[[#This Row],[Home Differential]])-Table46[[#This Row],[Away Differential]]</f>
        <v>0.80245089249636459</v>
      </c>
      <c r="K302" t="str">
        <f>IF(Table46[[#This Row],[HomeIce Differential]]&gt;0,Table46[[#This Row],[Home]],Table46[[#This Row],[Visitor]])</f>
        <v>Anaheim Ducks</v>
      </c>
      <c r="L30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0.75099087210669091</v>
      </c>
      <c r="M302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302" t="str">
        <f>IF(OR((NHL2025_26Results[[#This Row],[Winning Team]]="")),"-",IF(Table46[[#This Row],[Predicted Winner]]=NHL2025_26Results[[#This Row],[Winning Team]],"YES","NO"))</f>
        <v>-</v>
      </c>
      <c r="O302" t="str">
        <f>IF(OR((NHL2025_26Results[[#This Row],[Winning Team]]="")),"-",IF(Table46[[#This Row],[Prob Winner]]=NHL2025_26Results[[#This Row],[Winning Team]],"YES","NO"))</f>
        <v>-</v>
      </c>
      <c r="P302" t="str">
        <f>IF(Table46[[#This Row],[Locked Prediction]]&lt;&gt;Table46[[#This Row],[Prob Winner]], "Changed", "Same")</f>
        <v>Changed</v>
      </c>
      <c r="Q30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03" spans="4:17" x14ac:dyDescent="0.2">
      <c r="D303" s="1">
        <v>45978</v>
      </c>
      <c r="E303" s="2">
        <v>0.79166666666666663</v>
      </c>
      <c r="F303" t="s">
        <v>21</v>
      </c>
      <c r="G303">
        <f>VLOOKUP(Table46[[#This Row],[Home]],'NHL Model'!$A$6:$B$38,2,FALSE)</f>
        <v>4.029141914856392E-2</v>
      </c>
      <c r="H303" t="s">
        <v>25</v>
      </c>
      <c r="I303">
        <f>VLOOKUP(Table46[[#This Row],[Visitor]],'NHL Model'!$A$6:$B$38,2,FALSE)</f>
        <v>0.67193921242367816</v>
      </c>
      <c r="J303">
        <f>($B$1+Table46[[#This Row],[Home Differential]])-Table46[[#This Row],[Away Differential]]</f>
        <v>-0.46907548361279583</v>
      </c>
      <c r="K303" t="str">
        <f>IF(Table46[[#This Row],[HomeIce Differential]]&gt;0,Table46[[#This Row],[Home]],Table46[[#This Row],[Visitor]])</f>
        <v>Carolina Hurricanes</v>
      </c>
      <c r="L30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0.54060991670585912</v>
      </c>
      <c r="M303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303" t="str">
        <f>IF(OR((NHL2025_26Results[[#This Row],[Winning Team]]="")),"-",IF(Table46[[#This Row],[Predicted Winner]]=NHL2025_26Results[[#This Row],[Winning Team]],"YES","NO"))</f>
        <v>-</v>
      </c>
      <c r="O303" t="str">
        <f>IF(OR((NHL2025_26Results[[#This Row],[Winning Team]]="")),"-",IF(Table46[[#This Row],[Prob Winner]]=NHL2025_26Results[[#This Row],[Winning Team]],"YES","NO"))</f>
        <v>-</v>
      </c>
      <c r="P303" t="str">
        <f>IF(Table46[[#This Row],[Locked Prediction]]&lt;&gt;Table46[[#This Row],[Prob Winner]], "Changed", "Same")</f>
        <v>Changed</v>
      </c>
      <c r="Q30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04" spans="4:17" x14ac:dyDescent="0.2">
      <c r="D304" s="1">
        <v>45978</v>
      </c>
      <c r="E304" s="2">
        <v>0.79166666666666663</v>
      </c>
      <c r="F304" t="s">
        <v>23</v>
      </c>
      <c r="G304">
        <f>VLOOKUP(Table46[[#This Row],[Home]],'NHL Model'!$A$6:$B$38,2,FALSE)</f>
        <v>-0.8683412362501769</v>
      </c>
      <c r="H304" t="s">
        <v>17</v>
      </c>
      <c r="I304">
        <f>VLOOKUP(Table46[[#This Row],[Visitor]],'NHL Model'!$A$6:$B$38,2,FALSE)</f>
        <v>-0.61980804137564283</v>
      </c>
      <c r="J304">
        <f>($B$1+Table46[[#This Row],[Home Differential]])-Table46[[#This Row],[Away Differential]]</f>
        <v>-8.5960885212215676E-2</v>
      </c>
      <c r="K304" t="str">
        <f>IF(Table46[[#This Row],[HomeIce Differential]]&gt;0,Table46[[#This Row],[Home]],Table46[[#This Row],[Visitor]])</f>
        <v>Edmonton Oilers</v>
      </c>
      <c r="L30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0.47142583543925282</v>
      </c>
      <c r="M304" s="11" t="str">
        <f>IF(Table46[[#This Row],[Strength of Win]]&gt; 0.5,Table46[[#This Row],[Predicted Winner]], IF(Table46[[#This Row],[Home]]=Table46[[#This Row],[Predicted Winner]],Table46[[#This Row],[Visitor]],Table46[[#This Row],[Home]]))</f>
        <v>Buffalo Sabres</v>
      </c>
      <c r="N304" t="str">
        <f>IF(OR((NHL2025_26Results[[#This Row],[Winning Team]]="")),"-",IF(Table46[[#This Row],[Predicted Winner]]=NHL2025_26Results[[#This Row],[Winning Team]],"YES","NO"))</f>
        <v>-</v>
      </c>
      <c r="O304" t="str">
        <f>IF(OR((NHL2025_26Results[[#This Row],[Winning Team]]="")),"-",IF(Table46[[#This Row],[Prob Winner]]=NHL2025_26Results[[#This Row],[Winning Team]],"YES","NO"))</f>
        <v>-</v>
      </c>
      <c r="P304" t="str">
        <f>IF(Table46[[#This Row],[Locked Prediction]]&lt;&gt;Table46[[#This Row],[Prob Winner]], "Changed", "Same")</f>
        <v>Changed</v>
      </c>
      <c r="Q30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05" spans="4:17" x14ac:dyDescent="0.2">
      <c r="D305" s="1">
        <v>45978</v>
      </c>
      <c r="E305" s="2">
        <v>0.8125</v>
      </c>
      <c r="F305" t="s">
        <v>28</v>
      </c>
      <c r="G305">
        <f>VLOOKUP(Table46[[#This Row],[Home]],'NHL Model'!$A$6:$B$38,2,FALSE)</f>
        <v>-0.40822279081308277</v>
      </c>
      <c r="H305" t="s">
        <v>18</v>
      </c>
      <c r="I305">
        <f>VLOOKUP(Table46[[#This Row],[Visitor]],'NHL Model'!$A$6:$B$38,2,FALSE)</f>
        <v>-0.52437726201848234</v>
      </c>
      <c r="J305">
        <f>($B$1+Table46[[#This Row],[Home Differential]])-Table46[[#This Row],[Away Differential]]</f>
        <v>0.27872678086771796</v>
      </c>
      <c r="K305" t="str">
        <f>IF(Table46[[#This Row],[HomeIce Differential]]&gt;0,Table46[[#This Row],[Home]],Table46[[#This Row],[Visitor]])</f>
        <v>Columbus Blue Jackets</v>
      </c>
      <c r="L30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0.5005674000344591</v>
      </c>
      <c r="M305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305" t="str">
        <f>IF(OR((NHL2025_26Results[[#This Row],[Winning Team]]="")),"-",IF(Table46[[#This Row],[Predicted Winner]]=NHL2025_26Results[[#This Row],[Winning Team]],"YES","NO"))</f>
        <v>-</v>
      </c>
      <c r="O305" t="str">
        <f>IF(OR((NHL2025_26Results[[#This Row],[Winning Team]]="")),"-",IF(Table46[[#This Row],[Prob Winner]]=NHL2025_26Results[[#This Row],[Winning Team]],"YES","NO"))</f>
        <v>-</v>
      </c>
      <c r="P305" t="str">
        <f>IF(Table46[[#This Row],[Locked Prediction]]&lt;&gt;Table46[[#This Row],[Prob Winner]], "Changed", "Same")</f>
        <v>Changed</v>
      </c>
      <c r="Q30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06" spans="4:17" x14ac:dyDescent="0.2">
      <c r="D306" s="1">
        <v>45978</v>
      </c>
      <c r="E306" s="2">
        <v>0.79166666666666663</v>
      </c>
      <c r="F306" t="s">
        <v>11</v>
      </c>
      <c r="G306">
        <f>VLOOKUP(Table46[[#This Row],[Home]],'NHL Model'!$A$6:$B$38,2,FALSE)</f>
        <v>-0.28105923893144158</v>
      </c>
      <c r="H306" t="s">
        <v>38</v>
      </c>
      <c r="I306">
        <f>VLOOKUP(Table46[[#This Row],[Visitor]],'NHL Model'!$A$6:$B$38,2,FALSE)</f>
        <v>-0.6902088310934803</v>
      </c>
      <c r="J306">
        <f>($B$1+Table46[[#This Row],[Home Differential]])-Table46[[#This Row],[Away Differential]]</f>
        <v>0.57172190182435711</v>
      </c>
      <c r="K306" t="str">
        <f>IF(Table46[[#This Row],[HomeIce Differential]]&gt;0,Table46[[#This Row],[Home]],Table46[[#This Row],[Visitor]])</f>
        <v>Florida Panthers</v>
      </c>
      <c r="L30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0.62599270704501131</v>
      </c>
      <c r="M306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306" t="str">
        <f>IF(OR((NHL2025_26Results[[#This Row],[Winning Team]]="")),"-",IF(Table46[[#This Row],[Predicted Winner]]=NHL2025_26Results[[#This Row],[Winning Team]],"YES","NO"))</f>
        <v>-</v>
      </c>
      <c r="O306" t="str">
        <f>IF(OR((NHL2025_26Results[[#This Row],[Winning Team]]="")),"-",IF(Table46[[#This Row],[Prob Winner]]=NHL2025_26Results[[#This Row],[Winning Team]],"YES","NO"))</f>
        <v>-</v>
      </c>
      <c r="P306" t="str">
        <f>IF(Table46[[#This Row],[Locked Prediction]]&lt;&gt;Table46[[#This Row],[Prob Winner]], "Changed", "Same")</f>
        <v>Changed</v>
      </c>
      <c r="Q30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07" spans="4:17" x14ac:dyDescent="0.2">
      <c r="D307" s="1">
        <v>45978</v>
      </c>
      <c r="E307" s="2">
        <v>0.79166666666666663</v>
      </c>
      <c r="F307" t="s">
        <v>22</v>
      </c>
      <c r="G307">
        <f>VLOOKUP(Table46[[#This Row],[Home]],'NHL Model'!$A$6:$B$38,2,FALSE)</f>
        <v>-6.1308839486784707E-2</v>
      </c>
      <c r="H307" t="s">
        <v>13</v>
      </c>
      <c r="I307">
        <f>VLOOKUP(Table46[[#This Row],[Visitor]],'NHL Model'!$A$6:$B$38,2,FALSE)</f>
        <v>-7.5459708298993802E-2</v>
      </c>
      <c r="J307">
        <f>($B$1+Table46[[#This Row],[Home Differential]])-Table46[[#This Row],[Away Differential]]</f>
        <v>0.17672317847452751</v>
      </c>
      <c r="K307" t="str">
        <f>IF(Table46[[#This Row],[HomeIce Differential]]&gt;0,Table46[[#This Row],[Home]],Table46[[#This Row],[Visitor]])</f>
        <v>Washington Capitals</v>
      </c>
      <c r="L30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0.44209452042794239</v>
      </c>
      <c r="M307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307" t="str">
        <f>IF(OR((NHL2025_26Results[[#This Row],[Winning Team]]="")),"-",IF(Table46[[#This Row],[Predicted Winner]]=NHL2025_26Results[[#This Row],[Winning Team]],"YES","NO"))</f>
        <v>-</v>
      </c>
      <c r="O307" t="str">
        <f>IF(OR((NHL2025_26Results[[#This Row],[Winning Team]]="")),"-",IF(Table46[[#This Row],[Prob Winner]]=NHL2025_26Results[[#This Row],[Winning Team]],"YES","NO"))</f>
        <v>-</v>
      </c>
      <c r="P307" t="str">
        <f>IF(Table46[[#This Row],[Locked Prediction]]&lt;&gt;Table46[[#This Row],[Prob Winner]], "Changed", "Same")</f>
        <v>Changed</v>
      </c>
      <c r="Q30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08" spans="4:17" x14ac:dyDescent="0.2">
      <c r="D308" s="1">
        <v>45979</v>
      </c>
      <c r="E308" s="2">
        <v>0.85416666666666663</v>
      </c>
      <c r="F308" t="s">
        <v>10</v>
      </c>
      <c r="G308">
        <f>VLOOKUP(Table46[[#This Row],[Home]],'NHL Model'!$A$6:$B$38,2,FALSE)</f>
        <v>0.30570968833820172</v>
      </c>
      <c r="H308" t="s">
        <v>16</v>
      </c>
      <c r="I308">
        <f>VLOOKUP(Table46[[#This Row],[Visitor]],'NHL Model'!$A$6:$B$38,2,FALSE)</f>
        <v>-1.3903684122795328</v>
      </c>
      <c r="J308">
        <f>($B$1+Table46[[#This Row],[Home Differential]])-Table46[[#This Row],[Away Differential]]</f>
        <v>1.858650410280053</v>
      </c>
      <c r="K308" t="str">
        <f>IF(Table46[[#This Row],[HomeIce Differential]]&gt;0,Table46[[#This Row],[Home]],Table46[[#This Row],[Visitor]])</f>
        <v>Chicago Blackhawks</v>
      </c>
      <c r="L30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0.78704996551084505</v>
      </c>
      <c r="M308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308" t="str">
        <f>IF(OR((NHL2025_26Results[[#This Row],[Winning Team]]="")),"-",IF(Table46[[#This Row],[Predicted Winner]]=NHL2025_26Results[[#This Row],[Winning Team]],"YES","NO"))</f>
        <v>-</v>
      </c>
      <c r="O308" t="str">
        <f>IF(OR((NHL2025_26Results[[#This Row],[Winning Team]]="")),"-",IF(Table46[[#This Row],[Prob Winner]]=NHL2025_26Results[[#This Row],[Winning Team]],"YES","NO"))</f>
        <v>-</v>
      </c>
      <c r="P308" t="str">
        <f>IF(Table46[[#This Row],[Locked Prediction]]&lt;&gt;Table46[[#This Row],[Prob Winner]], "Changed", "Same")</f>
        <v>Changed</v>
      </c>
      <c r="Q30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09" spans="4:17" x14ac:dyDescent="0.2">
      <c r="D309" s="1">
        <v>45979</v>
      </c>
      <c r="E309" s="2">
        <v>0.83333333333333337</v>
      </c>
      <c r="F309" t="s">
        <v>39</v>
      </c>
      <c r="G309">
        <f>VLOOKUP(Table46[[#This Row],[Home]],'NHL Model'!$A$6:$B$38,2,FALSE)</f>
        <v>0.19809534061227302</v>
      </c>
      <c r="H309" t="s">
        <v>30</v>
      </c>
      <c r="I309">
        <f>VLOOKUP(Table46[[#This Row],[Visitor]],'NHL Model'!$A$6:$B$38,2,FALSE)</f>
        <v>-6.4729560818359025E-2</v>
      </c>
      <c r="J309">
        <f>($B$1+Table46[[#This Row],[Home Differential]])-Table46[[#This Row],[Away Differential]]</f>
        <v>0.42539721109295042</v>
      </c>
      <c r="K309" t="str">
        <f>IF(Table46[[#This Row],[HomeIce Differential]]&gt;0,Table46[[#This Row],[Home]],Table46[[#This Row],[Visitor]])</f>
        <v>Dallas Stars</v>
      </c>
      <c r="L30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0.58035289837186976</v>
      </c>
      <c r="M309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309" t="str">
        <f>IF(OR((NHL2025_26Results[[#This Row],[Winning Team]]="")),"-",IF(Table46[[#This Row],[Predicted Winner]]=NHL2025_26Results[[#This Row],[Winning Team]],"YES","NO"))</f>
        <v>-</v>
      </c>
      <c r="O309" t="str">
        <f>IF(OR((NHL2025_26Results[[#This Row],[Winning Team]]="")),"-",IF(Table46[[#This Row],[Prob Winner]]=NHL2025_26Results[[#This Row],[Winning Team]],"YES","NO"))</f>
        <v>-</v>
      </c>
      <c r="P309" t="str">
        <f>IF(Table46[[#This Row],[Locked Prediction]]&lt;&gt;Table46[[#This Row],[Prob Winner]], "Changed", "Same")</f>
        <v>Changed</v>
      </c>
      <c r="Q30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10" spans="4:17" x14ac:dyDescent="0.2">
      <c r="D310" s="1">
        <v>45979</v>
      </c>
      <c r="E310" s="2">
        <v>0.79166666666666663</v>
      </c>
      <c r="F310" t="s">
        <v>26</v>
      </c>
      <c r="G310">
        <f>VLOOKUP(Table46[[#This Row],[Home]],'NHL Model'!$A$6:$B$38,2,FALSE)</f>
        <v>-0.513643833119658</v>
      </c>
      <c r="H310" t="s">
        <v>32</v>
      </c>
      <c r="I310">
        <f>VLOOKUP(Table46[[#This Row],[Visitor]],'NHL Model'!$A$6:$B$38,2,FALSE)</f>
        <v>-0.361361309178443</v>
      </c>
      <c r="J310">
        <f>($B$1+Table46[[#This Row],[Home Differential]])-Table46[[#This Row],[Away Differential]]</f>
        <v>1.0289785721103395E-2</v>
      </c>
      <c r="K310" t="str">
        <f>IF(Table46[[#This Row],[HomeIce Differential]]&gt;0,Table46[[#This Row],[Home]],Table46[[#This Row],[Visitor]])</f>
        <v>Detroit Red Wings</v>
      </c>
      <c r="L3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0.5674054439416879</v>
      </c>
      <c r="M310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310" t="str">
        <f>IF(OR((NHL2025_26Results[[#This Row],[Winning Team]]="")),"-",IF(Table46[[#This Row],[Predicted Winner]]=NHL2025_26Results[[#This Row],[Winning Team]],"YES","NO"))</f>
        <v>-</v>
      </c>
      <c r="O310" t="str">
        <f>IF(OR((NHL2025_26Results[[#This Row],[Winning Team]]="")),"-",IF(Table46[[#This Row],[Prob Winner]]=NHL2025_26Results[[#This Row],[Winning Team]],"YES","NO"))</f>
        <v>-</v>
      </c>
      <c r="P310" t="str">
        <f>IF(Table46[[#This Row],[Locked Prediction]]&lt;&gt;Table46[[#This Row],[Prob Winner]], "Changed", "Same")</f>
        <v>Changed</v>
      </c>
      <c r="Q31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11" spans="4:17" x14ac:dyDescent="0.2">
      <c r="D311" s="1">
        <v>45979</v>
      </c>
      <c r="E311" s="2">
        <v>0.91666666666666663</v>
      </c>
      <c r="F311" t="s">
        <v>33</v>
      </c>
      <c r="G311">
        <f>VLOOKUP(Table46[[#This Row],[Home]],'NHL Model'!$A$6:$B$38,2,FALSE)</f>
        <v>-0.39418177254008485</v>
      </c>
      <c r="H311" t="s">
        <v>55</v>
      </c>
      <c r="I311">
        <f>VLOOKUP(Table46[[#This Row],[Visitor]],'NHL Model'!$A$6:$B$38,2,FALSE)</f>
        <v>-0.12212311954851815</v>
      </c>
      <c r="J311">
        <f>($B$1+Table46[[#This Row],[Home Differential]])-Table46[[#This Row],[Away Differential]]</f>
        <v>-0.10948634332924831</v>
      </c>
      <c r="K311" t="str">
        <f>IF(Table46[[#This Row],[HomeIce Differential]]&gt;0,Table46[[#This Row],[Home]],Table46[[#This Row],[Visitor]])</f>
        <v>Utah Mammoth</v>
      </c>
      <c r="L3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0.47455281595387472</v>
      </c>
      <c r="M311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311" t="str">
        <f>IF(OR((NHL2025_26Results[[#This Row],[Winning Team]]="")),"-",IF(Table46[[#This Row],[Predicted Winner]]=NHL2025_26Results[[#This Row],[Winning Team]],"YES","NO"))</f>
        <v>-</v>
      </c>
      <c r="O311" t="str">
        <f>IF(OR((NHL2025_26Results[[#This Row],[Winning Team]]="")),"-",IF(Table46[[#This Row],[Prob Winner]]=NHL2025_26Results[[#This Row],[Winning Team]],"YES","NO"))</f>
        <v>-</v>
      </c>
      <c r="P311" t="str">
        <f>IF(Table46[[#This Row],[Locked Prediction]]&lt;&gt;Table46[[#This Row],[Prob Winner]], "Changed", "Same")</f>
        <v>Changed</v>
      </c>
      <c r="Q31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12" spans="4:17" x14ac:dyDescent="0.2">
      <c r="D312" s="1">
        <v>45979</v>
      </c>
      <c r="E312" s="2">
        <v>0.79166666666666663</v>
      </c>
      <c r="F312" t="s">
        <v>37</v>
      </c>
      <c r="G312">
        <f>VLOOKUP(Table46[[#This Row],[Home]],'NHL Model'!$A$6:$B$38,2,FALSE)</f>
        <v>-0.11309445867623392</v>
      </c>
      <c r="H312" t="s">
        <v>24</v>
      </c>
      <c r="I312">
        <f>VLOOKUP(Table46[[#This Row],[Visitor]],'NHL Model'!$A$6:$B$38,2,FALSE)</f>
        <v>0.559441163373953</v>
      </c>
      <c r="J312">
        <f>($B$1+Table46[[#This Row],[Home Differential]])-Table46[[#This Row],[Away Differential]]</f>
        <v>-0.50996331238786852</v>
      </c>
      <c r="K312" t="str">
        <f>IF(Table46[[#This Row],[HomeIce Differential]]&gt;0,Table46[[#This Row],[Home]],Table46[[#This Row],[Visitor]])</f>
        <v>New Jersey Devils</v>
      </c>
      <c r="L3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0.59409960618305457</v>
      </c>
      <c r="M312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312" t="str">
        <f>IF(OR((NHL2025_26Results[[#This Row],[Winning Team]]="")),"-",IF(Table46[[#This Row],[Predicted Winner]]=NHL2025_26Results[[#This Row],[Winning Team]],"YES","NO"))</f>
        <v>-</v>
      </c>
      <c r="O312" t="str">
        <f>IF(OR((NHL2025_26Results[[#This Row],[Winning Team]]="")),"-",IF(Table46[[#This Row],[Prob Winner]]=NHL2025_26Results[[#This Row],[Winning Team]],"YES","NO"))</f>
        <v>-</v>
      </c>
      <c r="P312" t="str">
        <f>IF(Table46[[#This Row],[Locked Prediction]]&lt;&gt;Table46[[#This Row],[Prob Winner]], "Changed", "Same")</f>
        <v>Changed</v>
      </c>
      <c r="Q31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13" spans="4:17" x14ac:dyDescent="0.2">
      <c r="D313" s="1">
        <v>45979</v>
      </c>
      <c r="E313" s="2">
        <v>0.79166666666666663</v>
      </c>
      <c r="F313" t="s">
        <v>19</v>
      </c>
      <c r="G313">
        <f>VLOOKUP(Table46[[#This Row],[Home]],'NHL Model'!$A$6:$B$38,2,FALSE)</f>
        <v>-0.635565543477981</v>
      </c>
      <c r="H313" t="s">
        <v>35</v>
      </c>
      <c r="I313">
        <f>VLOOKUP(Table46[[#This Row],[Visitor]],'NHL Model'!$A$6:$B$38,2,FALSE)</f>
        <v>-1.6211574240381006</v>
      </c>
      <c r="J313">
        <f>($B$1+Table46[[#This Row],[Home Differential]])-Table46[[#This Row],[Away Differential]]</f>
        <v>1.148164190222438</v>
      </c>
      <c r="K313" t="str">
        <f>IF(Table46[[#This Row],[HomeIce Differential]]&gt;0,Table46[[#This Row],[Home]],Table46[[#This Row],[Visitor]])</f>
        <v>Toronto Maple Leafs</v>
      </c>
      <c r="L3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0.69261284318254401</v>
      </c>
      <c r="M313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313" t="str">
        <f>IF(OR((NHL2025_26Results[[#This Row],[Winning Team]]="")),"-",IF(Table46[[#This Row],[Predicted Winner]]=NHL2025_26Results[[#This Row],[Winning Team]],"YES","NO"))</f>
        <v>-</v>
      </c>
      <c r="O313" t="str">
        <f>IF(OR((NHL2025_26Results[[#This Row],[Winning Team]]="")),"-",IF(Table46[[#This Row],[Prob Winner]]=NHL2025_26Results[[#This Row],[Winning Team]],"YES","NO"))</f>
        <v>-</v>
      </c>
      <c r="P313" t="str">
        <f>IF(Table46[[#This Row],[Locked Prediction]]&lt;&gt;Table46[[#This Row],[Prob Winner]], "Changed", "Same")</f>
        <v>Changed</v>
      </c>
      <c r="Q31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14" spans="4:17" x14ac:dyDescent="0.2">
      <c r="D314" s="1">
        <v>45979</v>
      </c>
      <c r="E314" s="2">
        <v>0.91666666666666663</v>
      </c>
      <c r="F314" t="s">
        <v>20</v>
      </c>
      <c r="G314">
        <f>VLOOKUP(Table46[[#This Row],[Home]],'NHL Model'!$A$6:$B$38,2,FALSE)</f>
        <v>-6.3745791019188943E-4</v>
      </c>
      <c r="H314" t="s">
        <v>15</v>
      </c>
      <c r="I314">
        <f>VLOOKUP(Table46[[#This Row],[Visitor]],'NHL Model'!$A$6:$B$38,2,FALSE)</f>
        <v>-0.30719665303039001</v>
      </c>
      <c r="J314">
        <f>($B$1+Table46[[#This Row],[Home Differential]])-Table46[[#This Row],[Away Differential]]</f>
        <v>0.46913150478251653</v>
      </c>
      <c r="K314" t="str">
        <f>IF(Table46[[#This Row],[HomeIce Differential]]&gt;0,Table46[[#This Row],[Home]],Table46[[#This Row],[Visitor]])</f>
        <v>Vegas Golden Knights</v>
      </c>
      <c r="L31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0.45994685486463338</v>
      </c>
      <c r="M314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314" t="str">
        <f>IF(OR((NHL2025_26Results[[#This Row],[Winning Team]]="")),"-",IF(Table46[[#This Row],[Predicted Winner]]=NHL2025_26Results[[#This Row],[Winning Team]],"YES","NO"))</f>
        <v>-</v>
      </c>
      <c r="O314" t="str">
        <f>IF(OR((NHL2025_26Results[[#This Row],[Winning Team]]="")),"-",IF(Table46[[#This Row],[Prob Winner]]=NHL2025_26Results[[#This Row],[Winning Team]],"YES","NO"))</f>
        <v>-</v>
      </c>
      <c r="P314" t="str">
        <f>IF(Table46[[#This Row],[Locked Prediction]]&lt;&gt;Table46[[#This Row],[Prob Winner]], "Changed", "Same")</f>
        <v>Changed</v>
      </c>
      <c r="Q31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15" spans="4:17" x14ac:dyDescent="0.2">
      <c r="D315" s="1">
        <v>45979</v>
      </c>
      <c r="E315" s="2">
        <v>0.83333333333333337</v>
      </c>
      <c r="F315" t="s">
        <v>40</v>
      </c>
      <c r="G315">
        <f>VLOOKUP(Table46[[#This Row],[Home]],'NHL Model'!$A$6:$B$38,2,FALSE)</f>
        <v>0.105105258369765</v>
      </c>
      <c r="H315" t="s">
        <v>28</v>
      </c>
      <c r="I315">
        <f>VLOOKUP(Table46[[#This Row],[Visitor]],'NHL Model'!$A$6:$B$38,2,FALSE)</f>
        <v>-0.40822279081308277</v>
      </c>
      <c r="J315">
        <f>($B$1+Table46[[#This Row],[Home Differential]])-Table46[[#This Row],[Away Differential]]</f>
        <v>0.67590035884516619</v>
      </c>
      <c r="K315" t="str">
        <f>IF(Table46[[#This Row],[HomeIce Differential]]&gt;0,Table46[[#This Row],[Home]],Table46[[#This Row],[Visitor]])</f>
        <v>Winnipeg Jets</v>
      </c>
      <c r="L31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0.64539555958100658</v>
      </c>
      <c r="M315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315" t="str">
        <f>IF(OR((NHL2025_26Results[[#This Row],[Winning Team]]="")),"-",IF(Table46[[#This Row],[Predicted Winner]]=NHL2025_26Results[[#This Row],[Winning Team]],"YES","NO"))</f>
        <v>-</v>
      </c>
      <c r="O315" t="str">
        <f>IF(OR((NHL2025_26Results[[#This Row],[Winning Team]]="")),"-",IF(Table46[[#This Row],[Prob Winner]]=NHL2025_26Results[[#This Row],[Winning Team]],"YES","NO"))</f>
        <v>-</v>
      </c>
      <c r="P315" t="str">
        <f>IF(Table46[[#This Row],[Locked Prediction]]&lt;&gt;Table46[[#This Row],[Prob Winner]], "Changed", "Same")</f>
        <v>Changed</v>
      </c>
      <c r="Q31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16" spans="4:17" x14ac:dyDescent="0.2">
      <c r="D316" s="1">
        <v>45980</v>
      </c>
      <c r="E316" s="2">
        <v>0.91666666666666663</v>
      </c>
      <c r="F316" t="s">
        <v>31</v>
      </c>
      <c r="G316">
        <f>VLOOKUP(Table46[[#This Row],[Home]],'NHL Model'!$A$6:$B$38,2,FALSE)</f>
        <v>0.51775546328552802</v>
      </c>
      <c r="H316" t="s">
        <v>21</v>
      </c>
      <c r="I316">
        <f>VLOOKUP(Table46[[#This Row],[Visitor]],'NHL Model'!$A$6:$B$38,2,FALSE)</f>
        <v>4.029141914856392E-2</v>
      </c>
      <c r="J316">
        <f>($B$1+Table46[[#This Row],[Home Differential]])-Table46[[#This Row],[Away Differential]]</f>
        <v>0.64003635379928248</v>
      </c>
      <c r="K316" t="str">
        <f>IF(Table46[[#This Row],[HomeIce Differential]]&gt;0,Table46[[#This Row],[Home]],Table46[[#This Row],[Visitor]])</f>
        <v>Anaheim Ducks</v>
      </c>
      <c r="L31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0.72940289302162553</v>
      </c>
      <c r="M316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316" t="str">
        <f>IF(OR((NHL2025_26Results[[#This Row],[Winning Team]]="")),"-",IF(Table46[[#This Row],[Predicted Winner]]=NHL2025_26Results[[#This Row],[Winning Team]],"YES","NO"))</f>
        <v>-</v>
      </c>
      <c r="O316" t="str">
        <f>IF(OR((NHL2025_26Results[[#This Row],[Winning Team]]="")),"-",IF(Table46[[#This Row],[Prob Winner]]=NHL2025_26Results[[#This Row],[Winning Team]],"YES","NO"))</f>
        <v>-</v>
      </c>
      <c r="P316" t="str">
        <f>IF(Table46[[#This Row],[Locked Prediction]]&lt;&gt;Table46[[#This Row],[Prob Winner]], "Changed", "Same")</f>
        <v>Changed</v>
      </c>
      <c r="Q31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17" spans="4:17" x14ac:dyDescent="0.2">
      <c r="D317" s="1">
        <v>45980</v>
      </c>
      <c r="E317" s="2">
        <v>0.8125</v>
      </c>
      <c r="F317" t="s">
        <v>23</v>
      </c>
      <c r="G317">
        <f>VLOOKUP(Table46[[#This Row],[Home]],'NHL Model'!$A$6:$B$38,2,FALSE)</f>
        <v>-0.8683412362501769</v>
      </c>
      <c r="H317" t="s">
        <v>16</v>
      </c>
      <c r="I317">
        <f>VLOOKUP(Table46[[#This Row],[Visitor]],'NHL Model'!$A$6:$B$38,2,FALSE)</f>
        <v>-1.3903684122795328</v>
      </c>
      <c r="J317">
        <f>($B$1+Table46[[#This Row],[Home Differential]])-Table46[[#This Row],[Away Differential]]</f>
        <v>0.68459948569167428</v>
      </c>
      <c r="K317" t="str">
        <f>IF(Table46[[#This Row],[HomeIce Differential]]&gt;0,Table46[[#This Row],[Home]],Table46[[#This Row],[Visitor]])</f>
        <v>Buffalo Sabres</v>
      </c>
      <c r="L31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0.63099628332117963</v>
      </c>
      <c r="M317" s="11" t="str">
        <f>IF(Table46[[#This Row],[Strength of Win]]&gt; 0.5,Table46[[#This Row],[Predicted Winner]], IF(Table46[[#This Row],[Home]]=Table46[[#This Row],[Predicted Winner]],Table46[[#This Row],[Visitor]],Table46[[#This Row],[Home]]))</f>
        <v>Buffalo Sabres</v>
      </c>
      <c r="N317" t="str">
        <f>IF(OR((NHL2025_26Results[[#This Row],[Winning Team]]="")),"-",IF(Table46[[#This Row],[Predicted Winner]]=NHL2025_26Results[[#This Row],[Winning Team]],"YES","NO"))</f>
        <v>-</v>
      </c>
      <c r="O317" t="str">
        <f>IF(OR((NHL2025_26Results[[#This Row],[Winning Team]]="")),"-",IF(Table46[[#This Row],[Prob Winner]]=NHL2025_26Results[[#This Row],[Winning Team]],"YES","NO"))</f>
        <v>-</v>
      </c>
      <c r="P317" t="str">
        <f>IF(Table46[[#This Row],[Locked Prediction]]&lt;&gt;Table46[[#This Row],[Prob Winner]], "Changed", "Same")</f>
        <v>Changed</v>
      </c>
      <c r="Q31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18" spans="4:17" x14ac:dyDescent="0.2">
      <c r="D318" s="1">
        <v>45980</v>
      </c>
      <c r="E318" s="2">
        <v>0.89583333333333337</v>
      </c>
      <c r="F318" t="s">
        <v>34</v>
      </c>
      <c r="G318">
        <f>VLOOKUP(Table46[[#This Row],[Home]],'NHL Model'!$A$6:$B$38,2,FALSE)</f>
        <v>-0.53650300840565446</v>
      </c>
      <c r="H318" t="s">
        <v>25</v>
      </c>
      <c r="I318">
        <f>VLOOKUP(Table46[[#This Row],[Visitor]],'NHL Model'!$A$6:$B$38,2,FALSE)</f>
        <v>0.67193921242367816</v>
      </c>
      <c r="J318">
        <f>($B$1+Table46[[#This Row],[Home Differential]])-Table46[[#This Row],[Away Differential]]</f>
        <v>-1.0458699111670142</v>
      </c>
      <c r="K318" t="str">
        <f>IF(Table46[[#This Row],[HomeIce Differential]]&gt;0,Table46[[#This Row],[Home]],Table46[[#This Row],[Visitor]])</f>
        <v>Carolina Hurricanes</v>
      </c>
      <c r="L31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0.6915021771101757</v>
      </c>
      <c r="M318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318" t="str">
        <f>IF(OR((NHL2025_26Results[[#This Row],[Winning Team]]="")),"-",IF(Table46[[#This Row],[Predicted Winner]]=NHL2025_26Results[[#This Row],[Winning Team]],"YES","NO"))</f>
        <v>-</v>
      </c>
      <c r="O318" t="str">
        <f>IF(OR((NHL2025_26Results[[#This Row],[Winning Team]]="")),"-",IF(Table46[[#This Row],[Prob Winner]]=NHL2025_26Results[[#This Row],[Winning Team]],"YES","NO"))</f>
        <v>-</v>
      </c>
      <c r="P318" t="str">
        <f>IF(Table46[[#This Row],[Locked Prediction]]&lt;&gt;Table46[[#This Row],[Prob Winner]], "Changed", "Same")</f>
        <v>Changed</v>
      </c>
      <c r="Q31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19" spans="4:17" x14ac:dyDescent="0.2">
      <c r="D319" s="1">
        <v>45980</v>
      </c>
      <c r="E319" s="2">
        <v>0.79166666666666663</v>
      </c>
      <c r="F319" t="s">
        <v>22</v>
      </c>
      <c r="G319">
        <f>VLOOKUP(Table46[[#This Row],[Home]],'NHL Model'!$A$6:$B$38,2,FALSE)</f>
        <v>-6.1308839486784707E-2</v>
      </c>
      <c r="H319" t="s">
        <v>17</v>
      </c>
      <c r="I319">
        <f>VLOOKUP(Table46[[#This Row],[Visitor]],'NHL Model'!$A$6:$B$38,2,FALSE)</f>
        <v>-0.61980804137564283</v>
      </c>
      <c r="J319">
        <f>($B$1+Table46[[#This Row],[Home Differential]])-Table46[[#This Row],[Away Differential]]</f>
        <v>0.72107151155117655</v>
      </c>
      <c r="K319" t="str">
        <f>IF(Table46[[#This Row],[HomeIce Differential]]&gt;0,Table46[[#This Row],[Home]],Table46[[#This Row],[Visitor]])</f>
        <v>Washington Capitals</v>
      </c>
      <c r="L31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0.63584410875455044</v>
      </c>
      <c r="M319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319" t="str">
        <f>IF(OR((NHL2025_26Results[[#This Row],[Winning Team]]="")),"-",IF(Table46[[#This Row],[Predicted Winner]]=NHL2025_26Results[[#This Row],[Winning Team]],"YES","NO"))</f>
        <v>-</v>
      </c>
      <c r="O319" t="str">
        <f>IF(OR((NHL2025_26Results[[#This Row],[Winning Team]]="")),"-",IF(Table46[[#This Row],[Prob Winner]]=NHL2025_26Results[[#This Row],[Winning Team]],"YES","NO"))</f>
        <v>-</v>
      </c>
      <c r="P319" t="str">
        <f>IF(Table46[[#This Row],[Locked Prediction]]&lt;&gt;Table46[[#This Row],[Prob Winner]], "Changed", "Same")</f>
        <v>Changed</v>
      </c>
      <c r="Q31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20" spans="4:17" x14ac:dyDescent="0.2">
      <c r="D320" s="1">
        <v>45981</v>
      </c>
      <c r="E320" s="2">
        <v>0.91666666666666663</v>
      </c>
      <c r="F320" t="s">
        <v>31</v>
      </c>
      <c r="G320">
        <f>VLOOKUP(Table46[[#This Row],[Home]],'NHL Model'!$A$6:$B$38,2,FALSE)</f>
        <v>0.51775546328552802</v>
      </c>
      <c r="H320" t="s">
        <v>36</v>
      </c>
      <c r="I320">
        <f>VLOOKUP(Table46[[#This Row],[Visitor]],'NHL Model'!$A$6:$B$38,2,FALSE)</f>
        <v>-0.40651947573390851</v>
      </c>
      <c r="J320">
        <f>($B$1+Table46[[#This Row],[Home Differential]])-Table46[[#This Row],[Away Differential]]</f>
        <v>1.0868472486817549</v>
      </c>
      <c r="K320" t="str">
        <f>IF(Table46[[#This Row],[HomeIce Differential]]&gt;0,Table46[[#This Row],[Home]],Table46[[#This Row],[Visitor]])</f>
        <v>Anaheim Ducks</v>
      </c>
      <c r="L32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0.78879255315354468</v>
      </c>
      <c r="M320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320" t="str">
        <f>IF(OR((NHL2025_26Results[[#This Row],[Winning Team]]="")),"-",IF(Table46[[#This Row],[Predicted Winner]]=NHL2025_26Results[[#This Row],[Winning Team]],"YES","NO"))</f>
        <v>-</v>
      </c>
      <c r="O320" t="str">
        <f>IF(OR((NHL2025_26Results[[#This Row],[Winning Team]]="")),"-",IF(Table46[[#This Row],[Prob Winner]]=NHL2025_26Results[[#This Row],[Winning Team]],"YES","NO"))</f>
        <v>-</v>
      </c>
      <c r="P320" t="str">
        <f>IF(Table46[[#This Row],[Locked Prediction]]&lt;&gt;Table46[[#This Row],[Prob Winner]], "Changed", "Same")</f>
        <v>Changed</v>
      </c>
      <c r="Q32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21" spans="4:17" x14ac:dyDescent="0.2">
      <c r="D321" s="1">
        <v>45981</v>
      </c>
      <c r="E321" s="2">
        <v>0.83333333333333337</v>
      </c>
      <c r="F321" t="s">
        <v>10</v>
      </c>
      <c r="G321">
        <f>VLOOKUP(Table46[[#This Row],[Home]],'NHL Model'!$A$6:$B$38,2,FALSE)</f>
        <v>0.30570968833820172</v>
      </c>
      <c r="H321" t="s">
        <v>32</v>
      </c>
      <c r="I321">
        <f>VLOOKUP(Table46[[#This Row],[Visitor]],'NHL Model'!$A$6:$B$38,2,FALSE)</f>
        <v>-0.361361309178443</v>
      </c>
      <c r="J321">
        <f>($B$1+Table46[[#This Row],[Home Differential]])-Table46[[#This Row],[Away Differential]]</f>
        <v>0.82964330717896306</v>
      </c>
      <c r="K321" t="str">
        <f>IF(Table46[[#This Row],[HomeIce Differential]]&gt;0,Table46[[#This Row],[Home]],Table46[[#This Row],[Visitor]])</f>
        <v>Chicago Blackhawks</v>
      </c>
      <c r="L32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0.65027536393677354</v>
      </c>
      <c r="M321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321" t="str">
        <f>IF(OR((NHL2025_26Results[[#This Row],[Winning Team]]="")),"-",IF(Table46[[#This Row],[Predicted Winner]]=NHL2025_26Results[[#This Row],[Winning Team]],"YES","NO"))</f>
        <v>-</v>
      </c>
      <c r="O321" t="str">
        <f>IF(OR((NHL2025_26Results[[#This Row],[Winning Team]]="")),"-",IF(Table46[[#This Row],[Prob Winner]]=NHL2025_26Results[[#This Row],[Winning Team]],"YES","NO"))</f>
        <v>-</v>
      </c>
      <c r="P321" t="str">
        <f>IF(Table46[[#This Row],[Locked Prediction]]&lt;&gt;Table46[[#This Row],[Prob Winner]], "Changed", "Same")</f>
        <v>Changed</v>
      </c>
      <c r="Q32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22" spans="4:17" x14ac:dyDescent="0.2">
      <c r="D322" s="1">
        <v>45981</v>
      </c>
      <c r="E322" s="2">
        <v>0.875</v>
      </c>
      <c r="F322" t="s">
        <v>12</v>
      </c>
      <c r="G322">
        <f>VLOOKUP(Table46[[#This Row],[Home]],'NHL Model'!$A$6:$B$38,2,FALSE)</f>
        <v>1.5475013591489768</v>
      </c>
      <c r="H322" t="s">
        <v>15</v>
      </c>
      <c r="I322">
        <f>VLOOKUP(Table46[[#This Row],[Visitor]],'NHL Model'!$A$6:$B$38,2,FALSE)</f>
        <v>-0.30719665303039001</v>
      </c>
      <c r="J322">
        <f>($B$1+Table46[[#This Row],[Home Differential]])-Table46[[#This Row],[Away Differential]]</f>
        <v>2.0172703218416852</v>
      </c>
      <c r="K322" t="str">
        <f>IF(Table46[[#This Row],[HomeIce Differential]]&gt;0,Table46[[#This Row],[Home]],Table46[[#This Row],[Visitor]])</f>
        <v>Colorado Avalanche</v>
      </c>
      <c r="L32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0.75547533867985495</v>
      </c>
      <c r="M322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322" t="str">
        <f>IF(OR((NHL2025_26Results[[#This Row],[Winning Team]]="")),"-",IF(Table46[[#This Row],[Predicted Winner]]=NHL2025_26Results[[#This Row],[Winning Team]],"YES","NO"))</f>
        <v>-</v>
      </c>
      <c r="O322" t="str">
        <f>IF(OR((NHL2025_26Results[[#This Row],[Winning Team]]="")),"-",IF(Table46[[#This Row],[Prob Winner]]=NHL2025_26Results[[#This Row],[Winning Team]],"YES","NO"))</f>
        <v>-</v>
      </c>
      <c r="P322" t="str">
        <f>IF(Table46[[#This Row],[Locked Prediction]]&lt;&gt;Table46[[#This Row],[Prob Winner]], "Changed", "Same")</f>
        <v>Changed</v>
      </c>
      <c r="Q32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23" spans="4:17" x14ac:dyDescent="0.2">
      <c r="D323" s="1">
        <v>45981</v>
      </c>
      <c r="E323" s="2">
        <v>0.79166666666666663</v>
      </c>
      <c r="F323" t="s">
        <v>26</v>
      </c>
      <c r="G323">
        <f>VLOOKUP(Table46[[#This Row],[Home]],'NHL Model'!$A$6:$B$38,2,FALSE)</f>
        <v>-0.513643833119658</v>
      </c>
      <c r="H323" t="s">
        <v>30</v>
      </c>
      <c r="I323">
        <f>VLOOKUP(Table46[[#This Row],[Visitor]],'NHL Model'!$A$6:$B$38,2,FALSE)</f>
        <v>-6.4729560818359025E-2</v>
      </c>
      <c r="J323">
        <f>($B$1+Table46[[#This Row],[Home Differential]])-Table46[[#This Row],[Away Differential]]</f>
        <v>-0.2863419626389806</v>
      </c>
      <c r="K323" t="str">
        <f>IF(Table46[[#This Row],[HomeIce Differential]]&gt;0,Table46[[#This Row],[Home]],Table46[[#This Row],[Visitor]])</f>
        <v>New York Islanders</v>
      </c>
      <c r="L32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0.5142507653137055</v>
      </c>
      <c r="M323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323" t="str">
        <f>IF(OR((NHL2025_26Results[[#This Row],[Winning Team]]="")),"-",IF(Table46[[#This Row],[Predicted Winner]]=NHL2025_26Results[[#This Row],[Winning Team]],"YES","NO"))</f>
        <v>-</v>
      </c>
      <c r="O323" t="str">
        <f>IF(OR((NHL2025_26Results[[#This Row],[Winning Team]]="")),"-",IF(Table46[[#This Row],[Prob Winner]]=NHL2025_26Results[[#This Row],[Winning Team]],"YES","NO"))</f>
        <v>-</v>
      </c>
      <c r="P323" t="str">
        <f>IF(Table46[[#This Row],[Locked Prediction]]&lt;&gt;Table46[[#This Row],[Prob Winner]], "Changed", "Same")</f>
        <v>Changed</v>
      </c>
      <c r="Q32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24" spans="4:17" x14ac:dyDescent="0.2">
      <c r="D324" s="1">
        <v>45981</v>
      </c>
      <c r="E324" s="2">
        <v>0.79166666666666663</v>
      </c>
      <c r="F324" t="s">
        <v>11</v>
      </c>
      <c r="G324">
        <f>VLOOKUP(Table46[[#This Row],[Home]],'NHL Model'!$A$6:$B$38,2,FALSE)</f>
        <v>-0.28105923893144158</v>
      </c>
      <c r="H324" t="s">
        <v>24</v>
      </c>
      <c r="I324">
        <f>VLOOKUP(Table46[[#This Row],[Visitor]],'NHL Model'!$A$6:$B$38,2,FALSE)</f>
        <v>0.559441163373953</v>
      </c>
      <c r="J324">
        <f>($B$1+Table46[[#This Row],[Home Differential]])-Table46[[#This Row],[Away Differential]]</f>
        <v>-0.67792809264307619</v>
      </c>
      <c r="K324" t="str">
        <f>IF(Table46[[#This Row],[HomeIce Differential]]&gt;0,Table46[[#This Row],[Home]],Table46[[#This Row],[Visitor]])</f>
        <v>New Jersey Devils</v>
      </c>
      <c r="L32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0.56379373891313578</v>
      </c>
      <c r="M324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324" t="str">
        <f>IF(OR((NHL2025_26Results[[#This Row],[Winning Team]]="")),"-",IF(Table46[[#This Row],[Predicted Winner]]=NHL2025_26Results[[#This Row],[Winning Team]],"YES","NO"))</f>
        <v>-</v>
      </c>
      <c r="O324" t="str">
        <f>IF(OR((NHL2025_26Results[[#This Row],[Winning Team]]="")),"-",IF(Table46[[#This Row],[Prob Winner]]=NHL2025_26Results[[#This Row],[Winning Team]],"YES","NO"))</f>
        <v>-</v>
      </c>
      <c r="P324" t="str">
        <f>IF(Table46[[#This Row],[Locked Prediction]]&lt;&gt;Table46[[#This Row],[Prob Winner]], "Changed", "Same")</f>
        <v>Changed</v>
      </c>
      <c r="Q32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25" spans="4:17" x14ac:dyDescent="0.2">
      <c r="D325" s="1">
        <v>45981</v>
      </c>
      <c r="E325" s="2">
        <v>0.79166666666666663</v>
      </c>
      <c r="F325" t="s">
        <v>18</v>
      </c>
      <c r="G325">
        <f>VLOOKUP(Table46[[#This Row],[Home]],'NHL Model'!$A$6:$B$38,2,FALSE)</f>
        <v>-0.52437726201848234</v>
      </c>
      <c r="H325" t="s">
        <v>22</v>
      </c>
      <c r="I325">
        <f>VLOOKUP(Table46[[#This Row],[Visitor]],'NHL Model'!$A$6:$B$38,2,FALSE)</f>
        <v>-6.1308839486784707E-2</v>
      </c>
      <c r="J325">
        <f>($B$1+Table46[[#This Row],[Home Differential]])-Table46[[#This Row],[Away Differential]]</f>
        <v>-0.30049611286937922</v>
      </c>
      <c r="K325" t="str">
        <f>IF(Table46[[#This Row],[HomeIce Differential]]&gt;0,Table46[[#This Row],[Home]],Table46[[#This Row],[Visitor]])</f>
        <v>Washington Capitals</v>
      </c>
      <c r="L32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0.49994164470624541</v>
      </c>
      <c r="M325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325" t="str">
        <f>IF(OR((NHL2025_26Results[[#This Row],[Winning Team]]="")),"-",IF(Table46[[#This Row],[Predicted Winner]]=NHL2025_26Results[[#This Row],[Winning Team]],"YES","NO"))</f>
        <v>-</v>
      </c>
      <c r="O325" t="str">
        <f>IF(OR((NHL2025_26Results[[#This Row],[Winning Team]]="")),"-",IF(Table46[[#This Row],[Prob Winner]]=NHL2025_26Results[[#This Row],[Winning Team]],"YES","NO"))</f>
        <v>-</v>
      </c>
      <c r="P325" t="str">
        <f>IF(Table46[[#This Row],[Locked Prediction]]&lt;&gt;Table46[[#This Row],[Prob Winner]], "Changed", "Same")</f>
        <v>Changed</v>
      </c>
      <c r="Q32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26" spans="4:17" x14ac:dyDescent="0.2">
      <c r="D326" s="1">
        <v>45981</v>
      </c>
      <c r="E326" s="2">
        <v>0.79166666666666663</v>
      </c>
      <c r="F326" t="s">
        <v>27</v>
      </c>
      <c r="G326">
        <f>VLOOKUP(Table46[[#This Row],[Home]],'NHL Model'!$A$6:$B$38,2,FALSE)</f>
        <v>-0.51358590497437617</v>
      </c>
      <c r="H326" t="s">
        <v>35</v>
      </c>
      <c r="I326">
        <f>VLOOKUP(Table46[[#This Row],[Visitor]],'NHL Model'!$A$6:$B$38,2,FALSE)</f>
        <v>-1.6211574240381006</v>
      </c>
      <c r="J326">
        <f>($B$1+Table46[[#This Row],[Home Differential]])-Table46[[#This Row],[Away Differential]]</f>
        <v>1.2701438287260429</v>
      </c>
      <c r="K326" t="str">
        <f>IF(Table46[[#This Row],[HomeIce Differential]]&gt;0,Table46[[#This Row],[Home]],Table46[[#This Row],[Visitor]])</f>
        <v>Philadelphia Flyers</v>
      </c>
      <c r="L32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0.711321734720191</v>
      </c>
      <c r="M326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326" t="str">
        <f>IF(OR((NHL2025_26Results[[#This Row],[Winning Team]]="")),"-",IF(Table46[[#This Row],[Predicted Winner]]=NHL2025_26Results[[#This Row],[Winning Team]],"YES","NO"))</f>
        <v>-</v>
      </c>
      <c r="O326" t="str">
        <f>IF(OR((NHL2025_26Results[[#This Row],[Winning Team]]="")),"-",IF(Table46[[#This Row],[Prob Winner]]=NHL2025_26Results[[#This Row],[Winning Team]],"YES","NO"))</f>
        <v>-</v>
      </c>
      <c r="P326" t="str">
        <f>IF(Table46[[#This Row],[Locked Prediction]]&lt;&gt;Table46[[#This Row],[Prob Winner]], "Changed", "Same")</f>
        <v>Changed</v>
      </c>
      <c r="Q32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27" spans="4:17" x14ac:dyDescent="0.2">
      <c r="D327" s="1">
        <v>45981</v>
      </c>
      <c r="E327" s="2">
        <v>0.91666666666666663</v>
      </c>
      <c r="F327" t="s">
        <v>33</v>
      </c>
      <c r="G327">
        <f>VLOOKUP(Table46[[#This Row],[Home]],'NHL Model'!$A$6:$B$38,2,FALSE)</f>
        <v>-0.39418177254008485</v>
      </c>
      <c r="H327" t="s">
        <v>13</v>
      </c>
      <c r="I327">
        <f>VLOOKUP(Table46[[#This Row],[Visitor]],'NHL Model'!$A$6:$B$38,2,FALSE)</f>
        <v>-7.5459708298993802E-2</v>
      </c>
      <c r="J327">
        <f>($B$1+Table46[[#This Row],[Home Differential]])-Table46[[#This Row],[Away Differential]]</f>
        <v>-0.15614975457877267</v>
      </c>
      <c r="K327" t="str">
        <f>IF(Table46[[#This Row],[HomeIce Differential]]&gt;0,Table46[[#This Row],[Home]],Table46[[#This Row],[Visitor]])</f>
        <v>Los Angeles Kings</v>
      </c>
      <c r="L32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0.6021506190428636</v>
      </c>
      <c r="M327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327" t="str">
        <f>IF(OR((NHL2025_26Results[[#This Row],[Winning Team]]="")),"-",IF(Table46[[#This Row],[Predicted Winner]]=NHL2025_26Results[[#This Row],[Winning Team]],"YES","NO"))</f>
        <v>-</v>
      </c>
      <c r="O327" t="str">
        <f>IF(OR((NHL2025_26Results[[#This Row],[Winning Team]]="")),"-",IF(Table46[[#This Row],[Prob Winner]]=NHL2025_26Results[[#This Row],[Winning Team]],"YES","NO"))</f>
        <v>-</v>
      </c>
      <c r="P327" t="str">
        <f>IF(Table46[[#This Row],[Locked Prediction]]&lt;&gt;Table46[[#This Row],[Prob Winner]], "Changed", "Same")</f>
        <v>Changed</v>
      </c>
      <c r="Q32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28" spans="4:17" x14ac:dyDescent="0.2">
      <c r="D328" s="1">
        <v>45981</v>
      </c>
      <c r="E328" s="2">
        <v>0.8125</v>
      </c>
      <c r="F328" t="s">
        <v>37</v>
      </c>
      <c r="G328">
        <f>VLOOKUP(Table46[[#This Row],[Home]],'NHL Model'!$A$6:$B$38,2,FALSE)</f>
        <v>-0.11309445867623392</v>
      </c>
      <c r="H328" t="s">
        <v>17</v>
      </c>
      <c r="I328">
        <f>VLOOKUP(Table46[[#This Row],[Visitor]],'NHL Model'!$A$6:$B$38,2,FALSE)</f>
        <v>-0.61980804137564283</v>
      </c>
      <c r="J328">
        <f>($B$1+Table46[[#This Row],[Home Differential]])-Table46[[#This Row],[Away Differential]]</f>
        <v>0.66928589236172731</v>
      </c>
      <c r="K328" t="str">
        <f>IF(Table46[[#This Row],[HomeIce Differential]]&gt;0,Table46[[#This Row],[Home]],Table46[[#This Row],[Visitor]])</f>
        <v>Tampa Bay Lightning</v>
      </c>
      <c r="L32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0.62896081571356188</v>
      </c>
      <c r="M328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328" t="str">
        <f>IF(OR((NHL2025_26Results[[#This Row],[Winning Team]]="")),"-",IF(Table46[[#This Row],[Predicted Winner]]=NHL2025_26Results[[#This Row],[Winning Team]],"YES","NO"))</f>
        <v>-</v>
      </c>
      <c r="O328" t="str">
        <f>IF(OR((NHL2025_26Results[[#This Row],[Winning Team]]="")),"-",IF(Table46[[#This Row],[Prob Winner]]=NHL2025_26Results[[#This Row],[Winning Team]],"YES","NO"))</f>
        <v>-</v>
      </c>
      <c r="P328" t="str">
        <f>IF(Table46[[#This Row],[Locked Prediction]]&lt;&gt;Table46[[#This Row],[Prob Winner]], "Changed", "Same")</f>
        <v>Changed</v>
      </c>
      <c r="Q32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29" spans="4:17" x14ac:dyDescent="0.2">
      <c r="D329" s="1">
        <v>45981</v>
      </c>
      <c r="E329" s="2">
        <v>0.79166666666666663</v>
      </c>
      <c r="F329" t="s">
        <v>19</v>
      </c>
      <c r="G329">
        <f>VLOOKUP(Table46[[#This Row],[Home]],'NHL Model'!$A$6:$B$38,2,FALSE)</f>
        <v>-0.635565543477981</v>
      </c>
      <c r="H329" t="s">
        <v>28</v>
      </c>
      <c r="I329">
        <f>VLOOKUP(Table46[[#This Row],[Visitor]],'NHL Model'!$A$6:$B$38,2,FALSE)</f>
        <v>-0.40822279081308277</v>
      </c>
      <c r="J329">
        <f>($B$1+Table46[[#This Row],[Home Differential]])-Table46[[#This Row],[Away Differential]]</f>
        <v>-6.4770443002579836E-2</v>
      </c>
      <c r="K329" t="str">
        <f>IF(Table46[[#This Row],[HomeIce Differential]]&gt;0,Table46[[#This Row],[Home]],Table46[[#This Row],[Visitor]])</f>
        <v>Columbus Blue Jackets</v>
      </c>
      <c r="L32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0.48937845368786365</v>
      </c>
      <c r="M329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329" t="str">
        <f>IF(OR((NHL2025_26Results[[#This Row],[Winning Team]]="")),"-",IF(Table46[[#This Row],[Predicted Winner]]=NHL2025_26Results[[#This Row],[Winning Team]],"YES","NO"))</f>
        <v>-</v>
      </c>
      <c r="O329" t="str">
        <f>IF(OR((NHL2025_26Results[[#This Row],[Winning Team]]="")),"-",IF(Table46[[#This Row],[Prob Winner]]=NHL2025_26Results[[#This Row],[Winning Team]],"YES","NO"))</f>
        <v>-</v>
      </c>
      <c r="P329" t="str">
        <f>IF(Table46[[#This Row],[Locked Prediction]]&lt;&gt;Table46[[#This Row],[Prob Winner]], "Changed", "Same")</f>
        <v>Changed</v>
      </c>
      <c r="Q32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30" spans="4:17" x14ac:dyDescent="0.2">
      <c r="D330" s="1">
        <v>45981</v>
      </c>
      <c r="E330" s="2">
        <v>0.875</v>
      </c>
      <c r="F330" t="s">
        <v>55</v>
      </c>
      <c r="G330">
        <f>VLOOKUP(Table46[[#This Row],[Home]],'NHL Model'!$A$6:$B$38,2,FALSE)</f>
        <v>-0.12212311954851815</v>
      </c>
      <c r="H330" t="s">
        <v>20</v>
      </c>
      <c r="I330">
        <f>VLOOKUP(Table46[[#This Row],[Visitor]],'NHL Model'!$A$6:$B$38,2,FALSE)</f>
        <v>-6.3745791019188943E-4</v>
      </c>
      <c r="J330">
        <f>($B$1+Table46[[#This Row],[Home Differential]])-Table46[[#This Row],[Away Differential]]</f>
        <v>4.1086648023992131E-2</v>
      </c>
      <c r="K330" t="str">
        <f>IF(Table46[[#This Row],[HomeIce Differential]]&gt;0,Table46[[#This Row],[Home]],Table46[[#This Row],[Visitor]])</f>
        <v>Utah Mammoth</v>
      </c>
      <c r="L33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0.59369649054336648</v>
      </c>
      <c r="M330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330" t="str">
        <f>IF(OR((NHL2025_26Results[[#This Row],[Winning Team]]="")),"-",IF(Table46[[#This Row],[Predicted Winner]]=NHL2025_26Results[[#This Row],[Winning Team]],"YES","NO"))</f>
        <v>-</v>
      </c>
      <c r="O330" t="str">
        <f>IF(OR((NHL2025_26Results[[#This Row],[Winning Team]]="")),"-",IF(Table46[[#This Row],[Prob Winner]]=NHL2025_26Results[[#This Row],[Winning Team]],"YES","NO"))</f>
        <v>-</v>
      </c>
      <c r="P330" t="str">
        <f>IF(Table46[[#This Row],[Locked Prediction]]&lt;&gt;Table46[[#This Row],[Prob Winner]], "Changed", "Same")</f>
        <v>Changed</v>
      </c>
      <c r="Q33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31" spans="4:17" x14ac:dyDescent="0.2">
      <c r="D331" s="1">
        <v>45981</v>
      </c>
      <c r="E331" s="2">
        <v>0.91666666666666663</v>
      </c>
      <c r="F331" t="s">
        <v>38</v>
      </c>
      <c r="G331">
        <f>VLOOKUP(Table46[[#This Row],[Home]],'NHL Model'!$A$6:$B$38,2,FALSE)</f>
        <v>-0.6902088310934803</v>
      </c>
      <c r="H331" t="s">
        <v>39</v>
      </c>
      <c r="I331">
        <f>VLOOKUP(Table46[[#This Row],[Visitor]],'NHL Model'!$A$6:$B$38,2,FALSE)</f>
        <v>0.19809534061227302</v>
      </c>
      <c r="J331">
        <f>($B$1+Table46[[#This Row],[Home Differential]])-Table46[[#This Row],[Away Differential]]</f>
        <v>-0.72573186204343498</v>
      </c>
      <c r="K331" t="str">
        <f>IF(Table46[[#This Row],[HomeIce Differential]]&gt;0,Table46[[#This Row],[Home]],Table46[[#This Row],[Visitor]])</f>
        <v>Dallas Stars</v>
      </c>
      <c r="L33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0.64894974575608777</v>
      </c>
      <c r="M331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331" t="str">
        <f>IF(OR((NHL2025_26Results[[#This Row],[Winning Team]]="")),"-",IF(Table46[[#This Row],[Predicted Winner]]=NHL2025_26Results[[#This Row],[Winning Team]],"YES","NO"))</f>
        <v>-</v>
      </c>
      <c r="O331" t="str">
        <f>IF(OR((NHL2025_26Results[[#This Row],[Winning Team]]="")),"-",IF(Table46[[#This Row],[Prob Winner]]=NHL2025_26Results[[#This Row],[Winning Team]],"YES","NO"))</f>
        <v>-</v>
      </c>
      <c r="P331" t="str">
        <f>IF(Table46[[#This Row],[Locked Prediction]]&lt;&gt;Table46[[#This Row],[Prob Winner]], "Changed", "Same")</f>
        <v>Changed</v>
      </c>
      <c r="Q33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32" spans="4:17" x14ac:dyDescent="0.2">
      <c r="D332" s="1">
        <v>45982</v>
      </c>
      <c r="E332" s="2">
        <v>0.79166666666666663</v>
      </c>
      <c r="F332" t="s">
        <v>23</v>
      </c>
      <c r="G332">
        <f>VLOOKUP(Table46[[#This Row],[Home]],'NHL Model'!$A$6:$B$38,2,FALSE)</f>
        <v>-0.8683412362501769</v>
      </c>
      <c r="H332" t="s">
        <v>10</v>
      </c>
      <c r="I332">
        <f>VLOOKUP(Table46[[#This Row],[Visitor]],'NHL Model'!$A$6:$B$38,2,FALSE)</f>
        <v>0.30570968833820172</v>
      </c>
      <c r="J332">
        <f>($B$1+Table46[[#This Row],[Home Differential]])-Table46[[#This Row],[Away Differential]]</f>
        <v>-1.0114786149260602</v>
      </c>
      <c r="K332" t="str">
        <f>IF(Table46[[#This Row],[HomeIce Differential]]&gt;0,Table46[[#This Row],[Home]],Table46[[#This Row],[Visitor]])</f>
        <v>Chicago Blackhawks</v>
      </c>
      <c r="L33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0.61521396311391563</v>
      </c>
      <c r="M332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332" t="str">
        <f>IF(OR((NHL2025_26Results[[#This Row],[Winning Team]]="")),"-",IF(Table46[[#This Row],[Predicted Winner]]=NHL2025_26Results[[#This Row],[Winning Team]],"YES","NO"))</f>
        <v>-</v>
      </c>
      <c r="O332" t="str">
        <f>IF(OR((NHL2025_26Results[[#This Row],[Winning Team]]="")),"-",IF(Table46[[#This Row],[Prob Winner]]=NHL2025_26Results[[#This Row],[Winning Team]],"YES","NO"))</f>
        <v>-</v>
      </c>
      <c r="P332" t="str">
        <f>IF(Table46[[#This Row],[Locked Prediction]]&lt;&gt;Table46[[#This Row],[Prob Winner]], "Changed", "Same")</f>
        <v>Changed</v>
      </c>
      <c r="Q33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33" spans="4:17" x14ac:dyDescent="0.2">
      <c r="D333" s="1">
        <v>45982</v>
      </c>
      <c r="E333" s="2">
        <v>0.9375</v>
      </c>
      <c r="F333" t="s">
        <v>13</v>
      </c>
      <c r="G333">
        <f>VLOOKUP(Table46[[#This Row],[Home]],'NHL Model'!$A$6:$B$38,2,FALSE)</f>
        <v>-7.5459708298993802E-2</v>
      </c>
      <c r="H333" t="s">
        <v>21</v>
      </c>
      <c r="I333">
        <f>VLOOKUP(Table46[[#This Row],[Visitor]],'NHL Model'!$A$6:$B$38,2,FALSE)</f>
        <v>4.029141914856392E-2</v>
      </c>
      <c r="J333">
        <f>($B$1+Table46[[#This Row],[Home Differential]])-Table46[[#This Row],[Away Differential]]</f>
        <v>4.682118221476067E-2</v>
      </c>
      <c r="K333" t="str">
        <f>IF(Table46[[#This Row],[HomeIce Differential]]&gt;0,Table46[[#This Row],[Home]],Table46[[#This Row],[Visitor]])</f>
        <v>Los Angeles Kings</v>
      </c>
      <c r="L33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0.54622342501169485</v>
      </c>
      <c r="M333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333" t="str">
        <f>IF(OR((NHL2025_26Results[[#This Row],[Winning Team]]="")),"-",IF(Table46[[#This Row],[Predicted Winner]]=NHL2025_26Results[[#This Row],[Winning Team]],"YES","NO"))</f>
        <v>-</v>
      </c>
      <c r="O333" t="str">
        <f>IF(OR((NHL2025_26Results[[#This Row],[Winning Team]]="")),"-",IF(Table46[[#This Row],[Prob Winner]]=NHL2025_26Results[[#This Row],[Winning Team]],"YES","NO"))</f>
        <v>-</v>
      </c>
      <c r="P333" t="str">
        <f>IF(Table46[[#This Row],[Locked Prediction]]&lt;&gt;Table46[[#This Row],[Prob Winner]], "Changed", "Same")</f>
        <v>Changed</v>
      </c>
      <c r="Q33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34" spans="4:17" x14ac:dyDescent="0.2">
      <c r="D334" s="1">
        <v>45982</v>
      </c>
      <c r="E334" s="2">
        <v>0.79166666666666663</v>
      </c>
      <c r="F334" t="s">
        <v>14</v>
      </c>
      <c r="G334">
        <f>VLOOKUP(Table46[[#This Row],[Home]],'NHL Model'!$A$6:$B$38,2,FALSE)</f>
        <v>0.26289091192875702</v>
      </c>
      <c r="H334" t="s">
        <v>34</v>
      </c>
      <c r="I334">
        <f>VLOOKUP(Table46[[#This Row],[Visitor]],'NHL Model'!$A$6:$B$38,2,FALSE)</f>
        <v>-0.53650300840565446</v>
      </c>
      <c r="J334">
        <f>($B$1+Table46[[#This Row],[Home Differential]])-Table46[[#This Row],[Away Differential]]</f>
        <v>0.96196622999672987</v>
      </c>
      <c r="K334" t="str">
        <f>IF(Table46[[#This Row],[HomeIce Differential]]&gt;0,Table46[[#This Row],[Home]],Table46[[#This Row],[Visitor]])</f>
        <v>Pittsburgh Penguins</v>
      </c>
      <c r="L33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0.70390046170198439</v>
      </c>
      <c r="M334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334" t="str">
        <f>IF(OR((NHL2025_26Results[[#This Row],[Winning Team]]="")),"-",IF(Table46[[#This Row],[Predicted Winner]]=NHL2025_26Results[[#This Row],[Winning Team]],"YES","NO"))</f>
        <v>-</v>
      </c>
      <c r="O334" t="str">
        <f>IF(OR((NHL2025_26Results[[#This Row],[Winning Team]]="")),"-",IF(Table46[[#This Row],[Prob Winner]]=NHL2025_26Results[[#This Row],[Winning Team]],"YES","NO"))</f>
        <v>-</v>
      </c>
      <c r="P334" t="str">
        <f>IF(Table46[[#This Row],[Locked Prediction]]&lt;&gt;Table46[[#This Row],[Prob Winner]], "Changed", "Same")</f>
        <v>Changed</v>
      </c>
      <c r="Q33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35" spans="4:17" x14ac:dyDescent="0.2">
      <c r="D335" s="1">
        <v>45982</v>
      </c>
      <c r="E335" s="2">
        <v>0.83333333333333337</v>
      </c>
      <c r="F335" t="s">
        <v>40</v>
      </c>
      <c r="G335">
        <f>VLOOKUP(Table46[[#This Row],[Home]],'NHL Model'!$A$6:$B$38,2,FALSE)</f>
        <v>0.105105258369765</v>
      </c>
      <c r="H335" t="s">
        <v>25</v>
      </c>
      <c r="I335">
        <f>VLOOKUP(Table46[[#This Row],[Visitor]],'NHL Model'!$A$6:$B$38,2,FALSE)</f>
        <v>0.67193921242367816</v>
      </c>
      <c r="J335">
        <f>($B$1+Table46[[#This Row],[Home Differential]])-Table46[[#This Row],[Away Differential]]</f>
        <v>-0.40426164439159473</v>
      </c>
      <c r="K335" t="str">
        <f>IF(Table46[[#This Row],[HomeIce Differential]]&gt;0,Table46[[#This Row],[Home]],Table46[[#This Row],[Visitor]])</f>
        <v>Carolina Hurricanes</v>
      </c>
      <c r="L33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0.56986308829781895</v>
      </c>
      <c r="M335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335" t="str">
        <f>IF(OR((NHL2025_26Results[[#This Row],[Winning Team]]="")),"-",IF(Table46[[#This Row],[Predicted Winner]]=NHL2025_26Results[[#This Row],[Winning Team]],"YES","NO"))</f>
        <v>-</v>
      </c>
      <c r="O335" t="str">
        <f>IF(OR((NHL2025_26Results[[#This Row],[Winning Team]]="")),"-",IF(Table46[[#This Row],[Prob Winner]]=NHL2025_26Results[[#This Row],[Winning Team]],"YES","NO"))</f>
        <v>-</v>
      </c>
      <c r="P335" t="str">
        <f>IF(Table46[[#This Row],[Locked Prediction]]&lt;&gt;Table46[[#This Row],[Prob Winner]], "Changed", "Same")</f>
        <v>Changed</v>
      </c>
      <c r="Q33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36" spans="4:17" x14ac:dyDescent="0.2">
      <c r="D336" s="1">
        <v>45983</v>
      </c>
      <c r="E336" s="2">
        <v>0.91666666666666663</v>
      </c>
      <c r="F336" t="s">
        <v>31</v>
      </c>
      <c r="G336">
        <f>VLOOKUP(Table46[[#This Row],[Home]],'NHL Model'!$A$6:$B$38,2,FALSE)</f>
        <v>0.51775546328552802</v>
      </c>
      <c r="H336" t="s">
        <v>20</v>
      </c>
      <c r="I336">
        <f>VLOOKUP(Table46[[#This Row],[Visitor]],'NHL Model'!$A$6:$B$38,2,FALSE)</f>
        <v>-6.3745791019188943E-4</v>
      </c>
      <c r="J336">
        <f>($B$1+Table46[[#This Row],[Home Differential]])-Table46[[#This Row],[Away Differential]]</f>
        <v>0.68096523085803828</v>
      </c>
      <c r="K336" t="str">
        <f>IF(Table46[[#This Row],[HomeIce Differential]]&gt;0,Table46[[#This Row],[Home]],Table46[[#This Row],[Visitor]])</f>
        <v>Anaheim Ducks</v>
      </c>
      <c r="L33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0.71551322178021337</v>
      </c>
      <c r="M336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336" t="str">
        <f>IF(OR((NHL2025_26Results[[#This Row],[Winning Team]]="")),"-",IF(Table46[[#This Row],[Predicted Winner]]=NHL2025_26Results[[#This Row],[Winning Team]],"YES","NO"))</f>
        <v>-</v>
      </c>
      <c r="O336" t="str">
        <f>IF(OR((NHL2025_26Results[[#This Row],[Winning Team]]="")),"-",IF(Table46[[#This Row],[Prob Winner]]=NHL2025_26Results[[#This Row],[Winning Team]],"YES","NO"))</f>
        <v>-</v>
      </c>
      <c r="P336" t="str">
        <f>IF(Table46[[#This Row],[Locked Prediction]]&lt;&gt;Table46[[#This Row],[Prob Winner]], "Changed", "Same")</f>
        <v>Changed</v>
      </c>
      <c r="Q33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37" spans="4:17" x14ac:dyDescent="0.2">
      <c r="D337" s="1">
        <v>45983</v>
      </c>
      <c r="E337" s="2">
        <v>0.91666666666666663</v>
      </c>
      <c r="F337" t="s">
        <v>16</v>
      </c>
      <c r="G337">
        <f>VLOOKUP(Table46[[#This Row],[Home]],'NHL Model'!$A$6:$B$38,2,FALSE)</f>
        <v>-1.3903684122795328</v>
      </c>
      <c r="H337" t="s">
        <v>39</v>
      </c>
      <c r="I337">
        <f>VLOOKUP(Table46[[#This Row],[Visitor]],'NHL Model'!$A$6:$B$38,2,FALSE)</f>
        <v>0.19809534061227302</v>
      </c>
      <c r="J337">
        <f>($B$1+Table46[[#This Row],[Home Differential]])-Table46[[#This Row],[Away Differential]]</f>
        <v>-1.4258914432294874</v>
      </c>
      <c r="K337" t="str">
        <f>IF(Table46[[#This Row],[HomeIce Differential]]&gt;0,Table46[[#This Row],[Home]],Table46[[#This Row],[Visitor]])</f>
        <v>Dallas Stars</v>
      </c>
      <c r="L33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0.74201426150762106</v>
      </c>
      <c r="M337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337" t="str">
        <f>IF(OR((NHL2025_26Results[[#This Row],[Winning Team]]="")),"-",IF(Table46[[#This Row],[Predicted Winner]]=NHL2025_26Results[[#This Row],[Winning Team]],"YES","NO"))</f>
        <v>-</v>
      </c>
      <c r="O337" t="str">
        <f>IF(OR((NHL2025_26Results[[#This Row],[Winning Team]]="")),"-",IF(Table46[[#This Row],[Prob Winner]]=NHL2025_26Results[[#This Row],[Winning Team]],"YES","NO"))</f>
        <v>-</v>
      </c>
      <c r="P337" t="str">
        <f>IF(Table46[[#This Row],[Locked Prediction]]&lt;&gt;Table46[[#This Row],[Prob Winner]], "Changed", "Same")</f>
        <v>Changed</v>
      </c>
      <c r="Q33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38" spans="4:17" x14ac:dyDescent="0.2">
      <c r="D338" s="1">
        <v>45983</v>
      </c>
      <c r="E338" s="2">
        <v>0.54166666666666663</v>
      </c>
      <c r="F338" t="s">
        <v>26</v>
      </c>
      <c r="G338">
        <f>VLOOKUP(Table46[[#This Row],[Home]],'NHL Model'!$A$6:$B$38,2,FALSE)</f>
        <v>-0.513643833119658</v>
      </c>
      <c r="H338" t="s">
        <v>28</v>
      </c>
      <c r="I338">
        <f>VLOOKUP(Table46[[#This Row],[Visitor]],'NHL Model'!$A$6:$B$38,2,FALSE)</f>
        <v>-0.40822279081308277</v>
      </c>
      <c r="J338">
        <f>($B$1+Table46[[#This Row],[Home Differential]])-Table46[[#This Row],[Away Differential]]</f>
        <v>5.7151267355743163E-2</v>
      </c>
      <c r="K338" t="str">
        <f>IF(Table46[[#This Row],[HomeIce Differential]]&gt;0,Table46[[#This Row],[Home]],Table46[[#This Row],[Visitor]])</f>
        <v>Detroit Red Wings</v>
      </c>
      <c r="L33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0.55305103511771447</v>
      </c>
      <c r="M338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338" t="str">
        <f>IF(OR((NHL2025_26Results[[#This Row],[Winning Team]]="")),"-",IF(Table46[[#This Row],[Predicted Winner]]=NHL2025_26Results[[#This Row],[Winning Team]],"YES","NO"))</f>
        <v>-</v>
      </c>
      <c r="O338" t="str">
        <f>IF(OR((NHL2025_26Results[[#This Row],[Winning Team]]="")),"-",IF(Table46[[#This Row],[Prob Winner]]=NHL2025_26Results[[#This Row],[Winning Team]],"YES","NO"))</f>
        <v>-</v>
      </c>
      <c r="P338" t="str">
        <f>IF(Table46[[#This Row],[Locked Prediction]]&lt;&gt;Table46[[#This Row],[Prob Winner]], "Changed", "Same")</f>
        <v>Changed</v>
      </c>
      <c r="Q33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39" spans="4:17" x14ac:dyDescent="0.2">
      <c r="D339" s="1">
        <v>45983</v>
      </c>
      <c r="E339" s="2">
        <v>0.79166666666666663</v>
      </c>
      <c r="F339" t="s">
        <v>11</v>
      </c>
      <c r="G339">
        <f>VLOOKUP(Table46[[#This Row],[Home]],'NHL Model'!$A$6:$B$38,2,FALSE)</f>
        <v>-0.28105923893144158</v>
      </c>
      <c r="H339" t="s">
        <v>17</v>
      </c>
      <c r="I339">
        <f>VLOOKUP(Table46[[#This Row],[Visitor]],'NHL Model'!$A$6:$B$38,2,FALSE)</f>
        <v>-0.61980804137564283</v>
      </c>
      <c r="J339">
        <f>($B$1+Table46[[#This Row],[Home Differential]])-Table46[[#This Row],[Away Differential]]</f>
        <v>0.50132111210651964</v>
      </c>
      <c r="K339" t="str">
        <f>IF(Table46[[#This Row],[HomeIce Differential]]&gt;0,Table46[[#This Row],[Home]],Table46[[#This Row],[Visitor]])</f>
        <v>Florida Panthers</v>
      </c>
      <c r="L33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0.65835108036747314</v>
      </c>
      <c r="M339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339" t="str">
        <f>IF(OR((NHL2025_26Results[[#This Row],[Winning Team]]="")),"-",IF(Table46[[#This Row],[Predicted Winner]]=NHL2025_26Results[[#This Row],[Winning Team]],"YES","NO"))</f>
        <v>-</v>
      </c>
      <c r="O339" t="str">
        <f>IF(OR((NHL2025_26Results[[#This Row],[Winning Team]]="")),"-",IF(Table46[[#This Row],[Prob Winner]]=NHL2025_26Results[[#This Row],[Winning Team]],"YES","NO"))</f>
        <v>-</v>
      </c>
      <c r="P339" t="str">
        <f>IF(Table46[[#This Row],[Locked Prediction]]&lt;&gt;Table46[[#This Row],[Prob Winner]], "Changed", "Same")</f>
        <v>Changed</v>
      </c>
      <c r="Q33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40" spans="4:17" x14ac:dyDescent="0.2">
      <c r="D340" s="1">
        <v>45983</v>
      </c>
      <c r="E340" s="2">
        <v>0.79166666666666663</v>
      </c>
      <c r="F340" t="s">
        <v>18</v>
      </c>
      <c r="G340">
        <f>VLOOKUP(Table46[[#This Row],[Home]],'NHL Model'!$A$6:$B$38,2,FALSE)</f>
        <v>-0.52437726201848234</v>
      </c>
      <c r="H340" t="s">
        <v>19</v>
      </c>
      <c r="I340">
        <f>VLOOKUP(Table46[[#This Row],[Visitor]],'NHL Model'!$A$6:$B$38,2,FALSE)</f>
        <v>-0.635565543477981</v>
      </c>
      <c r="J340">
        <f>($B$1+Table46[[#This Row],[Home Differential]])-Table46[[#This Row],[Away Differential]]</f>
        <v>0.27376059112181705</v>
      </c>
      <c r="K340" t="str">
        <f>IF(Table46[[#This Row],[HomeIce Differential]]&gt;0,Table46[[#This Row],[Home]],Table46[[#This Row],[Visitor]])</f>
        <v>Montreal Canadiens</v>
      </c>
      <c r="L34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0.57638798572383654</v>
      </c>
      <c r="M340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340" t="str">
        <f>IF(OR((NHL2025_26Results[[#This Row],[Winning Team]]="")),"-",IF(Table46[[#This Row],[Predicted Winner]]=NHL2025_26Results[[#This Row],[Winning Team]],"YES","NO"))</f>
        <v>-</v>
      </c>
      <c r="O340" t="str">
        <f>IF(OR((NHL2025_26Results[[#This Row],[Winning Team]]="")),"-",IF(Table46[[#This Row],[Prob Winner]]=NHL2025_26Results[[#This Row],[Winning Team]],"YES","NO"))</f>
        <v>-</v>
      </c>
      <c r="P340" t="str">
        <f>IF(Table46[[#This Row],[Locked Prediction]]&lt;&gt;Table46[[#This Row],[Prob Winner]], "Changed", "Same")</f>
        <v>Changed</v>
      </c>
      <c r="Q34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41" spans="4:17" x14ac:dyDescent="0.2">
      <c r="D341" s="1">
        <v>45983</v>
      </c>
      <c r="E341" s="2">
        <v>0.83333333333333337</v>
      </c>
      <c r="F341" t="s">
        <v>29</v>
      </c>
      <c r="G341">
        <f>VLOOKUP(Table46[[#This Row],[Home]],'NHL Model'!$A$6:$B$38,2,FALSE)</f>
        <v>-1.3516250707060606</v>
      </c>
      <c r="H341" t="s">
        <v>12</v>
      </c>
      <c r="I341">
        <f>VLOOKUP(Table46[[#This Row],[Visitor]],'NHL Model'!$A$6:$B$38,2,FALSE)</f>
        <v>1.5475013591489768</v>
      </c>
      <c r="J341">
        <f>($B$1+Table46[[#This Row],[Home Differential]])-Table46[[#This Row],[Away Differential]]</f>
        <v>-2.7365541201927188</v>
      </c>
      <c r="K341" t="str">
        <f>IF(Table46[[#This Row],[HomeIce Differential]]&gt;0,Table46[[#This Row],[Home]],Table46[[#This Row],[Visitor]])</f>
        <v>Colorado Avalanche</v>
      </c>
      <c r="L34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0.89005584369415791</v>
      </c>
      <c r="M341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341" t="str">
        <f>IF(OR((NHL2025_26Results[[#This Row],[Winning Team]]="")),"-",IF(Table46[[#This Row],[Predicted Winner]]=NHL2025_26Results[[#This Row],[Winning Team]],"YES","NO"))</f>
        <v>-</v>
      </c>
      <c r="O341" t="str">
        <f>IF(OR((NHL2025_26Results[[#This Row],[Winning Team]]="")),"-",IF(Table46[[#This Row],[Prob Winner]]=NHL2025_26Results[[#This Row],[Winning Team]],"YES","NO"))</f>
        <v>-</v>
      </c>
      <c r="P341" t="str">
        <f>IF(Table46[[#This Row],[Locked Prediction]]&lt;&gt;Table46[[#This Row],[Prob Winner]], "Changed", "Same")</f>
        <v>Changed</v>
      </c>
      <c r="Q34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42" spans="4:17" x14ac:dyDescent="0.2">
      <c r="D342" s="1">
        <v>45983</v>
      </c>
      <c r="E342" s="2">
        <v>0.64583333333333337</v>
      </c>
      <c r="F342" t="s">
        <v>30</v>
      </c>
      <c r="G342">
        <f>VLOOKUP(Table46[[#This Row],[Home]],'NHL Model'!$A$6:$B$38,2,FALSE)</f>
        <v>-6.4729560818359025E-2</v>
      </c>
      <c r="H342" t="s">
        <v>35</v>
      </c>
      <c r="I342">
        <f>VLOOKUP(Table46[[#This Row],[Visitor]],'NHL Model'!$A$6:$B$38,2,FALSE)</f>
        <v>-1.6211574240381006</v>
      </c>
      <c r="J342">
        <f>($B$1+Table46[[#This Row],[Home Differential]])-Table46[[#This Row],[Away Differential]]</f>
        <v>1.7190001728820599</v>
      </c>
      <c r="K342" t="str">
        <f>IF(Table46[[#This Row],[HomeIce Differential]]&gt;0,Table46[[#This Row],[Home]],Table46[[#This Row],[Visitor]])</f>
        <v>New York Islanders</v>
      </c>
      <c r="L34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0.76848779473255591</v>
      </c>
      <c r="M342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342" t="str">
        <f>IF(OR((NHL2025_26Results[[#This Row],[Winning Team]]="")),"-",IF(Table46[[#This Row],[Predicted Winner]]=NHL2025_26Results[[#This Row],[Winning Team]],"YES","NO"))</f>
        <v>-</v>
      </c>
      <c r="O342" t="str">
        <f>IF(OR((NHL2025_26Results[[#This Row],[Winning Team]]="")),"-",IF(Table46[[#This Row],[Prob Winner]]=NHL2025_26Results[[#This Row],[Winning Team]],"YES","NO"))</f>
        <v>-</v>
      </c>
      <c r="P342" t="str">
        <f>IF(Table46[[#This Row],[Locked Prediction]]&lt;&gt;Table46[[#This Row],[Prob Winner]], "Changed", "Same")</f>
        <v>Changed</v>
      </c>
      <c r="Q34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43" spans="4:17" x14ac:dyDescent="0.2">
      <c r="D343" s="1">
        <v>45983</v>
      </c>
      <c r="E343" s="2">
        <v>0.79166666666666663</v>
      </c>
      <c r="F343" t="s">
        <v>27</v>
      </c>
      <c r="G343">
        <f>VLOOKUP(Table46[[#This Row],[Home]],'NHL Model'!$A$6:$B$38,2,FALSE)</f>
        <v>-0.51358590497437617</v>
      </c>
      <c r="H343" t="s">
        <v>24</v>
      </c>
      <c r="I343">
        <f>VLOOKUP(Table46[[#This Row],[Visitor]],'NHL Model'!$A$6:$B$38,2,FALSE)</f>
        <v>0.559441163373953</v>
      </c>
      <c r="J343">
        <f>($B$1+Table46[[#This Row],[Home Differential]])-Table46[[#This Row],[Away Differential]]</f>
        <v>-0.91045475868601078</v>
      </c>
      <c r="K343" t="str">
        <f>IF(Table46[[#This Row],[HomeIce Differential]]&gt;0,Table46[[#This Row],[Home]],Table46[[#This Row],[Visitor]])</f>
        <v>New Jersey Devils</v>
      </c>
      <c r="L34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0.64482626557468037</v>
      </c>
      <c r="M343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343" t="str">
        <f>IF(OR((NHL2025_26Results[[#This Row],[Winning Team]]="")),"-",IF(Table46[[#This Row],[Predicted Winner]]=NHL2025_26Results[[#This Row],[Winning Team]],"YES","NO"))</f>
        <v>-</v>
      </c>
      <c r="O343" t="str">
        <f>IF(OR((NHL2025_26Results[[#This Row],[Winning Team]]="")),"-",IF(Table46[[#This Row],[Prob Winner]]=NHL2025_26Results[[#This Row],[Winning Team]],"YES","NO"))</f>
        <v>-</v>
      </c>
      <c r="P343" t="str">
        <f>IF(Table46[[#This Row],[Locked Prediction]]&lt;&gt;Table46[[#This Row],[Prob Winner]], "Changed", "Same")</f>
        <v>Changed</v>
      </c>
      <c r="Q34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44" spans="4:17" x14ac:dyDescent="0.2">
      <c r="D344" s="1">
        <v>45983</v>
      </c>
      <c r="E344" s="2">
        <v>0.79166666666666663</v>
      </c>
      <c r="F344" t="s">
        <v>14</v>
      </c>
      <c r="G344">
        <f>VLOOKUP(Table46[[#This Row],[Home]],'NHL Model'!$A$6:$B$38,2,FALSE)</f>
        <v>0.26289091192875702</v>
      </c>
      <c r="H344" t="s">
        <v>32</v>
      </c>
      <c r="I344">
        <f>VLOOKUP(Table46[[#This Row],[Visitor]],'NHL Model'!$A$6:$B$38,2,FALSE)</f>
        <v>-0.361361309178443</v>
      </c>
      <c r="J344">
        <f>($B$1+Table46[[#This Row],[Home Differential]])-Table46[[#This Row],[Away Differential]]</f>
        <v>0.78682453076951842</v>
      </c>
      <c r="K344" t="str">
        <f>IF(Table46[[#This Row],[HomeIce Differential]]&gt;0,Table46[[#This Row],[Home]],Table46[[#This Row],[Visitor]])</f>
        <v>Pittsburgh Penguins</v>
      </c>
      <c r="L34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0.68062080108679979</v>
      </c>
      <c r="M344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344" t="str">
        <f>IF(OR((NHL2025_26Results[[#This Row],[Winning Team]]="")),"-",IF(Table46[[#This Row],[Predicted Winner]]=NHL2025_26Results[[#This Row],[Winning Team]],"YES","NO"))</f>
        <v>-</v>
      </c>
      <c r="O344" t="str">
        <f>IF(OR((NHL2025_26Results[[#This Row],[Winning Team]]="")),"-",IF(Table46[[#This Row],[Prob Winner]]=NHL2025_26Results[[#This Row],[Winning Team]],"YES","NO"))</f>
        <v>-</v>
      </c>
      <c r="P344" t="str">
        <f>IF(Table46[[#This Row],[Locked Prediction]]&lt;&gt;Table46[[#This Row],[Prob Winner]], "Changed", "Same")</f>
        <v>Changed</v>
      </c>
      <c r="Q34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45" spans="4:17" x14ac:dyDescent="0.2">
      <c r="D345" s="1">
        <v>45983</v>
      </c>
      <c r="E345" s="2">
        <v>0.79166666666666663</v>
      </c>
      <c r="F345" t="s">
        <v>33</v>
      </c>
      <c r="G345">
        <f>VLOOKUP(Table46[[#This Row],[Home]],'NHL Model'!$A$6:$B$38,2,FALSE)</f>
        <v>-0.39418177254008485</v>
      </c>
      <c r="H345" t="s">
        <v>36</v>
      </c>
      <c r="I345">
        <f>VLOOKUP(Table46[[#This Row],[Visitor]],'NHL Model'!$A$6:$B$38,2,FALSE)</f>
        <v>-0.40651947573390851</v>
      </c>
      <c r="J345">
        <f>($B$1+Table46[[#This Row],[Home Differential]])-Table46[[#This Row],[Away Differential]]</f>
        <v>0.17491001285614205</v>
      </c>
      <c r="K345" t="str">
        <f>IF(Table46[[#This Row],[HomeIce Differential]]&gt;0,Table46[[#This Row],[Home]],Table46[[#This Row],[Visitor]])</f>
        <v>San Jose Sharks</v>
      </c>
      <c r="L34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0.56324886509297922</v>
      </c>
      <c r="M345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345" t="str">
        <f>IF(OR((NHL2025_26Results[[#This Row],[Winning Team]]="")),"-",IF(Table46[[#This Row],[Predicted Winner]]=NHL2025_26Results[[#This Row],[Winning Team]],"YES","NO"))</f>
        <v>-</v>
      </c>
      <c r="O345" t="str">
        <f>IF(OR((NHL2025_26Results[[#This Row],[Winning Team]]="")),"-",IF(Table46[[#This Row],[Prob Winner]]=NHL2025_26Results[[#This Row],[Winning Team]],"YES","NO"))</f>
        <v>-</v>
      </c>
      <c r="P345" t="str">
        <f>IF(Table46[[#This Row],[Locked Prediction]]&lt;&gt;Table46[[#This Row],[Prob Winner]], "Changed", "Same")</f>
        <v>Changed</v>
      </c>
      <c r="Q34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46" spans="4:17" x14ac:dyDescent="0.2">
      <c r="D346" s="1">
        <v>45983</v>
      </c>
      <c r="E346" s="2">
        <v>0.875</v>
      </c>
      <c r="F346" t="s">
        <v>55</v>
      </c>
      <c r="G346">
        <f>VLOOKUP(Table46[[#This Row],[Home]],'NHL Model'!$A$6:$B$38,2,FALSE)</f>
        <v>-0.12212311954851815</v>
      </c>
      <c r="H346" t="s">
        <v>15</v>
      </c>
      <c r="I346">
        <f>VLOOKUP(Table46[[#This Row],[Visitor]],'NHL Model'!$A$6:$B$38,2,FALSE)</f>
        <v>-0.30719665303039001</v>
      </c>
      <c r="J346">
        <f>($B$1+Table46[[#This Row],[Home Differential]])-Table46[[#This Row],[Away Differential]]</f>
        <v>0.34764584314419023</v>
      </c>
      <c r="K346" t="str">
        <f>IF(Table46[[#This Row],[HomeIce Differential]]&gt;0,Table46[[#This Row],[Home]],Table46[[#This Row],[Visitor]])</f>
        <v>Utah Mammoth</v>
      </c>
      <c r="L34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0.51231043491484352</v>
      </c>
      <c r="M346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346" t="str">
        <f>IF(OR((NHL2025_26Results[[#This Row],[Winning Team]]="")),"-",IF(Table46[[#This Row],[Predicted Winner]]=NHL2025_26Results[[#This Row],[Winning Team]],"YES","NO"))</f>
        <v>-</v>
      </c>
      <c r="O346" t="str">
        <f>IF(OR((NHL2025_26Results[[#This Row],[Winning Team]]="")),"-",IF(Table46[[#This Row],[Prob Winner]]=NHL2025_26Results[[#This Row],[Winning Team]],"YES","NO"))</f>
        <v>-</v>
      </c>
      <c r="P346" t="str">
        <f>IF(Table46[[#This Row],[Locked Prediction]]&lt;&gt;Table46[[#This Row],[Prob Winner]], "Changed", "Same")</f>
        <v>Changed</v>
      </c>
      <c r="Q34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47" spans="4:17" x14ac:dyDescent="0.2">
      <c r="D347" s="1">
        <v>45983</v>
      </c>
      <c r="E347" s="2">
        <v>0.79166666666666663</v>
      </c>
      <c r="F347" t="s">
        <v>22</v>
      </c>
      <c r="G347">
        <f>VLOOKUP(Table46[[#This Row],[Home]],'NHL Model'!$A$6:$B$38,2,FALSE)</f>
        <v>-6.1308839486784707E-2</v>
      </c>
      <c r="H347" t="s">
        <v>37</v>
      </c>
      <c r="I347">
        <f>VLOOKUP(Table46[[#This Row],[Visitor]],'NHL Model'!$A$6:$B$38,2,FALSE)</f>
        <v>-0.11309445867623392</v>
      </c>
      <c r="J347">
        <f>($B$1+Table46[[#This Row],[Home Differential]])-Table46[[#This Row],[Away Differential]]</f>
        <v>0.21435792885176763</v>
      </c>
      <c r="K347" t="str">
        <f>IF(Table46[[#This Row],[HomeIce Differential]]&gt;0,Table46[[#This Row],[Home]],Table46[[#This Row],[Visitor]])</f>
        <v>Washington Capitals</v>
      </c>
      <c r="L34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0.52139285140523883</v>
      </c>
      <c r="M347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347" t="str">
        <f>IF(OR((NHL2025_26Results[[#This Row],[Winning Team]]="")),"-",IF(Table46[[#This Row],[Predicted Winner]]=NHL2025_26Results[[#This Row],[Winning Team]],"YES","NO"))</f>
        <v>-</v>
      </c>
      <c r="O347" t="str">
        <f>IF(OR((NHL2025_26Results[[#This Row],[Winning Team]]="")),"-",IF(Table46[[#This Row],[Prob Winner]]=NHL2025_26Results[[#This Row],[Winning Team]],"YES","NO"))</f>
        <v>-</v>
      </c>
      <c r="P347" t="str">
        <f>IF(Table46[[#This Row],[Locked Prediction]]&lt;&gt;Table46[[#This Row],[Prob Winner]], "Changed", "Same")</f>
        <v>Changed</v>
      </c>
      <c r="Q34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48" spans="4:17" x14ac:dyDescent="0.2">
      <c r="D348" s="1">
        <v>45984</v>
      </c>
      <c r="E348" s="2">
        <v>0.54166666666666663</v>
      </c>
      <c r="F348" t="s">
        <v>23</v>
      </c>
      <c r="G348">
        <f>VLOOKUP(Table46[[#This Row],[Home]],'NHL Model'!$A$6:$B$38,2,FALSE)</f>
        <v>-0.8683412362501769</v>
      </c>
      <c r="H348" t="s">
        <v>25</v>
      </c>
      <c r="I348">
        <f>VLOOKUP(Table46[[#This Row],[Visitor]],'NHL Model'!$A$6:$B$38,2,FALSE)</f>
        <v>0.67193921242367816</v>
      </c>
      <c r="J348">
        <f>($B$1+Table46[[#This Row],[Home Differential]])-Table46[[#This Row],[Away Differential]]</f>
        <v>-1.3777081390115367</v>
      </c>
      <c r="K348" t="str">
        <f>IF(Table46[[#This Row],[HomeIce Differential]]&gt;0,Table46[[#This Row],[Home]],Table46[[#This Row],[Visitor]])</f>
        <v>Carolina Hurricanes</v>
      </c>
      <c r="L34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0.73560978459286352</v>
      </c>
      <c r="M348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348" t="str">
        <f>IF(OR((NHL2025_26Results[[#This Row],[Winning Team]]="")),"-",IF(Table46[[#This Row],[Predicted Winner]]=NHL2025_26Results[[#This Row],[Winning Team]],"YES","NO"))</f>
        <v>-</v>
      </c>
      <c r="O348" t="str">
        <f>IF(OR((NHL2025_26Results[[#This Row],[Winning Team]]="")),"-",IF(Table46[[#This Row],[Prob Winner]]=NHL2025_26Results[[#This Row],[Winning Team]],"YES","NO"))</f>
        <v>-</v>
      </c>
      <c r="P348" t="str">
        <f>IF(Table46[[#This Row],[Locked Prediction]]&lt;&gt;Table46[[#This Row],[Prob Winner]], "Changed", "Same")</f>
        <v>Changed</v>
      </c>
      <c r="Q34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49" spans="4:17" x14ac:dyDescent="0.2">
      <c r="D349" s="1">
        <v>45984</v>
      </c>
      <c r="E349" s="2">
        <v>0.79166666666666663</v>
      </c>
      <c r="F349" t="s">
        <v>10</v>
      </c>
      <c r="G349">
        <f>VLOOKUP(Table46[[#This Row],[Home]],'NHL Model'!$A$6:$B$38,2,FALSE)</f>
        <v>0.30570968833820172</v>
      </c>
      <c r="H349" t="s">
        <v>12</v>
      </c>
      <c r="I349">
        <f>VLOOKUP(Table46[[#This Row],[Visitor]],'NHL Model'!$A$6:$B$38,2,FALSE)</f>
        <v>1.5475013591489768</v>
      </c>
      <c r="J349">
        <f>($B$1+Table46[[#This Row],[Home Differential]])-Table46[[#This Row],[Away Differential]]</f>
        <v>-1.0792193611484566</v>
      </c>
      <c r="K349" t="str">
        <f>IF(Table46[[#This Row],[HomeIce Differential]]&gt;0,Table46[[#This Row],[Home]],Table46[[#This Row],[Visitor]])</f>
        <v>Colorado Avalanche</v>
      </c>
      <c r="L34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0.66976455448925765</v>
      </c>
      <c r="M349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349" t="str">
        <f>IF(OR((NHL2025_26Results[[#This Row],[Winning Team]]="")),"-",IF(Table46[[#This Row],[Predicted Winner]]=NHL2025_26Results[[#This Row],[Winning Team]],"YES","NO"))</f>
        <v>-</v>
      </c>
      <c r="O349" t="str">
        <f>IF(OR((NHL2025_26Results[[#This Row],[Winning Team]]="")),"-",IF(Table46[[#This Row],[Prob Winner]]=NHL2025_26Results[[#This Row],[Winning Team]],"YES","NO"))</f>
        <v>-</v>
      </c>
      <c r="P349" t="str">
        <f>IF(Table46[[#This Row],[Locked Prediction]]&lt;&gt;Table46[[#This Row],[Prob Winner]], "Changed", "Same")</f>
        <v>Changed</v>
      </c>
      <c r="Q34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50" spans="4:17" x14ac:dyDescent="0.2">
      <c r="D350" s="1">
        <v>45984</v>
      </c>
      <c r="E350" s="2">
        <v>0.70833333333333337</v>
      </c>
      <c r="F350" t="s">
        <v>30</v>
      </c>
      <c r="G350">
        <f>VLOOKUP(Table46[[#This Row],[Home]],'NHL Model'!$A$6:$B$38,2,FALSE)</f>
        <v>-6.4729560818359025E-2</v>
      </c>
      <c r="H350" t="s">
        <v>32</v>
      </c>
      <c r="I350">
        <f>VLOOKUP(Table46[[#This Row],[Visitor]],'NHL Model'!$A$6:$B$38,2,FALSE)</f>
        <v>-0.361361309178443</v>
      </c>
      <c r="J350">
        <f>($B$1+Table46[[#This Row],[Home Differential]])-Table46[[#This Row],[Away Differential]]</f>
        <v>0.45920405802240238</v>
      </c>
      <c r="K350" t="str">
        <f>IF(Table46[[#This Row],[HomeIce Differential]]&gt;0,Table46[[#This Row],[Home]],Table46[[#This Row],[Visitor]])</f>
        <v>New York Islanders</v>
      </c>
      <c r="L35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0.60103694706084132</v>
      </c>
      <c r="M350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350" t="str">
        <f>IF(OR((NHL2025_26Results[[#This Row],[Winning Team]]="")),"-",IF(Table46[[#This Row],[Predicted Winner]]=NHL2025_26Results[[#This Row],[Winning Team]],"YES","NO"))</f>
        <v>-</v>
      </c>
      <c r="O350" t="str">
        <f>IF(OR((NHL2025_26Results[[#This Row],[Winning Team]]="")),"-",IF(Table46[[#This Row],[Prob Winner]]=NHL2025_26Results[[#This Row],[Winning Team]],"YES","NO"))</f>
        <v>-</v>
      </c>
      <c r="P350" t="str">
        <f>IF(Table46[[#This Row],[Locked Prediction]]&lt;&gt;Table46[[#This Row],[Prob Winner]], "Changed", "Same")</f>
        <v>Changed</v>
      </c>
      <c r="Q35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51" spans="4:17" x14ac:dyDescent="0.2">
      <c r="D351" s="1">
        <v>45984</v>
      </c>
      <c r="E351" s="2">
        <v>0.83333333333333337</v>
      </c>
      <c r="F351" t="s">
        <v>33</v>
      </c>
      <c r="G351">
        <f>VLOOKUP(Table46[[#This Row],[Home]],'NHL Model'!$A$6:$B$38,2,FALSE)</f>
        <v>-0.39418177254008485</v>
      </c>
      <c r="H351" t="s">
        <v>21</v>
      </c>
      <c r="I351">
        <f>VLOOKUP(Table46[[#This Row],[Visitor]],'NHL Model'!$A$6:$B$38,2,FALSE)</f>
        <v>4.029141914856392E-2</v>
      </c>
      <c r="J351">
        <f>($B$1+Table46[[#This Row],[Home Differential]])-Table46[[#This Row],[Away Differential]]</f>
        <v>-0.27190088202633039</v>
      </c>
      <c r="K351" t="str">
        <f>IF(Table46[[#This Row],[HomeIce Differential]]&gt;0,Table46[[#This Row],[Home]],Table46[[#This Row],[Visitor]])</f>
        <v>Boston Bruins</v>
      </c>
      <c r="L35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0.4961407950389401</v>
      </c>
      <c r="M351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351" t="str">
        <f>IF(OR((NHL2025_26Results[[#This Row],[Winning Team]]="")),"-",IF(Table46[[#This Row],[Predicted Winner]]=NHL2025_26Results[[#This Row],[Winning Team]],"YES","NO"))</f>
        <v>-</v>
      </c>
      <c r="O351" t="str">
        <f>IF(OR((NHL2025_26Results[[#This Row],[Winning Team]]="")),"-",IF(Table46[[#This Row],[Prob Winner]]=NHL2025_26Results[[#This Row],[Winning Team]],"YES","NO"))</f>
        <v>-</v>
      </c>
      <c r="P351" t="str">
        <f>IF(Table46[[#This Row],[Locked Prediction]]&lt;&gt;Table46[[#This Row],[Prob Winner]], "Changed", "Same")</f>
        <v>Changed</v>
      </c>
      <c r="Q35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52" spans="4:17" x14ac:dyDescent="0.2">
      <c r="D352" s="1">
        <v>45984</v>
      </c>
      <c r="E352" s="2">
        <v>0.875</v>
      </c>
      <c r="F352" t="s">
        <v>38</v>
      </c>
      <c r="G352">
        <f>VLOOKUP(Table46[[#This Row],[Home]],'NHL Model'!$A$6:$B$38,2,FALSE)</f>
        <v>-0.6902088310934803</v>
      </c>
      <c r="H352" t="s">
        <v>16</v>
      </c>
      <c r="I352">
        <f>VLOOKUP(Table46[[#This Row],[Visitor]],'NHL Model'!$A$6:$B$38,2,FALSE)</f>
        <v>-1.3903684122795328</v>
      </c>
      <c r="J352">
        <f>($B$1+Table46[[#This Row],[Home Differential]])-Table46[[#This Row],[Away Differential]]</f>
        <v>0.86273189084837087</v>
      </c>
      <c r="K352" t="str">
        <f>IF(Table46[[#This Row],[HomeIce Differential]]&gt;0,Table46[[#This Row],[Home]],Table46[[#This Row],[Visitor]])</f>
        <v>Vancouver Canucks</v>
      </c>
      <c r="L35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0.65467346559651396</v>
      </c>
      <c r="M352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352" t="str">
        <f>IF(OR((NHL2025_26Results[[#This Row],[Winning Team]]="")),"-",IF(Table46[[#This Row],[Predicted Winner]]=NHL2025_26Results[[#This Row],[Winning Team]],"YES","NO"))</f>
        <v>-</v>
      </c>
      <c r="O352" t="str">
        <f>IF(OR((NHL2025_26Results[[#This Row],[Winning Team]]="")),"-",IF(Table46[[#This Row],[Prob Winner]]=NHL2025_26Results[[#This Row],[Winning Team]],"YES","NO"))</f>
        <v>-</v>
      </c>
      <c r="P352" t="str">
        <f>IF(Table46[[#This Row],[Locked Prediction]]&lt;&gt;Table46[[#This Row],[Prob Winner]], "Changed", "Same")</f>
        <v>Changed</v>
      </c>
      <c r="Q35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53" spans="4:17" x14ac:dyDescent="0.2">
      <c r="D353" s="1">
        <v>45984</v>
      </c>
      <c r="E353" s="2">
        <v>0.66666666666666663</v>
      </c>
      <c r="F353" t="s">
        <v>40</v>
      </c>
      <c r="G353">
        <f>VLOOKUP(Table46[[#This Row],[Home]],'NHL Model'!$A$6:$B$38,2,FALSE)</f>
        <v>0.105105258369765</v>
      </c>
      <c r="H353" t="s">
        <v>34</v>
      </c>
      <c r="I353">
        <f>VLOOKUP(Table46[[#This Row],[Visitor]],'NHL Model'!$A$6:$B$38,2,FALSE)</f>
        <v>-0.53650300840565446</v>
      </c>
      <c r="J353">
        <f>($B$1+Table46[[#This Row],[Home Differential]])-Table46[[#This Row],[Away Differential]]</f>
        <v>0.80418057643773788</v>
      </c>
      <c r="K353" t="str">
        <f>IF(Table46[[#This Row],[HomeIce Differential]]&gt;0,Table46[[#This Row],[Home]],Table46[[#This Row],[Visitor]])</f>
        <v>Winnipeg Jets</v>
      </c>
      <c r="L35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0.68292774942954493</v>
      </c>
      <c r="M353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353" t="str">
        <f>IF(OR((NHL2025_26Results[[#This Row],[Winning Team]]="")),"-",IF(Table46[[#This Row],[Predicted Winner]]=NHL2025_26Results[[#This Row],[Winning Team]],"YES","NO"))</f>
        <v>-</v>
      </c>
      <c r="O353" t="str">
        <f>IF(OR((NHL2025_26Results[[#This Row],[Winning Team]]="")),"-",IF(Table46[[#This Row],[Prob Winner]]=NHL2025_26Results[[#This Row],[Winning Team]],"YES","NO"))</f>
        <v>-</v>
      </c>
      <c r="P353" t="str">
        <f>IF(Table46[[#This Row],[Locked Prediction]]&lt;&gt;Table46[[#This Row],[Prob Winner]], "Changed", "Same")</f>
        <v>Changed</v>
      </c>
      <c r="Q35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54" spans="4:17" x14ac:dyDescent="0.2">
      <c r="D354" s="1">
        <v>45985</v>
      </c>
      <c r="E354" s="2">
        <v>0.875</v>
      </c>
      <c r="F354" t="s">
        <v>13</v>
      </c>
      <c r="G354">
        <f>VLOOKUP(Table46[[#This Row],[Home]],'NHL Model'!$A$6:$B$38,2,FALSE)</f>
        <v>-7.5459708298993802E-2</v>
      </c>
      <c r="H354" t="s">
        <v>36</v>
      </c>
      <c r="I354">
        <f>VLOOKUP(Table46[[#This Row],[Visitor]],'NHL Model'!$A$6:$B$38,2,FALSE)</f>
        <v>-0.40651947573390851</v>
      </c>
      <c r="J354">
        <f>($B$1+Table46[[#This Row],[Home Differential]])-Table46[[#This Row],[Away Differential]]</f>
        <v>0.49363207709723311</v>
      </c>
      <c r="K354" t="str">
        <f>IF(Table46[[#This Row],[HomeIce Differential]]&gt;0,Table46[[#This Row],[Home]],Table46[[#This Row],[Visitor]])</f>
        <v>Los Angeles Kings</v>
      </c>
      <c r="L35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0.60561308514361412</v>
      </c>
      <c r="M354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354" t="str">
        <f>IF(OR((NHL2025_26Results[[#This Row],[Winning Team]]="")),"-",IF(Table46[[#This Row],[Predicted Winner]]=NHL2025_26Results[[#This Row],[Winning Team]],"YES","NO"))</f>
        <v>-</v>
      </c>
      <c r="O354" t="str">
        <f>IF(OR((NHL2025_26Results[[#This Row],[Winning Team]]="")),"-",IF(Table46[[#This Row],[Prob Winner]]=NHL2025_26Results[[#This Row],[Winning Team]],"YES","NO"))</f>
        <v>-</v>
      </c>
      <c r="P354" t="str">
        <f>IF(Table46[[#This Row],[Locked Prediction]]&lt;&gt;Table46[[#This Row],[Prob Winner]], "Changed", "Same")</f>
        <v>Changed</v>
      </c>
      <c r="Q35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55" spans="4:17" x14ac:dyDescent="0.2">
      <c r="D355" s="1">
        <v>45985</v>
      </c>
      <c r="E355" s="2">
        <v>0.79166666666666663</v>
      </c>
      <c r="F355" t="s">
        <v>24</v>
      </c>
      <c r="G355">
        <f>VLOOKUP(Table46[[#This Row],[Home]],'NHL Model'!$A$6:$B$38,2,FALSE)</f>
        <v>0.559441163373953</v>
      </c>
      <c r="H355" t="s">
        <v>26</v>
      </c>
      <c r="I355">
        <f>VLOOKUP(Table46[[#This Row],[Visitor]],'NHL Model'!$A$6:$B$38,2,FALSE)</f>
        <v>-0.513643833119658</v>
      </c>
      <c r="J355">
        <f>($B$1+Table46[[#This Row],[Home Differential]])-Table46[[#This Row],[Away Differential]]</f>
        <v>1.2356573061559293</v>
      </c>
      <c r="K355" t="str">
        <f>IF(Table46[[#This Row],[HomeIce Differential]]&gt;0,Table46[[#This Row],[Home]],Table46[[#This Row],[Visitor]])</f>
        <v>New Jersey Devils</v>
      </c>
      <c r="L35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0.775892826643516</v>
      </c>
      <c r="M355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355" t="str">
        <f>IF(OR((NHL2025_26Results[[#This Row],[Winning Team]]="")),"-",IF(Table46[[#This Row],[Predicted Winner]]=NHL2025_26Results[[#This Row],[Winning Team]],"YES","NO"))</f>
        <v>-</v>
      </c>
      <c r="O355" t="str">
        <f>IF(OR((NHL2025_26Results[[#This Row],[Winning Team]]="")),"-",IF(Table46[[#This Row],[Prob Winner]]=NHL2025_26Results[[#This Row],[Winning Team]],"YES","NO"))</f>
        <v>-</v>
      </c>
      <c r="P355" t="str">
        <f>IF(Table46[[#This Row],[Locked Prediction]]&lt;&gt;Table46[[#This Row],[Prob Winner]], "Changed", "Same")</f>
        <v>Changed</v>
      </c>
      <c r="Q35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56" spans="4:17" x14ac:dyDescent="0.2">
      <c r="D356" s="1">
        <v>45985</v>
      </c>
      <c r="E356" s="2">
        <v>0.83333333333333337</v>
      </c>
      <c r="F356" t="s">
        <v>29</v>
      </c>
      <c r="G356">
        <f>VLOOKUP(Table46[[#This Row],[Home]],'NHL Model'!$A$6:$B$38,2,FALSE)</f>
        <v>-1.3516250707060606</v>
      </c>
      <c r="H356" t="s">
        <v>11</v>
      </c>
      <c r="I356">
        <f>VLOOKUP(Table46[[#This Row],[Visitor]],'NHL Model'!$A$6:$B$38,2,FALSE)</f>
        <v>-0.28105923893144158</v>
      </c>
      <c r="J356">
        <f>($B$1+Table46[[#This Row],[Home Differential]])-Table46[[#This Row],[Away Differential]]</f>
        <v>-0.90799352211230067</v>
      </c>
      <c r="K356" t="str">
        <f>IF(Table46[[#This Row],[HomeIce Differential]]&gt;0,Table46[[#This Row],[Home]],Table46[[#This Row],[Visitor]])</f>
        <v>Florida Panthers</v>
      </c>
      <c r="L35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0.58068959664561937</v>
      </c>
      <c r="M356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356" t="str">
        <f>IF(OR((NHL2025_26Results[[#This Row],[Winning Team]]="")),"-",IF(Table46[[#This Row],[Predicted Winner]]=NHL2025_26Results[[#This Row],[Winning Team]],"YES","NO"))</f>
        <v>-</v>
      </c>
      <c r="O356" t="str">
        <f>IF(OR((NHL2025_26Results[[#This Row],[Winning Team]]="")),"-",IF(Table46[[#This Row],[Prob Winner]]=NHL2025_26Results[[#This Row],[Winning Team]],"YES","NO"))</f>
        <v>-</v>
      </c>
      <c r="P356" t="str">
        <f>IF(Table46[[#This Row],[Locked Prediction]]&lt;&gt;Table46[[#This Row],[Prob Winner]], "Changed", "Same")</f>
        <v>Changed</v>
      </c>
      <c r="Q35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57" spans="4:17" x14ac:dyDescent="0.2">
      <c r="D357" s="1">
        <v>45985</v>
      </c>
      <c r="E357" s="2">
        <v>0.79166666666666663</v>
      </c>
      <c r="F357" t="s">
        <v>15</v>
      </c>
      <c r="G357">
        <f>VLOOKUP(Table46[[#This Row],[Home]],'NHL Model'!$A$6:$B$38,2,FALSE)</f>
        <v>-0.30719665303039001</v>
      </c>
      <c r="H357" t="s">
        <v>35</v>
      </c>
      <c r="I357">
        <f>VLOOKUP(Table46[[#This Row],[Visitor]],'NHL Model'!$A$6:$B$38,2,FALSE)</f>
        <v>-1.6211574240381006</v>
      </c>
      <c r="J357">
        <f>($B$1+Table46[[#This Row],[Home Differential]])-Table46[[#This Row],[Away Differential]]</f>
        <v>1.476533080670029</v>
      </c>
      <c r="K357" t="str">
        <f>IF(Table46[[#This Row],[HomeIce Differential]]&gt;0,Table46[[#This Row],[Home]],Table46[[#This Row],[Visitor]])</f>
        <v>New York Rangers</v>
      </c>
      <c r="L35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0.73625930978606657</v>
      </c>
      <c r="M357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357" t="str">
        <f>IF(OR((NHL2025_26Results[[#This Row],[Winning Team]]="")),"-",IF(Table46[[#This Row],[Predicted Winner]]=NHL2025_26Results[[#This Row],[Winning Team]],"YES","NO"))</f>
        <v>-</v>
      </c>
      <c r="O357" t="str">
        <f>IF(OR((NHL2025_26Results[[#This Row],[Winning Team]]="")),"-",IF(Table46[[#This Row],[Prob Winner]]=NHL2025_26Results[[#This Row],[Winning Team]],"YES","NO"))</f>
        <v>-</v>
      </c>
      <c r="P357" t="str">
        <f>IF(Table46[[#This Row],[Locked Prediction]]&lt;&gt;Table46[[#This Row],[Prob Winner]], "Changed", "Same")</f>
        <v>Changed</v>
      </c>
      <c r="Q35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58" spans="4:17" x14ac:dyDescent="0.2">
      <c r="D358" s="1">
        <v>45985</v>
      </c>
      <c r="E358" s="2">
        <v>0.79166666666666663</v>
      </c>
      <c r="F358" t="s">
        <v>37</v>
      </c>
      <c r="G358">
        <f>VLOOKUP(Table46[[#This Row],[Home]],'NHL Model'!$A$6:$B$38,2,FALSE)</f>
        <v>-0.11309445867623392</v>
      </c>
      <c r="H358" t="s">
        <v>27</v>
      </c>
      <c r="I358">
        <f>VLOOKUP(Table46[[#This Row],[Visitor]],'NHL Model'!$A$6:$B$38,2,FALSE)</f>
        <v>-0.51358590497437617</v>
      </c>
      <c r="J358">
        <f>($B$1+Table46[[#This Row],[Home Differential]])-Table46[[#This Row],[Away Differential]]</f>
        <v>0.56306375596046065</v>
      </c>
      <c r="K358" t="str">
        <f>IF(Table46[[#This Row],[HomeIce Differential]]&gt;0,Table46[[#This Row],[Home]],Table46[[#This Row],[Visitor]])</f>
        <v>Tampa Bay Lightning</v>
      </c>
      <c r="L35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0.61484187490076692</v>
      </c>
      <c r="M358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358" t="str">
        <f>IF(OR((NHL2025_26Results[[#This Row],[Winning Team]]="")),"-",IF(Table46[[#This Row],[Predicted Winner]]=NHL2025_26Results[[#This Row],[Winning Team]],"YES","NO"))</f>
        <v>-</v>
      </c>
      <c r="O358" t="str">
        <f>IF(OR((NHL2025_26Results[[#This Row],[Winning Team]]="")),"-",IF(Table46[[#This Row],[Prob Winner]]=NHL2025_26Results[[#This Row],[Winning Team]],"YES","NO"))</f>
        <v>-</v>
      </c>
      <c r="P358" t="str">
        <f>IF(Table46[[#This Row],[Locked Prediction]]&lt;&gt;Table46[[#This Row],[Prob Winner]], "Changed", "Same")</f>
        <v>Changed</v>
      </c>
      <c r="Q35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59" spans="4:17" x14ac:dyDescent="0.2">
      <c r="D359" s="1">
        <v>45985</v>
      </c>
      <c r="E359" s="2">
        <v>0.875</v>
      </c>
      <c r="F359" t="s">
        <v>55</v>
      </c>
      <c r="G359">
        <f>VLOOKUP(Table46[[#This Row],[Home]],'NHL Model'!$A$6:$B$38,2,FALSE)</f>
        <v>-0.12212311954851815</v>
      </c>
      <c r="H359" t="s">
        <v>20</v>
      </c>
      <c r="I359">
        <f>VLOOKUP(Table46[[#This Row],[Visitor]],'NHL Model'!$A$6:$B$38,2,FALSE)</f>
        <v>-6.3745791019188943E-4</v>
      </c>
      <c r="J359">
        <f>($B$1+Table46[[#This Row],[Home Differential]])-Table46[[#This Row],[Away Differential]]</f>
        <v>4.1086648023992131E-2</v>
      </c>
      <c r="K359" t="str">
        <f>IF(Table46[[#This Row],[HomeIce Differential]]&gt;0,Table46[[#This Row],[Home]],Table46[[#This Row],[Visitor]])</f>
        <v>Utah Mammoth</v>
      </c>
      <c r="L35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0.59369649054336648</v>
      </c>
      <c r="M359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359" t="str">
        <f>IF(OR((NHL2025_26Results[[#This Row],[Winning Team]]="")),"-",IF(Table46[[#This Row],[Predicted Winner]]=NHL2025_26Results[[#This Row],[Winning Team]],"YES","NO"))</f>
        <v>-</v>
      </c>
      <c r="O359" t="str">
        <f>IF(OR((NHL2025_26Results[[#This Row],[Winning Team]]="")),"-",IF(Table46[[#This Row],[Prob Winner]]=NHL2025_26Results[[#This Row],[Winning Team]],"YES","NO"))</f>
        <v>-</v>
      </c>
      <c r="P359" t="str">
        <f>IF(Table46[[#This Row],[Locked Prediction]]&lt;&gt;Table46[[#This Row],[Prob Winner]], "Changed", "Same")</f>
        <v>Changed</v>
      </c>
      <c r="Q35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60" spans="4:17" x14ac:dyDescent="0.2">
      <c r="D360" s="1">
        <v>45985</v>
      </c>
      <c r="E360" s="2">
        <v>0.79166666666666663</v>
      </c>
      <c r="F360" t="s">
        <v>22</v>
      </c>
      <c r="G360">
        <f>VLOOKUP(Table46[[#This Row],[Home]],'NHL Model'!$A$6:$B$38,2,FALSE)</f>
        <v>-6.1308839486784707E-2</v>
      </c>
      <c r="H360" t="s">
        <v>28</v>
      </c>
      <c r="I360">
        <f>VLOOKUP(Table46[[#This Row],[Visitor]],'NHL Model'!$A$6:$B$38,2,FALSE)</f>
        <v>-0.40822279081308277</v>
      </c>
      <c r="J360">
        <f>($B$1+Table46[[#This Row],[Home Differential]])-Table46[[#This Row],[Away Differential]]</f>
        <v>0.50948626098861649</v>
      </c>
      <c r="K360" t="str">
        <f>IF(Table46[[#This Row],[HomeIce Differential]]&gt;0,Table46[[#This Row],[Home]],Table46[[#This Row],[Visitor]])</f>
        <v>Washington Capitals</v>
      </c>
      <c r="L36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0.58695117674221831</v>
      </c>
      <c r="M360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360" t="str">
        <f>IF(OR((NHL2025_26Results[[#This Row],[Winning Team]]="")),"-",IF(Table46[[#This Row],[Predicted Winner]]=NHL2025_26Results[[#This Row],[Winning Team]],"YES","NO"))</f>
        <v>-</v>
      </c>
      <c r="O360" t="str">
        <f>IF(OR((NHL2025_26Results[[#This Row],[Winning Team]]="")),"-",IF(Table46[[#This Row],[Prob Winner]]=NHL2025_26Results[[#This Row],[Winning Team]],"YES","NO"))</f>
        <v>-</v>
      </c>
      <c r="P360" t="str">
        <f>IF(Table46[[#This Row],[Locked Prediction]]&lt;&gt;Table46[[#This Row],[Prob Winner]], "Changed", "Same")</f>
        <v>Changed</v>
      </c>
      <c r="Q36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61" spans="4:17" x14ac:dyDescent="0.2">
      <c r="D361" s="1">
        <v>45986</v>
      </c>
      <c r="E361" s="2">
        <v>0.875</v>
      </c>
      <c r="F361" t="s">
        <v>17</v>
      </c>
      <c r="G361">
        <f>VLOOKUP(Table46[[#This Row],[Home]],'NHL Model'!$A$6:$B$38,2,FALSE)</f>
        <v>-0.61980804137564283</v>
      </c>
      <c r="H361" t="s">
        <v>39</v>
      </c>
      <c r="I361">
        <f>VLOOKUP(Table46[[#This Row],[Visitor]],'NHL Model'!$A$6:$B$38,2,FALSE)</f>
        <v>0.19809534061227302</v>
      </c>
      <c r="J361">
        <f>($B$1+Table46[[#This Row],[Home Differential]])-Table46[[#This Row],[Away Differential]]</f>
        <v>-0.6553310723255974</v>
      </c>
      <c r="K361" t="str">
        <f>IF(Table46[[#This Row],[HomeIce Differential]]&gt;0,Table46[[#This Row],[Home]],Table46[[#This Row],[Visitor]])</f>
        <v>Dallas Stars</v>
      </c>
      <c r="L36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0.60323498715994928</v>
      </c>
      <c r="M361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361" t="str">
        <f>IF(OR((NHL2025_26Results[[#This Row],[Winning Team]]="")),"-",IF(Table46[[#This Row],[Predicted Winner]]=NHL2025_26Results[[#This Row],[Winning Team]],"YES","NO"))</f>
        <v>-</v>
      </c>
      <c r="O361" t="str">
        <f>IF(OR((NHL2025_26Results[[#This Row],[Winning Team]]="")),"-",IF(Table46[[#This Row],[Prob Winner]]=NHL2025_26Results[[#This Row],[Winning Team]],"YES","NO"))</f>
        <v>-</v>
      </c>
      <c r="P361" t="str">
        <f>IF(Table46[[#This Row],[Locked Prediction]]&lt;&gt;Table46[[#This Row],[Prob Winner]], "Changed", "Same")</f>
        <v>Changed</v>
      </c>
      <c r="Q36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62" spans="4:17" x14ac:dyDescent="0.2">
      <c r="D362" s="1">
        <v>45987</v>
      </c>
      <c r="E362" s="2">
        <v>0.91666666666666663</v>
      </c>
      <c r="F362" t="s">
        <v>31</v>
      </c>
      <c r="G362">
        <f>VLOOKUP(Table46[[#This Row],[Home]],'NHL Model'!$A$6:$B$38,2,FALSE)</f>
        <v>0.51775546328552802</v>
      </c>
      <c r="H362" t="s">
        <v>38</v>
      </c>
      <c r="I362">
        <f>VLOOKUP(Table46[[#This Row],[Visitor]],'NHL Model'!$A$6:$B$38,2,FALSE)</f>
        <v>-0.6902088310934803</v>
      </c>
      <c r="J362">
        <f>($B$1+Table46[[#This Row],[Home Differential]])-Table46[[#This Row],[Away Differential]]</f>
        <v>1.3705366040413267</v>
      </c>
      <c r="K362" t="str">
        <f>IF(Table46[[#This Row],[HomeIce Differential]]&gt;0,Table46[[#This Row],[Home]],Table46[[#This Row],[Visitor]])</f>
        <v>Anaheim Ducks</v>
      </c>
      <c r="L36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0.78656596784159694</v>
      </c>
      <c r="M362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362" t="str">
        <f>IF(OR((NHL2025_26Results[[#This Row],[Winning Team]]="")),"-",IF(Table46[[#This Row],[Predicted Winner]]=NHL2025_26Results[[#This Row],[Winning Team]],"YES","NO"))</f>
        <v>-</v>
      </c>
      <c r="O362" t="str">
        <f>IF(OR((NHL2025_26Results[[#This Row],[Winning Team]]="")),"-",IF(Table46[[#This Row],[Prob Winner]]=NHL2025_26Results[[#This Row],[Winning Team]],"YES","NO"))</f>
        <v>-</v>
      </c>
      <c r="P362" t="str">
        <f>IF(Table46[[#This Row],[Locked Prediction]]&lt;&gt;Table46[[#This Row],[Prob Winner]], "Changed", "Same")</f>
        <v>Changed</v>
      </c>
      <c r="Q36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63" spans="4:17" x14ac:dyDescent="0.2">
      <c r="D363" s="1">
        <v>45987</v>
      </c>
      <c r="E363" s="2">
        <v>0.79166666666666663</v>
      </c>
      <c r="F363" t="s">
        <v>25</v>
      </c>
      <c r="G363">
        <f>VLOOKUP(Table46[[#This Row],[Home]],'NHL Model'!$A$6:$B$38,2,FALSE)</f>
        <v>0.67193921242367816</v>
      </c>
      <c r="H363" t="s">
        <v>15</v>
      </c>
      <c r="I363">
        <f>VLOOKUP(Table46[[#This Row],[Visitor]],'NHL Model'!$A$6:$B$38,2,FALSE)</f>
        <v>-0.30719665303039001</v>
      </c>
      <c r="J363">
        <f>($B$1+Table46[[#This Row],[Home Differential]])-Table46[[#This Row],[Away Differential]]</f>
        <v>1.1417081751163867</v>
      </c>
      <c r="K363" t="str">
        <f>IF(Table46[[#This Row],[HomeIce Differential]]&gt;0,Table46[[#This Row],[Home]],Table46[[#This Row],[Visitor]])</f>
        <v>Carolina Hurricanes</v>
      </c>
      <c r="L36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0.60073430790701154</v>
      </c>
      <c r="M363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363" t="str">
        <f>IF(OR((NHL2025_26Results[[#This Row],[Winning Team]]="")),"-",IF(Table46[[#This Row],[Predicted Winner]]=NHL2025_26Results[[#This Row],[Winning Team]],"YES","NO"))</f>
        <v>-</v>
      </c>
      <c r="O363" t="str">
        <f>IF(OR((NHL2025_26Results[[#This Row],[Winning Team]]="")),"-",IF(Table46[[#This Row],[Prob Winner]]=NHL2025_26Results[[#This Row],[Winning Team]],"YES","NO"))</f>
        <v>-</v>
      </c>
      <c r="P363" t="str">
        <f>IF(Table46[[#This Row],[Locked Prediction]]&lt;&gt;Table46[[#This Row],[Prob Winner]], "Changed", "Same")</f>
        <v>Changed</v>
      </c>
      <c r="Q36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64" spans="4:17" x14ac:dyDescent="0.2">
      <c r="D364" s="1">
        <v>45987</v>
      </c>
      <c r="E364" s="2">
        <v>0.79166666666666663</v>
      </c>
      <c r="F364" t="s">
        <v>28</v>
      </c>
      <c r="G364">
        <f>VLOOKUP(Table46[[#This Row],[Home]],'NHL Model'!$A$6:$B$38,2,FALSE)</f>
        <v>-0.40822279081308277</v>
      </c>
      <c r="H364" t="s">
        <v>19</v>
      </c>
      <c r="I364">
        <f>VLOOKUP(Table46[[#This Row],[Visitor]],'NHL Model'!$A$6:$B$38,2,FALSE)</f>
        <v>-0.635565543477981</v>
      </c>
      <c r="J364">
        <f>($B$1+Table46[[#This Row],[Home Differential]])-Table46[[#This Row],[Away Differential]]</f>
        <v>0.38991506232721662</v>
      </c>
      <c r="K364" t="str">
        <f>IF(Table46[[#This Row],[HomeIce Differential]]&gt;0,Table46[[#This Row],[Home]],Table46[[#This Row],[Visitor]])</f>
        <v>Columbus Blue Jackets</v>
      </c>
      <c r="L36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0.59182712260859405</v>
      </c>
      <c r="M364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364" t="str">
        <f>IF(OR((NHL2025_26Results[[#This Row],[Winning Team]]="")),"-",IF(Table46[[#This Row],[Predicted Winner]]=NHL2025_26Results[[#This Row],[Winning Team]],"YES","NO"))</f>
        <v>-</v>
      </c>
      <c r="O364" t="str">
        <f>IF(OR((NHL2025_26Results[[#This Row],[Winning Team]]="")),"-",IF(Table46[[#This Row],[Prob Winner]]=NHL2025_26Results[[#This Row],[Winning Team]],"YES","NO"))</f>
        <v>-</v>
      </c>
      <c r="P364" t="str">
        <f>IF(Table46[[#This Row],[Locked Prediction]]&lt;&gt;Table46[[#This Row],[Prob Winner]], "Changed", "Same")</f>
        <v>Changed</v>
      </c>
      <c r="Q36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65" spans="4:17" x14ac:dyDescent="0.2">
      <c r="D365" s="1">
        <v>45987</v>
      </c>
      <c r="E365" s="2">
        <v>0.85416666666666663</v>
      </c>
      <c r="F365" t="s">
        <v>10</v>
      </c>
      <c r="G365">
        <f>VLOOKUP(Table46[[#This Row],[Home]],'NHL Model'!$A$6:$B$38,2,FALSE)</f>
        <v>0.30570968833820172</v>
      </c>
      <c r="H365" t="s">
        <v>34</v>
      </c>
      <c r="I365">
        <f>VLOOKUP(Table46[[#This Row],[Visitor]],'NHL Model'!$A$6:$B$38,2,FALSE)</f>
        <v>-0.53650300840565446</v>
      </c>
      <c r="J365">
        <f>($B$1+Table46[[#This Row],[Home Differential]])-Table46[[#This Row],[Away Differential]]</f>
        <v>1.0047850064061745</v>
      </c>
      <c r="K365" t="str">
        <f>IF(Table46[[#This Row],[HomeIce Differential]]&gt;0,Table46[[#This Row],[Home]],Table46[[#This Row],[Visitor]])</f>
        <v>Chicago Blackhawks</v>
      </c>
      <c r="L36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0.67355502455195826</v>
      </c>
      <c r="M365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365" t="str">
        <f>IF(OR((NHL2025_26Results[[#This Row],[Winning Team]]="")),"-",IF(Table46[[#This Row],[Predicted Winner]]=NHL2025_26Results[[#This Row],[Winning Team]],"YES","NO"))</f>
        <v>-</v>
      </c>
      <c r="O365" t="str">
        <f>IF(OR((NHL2025_26Results[[#This Row],[Winning Team]]="")),"-",IF(Table46[[#This Row],[Prob Winner]]=NHL2025_26Results[[#This Row],[Winning Team]],"YES","NO"))</f>
        <v>-</v>
      </c>
      <c r="P365" t="str">
        <f>IF(Table46[[#This Row],[Locked Prediction]]&lt;&gt;Table46[[#This Row],[Prob Winner]], "Changed", "Same")</f>
        <v>Changed</v>
      </c>
      <c r="Q36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66" spans="4:17" x14ac:dyDescent="0.2">
      <c r="D366" s="1">
        <v>45987</v>
      </c>
      <c r="E366" s="2">
        <v>0.875</v>
      </c>
      <c r="F366" t="s">
        <v>12</v>
      </c>
      <c r="G366">
        <f>VLOOKUP(Table46[[#This Row],[Home]],'NHL Model'!$A$6:$B$38,2,FALSE)</f>
        <v>1.5475013591489768</v>
      </c>
      <c r="H366" t="s">
        <v>33</v>
      </c>
      <c r="I366">
        <f>VLOOKUP(Table46[[#This Row],[Visitor]],'NHL Model'!$A$6:$B$38,2,FALSE)</f>
        <v>-0.39418177254008485</v>
      </c>
      <c r="J366">
        <f>($B$1+Table46[[#This Row],[Home Differential]])-Table46[[#This Row],[Away Differential]]</f>
        <v>2.1042554413513801</v>
      </c>
      <c r="K366" t="str">
        <f>IF(Table46[[#This Row],[HomeIce Differential]]&gt;0,Table46[[#This Row],[Home]],Table46[[#This Row],[Visitor]])</f>
        <v>Colorado Avalanche</v>
      </c>
      <c r="L36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0.90806178992803765</v>
      </c>
      <c r="M366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366" t="str">
        <f>IF(OR((NHL2025_26Results[[#This Row],[Winning Team]]="")),"-",IF(Table46[[#This Row],[Predicted Winner]]=NHL2025_26Results[[#This Row],[Winning Team]],"YES","NO"))</f>
        <v>-</v>
      </c>
      <c r="O366" t="str">
        <f>IF(OR((NHL2025_26Results[[#This Row],[Winning Team]]="")),"-",IF(Table46[[#This Row],[Prob Winner]]=NHL2025_26Results[[#This Row],[Winning Team]],"YES","NO"))</f>
        <v>-</v>
      </c>
      <c r="P366" t="str">
        <f>IF(Table46[[#This Row],[Locked Prediction]]&lt;&gt;Table46[[#This Row],[Prob Winner]], "Changed", "Same")</f>
        <v>Changed</v>
      </c>
      <c r="Q36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67" spans="4:17" x14ac:dyDescent="0.2">
      <c r="D367" s="1">
        <v>45987</v>
      </c>
      <c r="E367" s="2">
        <v>0.79166666666666663</v>
      </c>
      <c r="F367" t="s">
        <v>26</v>
      </c>
      <c r="G367">
        <f>VLOOKUP(Table46[[#This Row],[Home]],'NHL Model'!$A$6:$B$38,2,FALSE)</f>
        <v>-0.513643833119658</v>
      </c>
      <c r="H367" t="s">
        <v>29</v>
      </c>
      <c r="I367">
        <f>VLOOKUP(Table46[[#This Row],[Visitor]],'NHL Model'!$A$6:$B$38,2,FALSE)</f>
        <v>-1.3516250707060606</v>
      </c>
      <c r="J367">
        <f>($B$1+Table46[[#This Row],[Home Differential]])-Table46[[#This Row],[Away Differential]]</f>
        <v>1.000553547248721</v>
      </c>
      <c r="K367" t="str">
        <f>IF(Table46[[#This Row],[HomeIce Differential]]&gt;0,Table46[[#This Row],[Home]],Table46[[#This Row],[Visitor]])</f>
        <v>Detroit Red Wings</v>
      </c>
      <c r="L36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0.69903031905479529</v>
      </c>
      <c r="M367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367" t="str">
        <f>IF(OR((NHL2025_26Results[[#This Row],[Winning Team]]="")),"-",IF(Table46[[#This Row],[Predicted Winner]]=NHL2025_26Results[[#This Row],[Winning Team]],"YES","NO"))</f>
        <v>-</v>
      </c>
      <c r="O367" t="str">
        <f>IF(OR((NHL2025_26Results[[#This Row],[Winning Team]]="")),"-",IF(Table46[[#This Row],[Prob Winner]]=NHL2025_26Results[[#This Row],[Winning Team]],"YES","NO"))</f>
        <v>-</v>
      </c>
      <c r="P367" t="str">
        <f>IF(Table46[[#This Row],[Locked Prediction]]&lt;&gt;Table46[[#This Row],[Prob Winner]], "Changed", "Same")</f>
        <v>Changed</v>
      </c>
      <c r="Q36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68" spans="4:17" x14ac:dyDescent="0.2">
      <c r="D368" s="1">
        <v>45987</v>
      </c>
      <c r="E368" s="2">
        <v>0.79166666666666663</v>
      </c>
      <c r="F368" t="s">
        <v>11</v>
      </c>
      <c r="G368">
        <f>VLOOKUP(Table46[[#This Row],[Home]],'NHL Model'!$A$6:$B$38,2,FALSE)</f>
        <v>-0.28105923893144158</v>
      </c>
      <c r="H368" t="s">
        <v>27</v>
      </c>
      <c r="I368">
        <f>VLOOKUP(Table46[[#This Row],[Visitor]],'NHL Model'!$A$6:$B$38,2,FALSE)</f>
        <v>-0.51358590497437617</v>
      </c>
      <c r="J368">
        <f>($B$1+Table46[[#This Row],[Home Differential]])-Table46[[#This Row],[Away Differential]]</f>
        <v>0.39509897570525299</v>
      </c>
      <c r="K368" t="str">
        <f>IF(Table46[[#This Row],[HomeIce Differential]]&gt;0,Table46[[#This Row],[Home]],Table46[[#This Row],[Visitor]])</f>
        <v>Florida Panthers</v>
      </c>
      <c r="L36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0.64423213955467817</v>
      </c>
      <c r="M368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368" t="str">
        <f>IF(OR((NHL2025_26Results[[#This Row],[Winning Team]]="")),"-",IF(Table46[[#This Row],[Predicted Winner]]=NHL2025_26Results[[#This Row],[Winning Team]],"YES","NO"))</f>
        <v>-</v>
      </c>
      <c r="O368" t="str">
        <f>IF(OR((NHL2025_26Results[[#This Row],[Winning Team]]="")),"-",IF(Table46[[#This Row],[Prob Winner]]=NHL2025_26Results[[#This Row],[Winning Team]],"YES","NO"))</f>
        <v>-</v>
      </c>
      <c r="P368" t="str">
        <f>IF(Table46[[#This Row],[Locked Prediction]]&lt;&gt;Table46[[#This Row],[Prob Winner]], "Changed", "Same")</f>
        <v>Changed</v>
      </c>
      <c r="Q36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69" spans="4:17" x14ac:dyDescent="0.2">
      <c r="D369" s="1">
        <v>45987</v>
      </c>
      <c r="E369" s="2">
        <v>0.79166666666666663</v>
      </c>
      <c r="F369" t="s">
        <v>24</v>
      </c>
      <c r="G369">
        <f>VLOOKUP(Table46[[#This Row],[Home]],'NHL Model'!$A$6:$B$38,2,FALSE)</f>
        <v>0.559441163373953</v>
      </c>
      <c r="H369" t="s">
        <v>35</v>
      </c>
      <c r="I369">
        <f>VLOOKUP(Table46[[#This Row],[Visitor]],'NHL Model'!$A$6:$B$38,2,FALSE)</f>
        <v>-1.6211574240381006</v>
      </c>
      <c r="J369">
        <f>($B$1+Table46[[#This Row],[Home Differential]])-Table46[[#This Row],[Away Differential]]</f>
        <v>2.3431708970743719</v>
      </c>
      <c r="K369" t="str">
        <f>IF(Table46[[#This Row],[HomeIce Differential]]&gt;0,Table46[[#This Row],[Home]],Table46[[#This Row],[Visitor]])</f>
        <v>New Jersey Devils</v>
      </c>
      <c r="L36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0.96688265873647516</v>
      </c>
      <c r="M369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369" t="str">
        <f>IF(OR((NHL2025_26Results[[#This Row],[Winning Team]]="")),"-",IF(Table46[[#This Row],[Predicted Winner]]=NHL2025_26Results[[#This Row],[Winning Team]],"YES","NO"))</f>
        <v>-</v>
      </c>
      <c r="O369" t="str">
        <f>IF(OR((NHL2025_26Results[[#This Row],[Winning Team]]="")),"-",IF(Table46[[#This Row],[Prob Winner]]=NHL2025_26Results[[#This Row],[Winning Team]],"YES","NO"))</f>
        <v>-</v>
      </c>
      <c r="P369" t="str">
        <f>IF(Table46[[#This Row],[Locked Prediction]]&lt;&gt;Table46[[#This Row],[Prob Winner]], "Changed", "Same")</f>
        <v>Changed</v>
      </c>
      <c r="Q36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70" spans="4:17" x14ac:dyDescent="0.2">
      <c r="D370" s="1">
        <v>45987</v>
      </c>
      <c r="E370" s="2">
        <v>0.79166666666666663</v>
      </c>
      <c r="F370" t="s">
        <v>30</v>
      </c>
      <c r="G370">
        <f>VLOOKUP(Table46[[#This Row],[Home]],'NHL Model'!$A$6:$B$38,2,FALSE)</f>
        <v>-6.4729560818359025E-2</v>
      </c>
      <c r="H370" t="s">
        <v>21</v>
      </c>
      <c r="I370">
        <f>VLOOKUP(Table46[[#This Row],[Visitor]],'NHL Model'!$A$6:$B$38,2,FALSE)</f>
        <v>4.029141914856392E-2</v>
      </c>
      <c r="J370">
        <f>($B$1+Table46[[#This Row],[Home Differential]])-Table46[[#This Row],[Away Differential]]</f>
        <v>5.7551329695395448E-2</v>
      </c>
      <c r="K370" t="str">
        <f>IF(Table46[[#This Row],[HomeIce Differential]]&gt;0,Table46[[#This Row],[Home]],Table46[[#This Row],[Visitor]])</f>
        <v>New York Islanders</v>
      </c>
      <c r="L37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0.54764966555179595</v>
      </c>
      <c r="M370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370" t="str">
        <f>IF(OR((NHL2025_26Results[[#This Row],[Winning Team]]="")),"-",IF(Table46[[#This Row],[Predicted Winner]]=NHL2025_26Results[[#This Row],[Winning Team]],"YES","NO"))</f>
        <v>-</v>
      </c>
      <c r="O370" t="str">
        <f>IF(OR((NHL2025_26Results[[#This Row],[Winning Team]]="")),"-",IF(Table46[[#This Row],[Prob Winner]]=NHL2025_26Results[[#This Row],[Winning Team]],"YES","NO"))</f>
        <v>-</v>
      </c>
      <c r="P370" t="str">
        <f>IF(Table46[[#This Row],[Locked Prediction]]&lt;&gt;Table46[[#This Row],[Prob Winner]], "Changed", "Same")</f>
        <v>Changed</v>
      </c>
      <c r="Q37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71" spans="4:17" x14ac:dyDescent="0.2">
      <c r="D371" s="1">
        <v>45987</v>
      </c>
      <c r="E371" s="2">
        <v>0.79166666666666663</v>
      </c>
      <c r="F371" t="s">
        <v>14</v>
      </c>
      <c r="G371">
        <f>VLOOKUP(Table46[[#This Row],[Home]],'NHL Model'!$A$6:$B$38,2,FALSE)</f>
        <v>0.26289091192875702</v>
      </c>
      <c r="H371" t="s">
        <v>23</v>
      </c>
      <c r="I371">
        <f>VLOOKUP(Table46[[#This Row],[Visitor]],'NHL Model'!$A$6:$B$38,2,FALSE)</f>
        <v>-0.8683412362501769</v>
      </c>
      <c r="J371">
        <f>($B$1+Table46[[#This Row],[Home Differential]])-Table46[[#This Row],[Away Differential]]</f>
        <v>1.2938044578412522</v>
      </c>
      <c r="K371" t="str">
        <f>IF(Table46[[#This Row],[HomeIce Differential]]&gt;0,Table46[[#This Row],[Home]],Table46[[#This Row],[Visitor]])</f>
        <v>Pittsburgh Penguins</v>
      </c>
      <c r="L37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0.74800806918467222</v>
      </c>
      <c r="M371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371" t="str">
        <f>IF(OR((NHL2025_26Results[[#This Row],[Winning Team]]="")),"-",IF(Table46[[#This Row],[Predicted Winner]]=NHL2025_26Results[[#This Row],[Winning Team]],"YES","NO"))</f>
        <v>-</v>
      </c>
      <c r="O371" t="str">
        <f>IF(OR((NHL2025_26Results[[#This Row],[Winning Team]]="")),"-",IF(Table46[[#This Row],[Prob Winner]]=NHL2025_26Results[[#This Row],[Winning Team]],"YES","NO"))</f>
        <v>-</v>
      </c>
      <c r="P371" t="str">
        <f>IF(Table46[[#This Row],[Locked Prediction]]&lt;&gt;Table46[[#This Row],[Prob Winner]], "Changed", "Same")</f>
        <v>Changed</v>
      </c>
      <c r="Q37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72" spans="4:17" x14ac:dyDescent="0.2">
      <c r="D372" s="1">
        <v>45987</v>
      </c>
      <c r="E372" s="2">
        <v>0.91666666666666663</v>
      </c>
      <c r="F372" t="s">
        <v>32</v>
      </c>
      <c r="G372">
        <f>VLOOKUP(Table46[[#This Row],[Home]],'NHL Model'!$A$6:$B$38,2,FALSE)</f>
        <v>-0.361361309178443</v>
      </c>
      <c r="H372" t="s">
        <v>39</v>
      </c>
      <c r="I372">
        <f>VLOOKUP(Table46[[#This Row],[Visitor]],'NHL Model'!$A$6:$B$38,2,FALSE)</f>
        <v>0.19809534061227302</v>
      </c>
      <c r="J372">
        <f>($B$1+Table46[[#This Row],[Home Differential]])-Table46[[#This Row],[Away Differential]]</f>
        <v>-0.39688434012839763</v>
      </c>
      <c r="K372" t="str">
        <f>IF(Table46[[#This Row],[HomeIce Differential]]&gt;0,Table46[[#This Row],[Home]],Table46[[#This Row],[Visitor]])</f>
        <v>Dallas Stars</v>
      </c>
      <c r="L37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0.57906926156192984</v>
      </c>
      <c r="M372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372" t="str">
        <f>IF(OR((NHL2025_26Results[[#This Row],[Winning Team]]="")),"-",IF(Table46[[#This Row],[Predicted Winner]]=NHL2025_26Results[[#This Row],[Winning Team]],"YES","NO"))</f>
        <v>-</v>
      </c>
      <c r="O372" t="str">
        <f>IF(OR((NHL2025_26Results[[#This Row],[Winning Team]]="")),"-",IF(Table46[[#This Row],[Prob Winner]]=NHL2025_26Results[[#This Row],[Winning Team]],"YES","NO"))</f>
        <v>-</v>
      </c>
      <c r="P372" t="str">
        <f>IF(Table46[[#This Row],[Locked Prediction]]&lt;&gt;Table46[[#This Row],[Prob Winner]], "Changed", "Same")</f>
        <v>Changed</v>
      </c>
      <c r="Q37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73" spans="4:17" x14ac:dyDescent="0.2">
      <c r="D373" s="1">
        <v>45987</v>
      </c>
      <c r="E373" s="2">
        <v>0.79166666666666663</v>
      </c>
      <c r="F373" t="s">
        <v>37</v>
      </c>
      <c r="G373">
        <f>VLOOKUP(Table46[[#This Row],[Home]],'NHL Model'!$A$6:$B$38,2,FALSE)</f>
        <v>-0.11309445867623392</v>
      </c>
      <c r="H373" t="s">
        <v>16</v>
      </c>
      <c r="I373">
        <f>VLOOKUP(Table46[[#This Row],[Visitor]],'NHL Model'!$A$6:$B$38,2,FALSE)</f>
        <v>-1.3903684122795328</v>
      </c>
      <c r="J373">
        <f>($B$1+Table46[[#This Row],[Home Differential]])-Table46[[#This Row],[Away Differential]]</f>
        <v>1.4398462632656173</v>
      </c>
      <c r="K373" t="str">
        <f>IF(Table46[[#This Row],[HomeIce Differential]]&gt;0,Table46[[#This Row],[Home]],Table46[[#This Row],[Visitor]])</f>
        <v>Tampa Bay Lightning</v>
      </c>
      <c r="L37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0.73138293447399427</v>
      </c>
      <c r="M373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373" t="str">
        <f>IF(OR((NHL2025_26Results[[#This Row],[Winning Team]]="")),"-",IF(Table46[[#This Row],[Predicted Winner]]=NHL2025_26Results[[#This Row],[Winning Team]],"YES","NO"))</f>
        <v>-</v>
      </c>
      <c r="O373" t="str">
        <f>IF(OR((NHL2025_26Results[[#This Row],[Winning Team]]="")),"-",IF(Table46[[#This Row],[Prob Winner]]=NHL2025_26Results[[#This Row],[Winning Team]],"YES","NO"))</f>
        <v>-</v>
      </c>
      <c r="P373" t="str">
        <f>IF(Table46[[#This Row],[Locked Prediction]]&lt;&gt;Table46[[#This Row],[Prob Winner]], "Changed", "Same")</f>
        <v>Changed</v>
      </c>
      <c r="Q37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74" spans="4:17" x14ac:dyDescent="0.2">
      <c r="D374" s="1">
        <v>45987</v>
      </c>
      <c r="E374" s="2">
        <v>0.89583333333333337</v>
      </c>
      <c r="F374" t="s">
        <v>55</v>
      </c>
      <c r="G374">
        <f>VLOOKUP(Table46[[#This Row],[Home]],'NHL Model'!$A$6:$B$38,2,FALSE)</f>
        <v>-0.12212311954851815</v>
      </c>
      <c r="H374" t="s">
        <v>18</v>
      </c>
      <c r="I374">
        <f>VLOOKUP(Table46[[#This Row],[Visitor]],'NHL Model'!$A$6:$B$38,2,FALSE)</f>
        <v>-0.52437726201848234</v>
      </c>
      <c r="J374">
        <f>($B$1+Table46[[#This Row],[Home Differential]])-Table46[[#This Row],[Away Differential]]</f>
        <v>0.56482645213228255</v>
      </c>
      <c r="K374" t="str">
        <f>IF(Table46[[#This Row],[HomeIce Differential]]&gt;0,Table46[[#This Row],[Home]],Table46[[#This Row],[Visitor]])</f>
        <v>Utah Mammoth</v>
      </c>
      <c r="L37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0.6084095040575892</v>
      </c>
      <c r="M374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374" t="str">
        <f>IF(OR((NHL2025_26Results[[#This Row],[Winning Team]]="")),"-",IF(Table46[[#This Row],[Predicted Winner]]=NHL2025_26Results[[#This Row],[Winning Team]],"YES","NO"))</f>
        <v>-</v>
      </c>
      <c r="O374" t="str">
        <f>IF(OR((NHL2025_26Results[[#This Row],[Winning Team]]="")),"-",IF(Table46[[#This Row],[Prob Winner]]=NHL2025_26Results[[#This Row],[Winning Team]],"YES","NO"))</f>
        <v>-</v>
      </c>
      <c r="P374" t="str">
        <f>IF(Table46[[#This Row],[Locked Prediction]]&lt;&gt;Table46[[#This Row],[Prob Winner]], "Changed", "Same")</f>
        <v>Changed</v>
      </c>
      <c r="Q37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75" spans="4:17" x14ac:dyDescent="0.2">
      <c r="D375" s="1">
        <v>45987</v>
      </c>
      <c r="E375" s="2">
        <v>0.91666666666666663</v>
      </c>
      <c r="F375" t="s">
        <v>20</v>
      </c>
      <c r="G375">
        <f>VLOOKUP(Table46[[#This Row],[Home]],'NHL Model'!$A$6:$B$38,2,FALSE)</f>
        <v>-6.3745791019188943E-4</v>
      </c>
      <c r="H375" t="s">
        <v>36</v>
      </c>
      <c r="I375">
        <f>VLOOKUP(Table46[[#This Row],[Visitor]],'NHL Model'!$A$6:$B$38,2,FALSE)</f>
        <v>-0.40651947573390851</v>
      </c>
      <c r="J375">
        <f>($B$1+Table46[[#This Row],[Home Differential]])-Table46[[#This Row],[Away Differential]]</f>
        <v>0.56845432748603497</v>
      </c>
      <c r="K375" t="str">
        <f>IF(Table46[[#This Row],[HomeIce Differential]]&gt;0,Table46[[#This Row],[Home]],Table46[[#This Row],[Visitor]])</f>
        <v>Vegas Golden Knights</v>
      </c>
      <c r="L37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0.61555838431109555</v>
      </c>
      <c r="M375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375" t="str">
        <f>IF(OR((NHL2025_26Results[[#This Row],[Winning Team]]="")),"-",IF(Table46[[#This Row],[Predicted Winner]]=NHL2025_26Results[[#This Row],[Winning Team]],"YES","NO"))</f>
        <v>-</v>
      </c>
      <c r="O375" t="str">
        <f>IF(OR((NHL2025_26Results[[#This Row],[Winning Team]]="")),"-",IF(Table46[[#This Row],[Prob Winner]]=NHL2025_26Results[[#This Row],[Winning Team]],"YES","NO"))</f>
        <v>-</v>
      </c>
      <c r="P375" t="str">
        <f>IF(Table46[[#This Row],[Locked Prediction]]&lt;&gt;Table46[[#This Row],[Prob Winner]], "Changed", "Same")</f>
        <v>Changed</v>
      </c>
      <c r="Q37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76" spans="4:17" x14ac:dyDescent="0.2">
      <c r="D376" s="1">
        <v>45987</v>
      </c>
      <c r="E376" s="2">
        <v>0.79166666666666663</v>
      </c>
      <c r="F376" t="s">
        <v>22</v>
      </c>
      <c r="G376">
        <f>VLOOKUP(Table46[[#This Row],[Home]],'NHL Model'!$A$6:$B$38,2,FALSE)</f>
        <v>-6.1308839486784707E-2</v>
      </c>
      <c r="H376" t="s">
        <v>40</v>
      </c>
      <c r="I376">
        <f>VLOOKUP(Table46[[#This Row],[Visitor]],'NHL Model'!$A$6:$B$38,2,FALSE)</f>
        <v>0.105105258369765</v>
      </c>
      <c r="J376">
        <f>($B$1+Table46[[#This Row],[Home Differential]])-Table46[[#This Row],[Away Differential]]</f>
        <v>-3.8417881942313103E-3</v>
      </c>
      <c r="K376" t="str">
        <f>IF(Table46[[#This Row],[HomeIce Differential]]&gt;0,Table46[[#This Row],[Home]],Table46[[#This Row],[Visitor]])</f>
        <v>Winnipeg Jets</v>
      </c>
      <c r="L37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0.52682643614270563</v>
      </c>
      <c r="M376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376" t="str">
        <f>IF(OR((NHL2025_26Results[[#This Row],[Winning Team]]="")),"-",IF(Table46[[#This Row],[Predicted Winner]]=NHL2025_26Results[[#This Row],[Winning Team]],"YES","NO"))</f>
        <v>-</v>
      </c>
      <c r="O376" t="str">
        <f>IF(OR((NHL2025_26Results[[#This Row],[Winning Team]]="")),"-",IF(Table46[[#This Row],[Prob Winner]]=NHL2025_26Results[[#This Row],[Winning Team]],"YES","NO"))</f>
        <v>-</v>
      </c>
      <c r="P376" t="str">
        <f>IF(Table46[[#This Row],[Locked Prediction]]&lt;&gt;Table46[[#This Row],[Prob Winner]], "Changed", "Same")</f>
        <v>Changed</v>
      </c>
      <c r="Q37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77" spans="4:17" x14ac:dyDescent="0.2">
      <c r="D377" s="1">
        <v>45989</v>
      </c>
      <c r="E377" s="2">
        <v>0.66666666666666663</v>
      </c>
      <c r="F377" t="s">
        <v>31</v>
      </c>
      <c r="G377">
        <f>VLOOKUP(Table46[[#This Row],[Home]],'NHL Model'!$A$6:$B$38,2,FALSE)</f>
        <v>0.51775546328552802</v>
      </c>
      <c r="H377" t="s">
        <v>13</v>
      </c>
      <c r="I377">
        <f>VLOOKUP(Table46[[#This Row],[Visitor]],'NHL Model'!$A$6:$B$38,2,FALSE)</f>
        <v>-7.5459708298993802E-2</v>
      </c>
      <c r="J377">
        <f>($B$1+Table46[[#This Row],[Home Differential]])-Table46[[#This Row],[Away Differential]]</f>
        <v>0.75578748124684025</v>
      </c>
      <c r="K377" t="str">
        <f>IF(Table46[[#This Row],[HomeIce Differential]]&gt;0,Table46[[#This Row],[Home]],Table46[[#This Row],[Visitor]])</f>
        <v>Anaheim Ducks</v>
      </c>
      <c r="L37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0.62677431042137899</v>
      </c>
      <c r="M377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377" t="str">
        <f>IF(OR((NHL2025_26Results[[#This Row],[Winning Team]]="")),"-",IF(Table46[[#This Row],[Predicted Winner]]=NHL2025_26Results[[#This Row],[Winning Team]],"YES","NO"))</f>
        <v>-</v>
      </c>
      <c r="O377" t="str">
        <f>IF(OR((NHL2025_26Results[[#This Row],[Winning Team]]="")),"-",IF(Table46[[#This Row],[Prob Winner]]=NHL2025_26Results[[#This Row],[Winning Team]],"YES","NO"))</f>
        <v>-</v>
      </c>
      <c r="P377" t="str">
        <f>IF(Table46[[#This Row],[Locked Prediction]]&lt;&gt;Table46[[#This Row],[Prob Winner]], "Changed", "Same")</f>
        <v>Changed</v>
      </c>
      <c r="Q37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78" spans="4:17" x14ac:dyDescent="0.2">
      <c r="D378" s="1">
        <v>45989</v>
      </c>
      <c r="E378" s="2">
        <v>0.54166666666666663</v>
      </c>
      <c r="F378" t="s">
        <v>21</v>
      </c>
      <c r="G378">
        <f>VLOOKUP(Table46[[#This Row],[Home]],'NHL Model'!$A$6:$B$38,2,FALSE)</f>
        <v>4.029141914856392E-2</v>
      </c>
      <c r="H378" t="s">
        <v>15</v>
      </c>
      <c r="I378">
        <f>VLOOKUP(Table46[[#This Row],[Visitor]],'NHL Model'!$A$6:$B$38,2,FALSE)</f>
        <v>-0.30719665303039001</v>
      </c>
      <c r="J378">
        <f>($B$1+Table46[[#This Row],[Home Differential]])-Table46[[#This Row],[Away Differential]]</f>
        <v>0.51006038184127234</v>
      </c>
      <c r="K378" t="str">
        <f>IF(Table46[[#This Row],[HomeIce Differential]]&gt;0,Table46[[#This Row],[Home]],Table46[[#This Row],[Visitor]])</f>
        <v>Boston Bruins</v>
      </c>
      <c r="L37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0.53838495437877232</v>
      </c>
      <c r="M378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378" t="str">
        <f>IF(OR((NHL2025_26Results[[#This Row],[Winning Team]]="")),"-",IF(Table46[[#This Row],[Predicted Winner]]=NHL2025_26Results[[#This Row],[Winning Team]],"YES","NO"))</f>
        <v>-</v>
      </c>
      <c r="O378" t="str">
        <f>IF(OR((NHL2025_26Results[[#This Row],[Winning Team]]="")),"-",IF(Table46[[#This Row],[Prob Winner]]=NHL2025_26Results[[#This Row],[Winning Team]],"YES","NO"))</f>
        <v>-</v>
      </c>
      <c r="P378" t="str">
        <f>IF(Table46[[#This Row],[Locked Prediction]]&lt;&gt;Table46[[#This Row],[Prob Winner]], "Changed", "Same")</f>
        <v>Changed</v>
      </c>
      <c r="Q37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79" spans="4:17" x14ac:dyDescent="0.2">
      <c r="D379" s="1">
        <v>45989</v>
      </c>
      <c r="E379" s="2">
        <v>0.66666666666666663</v>
      </c>
      <c r="F379" t="s">
        <v>23</v>
      </c>
      <c r="G379">
        <f>VLOOKUP(Table46[[#This Row],[Home]],'NHL Model'!$A$6:$B$38,2,FALSE)</f>
        <v>-0.8683412362501769</v>
      </c>
      <c r="H379" t="s">
        <v>24</v>
      </c>
      <c r="I379">
        <f>VLOOKUP(Table46[[#This Row],[Visitor]],'NHL Model'!$A$6:$B$38,2,FALSE)</f>
        <v>0.559441163373953</v>
      </c>
      <c r="J379">
        <f>($B$1+Table46[[#This Row],[Home Differential]])-Table46[[#This Row],[Away Differential]]</f>
        <v>-1.2652100899618115</v>
      </c>
      <c r="K379" t="str">
        <f>IF(Table46[[#This Row],[HomeIce Differential]]&gt;0,Table46[[#This Row],[Home]],Table46[[#This Row],[Visitor]])</f>
        <v>New Jersey Devils</v>
      </c>
      <c r="L37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0.69448625733586922</v>
      </c>
      <c r="M379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379" t="str">
        <f>IF(OR((NHL2025_26Results[[#This Row],[Winning Team]]="")),"-",IF(Table46[[#This Row],[Predicted Winner]]=NHL2025_26Results[[#This Row],[Winning Team]],"YES","NO"))</f>
        <v>-</v>
      </c>
      <c r="O379" t="str">
        <f>IF(OR((NHL2025_26Results[[#This Row],[Winning Team]]="")),"-",IF(Table46[[#This Row],[Prob Winner]]=NHL2025_26Results[[#This Row],[Winning Team]],"YES","NO"))</f>
        <v>-</v>
      </c>
      <c r="P379" t="str">
        <f>IF(Table46[[#This Row],[Locked Prediction]]&lt;&gt;Table46[[#This Row],[Prob Winner]], "Changed", "Same")</f>
        <v>Changed</v>
      </c>
      <c r="Q37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80" spans="4:17" x14ac:dyDescent="0.2">
      <c r="D380" s="1">
        <v>45989</v>
      </c>
      <c r="E380" s="2">
        <v>0.70833333333333337</v>
      </c>
      <c r="F380" t="s">
        <v>25</v>
      </c>
      <c r="G380">
        <f>VLOOKUP(Table46[[#This Row],[Home]],'NHL Model'!$A$6:$B$38,2,FALSE)</f>
        <v>0.67193921242367816</v>
      </c>
      <c r="H380" t="s">
        <v>40</v>
      </c>
      <c r="I380">
        <f>VLOOKUP(Table46[[#This Row],[Visitor]],'NHL Model'!$A$6:$B$38,2,FALSE)</f>
        <v>0.105105258369765</v>
      </c>
      <c r="J380">
        <f>($B$1+Table46[[#This Row],[Home Differential]])-Table46[[#This Row],[Away Differential]]</f>
        <v>0.72940626371623152</v>
      </c>
      <c r="K380" t="str">
        <f>IF(Table46[[#This Row],[HomeIce Differential]]&gt;0,Table46[[#This Row],[Home]],Table46[[#This Row],[Visitor]])</f>
        <v>Carolina Hurricanes</v>
      </c>
      <c r="L38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0.62326774520339978</v>
      </c>
      <c r="M380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380" t="str">
        <f>IF(OR((NHL2025_26Results[[#This Row],[Winning Team]]="")),"-",IF(Table46[[#This Row],[Predicted Winner]]=NHL2025_26Results[[#This Row],[Winning Team]],"YES","NO"))</f>
        <v>-</v>
      </c>
      <c r="O380" t="str">
        <f>IF(OR((NHL2025_26Results[[#This Row],[Winning Team]]="")),"-",IF(Table46[[#This Row],[Prob Winner]]=NHL2025_26Results[[#This Row],[Winning Team]],"YES","NO"))</f>
        <v>-</v>
      </c>
      <c r="P380" t="str">
        <f>IF(Table46[[#This Row],[Locked Prediction]]&lt;&gt;Table46[[#This Row],[Prob Winner]], "Changed", "Same")</f>
        <v>Changed</v>
      </c>
      <c r="Q38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81" spans="4:17" x14ac:dyDescent="0.2">
      <c r="D381" s="1">
        <v>45989</v>
      </c>
      <c r="E381" s="2">
        <v>0.79166666666666663</v>
      </c>
      <c r="F381" t="s">
        <v>28</v>
      </c>
      <c r="G381">
        <f>VLOOKUP(Table46[[#This Row],[Home]],'NHL Model'!$A$6:$B$38,2,FALSE)</f>
        <v>-0.40822279081308277</v>
      </c>
      <c r="H381" t="s">
        <v>14</v>
      </c>
      <c r="I381">
        <f>VLOOKUP(Table46[[#This Row],[Visitor]],'NHL Model'!$A$6:$B$38,2,FALSE)</f>
        <v>0.26289091192875702</v>
      </c>
      <c r="J381">
        <f>($B$1+Table46[[#This Row],[Home Differential]])-Table46[[#This Row],[Away Differential]]</f>
        <v>-0.5085413930795214</v>
      </c>
      <c r="K381" t="str">
        <f>IF(Table46[[#This Row],[HomeIce Differential]]&gt;0,Table46[[#This Row],[Home]],Table46[[#This Row],[Visitor]])</f>
        <v>Pittsburgh Penguins</v>
      </c>
      <c r="L38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0.5275948166079294</v>
      </c>
      <c r="M381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381" t="str">
        <f>IF(OR((NHL2025_26Results[[#This Row],[Winning Team]]="")),"-",IF(Table46[[#This Row],[Predicted Winner]]=NHL2025_26Results[[#This Row],[Winning Team]],"YES","NO"))</f>
        <v>-</v>
      </c>
      <c r="O381" t="str">
        <f>IF(OR((NHL2025_26Results[[#This Row],[Winning Team]]="")),"-",IF(Table46[[#This Row],[Prob Winner]]=NHL2025_26Results[[#This Row],[Winning Team]],"YES","NO"))</f>
        <v>-</v>
      </c>
      <c r="P381" t="str">
        <f>IF(Table46[[#This Row],[Locked Prediction]]&lt;&gt;Table46[[#This Row],[Prob Winner]], "Changed", "Same")</f>
        <v>Changed</v>
      </c>
      <c r="Q38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82" spans="4:17" x14ac:dyDescent="0.2">
      <c r="D382" s="1">
        <v>45989</v>
      </c>
      <c r="E382" s="2">
        <v>0.83333333333333337</v>
      </c>
      <c r="F382" t="s">
        <v>10</v>
      </c>
      <c r="G382">
        <f>VLOOKUP(Table46[[#This Row],[Home]],'NHL Model'!$A$6:$B$38,2,FALSE)</f>
        <v>0.30570968833820172</v>
      </c>
      <c r="H382" t="s">
        <v>29</v>
      </c>
      <c r="I382">
        <f>VLOOKUP(Table46[[#This Row],[Visitor]],'NHL Model'!$A$6:$B$38,2,FALSE)</f>
        <v>-1.3516250707060606</v>
      </c>
      <c r="J382">
        <f>($B$1+Table46[[#This Row],[Home Differential]])-Table46[[#This Row],[Away Differential]]</f>
        <v>1.8199070687065808</v>
      </c>
      <c r="K382" t="str">
        <f>IF(Table46[[#This Row],[HomeIce Differential]]&gt;0,Table46[[#This Row],[Home]],Table46[[#This Row],[Visitor]])</f>
        <v>Chicago Blackhawks</v>
      </c>
      <c r="L38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0.78190023904988082</v>
      </c>
      <c r="M382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382" t="str">
        <f>IF(OR((NHL2025_26Results[[#This Row],[Winning Team]]="")),"-",IF(Table46[[#This Row],[Predicted Winner]]=NHL2025_26Results[[#This Row],[Winning Team]],"YES","NO"))</f>
        <v>-</v>
      </c>
      <c r="O382" t="str">
        <f>IF(OR((NHL2025_26Results[[#This Row],[Winning Team]]="")),"-",IF(Table46[[#This Row],[Prob Winner]]=NHL2025_26Results[[#This Row],[Winning Team]],"YES","NO"))</f>
        <v>-</v>
      </c>
      <c r="P382" t="str">
        <f>IF(Table46[[#This Row],[Locked Prediction]]&lt;&gt;Table46[[#This Row],[Prob Winner]], "Changed", "Same")</f>
        <v>Changed</v>
      </c>
      <c r="Q38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83" spans="4:17" x14ac:dyDescent="0.2">
      <c r="D383" s="1">
        <v>45989</v>
      </c>
      <c r="E383" s="2">
        <v>0.83333333333333337</v>
      </c>
      <c r="F383" t="s">
        <v>39</v>
      </c>
      <c r="G383">
        <f>VLOOKUP(Table46[[#This Row],[Home]],'NHL Model'!$A$6:$B$38,2,FALSE)</f>
        <v>0.19809534061227302</v>
      </c>
      <c r="H383" t="s">
        <v>55</v>
      </c>
      <c r="I383">
        <f>VLOOKUP(Table46[[#This Row],[Visitor]],'NHL Model'!$A$6:$B$38,2,FALSE)</f>
        <v>-0.12212311954851815</v>
      </c>
      <c r="J383">
        <f>($B$1+Table46[[#This Row],[Home Differential]])-Table46[[#This Row],[Away Differential]]</f>
        <v>0.48279076982310953</v>
      </c>
      <c r="K383" t="str">
        <f>IF(Table46[[#This Row],[HomeIce Differential]]&gt;0,Table46[[#This Row],[Home]],Table46[[#This Row],[Visitor]])</f>
        <v>Dallas Stars</v>
      </c>
      <c r="L38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0.63020980520328329</v>
      </c>
      <c r="M383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383" t="str">
        <f>IF(OR((NHL2025_26Results[[#This Row],[Winning Team]]="")),"-",IF(Table46[[#This Row],[Predicted Winner]]=NHL2025_26Results[[#This Row],[Winning Team]],"YES","NO"))</f>
        <v>-</v>
      </c>
      <c r="O383" t="str">
        <f>IF(OR((NHL2025_26Results[[#This Row],[Winning Team]]="")),"-",IF(Table46[[#This Row],[Prob Winner]]=NHL2025_26Results[[#This Row],[Winning Team]],"YES","NO"))</f>
        <v>-</v>
      </c>
      <c r="P383" t="str">
        <f>IF(Table46[[#This Row],[Locked Prediction]]&lt;&gt;Table46[[#This Row],[Prob Winner]], "Changed", "Same")</f>
        <v>Changed</v>
      </c>
      <c r="Q38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84" spans="4:17" x14ac:dyDescent="0.2">
      <c r="D384" s="1">
        <v>45989</v>
      </c>
      <c r="E384" s="2">
        <v>0.5</v>
      </c>
      <c r="F384" t="s">
        <v>26</v>
      </c>
      <c r="G384">
        <f>VLOOKUP(Table46[[#This Row],[Home]],'NHL Model'!$A$6:$B$38,2,FALSE)</f>
        <v>-0.513643833119658</v>
      </c>
      <c r="H384" t="s">
        <v>37</v>
      </c>
      <c r="I384">
        <f>VLOOKUP(Table46[[#This Row],[Visitor]],'NHL Model'!$A$6:$B$38,2,FALSE)</f>
        <v>-0.11309445867623392</v>
      </c>
      <c r="J384">
        <f>($B$1+Table46[[#This Row],[Home Differential]])-Table46[[#This Row],[Away Differential]]</f>
        <v>-0.2379770647811057</v>
      </c>
      <c r="K384" t="str">
        <f>IF(Table46[[#This Row],[HomeIce Differential]]&gt;0,Table46[[#This Row],[Home]],Table46[[#This Row],[Visitor]])</f>
        <v>Tampa Bay Lightning</v>
      </c>
      <c r="L38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0.51240090573154162</v>
      </c>
      <c r="M384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384" t="str">
        <f>IF(OR((NHL2025_26Results[[#This Row],[Winning Team]]="")),"-",IF(Table46[[#This Row],[Predicted Winner]]=NHL2025_26Results[[#This Row],[Winning Team]],"YES","NO"))</f>
        <v>-</v>
      </c>
      <c r="O384" t="str">
        <f>IF(OR((NHL2025_26Results[[#This Row],[Winning Team]]="")),"-",IF(Table46[[#This Row],[Prob Winner]]=NHL2025_26Results[[#This Row],[Winning Team]],"YES","NO"))</f>
        <v>-</v>
      </c>
      <c r="P384" t="str">
        <f>IF(Table46[[#This Row],[Locked Prediction]]&lt;&gt;Table46[[#This Row],[Prob Winner]], "Changed", "Same")</f>
        <v>Changed</v>
      </c>
      <c r="Q38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85" spans="4:17" x14ac:dyDescent="0.2">
      <c r="D385" s="1">
        <v>45989</v>
      </c>
      <c r="E385" s="2">
        <v>0.66666666666666663</v>
      </c>
      <c r="F385" t="s">
        <v>11</v>
      </c>
      <c r="G385">
        <f>VLOOKUP(Table46[[#This Row],[Home]],'NHL Model'!$A$6:$B$38,2,FALSE)</f>
        <v>-0.28105923893144158</v>
      </c>
      <c r="H385" t="s">
        <v>16</v>
      </c>
      <c r="I385">
        <f>VLOOKUP(Table46[[#This Row],[Visitor]],'NHL Model'!$A$6:$B$38,2,FALSE)</f>
        <v>-1.3903684122795328</v>
      </c>
      <c r="J385">
        <f>($B$1+Table46[[#This Row],[Home Differential]])-Table46[[#This Row],[Away Differential]]</f>
        <v>1.2718814830104095</v>
      </c>
      <c r="K385" t="str">
        <f>IF(Table46[[#This Row],[HomeIce Differential]]&gt;0,Table46[[#This Row],[Home]],Table46[[#This Row],[Visitor]])</f>
        <v>Florida Panthers</v>
      </c>
      <c r="L38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0.76077319912790553</v>
      </c>
      <c r="M385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385" t="str">
        <f>IF(OR((NHL2025_26Results[[#This Row],[Winning Team]]="")),"-",IF(Table46[[#This Row],[Predicted Winner]]=NHL2025_26Results[[#This Row],[Winning Team]],"YES","NO"))</f>
        <v>-</v>
      </c>
      <c r="O385" t="str">
        <f>IF(OR((NHL2025_26Results[[#This Row],[Winning Team]]="")),"-",IF(Table46[[#This Row],[Prob Winner]]=NHL2025_26Results[[#This Row],[Winning Team]],"YES","NO"))</f>
        <v>-</v>
      </c>
      <c r="P385" t="str">
        <f>IF(Table46[[#This Row],[Locked Prediction]]&lt;&gt;Table46[[#This Row],[Prob Winner]], "Changed", "Same")</f>
        <v>Changed</v>
      </c>
      <c r="Q38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86" spans="4:17" x14ac:dyDescent="0.2">
      <c r="D386" s="1">
        <v>45989</v>
      </c>
      <c r="E386" s="2">
        <v>0.64583333333333337</v>
      </c>
      <c r="F386" t="s">
        <v>34</v>
      </c>
      <c r="G386">
        <f>VLOOKUP(Table46[[#This Row],[Home]],'NHL Model'!$A$6:$B$38,2,FALSE)</f>
        <v>-0.53650300840565446</v>
      </c>
      <c r="H386" t="s">
        <v>12</v>
      </c>
      <c r="I386">
        <f>VLOOKUP(Table46[[#This Row],[Visitor]],'NHL Model'!$A$6:$B$38,2,FALSE)</f>
        <v>1.5475013591489768</v>
      </c>
      <c r="J386">
        <f>($B$1+Table46[[#This Row],[Home Differential]])-Table46[[#This Row],[Away Differential]]</f>
        <v>-1.921432057892313</v>
      </c>
      <c r="K386" t="str">
        <f>IF(Table46[[#This Row],[HomeIce Differential]]&gt;0,Table46[[#This Row],[Home]],Table46[[#This Row],[Visitor]])</f>
        <v>Colorado Avalanche</v>
      </c>
      <c r="L38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0.78171062919623524</v>
      </c>
      <c r="M386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386" t="str">
        <f>IF(OR((NHL2025_26Results[[#This Row],[Winning Team]]="")),"-",IF(Table46[[#This Row],[Predicted Winner]]=NHL2025_26Results[[#This Row],[Winning Team]],"YES","NO"))</f>
        <v>-</v>
      </c>
      <c r="O386" t="str">
        <f>IF(OR((NHL2025_26Results[[#This Row],[Winning Team]]="")),"-",IF(Table46[[#This Row],[Prob Winner]]=NHL2025_26Results[[#This Row],[Winning Team]],"YES","NO"))</f>
        <v>-</v>
      </c>
      <c r="P386" t="str">
        <f>IF(Table46[[#This Row],[Locked Prediction]]&lt;&gt;Table46[[#This Row],[Prob Winner]], "Changed", "Same")</f>
        <v>Changed</v>
      </c>
      <c r="Q38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87" spans="4:17" x14ac:dyDescent="0.2">
      <c r="D387" s="1">
        <v>45989</v>
      </c>
      <c r="E387" s="2">
        <v>0.66666666666666663</v>
      </c>
      <c r="F387" t="s">
        <v>30</v>
      </c>
      <c r="G387">
        <f>VLOOKUP(Table46[[#This Row],[Home]],'NHL Model'!$A$6:$B$38,2,FALSE)</f>
        <v>-6.4729560818359025E-2</v>
      </c>
      <c r="H387" t="s">
        <v>27</v>
      </c>
      <c r="I387">
        <f>VLOOKUP(Table46[[#This Row],[Visitor]],'NHL Model'!$A$6:$B$38,2,FALSE)</f>
        <v>-0.51358590497437617</v>
      </c>
      <c r="J387">
        <f>($B$1+Table46[[#This Row],[Home Differential]])-Table46[[#This Row],[Away Differential]]</f>
        <v>0.61142865381833555</v>
      </c>
      <c r="K387" t="str">
        <f>IF(Table46[[#This Row],[HomeIce Differential]]&gt;0,Table46[[#This Row],[Home]],Table46[[#This Row],[Visitor]])</f>
        <v>New York Islanders</v>
      </c>
      <c r="L38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0.62127048906168547</v>
      </c>
      <c r="M387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387" t="str">
        <f>IF(OR((NHL2025_26Results[[#This Row],[Winning Team]]="")),"-",IF(Table46[[#This Row],[Predicted Winner]]=NHL2025_26Results[[#This Row],[Winning Team]],"YES","NO"))</f>
        <v>-</v>
      </c>
      <c r="O387" t="str">
        <f>IF(OR((NHL2025_26Results[[#This Row],[Winning Team]]="")),"-",IF(Table46[[#This Row],[Prob Winner]]=NHL2025_26Results[[#This Row],[Winning Team]],"YES","NO"))</f>
        <v>-</v>
      </c>
      <c r="P387" t="str">
        <f>IF(Table46[[#This Row],[Locked Prediction]]&lt;&gt;Table46[[#This Row],[Prob Winner]], "Changed", "Same")</f>
        <v>Changed</v>
      </c>
      <c r="Q38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88" spans="4:17" x14ac:dyDescent="0.2">
      <c r="D388" s="1">
        <v>45989</v>
      </c>
      <c r="E388" s="2">
        <v>0.66666666666666663</v>
      </c>
      <c r="F388" t="s">
        <v>33</v>
      </c>
      <c r="G388">
        <f>VLOOKUP(Table46[[#This Row],[Home]],'NHL Model'!$A$6:$B$38,2,FALSE)</f>
        <v>-0.39418177254008485</v>
      </c>
      <c r="H388" t="s">
        <v>38</v>
      </c>
      <c r="I388">
        <f>VLOOKUP(Table46[[#This Row],[Visitor]],'NHL Model'!$A$6:$B$38,2,FALSE)</f>
        <v>-0.6902088310934803</v>
      </c>
      <c r="J388">
        <f>($B$1+Table46[[#This Row],[Home Differential]])-Table46[[#This Row],[Away Differential]]</f>
        <v>0.45859936821571384</v>
      </c>
      <c r="K388" t="str">
        <f>IF(Table46[[#This Row],[HomeIce Differential]]&gt;0,Table46[[#This Row],[Home]],Table46[[#This Row],[Visitor]])</f>
        <v>San Jose Sharks</v>
      </c>
      <c r="L38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0.55844400947857309</v>
      </c>
      <c r="M388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388" t="str">
        <f>IF(OR((NHL2025_26Results[[#This Row],[Winning Team]]="")),"-",IF(Table46[[#This Row],[Predicted Winner]]=NHL2025_26Results[[#This Row],[Winning Team]],"YES","NO"))</f>
        <v>-</v>
      </c>
      <c r="O388" t="str">
        <f>IF(OR((NHL2025_26Results[[#This Row],[Winning Team]]="")),"-",IF(Table46[[#This Row],[Prob Winner]]=NHL2025_26Results[[#This Row],[Winning Team]],"YES","NO"))</f>
        <v>-</v>
      </c>
      <c r="P388" t="str">
        <f>IF(Table46[[#This Row],[Locked Prediction]]&lt;&gt;Table46[[#This Row],[Prob Winner]], "Changed", "Same")</f>
        <v>Changed</v>
      </c>
      <c r="Q38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89" spans="4:17" x14ac:dyDescent="0.2">
      <c r="D389" s="1">
        <v>45989</v>
      </c>
      <c r="E389" s="2">
        <v>0.66666666666666663</v>
      </c>
      <c r="F389" t="s">
        <v>35</v>
      </c>
      <c r="G389">
        <f>VLOOKUP(Table46[[#This Row],[Home]],'NHL Model'!$A$6:$B$38,2,FALSE)</f>
        <v>-1.6211574240381006</v>
      </c>
      <c r="H389" t="s">
        <v>36</v>
      </c>
      <c r="I389">
        <f>VLOOKUP(Table46[[#This Row],[Visitor]],'NHL Model'!$A$6:$B$38,2,FALSE)</f>
        <v>-0.40651947573390851</v>
      </c>
      <c r="J389">
        <f>($B$1+Table46[[#This Row],[Home Differential]])-Table46[[#This Row],[Away Differential]]</f>
        <v>-1.0520656386418736</v>
      </c>
      <c r="K389" t="str">
        <f>IF(Table46[[#This Row],[HomeIce Differential]]&gt;0,Table46[[#This Row],[Home]],Table46[[#This Row],[Visitor]])</f>
        <v>Ottawa Senators</v>
      </c>
      <c r="L38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0.59983951920386014</v>
      </c>
      <c r="M389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389" t="str">
        <f>IF(OR((NHL2025_26Results[[#This Row],[Winning Team]]="")),"-",IF(Table46[[#This Row],[Predicted Winner]]=NHL2025_26Results[[#This Row],[Winning Team]],"YES","NO"))</f>
        <v>-</v>
      </c>
      <c r="O389" t="str">
        <f>IF(OR((NHL2025_26Results[[#This Row],[Winning Team]]="")),"-",IF(Table46[[#This Row],[Prob Winner]]=NHL2025_26Results[[#This Row],[Winning Team]],"YES","NO"))</f>
        <v>-</v>
      </c>
      <c r="P389" t="str">
        <f>IF(Table46[[#This Row],[Locked Prediction]]&lt;&gt;Table46[[#This Row],[Prob Winner]], "Changed", "Same")</f>
        <v>Changed</v>
      </c>
      <c r="Q38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90" spans="4:17" x14ac:dyDescent="0.2">
      <c r="D390" s="1">
        <v>45989</v>
      </c>
      <c r="E390" s="2">
        <v>0.66666666666666663</v>
      </c>
      <c r="F390" t="s">
        <v>20</v>
      </c>
      <c r="G390">
        <f>VLOOKUP(Table46[[#This Row],[Home]],'NHL Model'!$A$6:$B$38,2,FALSE)</f>
        <v>-6.3745791019188943E-4</v>
      </c>
      <c r="H390" t="s">
        <v>18</v>
      </c>
      <c r="I390">
        <f>VLOOKUP(Table46[[#This Row],[Visitor]],'NHL Model'!$A$6:$B$38,2,FALSE)</f>
        <v>-0.52437726201848234</v>
      </c>
      <c r="J390">
        <f>($B$1+Table46[[#This Row],[Home Differential]])-Table46[[#This Row],[Away Differential]]</f>
        <v>0.68631211377060886</v>
      </c>
      <c r="K390" t="str">
        <f>IF(Table46[[#This Row],[HomeIce Differential]]&gt;0,Table46[[#This Row],[Home]],Table46[[#This Row],[Visitor]])</f>
        <v>Vegas Golden Knights</v>
      </c>
      <c r="L39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0.55474323744823795</v>
      </c>
      <c r="M390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390" t="str">
        <f>IF(OR((NHL2025_26Results[[#This Row],[Winning Team]]="")),"-",IF(Table46[[#This Row],[Predicted Winner]]=NHL2025_26Results[[#This Row],[Winning Team]],"YES","NO"))</f>
        <v>-</v>
      </c>
      <c r="O390" t="str">
        <f>IF(OR((NHL2025_26Results[[#This Row],[Winning Team]]="")),"-",IF(Table46[[#This Row],[Prob Winner]]=NHL2025_26Results[[#This Row],[Winning Team]],"YES","NO"))</f>
        <v>-</v>
      </c>
      <c r="P390" t="str">
        <f>IF(Table46[[#This Row],[Locked Prediction]]&lt;&gt;Table46[[#This Row],[Prob Winner]], "Changed", "Same")</f>
        <v>Changed</v>
      </c>
      <c r="Q39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91" spans="4:17" x14ac:dyDescent="0.2">
      <c r="D391" s="1">
        <v>45989</v>
      </c>
      <c r="E391" s="2">
        <v>0.70833333333333337</v>
      </c>
      <c r="F391" t="s">
        <v>22</v>
      </c>
      <c r="G391">
        <f>VLOOKUP(Table46[[#This Row],[Home]],'NHL Model'!$A$6:$B$38,2,FALSE)</f>
        <v>-6.1308839486784707E-2</v>
      </c>
      <c r="H391" t="s">
        <v>19</v>
      </c>
      <c r="I391">
        <f>VLOOKUP(Table46[[#This Row],[Visitor]],'NHL Model'!$A$6:$B$38,2,FALSE)</f>
        <v>-0.635565543477981</v>
      </c>
      <c r="J391">
        <f>($B$1+Table46[[#This Row],[Home Differential]])-Table46[[#This Row],[Away Differential]]</f>
        <v>0.73682901365351472</v>
      </c>
      <c r="K391" t="str">
        <f>IF(Table46[[#This Row],[HomeIce Differential]]&gt;0,Table46[[#This Row],[Home]],Table46[[#This Row],[Visitor]])</f>
        <v>Washington Capitals</v>
      </c>
      <c r="L39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0.63793858027506256</v>
      </c>
      <c r="M391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391" t="str">
        <f>IF(OR((NHL2025_26Results[[#This Row],[Winning Team]]="")),"-",IF(Table46[[#This Row],[Predicted Winner]]=NHL2025_26Results[[#This Row],[Winning Team]],"YES","NO"))</f>
        <v>-</v>
      </c>
      <c r="O391" t="str">
        <f>IF(OR((NHL2025_26Results[[#This Row],[Winning Team]]="")),"-",IF(Table46[[#This Row],[Prob Winner]]=NHL2025_26Results[[#This Row],[Winning Team]],"YES","NO"))</f>
        <v>-</v>
      </c>
      <c r="P391" t="str">
        <f>IF(Table46[[#This Row],[Locked Prediction]]&lt;&gt;Table46[[#This Row],[Prob Winner]], "Changed", "Same")</f>
        <v>Changed</v>
      </c>
      <c r="Q39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92" spans="4:17" x14ac:dyDescent="0.2">
      <c r="D392" s="1">
        <v>45990</v>
      </c>
      <c r="E392" s="2">
        <v>0.79166666666666663</v>
      </c>
      <c r="F392" t="s">
        <v>21</v>
      </c>
      <c r="G392">
        <f>VLOOKUP(Table46[[#This Row],[Home]],'NHL Model'!$A$6:$B$38,2,FALSE)</f>
        <v>4.029141914856392E-2</v>
      </c>
      <c r="H392" t="s">
        <v>26</v>
      </c>
      <c r="I392">
        <f>VLOOKUP(Table46[[#This Row],[Visitor]],'NHL Model'!$A$6:$B$38,2,FALSE)</f>
        <v>-0.513643833119658</v>
      </c>
      <c r="J392">
        <f>($B$1+Table46[[#This Row],[Home Differential]])-Table46[[#This Row],[Away Differential]]</f>
        <v>0.71650756193054033</v>
      </c>
      <c r="K392" t="str">
        <f>IF(Table46[[#This Row],[HomeIce Differential]]&gt;0,Table46[[#This Row],[Home]],Table46[[#This Row],[Visitor]])</f>
        <v>Boston Bruins</v>
      </c>
      <c r="L39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0.6621666069646428</v>
      </c>
      <c r="M392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392" t="str">
        <f>IF(OR((NHL2025_26Results[[#This Row],[Winning Team]]="")),"-",IF(Table46[[#This Row],[Predicted Winner]]=NHL2025_26Results[[#This Row],[Winning Team]],"YES","NO"))</f>
        <v>-</v>
      </c>
      <c r="O392" t="str">
        <f>IF(OR((NHL2025_26Results[[#This Row],[Winning Team]]="")),"-",IF(Table46[[#This Row],[Prob Winner]]=NHL2025_26Results[[#This Row],[Winning Team]],"YES","NO"))</f>
        <v>-</v>
      </c>
      <c r="P392" t="str">
        <f>IF(Table46[[#This Row],[Locked Prediction]]&lt;&gt;Table46[[#This Row],[Prob Winner]], "Changed", "Same")</f>
        <v>Changed</v>
      </c>
      <c r="Q39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93" spans="4:17" x14ac:dyDescent="0.2">
      <c r="D393" s="1">
        <v>45990</v>
      </c>
      <c r="E393" s="2">
        <v>0.625</v>
      </c>
      <c r="F393" t="s">
        <v>12</v>
      </c>
      <c r="G393">
        <f>VLOOKUP(Table46[[#This Row],[Home]],'NHL Model'!$A$6:$B$38,2,FALSE)</f>
        <v>1.5475013591489768</v>
      </c>
      <c r="H393" t="s">
        <v>18</v>
      </c>
      <c r="I393">
        <f>VLOOKUP(Table46[[#This Row],[Visitor]],'NHL Model'!$A$6:$B$38,2,FALSE)</f>
        <v>-0.52437726201848234</v>
      </c>
      <c r="J393">
        <f>($B$1+Table46[[#This Row],[Home Differential]])-Table46[[#This Row],[Away Differential]]</f>
        <v>2.2344509308297775</v>
      </c>
      <c r="K393" t="str">
        <f>IF(Table46[[#This Row],[HomeIce Differential]]&gt;0,Table46[[#This Row],[Home]],Table46[[#This Row],[Visitor]])</f>
        <v>Colorado Avalanche</v>
      </c>
      <c r="L39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0.85145644279717725</v>
      </c>
      <c r="M393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393" t="str">
        <f>IF(OR((NHL2025_26Results[[#This Row],[Winning Team]]="")),"-",IF(Table46[[#This Row],[Predicted Winner]]=NHL2025_26Results[[#This Row],[Winning Team]],"YES","NO"))</f>
        <v>-</v>
      </c>
      <c r="O393" t="str">
        <f>IF(OR((NHL2025_26Results[[#This Row],[Winning Team]]="")),"-",IF(Table46[[#This Row],[Prob Winner]]=NHL2025_26Results[[#This Row],[Winning Team]],"YES","NO"))</f>
        <v>-</v>
      </c>
      <c r="P393" t="str">
        <f>IF(Table46[[#This Row],[Locked Prediction]]&lt;&gt;Table46[[#This Row],[Prob Winner]], "Changed", "Same")</f>
        <v>Changed</v>
      </c>
      <c r="Q39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94" spans="4:17" x14ac:dyDescent="0.2">
      <c r="D394" s="1">
        <v>45990</v>
      </c>
      <c r="E394" s="2">
        <v>0.91666666666666663</v>
      </c>
      <c r="F394" t="s">
        <v>13</v>
      </c>
      <c r="G394">
        <f>VLOOKUP(Table46[[#This Row],[Home]],'NHL Model'!$A$6:$B$38,2,FALSE)</f>
        <v>-7.5459708298993802E-2</v>
      </c>
      <c r="H394" t="s">
        <v>38</v>
      </c>
      <c r="I394">
        <f>VLOOKUP(Table46[[#This Row],[Visitor]],'NHL Model'!$A$6:$B$38,2,FALSE)</f>
        <v>-0.6902088310934803</v>
      </c>
      <c r="J394">
        <f>($B$1+Table46[[#This Row],[Home Differential]])-Table46[[#This Row],[Away Differential]]</f>
        <v>0.77732143245680485</v>
      </c>
      <c r="K394" t="str">
        <f>IF(Table46[[#This Row],[HomeIce Differential]]&gt;0,Table46[[#This Row],[Home]],Table46[[#This Row],[Visitor]])</f>
        <v>Los Angeles Kings</v>
      </c>
      <c r="L39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0.60080822952920798</v>
      </c>
      <c r="M394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394" t="str">
        <f>IF(OR((NHL2025_26Results[[#This Row],[Winning Team]]="")),"-",IF(Table46[[#This Row],[Predicted Winner]]=NHL2025_26Results[[#This Row],[Winning Team]],"YES","NO"))</f>
        <v>-</v>
      </c>
      <c r="O394" t="str">
        <f>IF(OR((NHL2025_26Results[[#This Row],[Winning Team]]="")),"-",IF(Table46[[#This Row],[Prob Winner]]=NHL2025_26Results[[#This Row],[Winning Team]],"YES","NO"))</f>
        <v>-</v>
      </c>
      <c r="P394" t="str">
        <f>IF(Table46[[#This Row],[Locked Prediction]]&lt;&gt;Table46[[#This Row],[Prob Winner]], "Changed", "Same")</f>
        <v>Changed</v>
      </c>
      <c r="Q39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95" spans="4:17" x14ac:dyDescent="0.2">
      <c r="D395" s="1">
        <v>45990</v>
      </c>
      <c r="E395" s="2">
        <v>0.83333333333333337</v>
      </c>
      <c r="F395" t="s">
        <v>34</v>
      </c>
      <c r="G395">
        <f>VLOOKUP(Table46[[#This Row],[Home]],'NHL Model'!$A$6:$B$38,2,FALSE)</f>
        <v>-0.53650300840565446</v>
      </c>
      <c r="H395" t="s">
        <v>23</v>
      </c>
      <c r="I395">
        <f>VLOOKUP(Table46[[#This Row],[Visitor]],'NHL Model'!$A$6:$B$38,2,FALSE)</f>
        <v>-0.8683412362501769</v>
      </c>
      <c r="J395">
        <f>($B$1+Table46[[#This Row],[Home Differential]])-Table46[[#This Row],[Away Differential]]</f>
        <v>0.49441053750684083</v>
      </c>
      <c r="K395" t="str">
        <f>IF(Table46[[#This Row],[HomeIce Differential]]&gt;0,Table46[[#This Row],[Home]],Table46[[#This Row],[Visitor]])</f>
        <v>Minnesota Wild</v>
      </c>
      <c r="L39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0.60571655732766838</v>
      </c>
      <c r="M395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395" t="str">
        <f>IF(OR((NHL2025_26Results[[#This Row],[Winning Team]]="")),"-",IF(Table46[[#This Row],[Predicted Winner]]=NHL2025_26Results[[#This Row],[Winning Team]],"YES","NO"))</f>
        <v>-</v>
      </c>
      <c r="O395" t="str">
        <f>IF(OR((NHL2025_26Results[[#This Row],[Winning Team]]="")),"-",IF(Table46[[#This Row],[Prob Winner]]=NHL2025_26Results[[#This Row],[Winning Team]],"YES","NO"))</f>
        <v>-</v>
      </c>
      <c r="P395" t="str">
        <f>IF(Table46[[#This Row],[Locked Prediction]]&lt;&gt;Table46[[#This Row],[Prob Winner]], "Changed", "Same")</f>
        <v>Changed</v>
      </c>
      <c r="Q39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96" spans="4:17" x14ac:dyDescent="0.2">
      <c r="D396" s="1">
        <v>45990</v>
      </c>
      <c r="E396" s="2">
        <v>0.79166666666666663</v>
      </c>
      <c r="F396" t="s">
        <v>24</v>
      </c>
      <c r="G396">
        <f>VLOOKUP(Table46[[#This Row],[Home]],'NHL Model'!$A$6:$B$38,2,FALSE)</f>
        <v>0.559441163373953</v>
      </c>
      <c r="H396" t="s">
        <v>27</v>
      </c>
      <c r="I396">
        <f>VLOOKUP(Table46[[#This Row],[Visitor]],'NHL Model'!$A$6:$B$38,2,FALSE)</f>
        <v>-0.51358590497437617</v>
      </c>
      <c r="J396">
        <f>($B$1+Table46[[#This Row],[Home Differential]])-Table46[[#This Row],[Away Differential]]</f>
        <v>1.2355993780106476</v>
      </c>
      <c r="K396" t="str">
        <f>IF(Table46[[#This Row],[HomeIce Differential]]&gt;0,Table46[[#This Row],[Home]],Table46[[#This Row],[Visitor]])</f>
        <v>New Jersey Devils</v>
      </c>
      <c r="L39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0.81966535306560473</v>
      </c>
      <c r="M396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396" t="str">
        <f>IF(OR((NHL2025_26Results[[#This Row],[Winning Team]]="")),"-",IF(Table46[[#This Row],[Predicted Winner]]=NHL2025_26Results[[#This Row],[Winning Team]],"YES","NO"))</f>
        <v>-</v>
      </c>
      <c r="O396" t="str">
        <f>IF(OR((NHL2025_26Results[[#This Row],[Winning Team]]="")),"-",IF(Table46[[#This Row],[Prob Winner]]=NHL2025_26Results[[#This Row],[Winning Team]],"YES","NO"))</f>
        <v>-</v>
      </c>
      <c r="P396" t="str">
        <f>IF(Table46[[#This Row],[Locked Prediction]]&lt;&gt;Table46[[#This Row],[Prob Winner]], "Changed", "Same")</f>
        <v>Changed</v>
      </c>
      <c r="Q39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97" spans="4:17" x14ac:dyDescent="0.2">
      <c r="D397" s="1">
        <v>45990</v>
      </c>
      <c r="E397" s="2">
        <v>0.79166666666666663</v>
      </c>
      <c r="F397" t="s">
        <v>29</v>
      </c>
      <c r="G397">
        <f>VLOOKUP(Table46[[#This Row],[Home]],'NHL Model'!$A$6:$B$38,2,FALSE)</f>
        <v>-1.3516250707060606</v>
      </c>
      <c r="H397" t="s">
        <v>40</v>
      </c>
      <c r="I397">
        <f>VLOOKUP(Table46[[#This Row],[Visitor]],'NHL Model'!$A$6:$B$38,2,FALSE)</f>
        <v>0.105105258369765</v>
      </c>
      <c r="J397">
        <f>($B$1+Table46[[#This Row],[Home Differential]])-Table46[[#This Row],[Away Differential]]</f>
        <v>-1.2941580194135072</v>
      </c>
      <c r="K397" t="str">
        <f>IF(Table46[[#This Row],[HomeIce Differential]]&gt;0,Table46[[#This Row],[Home]],Table46[[#This Row],[Visitor]])</f>
        <v>Winnipeg Jets</v>
      </c>
      <c r="L39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0.69833398735174357</v>
      </c>
      <c r="M397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397" t="str">
        <f>IF(OR((NHL2025_26Results[[#This Row],[Winning Team]]="")),"-",IF(Table46[[#This Row],[Predicted Winner]]=NHL2025_26Results[[#This Row],[Winning Team]],"YES","NO"))</f>
        <v>-</v>
      </c>
      <c r="O397" t="str">
        <f>IF(OR((NHL2025_26Results[[#This Row],[Winning Team]]="")),"-",IF(Table46[[#This Row],[Prob Winner]]=NHL2025_26Results[[#This Row],[Winning Team]],"YES","NO"))</f>
        <v>-</v>
      </c>
      <c r="P397" t="str">
        <f>IF(Table46[[#This Row],[Locked Prediction]]&lt;&gt;Table46[[#This Row],[Prob Winner]], "Changed", "Same")</f>
        <v>Changed</v>
      </c>
      <c r="Q39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98" spans="4:17" x14ac:dyDescent="0.2">
      <c r="D398" s="1">
        <v>45990</v>
      </c>
      <c r="E398" s="2">
        <v>0.58333333333333337</v>
      </c>
      <c r="F398" t="s">
        <v>15</v>
      </c>
      <c r="G398">
        <f>VLOOKUP(Table46[[#This Row],[Home]],'NHL Model'!$A$6:$B$38,2,FALSE)</f>
        <v>-0.30719665303039001</v>
      </c>
      <c r="H398" t="s">
        <v>37</v>
      </c>
      <c r="I398">
        <f>VLOOKUP(Table46[[#This Row],[Visitor]],'NHL Model'!$A$6:$B$38,2,FALSE)</f>
        <v>-0.11309445867623392</v>
      </c>
      <c r="J398">
        <f>($B$1+Table46[[#This Row],[Home Differential]])-Table46[[#This Row],[Away Differential]]</f>
        <v>-3.1529884691837692E-2</v>
      </c>
      <c r="K398" t="str">
        <f>IF(Table46[[#This Row],[HomeIce Differential]]&gt;0,Table46[[#This Row],[Home]],Table46[[#This Row],[Visitor]])</f>
        <v>Tampa Bay Lightning</v>
      </c>
      <c r="L39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0.5112903124213205</v>
      </c>
      <c r="M398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398" t="str">
        <f>IF(OR((NHL2025_26Results[[#This Row],[Winning Team]]="")),"-",IF(Table46[[#This Row],[Predicted Winner]]=NHL2025_26Results[[#This Row],[Winning Team]],"YES","NO"))</f>
        <v>-</v>
      </c>
      <c r="O398" t="str">
        <f>IF(OR((NHL2025_26Results[[#This Row],[Winning Team]]="")),"-",IF(Table46[[#This Row],[Prob Winner]]=NHL2025_26Results[[#This Row],[Winning Team]],"YES","NO"))</f>
        <v>-</v>
      </c>
      <c r="P398" t="str">
        <f>IF(Table46[[#This Row],[Locked Prediction]]&lt;&gt;Table46[[#This Row],[Prob Winner]], "Changed", "Same")</f>
        <v>Changed</v>
      </c>
      <c r="Q39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399" spans="4:17" x14ac:dyDescent="0.2">
      <c r="D399" s="1">
        <v>45990</v>
      </c>
      <c r="E399" s="2">
        <v>0.79166666666666663</v>
      </c>
      <c r="F399" t="s">
        <v>14</v>
      </c>
      <c r="G399">
        <f>VLOOKUP(Table46[[#This Row],[Home]],'NHL Model'!$A$6:$B$38,2,FALSE)</f>
        <v>0.26289091192875702</v>
      </c>
      <c r="H399" t="s">
        <v>19</v>
      </c>
      <c r="I399">
        <f>VLOOKUP(Table46[[#This Row],[Visitor]],'NHL Model'!$A$6:$B$38,2,FALSE)</f>
        <v>-0.635565543477981</v>
      </c>
      <c r="J399">
        <f>($B$1+Table46[[#This Row],[Home Differential]])-Table46[[#This Row],[Away Differential]]</f>
        <v>1.0610287650690564</v>
      </c>
      <c r="K399" t="str">
        <f>IF(Table46[[#This Row],[HomeIce Differential]]&gt;0,Table46[[#This Row],[Home]],Table46[[#This Row],[Visitor]])</f>
        <v>Pittsburgh Penguins</v>
      </c>
      <c r="L39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0.71706775542095103</v>
      </c>
      <c r="M399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399" t="str">
        <f>IF(OR((NHL2025_26Results[[#This Row],[Winning Team]]="")),"-",IF(Table46[[#This Row],[Predicted Winner]]=NHL2025_26Results[[#This Row],[Winning Team]],"YES","NO"))</f>
        <v>-</v>
      </c>
      <c r="O399" t="str">
        <f>IF(OR((NHL2025_26Results[[#This Row],[Winning Team]]="")),"-",IF(Table46[[#This Row],[Prob Winner]]=NHL2025_26Results[[#This Row],[Winning Team]],"YES","NO"))</f>
        <v>-</v>
      </c>
      <c r="P399" t="str">
        <f>IF(Table46[[#This Row],[Locked Prediction]]&lt;&gt;Table46[[#This Row],[Prob Winner]], "Changed", "Same")</f>
        <v>Changed</v>
      </c>
      <c r="Q39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00" spans="4:17" x14ac:dyDescent="0.2">
      <c r="D400" s="1">
        <v>45990</v>
      </c>
      <c r="E400" s="2">
        <v>0.66666666666666663</v>
      </c>
      <c r="F400" t="s">
        <v>32</v>
      </c>
      <c r="G400">
        <f>VLOOKUP(Table46[[#This Row],[Home]],'NHL Model'!$A$6:$B$38,2,FALSE)</f>
        <v>-0.361361309178443</v>
      </c>
      <c r="H400" t="s">
        <v>17</v>
      </c>
      <c r="I400">
        <f>VLOOKUP(Table46[[#This Row],[Visitor]],'NHL Model'!$A$6:$B$38,2,FALSE)</f>
        <v>-0.61980804137564283</v>
      </c>
      <c r="J400">
        <f>($B$1+Table46[[#This Row],[Home Differential]])-Table46[[#This Row],[Away Differential]]</f>
        <v>0.42101904185951822</v>
      </c>
      <c r="K400" t="str">
        <f>IF(Table46[[#This Row],[HomeIce Differential]]&gt;0,Table46[[#This Row],[Home]],Table46[[#This Row],[Visitor]])</f>
        <v>Seattle Kraken</v>
      </c>
      <c r="L40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0.62199916850767623</v>
      </c>
      <c r="M400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400" t="str">
        <f>IF(OR((NHL2025_26Results[[#This Row],[Winning Team]]="")),"-",IF(Table46[[#This Row],[Predicted Winner]]=NHL2025_26Results[[#This Row],[Winning Team]],"YES","NO"))</f>
        <v>-</v>
      </c>
      <c r="O400" t="str">
        <f>IF(OR((NHL2025_26Results[[#This Row],[Winning Team]]="")),"-",IF(Table46[[#This Row],[Prob Winner]]=NHL2025_26Results[[#This Row],[Winning Team]],"YES","NO"))</f>
        <v>-</v>
      </c>
      <c r="P400" t="str">
        <f>IF(Table46[[#This Row],[Locked Prediction]]&lt;&gt;Table46[[#This Row],[Prob Winner]], "Changed", "Same")</f>
        <v>Changed</v>
      </c>
      <c r="Q40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01" spans="4:17" x14ac:dyDescent="0.2">
      <c r="D401" s="1">
        <v>45990</v>
      </c>
      <c r="E401" s="2">
        <v>0.83333333333333337</v>
      </c>
      <c r="F401" t="s">
        <v>35</v>
      </c>
      <c r="G401">
        <f>VLOOKUP(Table46[[#This Row],[Home]],'NHL Model'!$A$6:$B$38,2,FALSE)</f>
        <v>-1.6211574240381006</v>
      </c>
      <c r="H401" t="s">
        <v>55</v>
      </c>
      <c r="I401">
        <f>VLOOKUP(Table46[[#This Row],[Visitor]],'NHL Model'!$A$6:$B$38,2,FALSE)</f>
        <v>-0.12212311954851815</v>
      </c>
      <c r="J401">
        <f>($B$1+Table46[[#This Row],[Home Differential]])-Table46[[#This Row],[Away Differential]]</f>
        <v>-1.336461994827264</v>
      </c>
      <c r="K401" t="str">
        <f>IF(Table46[[#This Row],[HomeIce Differential]]&gt;0,Table46[[#This Row],[Home]],Table46[[#This Row],[Visitor]])</f>
        <v>Utah Mammoth</v>
      </c>
      <c r="L40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0.63764120025071414</v>
      </c>
      <c r="M401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401" t="str">
        <f>IF(OR((NHL2025_26Results[[#This Row],[Winning Team]]="")),"-",IF(Table46[[#This Row],[Predicted Winner]]=NHL2025_26Results[[#This Row],[Winning Team]],"YES","NO"))</f>
        <v>-</v>
      </c>
      <c r="O401" t="str">
        <f>IF(OR((NHL2025_26Results[[#This Row],[Winning Team]]="")),"-",IF(Table46[[#This Row],[Prob Winner]]=NHL2025_26Results[[#This Row],[Winning Team]],"YES","NO"))</f>
        <v>-</v>
      </c>
      <c r="P401" t="str">
        <f>IF(Table46[[#This Row],[Locked Prediction]]&lt;&gt;Table46[[#This Row],[Prob Winner]], "Changed", "Same")</f>
        <v>Changed</v>
      </c>
      <c r="Q40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02" spans="4:17" x14ac:dyDescent="0.2">
      <c r="D402" s="1">
        <v>45990</v>
      </c>
      <c r="E402" s="2">
        <v>0.91666666666666663</v>
      </c>
      <c r="F402" t="s">
        <v>20</v>
      </c>
      <c r="G402">
        <f>VLOOKUP(Table46[[#This Row],[Home]],'NHL Model'!$A$6:$B$38,2,FALSE)</f>
        <v>-6.3745791019188943E-4</v>
      </c>
      <c r="H402" t="s">
        <v>33</v>
      </c>
      <c r="I402">
        <f>VLOOKUP(Table46[[#This Row],[Visitor]],'NHL Model'!$A$6:$B$38,2,FALSE)</f>
        <v>-0.39418177254008485</v>
      </c>
      <c r="J402">
        <f>($B$1+Table46[[#This Row],[Home Differential]])-Table46[[#This Row],[Away Differential]]</f>
        <v>0.55611662429221131</v>
      </c>
      <c r="K402" t="str">
        <f>IF(Table46[[#This Row],[HomeIce Differential]]&gt;0,Table46[[#This Row],[Home]],Table46[[#This Row],[Visitor]])</f>
        <v>Vegas Golden Knights</v>
      </c>
      <c r="L40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0.61391846906309688</v>
      </c>
      <c r="M402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402" t="str">
        <f>IF(OR((NHL2025_26Results[[#This Row],[Winning Team]]="")),"-",IF(Table46[[#This Row],[Predicted Winner]]=NHL2025_26Results[[#This Row],[Winning Team]],"YES","NO"))</f>
        <v>-</v>
      </c>
      <c r="O402" t="str">
        <f>IF(OR((NHL2025_26Results[[#This Row],[Winning Team]]="")),"-",IF(Table46[[#This Row],[Prob Winner]]=NHL2025_26Results[[#This Row],[Winning Team]],"YES","NO"))</f>
        <v>-</v>
      </c>
      <c r="P402" t="str">
        <f>IF(Table46[[#This Row],[Locked Prediction]]&lt;&gt;Table46[[#This Row],[Prob Winner]], "Changed", "Same")</f>
        <v>Changed</v>
      </c>
      <c r="Q40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03" spans="4:17" x14ac:dyDescent="0.2">
      <c r="D403" s="1">
        <v>45991</v>
      </c>
      <c r="E403" s="2">
        <v>0.70833333333333337</v>
      </c>
      <c r="F403" t="s">
        <v>25</v>
      </c>
      <c r="G403">
        <f>VLOOKUP(Table46[[#This Row],[Home]],'NHL Model'!$A$6:$B$38,2,FALSE)</f>
        <v>0.67193921242367816</v>
      </c>
      <c r="H403" t="s">
        <v>16</v>
      </c>
      <c r="I403">
        <f>VLOOKUP(Table46[[#This Row],[Visitor]],'NHL Model'!$A$6:$B$38,2,FALSE)</f>
        <v>-1.3903684122795328</v>
      </c>
      <c r="J403">
        <f>($B$1+Table46[[#This Row],[Home Differential]])-Table46[[#This Row],[Away Differential]]</f>
        <v>2.2248799343655294</v>
      </c>
      <c r="K403" t="str">
        <f>IF(Table46[[#This Row],[HomeIce Differential]]&gt;0,Table46[[#This Row],[Home]],Table46[[#This Row],[Visitor]])</f>
        <v>Carolina Hurricanes</v>
      </c>
      <c r="L40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0.8874448062450806</v>
      </c>
      <c r="M403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403" t="str">
        <f>IF(OR((NHL2025_26Results[[#This Row],[Winning Team]]="")),"-",IF(Table46[[#This Row],[Predicted Winner]]=NHL2025_26Results[[#This Row],[Winning Team]],"YES","NO"))</f>
        <v>-</v>
      </c>
      <c r="O403" t="str">
        <f>IF(OR((NHL2025_26Results[[#This Row],[Winning Team]]="")),"-",IF(Table46[[#This Row],[Prob Winner]]=NHL2025_26Results[[#This Row],[Winning Team]],"YES","NO"))</f>
        <v>-</v>
      </c>
      <c r="P403" t="str">
        <f>IF(Table46[[#This Row],[Locked Prediction]]&lt;&gt;Table46[[#This Row],[Prob Winner]], "Changed", "Same")</f>
        <v>Changed</v>
      </c>
      <c r="Q40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04" spans="4:17" x14ac:dyDescent="0.2">
      <c r="D404" s="1">
        <v>45991</v>
      </c>
      <c r="E404" s="2">
        <v>0.64583333333333337</v>
      </c>
      <c r="F404" t="s">
        <v>10</v>
      </c>
      <c r="G404">
        <f>VLOOKUP(Table46[[#This Row],[Home]],'NHL Model'!$A$6:$B$38,2,FALSE)</f>
        <v>0.30570968833820172</v>
      </c>
      <c r="H404" t="s">
        <v>31</v>
      </c>
      <c r="I404">
        <f>VLOOKUP(Table46[[#This Row],[Visitor]],'NHL Model'!$A$6:$B$38,2,FALSE)</f>
        <v>0.51775546328552802</v>
      </c>
      <c r="J404">
        <f>($B$1+Table46[[#This Row],[Home Differential]])-Table46[[#This Row],[Away Differential]]</f>
        <v>-4.94734652850079E-2</v>
      </c>
      <c r="K404" t="str">
        <f>IF(Table46[[#This Row],[HomeIce Differential]]&gt;0,Table46[[#This Row],[Home]],Table46[[#This Row],[Visitor]])</f>
        <v>Anaheim Ducks</v>
      </c>
      <c r="L40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0.48734519461093112</v>
      </c>
      <c r="M404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404" t="str">
        <f>IF(OR((NHL2025_26Results[[#This Row],[Winning Team]]="")),"-",IF(Table46[[#This Row],[Predicted Winner]]=NHL2025_26Results[[#This Row],[Winning Team]],"YES","NO"))</f>
        <v>-</v>
      </c>
      <c r="O404" t="str">
        <f>IF(OR((NHL2025_26Results[[#This Row],[Winning Team]]="")),"-",IF(Table46[[#This Row],[Prob Winner]]=NHL2025_26Results[[#This Row],[Winning Team]],"YES","NO"))</f>
        <v>-</v>
      </c>
      <c r="P404" t="str">
        <f>IF(Table46[[#This Row],[Locked Prediction]]&lt;&gt;Table46[[#This Row],[Prob Winner]], "Changed", "Same")</f>
        <v>Changed</v>
      </c>
      <c r="Q40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05" spans="4:17" x14ac:dyDescent="0.2">
      <c r="D405" s="1">
        <v>45991</v>
      </c>
      <c r="E405" s="2">
        <v>0.75</v>
      </c>
      <c r="F405" t="s">
        <v>39</v>
      </c>
      <c r="G405">
        <f>VLOOKUP(Table46[[#This Row],[Home]],'NHL Model'!$A$6:$B$38,2,FALSE)</f>
        <v>0.19809534061227302</v>
      </c>
      <c r="H405" t="s">
        <v>36</v>
      </c>
      <c r="I405">
        <f>VLOOKUP(Table46[[#This Row],[Visitor]],'NHL Model'!$A$6:$B$38,2,FALSE)</f>
        <v>-0.40651947573390851</v>
      </c>
      <c r="J405">
        <f>($B$1+Table46[[#This Row],[Home Differential]])-Table46[[#This Row],[Away Differential]]</f>
        <v>0.76718712600849992</v>
      </c>
      <c r="K405" t="str">
        <f>IF(Table46[[#This Row],[HomeIce Differential]]&gt;0,Table46[[#This Row],[Home]],Table46[[#This Row],[Visitor]])</f>
        <v>Dallas Stars</v>
      </c>
      <c r="L40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0.66801148625013718</v>
      </c>
      <c r="M405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405" t="str">
        <f>IF(OR((NHL2025_26Results[[#This Row],[Winning Team]]="")),"-",IF(Table46[[#This Row],[Predicted Winner]]=NHL2025_26Results[[#This Row],[Winning Team]],"YES","NO"))</f>
        <v>-</v>
      </c>
      <c r="O405" t="str">
        <f>IF(OR((NHL2025_26Results[[#This Row],[Winning Team]]="")),"-",IF(Table46[[#This Row],[Prob Winner]]=NHL2025_26Results[[#This Row],[Winning Team]],"YES","NO"))</f>
        <v>-</v>
      </c>
      <c r="P405" t="str">
        <f>IF(Table46[[#This Row],[Locked Prediction]]&lt;&gt;Table46[[#This Row],[Prob Winner]], "Changed", "Same")</f>
        <v>Changed</v>
      </c>
      <c r="Q40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06" spans="4:17" x14ac:dyDescent="0.2">
      <c r="D406" s="1">
        <v>45991</v>
      </c>
      <c r="E406" s="2">
        <v>0.54166666666666663</v>
      </c>
      <c r="F406" t="s">
        <v>30</v>
      </c>
      <c r="G406">
        <f>VLOOKUP(Table46[[#This Row],[Home]],'NHL Model'!$A$6:$B$38,2,FALSE)</f>
        <v>-6.4729560818359025E-2</v>
      </c>
      <c r="H406" t="s">
        <v>22</v>
      </c>
      <c r="I406">
        <f>VLOOKUP(Table46[[#This Row],[Visitor]],'NHL Model'!$A$6:$B$38,2,FALSE)</f>
        <v>-6.1308839486784707E-2</v>
      </c>
      <c r="J406">
        <f>($B$1+Table46[[#This Row],[Home Differential]])-Table46[[#This Row],[Away Differential]]</f>
        <v>0.15915158833074408</v>
      </c>
      <c r="K406" t="str">
        <f>IF(Table46[[#This Row],[HomeIce Differential]]&gt;0,Table46[[#This Row],[Home]],Table46[[#This Row],[Visitor]])</f>
        <v>New York Islanders</v>
      </c>
      <c r="L40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0.56115427096491066</v>
      </c>
      <c r="M406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406" t="str">
        <f>IF(OR((NHL2025_26Results[[#This Row],[Winning Team]]="")),"-",IF(Table46[[#This Row],[Predicted Winner]]=NHL2025_26Results[[#This Row],[Winning Team]],"YES","NO"))</f>
        <v>-</v>
      </c>
      <c r="O406" t="str">
        <f>IF(OR((NHL2025_26Results[[#This Row],[Winning Team]]="")),"-",IF(Table46[[#This Row],[Prob Winner]]=NHL2025_26Results[[#This Row],[Winning Team]],"YES","NO"))</f>
        <v>-</v>
      </c>
      <c r="P406" t="str">
        <f>IF(Table46[[#This Row],[Locked Prediction]]&lt;&gt;Table46[[#This Row],[Prob Winner]], "Changed", "Same")</f>
        <v>Changed</v>
      </c>
      <c r="Q40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07" spans="4:17" x14ac:dyDescent="0.2">
      <c r="D407" s="1">
        <v>45992</v>
      </c>
      <c r="E407" s="2">
        <v>0.8125</v>
      </c>
      <c r="F407" t="s">
        <v>23</v>
      </c>
      <c r="G407">
        <f>VLOOKUP(Table46[[#This Row],[Home]],'NHL Model'!$A$6:$B$38,2,FALSE)</f>
        <v>-0.8683412362501769</v>
      </c>
      <c r="H407" t="s">
        <v>40</v>
      </c>
      <c r="I407">
        <f>VLOOKUP(Table46[[#This Row],[Visitor]],'NHL Model'!$A$6:$B$38,2,FALSE)</f>
        <v>0.105105258369765</v>
      </c>
      <c r="J407">
        <f>($B$1+Table46[[#This Row],[Home Differential]])-Table46[[#This Row],[Away Differential]]</f>
        <v>-0.81087418495762353</v>
      </c>
      <c r="K407" t="str">
        <f>IF(Table46[[#This Row],[HomeIce Differential]]&gt;0,Table46[[#This Row],[Home]],Table46[[#This Row],[Visitor]])</f>
        <v>Winnipeg Jets</v>
      </c>
      <c r="L40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0.63409638033650884</v>
      </c>
      <c r="M407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407" t="str">
        <f>IF(OR((NHL2025_26Results[[#This Row],[Winning Team]]="")),"-",IF(Table46[[#This Row],[Predicted Winner]]=NHL2025_26Results[[#This Row],[Winning Team]],"YES","NO"))</f>
        <v>-</v>
      </c>
      <c r="O407" t="str">
        <f>IF(OR((NHL2025_26Results[[#This Row],[Winning Team]]="")),"-",IF(Table46[[#This Row],[Prob Winner]]=NHL2025_26Results[[#This Row],[Winning Team]],"YES","NO"))</f>
        <v>-</v>
      </c>
      <c r="P407" t="str">
        <f>IF(Table46[[#This Row],[Locked Prediction]]&lt;&gt;Table46[[#This Row],[Prob Winner]], "Changed", "Same")</f>
        <v>Changed</v>
      </c>
      <c r="Q40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08" spans="4:17" x14ac:dyDescent="0.2">
      <c r="D408" s="1">
        <v>45992</v>
      </c>
      <c r="E408" s="2">
        <v>0.79166666666666663</v>
      </c>
      <c r="F408" t="s">
        <v>24</v>
      </c>
      <c r="G408">
        <f>VLOOKUP(Table46[[#This Row],[Home]],'NHL Model'!$A$6:$B$38,2,FALSE)</f>
        <v>0.559441163373953</v>
      </c>
      <c r="H408" t="s">
        <v>28</v>
      </c>
      <c r="I408">
        <f>VLOOKUP(Table46[[#This Row],[Visitor]],'NHL Model'!$A$6:$B$38,2,FALSE)</f>
        <v>-0.40822279081308277</v>
      </c>
      <c r="J408">
        <f>($B$1+Table46[[#This Row],[Home Differential]])-Table46[[#This Row],[Away Differential]]</f>
        <v>1.1302362638493542</v>
      </c>
      <c r="K408" t="str">
        <f>IF(Table46[[#This Row],[HomeIce Differential]]&gt;0,Table46[[#This Row],[Home]],Table46[[#This Row],[Visitor]])</f>
        <v>New Jersey Devils</v>
      </c>
      <c r="L40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0.78659351738844774</v>
      </c>
      <c r="M408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408" t="str">
        <f>IF(OR((NHL2025_26Results[[#This Row],[Winning Team]]="")),"-",IF(Table46[[#This Row],[Predicted Winner]]=NHL2025_26Results[[#This Row],[Winning Team]],"YES","NO"))</f>
        <v>-</v>
      </c>
      <c r="O408" t="str">
        <f>IF(OR((NHL2025_26Results[[#This Row],[Winning Team]]="")),"-",IF(Table46[[#This Row],[Prob Winner]]=NHL2025_26Results[[#This Row],[Winning Team]],"YES","NO"))</f>
        <v>-</v>
      </c>
      <c r="P408" t="str">
        <f>IF(Table46[[#This Row],[Locked Prediction]]&lt;&gt;Table46[[#This Row],[Prob Winner]], "Changed", "Same")</f>
        <v>Changed</v>
      </c>
      <c r="Q40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09" spans="4:17" x14ac:dyDescent="0.2">
      <c r="D409" s="1">
        <v>45992</v>
      </c>
      <c r="E409" s="2">
        <v>0.79166666666666663</v>
      </c>
      <c r="F409" t="s">
        <v>27</v>
      </c>
      <c r="G409">
        <f>VLOOKUP(Table46[[#This Row],[Home]],'NHL Model'!$A$6:$B$38,2,FALSE)</f>
        <v>-0.51358590497437617</v>
      </c>
      <c r="H409" t="s">
        <v>14</v>
      </c>
      <c r="I409">
        <f>VLOOKUP(Table46[[#This Row],[Visitor]],'NHL Model'!$A$6:$B$38,2,FALSE)</f>
        <v>0.26289091192875702</v>
      </c>
      <c r="J409">
        <f>($B$1+Table46[[#This Row],[Home Differential]])-Table46[[#This Row],[Away Differential]]</f>
        <v>-0.6139045072408148</v>
      </c>
      <c r="K409" t="str">
        <f>IF(Table46[[#This Row],[HomeIce Differential]]&gt;0,Table46[[#This Row],[Home]],Table46[[#This Row],[Visitor]])</f>
        <v>Pittsburgh Penguins</v>
      </c>
      <c r="L40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0.53910409783389579</v>
      </c>
      <c r="M409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409" t="str">
        <f>IF(OR((NHL2025_26Results[[#This Row],[Winning Team]]="")),"-",IF(Table46[[#This Row],[Predicted Winner]]=NHL2025_26Results[[#This Row],[Winning Team]],"YES","NO"))</f>
        <v>-</v>
      </c>
      <c r="O409" t="str">
        <f>IF(OR((NHL2025_26Results[[#This Row],[Winning Team]]="")),"-",IF(Table46[[#This Row],[Prob Winner]]=NHL2025_26Results[[#This Row],[Winning Team]],"YES","NO"))</f>
        <v>-</v>
      </c>
      <c r="P409" t="str">
        <f>IF(Table46[[#This Row],[Locked Prediction]]&lt;&gt;Table46[[#This Row],[Prob Winner]], "Changed", "Same")</f>
        <v>Changed</v>
      </c>
      <c r="Q40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10" spans="4:17" x14ac:dyDescent="0.2">
      <c r="D410" s="1">
        <v>45992</v>
      </c>
      <c r="E410" s="2">
        <v>0.91666666666666663</v>
      </c>
      <c r="F410" t="s">
        <v>33</v>
      </c>
      <c r="G410">
        <f>VLOOKUP(Table46[[#This Row],[Home]],'NHL Model'!$A$6:$B$38,2,FALSE)</f>
        <v>-0.39418177254008485</v>
      </c>
      <c r="H410" t="s">
        <v>55</v>
      </c>
      <c r="I410">
        <f>VLOOKUP(Table46[[#This Row],[Visitor]],'NHL Model'!$A$6:$B$38,2,FALSE)</f>
        <v>-0.12212311954851815</v>
      </c>
      <c r="J410">
        <f>($B$1+Table46[[#This Row],[Home Differential]])-Table46[[#This Row],[Away Differential]]</f>
        <v>-0.10948634332924831</v>
      </c>
      <c r="K410" t="str">
        <f>IF(Table46[[#This Row],[HomeIce Differential]]&gt;0,Table46[[#This Row],[Home]],Table46[[#This Row],[Visitor]])</f>
        <v>Utah Mammoth</v>
      </c>
      <c r="L4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0.47455281595387472</v>
      </c>
      <c r="M410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410" t="str">
        <f>IF(OR((NHL2025_26Results[[#This Row],[Winning Team]]="")),"-",IF(Table46[[#This Row],[Predicted Winner]]=NHL2025_26Results[[#This Row],[Winning Team]],"YES","NO"))</f>
        <v>-</v>
      </c>
      <c r="O410" t="str">
        <f>IF(OR((NHL2025_26Results[[#This Row],[Winning Team]]="")),"-",IF(Table46[[#This Row],[Prob Winner]]=NHL2025_26Results[[#This Row],[Winning Team]],"YES","NO"))</f>
        <v>-</v>
      </c>
      <c r="P410" t="str">
        <f>IF(Table46[[#This Row],[Locked Prediction]]&lt;&gt;Table46[[#This Row],[Prob Winner]], "Changed", "Same")</f>
        <v>Changed</v>
      </c>
      <c r="Q41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11" spans="4:17" x14ac:dyDescent="0.2">
      <c r="D411" s="1">
        <v>45992</v>
      </c>
      <c r="E411" s="2">
        <v>0.83333333333333337</v>
      </c>
      <c r="F411" t="s">
        <v>35</v>
      </c>
      <c r="G411">
        <f>VLOOKUP(Table46[[#This Row],[Home]],'NHL Model'!$A$6:$B$38,2,FALSE)</f>
        <v>-1.6211574240381006</v>
      </c>
      <c r="H411" t="s">
        <v>31</v>
      </c>
      <c r="I411">
        <f>VLOOKUP(Table46[[#This Row],[Visitor]],'NHL Model'!$A$6:$B$38,2,FALSE)</f>
        <v>0.51775546328552802</v>
      </c>
      <c r="J411">
        <f>($B$1+Table46[[#This Row],[Home Differential]])-Table46[[#This Row],[Away Differential]]</f>
        <v>-1.9763405776613103</v>
      </c>
      <c r="K411" t="str">
        <f>IF(Table46[[#This Row],[HomeIce Differential]]&gt;0,Table46[[#This Row],[Home]],Table46[[#This Row],[Visitor]])</f>
        <v>Anaheim Ducks</v>
      </c>
      <c r="L4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0.74346245637443875</v>
      </c>
      <c r="M411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411" t="str">
        <f>IF(OR((NHL2025_26Results[[#This Row],[Winning Team]]="")),"-",IF(Table46[[#This Row],[Predicted Winner]]=NHL2025_26Results[[#This Row],[Winning Team]],"YES","NO"))</f>
        <v>-</v>
      </c>
      <c r="O411" t="str">
        <f>IF(OR((NHL2025_26Results[[#This Row],[Winning Team]]="")),"-",IF(Table46[[#This Row],[Prob Winner]]=NHL2025_26Results[[#This Row],[Winning Team]],"YES","NO"))</f>
        <v>-</v>
      </c>
      <c r="P411" t="str">
        <f>IF(Table46[[#This Row],[Locked Prediction]]&lt;&gt;Table46[[#This Row],[Prob Winner]], "Changed", "Same")</f>
        <v>Changed</v>
      </c>
      <c r="Q41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12" spans="4:17" x14ac:dyDescent="0.2">
      <c r="D412" s="1">
        <v>45993</v>
      </c>
      <c r="E412" s="2">
        <v>0.875</v>
      </c>
      <c r="F412" t="s">
        <v>12</v>
      </c>
      <c r="G412">
        <f>VLOOKUP(Table46[[#This Row],[Home]],'NHL Model'!$A$6:$B$38,2,FALSE)</f>
        <v>1.5475013591489768</v>
      </c>
      <c r="H412" t="s">
        <v>38</v>
      </c>
      <c r="I412">
        <f>VLOOKUP(Table46[[#This Row],[Visitor]],'NHL Model'!$A$6:$B$38,2,FALSE)</f>
        <v>-0.6902088310934803</v>
      </c>
      <c r="J412">
        <f>($B$1+Table46[[#This Row],[Home Differential]])-Table46[[#This Row],[Away Differential]]</f>
        <v>2.4002824999047756</v>
      </c>
      <c r="K412" t="str">
        <f>IF(Table46[[#This Row],[HomeIce Differential]]&gt;0,Table46[[#This Row],[Home]],Table46[[#This Row],[Visitor]])</f>
        <v>Colorado Avalanche</v>
      </c>
      <c r="L4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0.90682942416185042</v>
      </c>
      <c r="M412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412" t="str">
        <f>IF(OR((NHL2025_26Results[[#This Row],[Winning Team]]="")),"-",IF(Table46[[#This Row],[Predicted Winner]]=NHL2025_26Results[[#This Row],[Winning Team]],"YES","NO"))</f>
        <v>-</v>
      </c>
      <c r="O412" t="str">
        <f>IF(OR((NHL2025_26Results[[#This Row],[Winning Team]]="")),"-",IF(Table46[[#This Row],[Prob Winner]]=NHL2025_26Results[[#This Row],[Winning Team]],"YES","NO"))</f>
        <v>-</v>
      </c>
      <c r="P412" t="str">
        <f>IF(Table46[[#This Row],[Locked Prediction]]&lt;&gt;Table46[[#This Row],[Prob Winner]], "Changed", "Same")</f>
        <v>Changed</v>
      </c>
      <c r="Q41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13" spans="4:17" x14ac:dyDescent="0.2">
      <c r="D413" s="1">
        <v>45993</v>
      </c>
      <c r="E413" s="2">
        <v>0.79166666666666663</v>
      </c>
      <c r="F413" t="s">
        <v>26</v>
      </c>
      <c r="G413">
        <f>VLOOKUP(Table46[[#This Row],[Home]],'NHL Model'!$A$6:$B$38,2,FALSE)</f>
        <v>-0.513643833119658</v>
      </c>
      <c r="H413" t="s">
        <v>21</v>
      </c>
      <c r="I413">
        <f>VLOOKUP(Table46[[#This Row],[Visitor]],'NHL Model'!$A$6:$B$38,2,FALSE)</f>
        <v>4.029141914856392E-2</v>
      </c>
      <c r="J413">
        <f>($B$1+Table46[[#This Row],[Home Differential]])-Table46[[#This Row],[Away Differential]]</f>
        <v>-0.39136294260590354</v>
      </c>
      <c r="K413" t="str">
        <f>IF(Table46[[#This Row],[HomeIce Differential]]&gt;0,Table46[[#This Row],[Home]],Table46[[#This Row],[Visitor]])</f>
        <v>Boston Bruins</v>
      </c>
      <c r="L4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0.48598183756735747</v>
      </c>
      <c r="M413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413" t="str">
        <f>IF(OR((NHL2025_26Results[[#This Row],[Winning Team]]="")),"-",IF(Table46[[#This Row],[Predicted Winner]]=NHL2025_26Results[[#This Row],[Winning Team]],"YES","NO"))</f>
        <v>-</v>
      </c>
      <c r="O413" t="str">
        <f>IF(OR((NHL2025_26Results[[#This Row],[Winning Team]]="")),"-",IF(Table46[[#This Row],[Prob Winner]]=NHL2025_26Results[[#This Row],[Winning Team]],"YES","NO"))</f>
        <v>-</v>
      </c>
      <c r="P413" t="str">
        <f>IF(Table46[[#This Row],[Locked Prediction]]&lt;&gt;Table46[[#This Row],[Prob Winner]], "Changed", "Same")</f>
        <v>Changed</v>
      </c>
      <c r="Q41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14" spans="4:17" x14ac:dyDescent="0.2">
      <c r="D414" s="1">
        <v>45993</v>
      </c>
      <c r="E414" s="2">
        <v>0.875</v>
      </c>
      <c r="F414" t="s">
        <v>17</v>
      </c>
      <c r="G414">
        <f>VLOOKUP(Table46[[#This Row],[Home]],'NHL Model'!$A$6:$B$38,2,FALSE)</f>
        <v>-0.61980804137564283</v>
      </c>
      <c r="H414" t="s">
        <v>34</v>
      </c>
      <c r="I414">
        <f>VLOOKUP(Table46[[#This Row],[Visitor]],'NHL Model'!$A$6:$B$38,2,FALSE)</f>
        <v>-0.53650300840565446</v>
      </c>
      <c r="J414">
        <f>($B$1+Table46[[#This Row],[Home Differential]])-Table46[[#This Row],[Away Differential]]</f>
        <v>7.9267276692330024E-2</v>
      </c>
      <c r="K414" t="str">
        <f>IF(Table46[[#This Row],[HomeIce Differential]]&gt;0,Table46[[#This Row],[Home]],Table46[[#This Row],[Visitor]])</f>
        <v>Edmonton Oilers</v>
      </c>
      <c r="L41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0.58657299400597318</v>
      </c>
      <c r="M414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414" t="str">
        <f>IF(OR((NHL2025_26Results[[#This Row],[Winning Team]]="")),"-",IF(Table46[[#This Row],[Predicted Winner]]=NHL2025_26Results[[#This Row],[Winning Team]],"YES","NO"))</f>
        <v>-</v>
      </c>
      <c r="O414" t="str">
        <f>IF(OR((NHL2025_26Results[[#This Row],[Winning Team]]="")),"-",IF(Table46[[#This Row],[Prob Winner]]=NHL2025_26Results[[#This Row],[Winning Team]],"YES","NO"))</f>
        <v>-</v>
      </c>
      <c r="P414" t="str">
        <f>IF(Table46[[#This Row],[Locked Prediction]]&lt;&gt;Table46[[#This Row],[Prob Winner]], "Changed", "Same")</f>
        <v>Changed</v>
      </c>
      <c r="Q41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15" spans="4:17" x14ac:dyDescent="0.2">
      <c r="D415" s="1">
        <v>45993</v>
      </c>
      <c r="E415" s="2">
        <v>0.8125</v>
      </c>
      <c r="F415" t="s">
        <v>11</v>
      </c>
      <c r="G415">
        <f>VLOOKUP(Table46[[#This Row],[Home]],'NHL Model'!$A$6:$B$38,2,FALSE)</f>
        <v>-0.28105923893144158</v>
      </c>
      <c r="H415" t="s">
        <v>19</v>
      </c>
      <c r="I415">
        <f>VLOOKUP(Table46[[#This Row],[Visitor]],'NHL Model'!$A$6:$B$38,2,FALSE)</f>
        <v>-0.635565543477981</v>
      </c>
      <c r="J415">
        <f>($B$1+Table46[[#This Row],[Home Differential]])-Table46[[#This Row],[Away Differential]]</f>
        <v>0.51707861420885781</v>
      </c>
      <c r="K415" t="str">
        <f>IF(Table46[[#This Row],[HomeIce Differential]]&gt;0,Table46[[#This Row],[Home]],Table46[[#This Row],[Visitor]])</f>
        <v>Florida Panthers</v>
      </c>
      <c r="L41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0.66044555188798526</v>
      </c>
      <c r="M415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415" t="str">
        <f>IF(OR((NHL2025_26Results[[#This Row],[Winning Team]]="")),"-",IF(Table46[[#This Row],[Predicted Winner]]=NHL2025_26Results[[#This Row],[Winning Team]],"YES","NO"))</f>
        <v>-</v>
      </c>
      <c r="O415" t="str">
        <f>IF(OR((NHL2025_26Results[[#This Row],[Winning Team]]="")),"-",IF(Table46[[#This Row],[Prob Winner]]=NHL2025_26Results[[#This Row],[Winning Team]],"YES","NO"))</f>
        <v>-</v>
      </c>
      <c r="P415" t="str">
        <f>IF(Table46[[#This Row],[Locked Prediction]]&lt;&gt;Table46[[#This Row],[Prob Winner]], "Changed", "Same")</f>
        <v>Changed</v>
      </c>
      <c r="Q41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16" spans="4:17" x14ac:dyDescent="0.2">
      <c r="D416" s="1">
        <v>45993</v>
      </c>
      <c r="E416" s="2">
        <v>0.9375</v>
      </c>
      <c r="F416" t="s">
        <v>13</v>
      </c>
      <c r="G416">
        <f>VLOOKUP(Table46[[#This Row],[Home]],'NHL Model'!$A$6:$B$38,2,FALSE)</f>
        <v>-7.5459708298993802E-2</v>
      </c>
      <c r="H416" t="s">
        <v>22</v>
      </c>
      <c r="I416">
        <f>VLOOKUP(Table46[[#This Row],[Visitor]],'NHL Model'!$A$6:$B$38,2,FALSE)</f>
        <v>-6.1308839486784707E-2</v>
      </c>
      <c r="J416">
        <f>($B$1+Table46[[#This Row],[Home Differential]])-Table46[[#This Row],[Away Differential]]</f>
        <v>0.1484214408501093</v>
      </c>
      <c r="K416" t="str">
        <f>IF(Table46[[#This Row],[HomeIce Differential]]&gt;0,Table46[[#This Row],[Home]],Table46[[#This Row],[Visitor]])</f>
        <v>Los Angeles Kings</v>
      </c>
      <c r="L41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0.55972803042480945</v>
      </c>
      <c r="M416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416" t="str">
        <f>IF(OR((NHL2025_26Results[[#This Row],[Winning Team]]="")),"-",IF(Table46[[#This Row],[Predicted Winner]]=NHL2025_26Results[[#This Row],[Winning Team]],"YES","NO"))</f>
        <v>-</v>
      </c>
      <c r="O416" t="str">
        <f>IF(OR((NHL2025_26Results[[#This Row],[Winning Team]]="")),"-",IF(Table46[[#This Row],[Prob Winner]]=NHL2025_26Results[[#This Row],[Winning Team]],"YES","NO"))</f>
        <v>-</v>
      </c>
      <c r="P416" t="str">
        <f>IF(Table46[[#This Row],[Locked Prediction]]&lt;&gt;Table46[[#This Row],[Prob Winner]], "Changed", "Same")</f>
        <v>Changed</v>
      </c>
      <c r="Q41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17" spans="4:17" x14ac:dyDescent="0.2">
      <c r="D417" s="1">
        <v>45993</v>
      </c>
      <c r="E417" s="2">
        <v>0.79166666666666663</v>
      </c>
      <c r="F417" t="s">
        <v>18</v>
      </c>
      <c r="G417">
        <f>VLOOKUP(Table46[[#This Row],[Home]],'NHL Model'!$A$6:$B$38,2,FALSE)</f>
        <v>-0.52437726201848234</v>
      </c>
      <c r="H417" t="s">
        <v>36</v>
      </c>
      <c r="I417">
        <f>VLOOKUP(Table46[[#This Row],[Visitor]],'NHL Model'!$A$6:$B$38,2,FALSE)</f>
        <v>-0.40651947573390851</v>
      </c>
      <c r="J417">
        <f>($B$1+Table46[[#This Row],[Home Differential]])-Table46[[#This Row],[Away Differential]]</f>
        <v>4.4714523377744564E-2</v>
      </c>
      <c r="K417" t="str">
        <f>IF(Table46[[#This Row],[HomeIce Differential]]&gt;0,Table46[[#This Row],[Home]],Table46[[#This Row],[Visitor]])</f>
        <v>Montreal Canadiens</v>
      </c>
      <c r="L41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0.54594341001255919</v>
      </c>
      <c r="M417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417" t="str">
        <f>IF(OR((NHL2025_26Results[[#This Row],[Winning Team]]="")),"-",IF(Table46[[#This Row],[Predicted Winner]]=NHL2025_26Results[[#This Row],[Winning Team]],"YES","NO"))</f>
        <v>-</v>
      </c>
      <c r="O417" t="str">
        <f>IF(OR((NHL2025_26Results[[#This Row],[Winning Team]]="")),"-",IF(Table46[[#This Row],[Prob Winner]]=NHL2025_26Results[[#This Row],[Winning Team]],"YES","NO"))</f>
        <v>-</v>
      </c>
      <c r="P417" t="str">
        <f>IF(Table46[[#This Row],[Locked Prediction]]&lt;&gt;Table46[[#This Row],[Prob Winner]], "Changed", "Same")</f>
        <v>Changed</v>
      </c>
      <c r="Q41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18" spans="4:17" x14ac:dyDescent="0.2">
      <c r="D418" s="1">
        <v>45993</v>
      </c>
      <c r="E418" s="2">
        <v>0.83333333333333337</v>
      </c>
      <c r="F418" t="s">
        <v>29</v>
      </c>
      <c r="G418">
        <f>VLOOKUP(Table46[[#This Row],[Home]],'NHL Model'!$A$6:$B$38,2,FALSE)</f>
        <v>-1.3516250707060606</v>
      </c>
      <c r="H418" t="s">
        <v>16</v>
      </c>
      <c r="I418">
        <f>VLOOKUP(Table46[[#This Row],[Visitor]],'NHL Model'!$A$6:$B$38,2,FALSE)</f>
        <v>-1.3903684122795328</v>
      </c>
      <c r="J418">
        <f>($B$1+Table46[[#This Row],[Home Differential]])-Table46[[#This Row],[Away Differential]]</f>
        <v>0.20131565123579054</v>
      </c>
      <c r="K418" t="str">
        <f>IF(Table46[[#This Row],[HomeIce Differential]]&gt;0,Table46[[#This Row],[Home]],Table46[[#This Row],[Visitor]])</f>
        <v>Nashville Predators</v>
      </c>
      <c r="L41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0.56675867630594479</v>
      </c>
      <c r="M418" s="11" t="str">
        <f>IF(Table46[[#This Row],[Strength of Win]]&gt; 0.5,Table46[[#This Row],[Predicted Winner]], IF(Table46[[#This Row],[Home]]=Table46[[#This Row],[Predicted Winner]],Table46[[#This Row],[Visitor]],Table46[[#This Row],[Home]]))</f>
        <v>Nashville Predators</v>
      </c>
      <c r="N418" t="str">
        <f>IF(OR((NHL2025_26Results[[#This Row],[Winning Team]]="")),"-",IF(Table46[[#This Row],[Predicted Winner]]=NHL2025_26Results[[#This Row],[Winning Team]],"YES","NO"))</f>
        <v>-</v>
      </c>
      <c r="O418" t="str">
        <f>IF(OR((NHL2025_26Results[[#This Row],[Winning Team]]="")),"-",IF(Table46[[#This Row],[Prob Winner]]=NHL2025_26Results[[#This Row],[Winning Team]],"YES","NO"))</f>
        <v>-</v>
      </c>
      <c r="P418" t="str">
        <f>IF(Table46[[#This Row],[Locked Prediction]]&lt;&gt;Table46[[#This Row],[Prob Winner]], "Changed", "Same")</f>
        <v>Changed</v>
      </c>
      <c r="Q41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19" spans="4:17" x14ac:dyDescent="0.2">
      <c r="D419" s="1">
        <v>45993</v>
      </c>
      <c r="E419" s="2">
        <v>0.79166666666666663</v>
      </c>
      <c r="F419" t="s">
        <v>30</v>
      </c>
      <c r="G419">
        <f>VLOOKUP(Table46[[#This Row],[Home]],'NHL Model'!$A$6:$B$38,2,FALSE)</f>
        <v>-6.4729560818359025E-2</v>
      </c>
      <c r="H419" t="s">
        <v>37</v>
      </c>
      <c r="I419">
        <f>VLOOKUP(Table46[[#This Row],[Visitor]],'NHL Model'!$A$6:$B$38,2,FALSE)</f>
        <v>-0.11309445867623392</v>
      </c>
      <c r="J419">
        <f>($B$1+Table46[[#This Row],[Home Differential]])-Table46[[#This Row],[Away Differential]]</f>
        <v>0.21093720752019329</v>
      </c>
      <c r="K419" t="str">
        <f>IF(Table46[[#This Row],[HomeIce Differential]]&gt;0,Table46[[#This Row],[Home]],Table46[[#This Row],[Visitor]])</f>
        <v>New York Islanders</v>
      </c>
      <c r="L41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0.52093817252516894</v>
      </c>
      <c r="M419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419" t="str">
        <f>IF(OR((NHL2025_26Results[[#This Row],[Winning Team]]="")),"-",IF(Table46[[#This Row],[Predicted Winner]]=NHL2025_26Results[[#This Row],[Winning Team]],"YES","NO"))</f>
        <v>-</v>
      </c>
      <c r="O419" t="str">
        <f>IF(OR((NHL2025_26Results[[#This Row],[Winning Team]]="")),"-",IF(Table46[[#This Row],[Prob Winner]]=NHL2025_26Results[[#This Row],[Winning Team]],"YES","NO"))</f>
        <v>-</v>
      </c>
      <c r="P419" t="str">
        <f>IF(Table46[[#This Row],[Locked Prediction]]&lt;&gt;Table46[[#This Row],[Prob Winner]], "Changed", "Same")</f>
        <v>Changed</v>
      </c>
      <c r="Q41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20" spans="4:17" x14ac:dyDescent="0.2">
      <c r="D420" s="1">
        <v>45993</v>
      </c>
      <c r="E420" s="2">
        <v>0.79166666666666663</v>
      </c>
      <c r="F420" t="s">
        <v>15</v>
      </c>
      <c r="G420">
        <f>VLOOKUP(Table46[[#This Row],[Home]],'NHL Model'!$A$6:$B$38,2,FALSE)</f>
        <v>-0.30719665303039001</v>
      </c>
      <c r="H420" t="s">
        <v>39</v>
      </c>
      <c r="I420">
        <f>VLOOKUP(Table46[[#This Row],[Visitor]],'NHL Model'!$A$6:$B$38,2,FALSE)</f>
        <v>0.19809534061227302</v>
      </c>
      <c r="J420">
        <f>($B$1+Table46[[#This Row],[Home Differential]])-Table46[[#This Row],[Away Differential]]</f>
        <v>-0.34271968398034464</v>
      </c>
      <c r="K420" t="str">
        <f>IF(Table46[[#This Row],[HomeIce Differential]]&gt;0,Table46[[#This Row],[Home]],Table46[[#This Row],[Visitor]])</f>
        <v>Dallas Stars</v>
      </c>
      <c r="L42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0.59804014766417823</v>
      </c>
      <c r="M420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420" t="str">
        <f>IF(OR((NHL2025_26Results[[#This Row],[Winning Team]]="")),"-",IF(Table46[[#This Row],[Predicted Winner]]=NHL2025_26Results[[#This Row],[Winning Team]],"YES","NO"))</f>
        <v>-</v>
      </c>
      <c r="O420" t="str">
        <f>IF(OR((NHL2025_26Results[[#This Row],[Winning Team]]="")),"-",IF(Table46[[#This Row],[Prob Winner]]=NHL2025_26Results[[#This Row],[Winning Team]],"YES","NO"))</f>
        <v>-</v>
      </c>
      <c r="P420" t="str">
        <f>IF(Table46[[#This Row],[Locked Prediction]]&lt;&gt;Table46[[#This Row],[Prob Winner]], "Changed", "Same")</f>
        <v>Changed</v>
      </c>
      <c r="Q42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21" spans="4:17" x14ac:dyDescent="0.2">
      <c r="D421" s="1">
        <v>45993</v>
      </c>
      <c r="E421" s="2">
        <v>0.91666666666666663</v>
      </c>
      <c r="F421" t="s">
        <v>20</v>
      </c>
      <c r="G421">
        <f>VLOOKUP(Table46[[#This Row],[Home]],'NHL Model'!$A$6:$B$38,2,FALSE)</f>
        <v>-6.3745791019188943E-4</v>
      </c>
      <c r="H421" t="s">
        <v>10</v>
      </c>
      <c r="I421">
        <f>VLOOKUP(Table46[[#This Row],[Visitor]],'NHL Model'!$A$6:$B$38,2,FALSE)</f>
        <v>0.30570968833820172</v>
      </c>
      <c r="J421">
        <f>($B$1+Table46[[#This Row],[Home Differential]])-Table46[[#This Row],[Away Differential]]</f>
        <v>-0.14377483658607523</v>
      </c>
      <c r="K421" t="str">
        <f>IF(Table46[[#This Row],[HomeIce Differential]]&gt;0,Table46[[#This Row],[Home]],Table46[[#This Row],[Visitor]])</f>
        <v>Chicago Blackhawks</v>
      </c>
      <c r="L42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0.49987963917280209</v>
      </c>
      <c r="M421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421" t="str">
        <f>IF(OR((NHL2025_26Results[[#This Row],[Winning Team]]="")),"-",IF(Table46[[#This Row],[Predicted Winner]]=NHL2025_26Results[[#This Row],[Winning Team]],"YES","NO"))</f>
        <v>-</v>
      </c>
      <c r="O421" t="str">
        <f>IF(OR((NHL2025_26Results[[#This Row],[Winning Team]]="")),"-",IF(Table46[[#This Row],[Prob Winner]]=NHL2025_26Results[[#This Row],[Winning Team]],"YES","NO"))</f>
        <v>-</v>
      </c>
      <c r="P421" t="str">
        <f>IF(Table46[[#This Row],[Locked Prediction]]&lt;&gt;Table46[[#This Row],[Prob Winner]], "Changed", "Same")</f>
        <v>Changed</v>
      </c>
      <c r="Q42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22" spans="4:17" x14ac:dyDescent="0.2">
      <c r="D422" s="1">
        <v>45994</v>
      </c>
      <c r="E422" s="2">
        <v>0.91666666666666663</v>
      </c>
      <c r="F422" t="s">
        <v>31</v>
      </c>
      <c r="G422">
        <f>VLOOKUP(Table46[[#This Row],[Home]],'NHL Model'!$A$6:$B$38,2,FALSE)</f>
        <v>0.51775546328552802</v>
      </c>
      <c r="H422" t="s">
        <v>55</v>
      </c>
      <c r="I422">
        <f>VLOOKUP(Table46[[#This Row],[Visitor]],'NHL Model'!$A$6:$B$38,2,FALSE)</f>
        <v>-0.12212311954851815</v>
      </c>
      <c r="J422">
        <f>($B$1+Table46[[#This Row],[Home Differential]])-Table46[[#This Row],[Away Differential]]</f>
        <v>0.80245089249636459</v>
      </c>
      <c r="K422" t="str">
        <f>IF(Table46[[#This Row],[HomeIce Differential]]&gt;0,Table46[[#This Row],[Home]],Table46[[#This Row],[Visitor]])</f>
        <v>Anaheim Ducks</v>
      </c>
      <c r="L42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0.75099087210669091</v>
      </c>
      <c r="M422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422" t="str">
        <f>IF(OR((NHL2025_26Results[[#This Row],[Winning Team]]="")),"-",IF(Table46[[#This Row],[Predicted Winner]]=NHL2025_26Results[[#This Row],[Winning Team]],"YES","NO"))</f>
        <v>-</v>
      </c>
      <c r="O422" t="str">
        <f>IF(OR((NHL2025_26Results[[#This Row],[Winning Team]]="")),"-",IF(Table46[[#This Row],[Prob Winner]]=NHL2025_26Results[[#This Row],[Winning Team]],"YES","NO"))</f>
        <v>-</v>
      </c>
      <c r="P422" t="str">
        <f>IF(Table46[[#This Row],[Locked Prediction]]&lt;&gt;Table46[[#This Row],[Prob Winner]], "Changed", "Same")</f>
        <v>Changed</v>
      </c>
      <c r="Q42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23" spans="4:17" x14ac:dyDescent="0.2">
      <c r="D423" s="1">
        <v>45994</v>
      </c>
      <c r="E423" s="2">
        <v>0.8125</v>
      </c>
      <c r="F423" t="s">
        <v>18</v>
      </c>
      <c r="G423">
        <f>VLOOKUP(Table46[[#This Row],[Home]],'NHL Model'!$A$6:$B$38,2,FALSE)</f>
        <v>-0.52437726201848234</v>
      </c>
      <c r="H423" t="s">
        <v>40</v>
      </c>
      <c r="I423">
        <f>VLOOKUP(Table46[[#This Row],[Visitor]],'NHL Model'!$A$6:$B$38,2,FALSE)</f>
        <v>0.105105258369765</v>
      </c>
      <c r="J423">
        <f>($B$1+Table46[[#This Row],[Home Differential]])-Table46[[#This Row],[Away Differential]]</f>
        <v>-0.46691021072592898</v>
      </c>
      <c r="K423" t="str">
        <f>IF(Table46[[#This Row],[HomeIce Differential]]&gt;0,Table46[[#This Row],[Home]],Table46[[#This Row],[Visitor]])</f>
        <v>Winnipeg Jets</v>
      </c>
      <c r="L42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0.58837703069393155</v>
      </c>
      <c r="M423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423" t="str">
        <f>IF(OR((NHL2025_26Results[[#This Row],[Winning Team]]="")),"-",IF(Table46[[#This Row],[Predicted Winner]]=NHL2025_26Results[[#This Row],[Winning Team]],"YES","NO"))</f>
        <v>-</v>
      </c>
      <c r="O423" t="str">
        <f>IF(OR((NHL2025_26Results[[#This Row],[Winning Team]]="")),"-",IF(Table46[[#This Row],[Prob Winner]]=NHL2025_26Results[[#This Row],[Winning Team]],"YES","NO"))</f>
        <v>-</v>
      </c>
      <c r="P423" t="str">
        <f>IF(Table46[[#This Row],[Locked Prediction]]&lt;&gt;Table46[[#This Row],[Prob Winner]], "Changed", "Same")</f>
        <v>Changed</v>
      </c>
      <c r="Q42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24" spans="4:17" x14ac:dyDescent="0.2">
      <c r="D424" s="1">
        <v>45994</v>
      </c>
      <c r="E424" s="2">
        <v>0.79166666666666663</v>
      </c>
      <c r="F424" t="s">
        <v>24</v>
      </c>
      <c r="G424">
        <f>VLOOKUP(Table46[[#This Row],[Home]],'NHL Model'!$A$6:$B$38,2,FALSE)</f>
        <v>0.559441163373953</v>
      </c>
      <c r="H424" t="s">
        <v>39</v>
      </c>
      <c r="I424">
        <f>VLOOKUP(Table46[[#This Row],[Visitor]],'NHL Model'!$A$6:$B$38,2,FALSE)</f>
        <v>0.19809534061227302</v>
      </c>
      <c r="J424">
        <f>($B$1+Table46[[#This Row],[Home Differential]])-Table46[[#This Row],[Away Differential]]</f>
        <v>0.52391813242399832</v>
      </c>
      <c r="K424" t="str">
        <f>IF(Table46[[#This Row],[HomeIce Differential]]&gt;0,Table46[[#This Row],[Home]],Table46[[#This Row],[Visitor]])</f>
        <v>New Jersey Devils</v>
      </c>
      <c r="L42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0.63720624508861512</v>
      </c>
      <c r="M424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424" t="str">
        <f>IF(OR((NHL2025_26Results[[#This Row],[Winning Team]]="")),"-",IF(Table46[[#This Row],[Predicted Winner]]=NHL2025_26Results[[#This Row],[Winning Team]],"YES","NO"))</f>
        <v>-</v>
      </c>
      <c r="O424" t="str">
        <f>IF(OR((NHL2025_26Results[[#This Row],[Winning Team]]="")),"-",IF(Table46[[#This Row],[Prob Winner]]=NHL2025_26Results[[#This Row],[Winning Team]],"YES","NO"))</f>
        <v>-</v>
      </c>
      <c r="P424" t="str">
        <f>IF(Table46[[#This Row],[Locked Prediction]]&lt;&gt;Table46[[#This Row],[Prob Winner]], "Changed", "Same")</f>
        <v>Changed</v>
      </c>
      <c r="Q42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25" spans="4:17" x14ac:dyDescent="0.2">
      <c r="D425" s="1">
        <v>45994</v>
      </c>
      <c r="E425" s="2">
        <v>0.8125</v>
      </c>
      <c r="F425" t="s">
        <v>27</v>
      </c>
      <c r="G425">
        <f>VLOOKUP(Table46[[#This Row],[Home]],'NHL Model'!$A$6:$B$38,2,FALSE)</f>
        <v>-0.51358590497437617</v>
      </c>
      <c r="H425" t="s">
        <v>23</v>
      </c>
      <c r="I425">
        <f>VLOOKUP(Table46[[#This Row],[Visitor]],'NHL Model'!$A$6:$B$38,2,FALSE)</f>
        <v>-0.8683412362501769</v>
      </c>
      <c r="J425">
        <f>($B$1+Table46[[#This Row],[Home Differential]])-Table46[[#This Row],[Away Differential]]</f>
        <v>0.51732764093811912</v>
      </c>
      <c r="K425" t="str">
        <f>IF(Table46[[#This Row],[HomeIce Differential]]&gt;0,Table46[[#This Row],[Home]],Table46[[#This Row],[Visitor]])</f>
        <v>Philadelphia Flyers</v>
      </c>
      <c r="L42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0.61125815514634885</v>
      </c>
      <c r="M425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425" t="str">
        <f>IF(OR((NHL2025_26Results[[#This Row],[Winning Team]]="")),"-",IF(Table46[[#This Row],[Predicted Winner]]=NHL2025_26Results[[#This Row],[Winning Team]],"YES","NO"))</f>
        <v>-</v>
      </c>
      <c r="O425" t="str">
        <f>IF(OR((NHL2025_26Results[[#This Row],[Winning Team]]="")),"-",IF(Table46[[#This Row],[Prob Winner]]=NHL2025_26Results[[#This Row],[Winning Team]],"YES","NO"))</f>
        <v>-</v>
      </c>
      <c r="P425" t="str">
        <f>IF(Table46[[#This Row],[Locked Prediction]]&lt;&gt;Table46[[#This Row],[Prob Winner]], "Changed", "Same")</f>
        <v>Changed</v>
      </c>
      <c r="Q42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26" spans="4:17" x14ac:dyDescent="0.2">
      <c r="D426" s="1">
        <v>45994</v>
      </c>
      <c r="E426" s="2">
        <v>0.91666666666666663</v>
      </c>
      <c r="F426" t="s">
        <v>33</v>
      </c>
      <c r="G426">
        <f>VLOOKUP(Table46[[#This Row],[Home]],'NHL Model'!$A$6:$B$38,2,FALSE)</f>
        <v>-0.39418177254008485</v>
      </c>
      <c r="H426" t="s">
        <v>22</v>
      </c>
      <c r="I426">
        <f>VLOOKUP(Table46[[#This Row],[Visitor]],'NHL Model'!$A$6:$B$38,2,FALSE)</f>
        <v>-6.1308839486784707E-2</v>
      </c>
      <c r="J426">
        <f>($B$1+Table46[[#This Row],[Home Differential]])-Table46[[#This Row],[Away Differential]]</f>
        <v>-0.17030062339098176</v>
      </c>
      <c r="K426" t="str">
        <f>IF(Table46[[#This Row],[HomeIce Differential]]&gt;0,Table46[[#This Row],[Home]],Table46[[#This Row],[Visitor]])</f>
        <v>Washington Capitals</v>
      </c>
      <c r="L42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0.48263618962582544</v>
      </c>
      <c r="M426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426" t="str">
        <f>IF(OR((NHL2025_26Results[[#This Row],[Winning Team]]="")),"-",IF(Table46[[#This Row],[Predicted Winner]]=NHL2025_26Results[[#This Row],[Winning Team]],"YES","NO"))</f>
        <v>-</v>
      </c>
      <c r="O426" t="str">
        <f>IF(OR((NHL2025_26Results[[#This Row],[Winning Team]]="")),"-",IF(Table46[[#This Row],[Prob Winner]]=NHL2025_26Results[[#This Row],[Winning Team]],"YES","NO"))</f>
        <v>-</v>
      </c>
      <c r="P426" t="str">
        <f>IF(Table46[[#This Row],[Locked Prediction]]&lt;&gt;Table46[[#This Row],[Prob Winner]], "Changed", "Same")</f>
        <v>Changed</v>
      </c>
      <c r="Q42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27" spans="4:17" x14ac:dyDescent="0.2">
      <c r="D427" s="1">
        <v>45995</v>
      </c>
      <c r="E427" s="2">
        <v>0.79166666666666663</v>
      </c>
      <c r="F427" t="s">
        <v>21</v>
      </c>
      <c r="G427">
        <f>VLOOKUP(Table46[[#This Row],[Home]],'NHL Model'!$A$6:$B$38,2,FALSE)</f>
        <v>4.029141914856392E-2</v>
      </c>
      <c r="H427" t="s">
        <v>35</v>
      </c>
      <c r="I427">
        <f>VLOOKUP(Table46[[#This Row],[Visitor]],'NHL Model'!$A$6:$B$38,2,FALSE)</f>
        <v>-1.6211574240381006</v>
      </c>
      <c r="J427">
        <f>($B$1+Table46[[#This Row],[Home Differential]])-Table46[[#This Row],[Away Differential]]</f>
        <v>1.8240211528489829</v>
      </c>
      <c r="K427" t="str">
        <f>IF(Table46[[#This Row],[HomeIce Differential]]&gt;0,Table46[[#This Row],[Home]],Table46[[#This Row],[Visitor]])</f>
        <v>Boston Bruins</v>
      </c>
      <c r="L42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0.85500450628454616</v>
      </c>
      <c r="M427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427" t="str">
        <f>IF(OR((NHL2025_26Results[[#This Row],[Winning Team]]="")),"-",IF(Table46[[#This Row],[Predicted Winner]]=NHL2025_26Results[[#This Row],[Winning Team]],"YES","NO"))</f>
        <v>-</v>
      </c>
      <c r="O427" t="str">
        <f>IF(OR((NHL2025_26Results[[#This Row],[Winning Team]]="")),"-",IF(Table46[[#This Row],[Prob Winner]]=NHL2025_26Results[[#This Row],[Winning Team]],"YES","NO"))</f>
        <v>-</v>
      </c>
      <c r="P427" t="str">
        <f>IF(Table46[[#This Row],[Locked Prediction]]&lt;&gt;Table46[[#This Row],[Prob Winner]], "Changed", "Same")</f>
        <v>Changed</v>
      </c>
      <c r="Q42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28" spans="4:17" x14ac:dyDescent="0.2">
      <c r="D428" s="1">
        <v>45995</v>
      </c>
      <c r="E428" s="2">
        <v>0.8125</v>
      </c>
      <c r="F428" t="s">
        <v>25</v>
      </c>
      <c r="G428">
        <f>VLOOKUP(Table46[[#This Row],[Home]],'NHL Model'!$A$6:$B$38,2,FALSE)</f>
        <v>0.67193921242367816</v>
      </c>
      <c r="H428" t="s">
        <v>19</v>
      </c>
      <c r="I428">
        <f>VLOOKUP(Table46[[#This Row],[Visitor]],'NHL Model'!$A$6:$B$38,2,FALSE)</f>
        <v>-0.635565543477981</v>
      </c>
      <c r="J428">
        <f>($B$1+Table46[[#This Row],[Home Differential]])-Table46[[#This Row],[Away Differential]]</f>
        <v>1.4700770655639777</v>
      </c>
      <c r="K428" t="str">
        <f>IF(Table46[[#This Row],[HomeIce Differential]]&gt;0,Table46[[#This Row],[Home]],Table46[[#This Row],[Visitor]])</f>
        <v>Carolina Hurricanes</v>
      </c>
      <c r="L42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0.78711715900516033</v>
      </c>
      <c r="M428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428" t="str">
        <f>IF(OR((NHL2025_26Results[[#This Row],[Winning Team]]="")),"-",IF(Table46[[#This Row],[Predicted Winner]]=NHL2025_26Results[[#This Row],[Winning Team]],"YES","NO"))</f>
        <v>-</v>
      </c>
      <c r="O428" t="str">
        <f>IF(OR((NHL2025_26Results[[#This Row],[Winning Team]]="")),"-",IF(Table46[[#This Row],[Prob Winner]]=NHL2025_26Results[[#This Row],[Winning Team]],"YES","NO"))</f>
        <v>-</v>
      </c>
      <c r="P428" t="str">
        <f>IF(Table46[[#This Row],[Locked Prediction]]&lt;&gt;Table46[[#This Row],[Prob Winner]], "Changed", "Same")</f>
        <v>Changed</v>
      </c>
      <c r="Q42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29" spans="4:17" x14ac:dyDescent="0.2">
      <c r="D429" s="1">
        <v>45995</v>
      </c>
      <c r="E429" s="2">
        <v>0.79166666666666663</v>
      </c>
      <c r="F429" t="s">
        <v>28</v>
      </c>
      <c r="G429">
        <f>VLOOKUP(Table46[[#This Row],[Home]],'NHL Model'!$A$6:$B$38,2,FALSE)</f>
        <v>-0.40822279081308277</v>
      </c>
      <c r="H429" t="s">
        <v>26</v>
      </c>
      <c r="I429">
        <f>VLOOKUP(Table46[[#This Row],[Visitor]],'NHL Model'!$A$6:$B$38,2,FALSE)</f>
        <v>-0.513643833119658</v>
      </c>
      <c r="J429">
        <f>($B$1+Table46[[#This Row],[Home Differential]])-Table46[[#This Row],[Away Differential]]</f>
        <v>0.26799335196889362</v>
      </c>
      <c r="K429" t="str">
        <f>IF(Table46[[#This Row],[HomeIce Differential]]&gt;0,Table46[[#This Row],[Home]],Table46[[#This Row],[Visitor]])</f>
        <v>Columbus Blue Jackets</v>
      </c>
      <c r="L42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0.52852201854606173</v>
      </c>
      <c r="M429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429" t="str">
        <f>IF(OR((NHL2025_26Results[[#This Row],[Winning Team]]="")),"-",IF(Table46[[#This Row],[Predicted Winner]]=NHL2025_26Results[[#This Row],[Winning Team]],"YES","NO"))</f>
        <v>-</v>
      </c>
      <c r="O429" t="str">
        <f>IF(OR((NHL2025_26Results[[#This Row],[Winning Team]]="")),"-",IF(Table46[[#This Row],[Prob Winner]]=NHL2025_26Results[[#This Row],[Winning Team]],"YES","NO"))</f>
        <v>-</v>
      </c>
      <c r="P429" t="str">
        <f>IF(Table46[[#This Row],[Locked Prediction]]&lt;&gt;Table46[[#This Row],[Prob Winner]], "Changed", "Same")</f>
        <v>Changed</v>
      </c>
      <c r="Q42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30" spans="4:17" x14ac:dyDescent="0.2">
      <c r="D430" s="1">
        <v>45995</v>
      </c>
      <c r="E430" s="2">
        <v>0.875</v>
      </c>
      <c r="F430" t="s">
        <v>16</v>
      </c>
      <c r="G430">
        <f>VLOOKUP(Table46[[#This Row],[Home]],'NHL Model'!$A$6:$B$38,2,FALSE)</f>
        <v>-1.3903684122795328</v>
      </c>
      <c r="H430" t="s">
        <v>34</v>
      </c>
      <c r="I430">
        <f>VLOOKUP(Table46[[#This Row],[Visitor]],'NHL Model'!$A$6:$B$38,2,FALSE)</f>
        <v>-0.53650300840565446</v>
      </c>
      <c r="J430">
        <f>($B$1+Table46[[#This Row],[Home Differential]])-Table46[[#This Row],[Away Differential]]</f>
        <v>-0.69129309421155993</v>
      </c>
      <c r="K430" t="str">
        <f>IF(Table46[[#This Row],[HomeIce Differential]]&gt;0,Table46[[#This Row],[Home]],Table46[[#This Row],[Visitor]])</f>
        <v>Minnesota Wild</v>
      </c>
      <c r="L43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0.55188599111390635</v>
      </c>
      <c r="M430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430" t="str">
        <f>IF(OR((NHL2025_26Results[[#This Row],[Winning Team]]="")),"-",IF(Table46[[#This Row],[Predicted Winner]]=NHL2025_26Results[[#This Row],[Winning Team]],"YES","NO"))</f>
        <v>-</v>
      </c>
      <c r="O430" t="str">
        <f>IF(OR((NHL2025_26Results[[#This Row],[Winning Team]]="")),"-",IF(Table46[[#This Row],[Prob Winner]]=NHL2025_26Results[[#This Row],[Winning Team]],"YES","NO"))</f>
        <v>-</v>
      </c>
      <c r="P430" t="str">
        <f>IF(Table46[[#This Row],[Locked Prediction]]&lt;&gt;Table46[[#This Row],[Prob Winner]], "Changed", "Same")</f>
        <v>Changed</v>
      </c>
      <c r="Q43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31" spans="4:17" x14ac:dyDescent="0.2">
      <c r="D431" s="1">
        <v>45995</v>
      </c>
      <c r="E431" s="2">
        <v>0.875</v>
      </c>
      <c r="F431" t="s">
        <v>17</v>
      </c>
      <c r="G431">
        <f>VLOOKUP(Table46[[#This Row],[Home]],'NHL Model'!$A$6:$B$38,2,FALSE)</f>
        <v>-0.61980804137564283</v>
      </c>
      <c r="H431" t="s">
        <v>32</v>
      </c>
      <c r="I431">
        <f>VLOOKUP(Table46[[#This Row],[Visitor]],'NHL Model'!$A$6:$B$38,2,FALSE)</f>
        <v>-0.361361309178443</v>
      </c>
      <c r="J431">
        <f>($B$1+Table46[[#This Row],[Home Differential]])-Table46[[#This Row],[Away Differential]]</f>
        <v>-9.5874422534881432E-2</v>
      </c>
      <c r="K431" t="str">
        <f>IF(Table46[[#This Row],[HomeIce Differential]]&gt;0,Table46[[#This Row],[Home]],Table46[[#This Row],[Visitor]])</f>
        <v>Seattle Kraken</v>
      </c>
      <c r="L43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0.43670666660921165</v>
      </c>
      <c r="M431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431" t="str">
        <f>IF(OR((NHL2025_26Results[[#This Row],[Winning Team]]="")),"-",IF(Table46[[#This Row],[Predicted Winner]]=NHL2025_26Results[[#This Row],[Winning Team]],"YES","NO"))</f>
        <v>-</v>
      </c>
      <c r="O431" t="str">
        <f>IF(OR((NHL2025_26Results[[#This Row],[Winning Team]]="")),"-",IF(Table46[[#This Row],[Prob Winner]]=NHL2025_26Results[[#This Row],[Winning Team]],"YES","NO"))</f>
        <v>-</v>
      </c>
      <c r="P431" t="str">
        <f>IF(Table46[[#This Row],[Locked Prediction]]&lt;&gt;Table46[[#This Row],[Prob Winner]], "Changed", "Same")</f>
        <v>Changed</v>
      </c>
      <c r="Q43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32" spans="4:17" x14ac:dyDescent="0.2">
      <c r="D432" s="1">
        <v>45995</v>
      </c>
      <c r="E432" s="2">
        <v>0.79166666666666663</v>
      </c>
      <c r="F432" t="s">
        <v>11</v>
      </c>
      <c r="G432">
        <f>VLOOKUP(Table46[[#This Row],[Home]],'NHL Model'!$A$6:$B$38,2,FALSE)</f>
        <v>-0.28105923893144158</v>
      </c>
      <c r="H432" t="s">
        <v>29</v>
      </c>
      <c r="I432">
        <f>VLOOKUP(Table46[[#This Row],[Visitor]],'NHL Model'!$A$6:$B$38,2,FALSE)</f>
        <v>-1.3516250707060606</v>
      </c>
      <c r="J432">
        <f>($B$1+Table46[[#This Row],[Home Differential]])-Table46[[#This Row],[Away Differential]]</f>
        <v>1.2331381414369376</v>
      </c>
      <c r="K432" t="str">
        <f>IF(Table46[[#This Row],[HomeIce Differential]]&gt;0,Table46[[#This Row],[Home]],Table46[[#This Row],[Visitor]])</f>
        <v>Florida Panthers</v>
      </c>
      <c r="L43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0.75562347266694141</v>
      </c>
      <c r="M432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432" t="str">
        <f>IF(OR((NHL2025_26Results[[#This Row],[Winning Team]]="")),"-",IF(Table46[[#This Row],[Predicted Winner]]=NHL2025_26Results[[#This Row],[Winning Team]],"YES","NO"))</f>
        <v>-</v>
      </c>
      <c r="O432" t="str">
        <f>IF(OR((NHL2025_26Results[[#This Row],[Winning Team]]="")),"-",IF(Table46[[#This Row],[Prob Winner]]=NHL2025_26Results[[#This Row],[Winning Team]],"YES","NO"))</f>
        <v>-</v>
      </c>
      <c r="P432" t="str">
        <f>IF(Table46[[#This Row],[Locked Prediction]]&lt;&gt;Table46[[#This Row],[Prob Winner]], "Changed", "Same")</f>
        <v>Changed</v>
      </c>
      <c r="Q43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33" spans="4:17" x14ac:dyDescent="0.2">
      <c r="D433" s="1">
        <v>45995</v>
      </c>
      <c r="E433" s="2">
        <v>0.91666666666666663</v>
      </c>
      <c r="F433" t="s">
        <v>13</v>
      </c>
      <c r="G433">
        <f>VLOOKUP(Table46[[#This Row],[Home]],'NHL Model'!$A$6:$B$38,2,FALSE)</f>
        <v>-7.5459708298993802E-2</v>
      </c>
      <c r="H433" t="s">
        <v>10</v>
      </c>
      <c r="I433">
        <f>VLOOKUP(Table46[[#This Row],[Visitor]],'NHL Model'!$A$6:$B$38,2,FALSE)</f>
        <v>0.30570968833820172</v>
      </c>
      <c r="J433">
        <f>($B$1+Table46[[#This Row],[Home Differential]])-Table46[[#This Row],[Away Differential]]</f>
        <v>-0.21859708697487712</v>
      </c>
      <c r="K433" t="str">
        <f>IF(Table46[[#This Row],[HomeIce Differential]]&gt;0,Table46[[#This Row],[Home]],Table46[[#This Row],[Visitor]])</f>
        <v>Chicago Blackhawks</v>
      </c>
      <c r="L43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0.50982493834028353</v>
      </c>
      <c r="M433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433" t="str">
        <f>IF(OR((NHL2025_26Results[[#This Row],[Winning Team]]="")),"-",IF(Table46[[#This Row],[Predicted Winner]]=NHL2025_26Results[[#This Row],[Winning Team]],"YES","NO"))</f>
        <v>-</v>
      </c>
      <c r="O433" t="str">
        <f>IF(OR((NHL2025_26Results[[#This Row],[Winning Team]]="")),"-",IF(Table46[[#This Row],[Prob Winner]]=NHL2025_26Results[[#This Row],[Winning Team]],"YES","NO"))</f>
        <v>-</v>
      </c>
      <c r="P433" t="str">
        <f>IF(Table46[[#This Row],[Locked Prediction]]&lt;&gt;Table46[[#This Row],[Prob Winner]], "Changed", "Same")</f>
        <v>Changed</v>
      </c>
      <c r="Q43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34" spans="4:17" x14ac:dyDescent="0.2">
      <c r="D434" s="1">
        <v>45995</v>
      </c>
      <c r="E434" s="2">
        <v>0.79166666666666663</v>
      </c>
      <c r="F434" t="s">
        <v>30</v>
      </c>
      <c r="G434">
        <f>VLOOKUP(Table46[[#This Row],[Home]],'NHL Model'!$A$6:$B$38,2,FALSE)</f>
        <v>-6.4729560818359025E-2</v>
      </c>
      <c r="H434" t="s">
        <v>12</v>
      </c>
      <c r="I434">
        <f>VLOOKUP(Table46[[#This Row],[Visitor]],'NHL Model'!$A$6:$B$38,2,FALSE)</f>
        <v>1.5475013591489768</v>
      </c>
      <c r="J434">
        <f>($B$1+Table46[[#This Row],[Home Differential]])-Table46[[#This Row],[Away Differential]]</f>
        <v>-1.4496586103050175</v>
      </c>
      <c r="K434" t="str">
        <f>IF(Table46[[#This Row],[HomeIce Differential]]&gt;0,Table46[[#This Row],[Home]],Table46[[#This Row],[Visitor]])</f>
        <v>Colorado Avalanche</v>
      </c>
      <c r="L43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0.71900297136518976</v>
      </c>
      <c r="M434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434" t="str">
        <f>IF(OR((NHL2025_26Results[[#This Row],[Winning Team]]="")),"-",IF(Table46[[#This Row],[Predicted Winner]]=NHL2025_26Results[[#This Row],[Winning Team]],"YES","NO"))</f>
        <v>-</v>
      </c>
      <c r="O434" t="str">
        <f>IF(OR((NHL2025_26Results[[#This Row],[Winning Team]]="")),"-",IF(Table46[[#This Row],[Prob Winner]]=NHL2025_26Results[[#This Row],[Winning Team]],"YES","NO"))</f>
        <v>-</v>
      </c>
      <c r="P434" t="str">
        <f>IF(Table46[[#This Row],[Locked Prediction]]&lt;&gt;Table46[[#This Row],[Prob Winner]], "Changed", "Same")</f>
        <v>Changed</v>
      </c>
      <c r="Q43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35" spans="4:17" x14ac:dyDescent="0.2">
      <c r="D435" s="1">
        <v>45995</v>
      </c>
      <c r="E435" s="2">
        <v>0.79166666666666663</v>
      </c>
      <c r="F435" t="s">
        <v>36</v>
      </c>
      <c r="G435">
        <f>VLOOKUP(Table46[[#This Row],[Home]],'NHL Model'!$A$6:$B$38,2,FALSE)</f>
        <v>-0.40651947573390851</v>
      </c>
      <c r="H435" t="s">
        <v>15</v>
      </c>
      <c r="I435">
        <f>VLOOKUP(Table46[[#This Row],[Visitor]],'NHL Model'!$A$6:$B$38,2,FALSE)</f>
        <v>-0.30719665303039001</v>
      </c>
      <c r="J435">
        <f>($B$1+Table46[[#This Row],[Home Differential]])-Table46[[#This Row],[Away Differential]]</f>
        <v>6.3249486958799894E-2</v>
      </c>
      <c r="K435" t="str">
        <f>IF(Table46[[#This Row],[HomeIce Differential]]&gt;0,Table46[[#This Row],[Home]],Table46[[#This Row],[Visitor]])</f>
        <v>Ottawa Senators</v>
      </c>
      <c r="L43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0.40840705895273527</v>
      </c>
      <c r="M435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435" t="str">
        <f>IF(OR((NHL2025_26Results[[#This Row],[Winning Team]]="")),"-",IF(Table46[[#This Row],[Predicted Winner]]=NHL2025_26Results[[#This Row],[Winning Team]],"YES","NO"))</f>
        <v>-</v>
      </c>
      <c r="O435" t="str">
        <f>IF(OR((NHL2025_26Results[[#This Row],[Winning Team]]="")),"-",IF(Table46[[#This Row],[Prob Winner]]=NHL2025_26Results[[#This Row],[Winning Team]],"YES","NO"))</f>
        <v>-</v>
      </c>
      <c r="P435" t="str">
        <f>IF(Table46[[#This Row],[Locked Prediction]]&lt;&gt;Table46[[#This Row],[Prob Winner]], "Changed", "Same")</f>
        <v>Changed</v>
      </c>
      <c r="Q43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36" spans="4:17" x14ac:dyDescent="0.2">
      <c r="D436" s="1">
        <v>45995</v>
      </c>
      <c r="E436" s="2">
        <v>0.79166666666666663</v>
      </c>
      <c r="F436" t="s">
        <v>37</v>
      </c>
      <c r="G436">
        <f>VLOOKUP(Table46[[#This Row],[Home]],'NHL Model'!$A$6:$B$38,2,FALSE)</f>
        <v>-0.11309445867623392</v>
      </c>
      <c r="H436" t="s">
        <v>14</v>
      </c>
      <c r="I436">
        <f>VLOOKUP(Table46[[#This Row],[Visitor]],'NHL Model'!$A$6:$B$38,2,FALSE)</f>
        <v>0.26289091192875702</v>
      </c>
      <c r="J436">
        <f>($B$1+Table46[[#This Row],[Home Differential]])-Table46[[#This Row],[Away Differential]]</f>
        <v>-0.21341306094267254</v>
      </c>
      <c r="K436" t="str">
        <f>IF(Table46[[#This Row],[HomeIce Differential]]&gt;0,Table46[[#This Row],[Home]],Table46[[#This Row],[Visitor]])</f>
        <v>Pittsburgh Penguins</v>
      </c>
      <c r="L43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0.48836665198244944</v>
      </c>
      <c r="M436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436" t="str">
        <f>IF(OR((NHL2025_26Results[[#This Row],[Winning Team]]="")),"-",IF(Table46[[#This Row],[Predicted Winner]]=NHL2025_26Results[[#This Row],[Winning Team]],"YES","NO"))</f>
        <v>-</v>
      </c>
      <c r="O436" t="str">
        <f>IF(OR((NHL2025_26Results[[#This Row],[Winning Team]]="")),"-",IF(Table46[[#This Row],[Prob Winner]]=NHL2025_26Results[[#This Row],[Winning Team]],"YES","NO"))</f>
        <v>-</v>
      </c>
      <c r="P436" t="str">
        <f>IF(Table46[[#This Row],[Locked Prediction]]&lt;&gt;Table46[[#This Row],[Prob Winner]], "Changed", "Same")</f>
        <v>Changed</v>
      </c>
      <c r="Q43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37" spans="4:17" x14ac:dyDescent="0.2">
      <c r="D437" s="1">
        <v>45996</v>
      </c>
      <c r="E437" s="2">
        <v>0.91666666666666663</v>
      </c>
      <c r="F437" t="s">
        <v>31</v>
      </c>
      <c r="G437">
        <f>VLOOKUP(Table46[[#This Row],[Home]],'NHL Model'!$A$6:$B$38,2,FALSE)</f>
        <v>0.51775546328552802</v>
      </c>
      <c r="H437" t="s">
        <v>22</v>
      </c>
      <c r="I437">
        <f>VLOOKUP(Table46[[#This Row],[Visitor]],'NHL Model'!$A$6:$B$38,2,FALSE)</f>
        <v>-6.1308839486784707E-2</v>
      </c>
      <c r="J437">
        <f>($B$1+Table46[[#This Row],[Home Differential]])-Table46[[#This Row],[Away Differential]]</f>
        <v>0.74163661243463108</v>
      </c>
      <c r="K437" t="str">
        <f>IF(Table46[[#This Row],[HomeIce Differential]]&gt;0,Table46[[#This Row],[Home]],Table46[[#This Row],[Visitor]])</f>
        <v>Anaheim Ducks</v>
      </c>
      <c r="L43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0.74290749843474013</v>
      </c>
      <c r="M437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437" t="str">
        <f>IF(OR((NHL2025_26Results[[#This Row],[Winning Team]]="")),"-",IF(Table46[[#This Row],[Predicted Winner]]=NHL2025_26Results[[#This Row],[Winning Team]],"YES","NO"))</f>
        <v>-</v>
      </c>
      <c r="O437" t="str">
        <f>IF(OR((NHL2025_26Results[[#This Row],[Winning Team]]="")),"-",IF(Table46[[#This Row],[Prob Winner]]=NHL2025_26Results[[#This Row],[Winning Team]],"YES","NO"))</f>
        <v>-</v>
      </c>
      <c r="P437" t="str">
        <f>IF(Table46[[#This Row],[Locked Prediction]]&lt;&gt;Table46[[#This Row],[Prob Winner]], "Changed", "Same")</f>
        <v>Changed</v>
      </c>
      <c r="Q43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38" spans="4:17" x14ac:dyDescent="0.2">
      <c r="D438" s="1">
        <v>45996</v>
      </c>
      <c r="E438" s="2">
        <v>0.83333333333333337</v>
      </c>
      <c r="F438" t="s">
        <v>39</v>
      </c>
      <c r="G438">
        <f>VLOOKUP(Table46[[#This Row],[Home]],'NHL Model'!$A$6:$B$38,2,FALSE)</f>
        <v>0.19809534061227302</v>
      </c>
      <c r="H438" t="s">
        <v>33</v>
      </c>
      <c r="I438">
        <f>VLOOKUP(Table46[[#This Row],[Visitor]],'NHL Model'!$A$6:$B$38,2,FALSE)</f>
        <v>-0.39418177254008485</v>
      </c>
      <c r="J438">
        <f>($B$1+Table46[[#This Row],[Home Differential]])-Table46[[#This Row],[Away Differential]]</f>
        <v>0.75484942281467626</v>
      </c>
      <c r="K438" t="str">
        <f>IF(Table46[[#This Row],[HomeIce Differential]]&gt;0,Table46[[#This Row],[Home]],Table46[[#This Row],[Visitor]])</f>
        <v>Dallas Stars</v>
      </c>
      <c r="L43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0.66637157100213862</v>
      </c>
      <c r="M438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438" t="str">
        <f>IF(OR((NHL2025_26Results[[#This Row],[Winning Team]]="")),"-",IF(Table46[[#This Row],[Predicted Winner]]=NHL2025_26Results[[#This Row],[Winning Team]],"YES","NO"))</f>
        <v>-</v>
      </c>
      <c r="O438" t="str">
        <f>IF(OR((NHL2025_26Results[[#This Row],[Winning Team]]="")),"-",IF(Table46[[#This Row],[Prob Winner]]=NHL2025_26Results[[#This Row],[Winning Team]],"YES","NO"))</f>
        <v>-</v>
      </c>
      <c r="P438" t="str">
        <f>IF(Table46[[#This Row],[Locked Prediction]]&lt;&gt;Table46[[#This Row],[Prob Winner]], "Changed", "Same")</f>
        <v>Changed</v>
      </c>
      <c r="Q43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39" spans="4:17" x14ac:dyDescent="0.2">
      <c r="D439" s="1">
        <v>45996</v>
      </c>
      <c r="E439" s="2">
        <v>0.79166666666666663</v>
      </c>
      <c r="F439" t="s">
        <v>24</v>
      </c>
      <c r="G439">
        <f>VLOOKUP(Table46[[#This Row],[Home]],'NHL Model'!$A$6:$B$38,2,FALSE)</f>
        <v>0.559441163373953</v>
      </c>
      <c r="H439" t="s">
        <v>20</v>
      </c>
      <c r="I439">
        <f>VLOOKUP(Table46[[#This Row],[Visitor]],'NHL Model'!$A$6:$B$38,2,FALSE)</f>
        <v>-6.3745791019188943E-4</v>
      </c>
      <c r="J439">
        <f>($B$1+Table46[[#This Row],[Home Differential]])-Table46[[#This Row],[Away Differential]]</f>
        <v>0.72265093094646327</v>
      </c>
      <c r="K439" t="str">
        <f>IF(Table46[[#This Row],[HomeIce Differential]]&gt;0,Table46[[#This Row],[Home]],Table46[[#This Row],[Visitor]])</f>
        <v>New Jersey Devils</v>
      </c>
      <c r="L43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0.73241767997466889</v>
      </c>
      <c r="M439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439" t="str">
        <f>IF(OR((NHL2025_26Results[[#This Row],[Winning Team]]="")),"-",IF(Table46[[#This Row],[Predicted Winner]]=NHL2025_26Results[[#This Row],[Winning Team]],"YES","NO"))</f>
        <v>-</v>
      </c>
      <c r="O439" t="str">
        <f>IF(OR((NHL2025_26Results[[#This Row],[Winning Team]]="")),"-",IF(Table46[[#This Row],[Prob Winner]]=NHL2025_26Results[[#This Row],[Winning Team]],"YES","NO"))</f>
        <v>-</v>
      </c>
      <c r="P439" t="str">
        <f>IF(Table46[[#This Row],[Locked Prediction]]&lt;&gt;Table46[[#This Row],[Prob Winner]], "Changed", "Same")</f>
        <v>Changed</v>
      </c>
      <c r="Q43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40" spans="4:17" x14ac:dyDescent="0.2">
      <c r="D440" s="1">
        <v>45996</v>
      </c>
      <c r="E440" s="2">
        <v>0.875</v>
      </c>
      <c r="F440" t="s">
        <v>38</v>
      </c>
      <c r="G440">
        <f>VLOOKUP(Table46[[#This Row],[Home]],'NHL Model'!$A$6:$B$38,2,FALSE)</f>
        <v>-0.6902088310934803</v>
      </c>
      <c r="H440" t="s">
        <v>55</v>
      </c>
      <c r="I440">
        <f>VLOOKUP(Table46[[#This Row],[Visitor]],'NHL Model'!$A$6:$B$38,2,FALSE)</f>
        <v>-0.12212311954851815</v>
      </c>
      <c r="J440">
        <f>($B$1+Table46[[#This Row],[Home Differential]])-Table46[[#This Row],[Away Differential]]</f>
        <v>-0.40551340188264373</v>
      </c>
      <c r="K440" t="str">
        <f>IF(Table46[[#This Row],[HomeIce Differential]]&gt;0,Table46[[#This Row],[Home]],Table46[[#This Row],[Visitor]])</f>
        <v>Utah Mammoth</v>
      </c>
      <c r="L44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0.51390043840153765</v>
      </c>
      <c r="M440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440" t="str">
        <f>IF(OR((NHL2025_26Results[[#This Row],[Winning Team]]="")),"-",IF(Table46[[#This Row],[Predicted Winner]]=NHL2025_26Results[[#This Row],[Winning Team]],"YES","NO"))</f>
        <v>-</v>
      </c>
      <c r="O440" t="str">
        <f>IF(OR((NHL2025_26Results[[#This Row],[Winning Team]]="")),"-",IF(Table46[[#This Row],[Prob Winner]]=NHL2025_26Results[[#This Row],[Winning Team]],"YES","NO"))</f>
        <v>-</v>
      </c>
      <c r="P440" t="str">
        <f>IF(Table46[[#This Row],[Locked Prediction]]&lt;&gt;Table46[[#This Row],[Prob Winner]], "Changed", "Same")</f>
        <v>Changed</v>
      </c>
      <c r="Q44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41" spans="4:17" x14ac:dyDescent="0.2">
      <c r="D441" s="1">
        <v>45996</v>
      </c>
      <c r="E441" s="2">
        <v>0.79166666666666663</v>
      </c>
      <c r="F441" t="s">
        <v>40</v>
      </c>
      <c r="G441">
        <f>VLOOKUP(Table46[[#This Row],[Home]],'NHL Model'!$A$6:$B$38,2,FALSE)</f>
        <v>0.105105258369765</v>
      </c>
      <c r="H441" t="s">
        <v>23</v>
      </c>
      <c r="I441">
        <f>VLOOKUP(Table46[[#This Row],[Visitor]],'NHL Model'!$A$6:$B$38,2,FALSE)</f>
        <v>-0.8683412362501769</v>
      </c>
      <c r="J441">
        <f>($B$1+Table46[[#This Row],[Home Differential]])-Table46[[#This Row],[Away Differential]]</f>
        <v>1.1360188042822603</v>
      </c>
      <c r="K441" t="str">
        <f>IF(Table46[[#This Row],[HomeIce Differential]]&gt;0,Table46[[#This Row],[Home]],Table46[[#This Row],[Visitor]])</f>
        <v>Winnipeg Jets</v>
      </c>
      <c r="L44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0.72703535691223276</v>
      </c>
      <c r="M441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441" t="str">
        <f>IF(OR((NHL2025_26Results[[#This Row],[Winning Team]]="")),"-",IF(Table46[[#This Row],[Predicted Winner]]=NHL2025_26Results[[#This Row],[Winning Team]],"YES","NO"))</f>
        <v>-</v>
      </c>
      <c r="O441" t="str">
        <f>IF(OR((NHL2025_26Results[[#This Row],[Winning Team]]="")),"-",IF(Table46[[#This Row],[Prob Winner]]=NHL2025_26Results[[#This Row],[Winning Team]],"YES","NO"))</f>
        <v>-</v>
      </c>
      <c r="P441" t="str">
        <f>IF(Table46[[#This Row],[Locked Prediction]]&lt;&gt;Table46[[#This Row],[Prob Winner]], "Changed", "Same")</f>
        <v>Changed</v>
      </c>
      <c r="Q44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42" spans="4:17" x14ac:dyDescent="0.2">
      <c r="D442" s="1">
        <v>45997</v>
      </c>
      <c r="E442" s="2">
        <v>0.79166666666666663</v>
      </c>
      <c r="F442" t="s">
        <v>21</v>
      </c>
      <c r="G442">
        <f>VLOOKUP(Table46[[#This Row],[Home]],'NHL Model'!$A$6:$B$38,2,FALSE)</f>
        <v>4.029141914856392E-2</v>
      </c>
      <c r="H442" t="s">
        <v>24</v>
      </c>
      <c r="I442">
        <f>VLOOKUP(Table46[[#This Row],[Visitor]],'NHL Model'!$A$6:$B$38,2,FALSE)</f>
        <v>0.559441163373953</v>
      </c>
      <c r="J442">
        <f>($B$1+Table46[[#This Row],[Home Differential]])-Table46[[#This Row],[Away Differential]]</f>
        <v>-0.35657743456307067</v>
      </c>
      <c r="K442" t="str">
        <f>IF(Table46[[#This Row],[HomeIce Differential]]&gt;0,Table46[[#This Row],[Home]],Table46[[#This Row],[Visitor]])</f>
        <v>New Jersey Devils</v>
      </c>
      <c r="L44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0.49945071277581515</v>
      </c>
      <c r="M442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442" t="str">
        <f>IF(OR((NHL2025_26Results[[#This Row],[Winning Team]]="")),"-",IF(Table46[[#This Row],[Predicted Winner]]=NHL2025_26Results[[#This Row],[Winning Team]],"YES","NO"))</f>
        <v>-</v>
      </c>
      <c r="O442" t="str">
        <f>IF(OR((NHL2025_26Results[[#This Row],[Winning Team]]="")),"-",IF(Table46[[#This Row],[Prob Winner]]=NHL2025_26Results[[#This Row],[Winning Team]],"YES","NO"))</f>
        <v>-</v>
      </c>
      <c r="P442" t="str">
        <f>IF(Table46[[#This Row],[Locked Prediction]]&lt;&gt;Table46[[#This Row],[Prob Winner]], "Changed", "Same")</f>
        <v>Changed</v>
      </c>
      <c r="Q44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43" spans="4:17" x14ac:dyDescent="0.2">
      <c r="D443" s="1">
        <v>45997</v>
      </c>
      <c r="E443" s="2">
        <v>0.79166666666666663</v>
      </c>
      <c r="F443" t="s">
        <v>25</v>
      </c>
      <c r="G443">
        <f>VLOOKUP(Table46[[#This Row],[Home]],'NHL Model'!$A$6:$B$38,2,FALSE)</f>
        <v>0.67193921242367816</v>
      </c>
      <c r="H443" t="s">
        <v>29</v>
      </c>
      <c r="I443">
        <f>VLOOKUP(Table46[[#This Row],[Visitor]],'NHL Model'!$A$6:$B$38,2,FALSE)</f>
        <v>-1.3516250707060606</v>
      </c>
      <c r="J443">
        <f>($B$1+Table46[[#This Row],[Home Differential]])-Table46[[#This Row],[Away Differential]]</f>
        <v>2.1861365927920571</v>
      </c>
      <c r="K443" t="str">
        <f>IF(Table46[[#This Row],[HomeIce Differential]]&gt;0,Table46[[#This Row],[Home]],Table46[[#This Row],[Visitor]])</f>
        <v>Carolina Hurricanes</v>
      </c>
      <c r="L44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0.88229507978411637</v>
      </c>
      <c r="M443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443" t="str">
        <f>IF(OR((NHL2025_26Results[[#This Row],[Winning Team]]="")),"-",IF(Table46[[#This Row],[Predicted Winner]]=NHL2025_26Results[[#This Row],[Winning Team]],"YES","NO"))</f>
        <v>-</v>
      </c>
      <c r="O443" t="str">
        <f>IF(OR((NHL2025_26Results[[#This Row],[Winning Team]]="")),"-",IF(Table46[[#This Row],[Prob Winner]]=NHL2025_26Results[[#This Row],[Winning Team]],"YES","NO"))</f>
        <v>-</v>
      </c>
      <c r="P443" t="str">
        <f>IF(Table46[[#This Row],[Locked Prediction]]&lt;&gt;Table46[[#This Row],[Prob Winner]], "Changed", "Same")</f>
        <v>Changed</v>
      </c>
      <c r="Q44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44" spans="4:17" x14ac:dyDescent="0.2">
      <c r="D444" s="1">
        <v>45997</v>
      </c>
      <c r="E444" s="2">
        <v>0.79166666666666663</v>
      </c>
      <c r="F444" t="s">
        <v>16</v>
      </c>
      <c r="G444">
        <f>VLOOKUP(Table46[[#This Row],[Home]],'NHL Model'!$A$6:$B$38,2,FALSE)</f>
        <v>-1.3903684122795328</v>
      </c>
      <c r="H444" t="s">
        <v>55</v>
      </c>
      <c r="I444">
        <f>VLOOKUP(Table46[[#This Row],[Visitor]],'NHL Model'!$A$6:$B$38,2,FALSE)</f>
        <v>-0.12212311954851815</v>
      </c>
      <c r="J444">
        <f>($B$1+Table46[[#This Row],[Home Differential]])-Table46[[#This Row],[Away Differential]]</f>
        <v>-1.1056729830686962</v>
      </c>
      <c r="K444" t="str">
        <f>IF(Table46[[#This Row],[HomeIce Differential]]&gt;0,Table46[[#This Row],[Home]],Table46[[#This Row],[Visitor]])</f>
        <v>Utah Mammoth</v>
      </c>
      <c r="L44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0.60696495415307106</v>
      </c>
      <c r="M444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444" t="str">
        <f>IF(OR((NHL2025_26Results[[#This Row],[Winning Team]]="")),"-",IF(Table46[[#This Row],[Predicted Winner]]=NHL2025_26Results[[#This Row],[Winning Team]],"YES","NO"))</f>
        <v>-</v>
      </c>
      <c r="O444" t="str">
        <f>IF(OR((NHL2025_26Results[[#This Row],[Winning Team]]="")),"-",IF(Table46[[#This Row],[Prob Winner]]=NHL2025_26Results[[#This Row],[Winning Team]],"YES","NO"))</f>
        <v>-</v>
      </c>
      <c r="P444" t="str">
        <f>IF(Table46[[#This Row],[Locked Prediction]]&lt;&gt;Table46[[#This Row],[Prob Winner]], "Changed", "Same")</f>
        <v>Changed</v>
      </c>
      <c r="Q44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45" spans="4:17" x14ac:dyDescent="0.2">
      <c r="D445" s="1">
        <v>45997</v>
      </c>
      <c r="E445" s="2">
        <v>0.91666666666666663</v>
      </c>
      <c r="F445" t="s">
        <v>17</v>
      </c>
      <c r="G445">
        <f>VLOOKUP(Table46[[#This Row],[Home]],'NHL Model'!$A$6:$B$38,2,FALSE)</f>
        <v>-0.61980804137564283</v>
      </c>
      <c r="H445" t="s">
        <v>40</v>
      </c>
      <c r="I445">
        <f>VLOOKUP(Table46[[#This Row],[Visitor]],'NHL Model'!$A$6:$B$38,2,FALSE)</f>
        <v>0.105105258369765</v>
      </c>
      <c r="J445">
        <f>($B$1+Table46[[#This Row],[Home Differential]])-Table46[[#This Row],[Away Differential]]</f>
        <v>-0.56234099008308946</v>
      </c>
      <c r="K445" t="str">
        <f>IF(Table46[[#This Row],[HomeIce Differential]]&gt;0,Table46[[#This Row],[Home]],Table46[[#This Row],[Visitor]])</f>
        <v>Winnipeg Jets</v>
      </c>
      <c r="L44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0.56454172394593816</v>
      </c>
      <c r="M445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445" t="str">
        <f>IF(OR((NHL2025_26Results[[#This Row],[Winning Team]]="")),"-",IF(Table46[[#This Row],[Predicted Winner]]=NHL2025_26Results[[#This Row],[Winning Team]],"YES","NO"))</f>
        <v>-</v>
      </c>
      <c r="O445" t="str">
        <f>IF(OR((NHL2025_26Results[[#This Row],[Winning Team]]="")),"-",IF(Table46[[#This Row],[Prob Winner]]=NHL2025_26Results[[#This Row],[Winning Team]],"YES","NO"))</f>
        <v>-</v>
      </c>
      <c r="P445" t="str">
        <f>IF(Table46[[#This Row],[Locked Prediction]]&lt;&gt;Table46[[#This Row],[Prob Winner]], "Changed", "Same")</f>
        <v>Changed</v>
      </c>
      <c r="Q44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46" spans="4:17" x14ac:dyDescent="0.2">
      <c r="D446" s="1">
        <v>45997</v>
      </c>
      <c r="E446" s="2">
        <v>0.64583333333333337</v>
      </c>
      <c r="F446" t="s">
        <v>11</v>
      </c>
      <c r="G446">
        <f>VLOOKUP(Table46[[#This Row],[Home]],'NHL Model'!$A$6:$B$38,2,FALSE)</f>
        <v>-0.28105923893144158</v>
      </c>
      <c r="H446" t="s">
        <v>28</v>
      </c>
      <c r="I446">
        <f>VLOOKUP(Table46[[#This Row],[Visitor]],'NHL Model'!$A$6:$B$38,2,FALSE)</f>
        <v>-0.40822279081308277</v>
      </c>
      <c r="J446">
        <f>($B$1+Table46[[#This Row],[Home Differential]])-Table46[[#This Row],[Away Differential]]</f>
        <v>0.28973586154395958</v>
      </c>
      <c r="K446" t="str">
        <f>IF(Table46[[#This Row],[HomeIce Differential]]&gt;0,Table46[[#This Row],[Home]],Table46[[#This Row],[Visitor]])</f>
        <v>Florida Panthers</v>
      </c>
      <c r="L44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0.60993997422158241</v>
      </c>
      <c r="M446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446" t="str">
        <f>IF(OR((NHL2025_26Results[[#This Row],[Winning Team]]="")),"-",IF(Table46[[#This Row],[Predicted Winner]]=NHL2025_26Results[[#This Row],[Winning Team]],"YES","NO"))</f>
        <v>-</v>
      </c>
      <c r="O446" t="str">
        <f>IF(OR((NHL2025_26Results[[#This Row],[Winning Team]]="")),"-",IF(Table46[[#This Row],[Prob Winner]]=NHL2025_26Results[[#This Row],[Winning Team]],"YES","NO"))</f>
        <v>-</v>
      </c>
      <c r="P446" t="str">
        <f>IF(Table46[[#This Row],[Locked Prediction]]&lt;&gt;Table46[[#This Row],[Prob Winner]], "Changed", "Same")</f>
        <v>Changed</v>
      </c>
      <c r="Q44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47" spans="4:17" x14ac:dyDescent="0.2">
      <c r="D447" s="1">
        <v>45997</v>
      </c>
      <c r="E447" s="2">
        <v>0.875</v>
      </c>
      <c r="F447" t="s">
        <v>13</v>
      </c>
      <c r="G447">
        <f>VLOOKUP(Table46[[#This Row],[Home]],'NHL Model'!$A$6:$B$38,2,FALSE)</f>
        <v>-7.5459708298993802E-2</v>
      </c>
      <c r="H447" t="s">
        <v>10</v>
      </c>
      <c r="I447">
        <f>VLOOKUP(Table46[[#This Row],[Visitor]],'NHL Model'!$A$6:$B$38,2,FALSE)</f>
        <v>0.30570968833820172</v>
      </c>
      <c r="J447">
        <f>($B$1+Table46[[#This Row],[Home Differential]])-Table46[[#This Row],[Away Differential]]</f>
        <v>-0.21859708697487712</v>
      </c>
      <c r="K447" t="str">
        <f>IF(Table46[[#This Row],[HomeIce Differential]]&gt;0,Table46[[#This Row],[Home]],Table46[[#This Row],[Visitor]])</f>
        <v>Chicago Blackhawks</v>
      </c>
      <c r="L44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0.50982493834028353</v>
      </c>
      <c r="M447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447" t="str">
        <f>IF(OR((NHL2025_26Results[[#This Row],[Winning Team]]="")),"-",IF(Table46[[#This Row],[Predicted Winner]]=NHL2025_26Results[[#This Row],[Winning Team]],"YES","NO"))</f>
        <v>-</v>
      </c>
      <c r="O447" t="str">
        <f>IF(OR((NHL2025_26Results[[#This Row],[Winning Team]]="")),"-",IF(Table46[[#This Row],[Prob Winner]]=NHL2025_26Results[[#This Row],[Winning Team]],"YES","NO"))</f>
        <v>-</v>
      </c>
      <c r="P447" t="str">
        <f>IF(Table46[[#This Row],[Locked Prediction]]&lt;&gt;Table46[[#This Row],[Prob Winner]], "Changed", "Same")</f>
        <v>Changed</v>
      </c>
      <c r="Q44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48" spans="4:17" x14ac:dyDescent="0.2">
      <c r="D448" s="1">
        <v>45997</v>
      </c>
      <c r="E448" s="2">
        <v>0.52083333333333337</v>
      </c>
      <c r="F448" t="s">
        <v>15</v>
      </c>
      <c r="G448">
        <f>VLOOKUP(Table46[[#This Row],[Home]],'NHL Model'!$A$6:$B$38,2,FALSE)</f>
        <v>-0.30719665303039001</v>
      </c>
      <c r="H448" t="s">
        <v>12</v>
      </c>
      <c r="I448">
        <f>VLOOKUP(Table46[[#This Row],[Visitor]],'NHL Model'!$A$6:$B$38,2,FALSE)</f>
        <v>1.5475013591489768</v>
      </c>
      <c r="J448">
        <f>($B$1+Table46[[#This Row],[Home Differential]])-Table46[[#This Row],[Away Differential]]</f>
        <v>-1.6921257025170484</v>
      </c>
      <c r="K448" t="str">
        <f>IF(Table46[[#This Row],[HomeIce Differential]]&gt;0,Table46[[#This Row],[Home]],Table46[[#This Row],[Visitor]])</f>
        <v>Colorado Avalanche</v>
      </c>
      <c r="L44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0.75123145631167931</v>
      </c>
      <c r="M448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448" t="str">
        <f>IF(OR((NHL2025_26Results[[#This Row],[Winning Team]]="")),"-",IF(Table46[[#This Row],[Predicted Winner]]=NHL2025_26Results[[#This Row],[Winning Team]],"YES","NO"))</f>
        <v>-</v>
      </c>
      <c r="O448" t="str">
        <f>IF(OR((NHL2025_26Results[[#This Row],[Winning Team]]="")),"-",IF(Table46[[#This Row],[Prob Winner]]=NHL2025_26Results[[#This Row],[Winning Team]],"YES","NO"))</f>
        <v>-</v>
      </c>
      <c r="P448" t="str">
        <f>IF(Table46[[#This Row],[Locked Prediction]]&lt;&gt;Table46[[#This Row],[Prob Winner]], "Changed", "Same")</f>
        <v>Changed</v>
      </c>
      <c r="Q44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49" spans="4:17" x14ac:dyDescent="0.2">
      <c r="D449" s="1">
        <v>45997</v>
      </c>
      <c r="E449" s="2">
        <v>0.79166666666666663</v>
      </c>
      <c r="F449" t="s">
        <v>36</v>
      </c>
      <c r="G449">
        <f>VLOOKUP(Table46[[#This Row],[Home]],'NHL Model'!$A$6:$B$38,2,FALSE)</f>
        <v>-0.40651947573390851</v>
      </c>
      <c r="H449" t="s">
        <v>35</v>
      </c>
      <c r="I449">
        <f>VLOOKUP(Table46[[#This Row],[Visitor]],'NHL Model'!$A$6:$B$38,2,FALSE)</f>
        <v>-1.6211574240381006</v>
      </c>
      <c r="J449">
        <f>($B$1+Table46[[#This Row],[Home Differential]])-Table46[[#This Row],[Away Differential]]</f>
        <v>1.3772102579665104</v>
      </c>
      <c r="K449" t="str">
        <f>IF(Table46[[#This Row],[HomeIce Differential]]&gt;0,Table46[[#This Row],[Home]],Table46[[#This Row],[Visitor]])</f>
        <v>Ottawa Senators</v>
      </c>
      <c r="L44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0.72555289809816115</v>
      </c>
      <c r="M449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449" t="str">
        <f>IF(OR((NHL2025_26Results[[#This Row],[Winning Team]]="")),"-",IF(Table46[[#This Row],[Predicted Winner]]=NHL2025_26Results[[#This Row],[Winning Team]],"YES","NO"))</f>
        <v>-</v>
      </c>
      <c r="O449" t="str">
        <f>IF(OR((NHL2025_26Results[[#This Row],[Winning Team]]="")),"-",IF(Table46[[#This Row],[Prob Winner]]=NHL2025_26Results[[#This Row],[Winning Team]],"YES","NO"))</f>
        <v>-</v>
      </c>
      <c r="P449" t="str">
        <f>IF(Table46[[#This Row],[Locked Prediction]]&lt;&gt;Table46[[#This Row],[Prob Winner]], "Changed", "Same")</f>
        <v>Changed</v>
      </c>
      <c r="Q44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50" spans="4:17" x14ac:dyDescent="0.2">
      <c r="D450" s="1">
        <v>45997</v>
      </c>
      <c r="E450" s="2">
        <v>0.91666666666666663</v>
      </c>
      <c r="F450" t="s">
        <v>32</v>
      </c>
      <c r="G450">
        <f>VLOOKUP(Table46[[#This Row],[Home]],'NHL Model'!$A$6:$B$38,2,FALSE)</f>
        <v>-0.361361309178443</v>
      </c>
      <c r="H450" t="s">
        <v>26</v>
      </c>
      <c r="I450">
        <f>VLOOKUP(Table46[[#This Row],[Visitor]],'NHL Model'!$A$6:$B$38,2,FALSE)</f>
        <v>-0.513643833119658</v>
      </c>
      <c r="J450">
        <f>($B$1+Table46[[#This Row],[Home Differential]])-Table46[[#This Row],[Away Differential]]</f>
        <v>0.31485483360353339</v>
      </c>
      <c r="K450" t="str">
        <f>IF(Table46[[#This Row],[HomeIce Differential]]&gt;0,Table46[[#This Row],[Home]],Table46[[#This Row],[Visitor]])</f>
        <v>Seattle Kraken</v>
      </c>
      <c r="L45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0.561080960828099</v>
      </c>
      <c r="M450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450" t="str">
        <f>IF(OR((NHL2025_26Results[[#This Row],[Winning Team]]="")),"-",IF(Table46[[#This Row],[Predicted Winner]]=NHL2025_26Results[[#This Row],[Winning Team]],"YES","NO"))</f>
        <v>-</v>
      </c>
      <c r="O450" t="str">
        <f>IF(OR((NHL2025_26Results[[#This Row],[Winning Team]]="")),"-",IF(Table46[[#This Row],[Prob Winner]]=NHL2025_26Results[[#This Row],[Winning Team]],"YES","NO"))</f>
        <v>-</v>
      </c>
      <c r="P450" t="str">
        <f>IF(Table46[[#This Row],[Locked Prediction]]&lt;&gt;Table46[[#This Row],[Prob Winner]], "Changed", "Same")</f>
        <v>Changed</v>
      </c>
      <c r="Q45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51" spans="4:17" x14ac:dyDescent="0.2">
      <c r="D451" s="1">
        <v>45997</v>
      </c>
      <c r="E451" s="2">
        <v>0.79166666666666663</v>
      </c>
      <c r="F451" t="s">
        <v>37</v>
      </c>
      <c r="G451">
        <f>VLOOKUP(Table46[[#This Row],[Home]],'NHL Model'!$A$6:$B$38,2,FALSE)</f>
        <v>-0.11309445867623392</v>
      </c>
      <c r="H451" t="s">
        <v>30</v>
      </c>
      <c r="I451">
        <f>VLOOKUP(Table46[[#This Row],[Visitor]],'NHL Model'!$A$6:$B$38,2,FALSE)</f>
        <v>-6.4729560818359025E-2</v>
      </c>
      <c r="J451">
        <f>($B$1+Table46[[#This Row],[Home Differential]])-Table46[[#This Row],[Away Differential]]</f>
        <v>0.11420741180444349</v>
      </c>
      <c r="K451" t="str">
        <f>IF(Table46[[#This Row],[HomeIce Differential]]&gt;0,Table46[[#This Row],[Home]],Table46[[#This Row],[Visitor]])</f>
        <v>Tampa Bay Lightning</v>
      </c>
      <c r="L45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0.51266777286999166</v>
      </c>
      <c r="M451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451" t="str">
        <f>IF(OR((NHL2025_26Results[[#This Row],[Winning Team]]="")),"-",IF(Table46[[#This Row],[Predicted Winner]]=NHL2025_26Results[[#This Row],[Winning Team]],"YES","NO"))</f>
        <v>-</v>
      </c>
      <c r="O451" t="str">
        <f>IF(OR((NHL2025_26Results[[#This Row],[Winning Team]]="")),"-",IF(Table46[[#This Row],[Prob Winner]]=NHL2025_26Results[[#This Row],[Winning Team]],"YES","NO"))</f>
        <v>-</v>
      </c>
      <c r="P451" t="str">
        <f>IF(Table46[[#This Row],[Locked Prediction]]&lt;&gt;Table46[[#This Row],[Prob Winner]], "Changed", "Same")</f>
        <v>Changed</v>
      </c>
      <c r="Q45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52" spans="4:17" x14ac:dyDescent="0.2">
      <c r="D452" s="1">
        <v>45997</v>
      </c>
      <c r="E452" s="2">
        <v>0.79166666666666663</v>
      </c>
      <c r="F452" t="s">
        <v>19</v>
      </c>
      <c r="G452">
        <f>VLOOKUP(Table46[[#This Row],[Home]],'NHL Model'!$A$6:$B$38,2,FALSE)</f>
        <v>-0.635565543477981</v>
      </c>
      <c r="H452" t="s">
        <v>18</v>
      </c>
      <c r="I452">
        <f>VLOOKUP(Table46[[#This Row],[Visitor]],'NHL Model'!$A$6:$B$38,2,FALSE)</f>
        <v>-0.52437726201848234</v>
      </c>
      <c r="J452">
        <f>($B$1+Table46[[#This Row],[Home Differential]])-Table46[[#This Row],[Away Differential]]</f>
        <v>5.1384028202819731E-2</v>
      </c>
      <c r="K452" t="str">
        <f>IF(Table46[[#This Row],[HomeIce Differential]]&gt;0,Table46[[#This Row],[Home]],Table46[[#This Row],[Visitor]])</f>
        <v>Toronto Maple Leafs</v>
      </c>
      <c r="L45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0.47034922727084566</v>
      </c>
      <c r="M452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452" t="str">
        <f>IF(OR((NHL2025_26Results[[#This Row],[Winning Team]]="")),"-",IF(Table46[[#This Row],[Predicted Winner]]=NHL2025_26Results[[#This Row],[Winning Team]],"YES","NO"))</f>
        <v>-</v>
      </c>
      <c r="O452" t="str">
        <f>IF(OR((NHL2025_26Results[[#This Row],[Winning Team]]="")),"-",IF(Table46[[#This Row],[Prob Winner]]=NHL2025_26Results[[#This Row],[Winning Team]],"YES","NO"))</f>
        <v>-</v>
      </c>
      <c r="P452" t="str">
        <f>IF(Table46[[#This Row],[Locked Prediction]]&lt;&gt;Table46[[#This Row],[Prob Winner]], "Changed", "Same")</f>
        <v>Changed</v>
      </c>
      <c r="Q45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53" spans="4:17" x14ac:dyDescent="0.2">
      <c r="D453" s="1">
        <v>45997</v>
      </c>
      <c r="E453" s="2">
        <v>0.91666666666666663</v>
      </c>
      <c r="F453" t="s">
        <v>38</v>
      </c>
      <c r="G453">
        <f>VLOOKUP(Table46[[#This Row],[Home]],'NHL Model'!$A$6:$B$38,2,FALSE)</f>
        <v>-0.6902088310934803</v>
      </c>
      <c r="H453" t="s">
        <v>34</v>
      </c>
      <c r="I453">
        <f>VLOOKUP(Table46[[#This Row],[Visitor]],'NHL Model'!$A$6:$B$38,2,FALSE)</f>
        <v>-0.53650300840565446</v>
      </c>
      <c r="J453">
        <f>($B$1+Table46[[#This Row],[Home Differential]])-Table46[[#This Row],[Away Differential]]</f>
        <v>8.866486974492549E-3</v>
      </c>
      <c r="K453" t="str">
        <f>IF(Table46[[#This Row],[HomeIce Differential]]&gt;0,Table46[[#This Row],[Home]],Table46[[#This Row],[Visitor]])</f>
        <v>Vancouver Canucks</v>
      </c>
      <c r="L45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0.54117852463762717</v>
      </c>
      <c r="M453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453" t="str">
        <f>IF(OR((NHL2025_26Results[[#This Row],[Winning Team]]="")),"-",IF(Table46[[#This Row],[Predicted Winner]]=NHL2025_26Results[[#This Row],[Winning Team]],"YES","NO"))</f>
        <v>-</v>
      </c>
      <c r="O453" t="str">
        <f>IF(OR((NHL2025_26Results[[#This Row],[Winning Team]]="")),"-",IF(Table46[[#This Row],[Prob Winner]]=NHL2025_26Results[[#This Row],[Winning Team]],"YES","NO"))</f>
        <v>-</v>
      </c>
      <c r="P453" t="str">
        <f>IF(Table46[[#This Row],[Locked Prediction]]&lt;&gt;Table46[[#This Row],[Prob Winner]], "Changed", "Same")</f>
        <v>Changed</v>
      </c>
      <c r="Q45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54" spans="4:17" x14ac:dyDescent="0.2">
      <c r="D454" s="1">
        <v>45998</v>
      </c>
      <c r="E454" s="2">
        <v>0.83333333333333337</v>
      </c>
      <c r="F454" t="s">
        <v>31</v>
      </c>
      <c r="G454">
        <f>VLOOKUP(Table46[[#This Row],[Home]],'NHL Model'!$A$6:$B$38,2,FALSE)</f>
        <v>0.51775546328552802</v>
      </c>
      <c r="H454" t="s">
        <v>10</v>
      </c>
      <c r="I454">
        <f>VLOOKUP(Table46[[#This Row],[Visitor]],'NHL Model'!$A$6:$B$38,2,FALSE)</f>
        <v>0.30570968833820172</v>
      </c>
      <c r="J454">
        <f>($B$1+Table46[[#This Row],[Home Differential]])-Table46[[#This Row],[Away Differential]]</f>
        <v>0.37461808460964469</v>
      </c>
      <c r="K454" t="str">
        <f>IF(Table46[[#This Row],[HomeIce Differential]]&gt;0,Table46[[#This Row],[Home]],Table46[[#This Row],[Visitor]])</f>
        <v>Anaheim Ducks</v>
      </c>
      <c r="L45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0.67479386353166149</v>
      </c>
      <c r="M454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454" t="str">
        <f>IF(OR((NHL2025_26Results[[#This Row],[Winning Team]]="")),"-",IF(Table46[[#This Row],[Predicted Winner]]=NHL2025_26Results[[#This Row],[Winning Team]],"YES","NO"))</f>
        <v>-</v>
      </c>
      <c r="O454" t="str">
        <f>IF(OR((NHL2025_26Results[[#This Row],[Winning Team]]="")),"-",IF(Table46[[#This Row],[Prob Winner]]=NHL2025_26Results[[#This Row],[Winning Team]],"YES","NO"))</f>
        <v>-</v>
      </c>
      <c r="P454" t="str">
        <f>IF(Table46[[#This Row],[Locked Prediction]]&lt;&gt;Table46[[#This Row],[Prob Winner]], "Changed", "Same")</f>
        <v>Changed</v>
      </c>
      <c r="Q45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55" spans="4:17" x14ac:dyDescent="0.2">
      <c r="D455" s="1">
        <v>45998</v>
      </c>
      <c r="E455" s="2">
        <v>0.70833333333333337</v>
      </c>
      <c r="F455" t="s">
        <v>25</v>
      </c>
      <c r="G455">
        <f>VLOOKUP(Table46[[#This Row],[Home]],'NHL Model'!$A$6:$B$38,2,FALSE)</f>
        <v>0.67193921242367816</v>
      </c>
      <c r="H455" t="s">
        <v>33</v>
      </c>
      <c r="I455">
        <f>VLOOKUP(Table46[[#This Row],[Visitor]],'NHL Model'!$A$6:$B$38,2,FALSE)</f>
        <v>-0.39418177254008485</v>
      </c>
      <c r="J455">
        <f>($B$1+Table46[[#This Row],[Home Differential]])-Table46[[#This Row],[Away Differential]]</f>
        <v>1.2286932946260813</v>
      </c>
      <c r="K455" t="str">
        <f>IF(Table46[[#This Row],[HomeIce Differential]]&gt;0,Table46[[#This Row],[Home]],Table46[[#This Row],[Visitor]])</f>
        <v>Carolina Hurricanes</v>
      </c>
      <c r="L45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0.75503266804588431</v>
      </c>
      <c r="M455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455" t="str">
        <f>IF(OR((NHL2025_26Results[[#This Row],[Winning Team]]="")),"-",IF(Table46[[#This Row],[Predicted Winner]]=NHL2025_26Results[[#This Row],[Winning Team]],"YES","NO"))</f>
        <v>-</v>
      </c>
      <c r="O455" t="str">
        <f>IF(OR((NHL2025_26Results[[#This Row],[Winning Team]]="")),"-",IF(Table46[[#This Row],[Prob Winner]]=NHL2025_26Results[[#This Row],[Winning Team]],"YES","NO"))</f>
        <v>-</v>
      </c>
      <c r="P455" t="str">
        <f>IF(Table46[[#This Row],[Locked Prediction]]&lt;&gt;Table46[[#This Row],[Prob Winner]], "Changed", "Same")</f>
        <v>Changed</v>
      </c>
      <c r="Q45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56" spans="4:17" x14ac:dyDescent="0.2">
      <c r="D456" s="1">
        <v>45998</v>
      </c>
      <c r="E456" s="2">
        <v>0.75</v>
      </c>
      <c r="F456" t="s">
        <v>39</v>
      </c>
      <c r="G456">
        <f>VLOOKUP(Table46[[#This Row],[Home]],'NHL Model'!$A$6:$B$38,2,FALSE)</f>
        <v>0.19809534061227302</v>
      </c>
      <c r="H456" t="s">
        <v>14</v>
      </c>
      <c r="I456">
        <f>VLOOKUP(Table46[[#This Row],[Visitor]],'NHL Model'!$A$6:$B$38,2,FALSE)</f>
        <v>0.26289091192875702</v>
      </c>
      <c r="J456">
        <f>($B$1+Table46[[#This Row],[Home Differential]])-Table46[[#This Row],[Away Differential]]</f>
        <v>9.7776738345834391E-2</v>
      </c>
      <c r="K456" t="str">
        <f>IF(Table46[[#This Row],[HomeIce Differential]]&gt;0,Table46[[#This Row],[Home]],Table46[[#This Row],[Visitor]])</f>
        <v>Dallas Stars</v>
      </c>
      <c r="L45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0.57903412274489119</v>
      </c>
      <c r="M456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456" t="str">
        <f>IF(OR((NHL2025_26Results[[#This Row],[Winning Team]]="")),"-",IF(Table46[[#This Row],[Predicted Winner]]=NHL2025_26Results[[#This Row],[Winning Team]],"YES","NO"))</f>
        <v>-</v>
      </c>
      <c r="O456" t="str">
        <f>IF(OR((NHL2025_26Results[[#This Row],[Winning Team]]="")),"-",IF(Table46[[#This Row],[Prob Winner]]=NHL2025_26Results[[#This Row],[Winning Team]],"YES","NO"))</f>
        <v>-</v>
      </c>
      <c r="P456" t="str">
        <f>IF(Table46[[#This Row],[Locked Prediction]]&lt;&gt;Table46[[#This Row],[Prob Winner]], "Changed", "Same")</f>
        <v>Changed</v>
      </c>
      <c r="Q45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57" spans="4:17" x14ac:dyDescent="0.2">
      <c r="D457" s="1">
        <v>45998</v>
      </c>
      <c r="E457" s="2">
        <v>0.70833333333333337</v>
      </c>
      <c r="F457" t="s">
        <v>11</v>
      </c>
      <c r="G457">
        <f>VLOOKUP(Table46[[#This Row],[Home]],'NHL Model'!$A$6:$B$38,2,FALSE)</f>
        <v>-0.28105923893144158</v>
      </c>
      <c r="H457" t="s">
        <v>30</v>
      </c>
      <c r="I457">
        <f>VLOOKUP(Table46[[#This Row],[Visitor]],'NHL Model'!$A$6:$B$38,2,FALSE)</f>
        <v>-6.4729560818359025E-2</v>
      </c>
      <c r="J457">
        <f>($B$1+Table46[[#This Row],[Home Differential]])-Table46[[#This Row],[Away Differential]]</f>
        <v>-5.3757368450764162E-2</v>
      </c>
      <c r="K457" t="str">
        <f>IF(Table46[[#This Row],[HomeIce Differential]]&gt;0,Table46[[#This Row],[Home]],Table46[[#This Row],[Visitor]])</f>
        <v>New York Islanders</v>
      </c>
      <c r="L45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0.45714537599338761</v>
      </c>
      <c r="M457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457" t="str">
        <f>IF(OR((NHL2025_26Results[[#This Row],[Winning Team]]="")),"-",IF(Table46[[#This Row],[Predicted Winner]]=NHL2025_26Results[[#This Row],[Winning Team]],"YES","NO"))</f>
        <v>-</v>
      </c>
      <c r="O457" t="str">
        <f>IF(OR((NHL2025_26Results[[#This Row],[Winning Team]]="")),"-",IF(Table46[[#This Row],[Prob Winner]]=NHL2025_26Results[[#This Row],[Winning Team]],"YES","NO"))</f>
        <v>-</v>
      </c>
      <c r="P457" t="str">
        <f>IF(Table46[[#This Row],[Locked Prediction]]&lt;&gt;Table46[[#This Row],[Prob Winner]], "Changed", "Same")</f>
        <v>Changed</v>
      </c>
      <c r="Q45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58" spans="4:17" x14ac:dyDescent="0.2">
      <c r="D458" s="1">
        <v>45998</v>
      </c>
      <c r="E458" s="2">
        <v>0.79166666666666663</v>
      </c>
      <c r="F458" t="s">
        <v>18</v>
      </c>
      <c r="G458">
        <f>VLOOKUP(Table46[[#This Row],[Home]],'NHL Model'!$A$6:$B$38,2,FALSE)</f>
        <v>-0.52437726201848234</v>
      </c>
      <c r="H458" t="s">
        <v>35</v>
      </c>
      <c r="I458">
        <f>VLOOKUP(Table46[[#This Row],[Visitor]],'NHL Model'!$A$6:$B$38,2,FALSE)</f>
        <v>-1.6211574240381006</v>
      </c>
      <c r="J458">
        <f>($B$1+Table46[[#This Row],[Home Differential]])-Table46[[#This Row],[Away Differential]]</f>
        <v>1.2593524716819366</v>
      </c>
      <c r="K458" t="str">
        <f>IF(Table46[[#This Row],[HomeIce Differential]]&gt;0,Table46[[#This Row],[Home]],Table46[[#This Row],[Visitor]])</f>
        <v>Montreal Canadiens</v>
      </c>
      <c r="L45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0.7073918790614</v>
      </c>
      <c r="M458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458" t="str">
        <f>IF(OR((NHL2025_26Results[[#This Row],[Winning Team]]="")),"-",IF(Table46[[#This Row],[Predicted Winner]]=NHL2025_26Results[[#This Row],[Winning Team]],"YES","NO"))</f>
        <v>-</v>
      </c>
      <c r="O458" t="str">
        <f>IF(OR((NHL2025_26Results[[#This Row],[Winning Team]]="")),"-",IF(Table46[[#This Row],[Prob Winner]]=NHL2025_26Results[[#This Row],[Winning Team]],"YES","NO"))</f>
        <v>-</v>
      </c>
      <c r="P458" t="str">
        <f>IF(Table46[[#This Row],[Locked Prediction]]&lt;&gt;Table46[[#This Row],[Prob Winner]], "Changed", "Same")</f>
        <v>Changed</v>
      </c>
      <c r="Q45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59" spans="4:17" x14ac:dyDescent="0.2">
      <c r="D459" s="1">
        <v>45998</v>
      </c>
      <c r="E459" s="2">
        <v>0.79166666666666663</v>
      </c>
      <c r="F459" t="s">
        <v>15</v>
      </c>
      <c r="G459">
        <f>VLOOKUP(Table46[[#This Row],[Home]],'NHL Model'!$A$6:$B$38,2,FALSE)</f>
        <v>-0.30719665303039001</v>
      </c>
      <c r="H459" t="s">
        <v>20</v>
      </c>
      <c r="I459">
        <f>VLOOKUP(Table46[[#This Row],[Visitor]],'NHL Model'!$A$6:$B$38,2,FALSE)</f>
        <v>-6.3745791019188943E-4</v>
      </c>
      <c r="J459">
        <f>($B$1+Table46[[#This Row],[Home Differential]])-Table46[[#This Row],[Away Differential]]</f>
        <v>-0.14398688545787972</v>
      </c>
      <c r="K459" t="str">
        <f>IF(Table46[[#This Row],[HomeIce Differential]]&gt;0,Table46[[#This Row],[Home]],Table46[[#This Row],[Visitor]])</f>
        <v>Vegas Golden Knights</v>
      </c>
      <c r="L45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0.49990782449811993</v>
      </c>
      <c r="M459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459" t="str">
        <f>IF(OR((NHL2025_26Results[[#This Row],[Winning Team]]="")),"-",IF(Table46[[#This Row],[Predicted Winner]]=NHL2025_26Results[[#This Row],[Winning Team]],"YES","NO"))</f>
        <v>-</v>
      </c>
      <c r="O459" t="str">
        <f>IF(OR((NHL2025_26Results[[#This Row],[Winning Team]]="")),"-",IF(Table46[[#This Row],[Prob Winner]]=NHL2025_26Results[[#This Row],[Winning Team]],"YES","NO"))</f>
        <v>-</v>
      </c>
      <c r="P459" t="str">
        <f>IF(Table46[[#This Row],[Locked Prediction]]&lt;&gt;Table46[[#This Row],[Prob Winner]], "Changed", "Same")</f>
        <v>Changed</v>
      </c>
      <c r="Q45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60" spans="4:17" x14ac:dyDescent="0.2">
      <c r="D460" s="1">
        <v>45998</v>
      </c>
      <c r="E460" s="2">
        <v>0.54166666666666663</v>
      </c>
      <c r="F460" t="s">
        <v>27</v>
      </c>
      <c r="G460">
        <f>VLOOKUP(Table46[[#This Row],[Home]],'NHL Model'!$A$6:$B$38,2,FALSE)</f>
        <v>-0.51358590497437617</v>
      </c>
      <c r="H460" t="s">
        <v>12</v>
      </c>
      <c r="I460">
        <f>VLOOKUP(Table46[[#This Row],[Visitor]],'NHL Model'!$A$6:$B$38,2,FALSE)</f>
        <v>1.5475013591489768</v>
      </c>
      <c r="J460">
        <f>($B$1+Table46[[#This Row],[Home Differential]])-Table46[[#This Row],[Away Differential]]</f>
        <v>-1.8985149544610347</v>
      </c>
      <c r="K460" t="str">
        <f>IF(Table46[[#This Row],[HomeIce Differential]]&gt;0,Table46[[#This Row],[Home]],Table46[[#This Row],[Visitor]])</f>
        <v>Colorado Avalanche</v>
      </c>
      <c r="L46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0.77615824491773422</v>
      </c>
      <c r="M460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460" t="str">
        <f>IF(OR((NHL2025_26Results[[#This Row],[Winning Team]]="")),"-",IF(Table46[[#This Row],[Predicted Winner]]=NHL2025_26Results[[#This Row],[Winning Team]],"YES","NO"))</f>
        <v>-</v>
      </c>
      <c r="O460" t="str">
        <f>IF(OR((NHL2025_26Results[[#This Row],[Winning Team]]="")),"-",IF(Table46[[#This Row],[Prob Winner]]=NHL2025_26Results[[#This Row],[Winning Team]],"YES","NO"))</f>
        <v>-</v>
      </c>
      <c r="P460" t="str">
        <f>IF(Table46[[#This Row],[Locked Prediction]]&lt;&gt;Table46[[#This Row],[Prob Winner]], "Changed", "Same")</f>
        <v>Changed</v>
      </c>
      <c r="Q46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61" spans="4:17" x14ac:dyDescent="0.2">
      <c r="D461" s="1">
        <v>45998</v>
      </c>
      <c r="E461" s="2">
        <v>0.79166666666666663</v>
      </c>
      <c r="F461" t="s">
        <v>22</v>
      </c>
      <c r="G461">
        <f>VLOOKUP(Table46[[#This Row],[Home]],'NHL Model'!$A$6:$B$38,2,FALSE)</f>
        <v>-6.1308839486784707E-2</v>
      </c>
      <c r="H461" t="s">
        <v>28</v>
      </c>
      <c r="I461">
        <f>VLOOKUP(Table46[[#This Row],[Visitor]],'NHL Model'!$A$6:$B$38,2,FALSE)</f>
        <v>-0.40822279081308277</v>
      </c>
      <c r="J461">
        <f>($B$1+Table46[[#This Row],[Home Differential]])-Table46[[#This Row],[Away Differential]]</f>
        <v>0.50948626098861649</v>
      </c>
      <c r="K461" t="str">
        <f>IF(Table46[[#This Row],[HomeIce Differential]]&gt;0,Table46[[#This Row],[Home]],Table46[[#This Row],[Visitor]])</f>
        <v>Washington Capitals</v>
      </c>
      <c r="L46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0.58695117674221831</v>
      </c>
      <c r="M461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461" t="str">
        <f>IF(OR((NHL2025_26Results[[#This Row],[Winning Team]]="")),"-",IF(Table46[[#This Row],[Predicted Winner]]=NHL2025_26Results[[#This Row],[Winning Team]],"YES","NO"))</f>
        <v>-</v>
      </c>
      <c r="O461" t="str">
        <f>IF(OR((NHL2025_26Results[[#This Row],[Winning Team]]="")),"-",IF(Table46[[#This Row],[Prob Winner]]=NHL2025_26Results[[#This Row],[Winning Team]],"YES","NO"))</f>
        <v>-</v>
      </c>
      <c r="P461" t="str">
        <f>IF(Table46[[#This Row],[Locked Prediction]]&lt;&gt;Table46[[#This Row],[Prob Winner]], "Changed", "Same")</f>
        <v>Changed</v>
      </c>
      <c r="Q46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62" spans="4:17" x14ac:dyDescent="0.2">
      <c r="D462" s="1">
        <v>45999</v>
      </c>
      <c r="E462" s="2">
        <v>0.875</v>
      </c>
      <c r="F462" t="s">
        <v>16</v>
      </c>
      <c r="G462">
        <f>VLOOKUP(Table46[[#This Row],[Home]],'NHL Model'!$A$6:$B$38,2,FALSE)</f>
        <v>-1.3903684122795328</v>
      </c>
      <c r="H462" t="s">
        <v>23</v>
      </c>
      <c r="I462">
        <f>VLOOKUP(Table46[[#This Row],[Visitor]],'NHL Model'!$A$6:$B$38,2,FALSE)</f>
        <v>-0.8683412362501769</v>
      </c>
      <c r="J462">
        <f>($B$1+Table46[[#This Row],[Home Differential]])-Table46[[#This Row],[Away Differential]]</f>
        <v>-0.3594548663670375</v>
      </c>
      <c r="K462" t="str">
        <f>IF(Table46[[#This Row],[HomeIce Differential]]&gt;0,Table46[[#This Row],[Home]],Table46[[#This Row],[Visitor]])</f>
        <v>Buffalo Sabres</v>
      </c>
      <c r="L46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0.50777838363121852</v>
      </c>
      <c r="M462" s="11" t="str">
        <f>IF(Table46[[#This Row],[Strength of Win]]&gt; 0.5,Table46[[#This Row],[Predicted Winner]], IF(Table46[[#This Row],[Home]]=Table46[[#This Row],[Predicted Winner]],Table46[[#This Row],[Visitor]],Table46[[#This Row],[Home]]))</f>
        <v>Buffalo Sabres</v>
      </c>
      <c r="N462" t="str">
        <f>IF(OR((NHL2025_26Results[[#This Row],[Winning Team]]="")),"-",IF(Table46[[#This Row],[Predicted Winner]]=NHL2025_26Results[[#This Row],[Winning Team]],"YES","NO"))</f>
        <v>-</v>
      </c>
      <c r="O462" t="str">
        <f>IF(OR((NHL2025_26Results[[#This Row],[Winning Team]]="")),"-",IF(Table46[[#This Row],[Prob Winner]]=NHL2025_26Results[[#This Row],[Winning Team]],"YES","NO"))</f>
        <v>-</v>
      </c>
      <c r="P462" t="str">
        <f>IF(Table46[[#This Row],[Locked Prediction]]&lt;&gt;Table46[[#This Row],[Prob Winner]], "Changed", "Same")</f>
        <v>Changed</v>
      </c>
      <c r="Q46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63" spans="4:17" x14ac:dyDescent="0.2">
      <c r="D463" s="1">
        <v>45999</v>
      </c>
      <c r="E463" s="2">
        <v>0.91666666666666663</v>
      </c>
      <c r="F463" t="s">
        <v>32</v>
      </c>
      <c r="G463">
        <f>VLOOKUP(Table46[[#This Row],[Home]],'NHL Model'!$A$6:$B$38,2,FALSE)</f>
        <v>-0.361361309178443</v>
      </c>
      <c r="H463" t="s">
        <v>34</v>
      </c>
      <c r="I463">
        <f>VLOOKUP(Table46[[#This Row],[Visitor]],'NHL Model'!$A$6:$B$38,2,FALSE)</f>
        <v>-0.53650300840565446</v>
      </c>
      <c r="J463">
        <f>($B$1+Table46[[#This Row],[Home Differential]])-Table46[[#This Row],[Away Differential]]</f>
        <v>0.33771400888952985</v>
      </c>
      <c r="K463" t="str">
        <f>IF(Table46[[#This Row],[HomeIce Differential]]&gt;0,Table46[[#This Row],[Home]],Table46[[#This Row],[Visitor]])</f>
        <v>Seattle Kraken</v>
      </c>
      <c r="L46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0.61092634630922182</v>
      </c>
      <c r="M463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463" t="str">
        <f>IF(OR((NHL2025_26Results[[#This Row],[Winning Team]]="")),"-",IF(Table46[[#This Row],[Predicted Winner]]=NHL2025_26Results[[#This Row],[Winning Team]],"YES","NO"))</f>
        <v>-</v>
      </c>
      <c r="O463" t="str">
        <f>IF(OR((NHL2025_26Results[[#This Row],[Winning Team]]="")),"-",IF(Table46[[#This Row],[Prob Winner]]=NHL2025_26Results[[#This Row],[Winning Team]],"YES","NO"))</f>
        <v>-</v>
      </c>
      <c r="P463" t="str">
        <f>IF(Table46[[#This Row],[Locked Prediction]]&lt;&gt;Table46[[#This Row],[Prob Winner]], "Changed", "Same")</f>
        <v>Changed</v>
      </c>
      <c r="Q46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64" spans="4:17" x14ac:dyDescent="0.2">
      <c r="D464" s="1">
        <v>45999</v>
      </c>
      <c r="E464" s="2">
        <v>0.8125</v>
      </c>
      <c r="F464" t="s">
        <v>19</v>
      </c>
      <c r="G464">
        <f>VLOOKUP(Table46[[#This Row],[Home]],'NHL Model'!$A$6:$B$38,2,FALSE)</f>
        <v>-0.635565543477981</v>
      </c>
      <c r="H464" t="s">
        <v>37</v>
      </c>
      <c r="I464">
        <f>VLOOKUP(Table46[[#This Row],[Visitor]],'NHL Model'!$A$6:$B$38,2,FALSE)</f>
        <v>-0.11309445867623392</v>
      </c>
      <c r="J464">
        <f>($B$1+Table46[[#This Row],[Home Differential]])-Table46[[#This Row],[Away Differential]]</f>
        <v>-0.35989877513942869</v>
      </c>
      <c r="K464" t="str">
        <f>IF(Table46[[#This Row],[HomeIce Differential]]&gt;0,Table46[[#This Row],[Home]],Table46[[#This Row],[Visitor]])</f>
        <v>Tampa Bay Lightning</v>
      </c>
      <c r="L46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0.55493677902484306</v>
      </c>
      <c r="M464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464" t="str">
        <f>IF(OR((NHL2025_26Results[[#This Row],[Winning Team]]="")),"-",IF(Table46[[#This Row],[Predicted Winner]]=NHL2025_26Results[[#This Row],[Winning Team]],"YES","NO"))</f>
        <v>-</v>
      </c>
      <c r="O464" t="str">
        <f>IF(OR((NHL2025_26Results[[#This Row],[Winning Team]]="")),"-",IF(Table46[[#This Row],[Prob Winner]]=NHL2025_26Results[[#This Row],[Winning Team]],"YES","NO"))</f>
        <v>-</v>
      </c>
      <c r="P464" t="str">
        <f>IF(Table46[[#This Row],[Locked Prediction]]&lt;&gt;Table46[[#This Row],[Prob Winner]], "Changed", "Same")</f>
        <v>Changed</v>
      </c>
      <c r="Q46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65" spans="4:17" x14ac:dyDescent="0.2">
      <c r="D465" s="1">
        <v>45999</v>
      </c>
      <c r="E465" s="2">
        <v>0.875</v>
      </c>
      <c r="F465" t="s">
        <v>55</v>
      </c>
      <c r="G465">
        <f>VLOOKUP(Table46[[#This Row],[Home]],'NHL Model'!$A$6:$B$38,2,FALSE)</f>
        <v>-0.12212311954851815</v>
      </c>
      <c r="H465" t="s">
        <v>13</v>
      </c>
      <c r="I465">
        <f>VLOOKUP(Table46[[#This Row],[Visitor]],'NHL Model'!$A$6:$B$38,2,FALSE)</f>
        <v>-7.5459708298993802E-2</v>
      </c>
      <c r="J465">
        <f>($B$1+Table46[[#This Row],[Home Differential]])-Table46[[#This Row],[Away Differential]]</f>
        <v>0.11590889841279405</v>
      </c>
      <c r="K465" t="str">
        <f>IF(Table46[[#This Row],[HomeIce Differential]]&gt;0,Table46[[#This Row],[Home]],Table46[[#This Row],[Visitor]])</f>
        <v>Utah Mammoth</v>
      </c>
      <c r="L46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0.50321137364198143</v>
      </c>
      <c r="M465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465" t="str">
        <f>IF(OR((NHL2025_26Results[[#This Row],[Winning Team]]="")),"-",IF(Table46[[#This Row],[Predicted Winner]]=NHL2025_26Results[[#This Row],[Winning Team]],"YES","NO"))</f>
        <v>-</v>
      </c>
      <c r="O465" t="str">
        <f>IF(OR((NHL2025_26Results[[#This Row],[Winning Team]]="")),"-",IF(Table46[[#This Row],[Prob Winner]]=NHL2025_26Results[[#This Row],[Winning Team]],"YES","NO"))</f>
        <v>-</v>
      </c>
      <c r="P465" t="str">
        <f>IF(Table46[[#This Row],[Locked Prediction]]&lt;&gt;Table46[[#This Row],[Prob Winner]], "Changed", "Same")</f>
        <v>Changed</v>
      </c>
      <c r="Q46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66" spans="4:17" x14ac:dyDescent="0.2">
      <c r="D466" s="1">
        <v>45999</v>
      </c>
      <c r="E466" s="2">
        <v>0.91666666666666663</v>
      </c>
      <c r="F466" t="s">
        <v>38</v>
      </c>
      <c r="G466">
        <f>VLOOKUP(Table46[[#This Row],[Home]],'NHL Model'!$A$6:$B$38,2,FALSE)</f>
        <v>-0.6902088310934803</v>
      </c>
      <c r="H466" t="s">
        <v>26</v>
      </c>
      <c r="I466">
        <f>VLOOKUP(Table46[[#This Row],[Visitor]],'NHL Model'!$A$6:$B$38,2,FALSE)</f>
        <v>-0.513643833119658</v>
      </c>
      <c r="J466">
        <f>($B$1+Table46[[#This Row],[Home Differential]])-Table46[[#This Row],[Away Differential]]</f>
        <v>-1.3992688311503909E-2</v>
      </c>
      <c r="K466" t="str">
        <f>IF(Table46[[#This Row],[HomeIce Differential]]&gt;0,Table46[[#This Row],[Home]],Table46[[#This Row],[Visitor]])</f>
        <v>Detroit Red Wings</v>
      </c>
      <c r="L46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0.50895928570593862</v>
      </c>
      <c r="M466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466" t="str">
        <f>IF(OR((NHL2025_26Results[[#This Row],[Winning Team]]="")),"-",IF(Table46[[#This Row],[Predicted Winner]]=NHL2025_26Results[[#This Row],[Winning Team]],"YES","NO"))</f>
        <v>-</v>
      </c>
      <c r="O466" t="str">
        <f>IF(OR((NHL2025_26Results[[#This Row],[Winning Team]]="")),"-",IF(Table46[[#This Row],[Prob Winner]]=NHL2025_26Results[[#This Row],[Winning Team]],"YES","NO"))</f>
        <v>-</v>
      </c>
      <c r="P466" t="str">
        <f>IF(Table46[[#This Row],[Locked Prediction]]&lt;&gt;Table46[[#This Row],[Prob Winner]], "Changed", "Same")</f>
        <v>Changed</v>
      </c>
      <c r="Q46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67" spans="4:17" x14ac:dyDescent="0.2">
      <c r="D467" s="1">
        <v>46000</v>
      </c>
      <c r="E467" s="2">
        <v>0.8125</v>
      </c>
      <c r="F467" t="s">
        <v>25</v>
      </c>
      <c r="G467">
        <f>VLOOKUP(Table46[[#This Row],[Home]],'NHL Model'!$A$6:$B$38,2,FALSE)</f>
        <v>0.67193921242367816</v>
      </c>
      <c r="H467" t="s">
        <v>28</v>
      </c>
      <c r="I467">
        <f>VLOOKUP(Table46[[#This Row],[Visitor]],'NHL Model'!$A$6:$B$38,2,FALSE)</f>
        <v>-0.40822279081308277</v>
      </c>
      <c r="J467">
        <f>($B$1+Table46[[#This Row],[Home Differential]])-Table46[[#This Row],[Away Differential]]</f>
        <v>1.2427343128990793</v>
      </c>
      <c r="K467" t="str">
        <f>IF(Table46[[#This Row],[HomeIce Differential]]&gt;0,Table46[[#This Row],[Home]],Table46[[#This Row],[Visitor]])</f>
        <v>Carolina Hurricanes</v>
      </c>
      <c r="L46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0.73661158133875748</v>
      </c>
      <c r="M467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467" t="str">
        <f>IF(OR((NHL2025_26Results[[#This Row],[Winning Team]]="")),"-",IF(Table46[[#This Row],[Predicted Winner]]=NHL2025_26Results[[#This Row],[Winning Team]],"YES","NO"))</f>
        <v>-</v>
      </c>
      <c r="O467" t="str">
        <f>IF(OR((NHL2025_26Results[[#This Row],[Winning Team]]="")),"-",IF(Table46[[#This Row],[Prob Winner]]=NHL2025_26Results[[#This Row],[Winning Team]],"YES","NO"))</f>
        <v>-</v>
      </c>
      <c r="P467" t="str">
        <f>IF(Table46[[#This Row],[Locked Prediction]]&lt;&gt;Table46[[#This Row],[Prob Winner]], "Changed", "Same")</f>
        <v>Changed</v>
      </c>
      <c r="Q46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68" spans="4:17" x14ac:dyDescent="0.2">
      <c r="D468" s="1">
        <v>46000</v>
      </c>
      <c r="E468" s="2">
        <v>0.875</v>
      </c>
      <c r="F468" t="s">
        <v>17</v>
      </c>
      <c r="G468">
        <f>VLOOKUP(Table46[[#This Row],[Home]],'NHL Model'!$A$6:$B$38,2,FALSE)</f>
        <v>-0.61980804137564283</v>
      </c>
      <c r="H468" t="s">
        <v>23</v>
      </c>
      <c r="I468">
        <f>VLOOKUP(Table46[[#This Row],[Visitor]],'NHL Model'!$A$6:$B$38,2,FALSE)</f>
        <v>-0.8683412362501769</v>
      </c>
      <c r="J468">
        <f>($B$1+Table46[[#This Row],[Home Differential]])-Table46[[#This Row],[Away Differential]]</f>
        <v>0.41110550453685246</v>
      </c>
      <c r="K468" t="str">
        <f>IF(Table46[[#This Row],[HomeIce Differential]]&gt;0,Table46[[#This Row],[Home]],Table46[[#This Row],[Visitor]])</f>
        <v>Edmonton Oilers</v>
      </c>
      <c r="L46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0.63068060148866101</v>
      </c>
      <c r="M468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468" t="str">
        <f>IF(OR((NHL2025_26Results[[#This Row],[Winning Team]]="")),"-",IF(Table46[[#This Row],[Predicted Winner]]=NHL2025_26Results[[#This Row],[Winning Team]],"YES","NO"))</f>
        <v>-</v>
      </c>
      <c r="O468" t="str">
        <f>IF(OR((NHL2025_26Results[[#This Row],[Winning Team]]="")),"-",IF(Table46[[#This Row],[Prob Winner]]=NHL2025_26Results[[#This Row],[Winning Team]],"YES","NO"))</f>
        <v>-</v>
      </c>
      <c r="P468" t="str">
        <f>IF(Table46[[#This Row],[Locked Prediction]]&lt;&gt;Table46[[#This Row],[Prob Winner]], "Changed", "Same")</f>
        <v>Changed</v>
      </c>
      <c r="Q46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69" spans="4:17" x14ac:dyDescent="0.2">
      <c r="D469" s="1">
        <v>46000</v>
      </c>
      <c r="E469" s="2">
        <v>0.79166666666666663</v>
      </c>
      <c r="F469" t="s">
        <v>18</v>
      </c>
      <c r="G469">
        <f>VLOOKUP(Table46[[#This Row],[Home]],'NHL Model'!$A$6:$B$38,2,FALSE)</f>
        <v>-0.52437726201848234</v>
      </c>
      <c r="H469" t="s">
        <v>37</v>
      </c>
      <c r="I469">
        <f>VLOOKUP(Table46[[#This Row],[Visitor]],'NHL Model'!$A$6:$B$38,2,FALSE)</f>
        <v>-0.11309445867623392</v>
      </c>
      <c r="J469">
        <f>($B$1+Table46[[#This Row],[Home Differential]])-Table46[[#This Row],[Away Differential]]</f>
        <v>-0.24871049367993003</v>
      </c>
      <c r="K469" t="str">
        <f>IF(Table46[[#This Row],[HomeIce Differential]]&gt;0,Table46[[#This Row],[Home]],Table46[[#This Row],[Visitor]])</f>
        <v>Tampa Bay Lightning</v>
      </c>
      <c r="L46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0.54015774314598708</v>
      </c>
      <c r="M469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469" t="str">
        <f>IF(OR((NHL2025_26Results[[#This Row],[Winning Team]]="")),"-",IF(Table46[[#This Row],[Predicted Winner]]=NHL2025_26Results[[#This Row],[Winning Team]],"YES","NO"))</f>
        <v>-</v>
      </c>
      <c r="O469" t="str">
        <f>IF(OR((NHL2025_26Results[[#This Row],[Winning Team]]="")),"-",IF(Table46[[#This Row],[Prob Winner]]=NHL2025_26Results[[#This Row],[Winning Team]],"YES","NO"))</f>
        <v>-</v>
      </c>
      <c r="P469" t="str">
        <f>IF(Table46[[#This Row],[Locked Prediction]]&lt;&gt;Table46[[#This Row],[Prob Winner]], "Changed", "Same")</f>
        <v>Changed</v>
      </c>
      <c r="Q46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70" spans="4:17" x14ac:dyDescent="0.2">
      <c r="D470" s="1">
        <v>46000</v>
      </c>
      <c r="E470" s="2">
        <v>0.89583333333333337</v>
      </c>
      <c r="F470" t="s">
        <v>29</v>
      </c>
      <c r="G470">
        <f>VLOOKUP(Table46[[#This Row],[Home]],'NHL Model'!$A$6:$B$38,2,FALSE)</f>
        <v>-1.3516250707060606</v>
      </c>
      <c r="H470" t="s">
        <v>12</v>
      </c>
      <c r="I470">
        <f>VLOOKUP(Table46[[#This Row],[Visitor]],'NHL Model'!$A$6:$B$38,2,FALSE)</f>
        <v>1.5475013591489768</v>
      </c>
      <c r="J470">
        <f>($B$1+Table46[[#This Row],[Home Differential]])-Table46[[#This Row],[Away Differential]]</f>
        <v>-2.7365541201927188</v>
      </c>
      <c r="K470" t="str">
        <f>IF(Table46[[#This Row],[HomeIce Differential]]&gt;0,Table46[[#This Row],[Home]],Table46[[#This Row],[Visitor]])</f>
        <v>Colorado Avalanche</v>
      </c>
      <c r="L47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0.89005584369415791</v>
      </c>
      <c r="M470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470" t="str">
        <f>IF(OR((NHL2025_26Results[[#This Row],[Winning Team]]="")),"-",IF(Table46[[#This Row],[Predicted Winner]]=NHL2025_26Results[[#This Row],[Winning Team]],"YES","NO"))</f>
        <v>-</v>
      </c>
      <c r="O470" t="str">
        <f>IF(OR((NHL2025_26Results[[#This Row],[Winning Team]]="")),"-",IF(Table46[[#This Row],[Prob Winner]]=NHL2025_26Results[[#This Row],[Winning Team]],"YES","NO"))</f>
        <v>-</v>
      </c>
      <c r="P470" t="str">
        <f>IF(Table46[[#This Row],[Locked Prediction]]&lt;&gt;Table46[[#This Row],[Prob Winner]], "Changed", "Same")</f>
        <v>Changed</v>
      </c>
      <c r="Q47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71" spans="4:17" x14ac:dyDescent="0.2">
      <c r="D471" s="1">
        <v>46000</v>
      </c>
      <c r="E471" s="2">
        <v>0.79166666666666663</v>
      </c>
      <c r="F471" t="s">
        <v>30</v>
      </c>
      <c r="G471">
        <f>VLOOKUP(Table46[[#This Row],[Home]],'NHL Model'!$A$6:$B$38,2,FALSE)</f>
        <v>-6.4729560818359025E-2</v>
      </c>
      <c r="H471" t="s">
        <v>20</v>
      </c>
      <c r="I471">
        <f>VLOOKUP(Table46[[#This Row],[Visitor]],'NHL Model'!$A$6:$B$38,2,FALSE)</f>
        <v>-6.3745791019188943E-4</v>
      </c>
      <c r="J471">
        <f>($B$1+Table46[[#This Row],[Home Differential]])-Table46[[#This Row],[Away Differential]]</f>
        <v>9.8480206754151256E-2</v>
      </c>
      <c r="K471" t="str">
        <f>IF(Table46[[#This Row],[HomeIce Differential]]&gt;0,Table46[[#This Row],[Home]],Table46[[#This Row],[Visitor]])</f>
        <v>New York Islanders</v>
      </c>
      <c r="L47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0.53232066044836956</v>
      </c>
      <c r="M471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471" t="str">
        <f>IF(OR((NHL2025_26Results[[#This Row],[Winning Team]]="")),"-",IF(Table46[[#This Row],[Predicted Winner]]=NHL2025_26Results[[#This Row],[Winning Team]],"YES","NO"))</f>
        <v>-</v>
      </c>
      <c r="O471" t="str">
        <f>IF(OR((NHL2025_26Results[[#This Row],[Winning Team]]="")),"-",IF(Table46[[#This Row],[Prob Winner]]=NHL2025_26Results[[#This Row],[Winning Team]],"YES","NO"))</f>
        <v>-</v>
      </c>
      <c r="P471" t="str">
        <f>IF(Table46[[#This Row],[Locked Prediction]]&lt;&gt;Table46[[#This Row],[Prob Winner]], "Changed", "Same")</f>
        <v>Changed</v>
      </c>
      <c r="Q47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72" spans="4:17" x14ac:dyDescent="0.2">
      <c r="D472" s="1">
        <v>46000</v>
      </c>
      <c r="E472" s="2">
        <v>0.79166666666666663</v>
      </c>
      <c r="F472" t="s">
        <v>36</v>
      </c>
      <c r="G472">
        <f>VLOOKUP(Table46[[#This Row],[Home]],'NHL Model'!$A$6:$B$38,2,FALSE)</f>
        <v>-0.40651947573390851</v>
      </c>
      <c r="H472" t="s">
        <v>24</v>
      </c>
      <c r="I472">
        <f>VLOOKUP(Table46[[#This Row],[Visitor]],'NHL Model'!$A$6:$B$38,2,FALSE)</f>
        <v>0.559441163373953</v>
      </c>
      <c r="J472">
        <f>($B$1+Table46[[#This Row],[Home Differential]])-Table46[[#This Row],[Away Differential]]</f>
        <v>-0.80338832944554306</v>
      </c>
      <c r="K472" t="str">
        <f>IF(Table46[[#This Row],[HomeIce Differential]]&gt;0,Table46[[#This Row],[Home]],Table46[[#This Row],[Visitor]])</f>
        <v>New Jersey Devils</v>
      </c>
      <c r="L47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0.63059510219671022</v>
      </c>
      <c r="M472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472" t="str">
        <f>IF(OR((NHL2025_26Results[[#This Row],[Winning Team]]="")),"-",IF(Table46[[#This Row],[Predicted Winner]]=NHL2025_26Results[[#This Row],[Winning Team]],"YES","NO"))</f>
        <v>-</v>
      </c>
      <c r="O472" t="str">
        <f>IF(OR((NHL2025_26Results[[#This Row],[Winning Team]]="")),"-",IF(Table46[[#This Row],[Prob Winner]]=NHL2025_26Results[[#This Row],[Winning Team]],"YES","NO"))</f>
        <v>-</v>
      </c>
      <c r="P472" t="str">
        <f>IF(Table46[[#This Row],[Locked Prediction]]&lt;&gt;Table46[[#This Row],[Prob Winner]], "Changed", "Same")</f>
        <v>Changed</v>
      </c>
      <c r="Q47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73" spans="4:17" x14ac:dyDescent="0.2">
      <c r="D473" s="1">
        <v>46000</v>
      </c>
      <c r="E473" s="2">
        <v>0.79166666666666663</v>
      </c>
      <c r="F473" t="s">
        <v>27</v>
      </c>
      <c r="G473">
        <f>VLOOKUP(Table46[[#This Row],[Home]],'NHL Model'!$A$6:$B$38,2,FALSE)</f>
        <v>-0.51358590497437617</v>
      </c>
      <c r="H473" t="s">
        <v>33</v>
      </c>
      <c r="I473">
        <f>VLOOKUP(Table46[[#This Row],[Visitor]],'NHL Model'!$A$6:$B$38,2,FALSE)</f>
        <v>-0.39418177254008485</v>
      </c>
      <c r="J473">
        <f>($B$1+Table46[[#This Row],[Home Differential]])-Table46[[#This Row],[Away Differential]]</f>
        <v>4.3168177228027071E-2</v>
      </c>
      <c r="K473" t="str">
        <f>IF(Table46[[#This Row],[HomeIce Differential]]&gt;0,Table46[[#This Row],[Home]],Table46[[#This Row],[Visitor]])</f>
        <v>Philadelphia Flyers</v>
      </c>
      <c r="L47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0.54823335042335164</v>
      </c>
      <c r="M473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473" t="str">
        <f>IF(OR((NHL2025_26Results[[#This Row],[Winning Team]]="")),"-",IF(Table46[[#This Row],[Predicted Winner]]=NHL2025_26Results[[#This Row],[Winning Team]],"YES","NO"))</f>
        <v>-</v>
      </c>
      <c r="O473" t="str">
        <f>IF(OR((NHL2025_26Results[[#This Row],[Winning Team]]="")),"-",IF(Table46[[#This Row],[Prob Winner]]=NHL2025_26Results[[#This Row],[Winning Team]],"YES","NO"))</f>
        <v>-</v>
      </c>
      <c r="P473" t="str">
        <f>IF(Table46[[#This Row],[Locked Prediction]]&lt;&gt;Table46[[#This Row],[Prob Winner]], "Changed", "Same")</f>
        <v>Changed</v>
      </c>
      <c r="Q47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74" spans="4:17" x14ac:dyDescent="0.2">
      <c r="D474" s="1">
        <v>46000</v>
      </c>
      <c r="E474" s="2">
        <v>0.79166666666666663</v>
      </c>
      <c r="F474" t="s">
        <v>14</v>
      </c>
      <c r="G474">
        <f>VLOOKUP(Table46[[#This Row],[Home]],'NHL Model'!$A$6:$B$38,2,FALSE)</f>
        <v>0.26289091192875702</v>
      </c>
      <c r="H474" t="s">
        <v>31</v>
      </c>
      <c r="I474">
        <f>VLOOKUP(Table46[[#This Row],[Visitor]],'NHL Model'!$A$6:$B$38,2,FALSE)</f>
        <v>0.51775546328552802</v>
      </c>
      <c r="J474">
        <f>($B$1+Table46[[#This Row],[Home Differential]])-Table46[[#This Row],[Away Differential]]</f>
        <v>-9.2292241694452604E-2</v>
      </c>
      <c r="K474" t="str">
        <f>IF(Table46[[#This Row],[HomeIce Differential]]&gt;0,Table46[[#This Row],[Home]],Table46[[#This Row],[Visitor]])</f>
        <v>Anaheim Ducks</v>
      </c>
      <c r="L47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0.4567118374955656</v>
      </c>
      <c r="M474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474" t="str">
        <f>IF(OR((NHL2025_26Results[[#This Row],[Winning Team]]="")),"-",IF(Table46[[#This Row],[Predicted Winner]]=NHL2025_26Results[[#This Row],[Winning Team]],"YES","NO"))</f>
        <v>-</v>
      </c>
      <c r="O474" t="str">
        <f>IF(OR((NHL2025_26Results[[#This Row],[Winning Team]]="")),"-",IF(Table46[[#This Row],[Prob Winner]]=NHL2025_26Results[[#This Row],[Winning Team]],"YES","NO"))</f>
        <v>-</v>
      </c>
      <c r="P474" t="str">
        <f>IF(Table46[[#This Row],[Locked Prediction]]&lt;&gt;Table46[[#This Row],[Prob Winner]], "Changed", "Same")</f>
        <v>Changed</v>
      </c>
      <c r="Q47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75" spans="4:17" x14ac:dyDescent="0.2">
      <c r="D475" s="1">
        <v>46000</v>
      </c>
      <c r="E475" s="2">
        <v>0.83333333333333337</v>
      </c>
      <c r="F475" t="s">
        <v>35</v>
      </c>
      <c r="G475">
        <f>VLOOKUP(Table46[[#This Row],[Home]],'NHL Model'!$A$6:$B$38,2,FALSE)</f>
        <v>-1.6211574240381006</v>
      </c>
      <c r="H475" t="s">
        <v>21</v>
      </c>
      <c r="I475">
        <f>VLOOKUP(Table46[[#This Row],[Visitor]],'NHL Model'!$A$6:$B$38,2,FALSE)</f>
        <v>4.029141914856392E-2</v>
      </c>
      <c r="J475">
        <f>($B$1+Table46[[#This Row],[Home Differential]])-Table46[[#This Row],[Away Differential]]</f>
        <v>-1.4988765335243461</v>
      </c>
      <c r="K475" t="str">
        <f>IF(Table46[[#This Row],[HomeIce Differential]]&gt;0,Table46[[#This Row],[Home]],Table46[[#This Row],[Visitor]])</f>
        <v>Boston Bruins</v>
      </c>
      <c r="L47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0.6592291793357794</v>
      </c>
      <c r="M475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475" t="str">
        <f>IF(OR((NHL2025_26Results[[#This Row],[Winning Team]]="")),"-",IF(Table46[[#This Row],[Predicted Winner]]=NHL2025_26Results[[#This Row],[Winning Team]],"YES","NO"))</f>
        <v>-</v>
      </c>
      <c r="O475" t="str">
        <f>IF(OR((NHL2025_26Results[[#This Row],[Winning Team]]="")),"-",IF(Table46[[#This Row],[Prob Winner]]=NHL2025_26Results[[#This Row],[Winning Team]],"YES","NO"))</f>
        <v>-</v>
      </c>
      <c r="P475" t="str">
        <f>IF(Table46[[#This Row],[Locked Prediction]]&lt;&gt;Table46[[#This Row],[Prob Winner]], "Changed", "Same")</f>
        <v>Changed</v>
      </c>
      <c r="Q47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76" spans="4:17" x14ac:dyDescent="0.2">
      <c r="D476" s="1">
        <v>46000</v>
      </c>
      <c r="E476" s="2">
        <v>0.83333333333333337</v>
      </c>
      <c r="F476" t="s">
        <v>40</v>
      </c>
      <c r="G476">
        <f>VLOOKUP(Table46[[#This Row],[Home]],'NHL Model'!$A$6:$B$38,2,FALSE)</f>
        <v>0.105105258369765</v>
      </c>
      <c r="H476" t="s">
        <v>39</v>
      </c>
      <c r="I476">
        <f>VLOOKUP(Table46[[#This Row],[Visitor]],'NHL Model'!$A$6:$B$38,2,FALSE)</f>
        <v>0.19809534061227302</v>
      </c>
      <c r="J476">
        <f>($B$1+Table46[[#This Row],[Home Differential]])-Table46[[#This Row],[Away Differential]]</f>
        <v>6.9582227419810405E-2</v>
      </c>
      <c r="K476" t="str">
        <f>IF(Table46[[#This Row],[HomeIce Differential]]&gt;0,Table46[[#This Row],[Home]],Table46[[#This Row],[Visitor]])</f>
        <v>Winnipeg Jets</v>
      </c>
      <c r="L47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0.49311976826362258</v>
      </c>
      <c r="M476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476" t="str">
        <f>IF(OR((NHL2025_26Results[[#This Row],[Winning Team]]="")),"-",IF(Table46[[#This Row],[Predicted Winner]]=NHL2025_26Results[[#This Row],[Winning Team]],"YES","NO"))</f>
        <v>-</v>
      </c>
      <c r="O476" t="str">
        <f>IF(OR((NHL2025_26Results[[#This Row],[Winning Team]]="")),"-",IF(Table46[[#This Row],[Prob Winner]]=NHL2025_26Results[[#This Row],[Winning Team]],"YES","NO"))</f>
        <v>-</v>
      </c>
      <c r="P476" t="str">
        <f>IF(Table46[[#This Row],[Locked Prediction]]&lt;&gt;Table46[[#This Row],[Prob Winner]], "Changed", "Same")</f>
        <v>Changed</v>
      </c>
      <c r="Q47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77" spans="4:17" x14ac:dyDescent="0.2">
      <c r="D477" s="1">
        <v>46001</v>
      </c>
      <c r="E477" s="2">
        <v>0.85416666666666663</v>
      </c>
      <c r="F477" t="s">
        <v>16</v>
      </c>
      <c r="G477">
        <f>VLOOKUP(Table46[[#This Row],[Home]],'NHL Model'!$A$6:$B$38,2,FALSE)</f>
        <v>-1.3903684122795328</v>
      </c>
      <c r="H477" t="s">
        <v>26</v>
      </c>
      <c r="I477">
        <f>VLOOKUP(Table46[[#This Row],[Visitor]],'NHL Model'!$A$6:$B$38,2,FALSE)</f>
        <v>-0.513643833119658</v>
      </c>
      <c r="J477">
        <f>($B$1+Table46[[#This Row],[Home Differential]])-Table46[[#This Row],[Away Differential]]</f>
        <v>-0.71415226949755639</v>
      </c>
      <c r="K477" t="str">
        <f>IF(Table46[[#This Row],[HomeIce Differential]]&gt;0,Table46[[#This Row],[Home]],Table46[[#This Row],[Visitor]])</f>
        <v>Detroit Red Wings</v>
      </c>
      <c r="L47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0.60202380145747203</v>
      </c>
      <c r="M477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477" t="str">
        <f>IF(OR((NHL2025_26Results[[#This Row],[Winning Team]]="")),"-",IF(Table46[[#This Row],[Predicted Winner]]=NHL2025_26Results[[#This Row],[Winning Team]],"YES","NO"))</f>
        <v>-</v>
      </c>
      <c r="O477" t="str">
        <f>IF(OR((NHL2025_26Results[[#This Row],[Winning Team]]="")),"-",IF(Table46[[#This Row],[Prob Winner]]=NHL2025_26Results[[#This Row],[Winning Team]],"YES","NO"))</f>
        <v>-</v>
      </c>
      <c r="P477" t="str">
        <f>IF(Table46[[#This Row],[Locked Prediction]]&lt;&gt;Table46[[#This Row],[Prob Winner]], "Changed", "Same")</f>
        <v>Changed</v>
      </c>
      <c r="Q47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78" spans="4:17" x14ac:dyDescent="0.2">
      <c r="D478" s="1">
        <v>46001</v>
      </c>
      <c r="E478" s="2">
        <v>0.8125</v>
      </c>
      <c r="F478" t="s">
        <v>10</v>
      </c>
      <c r="G478">
        <f>VLOOKUP(Table46[[#This Row],[Home]],'NHL Model'!$A$6:$B$38,2,FALSE)</f>
        <v>0.30570968833820172</v>
      </c>
      <c r="H478" t="s">
        <v>15</v>
      </c>
      <c r="I478">
        <f>VLOOKUP(Table46[[#This Row],[Visitor]],'NHL Model'!$A$6:$B$38,2,FALSE)</f>
        <v>-0.30719665303039001</v>
      </c>
      <c r="J478">
        <f>($B$1+Table46[[#This Row],[Home Differential]])-Table46[[#This Row],[Away Differential]]</f>
        <v>0.77547865103091018</v>
      </c>
      <c r="K478" t="str">
        <f>IF(Table46[[#This Row],[HomeIce Differential]]&gt;0,Table46[[#This Row],[Home]],Table46[[#This Row],[Visitor]])</f>
        <v>Chicago Blackhawks</v>
      </c>
      <c r="L47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0.50066621311318527</v>
      </c>
      <c r="M478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478" t="str">
        <f>IF(OR((NHL2025_26Results[[#This Row],[Winning Team]]="")),"-",IF(Table46[[#This Row],[Predicted Winner]]=NHL2025_26Results[[#This Row],[Winning Team]],"YES","NO"))</f>
        <v>-</v>
      </c>
      <c r="O478" t="str">
        <f>IF(OR((NHL2025_26Results[[#This Row],[Winning Team]]="")),"-",IF(Table46[[#This Row],[Prob Winner]]=NHL2025_26Results[[#This Row],[Winning Team]],"YES","NO"))</f>
        <v>-</v>
      </c>
      <c r="P478" t="str">
        <f>IF(Table46[[#This Row],[Locked Prediction]]&lt;&gt;Table46[[#This Row],[Prob Winner]], "Changed", "Same")</f>
        <v>Changed</v>
      </c>
      <c r="Q47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79" spans="4:17" x14ac:dyDescent="0.2">
      <c r="D479" s="1">
        <v>46001</v>
      </c>
      <c r="E479" s="2">
        <v>0.91666666666666663</v>
      </c>
      <c r="F479" t="s">
        <v>32</v>
      </c>
      <c r="G479">
        <f>VLOOKUP(Table46[[#This Row],[Home]],'NHL Model'!$A$6:$B$38,2,FALSE)</f>
        <v>-0.361361309178443</v>
      </c>
      <c r="H479" t="s">
        <v>13</v>
      </c>
      <c r="I479">
        <f>VLOOKUP(Table46[[#This Row],[Visitor]],'NHL Model'!$A$6:$B$38,2,FALSE)</f>
        <v>-7.5459708298993802E-2</v>
      </c>
      <c r="J479">
        <f>($B$1+Table46[[#This Row],[Home Differential]])-Table46[[#This Row],[Away Differential]]</f>
        <v>-0.12332929121713081</v>
      </c>
      <c r="K479" t="str">
        <f>IF(Table46[[#This Row],[HomeIce Differential]]&gt;0,Table46[[#This Row],[Home]],Table46[[#This Row],[Visitor]])</f>
        <v>Los Angeles Kings</v>
      </c>
      <c r="L47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0.57194836238633451</v>
      </c>
      <c r="M479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479" t="str">
        <f>IF(OR((NHL2025_26Results[[#This Row],[Winning Team]]="")),"-",IF(Table46[[#This Row],[Predicted Winner]]=NHL2025_26Results[[#This Row],[Winning Team]],"YES","NO"))</f>
        <v>-</v>
      </c>
      <c r="O479" t="str">
        <f>IF(OR((NHL2025_26Results[[#This Row],[Winning Team]]="")),"-",IF(Table46[[#This Row],[Prob Winner]]=NHL2025_26Results[[#This Row],[Winning Team]],"YES","NO"))</f>
        <v>-</v>
      </c>
      <c r="P479" t="str">
        <f>IF(Table46[[#This Row],[Locked Prediction]]&lt;&gt;Table46[[#This Row],[Prob Winner]], "Changed", "Same")</f>
        <v>Changed</v>
      </c>
      <c r="Q47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80" spans="4:17" x14ac:dyDescent="0.2">
      <c r="D480" s="1">
        <v>46001</v>
      </c>
      <c r="E480" s="2">
        <v>0.875</v>
      </c>
      <c r="F480" t="s">
        <v>55</v>
      </c>
      <c r="G480">
        <f>VLOOKUP(Table46[[#This Row],[Home]],'NHL Model'!$A$6:$B$38,2,FALSE)</f>
        <v>-0.12212311954851815</v>
      </c>
      <c r="H480" t="s">
        <v>11</v>
      </c>
      <c r="I480">
        <f>VLOOKUP(Table46[[#This Row],[Visitor]],'NHL Model'!$A$6:$B$38,2,FALSE)</f>
        <v>-0.28105923893144158</v>
      </c>
      <c r="J480">
        <f>($B$1+Table46[[#This Row],[Home Differential]])-Table46[[#This Row],[Away Differential]]</f>
        <v>0.32150842904524179</v>
      </c>
      <c r="K480" t="str">
        <f>IF(Table46[[#This Row],[HomeIce Differential]]&gt;0,Table46[[#This Row],[Home]],Table46[[#This Row],[Visitor]])</f>
        <v>Utah Mammoth</v>
      </c>
      <c r="L48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0.65100708697419285</v>
      </c>
      <c r="M480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480" t="str">
        <f>IF(OR((NHL2025_26Results[[#This Row],[Winning Team]]="")),"-",IF(Table46[[#This Row],[Predicted Winner]]=NHL2025_26Results[[#This Row],[Winning Team]],"YES","NO"))</f>
        <v>-</v>
      </c>
      <c r="O480" t="str">
        <f>IF(OR((NHL2025_26Results[[#This Row],[Winning Team]]="")),"-",IF(Table46[[#This Row],[Prob Winner]]=NHL2025_26Results[[#This Row],[Winning Team]],"YES","NO"))</f>
        <v>-</v>
      </c>
      <c r="P480" t="str">
        <f>IF(Table46[[#This Row],[Locked Prediction]]&lt;&gt;Table46[[#This Row],[Prob Winner]], "Changed", "Same")</f>
        <v>Changed</v>
      </c>
      <c r="Q48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81" spans="4:17" x14ac:dyDescent="0.2">
      <c r="D481" s="1">
        <v>46002</v>
      </c>
      <c r="E481" s="2">
        <v>0.79166666666666663</v>
      </c>
      <c r="F481" t="s">
        <v>28</v>
      </c>
      <c r="G481">
        <f>VLOOKUP(Table46[[#This Row],[Home]],'NHL Model'!$A$6:$B$38,2,FALSE)</f>
        <v>-0.40822279081308277</v>
      </c>
      <c r="H481" t="s">
        <v>36</v>
      </c>
      <c r="I481">
        <f>VLOOKUP(Table46[[#This Row],[Visitor]],'NHL Model'!$A$6:$B$38,2,FALSE)</f>
        <v>-0.40651947573390851</v>
      </c>
      <c r="J481">
        <f>($B$1+Table46[[#This Row],[Home Differential]])-Table46[[#This Row],[Away Differential]]</f>
        <v>0.16086899458314413</v>
      </c>
      <c r="K481" t="str">
        <f>IF(Table46[[#This Row],[HomeIce Differential]]&gt;0,Table46[[#This Row],[Home]],Table46[[#This Row],[Visitor]])</f>
        <v>Columbus Blue Jackets</v>
      </c>
      <c r="L48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0.5613825468973167</v>
      </c>
      <c r="M481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481" t="str">
        <f>IF(OR((NHL2025_26Results[[#This Row],[Winning Team]]="")),"-",IF(Table46[[#This Row],[Predicted Winner]]=NHL2025_26Results[[#This Row],[Winning Team]],"YES","NO"))</f>
        <v>-</v>
      </c>
      <c r="O481" t="str">
        <f>IF(OR((NHL2025_26Results[[#This Row],[Winning Team]]="")),"-",IF(Table46[[#This Row],[Prob Winner]]=NHL2025_26Results[[#This Row],[Winning Team]],"YES","NO"))</f>
        <v>-</v>
      </c>
      <c r="P481" t="str">
        <f>IF(Table46[[#This Row],[Locked Prediction]]&lt;&gt;Table46[[#This Row],[Prob Winner]], "Changed", "Same")</f>
        <v>Changed</v>
      </c>
      <c r="Q48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82" spans="4:17" x14ac:dyDescent="0.2">
      <c r="D482" s="1">
        <v>46002</v>
      </c>
      <c r="E482" s="2">
        <v>0.875</v>
      </c>
      <c r="F482" t="s">
        <v>12</v>
      </c>
      <c r="G482">
        <f>VLOOKUP(Table46[[#This Row],[Home]],'NHL Model'!$A$6:$B$38,2,FALSE)</f>
        <v>1.5475013591489768</v>
      </c>
      <c r="H482" t="s">
        <v>11</v>
      </c>
      <c r="I482">
        <f>VLOOKUP(Table46[[#This Row],[Visitor]],'NHL Model'!$A$6:$B$38,2,FALSE)</f>
        <v>-0.28105923893144158</v>
      </c>
      <c r="J482">
        <f>($B$1+Table46[[#This Row],[Home Differential]])-Table46[[#This Row],[Away Differential]]</f>
        <v>1.9911329077427369</v>
      </c>
      <c r="K482" t="str">
        <f>IF(Table46[[#This Row],[HomeIce Differential]]&gt;0,Table46[[#This Row],[Home]],Table46[[#This Row],[Visitor]])</f>
        <v>Colorado Avalanche</v>
      </c>
      <c r="L48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0.89302565517566967</v>
      </c>
      <c r="M482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482" t="str">
        <f>IF(OR((NHL2025_26Results[[#This Row],[Winning Team]]="")),"-",IF(Table46[[#This Row],[Predicted Winner]]=NHL2025_26Results[[#This Row],[Winning Team]],"YES","NO"))</f>
        <v>-</v>
      </c>
      <c r="O482" t="str">
        <f>IF(OR((NHL2025_26Results[[#This Row],[Winning Team]]="")),"-",IF(Table46[[#This Row],[Prob Winner]]=NHL2025_26Results[[#This Row],[Winning Team]],"YES","NO"))</f>
        <v>-</v>
      </c>
      <c r="P482" t="str">
        <f>IF(Table46[[#This Row],[Locked Prediction]]&lt;&gt;Table46[[#This Row],[Prob Winner]], "Changed", "Same")</f>
        <v>Changed</v>
      </c>
      <c r="Q48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83" spans="4:17" x14ac:dyDescent="0.2">
      <c r="D483" s="1">
        <v>46002</v>
      </c>
      <c r="E483" s="2">
        <v>0.875</v>
      </c>
      <c r="F483" t="s">
        <v>17</v>
      </c>
      <c r="G483">
        <f>VLOOKUP(Table46[[#This Row],[Home]],'NHL Model'!$A$6:$B$38,2,FALSE)</f>
        <v>-0.61980804137564283</v>
      </c>
      <c r="H483" t="s">
        <v>26</v>
      </c>
      <c r="I483">
        <f>VLOOKUP(Table46[[#This Row],[Visitor]],'NHL Model'!$A$6:$B$38,2,FALSE)</f>
        <v>-0.513643833119658</v>
      </c>
      <c r="J483">
        <f>($B$1+Table46[[#This Row],[Home Differential]])-Table46[[#This Row],[Away Differential]]</f>
        <v>5.6408101406333566E-2</v>
      </c>
      <c r="K483" t="str">
        <f>IF(Table46[[#This Row],[HomeIce Differential]]&gt;0,Table46[[#This Row],[Home]],Table46[[#This Row],[Visitor]])</f>
        <v>Edmonton Oilers</v>
      </c>
      <c r="L48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0.53690947348957296</v>
      </c>
      <c r="M483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483" t="str">
        <f>IF(OR((NHL2025_26Results[[#This Row],[Winning Team]]="")),"-",IF(Table46[[#This Row],[Predicted Winner]]=NHL2025_26Results[[#This Row],[Winning Team]],"YES","NO"))</f>
        <v>-</v>
      </c>
      <c r="O483" t="str">
        <f>IF(OR((NHL2025_26Results[[#This Row],[Winning Team]]="")),"-",IF(Table46[[#This Row],[Prob Winner]]=NHL2025_26Results[[#This Row],[Winning Team]],"YES","NO"))</f>
        <v>-</v>
      </c>
      <c r="P483" t="str">
        <f>IF(Table46[[#This Row],[Locked Prediction]]&lt;&gt;Table46[[#This Row],[Prob Winner]], "Changed", "Same")</f>
        <v>Changed</v>
      </c>
      <c r="Q48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84" spans="4:17" x14ac:dyDescent="0.2">
      <c r="D484" s="1">
        <v>46002</v>
      </c>
      <c r="E484" s="2">
        <v>0.83333333333333337</v>
      </c>
      <c r="F484" t="s">
        <v>34</v>
      </c>
      <c r="G484">
        <f>VLOOKUP(Table46[[#This Row],[Home]],'NHL Model'!$A$6:$B$38,2,FALSE)</f>
        <v>-0.53650300840565446</v>
      </c>
      <c r="H484" t="s">
        <v>39</v>
      </c>
      <c r="I484">
        <f>VLOOKUP(Table46[[#This Row],[Visitor]],'NHL Model'!$A$6:$B$38,2,FALSE)</f>
        <v>0.19809534061227302</v>
      </c>
      <c r="J484">
        <f>($B$1+Table46[[#This Row],[Home Differential]])-Table46[[#This Row],[Away Differential]]</f>
        <v>-0.57202603935560914</v>
      </c>
      <c r="K484" t="str">
        <f>IF(Table46[[#This Row],[HomeIce Differential]]&gt;0,Table46[[#This Row],[Home]],Table46[[#This Row],[Visitor]])</f>
        <v>Dallas Stars</v>
      </c>
      <c r="L48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0.62851932054873427</v>
      </c>
      <c r="M484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484" t="str">
        <f>IF(OR((NHL2025_26Results[[#This Row],[Winning Team]]="")),"-",IF(Table46[[#This Row],[Predicted Winner]]=NHL2025_26Results[[#This Row],[Winning Team]],"YES","NO"))</f>
        <v>-</v>
      </c>
      <c r="O484" t="str">
        <f>IF(OR((NHL2025_26Results[[#This Row],[Winning Team]]="")),"-",IF(Table46[[#This Row],[Prob Winner]]=NHL2025_26Results[[#This Row],[Winning Team]],"YES","NO"))</f>
        <v>-</v>
      </c>
      <c r="P484" t="str">
        <f>IF(Table46[[#This Row],[Locked Prediction]]&lt;&gt;Table46[[#This Row],[Prob Winner]], "Changed", "Same")</f>
        <v>Changed</v>
      </c>
      <c r="Q48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85" spans="4:17" x14ac:dyDescent="0.2">
      <c r="D485" s="1">
        <v>46002</v>
      </c>
      <c r="E485" s="2">
        <v>0.79166666666666663</v>
      </c>
      <c r="F485" t="s">
        <v>24</v>
      </c>
      <c r="G485">
        <f>VLOOKUP(Table46[[#This Row],[Home]],'NHL Model'!$A$6:$B$38,2,FALSE)</f>
        <v>0.559441163373953</v>
      </c>
      <c r="H485" t="s">
        <v>37</v>
      </c>
      <c r="I485">
        <f>VLOOKUP(Table46[[#This Row],[Visitor]],'NHL Model'!$A$6:$B$38,2,FALSE)</f>
        <v>-0.11309445867623392</v>
      </c>
      <c r="J485">
        <f>($B$1+Table46[[#This Row],[Home Differential]])-Table46[[#This Row],[Away Differential]]</f>
        <v>0.8351079317125053</v>
      </c>
      <c r="K485" t="str">
        <f>IF(Table46[[#This Row],[HomeIce Differential]]&gt;0,Table46[[#This Row],[Home]],Table46[[#This Row],[Visitor]])</f>
        <v>New Jersey Devils</v>
      </c>
      <c r="L48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0.72265220183622469</v>
      </c>
      <c r="M485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485" t="str">
        <f>IF(OR((NHL2025_26Results[[#This Row],[Winning Team]]="")),"-",IF(Table46[[#This Row],[Predicted Winner]]=NHL2025_26Results[[#This Row],[Winning Team]],"YES","NO"))</f>
        <v>-</v>
      </c>
      <c r="O485" t="str">
        <f>IF(OR((NHL2025_26Results[[#This Row],[Winning Team]]="")),"-",IF(Table46[[#This Row],[Prob Winner]]=NHL2025_26Results[[#This Row],[Winning Team]],"YES","NO"))</f>
        <v>-</v>
      </c>
      <c r="P485" t="str">
        <f>IF(Table46[[#This Row],[Locked Prediction]]&lt;&gt;Table46[[#This Row],[Prob Winner]], "Changed", "Same")</f>
        <v>Changed</v>
      </c>
      <c r="Q48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86" spans="4:17" x14ac:dyDescent="0.2">
      <c r="D486" s="1">
        <v>46002</v>
      </c>
      <c r="E486" s="2">
        <v>0.83333333333333337</v>
      </c>
      <c r="F486" t="s">
        <v>29</v>
      </c>
      <c r="G486">
        <f>VLOOKUP(Table46[[#This Row],[Home]],'NHL Model'!$A$6:$B$38,2,FALSE)</f>
        <v>-1.3516250707060606</v>
      </c>
      <c r="H486" t="s">
        <v>35</v>
      </c>
      <c r="I486">
        <f>VLOOKUP(Table46[[#This Row],[Visitor]],'NHL Model'!$A$6:$B$38,2,FALSE)</f>
        <v>-1.6211574240381006</v>
      </c>
      <c r="J486">
        <f>($B$1+Table46[[#This Row],[Home Differential]])-Table46[[#This Row],[Away Differential]]</f>
        <v>0.43210466299435835</v>
      </c>
      <c r="K486" t="str">
        <f>IF(Table46[[#This Row],[HomeIce Differential]]&gt;0,Table46[[#This Row],[Home]],Table46[[#This Row],[Visitor]])</f>
        <v>Nashville Predators</v>
      </c>
      <c r="L48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0.59743492240358786</v>
      </c>
      <c r="M486" s="11" t="str">
        <f>IF(Table46[[#This Row],[Strength of Win]]&gt; 0.5,Table46[[#This Row],[Predicted Winner]], IF(Table46[[#This Row],[Home]]=Table46[[#This Row],[Predicted Winner]],Table46[[#This Row],[Visitor]],Table46[[#This Row],[Home]]))</f>
        <v>Nashville Predators</v>
      </c>
      <c r="N486" t="str">
        <f>IF(OR((NHL2025_26Results[[#This Row],[Winning Team]]="")),"-",IF(Table46[[#This Row],[Predicted Winner]]=NHL2025_26Results[[#This Row],[Winning Team]],"YES","NO"))</f>
        <v>-</v>
      </c>
      <c r="O486" t="str">
        <f>IF(OR((NHL2025_26Results[[#This Row],[Winning Team]]="")),"-",IF(Table46[[#This Row],[Prob Winner]]=NHL2025_26Results[[#This Row],[Winning Team]],"YES","NO"))</f>
        <v>-</v>
      </c>
      <c r="P486" t="str">
        <f>IF(Table46[[#This Row],[Locked Prediction]]&lt;&gt;Table46[[#This Row],[Prob Winner]], "Changed", "Same")</f>
        <v>Changed</v>
      </c>
      <c r="Q48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87" spans="4:17" x14ac:dyDescent="0.2">
      <c r="D487" s="1">
        <v>46002</v>
      </c>
      <c r="E487" s="2">
        <v>0.79166666666666663</v>
      </c>
      <c r="F487" t="s">
        <v>30</v>
      </c>
      <c r="G487">
        <f>VLOOKUP(Table46[[#This Row],[Home]],'NHL Model'!$A$6:$B$38,2,FALSE)</f>
        <v>-6.4729560818359025E-2</v>
      </c>
      <c r="H487" t="s">
        <v>31</v>
      </c>
      <c r="I487">
        <f>VLOOKUP(Table46[[#This Row],[Visitor]],'NHL Model'!$A$6:$B$38,2,FALSE)</f>
        <v>0.51775546328552802</v>
      </c>
      <c r="J487">
        <f>($B$1+Table46[[#This Row],[Home Differential]])-Table46[[#This Row],[Away Differential]]</f>
        <v>-0.41991271444156864</v>
      </c>
      <c r="K487" t="str">
        <f>IF(Table46[[#This Row],[HomeIce Differential]]&gt;0,Table46[[#This Row],[Home]],Table46[[#This Row],[Visitor]])</f>
        <v>Anaheim Ducks</v>
      </c>
      <c r="L48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0.53658361148686329</v>
      </c>
      <c r="M487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487" t="str">
        <f>IF(OR((NHL2025_26Results[[#This Row],[Winning Team]]="")),"-",IF(Table46[[#This Row],[Predicted Winner]]=NHL2025_26Results[[#This Row],[Winning Team]],"YES","NO"))</f>
        <v>-</v>
      </c>
      <c r="O487" t="str">
        <f>IF(OR((NHL2025_26Results[[#This Row],[Winning Team]]="")),"-",IF(Table46[[#This Row],[Prob Winner]]=NHL2025_26Results[[#This Row],[Winning Team]],"YES","NO"))</f>
        <v>-</v>
      </c>
      <c r="P487" t="str">
        <f>IF(Table46[[#This Row],[Locked Prediction]]&lt;&gt;Table46[[#This Row],[Prob Winner]], "Changed", "Same")</f>
        <v>Changed</v>
      </c>
      <c r="Q48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88" spans="4:17" x14ac:dyDescent="0.2">
      <c r="D488" s="1">
        <v>46002</v>
      </c>
      <c r="E488" s="2">
        <v>0.79166666666666663</v>
      </c>
      <c r="F488" t="s">
        <v>27</v>
      </c>
      <c r="G488">
        <f>VLOOKUP(Table46[[#This Row],[Home]],'NHL Model'!$A$6:$B$38,2,FALSE)</f>
        <v>-0.51358590497437617</v>
      </c>
      <c r="H488" t="s">
        <v>20</v>
      </c>
      <c r="I488">
        <f>VLOOKUP(Table46[[#This Row],[Visitor]],'NHL Model'!$A$6:$B$38,2,FALSE)</f>
        <v>-6.3745791019188943E-4</v>
      </c>
      <c r="J488">
        <f>($B$1+Table46[[#This Row],[Home Differential]])-Table46[[#This Row],[Away Differential]]</f>
        <v>-0.35037613740186591</v>
      </c>
      <c r="K488" t="str">
        <f>IF(Table46[[#This Row],[HomeIce Differential]]&gt;0,Table46[[#This Row],[Home]],Table46[[#This Row],[Visitor]])</f>
        <v>Vegas Golden Knights</v>
      </c>
      <c r="L48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0.52483251756432203</v>
      </c>
      <c r="M488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488" t="str">
        <f>IF(OR((NHL2025_26Results[[#This Row],[Winning Team]]="")),"-",IF(Table46[[#This Row],[Predicted Winner]]=NHL2025_26Results[[#This Row],[Winning Team]],"YES","NO"))</f>
        <v>-</v>
      </c>
      <c r="O488" t="str">
        <f>IF(OR((NHL2025_26Results[[#This Row],[Winning Team]]="")),"-",IF(Table46[[#This Row],[Prob Winner]]=NHL2025_26Results[[#This Row],[Winning Team]],"YES","NO"))</f>
        <v>-</v>
      </c>
      <c r="P488" t="str">
        <f>IF(Table46[[#This Row],[Locked Prediction]]&lt;&gt;Table46[[#This Row],[Prob Winner]], "Changed", "Same")</f>
        <v>Changed</v>
      </c>
      <c r="Q48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89" spans="4:17" x14ac:dyDescent="0.2">
      <c r="D489" s="1">
        <v>46002</v>
      </c>
      <c r="E489" s="2">
        <v>0.79166666666666663</v>
      </c>
      <c r="F489" t="s">
        <v>14</v>
      </c>
      <c r="G489">
        <f>VLOOKUP(Table46[[#This Row],[Home]],'NHL Model'!$A$6:$B$38,2,FALSE)</f>
        <v>0.26289091192875702</v>
      </c>
      <c r="H489" t="s">
        <v>18</v>
      </c>
      <c r="I489">
        <f>VLOOKUP(Table46[[#This Row],[Visitor]],'NHL Model'!$A$6:$B$38,2,FALSE)</f>
        <v>-0.52437726201848234</v>
      </c>
      <c r="J489">
        <f>($B$1+Table46[[#This Row],[Home Differential]])-Table46[[#This Row],[Away Differential]]</f>
        <v>0.94984048360955775</v>
      </c>
      <c r="K489" t="str">
        <f>IF(Table46[[#This Row],[HomeIce Differential]]&gt;0,Table46[[#This Row],[Home]],Table46[[#This Row],[Visitor]])</f>
        <v>Pittsburgh Penguins</v>
      </c>
      <c r="L48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0.62625185318264798</v>
      </c>
      <c r="M489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489" t="str">
        <f>IF(OR((NHL2025_26Results[[#This Row],[Winning Team]]="")),"-",IF(Table46[[#This Row],[Predicted Winner]]=NHL2025_26Results[[#This Row],[Winning Team]],"YES","NO"))</f>
        <v>-</v>
      </c>
      <c r="O489" t="str">
        <f>IF(OR((NHL2025_26Results[[#This Row],[Winning Team]]="")),"-",IF(Table46[[#This Row],[Prob Winner]]=NHL2025_26Results[[#This Row],[Winning Team]],"YES","NO"))</f>
        <v>-</v>
      </c>
      <c r="P489" t="str">
        <f>IF(Table46[[#This Row],[Locked Prediction]]&lt;&gt;Table46[[#This Row],[Prob Winner]], "Changed", "Same")</f>
        <v>Changed</v>
      </c>
      <c r="Q48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90" spans="4:17" x14ac:dyDescent="0.2">
      <c r="D490" s="1">
        <v>46002</v>
      </c>
      <c r="E490" s="2">
        <v>0.79166666666666663</v>
      </c>
      <c r="F490" t="s">
        <v>19</v>
      </c>
      <c r="G490">
        <f>VLOOKUP(Table46[[#This Row],[Home]],'NHL Model'!$A$6:$B$38,2,FALSE)</f>
        <v>-0.635565543477981</v>
      </c>
      <c r="H490" t="s">
        <v>33</v>
      </c>
      <c r="I490">
        <f>VLOOKUP(Table46[[#This Row],[Visitor]],'NHL Model'!$A$6:$B$38,2,FALSE)</f>
        <v>-0.39418177254008485</v>
      </c>
      <c r="J490">
        <f>($B$1+Table46[[#This Row],[Home Differential]])-Table46[[#This Row],[Away Differential]]</f>
        <v>-7.8811461275577754E-2</v>
      </c>
      <c r="K490" t="str">
        <f>IF(Table46[[#This Row],[HomeIce Differential]]&gt;0,Table46[[#This Row],[Home]],Table46[[#This Row],[Visitor]])</f>
        <v>San Jose Sharks</v>
      </c>
      <c r="L49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0.47047554111429546</v>
      </c>
      <c r="M490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490" t="str">
        <f>IF(OR((NHL2025_26Results[[#This Row],[Winning Team]]="")),"-",IF(Table46[[#This Row],[Predicted Winner]]=NHL2025_26Results[[#This Row],[Winning Team]],"YES","NO"))</f>
        <v>-</v>
      </c>
      <c r="O490" t="str">
        <f>IF(OR((NHL2025_26Results[[#This Row],[Winning Team]]="")),"-",IF(Table46[[#This Row],[Prob Winner]]=NHL2025_26Results[[#This Row],[Winning Team]],"YES","NO"))</f>
        <v>-</v>
      </c>
      <c r="P490" t="str">
        <f>IF(Table46[[#This Row],[Locked Prediction]]&lt;&gt;Table46[[#This Row],[Prob Winner]], "Changed", "Same")</f>
        <v>Changed</v>
      </c>
      <c r="Q49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91" spans="4:17" x14ac:dyDescent="0.2">
      <c r="D491" s="1">
        <v>46002</v>
      </c>
      <c r="E491" s="2">
        <v>0.91666666666666663</v>
      </c>
      <c r="F491" t="s">
        <v>38</v>
      </c>
      <c r="G491">
        <f>VLOOKUP(Table46[[#This Row],[Home]],'NHL Model'!$A$6:$B$38,2,FALSE)</f>
        <v>-0.6902088310934803</v>
      </c>
      <c r="H491" t="s">
        <v>23</v>
      </c>
      <c r="I491">
        <f>VLOOKUP(Table46[[#This Row],[Visitor]],'NHL Model'!$A$6:$B$38,2,FALSE)</f>
        <v>-0.8683412362501769</v>
      </c>
      <c r="J491">
        <f>($B$1+Table46[[#This Row],[Home Differential]])-Table46[[#This Row],[Away Differential]]</f>
        <v>0.34070471481901499</v>
      </c>
      <c r="K491" t="str">
        <f>IF(Table46[[#This Row],[HomeIce Differential]]&gt;0,Table46[[#This Row],[Home]],Table46[[#This Row],[Visitor]])</f>
        <v>Vancouver Canucks</v>
      </c>
      <c r="L49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0.58528613212031488</v>
      </c>
      <c r="M491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491" t="str">
        <f>IF(OR((NHL2025_26Results[[#This Row],[Winning Team]]="")),"-",IF(Table46[[#This Row],[Predicted Winner]]=NHL2025_26Results[[#This Row],[Winning Team]],"YES","NO"))</f>
        <v>-</v>
      </c>
      <c r="O491" t="str">
        <f>IF(OR((NHL2025_26Results[[#This Row],[Winning Team]]="")),"-",IF(Table46[[#This Row],[Prob Winner]]=NHL2025_26Results[[#This Row],[Winning Team]],"YES","NO"))</f>
        <v>-</v>
      </c>
      <c r="P491" t="str">
        <f>IF(Table46[[#This Row],[Locked Prediction]]&lt;&gt;Table46[[#This Row],[Prob Winner]], "Changed", "Same")</f>
        <v>Changed</v>
      </c>
      <c r="Q49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92" spans="4:17" x14ac:dyDescent="0.2">
      <c r="D492" s="1">
        <v>46002</v>
      </c>
      <c r="E492" s="2">
        <v>0.83333333333333337</v>
      </c>
      <c r="F492" t="s">
        <v>40</v>
      </c>
      <c r="G492">
        <f>VLOOKUP(Table46[[#This Row],[Home]],'NHL Model'!$A$6:$B$38,2,FALSE)</f>
        <v>0.105105258369765</v>
      </c>
      <c r="H492" t="s">
        <v>21</v>
      </c>
      <c r="I492">
        <f>VLOOKUP(Table46[[#This Row],[Visitor]],'NHL Model'!$A$6:$B$38,2,FALSE)</f>
        <v>4.029141914856392E-2</v>
      </c>
      <c r="J492">
        <f>($B$1+Table46[[#This Row],[Home Differential]])-Table46[[#This Row],[Away Differential]]</f>
        <v>0.22738614888351949</v>
      </c>
      <c r="K492" t="str">
        <f>IF(Table46[[#This Row],[HomeIce Differential]]&gt;0,Table46[[#This Row],[Home]],Table46[[#This Row],[Visitor]])</f>
        <v>Winnipeg Jets</v>
      </c>
      <c r="L49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0.60626080730531495</v>
      </c>
      <c r="M492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492" t="str">
        <f>IF(OR((NHL2025_26Results[[#This Row],[Winning Team]]="")),"-",IF(Table46[[#This Row],[Predicted Winner]]=NHL2025_26Results[[#This Row],[Winning Team]],"YES","NO"))</f>
        <v>-</v>
      </c>
      <c r="O492" t="str">
        <f>IF(OR((NHL2025_26Results[[#This Row],[Winning Team]]="")),"-",IF(Table46[[#This Row],[Prob Winner]]=NHL2025_26Results[[#This Row],[Winning Team]],"YES","NO"))</f>
        <v>-</v>
      </c>
      <c r="P492" t="str">
        <f>IF(Table46[[#This Row],[Locked Prediction]]&lt;&gt;Table46[[#This Row],[Prob Winner]], "Changed", "Same")</f>
        <v>Changed</v>
      </c>
      <c r="Q49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93" spans="4:17" x14ac:dyDescent="0.2">
      <c r="D493" s="1">
        <v>46002</v>
      </c>
      <c r="E493" s="2">
        <v>0.79166666666666663</v>
      </c>
      <c r="F493" t="s">
        <v>22</v>
      </c>
      <c r="G493">
        <f>VLOOKUP(Table46[[#This Row],[Home]],'NHL Model'!$A$6:$B$38,2,FALSE)</f>
        <v>-6.1308839486784707E-2</v>
      </c>
      <c r="H493" t="s">
        <v>25</v>
      </c>
      <c r="I493">
        <f>VLOOKUP(Table46[[#This Row],[Visitor]],'NHL Model'!$A$6:$B$38,2,FALSE)</f>
        <v>0.67193921242367816</v>
      </c>
      <c r="J493">
        <f>($B$1+Table46[[#This Row],[Home Differential]])-Table46[[#This Row],[Away Differential]]</f>
        <v>-0.57067574224814444</v>
      </c>
      <c r="K493" t="str">
        <f>IF(Table46[[#This Row],[HomeIce Differential]]&gt;0,Table46[[#This Row],[Home]],Table46[[#This Row],[Visitor]])</f>
        <v>Carolina Hurricanes</v>
      </c>
      <c r="L49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0.62833984039906032</v>
      </c>
      <c r="M493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493" t="str">
        <f>IF(OR((NHL2025_26Results[[#This Row],[Winning Team]]="")),"-",IF(Table46[[#This Row],[Predicted Winner]]=NHL2025_26Results[[#This Row],[Winning Team]],"YES","NO"))</f>
        <v>-</v>
      </c>
      <c r="O493" t="str">
        <f>IF(OR((NHL2025_26Results[[#This Row],[Winning Team]]="")),"-",IF(Table46[[#This Row],[Prob Winner]]=NHL2025_26Results[[#This Row],[Winning Team]],"YES","NO"))</f>
        <v>-</v>
      </c>
      <c r="P493" t="str">
        <f>IF(Table46[[#This Row],[Locked Prediction]]&lt;&gt;Table46[[#This Row],[Prob Winner]], "Changed", "Same")</f>
        <v>Changed</v>
      </c>
      <c r="Q49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94" spans="4:17" x14ac:dyDescent="0.2">
      <c r="D494" s="1">
        <v>46003</v>
      </c>
      <c r="E494" s="2">
        <v>0.83333333333333337</v>
      </c>
      <c r="F494" t="s">
        <v>35</v>
      </c>
      <c r="G494">
        <f>VLOOKUP(Table46[[#This Row],[Home]],'NHL Model'!$A$6:$B$38,2,FALSE)</f>
        <v>-1.6211574240381006</v>
      </c>
      <c r="H494" t="s">
        <v>10</v>
      </c>
      <c r="I494">
        <f>VLOOKUP(Table46[[#This Row],[Visitor]],'NHL Model'!$A$6:$B$38,2,FALSE)</f>
        <v>0.30570968833820172</v>
      </c>
      <c r="J494">
        <f>($B$1+Table46[[#This Row],[Home Differential]])-Table46[[#This Row],[Away Differential]]</f>
        <v>-1.764294802713984</v>
      </c>
      <c r="K494" t="str">
        <f>IF(Table46[[#This Row],[HomeIce Differential]]&gt;0,Table46[[#This Row],[Home]],Table46[[#This Row],[Visitor]])</f>
        <v>Chicago Blackhawks</v>
      </c>
      <c r="L49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0.71527754268775778</v>
      </c>
      <c r="M494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494" t="str">
        <f>IF(OR((NHL2025_26Results[[#This Row],[Winning Team]]="")),"-",IF(Table46[[#This Row],[Predicted Winner]]=NHL2025_26Results[[#This Row],[Winning Team]],"YES","NO"))</f>
        <v>-</v>
      </c>
      <c r="O494" t="str">
        <f>IF(OR((NHL2025_26Results[[#This Row],[Winning Team]]="")),"-",IF(Table46[[#This Row],[Prob Winner]]=NHL2025_26Results[[#This Row],[Winning Team]],"YES","NO"))</f>
        <v>-</v>
      </c>
      <c r="P494" t="str">
        <f>IF(Table46[[#This Row],[Locked Prediction]]&lt;&gt;Table46[[#This Row],[Prob Winner]], "Changed", "Same")</f>
        <v>Changed</v>
      </c>
      <c r="Q49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95" spans="4:17" x14ac:dyDescent="0.2">
      <c r="D495" s="1">
        <v>46003</v>
      </c>
      <c r="E495" s="2">
        <v>0.875</v>
      </c>
      <c r="F495" t="s">
        <v>55</v>
      </c>
      <c r="G495">
        <f>VLOOKUP(Table46[[#This Row],[Home]],'NHL Model'!$A$6:$B$38,2,FALSE)</f>
        <v>-0.12212311954851815</v>
      </c>
      <c r="H495" t="s">
        <v>32</v>
      </c>
      <c r="I495">
        <f>VLOOKUP(Table46[[#This Row],[Visitor]],'NHL Model'!$A$6:$B$38,2,FALSE)</f>
        <v>-0.361361309178443</v>
      </c>
      <c r="J495">
        <f>($B$1+Table46[[#This Row],[Home Differential]])-Table46[[#This Row],[Away Differential]]</f>
        <v>0.40181049929224322</v>
      </c>
      <c r="K495" t="str">
        <f>IF(Table46[[#This Row],[HomeIce Differential]]&gt;0,Table46[[#This Row],[Home]],Table46[[#This Row],[Visitor]])</f>
        <v>Utah Mammoth</v>
      </c>
      <c r="L49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0.66168075835168549</v>
      </c>
      <c r="M495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495" t="str">
        <f>IF(OR((NHL2025_26Results[[#This Row],[Winning Team]]="")),"-",IF(Table46[[#This Row],[Predicted Winner]]=NHL2025_26Results[[#This Row],[Winning Team]],"YES","NO"))</f>
        <v>-</v>
      </c>
      <c r="O495" t="str">
        <f>IF(OR((NHL2025_26Results[[#This Row],[Winning Team]]="")),"-",IF(Table46[[#This Row],[Prob Winner]]=NHL2025_26Results[[#This Row],[Winning Team]],"YES","NO"))</f>
        <v>-</v>
      </c>
      <c r="P495" t="str">
        <f>IF(Table46[[#This Row],[Locked Prediction]]&lt;&gt;Table46[[#This Row],[Prob Winner]], "Changed", "Same")</f>
        <v>Changed</v>
      </c>
      <c r="Q49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96" spans="4:17" x14ac:dyDescent="0.2">
      <c r="D496" s="1">
        <v>46004</v>
      </c>
      <c r="E496" s="2">
        <v>0.79166666666666663</v>
      </c>
      <c r="F496" t="s">
        <v>28</v>
      </c>
      <c r="G496">
        <f>VLOOKUP(Table46[[#This Row],[Home]],'NHL Model'!$A$6:$B$38,2,FALSE)</f>
        <v>-0.40822279081308277</v>
      </c>
      <c r="H496" t="s">
        <v>20</v>
      </c>
      <c r="I496">
        <f>VLOOKUP(Table46[[#This Row],[Visitor]],'NHL Model'!$A$6:$B$38,2,FALSE)</f>
        <v>-6.3745791019188943E-4</v>
      </c>
      <c r="J496">
        <f>($B$1+Table46[[#This Row],[Home Differential]])-Table46[[#This Row],[Away Differential]]</f>
        <v>-0.24501302324057248</v>
      </c>
      <c r="K496" t="str">
        <f>IF(Table46[[#This Row],[HomeIce Differential]]&gt;0,Table46[[#This Row],[Home]],Table46[[#This Row],[Visitor]])</f>
        <v>Vegas Golden Knights</v>
      </c>
      <c r="L49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0.51333611833802906</v>
      </c>
      <c r="M496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496" t="str">
        <f>IF(OR((NHL2025_26Results[[#This Row],[Winning Team]]="")),"-",IF(Table46[[#This Row],[Predicted Winner]]=NHL2025_26Results[[#This Row],[Winning Team]],"YES","NO"))</f>
        <v>-</v>
      </c>
      <c r="O496" t="str">
        <f>IF(OR((NHL2025_26Results[[#This Row],[Winning Team]]="")),"-",IF(Table46[[#This Row],[Prob Winner]]=NHL2025_26Results[[#This Row],[Winning Team]],"YES","NO"))</f>
        <v>-</v>
      </c>
      <c r="P496" t="str">
        <f>IF(Table46[[#This Row],[Locked Prediction]]&lt;&gt;Table46[[#This Row],[Prob Winner]], "Changed", "Same")</f>
        <v>Changed</v>
      </c>
      <c r="Q49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97" spans="4:17" x14ac:dyDescent="0.2">
      <c r="D497" s="1">
        <v>46004</v>
      </c>
      <c r="E497" s="2">
        <v>0.83333333333333337</v>
      </c>
      <c r="F497" t="s">
        <v>10</v>
      </c>
      <c r="G497">
        <f>VLOOKUP(Table46[[#This Row],[Home]],'NHL Model'!$A$6:$B$38,2,FALSE)</f>
        <v>0.30570968833820172</v>
      </c>
      <c r="H497" t="s">
        <v>26</v>
      </c>
      <c r="I497">
        <f>VLOOKUP(Table46[[#This Row],[Visitor]],'NHL Model'!$A$6:$B$38,2,FALSE)</f>
        <v>-0.513643833119658</v>
      </c>
      <c r="J497">
        <f>($B$1+Table46[[#This Row],[Home Differential]])-Table46[[#This Row],[Away Differential]]</f>
        <v>0.98192583112017817</v>
      </c>
      <c r="K497" t="str">
        <f>IF(Table46[[#This Row],[HomeIce Differential]]&gt;0,Table46[[#This Row],[Home]],Table46[[#This Row],[Visitor]])</f>
        <v>Chicago Blackhawks</v>
      </c>
      <c r="L49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0.62341721420839247</v>
      </c>
      <c r="M497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497" t="str">
        <f>IF(OR((NHL2025_26Results[[#This Row],[Winning Team]]="")),"-",IF(Table46[[#This Row],[Predicted Winner]]=NHL2025_26Results[[#This Row],[Winning Team]],"YES","NO"))</f>
        <v>-</v>
      </c>
      <c r="O497" t="str">
        <f>IF(OR((NHL2025_26Results[[#This Row],[Winning Team]]="")),"-",IF(Table46[[#This Row],[Prob Winner]]=NHL2025_26Results[[#This Row],[Winning Team]],"YES","NO"))</f>
        <v>-</v>
      </c>
      <c r="P497" t="str">
        <f>IF(Table46[[#This Row],[Locked Prediction]]&lt;&gt;Table46[[#This Row],[Prob Winner]], "Changed", "Same")</f>
        <v>Changed</v>
      </c>
      <c r="Q49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98" spans="4:17" x14ac:dyDescent="0.2">
      <c r="D498" s="1">
        <v>46004</v>
      </c>
      <c r="E498" s="2">
        <v>0.875</v>
      </c>
      <c r="F498" t="s">
        <v>12</v>
      </c>
      <c r="G498">
        <f>VLOOKUP(Table46[[#This Row],[Home]],'NHL Model'!$A$6:$B$38,2,FALSE)</f>
        <v>1.5475013591489768</v>
      </c>
      <c r="H498" t="s">
        <v>29</v>
      </c>
      <c r="I498">
        <f>VLOOKUP(Table46[[#This Row],[Visitor]],'NHL Model'!$A$6:$B$38,2,FALSE)</f>
        <v>-1.3516250707060606</v>
      </c>
      <c r="J498">
        <f>($B$1+Table46[[#This Row],[Home Differential]])-Table46[[#This Row],[Away Differential]]</f>
        <v>3.0616987395173556</v>
      </c>
      <c r="K498" t="str">
        <f>IF(Table46[[#This Row],[HomeIce Differential]]&gt;0,Table46[[#This Row],[Home]],Table46[[#This Row],[Visitor]])</f>
        <v>Colorado Avalanche</v>
      </c>
      <c r="L49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1</v>
      </c>
      <c r="M498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498" t="str">
        <f>IF(OR((NHL2025_26Results[[#This Row],[Winning Team]]="")),"-",IF(Table46[[#This Row],[Predicted Winner]]=NHL2025_26Results[[#This Row],[Winning Team]],"YES","NO"))</f>
        <v>-</v>
      </c>
      <c r="O498" t="str">
        <f>IF(OR((NHL2025_26Results[[#This Row],[Winning Team]]="")),"-",IF(Table46[[#This Row],[Prob Winner]]=NHL2025_26Results[[#This Row],[Winning Team]],"YES","NO"))</f>
        <v>-</v>
      </c>
      <c r="P498" t="str">
        <f>IF(Table46[[#This Row],[Locked Prediction]]&lt;&gt;Table46[[#This Row],[Prob Winner]], "Changed", "Same")</f>
        <v>Changed</v>
      </c>
      <c r="Q49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499" spans="4:17" x14ac:dyDescent="0.2">
      <c r="D499" s="1">
        <v>46004</v>
      </c>
      <c r="E499" s="2">
        <v>0.83333333333333337</v>
      </c>
      <c r="F499" t="s">
        <v>39</v>
      </c>
      <c r="G499">
        <f>VLOOKUP(Table46[[#This Row],[Home]],'NHL Model'!$A$6:$B$38,2,FALSE)</f>
        <v>0.19809534061227302</v>
      </c>
      <c r="H499" t="s">
        <v>11</v>
      </c>
      <c r="I499">
        <f>VLOOKUP(Table46[[#This Row],[Visitor]],'NHL Model'!$A$6:$B$38,2,FALSE)</f>
        <v>-0.28105923893144158</v>
      </c>
      <c r="J499">
        <f>($B$1+Table46[[#This Row],[Home Differential]])-Table46[[#This Row],[Away Differential]]</f>
        <v>0.64172688920603305</v>
      </c>
      <c r="K499" t="str">
        <f>IF(Table46[[#This Row],[HomeIce Differential]]&gt;0,Table46[[#This Row],[Home]],Table46[[#This Row],[Visitor]])</f>
        <v>Dallas Stars</v>
      </c>
      <c r="L49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0.65133543624977075</v>
      </c>
      <c r="M499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499" t="str">
        <f>IF(OR((NHL2025_26Results[[#This Row],[Winning Team]]="")),"-",IF(Table46[[#This Row],[Predicted Winner]]=NHL2025_26Results[[#This Row],[Winning Team]],"YES","NO"))</f>
        <v>-</v>
      </c>
      <c r="O499" t="str">
        <f>IF(OR((NHL2025_26Results[[#This Row],[Winning Team]]="")),"-",IF(Table46[[#This Row],[Prob Winner]]=NHL2025_26Results[[#This Row],[Winning Team]],"YES","NO"))</f>
        <v>-</v>
      </c>
      <c r="P499" t="str">
        <f>IF(Table46[[#This Row],[Locked Prediction]]&lt;&gt;Table46[[#This Row],[Prob Winner]], "Changed", "Same")</f>
        <v>Changed</v>
      </c>
      <c r="Q49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00" spans="4:17" x14ac:dyDescent="0.2">
      <c r="D500" s="1">
        <v>46004</v>
      </c>
      <c r="E500" s="2">
        <v>0.91666666666666663</v>
      </c>
      <c r="F500" t="s">
        <v>13</v>
      </c>
      <c r="G500">
        <f>VLOOKUP(Table46[[#This Row],[Home]],'NHL Model'!$A$6:$B$38,2,FALSE)</f>
        <v>-7.5459708298993802E-2</v>
      </c>
      <c r="H500" t="s">
        <v>16</v>
      </c>
      <c r="I500">
        <f>VLOOKUP(Table46[[#This Row],[Visitor]],'NHL Model'!$A$6:$B$38,2,FALSE)</f>
        <v>-1.3903684122795328</v>
      </c>
      <c r="J500">
        <f>($B$1+Table46[[#This Row],[Home Differential]])-Table46[[#This Row],[Away Differential]]</f>
        <v>1.4774810136428573</v>
      </c>
      <c r="K500" t="str">
        <f>IF(Table46[[#This Row],[HomeIce Differential]]&gt;0,Table46[[#This Row],[Home]],Table46[[#This Row],[Visitor]])</f>
        <v>Los Angeles Kings</v>
      </c>
      <c r="L50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0.73638530809481173</v>
      </c>
      <c r="M500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500" t="str">
        <f>IF(OR((NHL2025_26Results[[#This Row],[Winning Team]]="")),"-",IF(Table46[[#This Row],[Predicted Winner]]=NHL2025_26Results[[#This Row],[Winning Team]],"YES","NO"))</f>
        <v>-</v>
      </c>
      <c r="O500" t="str">
        <f>IF(OR((NHL2025_26Results[[#This Row],[Winning Team]]="")),"-",IF(Table46[[#This Row],[Prob Winner]]=NHL2025_26Results[[#This Row],[Winning Team]],"YES","NO"))</f>
        <v>-</v>
      </c>
      <c r="P500" t="str">
        <f>IF(Table46[[#This Row],[Locked Prediction]]&lt;&gt;Table46[[#This Row],[Prob Winner]], "Changed", "Same")</f>
        <v>Changed</v>
      </c>
      <c r="Q50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01" spans="4:17" x14ac:dyDescent="0.2">
      <c r="D501" s="1">
        <v>46004</v>
      </c>
      <c r="E501" s="2">
        <v>0.58333333333333337</v>
      </c>
      <c r="F501" t="s">
        <v>34</v>
      </c>
      <c r="G501">
        <f>VLOOKUP(Table46[[#This Row],[Home]],'NHL Model'!$A$6:$B$38,2,FALSE)</f>
        <v>-0.53650300840565446</v>
      </c>
      <c r="H501" t="s">
        <v>36</v>
      </c>
      <c r="I501">
        <f>VLOOKUP(Table46[[#This Row],[Visitor]],'NHL Model'!$A$6:$B$38,2,FALSE)</f>
        <v>-0.40651947573390851</v>
      </c>
      <c r="J501">
        <f>($B$1+Table46[[#This Row],[Home Differential]])-Table46[[#This Row],[Away Differential]]</f>
        <v>3.2588776990572443E-2</v>
      </c>
      <c r="K501" t="str">
        <f>IF(Table46[[#This Row],[HomeIce Differential]]&gt;0,Table46[[#This Row],[Home]],Table46[[#This Row],[Visitor]])</f>
        <v>Minnesota Wild</v>
      </c>
      <c r="L50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0.54433166785266973</v>
      </c>
      <c r="M501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501" t="str">
        <f>IF(OR((NHL2025_26Results[[#This Row],[Winning Team]]="")),"-",IF(Table46[[#This Row],[Predicted Winner]]=NHL2025_26Results[[#This Row],[Winning Team]],"YES","NO"))</f>
        <v>-</v>
      </c>
      <c r="O501" t="str">
        <f>IF(OR((NHL2025_26Results[[#This Row],[Winning Team]]="")),"-",IF(Table46[[#This Row],[Prob Winner]]=NHL2025_26Results[[#This Row],[Winning Team]],"YES","NO"))</f>
        <v>-</v>
      </c>
      <c r="P501" t="str">
        <f>IF(Table46[[#This Row],[Locked Prediction]]&lt;&gt;Table46[[#This Row],[Prob Winner]], "Changed", "Same")</f>
        <v>Changed</v>
      </c>
      <c r="Q50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02" spans="4:17" x14ac:dyDescent="0.2">
      <c r="D502" s="1">
        <v>46004</v>
      </c>
      <c r="E502" s="2">
        <v>0.52083333333333337</v>
      </c>
      <c r="F502" t="s">
        <v>24</v>
      </c>
      <c r="G502">
        <f>VLOOKUP(Table46[[#This Row],[Home]],'NHL Model'!$A$6:$B$38,2,FALSE)</f>
        <v>0.559441163373953</v>
      </c>
      <c r="H502" t="s">
        <v>31</v>
      </c>
      <c r="I502">
        <f>VLOOKUP(Table46[[#This Row],[Visitor]],'NHL Model'!$A$6:$B$38,2,FALSE)</f>
        <v>0.51775546328552802</v>
      </c>
      <c r="J502">
        <f>($B$1+Table46[[#This Row],[Home Differential]])-Table46[[#This Row],[Away Differential]]</f>
        <v>0.20425800975074337</v>
      </c>
      <c r="K502" t="str">
        <f>IF(Table46[[#This Row],[HomeIce Differential]]&gt;0,Table46[[#This Row],[Home]],Table46[[#This Row],[Visitor]])</f>
        <v>New Jersey Devils</v>
      </c>
      <c r="L50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0.66351340803943615</v>
      </c>
      <c r="M502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502" t="str">
        <f>IF(OR((NHL2025_26Results[[#This Row],[Winning Team]]="")),"-",IF(Table46[[#This Row],[Predicted Winner]]=NHL2025_26Results[[#This Row],[Winning Team]],"YES","NO"))</f>
        <v>-</v>
      </c>
      <c r="O502" t="str">
        <f>IF(OR((NHL2025_26Results[[#This Row],[Winning Team]]="")),"-",IF(Table46[[#This Row],[Prob Winner]]=NHL2025_26Results[[#This Row],[Winning Team]],"YES","NO"))</f>
        <v>-</v>
      </c>
      <c r="P502" t="str">
        <f>IF(Table46[[#This Row],[Locked Prediction]]&lt;&gt;Table46[[#This Row],[Prob Winner]], "Changed", "Same")</f>
        <v>Changed</v>
      </c>
      <c r="Q50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03" spans="4:17" x14ac:dyDescent="0.2">
      <c r="D503" s="1">
        <v>46004</v>
      </c>
      <c r="E503" s="2">
        <v>0.64583333333333337</v>
      </c>
      <c r="F503" t="s">
        <v>30</v>
      </c>
      <c r="G503">
        <f>VLOOKUP(Table46[[#This Row],[Home]],'NHL Model'!$A$6:$B$38,2,FALSE)</f>
        <v>-6.4729560818359025E-2</v>
      </c>
      <c r="H503" t="s">
        <v>37</v>
      </c>
      <c r="I503">
        <f>VLOOKUP(Table46[[#This Row],[Visitor]],'NHL Model'!$A$6:$B$38,2,FALSE)</f>
        <v>-0.11309445867623392</v>
      </c>
      <c r="J503">
        <f>($B$1+Table46[[#This Row],[Home Differential]])-Table46[[#This Row],[Away Differential]]</f>
        <v>0.21093720752019329</v>
      </c>
      <c r="K503" t="str">
        <f>IF(Table46[[#This Row],[HomeIce Differential]]&gt;0,Table46[[#This Row],[Home]],Table46[[#This Row],[Visitor]])</f>
        <v>New York Islanders</v>
      </c>
      <c r="L50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0.52093817252516894</v>
      </c>
      <c r="M503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503" t="str">
        <f>IF(OR((NHL2025_26Results[[#This Row],[Winning Team]]="")),"-",IF(Table46[[#This Row],[Predicted Winner]]=NHL2025_26Results[[#This Row],[Winning Team]],"YES","NO"))</f>
        <v>-</v>
      </c>
      <c r="O503" t="str">
        <f>IF(OR((NHL2025_26Results[[#This Row],[Winning Team]]="")),"-",IF(Table46[[#This Row],[Prob Winner]]=NHL2025_26Results[[#This Row],[Winning Team]],"YES","NO"))</f>
        <v>-</v>
      </c>
      <c r="P503" t="str">
        <f>IF(Table46[[#This Row],[Locked Prediction]]&lt;&gt;Table46[[#This Row],[Prob Winner]], "Changed", "Same")</f>
        <v>Changed</v>
      </c>
      <c r="Q50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04" spans="4:17" x14ac:dyDescent="0.2">
      <c r="D504" s="1">
        <v>46004</v>
      </c>
      <c r="E504" s="2">
        <v>0.79166666666666663</v>
      </c>
      <c r="F504" t="s">
        <v>15</v>
      </c>
      <c r="G504">
        <f>VLOOKUP(Table46[[#This Row],[Home]],'NHL Model'!$A$6:$B$38,2,FALSE)</f>
        <v>-0.30719665303039001</v>
      </c>
      <c r="H504" t="s">
        <v>18</v>
      </c>
      <c r="I504">
        <f>VLOOKUP(Table46[[#This Row],[Visitor]],'NHL Model'!$A$6:$B$38,2,FALSE)</f>
        <v>-0.52437726201848234</v>
      </c>
      <c r="J504">
        <f>($B$1+Table46[[#This Row],[Home Differential]])-Table46[[#This Row],[Away Differential]]</f>
        <v>0.37975291865041072</v>
      </c>
      <c r="K504" t="str">
        <f>IF(Table46[[#This Row],[HomeIce Differential]]&gt;0,Table46[[#This Row],[Home]],Table46[[#This Row],[Visitor]])</f>
        <v>New York Rangers</v>
      </c>
      <c r="L50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0.51399569387436816</v>
      </c>
      <c r="M504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504" t="str">
        <f>IF(OR((NHL2025_26Results[[#This Row],[Winning Team]]="")),"-",IF(Table46[[#This Row],[Predicted Winner]]=NHL2025_26Results[[#This Row],[Winning Team]],"YES","NO"))</f>
        <v>-</v>
      </c>
      <c r="O504" t="str">
        <f>IF(OR((NHL2025_26Results[[#This Row],[Winning Team]]="")),"-",IF(Table46[[#This Row],[Prob Winner]]=NHL2025_26Results[[#This Row],[Winning Team]],"YES","NO"))</f>
        <v>-</v>
      </c>
      <c r="P504" t="str">
        <f>IF(Table46[[#This Row],[Locked Prediction]]&lt;&gt;Table46[[#This Row],[Prob Winner]], "Changed", "Same")</f>
        <v>Changed</v>
      </c>
      <c r="Q50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05" spans="4:17" x14ac:dyDescent="0.2">
      <c r="D505" s="1">
        <v>46004</v>
      </c>
      <c r="E505" s="2">
        <v>0.79166666666666663</v>
      </c>
      <c r="F505" t="s">
        <v>27</v>
      </c>
      <c r="G505">
        <f>VLOOKUP(Table46[[#This Row],[Home]],'NHL Model'!$A$6:$B$38,2,FALSE)</f>
        <v>-0.51358590497437617</v>
      </c>
      <c r="H505" t="s">
        <v>25</v>
      </c>
      <c r="I505">
        <f>VLOOKUP(Table46[[#This Row],[Visitor]],'NHL Model'!$A$6:$B$38,2,FALSE)</f>
        <v>0.67193921242367816</v>
      </c>
      <c r="J505">
        <f>($B$1+Table46[[#This Row],[Home Differential]])-Table46[[#This Row],[Away Differential]]</f>
        <v>-1.0229528077357359</v>
      </c>
      <c r="K505" t="str">
        <f>IF(Table46[[#This Row],[HomeIce Differential]]&gt;0,Table46[[#This Row],[Home]],Table46[[#This Row],[Visitor]])</f>
        <v>Carolina Hurricanes</v>
      </c>
      <c r="L50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0.68596987065053128</v>
      </c>
      <c r="M505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505" t="str">
        <f>IF(OR((NHL2025_26Results[[#This Row],[Winning Team]]="")),"-",IF(Table46[[#This Row],[Predicted Winner]]=NHL2025_26Results[[#This Row],[Winning Team]],"YES","NO"))</f>
        <v>-</v>
      </c>
      <c r="O505" t="str">
        <f>IF(OR((NHL2025_26Results[[#This Row],[Winning Team]]="")),"-",IF(Table46[[#This Row],[Prob Winner]]=NHL2025_26Results[[#This Row],[Winning Team]],"YES","NO"))</f>
        <v>-</v>
      </c>
      <c r="P505" t="str">
        <f>IF(Table46[[#This Row],[Locked Prediction]]&lt;&gt;Table46[[#This Row],[Prob Winner]], "Changed", "Same")</f>
        <v>Changed</v>
      </c>
      <c r="Q50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06" spans="4:17" x14ac:dyDescent="0.2">
      <c r="D506" s="1">
        <v>46004</v>
      </c>
      <c r="E506" s="2">
        <v>0.625</v>
      </c>
      <c r="F506" t="s">
        <v>14</v>
      </c>
      <c r="G506">
        <f>VLOOKUP(Table46[[#This Row],[Home]],'NHL Model'!$A$6:$B$38,2,FALSE)</f>
        <v>0.26289091192875702</v>
      </c>
      <c r="H506" t="s">
        <v>33</v>
      </c>
      <c r="I506">
        <f>VLOOKUP(Table46[[#This Row],[Visitor]],'NHL Model'!$A$6:$B$38,2,FALSE)</f>
        <v>-0.39418177254008485</v>
      </c>
      <c r="J506">
        <f>($B$1+Table46[[#This Row],[Home Differential]])-Table46[[#This Row],[Away Differential]]</f>
        <v>0.81964499413116032</v>
      </c>
      <c r="K506" t="str">
        <f>IF(Table46[[#This Row],[HomeIce Differential]]&gt;0,Table46[[#This Row],[Home]],Table46[[#This Row],[Visitor]])</f>
        <v>Pittsburgh Penguins</v>
      </c>
      <c r="L50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0.68498326446167501</v>
      </c>
      <c r="M506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506" t="str">
        <f>IF(OR((NHL2025_26Results[[#This Row],[Winning Team]]="")),"-",IF(Table46[[#This Row],[Predicted Winner]]=NHL2025_26Results[[#This Row],[Winning Team]],"YES","NO"))</f>
        <v>-</v>
      </c>
      <c r="O506" t="str">
        <f>IF(OR((NHL2025_26Results[[#This Row],[Winning Team]]="")),"-",IF(Table46[[#This Row],[Prob Winner]]=NHL2025_26Results[[#This Row],[Winning Team]],"YES","NO"))</f>
        <v>-</v>
      </c>
      <c r="P506" t="str">
        <f>IF(Table46[[#This Row],[Locked Prediction]]&lt;&gt;Table46[[#This Row],[Prob Winner]], "Changed", "Same")</f>
        <v>Changed</v>
      </c>
      <c r="Q50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07" spans="4:17" x14ac:dyDescent="0.2">
      <c r="D507" s="1">
        <v>46004</v>
      </c>
      <c r="E507" s="2">
        <v>0.79166666666666663</v>
      </c>
      <c r="F507" t="s">
        <v>19</v>
      </c>
      <c r="G507">
        <f>VLOOKUP(Table46[[#This Row],[Home]],'NHL Model'!$A$6:$B$38,2,FALSE)</f>
        <v>-0.635565543477981</v>
      </c>
      <c r="H507" t="s">
        <v>17</v>
      </c>
      <c r="I507">
        <f>VLOOKUP(Table46[[#This Row],[Visitor]],'NHL Model'!$A$6:$B$38,2,FALSE)</f>
        <v>-0.61980804137564283</v>
      </c>
      <c r="J507">
        <f>($B$1+Table46[[#This Row],[Home Differential]])-Table46[[#This Row],[Away Differential]]</f>
        <v>0.14681480755998022</v>
      </c>
      <c r="K507" t="str">
        <f>IF(Table46[[#This Row],[HomeIce Differential]]&gt;0,Table46[[#This Row],[Home]],Table46[[#This Row],[Visitor]])</f>
        <v>Toronto Maple Leafs</v>
      </c>
      <c r="L50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0.55951447832446843</v>
      </c>
      <c r="M507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507" t="str">
        <f>IF(OR((NHL2025_26Results[[#This Row],[Winning Team]]="")),"-",IF(Table46[[#This Row],[Predicted Winner]]=NHL2025_26Results[[#This Row],[Winning Team]],"YES","NO"))</f>
        <v>-</v>
      </c>
      <c r="O507" t="str">
        <f>IF(OR((NHL2025_26Results[[#This Row],[Winning Team]]="")),"-",IF(Table46[[#This Row],[Prob Winner]]=NHL2025_26Results[[#This Row],[Winning Team]],"YES","NO"))</f>
        <v>-</v>
      </c>
      <c r="P507" t="str">
        <f>IF(Table46[[#This Row],[Locked Prediction]]&lt;&gt;Table46[[#This Row],[Prob Winner]], "Changed", "Same")</f>
        <v>Changed</v>
      </c>
      <c r="Q50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08" spans="4:17" x14ac:dyDescent="0.2">
      <c r="D508" s="1">
        <v>46004</v>
      </c>
      <c r="E508" s="2">
        <v>0.79166666666666663</v>
      </c>
      <c r="F508" t="s">
        <v>40</v>
      </c>
      <c r="G508">
        <f>VLOOKUP(Table46[[#This Row],[Home]],'NHL Model'!$A$6:$B$38,2,FALSE)</f>
        <v>0.105105258369765</v>
      </c>
      <c r="H508" t="s">
        <v>22</v>
      </c>
      <c r="I508">
        <f>VLOOKUP(Table46[[#This Row],[Visitor]],'NHL Model'!$A$6:$B$38,2,FALSE)</f>
        <v>-6.1308839486784707E-2</v>
      </c>
      <c r="J508">
        <f>($B$1+Table46[[#This Row],[Home Differential]])-Table46[[#This Row],[Away Differential]]</f>
        <v>0.32898640751886815</v>
      </c>
      <c r="K508" t="str">
        <f>IF(Table46[[#This Row],[HomeIce Differential]]&gt;0,Table46[[#This Row],[Home]],Table46[[#This Row],[Visitor]])</f>
        <v>Winnipeg Jets</v>
      </c>
      <c r="L50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0.61976541271842955</v>
      </c>
      <c r="M508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508" t="str">
        <f>IF(OR((NHL2025_26Results[[#This Row],[Winning Team]]="")),"-",IF(Table46[[#This Row],[Predicted Winner]]=NHL2025_26Results[[#This Row],[Winning Team]],"YES","NO"))</f>
        <v>-</v>
      </c>
      <c r="O508" t="str">
        <f>IF(OR((NHL2025_26Results[[#This Row],[Winning Team]]="")),"-",IF(Table46[[#This Row],[Prob Winner]]=NHL2025_26Results[[#This Row],[Winning Team]],"YES","NO"))</f>
        <v>-</v>
      </c>
      <c r="P508" t="str">
        <f>IF(Table46[[#This Row],[Locked Prediction]]&lt;&gt;Table46[[#This Row],[Prob Winner]], "Changed", "Same")</f>
        <v>Changed</v>
      </c>
      <c r="Q50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09" spans="4:17" x14ac:dyDescent="0.2">
      <c r="D509" s="1">
        <v>46005</v>
      </c>
      <c r="E509" s="2">
        <v>0.70833333333333337</v>
      </c>
      <c r="F509" t="s">
        <v>25</v>
      </c>
      <c r="G509">
        <f>VLOOKUP(Table46[[#This Row],[Home]],'NHL Model'!$A$6:$B$38,2,FALSE)</f>
        <v>0.67193921242367816</v>
      </c>
      <c r="H509" t="s">
        <v>27</v>
      </c>
      <c r="I509">
        <f>VLOOKUP(Table46[[#This Row],[Visitor]],'NHL Model'!$A$6:$B$38,2,FALSE)</f>
        <v>-0.51358590497437617</v>
      </c>
      <c r="J509">
        <f>($B$1+Table46[[#This Row],[Home Differential]])-Table46[[#This Row],[Away Differential]]</f>
        <v>1.3480974270603727</v>
      </c>
      <c r="K509" t="str">
        <f>IF(Table46[[#This Row],[HomeIce Differential]]&gt;0,Table46[[#This Row],[Home]],Table46[[#This Row],[Visitor]])</f>
        <v>Carolina Hurricanes</v>
      </c>
      <c r="L50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0.77090374667185324</v>
      </c>
      <c r="M509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509" t="str">
        <f>IF(OR((NHL2025_26Results[[#This Row],[Winning Team]]="")),"-",IF(Table46[[#This Row],[Predicted Winner]]=NHL2025_26Results[[#This Row],[Winning Team]],"YES","NO"))</f>
        <v>-</v>
      </c>
      <c r="O509" t="str">
        <f>IF(OR((NHL2025_26Results[[#This Row],[Winning Team]]="")),"-",IF(Table46[[#This Row],[Prob Winner]]=NHL2025_26Results[[#This Row],[Winning Team]],"YES","NO"))</f>
        <v>-</v>
      </c>
      <c r="P509" t="str">
        <f>IF(Table46[[#This Row],[Locked Prediction]]&lt;&gt;Table46[[#This Row],[Prob Winner]], "Changed", "Same")</f>
        <v>Changed</v>
      </c>
      <c r="Q50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10" spans="4:17" x14ac:dyDescent="0.2">
      <c r="D510" s="1">
        <v>46005</v>
      </c>
      <c r="E510" s="2">
        <v>0.75</v>
      </c>
      <c r="F510" t="s">
        <v>34</v>
      </c>
      <c r="G510">
        <f>VLOOKUP(Table46[[#This Row],[Home]],'NHL Model'!$A$6:$B$38,2,FALSE)</f>
        <v>-0.53650300840565446</v>
      </c>
      <c r="H510" t="s">
        <v>21</v>
      </c>
      <c r="I510">
        <f>VLOOKUP(Table46[[#This Row],[Visitor]],'NHL Model'!$A$6:$B$38,2,FALSE)</f>
        <v>4.029141914856392E-2</v>
      </c>
      <c r="J510">
        <f>($B$1+Table46[[#This Row],[Home Differential]])-Table46[[#This Row],[Away Differential]]</f>
        <v>-0.4142221178919</v>
      </c>
      <c r="K510" t="str">
        <f>IF(Table46[[#This Row],[HomeIce Differential]]&gt;0,Table46[[#This Row],[Home]],Table46[[#This Row],[Visitor]])</f>
        <v>Boston Bruins</v>
      </c>
      <c r="L5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0.51505799227924953</v>
      </c>
      <c r="M510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510" t="str">
        <f>IF(OR((NHL2025_26Results[[#This Row],[Winning Team]]="")),"-",IF(Table46[[#This Row],[Predicted Winner]]=NHL2025_26Results[[#This Row],[Winning Team]],"YES","NO"))</f>
        <v>-</v>
      </c>
      <c r="O510" t="str">
        <f>IF(OR((NHL2025_26Results[[#This Row],[Winning Team]]="")),"-",IF(Table46[[#This Row],[Prob Winner]]=NHL2025_26Results[[#This Row],[Winning Team]],"YES","NO"))</f>
        <v>-</v>
      </c>
      <c r="P510" t="str">
        <f>IF(Table46[[#This Row],[Locked Prediction]]&lt;&gt;Table46[[#This Row],[Prob Winner]], "Changed", "Same")</f>
        <v>Changed</v>
      </c>
      <c r="Q51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11" spans="4:17" x14ac:dyDescent="0.2">
      <c r="D511" s="1">
        <v>46005</v>
      </c>
      <c r="E511" s="2">
        <v>0.79166666666666663</v>
      </c>
      <c r="F511" t="s">
        <v>18</v>
      </c>
      <c r="G511">
        <f>VLOOKUP(Table46[[#This Row],[Home]],'NHL Model'!$A$6:$B$38,2,FALSE)</f>
        <v>-0.52437726201848234</v>
      </c>
      <c r="H511" t="s">
        <v>17</v>
      </c>
      <c r="I511">
        <f>VLOOKUP(Table46[[#This Row],[Visitor]],'NHL Model'!$A$6:$B$38,2,FALSE)</f>
        <v>-0.61980804137564283</v>
      </c>
      <c r="J511">
        <f>($B$1+Table46[[#This Row],[Home Differential]])-Table46[[#This Row],[Away Differential]]</f>
        <v>0.25800308901947888</v>
      </c>
      <c r="K511" t="str">
        <f>IF(Table46[[#This Row],[HomeIce Differential]]&gt;0,Table46[[#This Row],[Home]],Table46[[#This Row],[Visitor]])</f>
        <v>Montreal Canadiens</v>
      </c>
      <c r="L5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0.57429351420332442</v>
      </c>
      <c r="M511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511" t="str">
        <f>IF(OR((NHL2025_26Results[[#This Row],[Winning Team]]="")),"-",IF(Table46[[#This Row],[Predicted Winner]]=NHL2025_26Results[[#This Row],[Winning Team]],"YES","NO"))</f>
        <v>-</v>
      </c>
      <c r="O511" t="str">
        <f>IF(OR((NHL2025_26Results[[#This Row],[Winning Team]]="")),"-",IF(Table46[[#This Row],[Prob Winner]]=NHL2025_26Results[[#This Row],[Winning Team]],"YES","NO"))</f>
        <v>-</v>
      </c>
      <c r="P511" t="str">
        <f>IF(Table46[[#This Row],[Locked Prediction]]&lt;&gt;Table46[[#This Row],[Prob Winner]], "Changed", "Same")</f>
        <v>Changed</v>
      </c>
      <c r="Q51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12" spans="4:17" x14ac:dyDescent="0.2">
      <c r="D512" s="1">
        <v>46005</v>
      </c>
      <c r="E512" s="2">
        <v>0.52083333333333337</v>
      </c>
      <c r="F512" t="s">
        <v>24</v>
      </c>
      <c r="G512">
        <f>VLOOKUP(Table46[[#This Row],[Home]],'NHL Model'!$A$6:$B$38,2,FALSE)</f>
        <v>0.559441163373953</v>
      </c>
      <c r="H512" t="s">
        <v>38</v>
      </c>
      <c r="I512">
        <f>VLOOKUP(Table46[[#This Row],[Visitor]],'NHL Model'!$A$6:$B$38,2,FALSE)</f>
        <v>-0.6902088310934803</v>
      </c>
      <c r="J512">
        <f>($B$1+Table46[[#This Row],[Home Differential]])-Table46[[#This Row],[Away Differential]]</f>
        <v>1.4122223041297517</v>
      </c>
      <c r="K512" t="str">
        <f>IF(Table46[[#This Row],[HomeIce Differential]]&gt;0,Table46[[#This Row],[Home]],Table46[[#This Row],[Visitor]])</f>
        <v>New Jersey Devils</v>
      </c>
      <c r="L5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0.80371118527681173</v>
      </c>
      <c r="M512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512" t="str">
        <f>IF(OR((NHL2025_26Results[[#This Row],[Winning Team]]="")),"-",IF(Table46[[#This Row],[Predicted Winner]]=NHL2025_26Results[[#This Row],[Winning Team]],"YES","NO"))</f>
        <v>-</v>
      </c>
      <c r="O512" t="str">
        <f>IF(OR((NHL2025_26Results[[#This Row],[Winning Team]]="")),"-",IF(Table46[[#This Row],[Prob Winner]]=NHL2025_26Results[[#This Row],[Winning Team]],"YES","NO"))</f>
        <v>-</v>
      </c>
      <c r="P512" t="str">
        <f>IF(Table46[[#This Row],[Locked Prediction]]&lt;&gt;Table46[[#This Row],[Prob Winner]], "Changed", "Same")</f>
        <v>Changed</v>
      </c>
      <c r="Q51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13" spans="4:17" x14ac:dyDescent="0.2">
      <c r="D513" s="1">
        <v>46005</v>
      </c>
      <c r="E513" s="2">
        <v>0.625</v>
      </c>
      <c r="F513" t="s">
        <v>14</v>
      </c>
      <c r="G513">
        <f>VLOOKUP(Table46[[#This Row],[Home]],'NHL Model'!$A$6:$B$38,2,FALSE)</f>
        <v>0.26289091192875702</v>
      </c>
      <c r="H513" t="s">
        <v>55</v>
      </c>
      <c r="I513">
        <f>VLOOKUP(Table46[[#This Row],[Visitor]],'NHL Model'!$A$6:$B$38,2,FALSE)</f>
        <v>-0.12212311954851815</v>
      </c>
      <c r="J513">
        <f>($B$1+Table46[[#This Row],[Home Differential]])-Table46[[#This Row],[Away Differential]]</f>
        <v>0.54758634113959359</v>
      </c>
      <c r="K513" t="str">
        <f>IF(Table46[[#This Row],[HomeIce Differential]]&gt;0,Table46[[#This Row],[Home]],Table46[[#This Row],[Visitor]])</f>
        <v>Pittsburgh Penguins</v>
      </c>
      <c r="L5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0.6488214986628198</v>
      </c>
      <c r="M513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513" t="str">
        <f>IF(OR((NHL2025_26Results[[#This Row],[Winning Team]]="")),"-",IF(Table46[[#This Row],[Predicted Winner]]=NHL2025_26Results[[#This Row],[Winning Team]],"YES","NO"))</f>
        <v>-</v>
      </c>
      <c r="O513" t="str">
        <f>IF(OR((NHL2025_26Results[[#This Row],[Winning Team]]="")),"-",IF(Table46[[#This Row],[Prob Winner]]=NHL2025_26Results[[#This Row],[Winning Team]],"YES","NO"))</f>
        <v>-</v>
      </c>
      <c r="P513" t="str">
        <f>IF(Table46[[#This Row],[Locked Prediction]]&lt;&gt;Table46[[#This Row],[Prob Winner]], "Changed", "Same")</f>
        <v>Changed</v>
      </c>
      <c r="Q51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14" spans="4:17" x14ac:dyDescent="0.2">
      <c r="D514" s="1">
        <v>46005</v>
      </c>
      <c r="E514" s="2">
        <v>0.83333333333333337</v>
      </c>
      <c r="F514" t="s">
        <v>32</v>
      </c>
      <c r="G514">
        <f>VLOOKUP(Table46[[#This Row],[Home]],'NHL Model'!$A$6:$B$38,2,FALSE)</f>
        <v>-0.361361309178443</v>
      </c>
      <c r="H514" t="s">
        <v>23</v>
      </c>
      <c r="I514">
        <f>VLOOKUP(Table46[[#This Row],[Visitor]],'NHL Model'!$A$6:$B$38,2,FALSE)</f>
        <v>-0.8683412362501769</v>
      </c>
      <c r="J514">
        <f>($B$1+Table46[[#This Row],[Home Differential]])-Table46[[#This Row],[Away Differential]]</f>
        <v>0.66955223673405229</v>
      </c>
      <c r="K514" t="str">
        <f>IF(Table46[[#This Row],[HomeIce Differential]]&gt;0,Table46[[#This Row],[Home]],Table46[[#This Row],[Visitor]])</f>
        <v>Seattle Kraken</v>
      </c>
      <c r="L51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0.65503395379190965</v>
      </c>
      <c r="M514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514" t="str">
        <f>IF(OR((NHL2025_26Results[[#This Row],[Winning Team]]="")),"-",IF(Table46[[#This Row],[Predicted Winner]]=NHL2025_26Results[[#This Row],[Winning Team]],"YES","NO"))</f>
        <v>-</v>
      </c>
      <c r="O514" t="str">
        <f>IF(OR((NHL2025_26Results[[#This Row],[Winning Team]]="")),"-",IF(Table46[[#This Row],[Prob Winner]]=NHL2025_26Results[[#This Row],[Winning Team]],"YES","NO"))</f>
        <v>-</v>
      </c>
      <c r="P514" t="str">
        <f>IF(Table46[[#This Row],[Locked Prediction]]&lt;&gt;Table46[[#This Row],[Prob Winner]], "Changed", "Same")</f>
        <v>Changed</v>
      </c>
      <c r="Q51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15" spans="4:17" x14ac:dyDescent="0.2">
      <c r="D515" s="1">
        <v>46006</v>
      </c>
      <c r="E515" s="2">
        <v>0.83333333333333337</v>
      </c>
      <c r="F515" t="s">
        <v>39</v>
      </c>
      <c r="G515">
        <f>VLOOKUP(Table46[[#This Row],[Home]],'NHL Model'!$A$6:$B$38,2,FALSE)</f>
        <v>0.19809534061227302</v>
      </c>
      <c r="H515" t="s">
        <v>13</v>
      </c>
      <c r="I515">
        <f>VLOOKUP(Table46[[#This Row],[Visitor]],'NHL Model'!$A$6:$B$38,2,FALSE)</f>
        <v>-7.5459708298993802E-2</v>
      </c>
      <c r="J515">
        <f>($B$1+Table46[[#This Row],[Home Differential]])-Table46[[#This Row],[Away Differential]]</f>
        <v>0.4361273585735852</v>
      </c>
      <c r="K515" t="str">
        <f>IF(Table46[[#This Row],[HomeIce Differential]]&gt;0,Table46[[#This Row],[Home]],Table46[[#This Row],[Visitor]])</f>
        <v>Dallas Stars</v>
      </c>
      <c r="L51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0.50241405954689156</v>
      </c>
      <c r="M515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515" t="str">
        <f>IF(OR((NHL2025_26Results[[#This Row],[Winning Team]]="")),"-",IF(Table46[[#This Row],[Predicted Winner]]=NHL2025_26Results[[#This Row],[Winning Team]],"YES","NO"))</f>
        <v>-</v>
      </c>
      <c r="O515" t="str">
        <f>IF(OR((NHL2025_26Results[[#This Row],[Winning Team]]="")),"-",IF(Table46[[#This Row],[Prob Winner]]=NHL2025_26Results[[#This Row],[Winning Team]],"YES","NO"))</f>
        <v>-</v>
      </c>
      <c r="P515" t="str">
        <f>IF(Table46[[#This Row],[Locked Prediction]]&lt;&gt;Table46[[#This Row],[Prob Winner]], "Changed", "Same")</f>
        <v>Changed</v>
      </c>
      <c r="Q51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16" spans="4:17" x14ac:dyDescent="0.2">
      <c r="D516" s="1">
        <v>46006</v>
      </c>
      <c r="E516" s="2">
        <v>0.79166666666666663</v>
      </c>
      <c r="F516" t="s">
        <v>15</v>
      </c>
      <c r="G516">
        <f>VLOOKUP(Table46[[#This Row],[Home]],'NHL Model'!$A$6:$B$38,2,FALSE)</f>
        <v>-0.30719665303039001</v>
      </c>
      <c r="H516" t="s">
        <v>31</v>
      </c>
      <c r="I516">
        <f>VLOOKUP(Table46[[#This Row],[Visitor]],'NHL Model'!$A$6:$B$38,2,FALSE)</f>
        <v>0.51775546328552802</v>
      </c>
      <c r="J516">
        <f>($B$1+Table46[[#This Row],[Home Differential]])-Table46[[#This Row],[Away Differential]]</f>
        <v>-0.66237980665359963</v>
      </c>
      <c r="K516" t="str">
        <f>IF(Table46[[#This Row],[HomeIce Differential]]&gt;0,Table46[[#This Row],[Home]],Table46[[#This Row],[Visitor]])</f>
        <v>Anaheim Ducks</v>
      </c>
      <c r="L51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0.56881209643335273</v>
      </c>
      <c r="M516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516" t="str">
        <f>IF(OR((NHL2025_26Results[[#This Row],[Winning Team]]="")),"-",IF(Table46[[#This Row],[Predicted Winner]]=NHL2025_26Results[[#This Row],[Winning Team]],"YES","NO"))</f>
        <v>-</v>
      </c>
      <c r="O516" t="str">
        <f>IF(OR((NHL2025_26Results[[#This Row],[Winning Team]]="")),"-",IF(Table46[[#This Row],[Prob Winner]]=NHL2025_26Results[[#This Row],[Winning Team]],"YES","NO"))</f>
        <v>-</v>
      </c>
      <c r="P516" t="str">
        <f>IF(Table46[[#This Row],[Locked Prediction]]&lt;&gt;Table46[[#This Row],[Prob Winner]], "Changed", "Same")</f>
        <v>Changed</v>
      </c>
      <c r="Q51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17" spans="4:17" x14ac:dyDescent="0.2">
      <c r="D517" s="1">
        <v>46006</v>
      </c>
      <c r="E517" s="2">
        <v>0.83333333333333337</v>
      </c>
      <c r="F517" t="s">
        <v>35</v>
      </c>
      <c r="G517">
        <f>VLOOKUP(Table46[[#This Row],[Home]],'NHL Model'!$A$6:$B$38,2,FALSE)</f>
        <v>-1.6211574240381006</v>
      </c>
      <c r="H517" t="s">
        <v>29</v>
      </c>
      <c r="I517">
        <f>VLOOKUP(Table46[[#This Row],[Visitor]],'NHL Model'!$A$6:$B$38,2,FALSE)</f>
        <v>-1.3516250707060606</v>
      </c>
      <c r="J517">
        <f>($B$1+Table46[[#This Row],[Home Differential]])-Table46[[#This Row],[Away Differential]]</f>
        <v>-0.10696004366972156</v>
      </c>
      <c r="K517" t="str">
        <f>IF(Table46[[#This Row],[HomeIce Differential]]&gt;0,Table46[[#This Row],[Home]],Table46[[#This Row],[Visitor]])</f>
        <v>Nashville Predators</v>
      </c>
      <c r="L51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0.47421702271362676</v>
      </c>
      <c r="M517" s="11" t="str">
        <f>IF(Table46[[#This Row],[Strength of Win]]&gt; 0.5,Table46[[#This Row],[Predicted Winner]], IF(Table46[[#This Row],[Home]]=Table46[[#This Row],[Predicted Winner]],Table46[[#This Row],[Visitor]],Table46[[#This Row],[Home]]))</f>
        <v>St. Louis Blues</v>
      </c>
      <c r="N517" t="str">
        <f>IF(OR((NHL2025_26Results[[#This Row],[Winning Team]]="")),"-",IF(Table46[[#This Row],[Predicted Winner]]=NHL2025_26Results[[#This Row],[Winning Team]],"YES","NO"))</f>
        <v>-</v>
      </c>
      <c r="O517" t="str">
        <f>IF(OR((NHL2025_26Results[[#This Row],[Winning Team]]="")),"-",IF(Table46[[#This Row],[Prob Winner]]=NHL2025_26Results[[#This Row],[Winning Team]],"YES","NO"))</f>
        <v>-</v>
      </c>
      <c r="P517" t="str">
        <f>IF(Table46[[#This Row],[Locked Prediction]]&lt;&gt;Table46[[#This Row],[Prob Winner]], "Changed", "Same")</f>
        <v>Changed</v>
      </c>
      <c r="Q51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18" spans="4:17" x14ac:dyDescent="0.2">
      <c r="D518" s="1">
        <v>46006</v>
      </c>
      <c r="E518" s="2">
        <v>0.79166666666666663</v>
      </c>
      <c r="F518" t="s">
        <v>37</v>
      </c>
      <c r="G518">
        <f>VLOOKUP(Table46[[#This Row],[Home]],'NHL Model'!$A$6:$B$38,2,FALSE)</f>
        <v>-0.11309445867623392</v>
      </c>
      <c r="H518" t="s">
        <v>11</v>
      </c>
      <c r="I518">
        <f>VLOOKUP(Table46[[#This Row],[Visitor]],'NHL Model'!$A$6:$B$38,2,FALSE)</f>
        <v>-0.28105923893144158</v>
      </c>
      <c r="J518">
        <f>($B$1+Table46[[#This Row],[Home Differential]])-Table46[[#This Row],[Away Differential]]</f>
        <v>0.33053708991752606</v>
      </c>
      <c r="K518" t="str">
        <f>IF(Table46[[#This Row],[HomeIce Differential]]&gt;0,Table46[[#This Row],[Home]],Table46[[#This Row],[Visitor]])</f>
        <v>Tampa Bay Lightning</v>
      </c>
      <c r="L51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0.58393466152243012</v>
      </c>
      <c r="M518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518" t="str">
        <f>IF(OR((NHL2025_26Results[[#This Row],[Winning Team]]="")),"-",IF(Table46[[#This Row],[Predicted Winner]]=NHL2025_26Results[[#This Row],[Winning Team]],"YES","NO"))</f>
        <v>-</v>
      </c>
      <c r="O518" t="str">
        <f>IF(OR((NHL2025_26Results[[#This Row],[Winning Team]]="")),"-",IF(Table46[[#This Row],[Prob Winner]]=NHL2025_26Results[[#This Row],[Winning Team]],"YES","NO"))</f>
        <v>-</v>
      </c>
      <c r="P518" t="str">
        <f>IF(Table46[[#This Row],[Locked Prediction]]&lt;&gt;Table46[[#This Row],[Prob Winner]], "Changed", "Same")</f>
        <v>Changed</v>
      </c>
      <c r="Q51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19" spans="4:17" x14ac:dyDescent="0.2">
      <c r="D519" s="1">
        <v>46006</v>
      </c>
      <c r="E519" s="2">
        <v>0.8125</v>
      </c>
      <c r="F519" t="s">
        <v>40</v>
      </c>
      <c r="G519">
        <f>VLOOKUP(Table46[[#This Row],[Home]],'NHL Model'!$A$6:$B$38,2,FALSE)</f>
        <v>0.105105258369765</v>
      </c>
      <c r="H519" t="s">
        <v>36</v>
      </c>
      <c r="I519">
        <f>VLOOKUP(Table46[[#This Row],[Visitor]],'NHL Model'!$A$6:$B$38,2,FALSE)</f>
        <v>-0.40651947573390851</v>
      </c>
      <c r="J519">
        <f>($B$1+Table46[[#This Row],[Home Differential]])-Table46[[#This Row],[Away Differential]]</f>
        <v>0.67419704376599188</v>
      </c>
      <c r="K519" t="str">
        <f>IF(Table46[[#This Row],[HomeIce Differential]]&gt;0,Table46[[#This Row],[Home]],Table46[[#This Row],[Visitor]])</f>
        <v>Winnipeg Jets</v>
      </c>
      <c r="L51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0.66565046743723411</v>
      </c>
      <c r="M519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519" t="str">
        <f>IF(OR((NHL2025_26Results[[#This Row],[Winning Team]]="")),"-",IF(Table46[[#This Row],[Predicted Winner]]=NHL2025_26Results[[#This Row],[Winning Team]],"YES","NO"))</f>
        <v>-</v>
      </c>
      <c r="O519" t="str">
        <f>IF(OR((NHL2025_26Results[[#This Row],[Winning Team]]="")),"-",IF(Table46[[#This Row],[Prob Winner]]=NHL2025_26Results[[#This Row],[Winning Team]],"YES","NO"))</f>
        <v>-</v>
      </c>
      <c r="P519" t="str">
        <f>IF(Table46[[#This Row],[Locked Prediction]]&lt;&gt;Table46[[#This Row],[Prob Winner]], "Changed", "Same")</f>
        <v>Changed</v>
      </c>
      <c r="Q51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20" spans="4:17" x14ac:dyDescent="0.2">
      <c r="D520" s="1">
        <v>46007</v>
      </c>
      <c r="E520" s="2">
        <v>0.79166666666666663</v>
      </c>
      <c r="F520" t="s">
        <v>21</v>
      </c>
      <c r="G520">
        <f>VLOOKUP(Table46[[#This Row],[Home]],'NHL Model'!$A$6:$B$38,2,FALSE)</f>
        <v>4.029141914856392E-2</v>
      </c>
      <c r="H520" t="s">
        <v>55</v>
      </c>
      <c r="I520">
        <f>VLOOKUP(Table46[[#This Row],[Visitor]],'NHL Model'!$A$6:$B$38,2,FALSE)</f>
        <v>-0.12212311954851815</v>
      </c>
      <c r="J520">
        <f>($B$1+Table46[[#This Row],[Home Differential]])-Table46[[#This Row],[Away Differential]]</f>
        <v>0.3249868483594005</v>
      </c>
      <c r="K520" t="str">
        <f>IF(Table46[[#This Row],[HomeIce Differential]]&gt;0,Table46[[#This Row],[Home]],Table46[[#This Row],[Visitor]])</f>
        <v>Boston Bruins</v>
      </c>
      <c r="L52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0.65575435618885147</v>
      </c>
      <c r="M520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520" t="str">
        <f>IF(OR((NHL2025_26Results[[#This Row],[Winning Team]]="")),"-",IF(Table46[[#This Row],[Predicted Winner]]=NHL2025_26Results[[#This Row],[Winning Team]],"YES","NO"))</f>
        <v>-</v>
      </c>
      <c r="O520" t="str">
        <f>IF(OR((NHL2025_26Results[[#This Row],[Winning Team]]="")),"-",IF(Table46[[#This Row],[Prob Winner]]=NHL2025_26Results[[#This Row],[Winning Team]],"YES","NO"))</f>
        <v>-</v>
      </c>
      <c r="P520" t="str">
        <f>IF(Table46[[#This Row],[Locked Prediction]]&lt;&gt;Table46[[#This Row],[Prob Winner]], "Changed", "Same")</f>
        <v>Changed</v>
      </c>
      <c r="Q52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21" spans="4:17" x14ac:dyDescent="0.2">
      <c r="D521" s="1">
        <v>46007</v>
      </c>
      <c r="E521" s="2">
        <v>0.79166666666666663</v>
      </c>
      <c r="F521" t="s">
        <v>28</v>
      </c>
      <c r="G521">
        <f>VLOOKUP(Table46[[#This Row],[Home]],'NHL Model'!$A$6:$B$38,2,FALSE)</f>
        <v>-0.40822279081308277</v>
      </c>
      <c r="H521" t="s">
        <v>31</v>
      </c>
      <c r="I521">
        <f>VLOOKUP(Table46[[#This Row],[Visitor]],'NHL Model'!$A$6:$B$38,2,FALSE)</f>
        <v>0.51775546328552802</v>
      </c>
      <c r="J521">
        <f>($B$1+Table46[[#This Row],[Home Differential]])-Table46[[#This Row],[Away Differential]]</f>
        <v>-0.76340594443629239</v>
      </c>
      <c r="K521" t="str">
        <f>IF(Table46[[#This Row],[HomeIce Differential]]&gt;0,Table46[[#This Row],[Home]],Table46[[#This Row],[Visitor]])</f>
        <v>Anaheim Ducks</v>
      </c>
      <c r="L52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0.5822403902732618</v>
      </c>
      <c r="M521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521" t="str">
        <f>IF(OR((NHL2025_26Results[[#This Row],[Winning Team]]="")),"-",IF(Table46[[#This Row],[Predicted Winner]]=NHL2025_26Results[[#This Row],[Winning Team]],"YES","NO"))</f>
        <v>-</v>
      </c>
      <c r="O521" t="str">
        <f>IF(OR((NHL2025_26Results[[#This Row],[Winning Team]]="")),"-",IF(Table46[[#This Row],[Prob Winner]]=NHL2025_26Results[[#This Row],[Winning Team]],"YES","NO"))</f>
        <v>-</v>
      </c>
      <c r="P521" t="str">
        <f>IF(Table46[[#This Row],[Locked Prediction]]&lt;&gt;Table46[[#This Row],[Prob Winner]], "Changed", "Same")</f>
        <v>Changed</v>
      </c>
      <c r="Q52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22" spans="4:17" x14ac:dyDescent="0.2">
      <c r="D522" s="1">
        <v>46007</v>
      </c>
      <c r="E522" s="2">
        <v>0.79166666666666663</v>
      </c>
      <c r="F522" t="s">
        <v>26</v>
      </c>
      <c r="G522">
        <f>VLOOKUP(Table46[[#This Row],[Home]],'NHL Model'!$A$6:$B$38,2,FALSE)</f>
        <v>-0.513643833119658</v>
      </c>
      <c r="H522" t="s">
        <v>30</v>
      </c>
      <c r="I522">
        <f>VLOOKUP(Table46[[#This Row],[Visitor]],'NHL Model'!$A$6:$B$38,2,FALSE)</f>
        <v>-6.4729560818359025E-2</v>
      </c>
      <c r="J522">
        <f>($B$1+Table46[[#This Row],[Home Differential]])-Table46[[#This Row],[Away Differential]]</f>
        <v>-0.2863419626389806</v>
      </c>
      <c r="K522" t="str">
        <f>IF(Table46[[#This Row],[HomeIce Differential]]&gt;0,Table46[[#This Row],[Home]],Table46[[#This Row],[Visitor]])</f>
        <v>New York Islanders</v>
      </c>
      <c r="L52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0.5142507653137055</v>
      </c>
      <c r="M522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522" t="str">
        <f>IF(OR((NHL2025_26Results[[#This Row],[Winning Team]]="")),"-",IF(Table46[[#This Row],[Predicted Winner]]=NHL2025_26Results[[#This Row],[Winning Team]],"YES","NO"))</f>
        <v>-</v>
      </c>
      <c r="O522" t="str">
        <f>IF(OR((NHL2025_26Results[[#This Row],[Winning Team]]="")),"-",IF(Table46[[#This Row],[Prob Winner]]=NHL2025_26Results[[#This Row],[Winning Team]],"YES","NO"))</f>
        <v>-</v>
      </c>
      <c r="P522" t="str">
        <f>IF(Table46[[#This Row],[Locked Prediction]]&lt;&gt;Table46[[#This Row],[Prob Winner]], "Changed", "Same")</f>
        <v>Changed</v>
      </c>
      <c r="Q52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23" spans="4:17" x14ac:dyDescent="0.2">
      <c r="D523" s="1">
        <v>46007</v>
      </c>
      <c r="E523" s="2">
        <v>0.83333333333333337</v>
      </c>
      <c r="F523" t="s">
        <v>34</v>
      </c>
      <c r="G523">
        <f>VLOOKUP(Table46[[#This Row],[Home]],'NHL Model'!$A$6:$B$38,2,FALSE)</f>
        <v>-0.53650300840565446</v>
      </c>
      <c r="H523" t="s">
        <v>22</v>
      </c>
      <c r="I523">
        <f>VLOOKUP(Table46[[#This Row],[Visitor]],'NHL Model'!$A$6:$B$38,2,FALSE)</f>
        <v>-6.1308839486784707E-2</v>
      </c>
      <c r="J523">
        <f>($B$1+Table46[[#This Row],[Home Differential]])-Table46[[#This Row],[Away Differential]]</f>
        <v>-0.31262185925655134</v>
      </c>
      <c r="K523" t="str">
        <f>IF(Table46[[#This Row],[HomeIce Differential]]&gt;0,Table46[[#This Row],[Home]],Table46[[#This Row],[Visitor]])</f>
        <v>Washington Capitals</v>
      </c>
      <c r="L52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0.50155338686613482</v>
      </c>
      <c r="M523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523" t="str">
        <f>IF(OR((NHL2025_26Results[[#This Row],[Winning Team]]="")),"-",IF(Table46[[#This Row],[Predicted Winner]]=NHL2025_26Results[[#This Row],[Winning Team]],"YES","NO"))</f>
        <v>-</v>
      </c>
      <c r="O523" t="str">
        <f>IF(OR((NHL2025_26Results[[#This Row],[Winning Team]]="")),"-",IF(Table46[[#This Row],[Prob Winner]]=NHL2025_26Results[[#This Row],[Winning Team]],"YES","NO"))</f>
        <v>-</v>
      </c>
      <c r="P523" t="str">
        <f>IF(Table46[[#This Row],[Locked Prediction]]&lt;&gt;Table46[[#This Row],[Prob Winner]], "Changed", "Same")</f>
        <v>Changed</v>
      </c>
      <c r="Q52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24" spans="4:17" x14ac:dyDescent="0.2">
      <c r="D524" s="1">
        <v>46007</v>
      </c>
      <c r="E524" s="2">
        <v>0.79166666666666663</v>
      </c>
      <c r="F524" t="s">
        <v>18</v>
      </c>
      <c r="G524">
        <f>VLOOKUP(Table46[[#This Row],[Home]],'NHL Model'!$A$6:$B$38,2,FALSE)</f>
        <v>-0.52437726201848234</v>
      </c>
      <c r="H524" t="s">
        <v>27</v>
      </c>
      <c r="I524">
        <f>VLOOKUP(Table46[[#This Row],[Visitor]],'NHL Model'!$A$6:$B$38,2,FALSE)</f>
        <v>-0.51358590497437617</v>
      </c>
      <c r="J524">
        <f>($B$1+Table46[[#This Row],[Home Differential]])-Table46[[#This Row],[Away Differential]]</f>
        <v>0.15178095261821223</v>
      </c>
      <c r="K524" t="str">
        <f>IF(Table46[[#This Row],[HomeIce Differential]]&gt;0,Table46[[#This Row],[Home]],Table46[[#This Row],[Visitor]])</f>
        <v>Montreal Canadiens</v>
      </c>
      <c r="L52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0.56017457339052945</v>
      </c>
      <c r="M524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524" t="str">
        <f>IF(OR((NHL2025_26Results[[#This Row],[Winning Team]]="")),"-",IF(Table46[[#This Row],[Predicted Winner]]=NHL2025_26Results[[#This Row],[Winning Team]],"YES","NO"))</f>
        <v>-</v>
      </c>
      <c r="O524" t="str">
        <f>IF(OR((NHL2025_26Results[[#This Row],[Winning Team]]="")),"-",IF(Table46[[#This Row],[Prob Winner]]=NHL2025_26Results[[#This Row],[Winning Team]],"YES","NO"))</f>
        <v>-</v>
      </c>
      <c r="P524" t="str">
        <f>IF(Table46[[#This Row],[Locked Prediction]]&lt;&gt;Table46[[#This Row],[Prob Winner]], "Changed", "Same")</f>
        <v>Changed</v>
      </c>
      <c r="Q52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25" spans="4:17" x14ac:dyDescent="0.2">
      <c r="D525" s="1">
        <v>46007</v>
      </c>
      <c r="E525" s="2">
        <v>0.79166666666666663</v>
      </c>
      <c r="F525" t="s">
        <v>15</v>
      </c>
      <c r="G525">
        <f>VLOOKUP(Table46[[#This Row],[Home]],'NHL Model'!$A$6:$B$38,2,FALSE)</f>
        <v>-0.30719665303039001</v>
      </c>
      <c r="H525" t="s">
        <v>38</v>
      </c>
      <c r="I525">
        <f>VLOOKUP(Table46[[#This Row],[Visitor]],'NHL Model'!$A$6:$B$38,2,FALSE)</f>
        <v>-0.6902088310934803</v>
      </c>
      <c r="J525">
        <f>($B$1+Table46[[#This Row],[Home Differential]])-Table46[[#This Row],[Away Differential]]</f>
        <v>0.54558448772540868</v>
      </c>
      <c r="K525" t="str">
        <f>IF(Table46[[#This Row],[HomeIce Differential]]&gt;0,Table46[[#This Row],[Home]],Table46[[#This Row],[Visitor]])</f>
        <v>New York Rangers</v>
      </c>
      <c r="L52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0.57000598512281964</v>
      </c>
      <c r="M525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525" t="str">
        <f>IF(OR((NHL2025_26Results[[#This Row],[Winning Team]]="")),"-",IF(Table46[[#This Row],[Predicted Winner]]=NHL2025_26Results[[#This Row],[Winning Team]],"YES","NO"))</f>
        <v>-</v>
      </c>
      <c r="O525" t="str">
        <f>IF(OR((NHL2025_26Results[[#This Row],[Winning Team]]="")),"-",IF(Table46[[#This Row],[Prob Winner]]=NHL2025_26Results[[#This Row],[Winning Team]],"YES","NO"))</f>
        <v>-</v>
      </c>
      <c r="P525" t="str">
        <f>IF(Table46[[#This Row],[Locked Prediction]]&lt;&gt;Table46[[#This Row],[Prob Winner]], "Changed", "Same")</f>
        <v>Changed</v>
      </c>
      <c r="Q52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26" spans="4:17" x14ac:dyDescent="0.2">
      <c r="D526" s="1">
        <v>46007</v>
      </c>
      <c r="E526" s="2">
        <v>0.8125</v>
      </c>
      <c r="F526" t="s">
        <v>14</v>
      </c>
      <c r="G526">
        <f>VLOOKUP(Table46[[#This Row],[Home]],'NHL Model'!$A$6:$B$38,2,FALSE)</f>
        <v>0.26289091192875702</v>
      </c>
      <c r="H526" t="s">
        <v>17</v>
      </c>
      <c r="I526">
        <f>VLOOKUP(Table46[[#This Row],[Visitor]],'NHL Model'!$A$6:$B$38,2,FALSE)</f>
        <v>-0.61980804137564283</v>
      </c>
      <c r="J526">
        <f>($B$1+Table46[[#This Row],[Home Differential]])-Table46[[#This Row],[Away Differential]]</f>
        <v>1.0452712629667182</v>
      </c>
      <c r="K526" t="str">
        <f>IF(Table46[[#This Row],[HomeIce Differential]]&gt;0,Table46[[#This Row],[Home]],Table46[[#This Row],[Visitor]])</f>
        <v>Pittsburgh Penguins</v>
      </c>
      <c r="L52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0.71497328390043891</v>
      </c>
      <c r="M526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526" t="str">
        <f>IF(OR((NHL2025_26Results[[#This Row],[Winning Team]]="")),"-",IF(Table46[[#This Row],[Predicted Winner]]=NHL2025_26Results[[#This Row],[Winning Team]],"YES","NO"))</f>
        <v>-</v>
      </c>
      <c r="O526" t="str">
        <f>IF(OR((NHL2025_26Results[[#This Row],[Winning Team]]="")),"-",IF(Table46[[#This Row],[Prob Winner]]=NHL2025_26Results[[#This Row],[Winning Team]],"YES","NO"))</f>
        <v>-</v>
      </c>
      <c r="P526" t="str">
        <f>IF(Table46[[#This Row],[Locked Prediction]]&lt;&gt;Table46[[#This Row],[Prob Winner]], "Changed", "Same")</f>
        <v>Changed</v>
      </c>
      <c r="Q52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27" spans="4:17" x14ac:dyDescent="0.2">
      <c r="D527" s="1">
        <v>46007</v>
      </c>
      <c r="E527" s="2">
        <v>0.91666666666666663</v>
      </c>
      <c r="F527" t="s">
        <v>32</v>
      </c>
      <c r="G527">
        <f>VLOOKUP(Table46[[#This Row],[Home]],'NHL Model'!$A$6:$B$38,2,FALSE)</f>
        <v>-0.361361309178443</v>
      </c>
      <c r="H527" t="s">
        <v>12</v>
      </c>
      <c r="I527">
        <f>VLOOKUP(Table46[[#This Row],[Visitor]],'NHL Model'!$A$6:$B$38,2,FALSE)</f>
        <v>1.5475013591489768</v>
      </c>
      <c r="J527">
        <f>($B$1+Table46[[#This Row],[Home Differential]])-Table46[[#This Row],[Away Differential]]</f>
        <v>-1.7462903586651013</v>
      </c>
      <c r="K527" t="str">
        <f>IF(Table46[[#This Row],[HomeIce Differential]]&gt;0,Table46[[#This Row],[Home]],Table46[[#This Row],[Visitor]])</f>
        <v>Colorado Avalanche</v>
      </c>
      <c r="L52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0.73211517910736634</v>
      </c>
      <c r="M527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527" t="str">
        <f>IF(OR((NHL2025_26Results[[#This Row],[Winning Team]]="")),"-",IF(Table46[[#This Row],[Predicted Winner]]=NHL2025_26Results[[#This Row],[Winning Team]],"YES","NO"))</f>
        <v>-</v>
      </c>
      <c r="O527" t="str">
        <f>IF(OR((NHL2025_26Results[[#This Row],[Winning Team]]="")),"-",IF(Table46[[#This Row],[Prob Winner]]=NHL2025_26Results[[#This Row],[Winning Team]],"YES","NO"))</f>
        <v>-</v>
      </c>
      <c r="P527" t="str">
        <f>IF(Table46[[#This Row],[Locked Prediction]]&lt;&gt;Table46[[#This Row],[Prob Winner]], "Changed", "Same")</f>
        <v>Changed</v>
      </c>
      <c r="Q52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28" spans="4:17" x14ac:dyDescent="0.2">
      <c r="D528" s="1">
        <v>46007</v>
      </c>
      <c r="E528" s="2">
        <v>0.91666666666666663</v>
      </c>
      <c r="F528" t="s">
        <v>33</v>
      </c>
      <c r="G528">
        <f>VLOOKUP(Table46[[#This Row],[Home]],'NHL Model'!$A$6:$B$38,2,FALSE)</f>
        <v>-0.39418177254008485</v>
      </c>
      <c r="H528" t="s">
        <v>16</v>
      </c>
      <c r="I528">
        <f>VLOOKUP(Table46[[#This Row],[Visitor]],'NHL Model'!$A$6:$B$38,2,FALSE)</f>
        <v>-1.3903684122795328</v>
      </c>
      <c r="J528">
        <f>($B$1+Table46[[#This Row],[Home Differential]])-Table46[[#This Row],[Away Differential]]</f>
        <v>1.1587589494017663</v>
      </c>
      <c r="K528" t="str">
        <f>IF(Table46[[#This Row],[HomeIce Differential]]&gt;0,Table46[[#This Row],[Home]],Table46[[#This Row],[Visitor]])</f>
        <v>San Jose Sharks</v>
      </c>
      <c r="L52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0.69402108804417684</v>
      </c>
      <c r="M528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528" t="str">
        <f>IF(OR((NHL2025_26Results[[#This Row],[Winning Team]]="")),"-",IF(Table46[[#This Row],[Predicted Winner]]=NHL2025_26Results[[#This Row],[Winning Team]],"YES","NO"))</f>
        <v>-</v>
      </c>
      <c r="O528" t="str">
        <f>IF(OR((NHL2025_26Results[[#This Row],[Winning Team]]="")),"-",IF(Table46[[#This Row],[Prob Winner]]=NHL2025_26Results[[#This Row],[Winning Team]],"YES","NO"))</f>
        <v>-</v>
      </c>
      <c r="P528" t="str">
        <f>IF(Table46[[#This Row],[Locked Prediction]]&lt;&gt;Table46[[#This Row],[Prob Winner]], "Changed", "Same")</f>
        <v>Changed</v>
      </c>
      <c r="Q52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29" spans="4:17" x14ac:dyDescent="0.2">
      <c r="D529" s="1">
        <v>46007</v>
      </c>
      <c r="E529" s="2">
        <v>0.79166666666666663</v>
      </c>
      <c r="F529" t="s">
        <v>19</v>
      </c>
      <c r="G529">
        <f>VLOOKUP(Table46[[#This Row],[Home]],'NHL Model'!$A$6:$B$38,2,FALSE)</f>
        <v>-0.635565543477981</v>
      </c>
      <c r="H529" t="s">
        <v>10</v>
      </c>
      <c r="I529">
        <f>VLOOKUP(Table46[[#This Row],[Visitor]],'NHL Model'!$A$6:$B$38,2,FALSE)</f>
        <v>0.30570968833820172</v>
      </c>
      <c r="J529">
        <f>($B$1+Table46[[#This Row],[Home Differential]])-Table46[[#This Row],[Away Differential]]</f>
        <v>-0.77870292215386439</v>
      </c>
      <c r="K529" t="str">
        <f>IF(Table46[[#This Row],[HomeIce Differential]]&gt;0,Table46[[#This Row],[Home]],Table46[[#This Row],[Visitor]])</f>
        <v>Chicago Blackhawks</v>
      </c>
      <c r="L52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0.58427364935019444</v>
      </c>
      <c r="M529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529" t="str">
        <f>IF(OR((NHL2025_26Results[[#This Row],[Winning Team]]="")),"-",IF(Table46[[#This Row],[Predicted Winner]]=NHL2025_26Results[[#This Row],[Winning Team]],"YES","NO"))</f>
        <v>-</v>
      </c>
      <c r="O529" t="str">
        <f>IF(OR((NHL2025_26Results[[#This Row],[Winning Team]]="")),"-",IF(Table46[[#This Row],[Prob Winner]]=NHL2025_26Results[[#This Row],[Winning Team]],"YES","NO"))</f>
        <v>-</v>
      </c>
      <c r="P529" t="str">
        <f>IF(Table46[[#This Row],[Locked Prediction]]&lt;&gt;Table46[[#This Row],[Prob Winner]], "Changed", "Same")</f>
        <v>Changed</v>
      </c>
      <c r="Q52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30" spans="4:17" x14ac:dyDescent="0.2">
      <c r="D530" s="1">
        <v>46008</v>
      </c>
      <c r="E530" s="2">
        <v>0.8125</v>
      </c>
      <c r="F530" t="s">
        <v>26</v>
      </c>
      <c r="G530">
        <f>VLOOKUP(Table46[[#This Row],[Home]],'NHL Model'!$A$6:$B$38,2,FALSE)</f>
        <v>-0.513643833119658</v>
      </c>
      <c r="H530" t="s">
        <v>55</v>
      </c>
      <c r="I530">
        <f>VLOOKUP(Table46[[#This Row],[Visitor]],'NHL Model'!$A$6:$B$38,2,FALSE)</f>
        <v>-0.12212311954851815</v>
      </c>
      <c r="J530">
        <f>($B$1+Table46[[#This Row],[Home Differential]])-Table46[[#This Row],[Away Differential]]</f>
        <v>-0.22894840390882146</v>
      </c>
      <c r="K530" t="str">
        <f>IF(Table46[[#This Row],[HomeIce Differential]]&gt;0,Table46[[#This Row],[Home]],Table46[[#This Row],[Visitor]])</f>
        <v>Utah Mammoth</v>
      </c>
      <c r="L53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0.46439385848229209</v>
      </c>
      <c r="M530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530" t="str">
        <f>IF(OR((NHL2025_26Results[[#This Row],[Winning Team]]="")),"-",IF(Table46[[#This Row],[Predicted Winner]]=NHL2025_26Results[[#This Row],[Winning Team]],"YES","NO"))</f>
        <v>-</v>
      </c>
      <c r="O530" t="str">
        <f>IF(OR((NHL2025_26Results[[#This Row],[Winning Team]]="")),"-",IF(Table46[[#This Row],[Prob Winner]]=NHL2025_26Results[[#This Row],[Winning Team]],"YES","NO"))</f>
        <v>-</v>
      </c>
      <c r="P530" t="str">
        <f>IF(Table46[[#This Row],[Locked Prediction]]&lt;&gt;Table46[[#This Row],[Prob Winner]], "Changed", "Same")</f>
        <v>Changed</v>
      </c>
      <c r="Q53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31" spans="4:17" x14ac:dyDescent="0.2">
      <c r="D531" s="1">
        <v>46008</v>
      </c>
      <c r="E531" s="2">
        <v>0.79166666666666663</v>
      </c>
      <c r="F531" t="s">
        <v>11</v>
      </c>
      <c r="G531">
        <f>VLOOKUP(Table46[[#This Row],[Home]],'NHL Model'!$A$6:$B$38,2,FALSE)</f>
        <v>-0.28105923893144158</v>
      </c>
      <c r="H531" t="s">
        <v>13</v>
      </c>
      <c r="I531">
        <f>VLOOKUP(Table46[[#This Row],[Visitor]],'NHL Model'!$A$6:$B$38,2,FALSE)</f>
        <v>-7.5459708298993802E-2</v>
      </c>
      <c r="J531">
        <f>($B$1+Table46[[#This Row],[Home Differential]])-Table46[[#This Row],[Away Differential]]</f>
        <v>-4.3027220970129385E-2</v>
      </c>
      <c r="K531" t="str">
        <f>IF(Table46[[#This Row],[HomeIce Differential]]&gt;0,Table46[[#This Row],[Home]],Table46[[#This Row],[Visitor]])</f>
        <v>Los Angeles Kings</v>
      </c>
      <c r="L53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0.53513090015916875</v>
      </c>
      <c r="M531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531" t="str">
        <f>IF(OR((NHL2025_26Results[[#This Row],[Winning Team]]="")),"-",IF(Table46[[#This Row],[Predicted Winner]]=NHL2025_26Results[[#This Row],[Winning Team]],"YES","NO"))</f>
        <v>-</v>
      </c>
      <c r="O531" t="str">
        <f>IF(OR((NHL2025_26Results[[#This Row],[Winning Team]]="")),"-",IF(Table46[[#This Row],[Prob Winner]]=NHL2025_26Results[[#This Row],[Winning Team]],"YES","NO"))</f>
        <v>-</v>
      </c>
      <c r="P531" t="str">
        <f>IF(Table46[[#This Row],[Locked Prediction]]&lt;&gt;Table46[[#This Row],[Prob Winner]], "Changed", "Same")</f>
        <v>Changed</v>
      </c>
      <c r="Q53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32" spans="4:17" x14ac:dyDescent="0.2">
      <c r="D532" s="1">
        <v>46008</v>
      </c>
      <c r="E532" s="2">
        <v>0.83333333333333337</v>
      </c>
      <c r="F532" t="s">
        <v>29</v>
      </c>
      <c r="G532">
        <f>VLOOKUP(Table46[[#This Row],[Home]],'NHL Model'!$A$6:$B$38,2,FALSE)</f>
        <v>-1.3516250707060606</v>
      </c>
      <c r="H532" t="s">
        <v>25</v>
      </c>
      <c r="I532">
        <f>VLOOKUP(Table46[[#This Row],[Visitor]],'NHL Model'!$A$6:$B$38,2,FALSE)</f>
        <v>0.67193921242367816</v>
      </c>
      <c r="J532">
        <f>($B$1+Table46[[#This Row],[Home Differential]])-Table46[[#This Row],[Away Differential]]</f>
        <v>-1.8609919734674203</v>
      </c>
      <c r="K532" t="str">
        <f>IF(Table46[[#This Row],[HomeIce Differential]]&gt;0,Table46[[#This Row],[Home]],Table46[[#This Row],[Visitor]])</f>
        <v>Carolina Hurricanes</v>
      </c>
      <c r="L53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0.79984739160809837</v>
      </c>
      <c r="M532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532" t="str">
        <f>IF(OR((NHL2025_26Results[[#This Row],[Winning Team]]="")),"-",IF(Table46[[#This Row],[Predicted Winner]]=NHL2025_26Results[[#This Row],[Winning Team]],"YES","NO"))</f>
        <v>-</v>
      </c>
      <c r="O532" t="str">
        <f>IF(OR((NHL2025_26Results[[#This Row],[Winning Team]]="")),"-",IF(Table46[[#This Row],[Prob Winner]]=NHL2025_26Results[[#This Row],[Winning Team]],"YES","NO"))</f>
        <v>-</v>
      </c>
      <c r="P532" t="str">
        <f>IF(Table46[[#This Row],[Locked Prediction]]&lt;&gt;Table46[[#This Row],[Prob Winner]], "Changed", "Same")</f>
        <v>Changed</v>
      </c>
      <c r="Q53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33" spans="4:17" x14ac:dyDescent="0.2">
      <c r="D533" s="1">
        <v>46008</v>
      </c>
      <c r="E533" s="2">
        <v>0.83333333333333337</v>
      </c>
      <c r="F533" t="s">
        <v>35</v>
      </c>
      <c r="G533">
        <f>VLOOKUP(Table46[[#This Row],[Home]],'NHL Model'!$A$6:$B$38,2,FALSE)</f>
        <v>-1.6211574240381006</v>
      </c>
      <c r="H533" t="s">
        <v>40</v>
      </c>
      <c r="I533">
        <f>VLOOKUP(Table46[[#This Row],[Visitor]],'NHL Model'!$A$6:$B$38,2,FALSE)</f>
        <v>0.105105258369765</v>
      </c>
      <c r="J533">
        <f>($B$1+Table46[[#This Row],[Home Differential]])-Table46[[#This Row],[Away Differential]]</f>
        <v>-1.5636903727455471</v>
      </c>
      <c r="K533" t="str">
        <f>IF(Table46[[#This Row],[HomeIce Differential]]&gt;0,Table46[[#This Row],[Home]],Table46[[#This Row],[Visitor]])</f>
        <v>Winnipeg Jets</v>
      </c>
      <c r="L53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0.73415995991035088</v>
      </c>
      <c r="M533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533" t="str">
        <f>IF(OR((NHL2025_26Results[[#This Row],[Winning Team]]="")),"-",IF(Table46[[#This Row],[Predicted Winner]]=NHL2025_26Results[[#This Row],[Winning Team]],"YES","NO"))</f>
        <v>-</v>
      </c>
      <c r="O533" t="str">
        <f>IF(OR((NHL2025_26Results[[#This Row],[Winning Team]]="")),"-",IF(Table46[[#This Row],[Prob Winner]]=NHL2025_26Results[[#This Row],[Winning Team]],"YES","NO"))</f>
        <v>-</v>
      </c>
      <c r="P533" t="str">
        <f>IF(Table46[[#This Row],[Locked Prediction]]&lt;&gt;Table46[[#This Row],[Prob Winner]], "Changed", "Same")</f>
        <v>Changed</v>
      </c>
      <c r="Q53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34" spans="4:17" x14ac:dyDescent="0.2">
      <c r="D534" s="1">
        <v>46008</v>
      </c>
      <c r="E534" s="2">
        <v>0.91666666666666663</v>
      </c>
      <c r="F534" t="s">
        <v>20</v>
      </c>
      <c r="G534">
        <f>VLOOKUP(Table46[[#This Row],[Home]],'NHL Model'!$A$6:$B$38,2,FALSE)</f>
        <v>-6.3745791019188943E-4</v>
      </c>
      <c r="H534" t="s">
        <v>24</v>
      </c>
      <c r="I534">
        <f>VLOOKUP(Table46[[#This Row],[Visitor]],'NHL Model'!$A$6:$B$38,2,FALSE)</f>
        <v>0.559441163373953</v>
      </c>
      <c r="J534">
        <f>($B$1+Table46[[#This Row],[Home Differential]])-Table46[[#This Row],[Away Differential]]</f>
        <v>-0.39750631162182648</v>
      </c>
      <c r="K534" t="str">
        <f>IF(Table46[[#This Row],[HomeIce Differential]]&gt;0,Table46[[#This Row],[Home]],Table46[[#This Row],[Visitor]])</f>
        <v>New Jersey Devils</v>
      </c>
      <c r="L53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0.57915193339475568</v>
      </c>
      <c r="M534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534" t="str">
        <f>IF(OR((NHL2025_26Results[[#This Row],[Winning Team]]="")),"-",IF(Table46[[#This Row],[Predicted Winner]]=NHL2025_26Results[[#This Row],[Winning Team]],"YES","NO"))</f>
        <v>-</v>
      </c>
      <c r="O534" t="str">
        <f>IF(OR((NHL2025_26Results[[#This Row],[Winning Team]]="")),"-",IF(Table46[[#This Row],[Prob Winner]]=NHL2025_26Results[[#This Row],[Winning Team]],"YES","NO"))</f>
        <v>-</v>
      </c>
      <c r="P534" t="str">
        <f>IF(Table46[[#This Row],[Locked Prediction]]&lt;&gt;Table46[[#This Row],[Prob Winner]], "Changed", "Same")</f>
        <v>Changed</v>
      </c>
      <c r="Q53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35" spans="4:17" x14ac:dyDescent="0.2">
      <c r="D535" s="1">
        <v>46009</v>
      </c>
      <c r="E535" s="2">
        <v>0.79166666666666663</v>
      </c>
      <c r="F535" t="s">
        <v>21</v>
      </c>
      <c r="G535">
        <f>VLOOKUP(Table46[[#This Row],[Home]],'NHL Model'!$A$6:$B$38,2,FALSE)</f>
        <v>4.029141914856392E-2</v>
      </c>
      <c r="H535" t="s">
        <v>17</v>
      </c>
      <c r="I535">
        <f>VLOOKUP(Table46[[#This Row],[Visitor]],'NHL Model'!$A$6:$B$38,2,FALSE)</f>
        <v>-0.61980804137564283</v>
      </c>
      <c r="J535">
        <f>($B$1+Table46[[#This Row],[Home Differential]])-Table46[[#This Row],[Away Differential]]</f>
        <v>0.82267177018652515</v>
      </c>
      <c r="K535" t="str">
        <f>IF(Table46[[#This Row],[HomeIce Differential]]&gt;0,Table46[[#This Row],[Home]],Table46[[#This Row],[Visitor]])</f>
        <v>Boston Bruins</v>
      </c>
      <c r="L53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0.72190614142647058</v>
      </c>
      <c r="M535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535" t="str">
        <f>IF(OR((NHL2025_26Results[[#This Row],[Winning Team]]="")),"-",IF(Table46[[#This Row],[Predicted Winner]]=NHL2025_26Results[[#This Row],[Winning Team]],"YES","NO"))</f>
        <v>-</v>
      </c>
      <c r="O535" t="str">
        <f>IF(OR((NHL2025_26Results[[#This Row],[Winning Team]]="")),"-",IF(Table46[[#This Row],[Prob Winner]]=NHL2025_26Results[[#This Row],[Winning Team]],"YES","NO"))</f>
        <v>-</v>
      </c>
      <c r="P535" t="str">
        <f>IF(Table46[[#This Row],[Locked Prediction]]&lt;&gt;Table46[[#This Row],[Prob Winner]], "Changed", "Same")</f>
        <v>Changed</v>
      </c>
      <c r="Q53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36" spans="4:17" x14ac:dyDescent="0.2">
      <c r="D536" s="1">
        <v>46009</v>
      </c>
      <c r="E536" s="2">
        <v>0.8125</v>
      </c>
      <c r="F536" t="s">
        <v>23</v>
      </c>
      <c r="G536">
        <f>VLOOKUP(Table46[[#This Row],[Home]],'NHL Model'!$A$6:$B$38,2,FALSE)</f>
        <v>-0.8683412362501769</v>
      </c>
      <c r="H536" t="s">
        <v>27</v>
      </c>
      <c r="I536">
        <f>VLOOKUP(Table46[[#This Row],[Visitor]],'NHL Model'!$A$6:$B$38,2,FALSE)</f>
        <v>-0.51358590497437617</v>
      </c>
      <c r="J536">
        <f>($B$1+Table46[[#This Row],[Home Differential]])-Table46[[#This Row],[Away Differential]]</f>
        <v>-0.19218302161348233</v>
      </c>
      <c r="K536" t="str">
        <f>IF(Table46[[#This Row],[HomeIce Differential]]&gt;0,Table46[[#This Row],[Home]],Table46[[#This Row],[Visitor]])</f>
        <v>Philadelphia Flyers</v>
      </c>
      <c r="L53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0.48554477625204784</v>
      </c>
      <c r="M536" s="11" t="str">
        <f>IF(Table46[[#This Row],[Strength of Win]]&gt; 0.5,Table46[[#This Row],[Predicted Winner]], IF(Table46[[#This Row],[Home]]=Table46[[#This Row],[Predicted Winner]],Table46[[#This Row],[Visitor]],Table46[[#This Row],[Home]]))</f>
        <v>Buffalo Sabres</v>
      </c>
      <c r="N536" t="str">
        <f>IF(OR((NHL2025_26Results[[#This Row],[Winning Team]]="")),"-",IF(Table46[[#This Row],[Predicted Winner]]=NHL2025_26Results[[#This Row],[Winning Team]],"YES","NO"))</f>
        <v>-</v>
      </c>
      <c r="O536" t="str">
        <f>IF(OR((NHL2025_26Results[[#This Row],[Winning Team]]="")),"-",IF(Table46[[#This Row],[Prob Winner]]=NHL2025_26Results[[#This Row],[Winning Team]],"YES","NO"))</f>
        <v>-</v>
      </c>
      <c r="P536" t="str">
        <f>IF(Table46[[#This Row],[Locked Prediction]]&lt;&gt;Table46[[#This Row],[Prob Winner]], "Changed", "Same")</f>
        <v>Changed</v>
      </c>
      <c r="Q53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37" spans="4:17" x14ac:dyDescent="0.2">
      <c r="D537" s="1">
        <v>46009</v>
      </c>
      <c r="E537" s="2">
        <v>0.79166666666666663</v>
      </c>
      <c r="F537" t="s">
        <v>28</v>
      </c>
      <c r="G537">
        <f>VLOOKUP(Table46[[#This Row],[Home]],'NHL Model'!$A$6:$B$38,2,FALSE)</f>
        <v>-0.40822279081308277</v>
      </c>
      <c r="H537" t="s">
        <v>34</v>
      </c>
      <c r="I537">
        <f>VLOOKUP(Table46[[#This Row],[Visitor]],'NHL Model'!$A$6:$B$38,2,FALSE)</f>
        <v>-0.53650300840565446</v>
      </c>
      <c r="J537">
        <f>($B$1+Table46[[#This Row],[Home Differential]])-Table46[[#This Row],[Away Differential]]</f>
        <v>0.29085252725489008</v>
      </c>
      <c r="K537" t="str">
        <f>IF(Table46[[#This Row],[HomeIce Differential]]&gt;0,Table46[[#This Row],[Home]],Table46[[#This Row],[Visitor]])</f>
        <v>Columbus Blue Jackets</v>
      </c>
      <c r="L53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0.57865982888962753</v>
      </c>
      <c r="M537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537" t="str">
        <f>IF(OR((NHL2025_26Results[[#This Row],[Winning Team]]="")),"-",IF(Table46[[#This Row],[Predicted Winner]]=NHL2025_26Results[[#This Row],[Winning Team]],"YES","NO"))</f>
        <v>-</v>
      </c>
      <c r="O537" t="str">
        <f>IF(OR((NHL2025_26Results[[#This Row],[Winning Team]]="")),"-",IF(Table46[[#This Row],[Prob Winner]]=NHL2025_26Results[[#This Row],[Winning Team]],"YES","NO"))</f>
        <v>-</v>
      </c>
      <c r="P537" t="str">
        <f>IF(Table46[[#This Row],[Locked Prediction]]&lt;&gt;Table46[[#This Row],[Prob Winner]], "Changed", "Same")</f>
        <v>Changed</v>
      </c>
      <c r="Q53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38" spans="4:17" x14ac:dyDescent="0.2">
      <c r="D538" s="1">
        <v>46009</v>
      </c>
      <c r="E538" s="2">
        <v>0.875</v>
      </c>
      <c r="F538" t="s">
        <v>16</v>
      </c>
      <c r="G538">
        <f>VLOOKUP(Table46[[#This Row],[Home]],'NHL Model'!$A$6:$B$38,2,FALSE)</f>
        <v>-1.3903684122795328</v>
      </c>
      <c r="H538" t="s">
        <v>32</v>
      </c>
      <c r="I538">
        <f>VLOOKUP(Table46[[#This Row],[Visitor]],'NHL Model'!$A$6:$B$38,2,FALSE)</f>
        <v>-0.361361309178443</v>
      </c>
      <c r="J538">
        <f>($B$1+Table46[[#This Row],[Home Differential]])-Table46[[#This Row],[Away Differential]]</f>
        <v>-0.86643479343877139</v>
      </c>
      <c r="K538" t="str">
        <f>IF(Table46[[#This Row],[HomeIce Differential]]&gt;0,Table46[[#This Row],[Home]],Table46[[#This Row],[Visitor]])</f>
        <v>Seattle Kraken</v>
      </c>
      <c r="L53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0.57516565172909095</v>
      </c>
      <c r="M538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538" t="str">
        <f>IF(OR((NHL2025_26Results[[#This Row],[Winning Team]]="")),"-",IF(Table46[[#This Row],[Predicted Winner]]=NHL2025_26Results[[#This Row],[Winning Team]],"YES","NO"))</f>
        <v>-</v>
      </c>
      <c r="O538" t="str">
        <f>IF(OR((NHL2025_26Results[[#This Row],[Winning Team]]="")),"-",IF(Table46[[#This Row],[Prob Winner]]=NHL2025_26Results[[#This Row],[Winning Team]],"YES","NO"))</f>
        <v>-</v>
      </c>
      <c r="P538" t="str">
        <f>IF(Table46[[#This Row],[Locked Prediction]]&lt;&gt;Table46[[#This Row],[Prob Winner]], "Changed", "Same")</f>
        <v>Changed</v>
      </c>
      <c r="Q53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39" spans="4:17" x14ac:dyDescent="0.2">
      <c r="D539" s="1">
        <v>46009</v>
      </c>
      <c r="E539" s="2">
        <v>0.79166666666666663</v>
      </c>
      <c r="F539" t="s">
        <v>18</v>
      </c>
      <c r="G539">
        <f>VLOOKUP(Table46[[#This Row],[Home]],'NHL Model'!$A$6:$B$38,2,FALSE)</f>
        <v>-0.52437726201848234</v>
      </c>
      <c r="H539" t="s">
        <v>10</v>
      </c>
      <c r="I539">
        <f>VLOOKUP(Table46[[#This Row],[Visitor]],'NHL Model'!$A$6:$B$38,2,FALSE)</f>
        <v>0.30570968833820172</v>
      </c>
      <c r="J539">
        <f>($B$1+Table46[[#This Row],[Home Differential]])-Table46[[#This Row],[Away Differential]]</f>
        <v>-0.66751464069436572</v>
      </c>
      <c r="K539" t="str">
        <f>IF(Table46[[#This Row],[HomeIce Differential]]&gt;0,Table46[[#This Row],[Home]],Table46[[#This Row],[Visitor]])</f>
        <v>Chicago Blackhawks</v>
      </c>
      <c r="L53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0.56949461347133845</v>
      </c>
      <c r="M539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539" t="str">
        <f>IF(OR((NHL2025_26Results[[#This Row],[Winning Team]]="")),"-",IF(Table46[[#This Row],[Predicted Winner]]=NHL2025_26Results[[#This Row],[Winning Team]],"YES","NO"))</f>
        <v>-</v>
      </c>
      <c r="O539" t="str">
        <f>IF(OR((NHL2025_26Results[[#This Row],[Winning Team]]="")),"-",IF(Table46[[#This Row],[Prob Winner]]=NHL2025_26Results[[#This Row],[Winning Team]],"YES","NO"))</f>
        <v>-</v>
      </c>
      <c r="P539" t="str">
        <f>IF(Table46[[#This Row],[Locked Prediction]]&lt;&gt;Table46[[#This Row],[Prob Winner]], "Changed", "Same")</f>
        <v>Changed</v>
      </c>
      <c r="Q53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40" spans="4:17" x14ac:dyDescent="0.2">
      <c r="D540" s="1">
        <v>46009</v>
      </c>
      <c r="E540" s="2">
        <v>0.79166666666666663</v>
      </c>
      <c r="F540" t="s">
        <v>36</v>
      </c>
      <c r="G540">
        <f>VLOOKUP(Table46[[#This Row],[Home]],'NHL Model'!$A$6:$B$38,2,FALSE)</f>
        <v>-0.40651947573390851</v>
      </c>
      <c r="H540" t="s">
        <v>14</v>
      </c>
      <c r="I540">
        <f>VLOOKUP(Table46[[#This Row],[Visitor]],'NHL Model'!$A$6:$B$38,2,FALSE)</f>
        <v>0.26289091192875702</v>
      </c>
      <c r="J540">
        <f>($B$1+Table46[[#This Row],[Home Differential]])-Table46[[#This Row],[Away Differential]]</f>
        <v>-0.50683807800034719</v>
      </c>
      <c r="K540" t="str">
        <f>IF(Table46[[#This Row],[HomeIce Differential]]&gt;0,Table46[[#This Row],[Home]],Table46[[#This Row],[Visitor]])</f>
        <v>Pittsburgh Penguins</v>
      </c>
      <c r="L54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0.52487293445592553</v>
      </c>
      <c r="M540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540" t="str">
        <f>IF(OR((NHL2025_26Results[[#This Row],[Winning Team]]="")),"-",IF(Table46[[#This Row],[Predicted Winner]]=NHL2025_26Results[[#This Row],[Winning Team]],"YES","NO"))</f>
        <v>-</v>
      </c>
      <c r="O540" t="str">
        <f>IF(OR((NHL2025_26Results[[#This Row],[Winning Team]]="")),"-",IF(Table46[[#This Row],[Prob Winner]]=NHL2025_26Results[[#This Row],[Winning Team]],"YES","NO"))</f>
        <v>-</v>
      </c>
      <c r="P540" t="str">
        <f>IF(Table46[[#This Row],[Locked Prediction]]&lt;&gt;Table46[[#This Row],[Prob Winner]], "Changed", "Same")</f>
        <v>Changed</v>
      </c>
      <c r="Q54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41" spans="4:17" x14ac:dyDescent="0.2">
      <c r="D541" s="1">
        <v>46009</v>
      </c>
      <c r="E541" s="2">
        <v>0.91666666666666663</v>
      </c>
      <c r="F541" t="s">
        <v>33</v>
      </c>
      <c r="G541">
        <f>VLOOKUP(Table46[[#This Row],[Home]],'NHL Model'!$A$6:$B$38,2,FALSE)</f>
        <v>-0.39418177254008485</v>
      </c>
      <c r="H541" t="s">
        <v>39</v>
      </c>
      <c r="I541">
        <f>VLOOKUP(Table46[[#This Row],[Visitor]],'NHL Model'!$A$6:$B$38,2,FALSE)</f>
        <v>0.19809534061227302</v>
      </c>
      <c r="J541">
        <f>($B$1+Table46[[#This Row],[Home Differential]])-Table46[[#This Row],[Away Differential]]</f>
        <v>-0.42970480349003948</v>
      </c>
      <c r="K541" t="str">
        <f>IF(Table46[[#This Row],[HomeIce Differential]]&gt;0,Table46[[#This Row],[Home]],Table46[[#This Row],[Visitor]])</f>
        <v>Dallas Stars</v>
      </c>
      <c r="L54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0.60960212330842478</v>
      </c>
      <c r="M541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541" t="str">
        <f>IF(OR((NHL2025_26Results[[#This Row],[Winning Team]]="")),"-",IF(Table46[[#This Row],[Predicted Winner]]=NHL2025_26Results[[#This Row],[Winning Team]],"YES","NO"))</f>
        <v>-</v>
      </c>
      <c r="O541" t="str">
        <f>IF(OR((NHL2025_26Results[[#This Row],[Winning Team]]="")),"-",IF(Table46[[#This Row],[Prob Winner]]=NHL2025_26Results[[#This Row],[Winning Team]],"YES","NO"))</f>
        <v>-</v>
      </c>
      <c r="P541" t="str">
        <f>IF(Table46[[#This Row],[Locked Prediction]]&lt;&gt;Table46[[#This Row],[Prob Winner]], "Changed", "Same")</f>
        <v>Changed</v>
      </c>
      <c r="Q54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42" spans="4:17" x14ac:dyDescent="0.2">
      <c r="D542" s="1">
        <v>46009</v>
      </c>
      <c r="E542" s="2">
        <v>0.83333333333333337</v>
      </c>
      <c r="F542" t="s">
        <v>35</v>
      </c>
      <c r="G542">
        <f>VLOOKUP(Table46[[#This Row],[Home]],'NHL Model'!$A$6:$B$38,2,FALSE)</f>
        <v>-1.6211574240381006</v>
      </c>
      <c r="H542" t="s">
        <v>15</v>
      </c>
      <c r="I542">
        <f>VLOOKUP(Table46[[#This Row],[Visitor]],'NHL Model'!$A$6:$B$38,2,FALSE)</f>
        <v>-0.30719665303039001</v>
      </c>
      <c r="J542">
        <f>($B$1+Table46[[#This Row],[Home Differential]])-Table46[[#This Row],[Away Differential]]</f>
        <v>-1.1513884613453922</v>
      </c>
      <c r="K542" t="str">
        <f>IF(Table46[[#This Row],[HomeIce Differential]]&gt;0,Table46[[#This Row],[Home]],Table46[[#This Row],[Visitor]])</f>
        <v>New York Rangers</v>
      </c>
      <c r="L54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0.7554510486503222</v>
      </c>
      <c r="M542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542" t="str">
        <f>IF(OR((NHL2025_26Results[[#This Row],[Winning Team]]="")),"-",IF(Table46[[#This Row],[Predicted Winner]]=NHL2025_26Results[[#This Row],[Winning Team]],"YES","NO"))</f>
        <v>-</v>
      </c>
      <c r="O542" t="str">
        <f>IF(OR((NHL2025_26Results[[#This Row],[Winning Team]]="")),"-",IF(Table46[[#This Row],[Prob Winner]]=NHL2025_26Results[[#This Row],[Winning Team]],"YES","NO"))</f>
        <v>-</v>
      </c>
      <c r="P542" t="str">
        <f>IF(Table46[[#This Row],[Locked Prediction]]&lt;&gt;Table46[[#This Row],[Prob Winner]], "Changed", "Same")</f>
        <v>Changed</v>
      </c>
      <c r="Q54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43" spans="4:17" x14ac:dyDescent="0.2">
      <c r="D543" s="1">
        <v>46009</v>
      </c>
      <c r="E543" s="2">
        <v>0.79166666666666663</v>
      </c>
      <c r="F543" t="s">
        <v>37</v>
      </c>
      <c r="G543">
        <f>VLOOKUP(Table46[[#This Row],[Home]],'NHL Model'!$A$6:$B$38,2,FALSE)</f>
        <v>-0.11309445867623392</v>
      </c>
      <c r="H543" t="s">
        <v>13</v>
      </c>
      <c r="I543">
        <f>VLOOKUP(Table46[[#This Row],[Visitor]],'NHL Model'!$A$6:$B$38,2,FALSE)</f>
        <v>-7.5459708298993802E-2</v>
      </c>
      <c r="J543">
        <f>($B$1+Table46[[#This Row],[Home Differential]])-Table46[[#This Row],[Away Differential]]</f>
        <v>0.12493755928507827</v>
      </c>
      <c r="K543" t="str">
        <f>IF(Table46[[#This Row],[HomeIce Differential]]&gt;0,Table46[[#This Row],[Home]],Table46[[#This Row],[Visitor]])</f>
        <v>Tampa Bay Lightning</v>
      </c>
      <c r="L54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0.43521122738695384</v>
      </c>
      <c r="M543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543" t="str">
        <f>IF(OR((NHL2025_26Results[[#This Row],[Winning Team]]="")),"-",IF(Table46[[#This Row],[Predicted Winner]]=NHL2025_26Results[[#This Row],[Winning Team]],"YES","NO"))</f>
        <v>-</v>
      </c>
      <c r="O543" t="str">
        <f>IF(OR((NHL2025_26Results[[#This Row],[Winning Team]]="")),"-",IF(Table46[[#This Row],[Prob Winner]]=NHL2025_26Results[[#This Row],[Winning Team]],"YES","NO"))</f>
        <v>-</v>
      </c>
      <c r="P543" t="str">
        <f>IF(Table46[[#This Row],[Locked Prediction]]&lt;&gt;Table46[[#This Row],[Prob Winner]], "Changed", "Same")</f>
        <v>Changed</v>
      </c>
      <c r="Q54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44" spans="4:17" x14ac:dyDescent="0.2">
      <c r="D544" s="1">
        <v>46009</v>
      </c>
      <c r="E544" s="2">
        <v>0.79166666666666663</v>
      </c>
      <c r="F544" t="s">
        <v>22</v>
      </c>
      <c r="G544">
        <f>VLOOKUP(Table46[[#This Row],[Home]],'NHL Model'!$A$6:$B$38,2,FALSE)</f>
        <v>-6.1308839486784707E-2</v>
      </c>
      <c r="H544" t="s">
        <v>19</v>
      </c>
      <c r="I544">
        <f>VLOOKUP(Table46[[#This Row],[Visitor]],'NHL Model'!$A$6:$B$38,2,FALSE)</f>
        <v>-0.635565543477981</v>
      </c>
      <c r="J544">
        <f>($B$1+Table46[[#This Row],[Home Differential]])-Table46[[#This Row],[Away Differential]]</f>
        <v>0.73682901365351472</v>
      </c>
      <c r="K544" t="str">
        <f>IF(Table46[[#This Row],[HomeIce Differential]]&gt;0,Table46[[#This Row],[Home]],Table46[[#This Row],[Visitor]])</f>
        <v>Washington Capitals</v>
      </c>
      <c r="L54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0.63793858027506256</v>
      </c>
      <c r="M544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544" t="str">
        <f>IF(OR((NHL2025_26Results[[#This Row],[Winning Team]]="")),"-",IF(Table46[[#This Row],[Predicted Winner]]=NHL2025_26Results[[#This Row],[Winning Team]],"YES","NO"))</f>
        <v>-</v>
      </c>
      <c r="O544" t="str">
        <f>IF(OR((NHL2025_26Results[[#This Row],[Winning Team]]="")),"-",IF(Table46[[#This Row],[Prob Winner]]=NHL2025_26Results[[#This Row],[Winning Team]],"YES","NO"))</f>
        <v>-</v>
      </c>
      <c r="P544" t="str">
        <f>IF(Table46[[#This Row],[Locked Prediction]]&lt;&gt;Table46[[#This Row],[Prob Winner]], "Changed", "Same")</f>
        <v>Changed</v>
      </c>
      <c r="Q54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45" spans="4:17" x14ac:dyDescent="0.2">
      <c r="D545" s="1">
        <v>46010</v>
      </c>
      <c r="E545" s="2">
        <v>0.91666666666666663</v>
      </c>
      <c r="F545" t="s">
        <v>31</v>
      </c>
      <c r="G545">
        <f>VLOOKUP(Table46[[#This Row],[Home]],'NHL Model'!$A$6:$B$38,2,FALSE)</f>
        <v>0.51775546328552802</v>
      </c>
      <c r="H545" t="s">
        <v>39</v>
      </c>
      <c r="I545">
        <f>VLOOKUP(Table46[[#This Row],[Visitor]],'NHL Model'!$A$6:$B$38,2,FALSE)</f>
        <v>0.19809534061227302</v>
      </c>
      <c r="J545">
        <f>($B$1+Table46[[#This Row],[Home Differential]])-Table46[[#This Row],[Away Differential]]</f>
        <v>0.48223243233557339</v>
      </c>
      <c r="K545" t="str">
        <f>IF(Table46[[#This Row],[HomeIce Differential]]&gt;0,Table46[[#This Row],[Home]],Table46[[#This Row],[Visitor]])</f>
        <v>Anaheim Ducks</v>
      </c>
      <c r="L54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0.61965341124578377</v>
      </c>
      <c r="M545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545" t="str">
        <f>IF(OR((NHL2025_26Results[[#This Row],[Winning Team]]="")),"-",IF(Table46[[#This Row],[Predicted Winner]]=NHL2025_26Results[[#This Row],[Winning Team]],"YES","NO"))</f>
        <v>-</v>
      </c>
      <c r="O545" t="str">
        <f>IF(OR((NHL2025_26Results[[#This Row],[Winning Team]]="")),"-",IF(Table46[[#This Row],[Prob Winner]]=NHL2025_26Results[[#This Row],[Winning Team]],"YES","NO"))</f>
        <v>-</v>
      </c>
      <c r="P545" t="str">
        <f>IF(Table46[[#This Row],[Locked Prediction]]&lt;&gt;Table46[[#This Row],[Prob Winner]], "Changed", "Same")</f>
        <v>Changed</v>
      </c>
      <c r="Q54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46" spans="4:17" x14ac:dyDescent="0.2">
      <c r="D546" s="1">
        <v>46010</v>
      </c>
      <c r="E546" s="2">
        <v>0.875</v>
      </c>
      <c r="F546" t="s">
        <v>12</v>
      </c>
      <c r="G546">
        <f>VLOOKUP(Table46[[#This Row],[Home]],'NHL Model'!$A$6:$B$38,2,FALSE)</f>
        <v>1.5475013591489768</v>
      </c>
      <c r="H546" t="s">
        <v>40</v>
      </c>
      <c r="I546">
        <f>VLOOKUP(Table46[[#This Row],[Visitor]],'NHL Model'!$A$6:$B$38,2,FALSE)</f>
        <v>0.105105258369765</v>
      </c>
      <c r="J546">
        <f>($B$1+Table46[[#This Row],[Home Differential]])-Table46[[#This Row],[Away Differential]]</f>
        <v>1.6049684104415303</v>
      </c>
      <c r="K546" t="str">
        <f>IF(Table46[[#This Row],[HomeIce Differential]]&gt;0,Table46[[#This Row],[Home]],Table46[[#This Row],[Visitor]])</f>
        <v>Colorado Avalanche</v>
      </c>
      <c r="L54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0.77784693521965298</v>
      </c>
      <c r="M546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546" t="str">
        <f>IF(OR((NHL2025_26Results[[#This Row],[Winning Team]]="")),"-",IF(Table46[[#This Row],[Predicted Winner]]=NHL2025_26Results[[#This Row],[Winning Team]],"YES","NO"))</f>
        <v>-</v>
      </c>
      <c r="O546" t="str">
        <f>IF(OR((NHL2025_26Results[[#This Row],[Winning Team]]="")),"-",IF(Table46[[#This Row],[Prob Winner]]=NHL2025_26Results[[#This Row],[Winning Team]],"YES","NO"))</f>
        <v>-</v>
      </c>
      <c r="P546" t="str">
        <f>IF(Table46[[#This Row],[Locked Prediction]]&lt;&gt;Table46[[#This Row],[Prob Winner]], "Changed", "Same")</f>
        <v>Changed</v>
      </c>
      <c r="Q54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47" spans="4:17" x14ac:dyDescent="0.2">
      <c r="D547" s="1">
        <v>46010</v>
      </c>
      <c r="E547" s="2">
        <v>0.79166666666666663</v>
      </c>
      <c r="F547" t="s">
        <v>11</v>
      </c>
      <c r="G547">
        <f>VLOOKUP(Table46[[#This Row],[Home]],'NHL Model'!$A$6:$B$38,2,FALSE)</f>
        <v>-0.28105923893144158</v>
      </c>
      <c r="H547" t="s">
        <v>25</v>
      </c>
      <c r="I547">
        <f>VLOOKUP(Table46[[#This Row],[Visitor]],'NHL Model'!$A$6:$B$38,2,FALSE)</f>
        <v>0.67193921242367816</v>
      </c>
      <c r="J547">
        <f>($B$1+Table46[[#This Row],[Home Differential]])-Table46[[#This Row],[Away Differential]]</f>
        <v>-0.79042614169280134</v>
      </c>
      <c r="K547" t="str">
        <f>IF(Table46[[#This Row],[HomeIce Differential]]&gt;0,Table46[[#This Row],[Home]],Table46[[#This Row],[Visitor]])</f>
        <v>Carolina Hurricanes</v>
      </c>
      <c r="L54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0.60506265727219455</v>
      </c>
      <c r="M547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547" t="str">
        <f>IF(OR((NHL2025_26Results[[#This Row],[Winning Team]]="")),"-",IF(Table46[[#This Row],[Predicted Winner]]=NHL2025_26Results[[#This Row],[Winning Team]],"YES","NO"))</f>
        <v>-</v>
      </c>
      <c r="O547" t="str">
        <f>IF(OR((NHL2025_26Results[[#This Row],[Winning Team]]="")),"-",IF(Table46[[#This Row],[Prob Winner]]=NHL2025_26Results[[#This Row],[Winning Team]],"YES","NO"))</f>
        <v>-</v>
      </c>
      <c r="P547" t="str">
        <f>IF(Table46[[#This Row],[Locked Prediction]]&lt;&gt;Table46[[#This Row],[Prob Winner]], "Changed", "Same")</f>
        <v>Changed</v>
      </c>
      <c r="Q54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48" spans="4:17" x14ac:dyDescent="0.2">
      <c r="D548" s="1">
        <v>46010</v>
      </c>
      <c r="E548" s="2">
        <v>0.79166666666666663</v>
      </c>
      <c r="F548" t="s">
        <v>30</v>
      </c>
      <c r="G548">
        <f>VLOOKUP(Table46[[#This Row],[Home]],'NHL Model'!$A$6:$B$38,2,FALSE)</f>
        <v>-6.4729560818359025E-2</v>
      </c>
      <c r="H548" t="s">
        <v>38</v>
      </c>
      <c r="I548">
        <f>VLOOKUP(Table46[[#This Row],[Visitor]],'NHL Model'!$A$6:$B$38,2,FALSE)</f>
        <v>-0.6902088310934803</v>
      </c>
      <c r="J548">
        <f>($B$1+Table46[[#This Row],[Home Differential]])-Table46[[#This Row],[Away Differential]]</f>
        <v>0.78805157993743968</v>
      </c>
      <c r="K548" t="str">
        <f>IF(Table46[[#This Row],[HomeIce Differential]]&gt;0,Table46[[#This Row],[Home]],Table46[[#This Row],[Visitor]])</f>
        <v>New York Islanders</v>
      </c>
      <c r="L54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0.60223447006930919</v>
      </c>
      <c r="M548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548" t="str">
        <f>IF(OR((NHL2025_26Results[[#This Row],[Winning Team]]="")),"-",IF(Table46[[#This Row],[Predicted Winner]]=NHL2025_26Results[[#This Row],[Winning Team]],"YES","NO"))</f>
        <v>-</v>
      </c>
      <c r="O548" t="str">
        <f>IF(OR((NHL2025_26Results[[#This Row],[Winning Team]]="")),"-",IF(Table46[[#This Row],[Prob Winner]]=NHL2025_26Results[[#This Row],[Winning Team]],"YES","NO"))</f>
        <v>-</v>
      </c>
      <c r="P548" t="str">
        <f>IF(Table46[[#This Row],[Locked Prediction]]&lt;&gt;Table46[[#This Row],[Prob Winner]], "Changed", "Same")</f>
        <v>Changed</v>
      </c>
      <c r="Q54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49" spans="4:17" x14ac:dyDescent="0.2">
      <c r="D549" s="1">
        <v>46010</v>
      </c>
      <c r="E549" s="2">
        <v>0.875</v>
      </c>
      <c r="F549" t="s">
        <v>55</v>
      </c>
      <c r="G549">
        <f>VLOOKUP(Table46[[#This Row],[Home]],'NHL Model'!$A$6:$B$38,2,FALSE)</f>
        <v>-0.12212311954851815</v>
      </c>
      <c r="H549" t="s">
        <v>24</v>
      </c>
      <c r="I549">
        <f>VLOOKUP(Table46[[#This Row],[Visitor]],'NHL Model'!$A$6:$B$38,2,FALSE)</f>
        <v>0.559441163373953</v>
      </c>
      <c r="J549">
        <f>($B$1+Table46[[#This Row],[Home Differential]])-Table46[[#This Row],[Away Differential]]</f>
        <v>-0.51899197326015278</v>
      </c>
      <c r="K549" t="str">
        <f>IF(Table46[[#This Row],[HomeIce Differential]]&gt;0,Table46[[#This Row],[Home]],Table46[[#This Row],[Visitor]])</f>
        <v>New Jersey Devils</v>
      </c>
      <c r="L54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0.52550563647076731</v>
      </c>
      <c r="M549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549" t="str">
        <f>IF(OR((NHL2025_26Results[[#This Row],[Winning Team]]="")),"-",IF(Table46[[#This Row],[Predicted Winner]]=NHL2025_26Results[[#This Row],[Winning Team]],"YES","NO"))</f>
        <v>-</v>
      </c>
      <c r="O549" t="str">
        <f>IF(OR((NHL2025_26Results[[#This Row],[Winning Team]]="")),"-",IF(Table46[[#This Row],[Prob Winner]]=NHL2025_26Results[[#This Row],[Winning Team]],"YES","NO"))</f>
        <v>-</v>
      </c>
      <c r="P549" t="str">
        <f>IF(Table46[[#This Row],[Locked Prediction]]&lt;&gt;Table46[[#This Row],[Prob Winner]], "Changed", "Same")</f>
        <v>Changed</v>
      </c>
      <c r="Q54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50" spans="4:17" x14ac:dyDescent="0.2">
      <c r="D550" s="1">
        <v>46011</v>
      </c>
      <c r="E550" s="2">
        <v>0.91666666666666663</v>
      </c>
      <c r="F550" t="s">
        <v>31</v>
      </c>
      <c r="G550">
        <f>VLOOKUP(Table46[[#This Row],[Home]],'NHL Model'!$A$6:$B$38,2,FALSE)</f>
        <v>0.51775546328552802</v>
      </c>
      <c r="H550" t="s">
        <v>28</v>
      </c>
      <c r="I550">
        <f>VLOOKUP(Table46[[#This Row],[Visitor]],'NHL Model'!$A$6:$B$38,2,FALSE)</f>
        <v>-0.40822279081308277</v>
      </c>
      <c r="J550">
        <f>($B$1+Table46[[#This Row],[Home Differential]])-Table46[[#This Row],[Away Differential]]</f>
        <v>1.0885505637609292</v>
      </c>
      <c r="K550" t="str">
        <f>IF(Table46[[#This Row],[HomeIce Differential]]&gt;0,Table46[[#This Row],[Home]],Table46[[#This Row],[Visitor]])</f>
        <v>Anaheim Ducks</v>
      </c>
      <c r="L55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0.76968905919399222</v>
      </c>
      <c r="M550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550" t="str">
        <f>IF(OR((NHL2025_26Results[[#This Row],[Winning Team]]="")),"-",IF(Table46[[#This Row],[Predicted Winner]]=NHL2025_26Results[[#This Row],[Winning Team]],"YES","NO"))</f>
        <v>-</v>
      </c>
      <c r="O550" t="str">
        <f>IF(OR((NHL2025_26Results[[#This Row],[Winning Team]]="")),"-",IF(Table46[[#This Row],[Prob Winner]]=NHL2025_26Results[[#This Row],[Winning Team]],"YES","NO"))</f>
        <v>-</v>
      </c>
      <c r="P550" t="str">
        <f>IF(Table46[[#This Row],[Locked Prediction]]&lt;&gt;Table46[[#This Row],[Prob Winner]], "Changed", "Same")</f>
        <v>Changed</v>
      </c>
      <c r="Q55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51" spans="4:17" x14ac:dyDescent="0.2">
      <c r="D551" s="1">
        <v>46011</v>
      </c>
      <c r="E551" s="2">
        <v>0.79166666666666663</v>
      </c>
      <c r="F551" t="s">
        <v>21</v>
      </c>
      <c r="G551">
        <f>VLOOKUP(Table46[[#This Row],[Home]],'NHL Model'!$A$6:$B$38,2,FALSE)</f>
        <v>4.029141914856392E-2</v>
      </c>
      <c r="H551" t="s">
        <v>38</v>
      </c>
      <c r="I551">
        <f>VLOOKUP(Table46[[#This Row],[Visitor]],'NHL Model'!$A$6:$B$38,2,FALSE)</f>
        <v>-0.6902088310934803</v>
      </c>
      <c r="J551">
        <f>($B$1+Table46[[#This Row],[Home Differential]])-Table46[[#This Row],[Away Differential]]</f>
        <v>0.89307255990436263</v>
      </c>
      <c r="K551" t="str">
        <f>IF(Table46[[#This Row],[HomeIce Differential]]&gt;0,Table46[[#This Row],[Home]],Table46[[#This Row],[Visitor]])</f>
        <v>Boston Bruins</v>
      </c>
      <c r="L55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0.69013488860513561</v>
      </c>
      <c r="M551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551" t="str">
        <f>IF(OR((NHL2025_26Results[[#This Row],[Winning Team]]="")),"-",IF(Table46[[#This Row],[Predicted Winner]]=NHL2025_26Results[[#This Row],[Winning Team]],"YES","NO"))</f>
        <v>-</v>
      </c>
      <c r="O551" t="str">
        <f>IF(OR((NHL2025_26Results[[#This Row],[Winning Team]]="")),"-",IF(Table46[[#This Row],[Prob Winner]]=NHL2025_26Results[[#This Row],[Winning Team]],"YES","NO"))</f>
        <v>-</v>
      </c>
      <c r="P551" t="str">
        <f>IF(Table46[[#This Row],[Locked Prediction]]&lt;&gt;Table46[[#This Row],[Prob Winner]], "Changed", "Same")</f>
        <v>Changed</v>
      </c>
      <c r="Q55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52" spans="4:17" x14ac:dyDescent="0.2">
      <c r="D552" s="1">
        <v>46011</v>
      </c>
      <c r="E552" s="2">
        <v>0.70833333333333337</v>
      </c>
      <c r="F552" t="s">
        <v>23</v>
      </c>
      <c r="G552">
        <f>VLOOKUP(Table46[[#This Row],[Home]],'NHL Model'!$A$6:$B$38,2,FALSE)</f>
        <v>-0.8683412362501769</v>
      </c>
      <c r="H552" t="s">
        <v>30</v>
      </c>
      <c r="I552">
        <f>VLOOKUP(Table46[[#This Row],[Visitor]],'NHL Model'!$A$6:$B$38,2,FALSE)</f>
        <v>-6.4729560818359025E-2</v>
      </c>
      <c r="J552">
        <f>($B$1+Table46[[#This Row],[Home Differential]])-Table46[[#This Row],[Away Differential]]</f>
        <v>-0.64103936576949949</v>
      </c>
      <c r="K552" t="str">
        <f>IF(Table46[[#This Row],[HomeIce Differential]]&gt;0,Table46[[#This Row],[Home]],Table46[[#This Row],[Visitor]])</f>
        <v>New York Islanders</v>
      </c>
      <c r="L55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0.58771887828282299</v>
      </c>
      <c r="M552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552" t="str">
        <f>IF(OR((NHL2025_26Results[[#This Row],[Winning Team]]="")),"-",IF(Table46[[#This Row],[Predicted Winner]]=NHL2025_26Results[[#This Row],[Winning Team]],"YES","NO"))</f>
        <v>-</v>
      </c>
      <c r="O552" t="str">
        <f>IF(OR((NHL2025_26Results[[#This Row],[Winning Team]]="")),"-",IF(Table46[[#This Row],[Prob Winner]]=NHL2025_26Results[[#This Row],[Winning Team]],"YES","NO"))</f>
        <v>-</v>
      </c>
      <c r="P552" t="str">
        <f>IF(Table46[[#This Row],[Locked Prediction]]&lt;&gt;Table46[[#This Row],[Prob Winner]], "Changed", "Same")</f>
        <v>Changed</v>
      </c>
      <c r="Q55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53" spans="4:17" x14ac:dyDescent="0.2">
      <c r="D553" s="1">
        <v>46011</v>
      </c>
      <c r="E553" s="2">
        <v>0.91666666666666663</v>
      </c>
      <c r="F553" t="s">
        <v>16</v>
      </c>
      <c r="G553">
        <f>VLOOKUP(Table46[[#This Row],[Home]],'NHL Model'!$A$6:$B$38,2,FALSE)</f>
        <v>-1.3903684122795328</v>
      </c>
      <c r="H553" t="s">
        <v>20</v>
      </c>
      <c r="I553">
        <f>VLOOKUP(Table46[[#This Row],[Visitor]],'NHL Model'!$A$6:$B$38,2,FALSE)</f>
        <v>-6.3745791019188943E-4</v>
      </c>
      <c r="J553">
        <f>($B$1+Table46[[#This Row],[Home Differential]])-Table46[[#This Row],[Away Differential]]</f>
        <v>-1.2271586447070224</v>
      </c>
      <c r="K553" t="str">
        <f>IF(Table46[[#This Row],[HomeIce Differential]]&gt;0,Table46[[#This Row],[Home]],Table46[[#This Row],[Visitor]])</f>
        <v>Vegas Golden Knights</v>
      </c>
      <c r="L55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0.64388193834156282</v>
      </c>
      <c r="M553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553" t="str">
        <f>IF(OR((NHL2025_26Results[[#This Row],[Winning Team]]="")),"-",IF(Table46[[#This Row],[Predicted Winner]]=NHL2025_26Results[[#This Row],[Winning Team]],"YES","NO"))</f>
        <v>-</v>
      </c>
      <c r="O553" t="str">
        <f>IF(OR((NHL2025_26Results[[#This Row],[Winning Team]]="")),"-",IF(Table46[[#This Row],[Prob Winner]]=NHL2025_26Results[[#This Row],[Winning Team]],"YES","NO"))</f>
        <v>-</v>
      </c>
      <c r="P553" t="str">
        <f>IF(Table46[[#This Row],[Locked Prediction]]&lt;&gt;Table46[[#This Row],[Prob Winner]], "Changed", "Same")</f>
        <v>Changed</v>
      </c>
      <c r="Q55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54" spans="4:17" x14ac:dyDescent="0.2">
      <c r="D554" s="1">
        <v>46011</v>
      </c>
      <c r="E554" s="2">
        <v>0.75</v>
      </c>
      <c r="F554" t="s">
        <v>11</v>
      </c>
      <c r="G554">
        <f>VLOOKUP(Table46[[#This Row],[Home]],'NHL Model'!$A$6:$B$38,2,FALSE)</f>
        <v>-0.28105923893144158</v>
      </c>
      <c r="H554" t="s">
        <v>35</v>
      </c>
      <c r="I554">
        <f>VLOOKUP(Table46[[#This Row],[Visitor]],'NHL Model'!$A$6:$B$38,2,FALSE)</f>
        <v>-1.6211574240381006</v>
      </c>
      <c r="J554">
        <f>($B$1+Table46[[#This Row],[Home Differential]])-Table46[[#This Row],[Away Differential]]</f>
        <v>1.5026704947689775</v>
      </c>
      <c r="K554" t="str">
        <f>IF(Table46[[#This Row],[HomeIce Differential]]&gt;0,Table46[[#This Row],[Home]],Table46[[#This Row],[Visitor]])</f>
        <v>Florida Panthers</v>
      </c>
      <c r="L55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0.79144944522554872</v>
      </c>
      <c r="M554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554" t="str">
        <f>IF(OR((NHL2025_26Results[[#This Row],[Winning Team]]="")),"-",IF(Table46[[#This Row],[Predicted Winner]]=NHL2025_26Results[[#This Row],[Winning Team]],"YES","NO"))</f>
        <v>-</v>
      </c>
      <c r="O554" t="str">
        <f>IF(OR((NHL2025_26Results[[#This Row],[Winning Team]]="")),"-",IF(Table46[[#This Row],[Prob Winner]]=NHL2025_26Results[[#This Row],[Winning Team]],"YES","NO"))</f>
        <v>-</v>
      </c>
      <c r="P554" t="str">
        <f>IF(Table46[[#This Row],[Locked Prediction]]&lt;&gt;Table46[[#This Row],[Prob Winner]], "Changed", "Same")</f>
        <v>Changed</v>
      </c>
      <c r="Q55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55" spans="4:17" x14ac:dyDescent="0.2">
      <c r="D555" s="1">
        <v>46011</v>
      </c>
      <c r="E555" s="2">
        <v>0.625</v>
      </c>
      <c r="F555" t="s">
        <v>34</v>
      </c>
      <c r="G555">
        <f>VLOOKUP(Table46[[#This Row],[Home]],'NHL Model'!$A$6:$B$38,2,FALSE)</f>
        <v>-0.53650300840565446</v>
      </c>
      <c r="H555" t="s">
        <v>17</v>
      </c>
      <c r="I555">
        <f>VLOOKUP(Table46[[#This Row],[Visitor]],'NHL Model'!$A$6:$B$38,2,FALSE)</f>
        <v>-0.61980804137564283</v>
      </c>
      <c r="J555">
        <f>($B$1+Table46[[#This Row],[Home Differential]])-Table46[[#This Row],[Away Differential]]</f>
        <v>0.24587734263230676</v>
      </c>
      <c r="K555" t="str">
        <f>IF(Table46[[#This Row],[HomeIce Differential]]&gt;0,Table46[[#This Row],[Home]],Table46[[#This Row],[Visitor]])</f>
        <v>Minnesota Wild</v>
      </c>
      <c r="L55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0.57268177204343507</v>
      </c>
      <c r="M555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555" t="str">
        <f>IF(OR((NHL2025_26Results[[#This Row],[Winning Team]]="")),"-",IF(Table46[[#This Row],[Predicted Winner]]=NHL2025_26Results[[#This Row],[Winning Team]],"YES","NO"))</f>
        <v>-</v>
      </c>
      <c r="O555" t="str">
        <f>IF(OR((NHL2025_26Results[[#This Row],[Winning Team]]="")),"-",IF(Table46[[#This Row],[Prob Winner]]=NHL2025_26Results[[#This Row],[Winning Team]],"YES","NO"))</f>
        <v>-</v>
      </c>
      <c r="P555" t="str">
        <f>IF(Table46[[#This Row],[Locked Prediction]]&lt;&gt;Table46[[#This Row],[Prob Winner]], "Changed", "Same")</f>
        <v>Changed</v>
      </c>
      <c r="Q55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56" spans="4:17" x14ac:dyDescent="0.2">
      <c r="D556" s="1">
        <v>46011</v>
      </c>
      <c r="E556" s="2">
        <v>0.79166666666666663</v>
      </c>
      <c r="F556" t="s">
        <v>18</v>
      </c>
      <c r="G556">
        <f>VLOOKUP(Table46[[#This Row],[Home]],'NHL Model'!$A$6:$B$38,2,FALSE)</f>
        <v>-0.52437726201848234</v>
      </c>
      <c r="H556" t="s">
        <v>14</v>
      </c>
      <c r="I556">
        <f>VLOOKUP(Table46[[#This Row],[Visitor]],'NHL Model'!$A$6:$B$38,2,FALSE)</f>
        <v>0.26289091192875702</v>
      </c>
      <c r="J556">
        <f>($B$1+Table46[[#This Row],[Home Differential]])-Table46[[#This Row],[Away Differential]]</f>
        <v>-0.62469586428492097</v>
      </c>
      <c r="K556" t="str">
        <f>IF(Table46[[#This Row],[HomeIce Differential]]&gt;0,Table46[[#This Row],[Home]],Table46[[#This Row],[Visitor]])</f>
        <v>Pittsburgh Penguins</v>
      </c>
      <c r="L55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0.5430339534926869</v>
      </c>
      <c r="M556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556" t="str">
        <f>IF(OR((NHL2025_26Results[[#This Row],[Winning Team]]="")),"-",IF(Table46[[#This Row],[Predicted Winner]]=NHL2025_26Results[[#This Row],[Winning Team]],"YES","NO"))</f>
        <v>-</v>
      </c>
      <c r="O556" t="str">
        <f>IF(OR((NHL2025_26Results[[#This Row],[Winning Team]]="")),"-",IF(Table46[[#This Row],[Prob Winner]]=NHL2025_26Results[[#This Row],[Winning Team]],"YES","NO"))</f>
        <v>-</v>
      </c>
      <c r="P556" t="str">
        <f>IF(Table46[[#This Row],[Locked Prediction]]&lt;&gt;Table46[[#This Row],[Prob Winner]], "Changed", "Same")</f>
        <v>Changed</v>
      </c>
      <c r="Q55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57" spans="4:17" x14ac:dyDescent="0.2">
      <c r="D557" s="1">
        <v>46011</v>
      </c>
      <c r="E557" s="2">
        <v>0.79166666666666663</v>
      </c>
      <c r="F557" t="s">
        <v>29</v>
      </c>
      <c r="G557">
        <f>VLOOKUP(Table46[[#This Row],[Home]],'NHL Model'!$A$6:$B$38,2,FALSE)</f>
        <v>-1.3516250707060606</v>
      </c>
      <c r="H557" t="s">
        <v>19</v>
      </c>
      <c r="I557">
        <f>VLOOKUP(Table46[[#This Row],[Visitor]],'NHL Model'!$A$6:$B$38,2,FALSE)</f>
        <v>-0.635565543477981</v>
      </c>
      <c r="J557">
        <f>($B$1+Table46[[#This Row],[Home Differential]])-Table46[[#This Row],[Away Differential]]</f>
        <v>-0.55348721756576125</v>
      </c>
      <c r="K557" t="str">
        <f>IF(Table46[[#This Row],[HomeIce Differential]]&gt;0,Table46[[#This Row],[Home]],Table46[[#This Row],[Visitor]])</f>
        <v>Toronto Maple Leafs</v>
      </c>
      <c r="L55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0.53356897093397559</v>
      </c>
      <c r="M557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557" t="str">
        <f>IF(OR((NHL2025_26Results[[#This Row],[Winning Team]]="")),"-",IF(Table46[[#This Row],[Predicted Winner]]=NHL2025_26Results[[#This Row],[Winning Team]],"YES","NO"))</f>
        <v>-</v>
      </c>
      <c r="O557" t="str">
        <f>IF(OR((NHL2025_26Results[[#This Row],[Winning Team]]="")),"-",IF(Table46[[#This Row],[Prob Winner]]=NHL2025_26Results[[#This Row],[Winning Team]],"YES","NO"))</f>
        <v>-</v>
      </c>
      <c r="P557" t="str">
        <f>IF(Table46[[#This Row],[Locked Prediction]]&lt;&gt;Table46[[#This Row],[Prob Winner]], "Changed", "Same")</f>
        <v>Changed</v>
      </c>
      <c r="Q55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58" spans="4:17" x14ac:dyDescent="0.2">
      <c r="D558" s="1">
        <v>46011</v>
      </c>
      <c r="E558" s="2">
        <v>0.52083333333333337</v>
      </c>
      <c r="F558" t="s">
        <v>15</v>
      </c>
      <c r="G558">
        <f>VLOOKUP(Table46[[#This Row],[Home]],'NHL Model'!$A$6:$B$38,2,FALSE)</f>
        <v>-0.30719665303039001</v>
      </c>
      <c r="H558" t="s">
        <v>27</v>
      </c>
      <c r="I558">
        <f>VLOOKUP(Table46[[#This Row],[Visitor]],'NHL Model'!$A$6:$B$38,2,FALSE)</f>
        <v>-0.51358590497437617</v>
      </c>
      <c r="J558">
        <f>($B$1+Table46[[#This Row],[Home Differential]])-Table46[[#This Row],[Away Differential]]</f>
        <v>0.36896156160630456</v>
      </c>
      <c r="K558" t="str">
        <f>IF(Table46[[#This Row],[HomeIce Differential]]&gt;0,Table46[[#This Row],[Home]],Table46[[#This Row],[Visitor]])</f>
        <v>New York Rangers</v>
      </c>
      <c r="L55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0.58904200411519603</v>
      </c>
      <c r="M558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558" t="str">
        <f>IF(OR((NHL2025_26Results[[#This Row],[Winning Team]]="")),"-",IF(Table46[[#This Row],[Predicted Winner]]=NHL2025_26Results[[#This Row],[Winning Team]],"YES","NO"))</f>
        <v>-</v>
      </c>
      <c r="O558" t="str">
        <f>IF(OR((NHL2025_26Results[[#This Row],[Winning Team]]="")),"-",IF(Table46[[#This Row],[Prob Winner]]=NHL2025_26Results[[#This Row],[Winning Team]],"YES","NO"))</f>
        <v>-</v>
      </c>
      <c r="P558" t="str">
        <f>IF(Table46[[#This Row],[Locked Prediction]]&lt;&gt;Table46[[#This Row],[Prob Winner]], "Changed", "Same")</f>
        <v>Changed</v>
      </c>
      <c r="Q55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59" spans="4:17" x14ac:dyDescent="0.2">
      <c r="D559" s="1">
        <v>46011</v>
      </c>
      <c r="E559" s="2">
        <v>0.625</v>
      </c>
      <c r="F559" t="s">
        <v>36</v>
      </c>
      <c r="G559">
        <f>VLOOKUP(Table46[[#This Row],[Home]],'NHL Model'!$A$6:$B$38,2,FALSE)</f>
        <v>-0.40651947573390851</v>
      </c>
      <c r="H559" t="s">
        <v>10</v>
      </c>
      <c r="I559">
        <f>VLOOKUP(Table46[[#This Row],[Visitor]],'NHL Model'!$A$6:$B$38,2,FALSE)</f>
        <v>0.30570968833820172</v>
      </c>
      <c r="J559">
        <f>($B$1+Table46[[#This Row],[Home Differential]])-Table46[[#This Row],[Away Differential]]</f>
        <v>-0.54965685440979184</v>
      </c>
      <c r="K559" t="str">
        <f>IF(Table46[[#This Row],[HomeIce Differential]]&gt;0,Table46[[#This Row],[Home]],Table46[[#This Row],[Visitor]])</f>
        <v>Chicago Blackhawks</v>
      </c>
      <c r="L55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0.55132071243490377</v>
      </c>
      <c r="M559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559" t="str">
        <f>IF(OR((NHL2025_26Results[[#This Row],[Winning Team]]="")),"-",IF(Table46[[#This Row],[Predicted Winner]]=NHL2025_26Results[[#This Row],[Winning Team]],"YES","NO"))</f>
        <v>-</v>
      </c>
      <c r="O559" t="str">
        <f>IF(OR((NHL2025_26Results[[#This Row],[Winning Team]]="")),"-",IF(Table46[[#This Row],[Prob Winner]]=NHL2025_26Results[[#This Row],[Winning Team]],"YES","NO"))</f>
        <v>-</v>
      </c>
      <c r="P559" t="str">
        <f>IF(Table46[[#This Row],[Locked Prediction]]&lt;&gt;Table46[[#This Row],[Prob Winner]], "Changed", "Same")</f>
        <v>Changed</v>
      </c>
      <c r="Q55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60" spans="4:17" x14ac:dyDescent="0.2">
      <c r="D560" s="1">
        <v>46011</v>
      </c>
      <c r="E560" s="2">
        <v>0.91666666666666663</v>
      </c>
      <c r="F560" t="s">
        <v>33</v>
      </c>
      <c r="G560">
        <f>VLOOKUP(Table46[[#This Row],[Home]],'NHL Model'!$A$6:$B$38,2,FALSE)</f>
        <v>-0.39418177254008485</v>
      </c>
      <c r="H560" t="s">
        <v>32</v>
      </c>
      <c r="I560">
        <f>VLOOKUP(Table46[[#This Row],[Visitor]],'NHL Model'!$A$6:$B$38,2,FALSE)</f>
        <v>-0.361361309178443</v>
      </c>
      <c r="J560">
        <f>($B$1+Table46[[#This Row],[Home Differential]])-Table46[[#This Row],[Away Differential]]</f>
        <v>0.12975184630067654</v>
      </c>
      <c r="K560" t="str">
        <f>IF(Table46[[#This Row],[HomeIce Differential]]&gt;0,Table46[[#This Row],[Home]],Table46[[#This Row],[Visitor]])</f>
        <v>San Jose Sharks</v>
      </c>
      <c r="L56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0.55724648647010533</v>
      </c>
      <c r="M560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560" t="str">
        <f>IF(OR((NHL2025_26Results[[#This Row],[Winning Team]]="")),"-",IF(Table46[[#This Row],[Predicted Winner]]=NHL2025_26Results[[#This Row],[Winning Team]],"YES","NO"))</f>
        <v>-</v>
      </c>
      <c r="O560" t="str">
        <f>IF(OR((NHL2025_26Results[[#This Row],[Winning Team]]="")),"-",IF(Table46[[#This Row],[Prob Winner]]=NHL2025_26Results[[#This Row],[Winning Team]],"YES","NO"))</f>
        <v>-</v>
      </c>
      <c r="P560" t="str">
        <f>IF(Table46[[#This Row],[Locked Prediction]]&lt;&gt;Table46[[#This Row],[Prob Winner]], "Changed", "Same")</f>
        <v>Changed</v>
      </c>
      <c r="Q56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61" spans="4:17" x14ac:dyDescent="0.2">
      <c r="D561" s="1">
        <v>46011</v>
      </c>
      <c r="E561" s="2">
        <v>0.79166666666666663</v>
      </c>
      <c r="F561" t="s">
        <v>37</v>
      </c>
      <c r="G561">
        <f>VLOOKUP(Table46[[#This Row],[Home]],'NHL Model'!$A$6:$B$38,2,FALSE)</f>
        <v>-0.11309445867623392</v>
      </c>
      <c r="H561" t="s">
        <v>25</v>
      </c>
      <c r="I561">
        <f>VLOOKUP(Table46[[#This Row],[Visitor]],'NHL Model'!$A$6:$B$38,2,FALSE)</f>
        <v>0.67193921242367816</v>
      </c>
      <c r="J561">
        <f>($B$1+Table46[[#This Row],[Home Differential]])-Table46[[#This Row],[Away Differential]]</f>
        <v>-0.62246136143759367</v>
      </c>
      <c r="K561" t="str">
        <f>IF(Table46[[#This Row],[HomeIce Differential]]&gt;0,Table46[[#This Row],[Home]],Table46[[#This Row],[Visitor]])</f>
        <v>Carolina Hurricanes</v>
      </c>
      <c r="L56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0.63522313344004888</v>
      </c>
      <c r="M561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561" t="str">
        <f>IF(OR((NHL2025_26Results[[#This Row],[Winning Team]]="")),"-",IF(Table46[[#This Row],[Predicted Winner]]=NHL2025_26Results[[#This Row],[Winning Team]],"YES","NO"))</f>
        <v>-</v>
      </c>
      <c r="O561" t="str">
        <f>IF(OR((NHL2025_26Results[[#This Row],[Winning Team]]="")),"-",IF(Table46[[#This Row],[Prob Winner]]=NHL2025_26Results[[#This Row],[Winning Team]],"YES","NO"))</f>
        <v>-</v>
      </c>
      <c r="P561" t="str">
        <f>IF(Table46[[#This Row],[Locked Prediction]]&lt;&gt;Table46[[#This Row],[Prob Winner]], "Changed", "Same")</f>
        <v>Changed</v>
      </c>
      <c r="Q56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62" spans="4:17" x14ac:dyDescent="0.2">
      <c r="D562" s="1">
        <v>46011</v>
      </c>
      <c r="E562" s="2">
        <v>0.52083333333333337</v>
      </c>
      <c r="F562" t="s">
        <v>22</v>
      </c>
      <c r="G562">
        <f>VLOOKUP(Table46[[#This Row],[Home]],'NHL Model'!$A$6:$B$38,2,FALSE)</f>
        <v>-6.1308839486784707E-2</v>
      </c>
      <c r="H562" t="s">
        <v>26</v>
      </c>
      <c r="I562">
        <f>VLOOKUP(Table46[[#This Row],[Visitor]],'NHL Model'!$A$6:$B$38,2,FALSE)</f>
        <v>-0.513643833119658</v>
      </c>
      <c r="J562">
        <f>($B$1+Table46[[#This Row],[Home Differential]])-Table46[[#This Row],[Away Differential]]</f>
        <v>0.61490730329519172</v>
      </c>
      <c r="K562" t="str">
        <f>IF(Table46[[#This Row],[HomeIce Differential]]&gt;0,Table46[[#This Row],[Home]],Table46[[#This Row],[Visitor]])</f>
        <v>Washington Capitals</v>
      </c>
      <c r="L56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0.57463347621253025</v>
      </c>
      <c r="M562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562" t="str">
        <f>IF(OR((NHL2025_26Results[[#This Row],[Winning Team]]="")),"-",IF(Table46[[#This Row],[Predicted Winner]]=NHL2025_26Results[[#This Row],[Winning Team]],"YES","NO"))</f>
        <v>-</v>
      </c>
      <c r="O562" t="str">
        <f>IF(OR((NHL2025_26Results[[#This Row],[Winning Team]]="")),"-",IF(Table46[[#This Row],[Prob Winner]]=NHL2025_26Results[[#This Row],[Winning Team]],"YES","NO"))</f>
        <v>-</v>
      </c>
      <c r="P562" t="str">
        <f>IF(Table46[[#This Row],[Locked Prediction]]&lt;&gt;Table46[[#This Row],[Prob Winner]], "Changed", "Same")</f>
        <v>Changed</v>
      </c>
      <c r="Q56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63" spans="4:17" x14ac:dyDescent="0.2">
      <c r="D563" s="1">
        <v>46012</v>
      </c>
      <c r="E563" s="2">
        <v>0.79166666666666663</v>
      </c>
      <c r="F563" t="s">
        <v>21</v>
      </c>
      <c r="G563">
        <f>VLOOKUP(Table46[[#This Row],[Home]],'NHL Model'!$A$6:$B$38,2,FALSE)</f>
        <v>4.029141914856392E-2</v>
      </c>
      <c r="H563" t="s">
        <v>36</v>
      </c>
      <c r="I563">
        <f>VLOOKUP(Table46[[#This Row],[Visitor]],'NHL Model'!$A$6:$B$38,2,FALSE)</f>
        <v>-0.40651947573390851</v>
      </c>
      <c r="J563">
        <f>($B$1+Table46[[#This Row],[Home Differential]])-Table46[[#This Row],[Away Differential]]</f>
        <v>0.60938320454479089</v>
      </c>
      <c r="K563" t="str">
        <f>IF(Table46[[#This Row],[HomeIce Differential]]&gt;0,Table46[[#This Row],[Home]],Table46[[#This Row],[Visitor]])</f>
        <v>Boston Bruins</v>
      </c>
      <c r="L56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0.69355603723570536</v>
      </c>
      <c r="M563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563" t="str">
        <f>IF(OR((NHL2025_26Results[[#This Row],[Winning Team]]="")),"-",IF(Table46[[#This Row],[Predicted Winner]]=NHL2025_26Results[[#This Row],[Winning Team]],"YES","NO"))</f>
        <v>-</v>
      </c>
      <c r="O563" t="str">
        <f>IF(OR((NHL2025_26Results[[#This Row],[Winning Team]]="")),"-",IF(Table46[[#This Row],[Prob Winner]]=NHL2025_26Results[[#This Row],[Winning Team]],"YES","NO"))</f>
        <v>-</v>
      </c>
      <c r="P563" t="str">
        <f>IF(Table46[[#This Row],[Locked Prediction]]&lt;&gt;Table46[[#This Row],[Prob Winner]], "Changed", "Same")</f>
        <v>Changed</v>
      </c>
      <c r="Q56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64" spans="4:17" x14ac:dyDescent="0.2">
      <c r="D564" s="1">
        <v>46012</v>
      </c>
      <c r="E564" s="2">
        <v>0.79166666666666663</v>
      </c>
      <c r="F564" t="s">
        <v>39</v>
      </c>
      <c r="G564">
        <f>VLOOKUP(Table46[[#This Row],[Home]],'NHL Model'!$A$6:$B$38,2,FALSE)</f>
        <v>0.19809534061227302</v>
      </c>
      <c r="H564" t="s">
        <v>19</v>
      </c>
      <c r="I564">
        <f>VLOOKUP(Table46[[#This Row],[Visitor]],'NHL Model'!$A$6:$B$38,2,FALSE)</f>
        <v>-0.635565543477981</v>
      </c>
      <c r="J564">
        <f>($B$1+Table46[[#This Row],[Home Differential]])-Table46[[#This Row],[Away Differential]]</f>
        <v>0.99623319375257235</v>
      </c>
      <c r="K564" t="str">
        <f>IF(Table46[[#This Row],[HomeIce Differential]]&gt;0,Table46[[#This Row],[Home]],Table46[[#This Row],[Visitor]])</f>
        <v>Dallas Stars</v>
      </c>
      <c r="L56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0.69845606196141463</v>
      </c>
      <c r="M564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564" t="str">
        <f>IF(OR((NHL2025_26Results[[#This Row],[Winning Team]]="")),"-",IF(Table46[[#This Row],[Predicted Winner]]=NHL2025_26Results[[#This Row],[Winning Team]],"YES","NO"))</f>
        <v>-</v>
      </c>
      <c r="O564" t="str">
        <f>IF(OR((NHL2025_26Results[[#This Row],[Winning Team]]="")),"-",IF(Table46[[#This Row],[Prob Winner]]=NHL2025_26Results[[#This Row],[Winning Team]],"YES","NO"))</f>
        <v>-</v>
      </c>
      <c r="P564" t="str">
        <f>IF(Table46[[#This Row],[Locked Prediction]]&lt;&gt;Table46[[#This Row],[Prob Winner]], "Changed", "Same")</f>
        <v>Changed</v>
      </c>
      <c r="Q56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65" spans="4:17" x14ac:dyDescent="0.2">
      <c r="D565" s="1">
        <v>46012</v>
      </c>
      <c r="E565" s="2">
        <v>0.54166666666666663</v>
      </c>
      <c r="F565" t="s">
        <v>26</v>
      </c>
      <c r="G565">
        <f>VLOOKUP(Table46[[#This Row],[Home]],'NHL Model'!$A$6:$B$38,2,FALSE)</f>
        <v>-0.513643833119658</v>
      </c>
      <c r="H565" t="s">
        <v>22</v>
      </c>
      <c r="I565">
        <f>VLOOKUP(Table46[[#This Row],[Visitor]],'NHL Model'!$A$6:$B$38,2,FALSE)</f>
        <v>-6.1308839486784707E-2</v>
      </c>
      <c r="J565">
        <f>($B$1+Table46[[#This Row],[Home Differential]])-Table46[[#This Row],[Away Differential]]</f>
        <v>-0.28976268397055488</v>
      </c>
      <c r="K565" t="str">
        <f>IF(Table46[[#This Row],[HomeIce Differential]]&gt;0,Table46[[#This Row],[Home]],Table46[[#This Row],[Visitor]])</f>
        <v>Washington Capitals</v>
      </c>
      <c r="L56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0.47247723215424275</v>
      </c>
      <c r="M565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565" t="str">
        <f>IF(OR((NHL2025_26Results[[#This Row],[Winning Team]]="")),"-",IF(Table46[[#This Row],[Predicted Winner]]=NHL2025_26Results[[#This Row],[Winning Team]],"YES","NO"))</f>
        <v>-</v>
      </c>
      <c r="O565" t="str">
        <f>IF(OR((NHL2025_26Results[[#This Row],[Winning Team]]="")),"-",IF(Table46[[#This Row],[Prob Winner]]=NHL2025_26Results[[#This Row],[Winning Team]],"YES","NO"))</f>
        <v>-</v>
      </c>
      <c r="P565" t="str">
        <f>IF(Table46[[#This Row],[Locked Prediction]]&lt;&gt;Table46[[#This Row],[Prob Winner]], "Changed", "Same")</f>
        <v>Changed</v>
      </c>
      <c r="Q56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66" spans="4:17" x14ac:dyDescent="0.2">
      <c r="D566" s="1">
        <v>46012</v>
      </c>
      <c r="E566" s="2">
        <v>0.83333333333333337</v>
      </c>
      <c r="F566" t="s">
        <v>17</v>
      </c>
      <c r="G566">
        <f>VLOOKUP(Table46[[#This Row],[Home]],'NHL Model'!$A$6:$B$38,2,FALSE)</f>
        <v>-0.61980804137564283</v>
      </c>
      <c r="H566" t="s">
        <v>20</v>
      </c>
      <c r="I566">
        <f>VLOOKUP(Table46[[#This Row],[Visitor]],'NHL Model'!$A$6:$B$38,2,FALSE)</f>
        <v>-6.3745791019188943E-4</v>
      </c>
      <c r="J566">
        <f>($B$1+Table46[[#This Row],[Home Differential]])-Table46[[#This Row],[Away Differential]]</f>
        <v>-0.45659827380313256</v>
      </c>
      <c r="K566" t="str">
        <f>IF(Table46[[#This Row],[HomeIce Differential]]&gt;0,Table46[[#This Row],[Home]],Table46[[#This Row],[Visitor]])</f>
        <v>Vegas Golden Knights</v>
      </c>
      <c r="L56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0.50513503325634412</v>
      </c>
      <c r="M566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566" t="str">
        <f>IF(OR((NHL2025_26Results[[#This Row],[Winning Team]]="")),"-",IF(Table46[[#This Row],[Predicted Winner]]=NHL2025_26Results[[#This Row],[Winning Team]],"YES","NO"))</f>
        <v>-</v>
      </c>
      <c r="O566" t="str">
        <f>IF(OR((NHL2025_26Results[[#This Row],[Winning Team]]="")),"-",IF(Table46[[#This Row],[Prob Winner]]=NHL2025_26Results[[#This Row],[Winning Team]],"YES","NO"))</f>
        <v>-</v>
      </c>
      <c r="P566" t="str">
        <f>IF(Table46[[#This Row],[Locked Prediction]]&lt;&gt;Table46[[#This Row],[Prob Winner]], "Changed", "Same")</f>
        <v>Changed</v>
      </c>
      <c r="Q56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67" spans="4:17" x14ac:dyDescent="0.2">
      <c r="D567" s="1">
        <v>46012</v>
      </c>
      <c r="E567" s="2">
        <v>0.75</v>
      </c>
      <c r="F567" t="s">
        <v>34</v>
      </c>
      <c r="G567">
        <f>VLOOKUP(Table46[[#This Row],[Home]],'NHL Model'!$A$6:$B$38,2,FALSE)</f>
        <v>-0.53650300840565446</v>
      </c>
      <c r="H567" t="s">
        <v>12</v>
      </c>
      <c r="I567">
        <f>VLOOKUP(Table46[[#This Row],[Visitor]],'NHL Model'!$A$6:$B$38,2,FALSE)</f>
        <v>1.5475013591489768</v>
      </c>
      <c r="J567">
        <f>($B$1+Table46[[#This Row],[Home Differential]])-Table46[[#This Row],[Away Differential]]</f>
        <v>-1.921432057892313</v>
      </c>
      <c r="K567" t="str">
        <f>IF(Table46[[#This Row],[HomeIce Differential]]&gt;0,Table46[[#This Row],[Home]],Table46[[#This Row],[Visitor]])</f>
        <v>Colorado Avalanche</v>
      </c>
      <c r="L56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0.78171062919623524</v>
      </c>
      <c r="M567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567" t="str">
        <f>IF(OR((NHL2025_26Results[[#This Row],[Winning Team]]="")),"-",IF(Table46[[#This Row],[Predicted Winner]]=NHL2025_26Results[[#This Row],[Winning Team]],"YES","NO"))</f>
        <v>-</v>
      </c>
      <c r="O567" t="str">
        <f>IF(OR((NHL2025_26Results[[#This Row],[Winning Team]]="")),"-",IF(Table46[[#This Row],[Prob Winner]]=NHL2025_26Results[[#This Row],[Winning Team]],"YES","NO"))</f>
        <v>-</v>
      </c>
      <c r="P567" t="str">
        <f>IF(Table46[[#This Row],[Locked Prediction]]&lt;&gt;Table46[[#This Row],[Prob Winner]], "Changed", "Same")</f>
        <v>Changed</v>
      </c>
      <c r="Q56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68" spans="4:17" x14ac:dyDescent="0.2">
      <c r="D568" s="1">
        <v>46012</v>
      </c>
      <c r="E568" s="2">
        <v>0.79166666666666663</v>
      </c>
      <c r="F568" t="s">
        <v>24</v>
      </c>
      <c r="G568">
        <f>VLOOKUP(Table46[[#This Row],[Home]],'NHL Model'!$A$6:$B$38,2,FALSE)</f>
        <v>0.559441163373953</v>
      </c>
      <c r="H568" t="s">
        <v>23</v>
      </c>
      <c r="I568">
        <f>VLOOKUP(Table46[[#This Row],[Visitor]],'NHL Model'!$A$6:$B$38,2,FALSE)</f>
        <v>-0.8683412362501769</v>
      </c>
      <c r="J568">
        <f>($B$1+Table46[[#This Row],[Home Differential]])-Table46[[#This Row],[Away Differential]]</f>
        <v>1.5903547092864483</v>
      </c>
      <c r="K568" t="str">
        <f>IF(Table46[[#This Row],[HomeIce Differential]]&gt;0,Table46[[#This Row],[Home]],Table46[[#This Row],[Visitor]])</f>
        <v>New Jersey Devils</v>
      </c>
      <c r="L56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0.86681907916263312</v>
      </c>
      <c r="M568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568" t="str">
        <f>IF(OR((NHL2025_26Results[[#This Row],[Winning Team]]="")),"-",IF(Table46[[#This Row],[Predicted Winner]]=NHL2025_26Results[[#This Row],[Winning Team]],"YES","NO"))</f>
        <v>-</v>
      </c>
      <c r="O568" t="str">
        <f>IF(OR((NHL2025_26Results[[#This Row],[Winning Team]]="")),"-",IF(Table46[[#This Row],[Prob Winner]]=NHL2025_26Results[[#This Row],[Winning Team]],"YES","NO"))</f>
        <v>-</v>
      </c>
      <c r="P568" t="str">
        <f>IF(Table46[[#This Row],[Locked Prediction]]&lt;&gt;Table46[[#This Row],[Prob Winner]], "Changed", "Same")</f>
        <v>Changed</v>
      </c>
      <c r="Q56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69" spans="4:17" x14ac:dyDescent="0.2">
      <c r="D569" s="1">
        <v>46012</v>
      </c>
      <c r="E569" s="2">
        <v>0.79166666666666663</v>
      </c>
      <c r="F569" t="s">
        <v>29</v>
      </c>
      <c r="G569">
        <f>VLOOKUP(Table46[[#This Row],[Home]],'NHL Model'!$A$6:$B$38,2,FALSE)</f>
        <v>-1.3516250707060606</v>
      </c>
      <c r="H569" t="s">
        <v>15</v>
      </c>
      <c r="I569">
        <f>VLOOKUP(Table46[[#This Row],[Visitor]],'NHL Model'!$A$6:$B$38,2,FALSE)</f>
        <v>-0.30719665303039001</v>
      </c>
      <c r="J569">
        <f>($B$1+Table46[[#This Row],[Home Differential]])-Table46[[#This Row],[Away Differential]]</f>
        <v>-0.88185610801335224</v>
      </c>
      <c r="K569" t="str">
        <f>IF(Table46[[#This Row],[HomeIce Differential]]&gt;0,Table46[[#This Row],[Home]],Table46[[#This Row],[Visitor]])</f>
        <v>New York Rangers</v>
      </c>
      <c r="L56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0.71962507609171489</v>
      </c>
      <c r="M569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569" t="str">
        <f>IF(OR((NHL2025_26Results[[#This Row],[Winning Team]]="")),"-",IF(Table46[[#This Row],[Predicted Winner]]=NHL2025_26Results[[#This Row],[Winning Team]],"YES","NO"))</f>
        <v>-</v>
      </c>
      <c r="O569" t="str">
        <f>IF(OR((NHL2025_26Results[[#This Row],[Winning Team]]="")),"-",IF(Table46[[#This Row],[Prob Winner]]=NHL2025_26Results[[#This Row],[Winning Team]],"YES","NO"))</f>
        <v>-</v>
      </c>
      <c r="P569" t="str">
        <f>IF(Table46[[#This Row],[Locked Prediction]]&lt;&gt;Table46[[#This Row],[Prob Winner]], "Changed", "Same")</f>
        <v>Changed</v>
      </c>
      <c r="Q56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70" spans="4:17" x14ac:dyDescent="0.2">
      <c r="D570" s="1">
        <v>46012</v>
      </c>
      <c r="E570" s="2">
        <v>0.79166666666666663</v>
      </c>
      <c r="F570" t="s">
        <v>14</v>
      </c>
      <c r="G570">
        <f>VLOOKUP(Table46[[#This Row],[Home]],'NHL Model'!$A$6:$B$38,2,FALSE)</f>
        <v>0.26289091192875702</v>
      </c>
      <c r="H570" t="s">
        <v>18</v>
      </c>
      <c r="I570">
        <f>VLOOKUP(Table46[[#This Row],[Visitor]],'NHL Model'!$A$6:$B$38,2,FALSE)</f>
        <v>-0.52437726201848234</v>
      </c>
      <c r="J570">
        <f>($B$1+Table46[[#This Row],[Home Differential]])-Table46[[#This Row],[Away Differential]]</f>
        <v>0.94984048360955775</v>
      </c>
      <c r="K570" t="str">
        <f>IF(Table46[[#This Row],[HomeIce Differential]]&gt;0,Table46[[#This Row],[Home]],Table46[[#This Row],[Visitor]])</f>
        <v>Pittsburgh Penguins</v>
      </c>
      <c r="L57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0.62625185318264798</v>
      </c>
      <c r="M570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570" t="str">
        <f>IF(OR((NHL2025_26Results[[#This Row],[Winning Team]]="")),"-",IF(Table46[[#This Row],[Predicted Winner]]=NHL2025_26Results[[#This Row],[Winning Team]],"YES","NO"))</f>
        <v>-</v>
      </c>
      <c r="O570" t="str">
        <f>IF(OR((NHL2025_26Results[[#This Row],[Winning Team]]="")),"-",IF(Table46[[#This Row],[Prob Winner]]=NHL2025_26Results[[#This Row],[Winning Team]],"YES","NO"))</f>
        <v>-</v>
      </c>
      <c r="P570" t="str">
        <f>IF(Table46[[#This Row],[Locked Prediction]]&lt;&gt;Table46[[#This Row],[Prob Winner]], "Changed", "Same")</f>
        <v>Changed</v>
      </c>
      <c r="Q57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71" spans="4:17" x14ac:dyDescent="0.2">
      <c r="D571" s="1">
        <v>46012</v>
      </c>
      <c r="E571" s="2">
        <v>0.79166666666666663</v>
      </c>
      <c r="F571" t="s">
        <v>55</v>
      </c>
      <c r="G571">
        <f>VLOOKUP(Table46[[#This Row],[Home]],'NHL Model'!$A$6:$B$38,2,FALSE)</f>
        <v>-0.12212311954851815</v>
      </c>
      <c r="H571" t="s">
        <v>40</v>
      </c>
      <c r="I571">
        <f>VLOOKUP(Table46[[#This Row],[Visitor]],'NHL Model'!$A$6:$B$38,2,FALSE)</f>
        <v>0.105105258369765</v>
      </c>
      <c r="J571">
        <f>($B$1+Table46[[#This Row],[Home Differential]])-Table46[[#This Row],[Away Differential]]</f>
        <v>-6.465606825596476E-2</v>
      </c>
      <c r="K571" t="str">
        <f>IF(Table46[[#This Row],[HomeIce Differential]]&gt;0,Table46[[#This Row],[Home]],Table46[[#This Row],[Visitor]])</f>
        <v>Winnipeg Jets</v>
      </c>
      <c r="L57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0.46511575947140688</v>
      </c>
      <c r="M571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571" t="str">
        <f>IF(OR((NHL2025_26Results[[#This Row],[Winning Team]]="")),"-",IF(Table46[[#This Row],[Predicted Winner]]=NHL2025_26Results[[#This Row],[Winning Team]],"YES","NO"))</f>
        <v>-</v>
      </c>
      <c r="O571" t="str">
        <f>IF(OR((NHL2025_26Results[[#This Row],[Winning Team]]="")),"-",IF(Table46[[#This Row],[Prob Winner]]=NHL2025_26Results[[#This Row],[Winning Team]],"YES","NO"))</f>
        <v>-</v>
      </c>
      <c r="P571" t="str">
        <f>IF(Table46[[#This Row],[Locked Prediction]]&lt;&gt;Table46[[#This Row],[Prob Winner]], "Changed", "Same")</f>
        <v>Changed</v>
      </c>
      <c r="Q57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72" spans="4:17" x14ac:dyDescent="0.2">
      <c r="D572" s="1">
        <v>46013</v>
      </c>
      <c r="E572" s="2">
        <v>0.91666666666666663</v>
      </c>
      <c r="F572" t="s">
        <v>31</v>
      </c>
      <c r="G572">
        <f>VLOOKUP(Table46[[#This Row],[Home]],'NHL Model'!$A$6:$B$38,2,FALSE)</f>
        <v>0.51775546328552802</v>
      </c>
      <c r="H572" t="s">
        <v>32</v>
      </c>
      <c r="I572">
        <f>VLOOKUP(Table46[[#This Row],[Visitor]],'NHL Model'!$A$6:$B$38,2,FALSE)</f>
        <v>-0.361361309178443</v>
      </c>
      <c r="J572">
        <f>($B$1+Table46[[#This Row],[Home Differential]])-Table46[[#This Row],[Away Differential]]</f>
        <v>1.0416890821262894</v>
      </c>
      <c r="K572" t="str">
        <f>IF(Table46[[#This Row],[HomeIce Differential]]&gt;0,Table46[[#This Row],[Home]],Table46[[#This Row],[Visitor]])</f>
        <v>Anaheim Ducks</v>
      </c>
      <c r="L57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0.7827901745306709</v>
      </c>
      <c r="M572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572" t="str">
        <f>IF(OR((NHL2025_26Results[[#This Row],[Winning Team]]="")),"-",IF(Table46[[#This Row],[Predicted Winner]]=NHL2025_26Results[[#This Row],[Winning Team]],"YES","NO"))</f>
        <v>-</v>
      </c>
      <c r="O572" t="str">
        <f>IF(OR((NHL2025_26Results[[#This Row],[Winning Team]]="")),"-",IF(Table46[[#This Row],[Prob Winner]]=NHL2025_26Results[[#This Row],[Winning Team]],"YES","NO"))</f>
        <v>-</v>
      </c>
      <c r="P572" t="str">
        <f>IF(Table46[[#This Row],[Locked Prediction]]&lt;&gt;Table46[[#This Row],[Prob Winner]], "Changed", "Same")</f>
        <v>Changed</v>
      </c>
      <c r="Q57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73" spans="4:17" x14ac:dyDescent="0.2">
      <c r="D573" s="1">
        <v>46013</v>
      </c>
      <c r="E573" s="2">
        <v>0.91666666666666663</v>
      </c>
      <c r="F573" t="s">
        <v>13</v>
      </c>
      <c r="G573">
        <f>VLOOKUP(Table46[[#This Row],[Home]],'NHL Model'!$A$6:$B$38,2,FALSE)</f>
        <v>-7.5459708298993802E-2</v>
      </c>
      <c r="H573" t="s">
        <v>28</v>
      </c>
      <c r="I573">
        <f>VLOOKUP(Table46[[#This Row],[Visitor]],'NHL Model'!$A$6:$B$38,2,FALSE)</f>
        <v>-0.40822279081308277</v>
      </c>
      <c r="J573">
        <f>($B$1+Table46[[#This Row],[Home Differential]])-Table46[[#This Row],[Away Differential]]</f>
        <v>0.49533539217640737</v>
      </c>
      <c r="K573" t="str">
        <f>IF(Table46[[#This Row],[HomeIce Differential]]&gt;0,Table46[[#This Row],[Home]],Table46[[#This Row],[Visitor]])</f>
        <v>Los Angeles Kings</v>
      </c>
      <c r="L57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0.5850702573220472</v>
      </c>
      <c r="M573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573" t="str">
        <f>IF(OR((NHL2025_26Results[[#This Row],[Winning Team]]="")),"-",IF(Table46[[#This Row],[Predicted Winner]]=NHL2025_26Results[[#This Row],[Winning Team]],"YES","NO"))</f>
        <v>-</v>
      </c>
      <c r="O573" t="str">
        <f>IF(OR((NHL2025_26Results[[#This Row],[Winning Team]]="")),"-",IF(Table46[[#This Row],[Prob Winner]]=NHL2025_26Results[[#This Row],[Winning Team]],"YES","NO"))</f>
        <v>-</v>
      </c>
      <c r="P573" t="str">
        <f>IF(Table46[[#This Row],[Locked Prediction]]&lt;&gt;Table46[[#This Row],[Prob Winner]], "Changed", "Same")</f>
        <v>Changed</v>
      </c>
      <c r="Q57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74" spans="4:17" x14ac:dyDescent="0.2">
      <c r="D574" s="1">
        <v>46013</v>
      </c>
      <c r="E574" s="2">
        <v>0.8125</v>
      </c>
      <c r="F574" t="s">
        <v>27</v>
      </c>
      <c r="G574">
        <f>VLOOKUP(Table46[[#This Row],[Home]],'NHL Model'!$A$6:$B$38,2,FALSE)</f>
        <v>-0.51358590497437617</v>
      </c>
      <c r="H574" t="s">
        <v>38</v>
      </c>
      <c r="I574">
        <f>VLOOKUP(Table46[[#This Row],[Visitor]],'NHL Model'!$A$6:$B$38,2,FALSE)</f>
        <v>-0.6902088310934803</v>
      </c>
      <c r="J574">
        <f>($B$1+Table46[[#This Row],[Home Differential]])-Table46[[#This Row],[Away Differential]]</f>
        <v>0.33919523578142252</v>
      </c>
      <c r="K574" t="str">
        <f>IF(Table46[[#This Row],[HomeIce Differential]]&gt;0,Table46[[#This Row],[Home]],Table46[[#This Row],[Visitor]])</f>
        <v>Philadelphia Flyers</v>
      </c>
      <c r="L57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0.54508549366667458</v>
      </c>
      <c r="M574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574" t="str">
        <f>IF(OR((NHL2025_26Results[[#This Row],[Winning Team]]="")),"-",IF(Table46[[#This Row],[Predicted Winner]]=NHL2025_26Results[[#This Row],[Winning Team]],"YES","NO"))</f>
        <v>-</v>
      </c>
      <c r="O574" t="str">
        <f>IF(OR((NHL2025_26Results[[#This Row],[Winning Team]]="")),"-",IF(Table46[[#This Row],[Prob Winner]]=NHL2025_26Results[[#This Row],[Winning Team]],"YES","NO"))</f>
        <v>-</v>
      </c>
      <c r="P574" t="str">
        <f>IF(Table46[[#This Row],[Locked Prediction]]&lt;&gt;Table46[[#This Row],[Prob Winner]], "Changed", "Same")</f>
        <v>Changed</v>
      </c>
      <c r="Q57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75" spans="4:17" x14ac:dyDescent="0.2">
      <c r="D575" s="1">
        <v>46013</v>
      </c>
      <c r="E575" s="2">
        <v>0.79166666666666663</v>
      </c>
      <c r="F575" t="s">
        <v>37</v>
      </c>
      <c r="G575">
        <f>VLOOKUP(Table46[[#This Row],[Home]],'NHL Model'!$A$6:$B$38,2,FALSE)</f>
        <v>-0.11309445867623392</v>
      </c>
      <c r="H575" t="s">
        <v>35</v>
      </c>
      <c r="I575">
        <f>VLOOKUP(Table46[[#This Row],[Visitor]],'NHL Model'!$A$6:$B$38,2,FALSE)</f>
        <v>-1.6211574240381006</v>
      </c>
      <c r="J575">
        <f>($B$1+Table46[[#This Row],[Home Differential]])-Table46[[#This Row],[Away Differential]]</f>
        <v>1.6706352750241851</v>
      </c>
      <c r="K575" t="str">
        <f>IF(Table46[[#This Row],[HomeIce Differential]]&gt;0,Table46[[#This Row],[Home]],Table46[[#This Row],[Visitor]])</f>
        <v>Tampa Bay Lightning</v>
      </c>
      <c r="L57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0.76205918057163735</v>
      </c>
      <c r="M575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575" t="str">
        <f>IF(OR((NHL2025_26Results[[#This Row],[Winning Team]]="")),"-",IF(Table46[[#This Row],[Predicted Winner]]=NHL2025_26Results[[#This Row],[Winning Team]],"YES","NO"))</f>
        <v>-</v>
      </c>
      <c r="O575" t="str">
        <f>IF(OR((NHL2025_26Results[[#This Row],[Winning Team]]="")),"-",IF(Table46[[#This Row],[Prob Winner]]=NHL2025_26Results[[#This Row],[Winning Team]],"YES","NO"))</f>
        <v>-</v>
      </c>
      <c r="P575" t="str">
        <f>IF(Table46[[#This Row],[Locked Prediction]]&lt;&gt;Table46[[#This Row],[Prob Winner]], "Changed", "Same")</f>
        <v>Changed</v>
      </c>
      <c r="Q57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76" spans="4:17" x14ac:dyDescent="0.2">
      <c r="D576" s="1">
        <v>46014</v>
      </c>
      <c r="E576" s="2">
        <v>0.79166666666666663</v>
      </c>
      <c r="F576" t="s">
        <v>21</v>
      </c>
      <c r="G576">
        <f>VLOOKUP(Table46[[#This Row],[Home]],'NHL Model'!$A$6:$B$38,2,FALSE)</f>
        <v>4.029141914856392E-2</v>
      </c>
      <c r="H576" t="s">
        <v>18</v>
      </c>
      <c r="I576">
        <f>VLOOKUP(Table46[[#This Row],[Visitor]],'NHL Model'!$A$6:$B$38,2,FALSE)</f>
        <v>-0.52437726201848234</v>
      </c>
      <c r="J576">
        <f>($B$1+Table46[[#This Row],[Home Differential]])-Table46[[#This Row],[Away Differential]]</f>
        <v>0.72724099082936466</v>
      </c>
      <c r="K576" t="str">
        <f>IF(Table46[[#This Row],[HomeIce Differential]]&gt;0,Table46[[#This Row],[Home]],Table46[[#This Row],[Visitor]])</f>
        <v>Boston Bruins</v>
      </c>
      <c r="L57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0.63447927585974129</v>
      </c>
      <c r="M576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576" t="str">
        <f>IF(OR((NHL2025_26Results[[#This Row],[Winning Team]]="")),"-",IF(Table46[[#This Row],[Predicted Winner]]=NHL2025_26Results[[#This Row],[Winning Team]],"YES","NO"))</f>
        <v>-</v>
      </c>
      <c r="O576" t="str">
        <f>IF(OR((NHL2025_26Results[[#This Row],[Winning Team]]="")),"-",IF(Table46[[#This Row],[Prob Winner]]=NHL2025_26Results[[#This Row],[Winning Team]],"YES","NO"))</f>
        <v>-</v>
      </c>
      <c r="P576" t="str">
        <f>IF(Table46[[#This Row],[Locked Prediction]]&lt;&gt;Table46[[#This Row],[Prob Winner]], "Changed", "Same")</f>
        <v>Changed</v>
      </c>
      <c r="Q57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77" spans="4:17" x14ac:dyDescent="0.2">
      <c r="D577" s="1">
        <v>46014</v>
      </c>
      <c r="E577" s="2">
        <v>0.79166666666666663</v>
      </c>
      <c r="F577" t="s">
        <v>25</v>
      </c>
      <c r="G577">
        <f>VLOOKUP(Table46[[#This Row],[Home]],'NHL Model'!$A$6:$B$38,2,FALSE)</f>
        <v>0.67193921242367816</v>
      </c>
      <c r="H577" t="s">
        <v>11</v>
      </c>
      <c r="I577">
        <f>VLOOKUP(Table46[[#This Row],[Visitor]],'NHL Model'!$A$6:$B$38,2,FALSE)</f>
        <v>-0.28105923893144158</v>
      </c>
      <c r="J577">
        <f>($B$1+Table46[[#This Row],[Home Differential]])-Table46[[#This Row],[Away Differential]]</f>
        <v>1.1155707610174381</v>
      </c>
      <c r="K577" t="str">
        <f>IF(Table46[[#This Row],[HomeIce Differential]]&gt;0,Table46[[#This Row],[Home]],Table46[[#This Row],[Visitor]])</f>
        <v>Carolina Hurricanes</v>
      </c>
      <c r="L57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0.73999653329351645</v>
      </c>
      <c r="M577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577" t="str">
        <f>IF(OR((NHL2025_26Results[[#This Row],[Winning Team]]="")),"-",IF(Table46[[#This Row],[Predicted Winner]]=NHL2025_26Results[[#This Row],[Winning Team]],"YES","NO"))</f>
        <v>-</v>
      </c>
      <c r="O577" t="str">
        <f>IF(OR((NHL2025_26Results[[#This Row],[Winning Team]]="")),"-",IF(Table46[[#This Row],[Prob Winner]]=NHL2025_26Results[[#This Row],[Winning Team]],"YES","NO"))</f>
        <v>-</v>
      </c>
      <c r="P577" t="str">
        <f>IF(Table46[[#This Row],[Locked Prediction]]&lt;&gt;Table46[[#This Row],[Prob Winner]], "Changed", "Same")</f>
        <v>Changed</v>
      </c>
      <c r="Q57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78" spans="4:17" x14ac:dyDescent="0.2">
      <c r="D578" s="1">
        <v>46014</v>
      </c>
      <c r="E578" s="2">
        <v>0.875</v>
      </c>
      <c r="F578" t="s">
        <v>10</v>
      </c>
      <c r="G578">
        <f>VLOOKUP(Table46[[#This Row],[Home]],'NHL Model'!$A$6:$B$38,2,FALSE)</f>
        <v>0.30570968833820172</v>
      </c>
      <c r="H578" t="s">
        <v>27</v>
      </c>
      <c r="I578">
        <f>VLOOKUP(Table46[[#This Row],[Visitor]],'NHL Model'!$A$6:$B$38,2,FALSE)</f>
        <v>-0.51358590497437617</v>
      </c>
      <c r="J578">
        <f>($B$1+Table46[[#This Row],[Home Differential]])-Table46[[#This Row],[Away Differential]]</f>
        <v>0.98186790297489623</v>
      </c>
      <c r="K578" t="str">
        <f>IF(Table46[[#This Row],[HomeIce Differential]]&gt;0,Table46[[#This Row],[Home]],Table46[[#This Row],[Visitor]])</f>
        <v>Chicago Blackhawks</v>
      </c>
      <c r="L57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0.67050890593761769</v>
      </c>
      <c r="M578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578" t="str">
        <f>IF(OR((NHL2025_26Results[[#This Row],[Winning Team]]="")),"-",IF(Table46[[#This Row],[Predicted Winner]]=NHL2025_26Results[[#This Row],[Winning Team]],"YES","NO"))</f>
        <v>-</v>
      </c>
      <c r="O578" t="str">
        <f>IF(OR((NHL2025_26Results[[#This Row],[Winning Team]]="")),"-",IF(Table46[[#This Row],[Prob Winner]]=NHL2025_26Results[[#This Row],[Winning Team]],"YES","NO"))</f>
        <v>-</v>
      </c>
      <c r="P578" t="str">
        <f>IF(Table46[[#This Row],[Locked Prediction]]&lt;&gt;Table46[[#This Row],[Prob Winner]], "Changed", "Same")</f>
        <v>Changed</v>
      </c>
      <c r="Q57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79" spans="4:17" x14ac:dyDescent="0.2">
      <c r="D579" s="1">
        <v>46014</v>
      </c>
      <c r="E579" s="2">
        <v>0.875</v>
      </c>
      <c r="F579" t="s">
        <v>12</v>
      </c>
      <c r="G579">
        <f>VLOOKUP(Table46[[#This Row],[Home]],'NHL Model'!$A$6:$B$38,2,FALSE)</f>
        <v>1.5475013591489768</v>
      </c>
      <c r="H579" t="s">
        <v>55</v>
      </c>
      <c r="I579">
        <f>VLOOKUP(Table46[[#This Row],[Visitor]],'NHL Model'!$A$6:$B$38,2,FALSE)</f>
        <v>-0.12212311954851815</v>
      </c>
      <c r="J579">
        <f>($B$1+Table46[[#This Row],[Home Differential]])-Table46[[#This Row],[Away Differential]]</f>
        <v>1.8321967883598134</v>
      </c>
      <c r="K579" t="str">
        <f>IF(Table46[[#This Row],[HomeIce Differential]]&gt;0,Table46[[#This Row],[Home]],Table46[[#This Row],[Visitor]])</f>
        <v>Colorado Avalanche</v>
      </c>
      <c r="L57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0.87190002412918233</v>
      </c>
      <c r="M579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579" t="str">
        <f>IF(OR((NHL2025_26Results[[#This Row],[Winning Team]]="")),"-",IF(Table46[[#This Row],[Predicted Winner]]=NHL2025_26Results[[#This Row],[Winning Team]],"YES","NO"))</f>
        <v>-</v>
      </c>
      <c r="O579" t="str">
        <f>IF(OR((NHL2025_26Results[[#This Row],[Winning Team]]="")),"-",IF(Table46[[#This Row],[Prob Winner]]=NHL2025_26Results[[#This Row],[Winning Team]],"YES","NO"))</f>
        <v>-</v>
      </c>
      <c r="P579" t="str">
        <f>IF(Table46[[#This Row],[Locked Prediction]]&lt;&gt;Table46[[#This Row],[Prob Winner]], "Changed", "Same")</f>
        <v>Changed</v>
      </c>
      <c r="Q57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80" spans="4:17" x14ac:dyDescent="0.2">
      <c r="D580" s="1">
        <v>46014</v>
      </c>
      <c r="E580" s="2">
        <v>0.77083333333333337</v>
      </c>
      <c r="F580" t="s">
        <v>26</v>
      </c>
      <c r="G580">
        <f>VLOOKUP(Table46[[#This Row],[Home]],'NHL Model'!$A$6:$B$38,2,FALSE)</f>
        <v>-0.513643833119658</v>
      </c>
      <c r="H580" t="s">
        <v>39</v>
      </c>
      <c r="I580">
        <f>VLOOKUP(Table46[[#This Row],[Visitor]],'NHL Model'!$A$6:$B$38,2,FALSE)</f>
        <v>0.19809534061227302</v>
      </c>
      <c r="J580">
        <f>($B$1+Table46[[#This Row],[Home Differential]])-Table46[[#This Row],[Away Differential]]</f>
        <v>-0.54916686406961257</v>
      </c>
      <c r="K580" t="str">
        <f>IF(Table46[[#This Row],[HomeIce Differential]]&gt;0,Table46[[#This Row],[Home]],Table46[[#This Row],[Visitor]])</f>
        <v>Dallas Stars</v>
      </c>
      <c r="L58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0.59931050331427904</v>
      </c>
      <c r="M580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580" t="str">
        <f>IF(OR((NHL2025_26Results[[#This Row],[Winning Team]]="")),"-",IF(Table46[[#This Row],[Predicted Winner]]=NHL2025_26Results[[#This Row],[Winning Team]],"YES","NO"))</f>
        <v>-</v>
      </c>
      <c r="O580" t="str">
        <f>IF(OR((NHL2025_26Results[[#This Row],[Winning Team]]="")),"-",IF(Table46[[#This Row],[Prob Winner]]=NHL2025_26Results[[#This Row],[Winning Team]],"YES","NO"))</f>
        <v>-</v>
      </c>
      <c r="P580" t="str">
        <f>IF(Table46[[#This Row],[Locked Prediction]]&lt;&gt;Table46[[#This Row],[Prob Winner]], "Changed", "Same")</f>
        <v>Changed</v>
      </c>
      <c r="Q58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81" spans="4:17" x14ac:dyDescent="0.2">
      <c r="D581" s="1">
        <v>46014</v>
      </c>
      <c r="E581" s="2">
        <v>0.875</v>
      </c>
      <c r="F581" t="s">
        <v>17</v>
      </c>
      <c r="G581">
        <f>VLOOKUP(Table46[[#This Row],[Home]],'NHL Model'!$A$6:$B$38,2,FALSE)</f>
        <v>-0.61980804137564283</v>
      </c>
      <c r="H581" t="s">
        <v>16</v>
      </c>
      <c r="I581">
        <f>VLOOKUP(Table46[[#This Row],[Visitor]],'NHL Model'!$A$6:$B$38,2,FALSE)</f>
        <v>-1.3903684122795328</v>
      </c>
      <c r="J581">
        <f>($B$1+Table46[[#This Row],[Home Differential]])-Table46[[#This Row],[Away Differential]]</f>
        <v>0.93313268056620835</v>
      </c>
      <c r="K581" t="str">
        <f>IF(Table46[[#This Row],[HomeIce Differential]]&gt;0,Table46[[#This Row],[Home]],Table46[[#This Row],[Visitor]])</f>
        <v>Edmonton Oilers</v>
      </c>
      <c r="L58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0.70006793496485997</v>
      </c>
      <c r="M581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581" t="str">
        <f>IF(OR((NHL2025_26Results[[#This Row],[Winning Team]]="")),"-",IF(Table46[[#This Row],[Predicted Winner]]=NHL2025_26Results[[#This Row],[Winning Team]],"YES","NO"))</f>
        <v>-</v>
      </c>
      <c r="O581" t="str">
        <f>IF(OR((NHL2025_26Results[[#This Row],[Winning Team]]="")),"-",IF(Table46[[#This Row],[Prob Winner]]=NHL2025_26Results[[#This Row],[Winning Team]],"YES","NO"))</f>
        <v>-</v>
      </c>
      <c r="P581" t="str">
        <f>IF(Table46[[#This Row],[Locked Prediction]]&lt;&gt;Table46[[#This Row],[Prob Winner]], "Changed", "Same")</f>
        <v>Changed</v>
      </c>
      <c r="Q58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82" spans="4:17" x14ac:dyDescent="0.2">
      <c r="D582" s="1">
        <v>46014</v>
      </c>
      <c r="E582" s="2">
        <v>0.91666666666666663</v>
      </c>
      <c r="F582" t="s">
        <v>13</v>
      </c>
      <c r="G582">
        <f>VLOOKUP(Table46[[#This Row],[Home]],'NHL Model'!$A$6:$B$38,2,FALSE)</f>
        <v>-7.5459708298993802E-2</v>
      </c>
      <c r="H582" t="s">
        <v>32</v>
      </c>
      <c r="I582">
        <f>VLOOKUP(Table46[[#This Row],[Visitor]],'NHL Model'!$A$6:$B$38,2,FALSE)</f>
        <v>-0.361361309178443</v>
      </c>
      <c r="J582">
        <f>($B$1+Table46[[#This Row],[Home Differential]])-Table46[[#This Row],[Away Differential]]</f>
        <v>0.44847391054176761</v>
      </c>
      <c r="K582" t="str">
        <f>IF(Table46[[#This Row],[HomeIce Differential]]&gt;0,Table46[[#This Row],[Home]],Table46[[#This Row],[Visitor]])</f>
        <v>Los Angeles Kings</v>
      </c>
      <c r="L58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0.59961070652074022</v>
      </c>
      <c r="M582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582" t="str">
        <f>IF(OR((NHL2025_26Results[[#This Row],[Winning Team]]="")),"-",IF(Table46[[#This Row],[Predicted Winner]]=NHL2025_26Results[[#This Row],[Winning Team]],"YES","NO"))</f>
        <v>-</v>
      </c>
      <c r="O582" t="str">
        <f>IF(OR((NHL2025_26Results[[#This Row],[Winning Team]]="")),"-",IF(Table46[[#This Row],[Prob Winner]]=NHL2025_26Results[[#This Row],[Winning Team]],"YES","NO"))</f>
        <v>-</v>
      </c>
      <c r="P582" t="str">
        <f>IF(Table46[[#This Row],[Locked Prediction]]&lt;&gt;Table46[[#This Row],[Prob Winner]], "Changed", "Same")</f>
        <v>Changed</v>
      </c>
      <c r="Q58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83" spans="4:17" x14ac:dyDescent="0.2">
      <c r="D583" s="1">
        <v>46014</v>
      </c>
      <c r="E583" s="2">
        <v>0.83333333333333337</v>
      </c>
      <c r="F583" t="s">
        <v>34</v>
      </c>
      <c r="G583">
        <f>VLOOKUP(Table46[[#This Row],[Home]],'NHL Model'!$A$6:$B$38,2,FALSE)</f>
        <v>-0.53650300840565446</v>
      </c>
      <c r="H583" t="s">
        <v>29</v>
      </c>
      <c r="I583">
        <f>VLOOKUP(Table46[[#This Row],[Visitor]],'NHL Model'!$A$6:$B$38,2,FALSE)</f>
        <v>-1.3516250707060606</v>
      </c>
      <c r="J583">
        <f>($B$1+Table46[[#This Row],[Home Differential]])-Table46[[#This Row],[Away Differential]]</f>
        <v>0.97769437196272457</v>
      </c>
      <c r="K583" t="str">
        <f>IF(Table46[[#This Row],[HomeIce Differential]]&gt;0,Table46[[#This Row],[Home]],Table46[[#This Row],[Visitor]])</f>
        <v>Minnesota Wild</v>
      </c>
      <c r="L58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0.66995416434290322</v>
      </c>
      <c r="M583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583" t="str">
        <f>IF(OR((NHL2025_26Results[[#This Row],[Winning Team]]="")),"-",IF(Table46[[#This Row],[Predicted Winner]]=NHL2025_26Results[[#This Row],[Winning Team]],"YES","NO"))</f>
        <v>-</v>
      </c>
      <c r="O583" t="str">
        <f>IF(OR((NHL2025_26Results[[#This Row],[Winning Team]]="")),"-",IF(Table46[[#This Row],[Prob Winner]]=NHL2025_26Results[[#This Row],[Winning Team]],"YES","NO"))</f>
        <v>-</v>
      </c>
      <c r="P583" t="str">
        <f>IF(Table46[[#This Row],[Locked Prediction]]&lt;&gt;Table46[[#This Row],[Prob Winner]], "Changed", "Same")</f>
        <v>Changed</v>
      </c>
      <c r="Q58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84" spans="4:17" x14ac:dyDescent="0.2">
      <c r="D584" s="1">
        <v>46014</v>
      </c>
      <c r="E584" s="2">
        <v>0.79166666666666663</v>
      </c>
      <c r="F584" t="s">
        <v>30</v>
      </c>
      <c r="G584">
        <f>VLOOKUP(Table46[[#This Row],[Home]],'NHL Model'!$A$6:$B$38,2,FALSE)</f>
        <v>-6.4729560818359025E-2</v>
      </c>
      <c r="H584" t="s">
        <v>24</v>
      </c>
      <c r="I584">
        <f>VLOOKUP(Table46[[#This Row],[Visitor]],'NHL Model'!$A$6:$B$38,2,FALSE)</f>
        <v>0.559441163373953</v>
      </c>
      <c r="J584">
        <f>($B$1+Table46[[#This Row],[Home Differential]])-Table46[[#This Row],[Away Differential]]</f>
        <v>-0.46159841452999362</v>
      </c>
      <c r="K584" t="str">
        <f>IF(Table46[[#This Row],[HomeIce Differential]]&gt;0,Table46[[#This Row],[Home]],Table46[[#This Row],[Visitor]])</f>
        <v>New Jersey Devils</v>
      </c>
      <c r="L58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0.58767099202213602</v>
      </c>
      <c r="M584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584" t="str">
        <f>IF(OR((NHL2025_26Results[[#This Row],[Winning Team]]="")),"-",IF(Table46[[#This Row],[Predicted Winner]]=NHL2025_26Results[[#This Row],[Winning Team]],"YES","NO"))</f>
        <v>-</v>
      </c>
      <c r="O584" t="str">
        <f>IF(OR((NHL2025_26Results[[#This Row],[Winning Team]]="")),"-",IF(Table46[[#This Row],[Prob Winner]]=NHL2025_26Results[[#This Row],[Winning Team]],"YES","NO"))</f>
        <v>-</v>
      </c>
      <c r="P584" t="str">
        <f>IF(Table46[[#This Row],[Locked Prediction]]&lt;&gt;Table46[[#This Row],[Prob Winner]], "Changed", "Same")</f>
        <v>Changed</v>
      </c>
      <c r="Q58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85" spans="4:17" x14ac:dyDescent="0.2">
      <c r="D585" s="1">
        <v>46014</v>
      </c>
      <c r="E585" s="2">
        <v>0.79166666666666663</v>
      </c>
      <c r="F585" t="s">
        <v>36</v>
      </c>
      <c r="G585">
        <f>VLOOKUP(Table46[[#This Row],[Home]],'NHL Model'!$A$6:$B$38,2,FALSE)</f>
        <v>-0.40651947573390851</v>
      </c>
      <c r="H585" t="s">
        <v>23</v>
      </c>
      <c r="I585">
        <f>VLOOKUP(Table46[[#This Row],[Visitor]],'NHL Model'!$A$6:$B$38,2,FALSE)</f>
        <v>-0.8683412362501769</v>
      </c>
      <c r="J585">
        <f>($B$1+Table46[[#This Row],[Home Differential]])-Table46[[#This Row],[Away Differential]]</f>
        <v>0.62439407017858684</v>
      </c>
      <c r="K585" t="str">
        <f>IF(Table46[[#This Row],[HomeIce Differential]]&gt;0,Table46[[#This Row],[Home]],Table46[[#This Row],[Visitor]])</f>
        <v>Ottawa Senators</v>
      </c>
      <c r="L58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0.6254893185243191</v>
      </c>
      <c r="M585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585" t="str">
        <f>IF(OR((NHL2025_26Results[[#This Row],[Winning Team]]="")),"-",IF(Table46[[#This Row],[Predicted Winner]]=NHL2025_26Results[[#This Row],[Winning Team]],"YES","NO"))</f>
        <v>-</v>
      </c>
      <c r="O585" t="str">
        <f>IF(OR((NHL2025_26Results[[#This Row],[Winning Team]]="")),"-",IF(Table46[[#This Row],[Prob Winner]]=NHL2025_26Results[[#This Row],[Winning Team]],"YES","NO"))</f>
        <v>-</v>
      </c>
      <c r="P585" t="str">
        <f>IF(Table46[[#This Row],[Locked Prediction]]&lt;&gt;Table46[[#This Row],[Prob Winner]], "Changed", "Same")</f>
        <v>Changed</v>
      </c>
      <c r="Q58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86" spans="4:17" x14ac:dyDescent="0.2">
      <c r="D586" s="1">
        <v>46014</v>
      </c>
      <c r="E586" s="2">
        <v>0.66666666666666663</v>
      </c>
      <c r="F586" t="s">
        <v>19</v>
      </c>
      <c r="G586">
        <f>VLOOKUP(Table46[[#This Row],[Home]],'NHL Model'!$A$6:$B$38,2,FALSE)</f>
        <v>-0.635565543477981</v>
      </c>
      <c r="H586" t="s">
        <v>14</v>
      </c>
      <c r="I586">
        <f>VLOOKUP(Table46[[#This Row],[Visitor]],'NHL Model'!$A$6:$B$38,2,FALSE)</f>
        <v>0.26289091192875702</v>
      </c>
      <c r="J586">
        <f>($B$1+Table46[[#This Row],[Home Differential]])-Table46[[#This Row],[Away Differential]]</f>
        <v>-0.73588414574441963</v>
      </c>
      <c r="K586" t="str">
        <f>IF(Table46[[#This Row],[HomeIce Differential]]&gt;0,Table46[[#This Row],[Home]],Table46[[#This Row],[Visitor]])</f>
        <v>Pittsburgh Penguins</v>
      </c>
      <c r="L58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0.55781298937154289</v>
      </c>
      <c r="M586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586" t="str">
        <f>IF(OR((NHL2025_26Results[[#This Row],[Winning Team]]="")),"-",IF(Table46[[#This Row],[Predicted Winner]]=NHL2025_26Results[[#This Row],[Winning Team]],"YES","NO"))</f>
        <v>-</v>
      </c>
      <c r="O586" t="str">
        <f>IF(OR((NHL2025_26Results[[#This Row],[Winning Team]]="")),"-",IF(Table46[[#This Row],[Prob Winner]]=NHL2025_26Results[[#This Row],[Winning Team]],"YES","NO"))</f>
        <v>-</v>
      </c>
      <c r="P586" t="str">
        <f>IF(Table46[[#This Row],[Locked Prediction]]&lt;&gt;Table46[[#This Row],[Prob Winner]], "Changed", "Same")</f>
        <v>Changed</v>
      </c>
      <c r="Q58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87" spans="4:17" x14ac:dyDescent="0.2">
      <c r="D587" s="1">
        <v>46014</v>
      </c>
      <c r="E587" s="2">
        <v>0.91666666666666663</v>
      </c>
      <c r="F587" t="s">
        <v>20</v>
      </c>
      <c r="G587">
        <f>VLOOKUP(Table46[[#This Row],[Home]],'NHL Model'!$A$6:$B$38,2,FALSE)</f>
        <v>-6.3745791019188943E-4</v>
      </c>
      <c r="H587" t="s">
        <v>33</v>
      </c>
      <c r="I587">
        <f>VLOOKUP(Table46[[#This Row],[Visitor]],'NHL Model'!$A$6:$B$38,2,FALSE)</f>
        <v>-0.39418177254008485</v>
      </c>
      <c r="J587">
        <f>($B$1+Table46[[#This Row],[Home Differential]])-Table46[[#This Row],[Away Differential]]</f>
        <v>0.55611662429221131</v>
      </c>
      <c r="K587" t="str">
        <f>IF(Table46[[#This Row],[HomeIce Differential]]&gt;0,Table46[[#This Row],[Home]],Table46[[#This Row],[Visitor]])</f>
        <v>Vegas Golden Knights</v>
      </c>
      <c r="L58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0.61391846906309688</v>
      </c>
      <c r="M587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587" t="str">
        <f>IF(OR((NHL2025_26Results[[#This Row],[Winning Team]]="")),"-",IF(Table46[[#This Row],[Predicted Winner]]=NHL2025_26Results[[#This Row],[Winning Team]],"YES","NO"))</f>
        <v>-</v>
      </c>
      <c r="O587" t="str">
        <f>IF(OR((NHL2025_26Results[[#This Row],[Winning Team]]="")),"-",IF(Table46[[#This Row],[Prob Winner]]=NHL2025_26Results[[#This Row],[Winning Team]],"YES","NO"))</f>
        <v>-</v>
      </c>
      <c r="P587" t="str">
        <f>IF(Table46[[#This Row],[Locked Prediction]]&lt;&gt;Table46[[#This Row],[Prob Winner]], "Changed", "Same")</f>
        <v>Changed</v>
      </c>
      <c r="Q58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88" spans="4:17" x14ac:dyDescent="0.2">
      <c r="D588" s="1">
        <v>46014</v>
      </c>
      <c r="E588" s="2">
        <v>0.79166666666666663</v>
      </c>
      <c r="F588" t="s">
        <v>22</v>
      </c>
      <c r="G588">
        <f>VLOOKUP(Table46[[#This Row],[Home]],'NHL Model'!$A$6:$B$38,2,FALSE)</f>
        <v>-6.1308839486784707E-2</v>
      </c>
      <c r="H588" t="s">
        <v>15</v>
      </c>
      <c r="I588">
        <f>VLOOKUP(Table46[[#This Row],[Visitor]],'NHL Model'!$A$6:$B$38,2,FALSE)</f>
        <v>-0.30719665303039001</v>
      </c>
      <c r="J588">
        <f>($B$1+Table46[[#This Row],[Home Differential]])-Table46[[#This Row],[Away Differential]]</f>
        <v>0.40846012320592373</v>
      </c>
      <c r="K588" t="str">
        <f>IF(Table46[[#This Row],[HomeIce Differential]]&gt;0,Table46[[#This Row],[Home]],Table46[[#This Row],[Visitor]])</f>
        <v>Washington Capitals</v>
      </c>
      <c r="L58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0.45188247511732305</v>
      </c>
      <c r="M588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588" t="str">
        <f>IF(OR((NHL2025_26Results[[#This Row],[Winning Team]]="")),"-",IF(Table46[[#This Row],[Predicted Winner]]=NHL2025_26Results[[#This Row],[Winning Team]],"YES","NO"))</f>
        <v>-</v>
      </c>
      <c r="O588" t="str">
        <f>IF(OR((NHL2025_26Results[[#This Row],[Winning Team]]="")),"-",IF(Table46[[#This Row],[Prob Winner]]=NHL2025_26Results[[#This Row],[Winning Team]],"YES","NO"))</f>
        <v>-</v>
      </c>
      <c r="P588" t="str">
        <f>IF(Table46[[#This Row],[Locked Prediction]]&lt;&gt;Table46[[#This Row],[Prob Winner]], "Changed", "Same")</f>
        <v>Changed</v>
      </c>
      <c r="Q58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89" spans="4:17" x14ac:dyDescent="0.2">
      <c r="D589" s="1">
        <v>46018</v>
      </c>
      <c r="E589" s="2">
        <v>0.79166666666666663</v>
      </c>
      <c r="F589" t="s">
        <v>23</v>
      </c>
      <c r="G589">
        <f>VLOOKUP(Table46[[#This Row],[Home]],'NHL Model'!$A$6:$B$38,2,FALSE)</f>
        <v>-0.8683412362501769</v>
      </c>
      <c r="H589" t="s">
        <v>21</v>
      </c>
      <c r="I589">
        <f>VLOOKUP(Table46[[#This Row],[Visitor]],'NHL Model'!$A$6:$B$38,2,FALSE)</f>
        <v>4.029141914856392E-2</v>
      </c>
      <c r="J589">
        <f>($B$1+Table46[[#This Row],[Home Differential]])-Table46[[#This Row],[Away Differential]]</f>
        <v>-0.74606034573642244</v>
      </c>
      <c r="K589" t="str">
        <f>IF(Table46[[#This Row],[HomeIce Differential]]&gt;0,Table46[[#This Row],[Home]],Table46[[#This Row],[Visitor]])</f>
        <v>Boston Bruins</v>
      </c>
      <c r="L58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0.55916559976193736</v>
      </c>
      <c r="M589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589" t="str">
        <f>IF(OR((NHL2025_26Results[[#This Row],[Winning Team]]="")),"-",IF(Table46[[#This Row],[Predicted Winner]]=NHL2025_26Results[[#This Row],[Winning Team]],"YES","NO"))</f>
        <v>-</v>
      </c>
      <c r="O589" t="str">
        <f>IF(OR((NHL2025_26Results[[#This Row],[Winning Team]]="")),"-",IF(Table46[[#This Row],[Prob Winner]]=NHL2025_26Results[[#This Row],[Winning Team]],"YES","NO"))</f>
        <v>-</v>
      </c>
      <c r="P589" t="str">
        <f>IF(Table46[[#This Row],[Locked Prediction]]&lt;&gt;Table46[[#This Row],[Prob Winner]], "Changed", "Same")</f>
        <v>Changed</v>
      </c>
      <c r="Q58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90" spans="4:17" x14ac:dyDescent="0.2">
      <c r="D590" s="1">
        <v>46018</v>
      </c>
      <c r="E590" s="2">
        <v>0.79166666666666663</v>
      </c>
      <c r="F590" t="s">
        <v>25</v>
      </c>
      <c r="G590">
        <f>VLOOKUP(Table46[[#This Row],[Home]],'NHL Model'!$A$6:$B$38,2,FALSE)</f>
        <v>0.67193921242367816</v>
      </c>
      <c r="H590" t="s">
        <v>26</v>
      </c>
      <c r="I590">
        <f>VLOOKUP(Table46[[#This Row],[Visitor]],'NHL Model'!$A$6:$B$38,2,FALSE)</f>
        <v>-0.513643833119658</v>
      </c>
      <c r="J590">
        <f>($B$1+Table46[[#This Row],[Home Differential]])-Table46[[#This Row],[Away Differential]]</f>
        <v>1.3481553552056544</v>
      </c>
      <c r="K590" t="str">
        <f>IF(Table46[[#This Row],[HomeIce Differential]]&gt;0,Table46[[#This Row],[Home]],Table46[[#This Row],[Visitor]])</f>
        <v>Carolina Hurricanes</v>
      </c>
      <c r="L59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0.72465001554654285</v>
      </c>
      <c r="M590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590" t="str">
        <f>IF(OR((NHL2025_26Results[[#This Row],[Winning Team]]="")),"-",IF(Table46[[#This Row],[Predicted Winner]]=NHL2025_26Results[[#This Row],[Winning Team]],"YES","NO"))</f>
        <v>-</v>
      </c>
      <c r="O590" t="str">
        <f>IF(OR((NHL2025_26Results[[#This Row],[Winning Team]]="")),"-",IF(Table46[[#This Row],[Prob Winner]]=NHL2025_26Results[[#This Row],[Winning Team]],"YES","NO"))</f>
        <v>-</v>
      </c>
      <c r="P590" t="str">
        <f>IF(Table46[[#This Row],[Locked Prediction]]&lt;&gt;Table46[[#This Row],[Prob Winner]], "Changed", "Same")</f>
        <v>Changed</v>
      </c>
      <c r="Q59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91" spans="4:17" x14ac:dyDescent="0.2">
      <c r="D591" s="1">
        <v>46018</v>
      </c>
      <c r="E591" s="2">
        <v>0.91666666666666663</v>
      </c>
      <c r="F591" t="s">
        <v>16</v>
      </c>
      <c r="G591">
        <f>VLOOKUP(Table46[[#This Row],[Home]],'NHL Model'!$A$6:$B$38,2,FALSE)</f>
        <v>-1.3903684122795328</v>
      </c>
      <c r="H591" t="s">
        <v>17</v>
      </c>
      <c r="I591">
        <f>VLOOKUP(Table46[[#This Row],[Visitor]],'NHL Model'!$A$6:$B$38,2,FALSE)</f>
        <v>-0.61980804137564283</v>
      </c>
      <c r="J591">
        <f>($B$1+Table46[[#This Row],[Home Differential]])-Table46[[#This Row],[Away Differential]]</f>
        <v>-0.60798806124157156</v>
      </c>
      <c r="K591" t="str">
        <f>IF(Table46[[#This Row],[HomeIce Differential]]&gt;0,Table46[[#This Row],[Home]],Table46[[#This Row],[Visitor]])</f>
        <v>Edmonton Oilers</v>
      </c>
      <c r="L59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0.54081316891545184</v>
      </c>
      <c r="M591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591" t="str">
        <f>IF(OR((NHL2025_26Results[[#This Row],[Winning Team]]="")),"-",IF(Table46[[#This Row],[Predicted Winner]]=NHL2025_26Results[[#This Row],[Winning Team]],"YES","NO"))</f>
        <v>-</v>
      </c>
      <c r="O591" t="str">
        <f>IF(OR((NHL2025_26Results[[#This Row],[Winning Team]]="")),"-",IF(Table46[[#This Row],[Prob Winner]]=NHL2025_26Results[[#This Row],[Winning Team]],"YES","NO"))</f>
        <v>-</v>
      </c>
      <c r="P591" t="str">
        <f>IF(Table46[[#This Row],[Locked Prediction]]&lt;&gt;Table46[[#This Row],[Prob Winner]], "Changed", "Same")</f>
        <v>Changed</v>
      </c>
      <c r="Q59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92" spans="4:17" x14ac:dyDescent="0.2">
      <c r="D592" s="1">
        <v>46018</v>
      </c>
      <c r="E592" s="2">
        <v>0.83333333333333337</v>
      </c>
      <c r="F592" t="s">
        <v>39</v>
      </c>
      <c r="G592">
        <f>VLOOKUP(Table46[[#This Row],[Home]],'NHL Model'!$A$6:$B$38,2,FALSE)</f>
        <v>0.19809534061227302</v>
      </c>
      <c r="H592" t="s">
        <v>10</v>
      </c>
      <c r="I592">
        <f>VLOOKUP(Table46[[#This Row],[Visitor]],'NHL Model'!$A$6:$B$38,2,FALSE)</f>
        <v>0.30570968833820172</v>
      </c>
      <c r="J592">
        <f>($B$1+Table46[[#This Row],[Home Differential]])-Table46[[#This Row],[Away Differential]]</f>
        <v>5.4957961936389688E-2</v>
      </c>
      <c r="K592" t="str">
        <f>IF(Table46[[#This Row],[HomeIce Differential]]&gt;0,Table46[[#This Row],[Home]],Table46[[#This Row],[Visitor]])</f>
        <v>Dallas Stars</v>
      </c>
      <c r="L59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0.55275950314095923</v>
      </c>
      <c r="M592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592" t="str">
        <f>IF(OR((NHL2025_26Results[[#This Row],[Winning Team]]="")),"-",IF(Table46[[#This Row],[Predicted Winner]]=NHL2025_26Results[[#This Row],[Winning Team]],"YES","NO"))</f>
        <v>-</v>
      </c>
      <c r="O592" t="str">
        <f>IF(OR((NHL2025_26Results[[#This Row],[Winning Team]]="")),"-",IF(Table46[[#This Row],[Prob Winner]]=NHL2025_26Results[[#This Row],[Winning Team]],"YES","NO"))</f>
        <v>-</v>
      </c>
      <c r="P592" t="str">
        <f>IF(Table46[[#This Row],[Locked Prediction]]&lt;&gt;Table46[[#This Row],[Prob Winner]], "Changed", "Same")</f>
        <v>Changed</v>
      </c>
      <c r="Q59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93" spans="4:17" x14ac:dyDescent="0.2">
      <c r="D593" s="1">
        <v>46018</v>
      </c>
      <c r="E593" s="2">
        <v>0.79166666666666663</v>
      </c>
      <c r="F593" t="s">
        <v>11</v>
      </c>
      <c r="G593">
        <f>VLOOKUP(Table46[[#This Row],[Home]],'NHL Model'!$A$6:$B$38,2,FALSE)</f>
        <v>-0.28105923893144158</v>
      </c>
      <c r="H593" t="s">
        <v>37</v>
      </c>
      <c r="I593">
        <f>VLOOKUP(Table46[[#This Row],[Visitor]],'NHL Model'!$A$6:$B$38,2,FALSE)</f>
        <v>-0.11309445867623392</v>
      </c>
      <c r="J593">
        <f>($B$1+Table46[[#This Row],[Home Differential]])-Table46[[#This Row],[Away Differential]]</f>
        <v>-5.3924705928892619E-3</v>
      </c>
      <c r="K593" t="str">
        <f>IF(Table46[[#This Row],[HomeIce Differential]]&gt;0,Table46[[#This Row],[Home]],Table46[[#This Row],[Visitor]])</f>
        <v>Tampa Bay Lightning</v>
      </c>
      <c r="L59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0.45526221637792352</v>
      </c>
      <c r="M593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593" t="str">
        <f>IF(OR((NHL2025_26Results[[#This Row],[Winning Team]]="")),"-",IF(Table46[[#This Row],[Predicted Winner]]=NHL2025_26Results[[#This Row],[Winning Team]],"YES","NO"))</f>
        <v>-</v>
      </c>
      <c r="O593" t="str">
        <f>IF(OR((NHL2025_26Results[[#This Row],[Winning Team]]="")),"-",IF(Table46[[#This Row],[Prob Winner]]=NHL2025_26Results[[#This Row],[Winning Team]],"YES","NO"))</f>
        <v>-</v>
      </c>
      <c r="P593" t="str">
        <f>IF(Table46[[#This Row],[Locked Prediction]]&lt;&gt;Table46[[#This Row],[Prob Winner]], "Changed", "Same")</f>
        <v>Changed</v>
      </c>
      <c r="Q59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94" spans="4:17" x14ac:dyDescent="0.2">
      <c r="D594" s="1">
        <v>46018</v>
      </c>
      <c r="E594" s="2">
        <v>0.875</v>
      </c>
      <c r="F594" t="s">
        <v>13</v>
      </c>
      <c r="G594">
        <f>VLOOKUP(Table46[[#This Row],[Home]],'NHL Model'!$A$6:$B$38,2,FALSE)</f>
        <v>-7.5459708298993802E-2</v>
      </c>
      <c r="H594" t="s">
        <v>31</v>
      </c>
      <c r="I594">
        <f>VLOOKUP(Table46[[#This Row],[Visitor]],'NHL Model'!$A$6:$B$38,2,FALSE)</f>
        <v>0.51775546328552802</v>
      </c>
      <c r="J594">
        <f>($B$1+Table46[[#This Row],[Home Differential]])-Table46[[#This Row],[Away Differential]]</f>
        <v>-0.43064286192220341</v>
      </c>
      <c r="K594" t="str">
        <f>IF(Table46[[#This Row],[HomeIce Differential]]&gt;0,Table46[[#This Row],[Home]],Table46[[#This Row],[Visitor]])</f>
        <v>Anaheim Ducks</v>
      </c>
      <c r="L59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0.5380098520269645</v>
      </c>
      <c r="M594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594" t="str">
        <f>IF(OR((NHL2025_26Results[[#This Row],[Winning Team]]="")),"-",IF(Table46[[#This Row],[Predicted Winner]]=NHL2025_26Results[[#This Row],[Winning Team]],"YES","NO"))</f>
        <v>-</v>
      </c>
      <c r="O594" t="str">
        <f>IF(OR((NHL2025_26Results[[#This Row],[Winning Team]]="")),"-",IF(Table46[[#This Row],[Prob Winner]]=NHL2025_26Results[[#This Row],[Winning Team]],"YES","NO"))</f>
        <v>-</v>
      </c>
      <c r="P594" t="str">
        <f>IF(Table46[[#This Row],[Locked Prediction]]&lt;&gt;Table46[[#This Row],[Prob Winner]], "Changed", "Same")</f>
        <v>Changed</v>
      </c>
      <c r="Q59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95" spans="4:17" x14ac:dyDescent="0.2">
      <c r="D595" s="1">
        <v>46018</v>
      </c>
      <c r="E595" s="2">
        <v>0.79166666666666663</v>
      </c>
      <c r="F595" t="s">
        <v>24</v>
      </c>
      <c r="G595">
        <f>VLOOKUP(Table46[[#This Row],[Home]],'NHL Model'!$A$6:$B$38,2,FALSE)</f>
        <v>0.559441163373953</v>
      </c>
      <c r="H595" t="s">
        <v>22</v>
      </c>
      <c r="I595">
        <f>VLOOKUP(Table46[[#This Row],[Visitor]],'NHL Model'!$A$6:$B$38,2,FALSE)</f>
        <v>-6.1308839486784707E-2</v>
      </c>
      <c r="J595">
        <f>($B$1+Table46[[#This Row],[Home Differential]])-Table46[[#This Row],[Away Differential]]</f>
        <v>0.78332231252305606</v>
      </c>
      <c r="K595" t="str">
        <f>IF(Table46[[#This Row],[HomeIce Differential]]&gt;0,Table46[[#This Row],[Home]],Table46[[#This Row],[Visitor]])</f>
        <v>New Jersey Devils</v>
      </c>
      <c r="L59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0.75954913496882992</v>
      </c>
      <c r="M595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595" t="str">
        <f>IF(OR((NHL2025_26Results[[#This Row],[Winning Team]]="")),"-",IF(Table46[[#This Row],[Predicted Winner]]=NHL2025_26Results[[#This Row],[Winning Team]],"YES","NO"))</f>
        <v>-</v>
      </c>
      <c r="O595" t="str">
        <f>IF(OR((NHL2025_26Results[[#This Row],[Winning Team]]="")),"-",IF(Table46[[#This Row],[Prob Winner]]=NHL2025_26Results[[#This Row],[Winning Team]],"YES","NO"))</f>
        <v>-</v>
      </c>
      <c r="P595" t="str">
        <f>IF(Table46[[#This Row],[Locked Prediction]]&lt;&gt;Table46[[#This Row],[Prob Winner]], "Changed", "Same")</f>
        <v>Changed</v>
      </c>
      <c r="Q59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96" spans="4:17" x14ac:dyDescent="0.2">
      <c r="D596" s="1">
        <v>46018</v>
      </c>
      <c r="E596" s="2">
        <v>0.75</v>
      </c>
      <c r="F596" t="s">
        <v>30</v>
      </c>
      <c r="G596">
        <f>VLOOKUP(Table46[[#This Row],[Home]],'NHL Model'!$A$6:$B$38,2,FALSE)</f>
        <v>-6.4729560818359025E-2</v>
      </c>
      <c r="H596" t="s">
        <v>15</v>
      </c>
      <c r="I596">
        <f>VLOOKUP(Table46[[#This Row],[Visitor]],'NHL Model'!$A$6:$B$38,2,FALSE)</f>
        <v>-0.30719665303039001</v>
      </c>
      <c r="J596">
        <f>($B$1+Table46[[#This Row],[Home Differential]])-Table46[[#This Row],[Away Differential]]</f>
        <v>0.40503940187434939</v>
      </c>
      <c r="K596" t="str">
        <f>IF(Table46[[#This Row],[HomeIce Differential]]&gt;0,Table46[[#This Row],[Home]],Table46[[#This Row],[Visitor]])</f>
        <v>New York Islanders</v>
      </c>
      <c r="L59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0.4514277962372531</v>
      </c>
      <c r="M596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596" t="str">
        <f>IF(OR((NHL2025_26Results[[#This Row],[Winning Team]]="")),"-",IF(Table46[[#This Row],[Predicted Winner]]=NHL2025_26Results[[#This Row],[Winning Team]],"YES","NO"))</f>
        <v>-</v>
      </c>
      <c r="O596" t="str">
        <f>IF(OR((NHL2025_26Results[[#This Row],[Winning Team]]="")),"-",IF(Table46[[#This Row],[Prob Winner]]=NHL2025_26Results[[#This Row],[Winning Team]],"YES","NO"))</f>
        <v>-</v>
      </c>
      <c r="P596" t="str">
        <f>IF(Table46[[#This Row],[Locked Prediction]]&lt;&gt;Table46[[#This Row],[Prob Winner]], "Changed", "Same")</f>
        <v>Changed</v>
      </c>
      <c r="Q59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97" spans="4:17" x14ac:dyDescent="0.2">
      <c r="D597" s="1">
        <v>46018</v>
      </c>
      <c r="E597" s="2">
        <v>0.83333333333333337</v>
      </c>
      <c r="F597" t="s">
        <v>35</v>
      </c>
      <c r="G597">
        <f>VLOOKUP(Table46[[#This Row],[Home]],'NHL Model'!$A$6:$B$38,2,FALSE)</f>
        <v>-1.6211574240381006</v>
      </c>
      <c r="H597" t="s">
        <v>29</v>
      </c>
      <c r="I597">
        <f>VLOOKUP(Table46[[#This Row],[Visitor]],'NHL Model'!$A$6:$B$38,2,FALSE)</f>
        <v>-1.3516250707060606</v>
      </c>
      <c r="J597">
        <f>($B$1+Table46[[#This Row],[Home Differential]])-Table46[[#This Row],[Away Differential]]</f>
        <v>-0.10696004366972156</v>
      </c>
      <c r="K597" t="str">
        <f>IF(Table46[[#This Row],[HomeIce Differential]]&gt;0,Table46[[#This Row],[Home]],Table46[[#This Row],[Visitor]])</f>
        <v>Nashville Predators</v>
      </c>
      <c r="L59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0.47421702271362676</v>
      </c>
      <c r="M597" s="11" t="str">
        <f>IF(Table46[[#This Row],[Strength of Win]]&gt; 0.5,Table46[[#This Row],[Predicted Winner]], IF(Table46[[#This Row],[Home]]=Table46[[#This Row],[Predicted Winner]],Table46[[#This Row],[Visitor]],Table46[[#This Row],[Home]]))</f>
        <v>St. Louis Blues</v>
      </c>
      <c r="N597" t="str">
        <f>IF(OR((NHL2025_26Results[[#This Row],[Winning Team]]="")),"-",IF(Table46[[#This Row],[Predicted Winner]]=NHL2025_26Results[[#This Row],[Winning Team]],"YES","NO"))</f>
        <v>-</v>
      </c>
      <c r="O597" t="str">
        <f>IF(OR((NHL2025_26Results[[#This Row],[Winning Team]]="")),"-",IF(Table46[[#This Row],[Prob Winner]]=NHL2025_26Results[[#This Row],[Winning Team]],"YES","NO"))</f>
        <v>-</v>
      </c>
      <c r="P597" t="str">
        <f>IF(Table46[[#This Row],[Locked Prediction]]&lt;&gt;Table46[[#This Row],[Prob Winner]], "Changed", "Same")</f>
        <v>Changed</v>
      </c>
      <c r="Q59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98" spans="4:17" x14ac:dyDescent="0.2">
      <c r="D598" s="1">
        <v>46018</v>
      </c>
      <c r="E598" s="2">
        <v>0.79166666666666663</v>
      </c>
      <c r="F598" t="s">
        <v>19</v>
      </c>
      <c r="G598">
        <f>VLOOKUP(Table46[[#This Row],[Home]],'NHL Model'!$A$6:$B$38,2,FALSE)</f>
        <v>-0.635565543477981</v>
      </c>
      <c r="H598" t="s">
        <v>36</v>
      </c>
      <c r="I598">
        <f>VLOOKUP(Table46[[#This Row],[Visitor]],'NHL Model'!$A$6:$B$38,2,FALSE)</f>
        <v>-0.40651947573390851</v>
      </c>
      <c r="J598">
        <f>($B$1+Table46[[#This Row],[Home Differential]])-Table46[[#This Row],[Away Differential]]</f>
        <v>-6.6473758081754097E-2</v>
      </c>
      <c r="K598" t="str">
        <f>IF(Table46[[#This Row],[HomeIce Differential]]&gt;0,Table46[[#This Row],[Home]],Table46[[#This Row],[Visitor]])</f>
        <v>Ottawa Senators</v>
      </c>
      <c r="L59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0.46883562586629685</v>
      </c>
      <c r="M598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598" t="str">
        <f>IF(OR((NHL2025_26Results[[#This Row],[Winning Team]]="")),"-",IF(Table46[[#This Row],[Predicted Winner]]=NHL2025_26Results[[#This Row],[Winning Team]],"YES","NO"))</f>
        <v>-</v>
      </c>
      <c r="O598" t="str">
        <f>IF(OR((NHL2025_26Results[[#This Row],[Winning Team]]="")),"-",IF(Table46[[#This Row],[Prob Winner]]=NHL2025_26Results[[#This Row],[Winning Team]],"YES","NO"))</f>
        <v>-</v>
      </c>
      <c r="P598" t="str">
        <f>IF(Table46[[#This Row],[Locked Prediction]]&lt;&gt;Table46[[#This Row],[Prob Winner]], "Changed", "Same")</f>
        <v>Changed</v>
      </c>
      <c r="Q59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599" spans="4:17" x14ac:dyDescent="0.2">
      <c r="D599" s="1">
        <v>46018</v>
      </c>
      <c r="E599" s="2">
        <v>0.91666666666666663</v>
      </c>
      <c r="F599" t="s">
        <v>38</v>
      </c>
      <c r="G599">
        <f>VLOOKUP(Table46[[#This Row],[Home]],'NHL Model'!$A$6:$B$38,2,FALSE)</f>
        <v>-0.6902088310934803</v>
      </c>
      <c r="H599" t="s">
        <v>33</v>
      </c>
      <c r="I599">
        <f>VLOOKUP(Table46[[#This Row],[Visitor]],'NHL Model'!$A$6:$B$38,2,FALSE)</f>
        <v>-0.39418177254008485</v>
      </c>
      <c r="J599">
        <f>($B$1+Table46[[#This Row],[Home Differential]])-Table46[[#This Row],[Away Differential]]</f>
        <v>-0.13345474889107706</v>
      </c>
      <c r="K599" t="str">
        <f>IF(Table46[[#This Row],[HomeIce Differential]]&gt;0,Table46[[#This Row],[Home]],Table46[[#This Row],[Visitor]])</f>
        <v>San Jose Sharks</v>
      </c>
      <c r="L59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0.47773867260268238</v>
      </c>
      <c r="M599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599" t="str">
        <f>IF(OR((NHL2025_26Results[[#This Row],[Winning Team]]="")),"-",IF(Table46[[#This Row],[Predicted Winner]]=NHL2025_26Results[[#This Row],[Winning Team]],"YES","NO"))</f>
        <v>-</v>
      </c>
      <c r="O599" t="str">
        <f>IF(OR((NHL2025_26Results[[#This Row],[Winning Team]]="")),"-",IF(Table46[[#This Row],[Prob Winner]]=NHL2025_26Results[[#This Row],[Winning Team]],"YES","NO"))</f>
        <v>-</v>
      </c>
      <c r="P599" t="str">
        <f>IF(Table46[[#This Row],[Locked Prediction]]&lt;&gt;Table46[[#This Row],[Prob Winner]], "Changed", "Same")</f>
        <v>Changed</v>
      </c>
      <c r="Q59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00" spans="4:17" x14ac:dyDescent="0.2">
      <c r="D600" s="1">
        <v>46018</v>
      </c>
      <c r="E600" s="2">
        <v>0.91666666666666663</v>
      </c>
      <c r="F600" t="s">
        <v>20</v>
      </c>
      <c r="G600">
        <f>VLOOKUP(Table46[[#This Row],[Home]],'NHL Model'!$A$6:$B$38,2,FALSE)</f>
        <v>-6.3745791019188943E-4</v>
      </c>
      <c r="H600" t="s">
        <v>12</v>
      </c>
      <c r="I600">
        <f>VLOOKUP(Table46[[#This Row],[Visitor]],'NHL Model'!$A$6:$B$38,2,FALSE)</f>
        <v>1.5475013591489768</v>
      </c>
      <c r="J600">
        <f>($B$1+Table46[[#This Row],[Home Differential]])-Table46[[#This Row],[Away Differential]]</f>
        <v>-1.3855665073968504</v>
      </c>
      <c r="K600" t="str">
        <f>IF(Table46[[#This Row],[HomeIce Differential]]&gt;0,Table46[[#This Row],[Home]],Table46[[#This Row],[Visitor]])</f>
        <v>Colorado Avalanche</v>
      </c>
      <c r="L60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0.71048391273780953</v>
      </c>
      <c r="M600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600" t="str">
        <f>IF(OR((NHL2025_26Results[[#This Row],[Winning Team]]="")),"-",IF(Table46[[#This Row],[Predicted Winner]]=NHL2025_26Results[[#This Row],[Winning Team]],"YES","NO"))</f>
        <v>-</v>
      </c>
      <c r="O600" t="str">
        <f>IF(OR((NHL2025_26Results[[#This Row],[Winning Team]]="")),"-",IF(Table46[[#This Row],[Prob Winner]]=NHL2025_26Results[[#This Row],[Winning Team]],"YES","NO"))</f>
        <v>-</v>
      </c>
      <c r="P600" t="str">
        <f>IF(Table46[[#This Row],[Locked Prediction]]&lt;&gt;Table46[[#This Row],[Prob Winner]], "Changed", "Same")</f>
        <v>Changed</v>
      </c>
      <c r="Q60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01" spans="4:17" x14ac:dyDescent="0.2">
      <c r="D601" s="1">
        <v>46018</v>
      </c>
      <c r="E601" s="2">
        <v>0.79166666666666663</v>
      </c>
      <c r="F601" t="s">
        <v>40</v>
      </c>
      <c r="G601">
        <f>VLOOKUP(Table46[[#This Row],[Home]],'NHL Model'!$A$6:$B$38,2,FALSE)</f>
        <v>0.105105258369765</v>
      </c>
      <c r="H601" t="s">
        <v>34</v>
      </c>
      <c r="I601">
        <f>VLOOKUP(Table46[[#This Row],[Visitor]],'NHL Model'!$A$6:$B$38,2,FALSE)</f>
        <v>-0.53650300840565446</v>
      </c>
      <c r="J601">
        <f>($B$1+Table46[[#This Row],[Home Differential]])-Table46[[#This Row],[Away Differential]]</f>
        <v>0.80418057643773788</v>
      </c>
      <c r="K601" t="str">
        <f>IF(Table46[[#This Row],[HomeIce Differential]]&gt;0,Table46[[#This Row],[Home]],Table46[[#This Row],[Visitor]])</f>
        <v>Winnipeg Jets</v>
      </c>
      <c r="L60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0.68292774942954493</v>
      </c>
      <c r="M601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601" t="str">
        <f>IF(OR((NHL2025_26Results[[#This Row],[Winning Team]]="")),"-",IF(Table46[[#This Row],[Predicted Winner]]=NHL2025_26Results[[#This Row],[Winning Team]],"YES","NO"))</f>
        <v>-</v>
      </c>
      <c r="O601" t="str">
        <f>IF(OR((NHL2025_26Results[[#This Row],[Winning Team]]="")),"-",IF(Table46[[#This Row],[Prob Winner]]=NHL2025_26Results[[#This Row],[Winning Team]],"YES","NO"))</f>
        <v>-</v>
      </c>
      <c r="P601" t="str">
        <f>IF(Table46[[#This Row],[Locked Prediction]]&lt;&gt;Table46[[#This Row],[Prob Winner]], "Changed", "Same")</f>
        <v>Changed</v>
      </c>
      <c r="Q60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02" spans="4:17" x14ac:dyDescent="0.2">
      <c r="D602" s="1">
        <v>46019</v>
      </c>
      <c r="E602" s="2">
        <v>0.70833333333333337</v>
      </c>
      <c r="F602" t="s">
        <v>28</v>
      </c>
      <c r="G602">
        <f>VLOOKUP(Table46[[#This Row],[Home]],'NHL Model'!$A$6:$B$38,2,FALSE)</f>
        <v>-0.40822279081308277</v>
      </c>
      <c r="H602" t="s">
        <v>30</v>
      </c>
      <c r="I602">
        <f>VLOOKUP(Table46[[#This Row],[Visitor]],'NHL Model'!$A$6:$B$38,2,FALSE)</f>
        <v>-6.4729560818359025E-2</v>
      </c>
      <c r="J602">
        <f>($B$1+Table46[[#This Row],[Home Differential]])-Table46[[#This Row],[Away Differential]]</f>
        <v>-0.18092092033240537</v>
      </c>
      <c r="K602" t="str">
        <f>IF(Table46[[#This Row],[HomeIce Differential]]&gt;0,Table46[[#This Row],[Home]],Table46[[#This Row],[Visitor]])</f>
        <v>New York Islanders</v>
      </c>
      <c r="L60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0.5265603917554883</v>
      </c>
      <c r="M602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602" t="str">
        <f>IF(OR((NHL2025_26Results[[#This Row],[Winning Team]]="")),"-",IF(Table46[[#This Row],[Predicted Winner]]=NHL2025_26Results[[#This Row],[Winning Team]],"YES","NO"))</f>
        <v>-</v>
      </c>
      <c r="O602" t="str">
        <f>IF(OR((NHL2025_26Results[[#This Row],[Winning Team]]="")),"-",IF(Table46[[#This Row],[Prob Winner]]=NHL2025_26Results[[#This Row],[Winning Team]],"YES","NO"))</f>
        <v>-</v>
      </c>
      <c r="P602" t="str">
        <f>IF(Table46[[#This Row],[Locked Prediction]]&lt;&gt;Table46[[#This Row],[Prob Winner]], "Changed", "Same")</f>
        <v>Changed</v>
      </c>
      <c r="Q60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03" spans="4:17" x14ac:dyDescent="0.2">
      <c r="D603" s="1">
        <v>46019</v>
      </c>
      <c r="E603" s="2">
        <v>0.79166666666666663</v>
      </c>
      <c r="F603" t="s">
        <v>10</v>
      </c>
      <c r="G603">
        <f>VLOOKUP(Table46[[#This Row],[Home]],'NHL Model'!$A$6:$B$38,2,FALSE)</f>
        <v>0.30570968833820172</v>
      </c>
      <c r="H603" t="s">
        <v>14</v>
      </c>
      <c r="I603">
        <f>VLOOKUP(Table46[[#This Row],[Visitor]],'NHL Model'!$A$6:$B$38,2,FALSE)</f>
        <v>0.26289091192875702</v>
      </c>
      <c r="J603">
        <f>($B$1+Table46[[#This Row],[Home Differential]])-Table46[[#This Row],[Away Differential]]</f>
        <v>0.2053910860717631</v>
      </c>
      <c r="K603" t="str">
        <f>IF(Table46[[#This Row],[HomeIce Differential]]&gt;0,Table46[[#This Row],[Home]],Table46[[#This Row],[Visitor]])</f>
        <v>Chicago Blackhawks</v>
      </c>
      <c r="L60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0.56730037905440145</v>
      </c>
      <c r="M603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603" t="str">
        <f>IF(OR((NHL2025_26Results[[#This Row],[Winning Team]]="")),"-",IF(Table46[[#This Row],[Predicted Winner]]=NHL2025_26Results[[#This Row],[Winning Team]],"YES","NO"))</f>
        <v>-</v>
      </c>
      <c r="O603" t="str">
        <f>IF(OR((NHL2025_26Results[[#This Row],[Winning Team]]="")),"-",IF(Table46[[#This Row],[Prob Winner]]=NHL2025_26Results[[#This Row],[Winning Team]],"YES","NO"))</f>
        <v>-</v>
      </c>
      <c r="P603" t="str">
        <f>IF(Table46[[#This Row],[Locked Prediction]]&lt;&gt;Table46[[#This Row],[Prob Winner]], "Changed", "Same")</f>
        <v>Changed</v>
      </c>
      <c r="Q60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04" spans="4:17" x14ac:dyDescent="0.2">
      <c r="D604" s="1">
        <v>46019</v>
      </c>
      <c r="E604" s="2">
        <v>0.79166666666666663</v>
      </c>
      <c r="F604" t="s">
        <v>26</v>
      </c>
      <c r="G604">
        <f>VLOOKUP(Table46[[#This Row],[Home]],'NHL Model'!$A$6:$B$38,2,FALSE)</f>
        <v>-0.513643833119658</v>
      </c>
      <c r="H604" t="s">
        <v>19</v>
      </c>
      <c r="I604">
        <f>VLOOKUP(Table46[[#This Row],[Visitor]],'NHL Model'!$A$6:$B$38,2,FALSE)</f>
        <v>-0.635565543477981</v>
      </c>
      <c r="J604">
        <f>($B$1+Table46[[#This Row],[Home Differential]])-Table46[[#This Row],[Away Differential]]</f>
        <v>0.28449402002064139</v>
      </c>
      <c r="K604" t="str">
        <f>IF(Table46[[#This Row],[HomeIce Differential]]&gt;0,Table46[[#This Row],[Home]],Table46[[#This Row],[Visitor]])</f>
        <v>Detroit Red Wings</v>
      </c>
      <c r="L60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0.60385239827583914</v>
      </c>
      <c r="M604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604" t="str">
        <f>IF(OR((NHL2025_26Results[[#This Row],[Winning Team]]="")),"-",IF(Table46[[#This Row],[Predicted Winner]]=NHL2025_26Results[[#This Row],[Winning Team]],"YES","NO"))</f>
        <v>-</v>
      </c>
      <c r="O604" t="str">
        <f>IF(OR((NHL2025_26Results[[#This Row],[Winning Team]]="")),"-",IF(Table46[[#This Row],[Prob Winner]]=NHL2025_26Results[[#This Row],[Winning Team]],"YES","NO"))</f>
        <v>-</v>
      </c>
      <c r="P604" t="str">
        <f>IF(Table46[[#This Row],[Locked Prediction]]&lt;&gt;Table46[[#This Row],[Prob Winner]], "Changed", "Same")</f>
        <v>Changed</v>
      </c>
      <c r="Q60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05" spans="4:17" x14ac:dyDescent="0.2">
      <c r="D605" s="1">
        <v>46019</v>
      </c>
      <c r="E605" s="2">
        <v>0.83333333333333337</v>
      </c>
      <c r="F605" t="s">
        <v>32</v>
      </c>
      <c r="G605">
        <f>VLOOKUP(Table46[[#This Row],[Home]],'NHL Model'!$A$6:$B$38,2,FALSE)</f>
        <v>-0.361361309178443</v>
      </c>
      <c r="H605" t="s">
        <v>27</v>
      </c>
      <c r="I605">
        <f>VLOOKUP(Table46[[#This Row],[Visitor]],'NHL Model'!$A$6:$B$38,2,FALSE)</f>
        <v>-0.51358590497437617</v>
      </c>
      <c r="J605">
        <f>($B$1+Table46[[#This Row],[Home Differential]])-Table46[[#This Row],[Away Differential]]</f>
        <v>0.31479690545825156</v>
      </c>
      <c r="K605" t="str">
        <f>IF(Table46[[#This Row],[HomeIce Differential]]&gt;0,Table46[[#This Row],[Home]],Table46[[#This Row],[Visitor]])</f>
        <v>Seattle Kraken</v>
      </c>
      <c r="L60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0.60788022769488126</v>
      </c>
      <c r="M605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605" t="str">
        <f>IF(OR((NHL2025_26Results[[#This Row],[Winning Team]]="")),"-",IF(Table46[[#This Row],[Predicted Winner]]=NHL2025_26Results[[#This Row],[Winning Team]],"YES","NO"))</f>
        <v>-</v>
      </c>
      <c r="O605" t="str">
        <f>IF(OR((NHL2025_26Results[[#This Row],[Winning Team]]="")),"-",IF(Table46[[#This Row],[Prob Winner]]=NHL2025_26Results[[#This Row],[Winning Team]],"YES","NO"))</f>
        <v>-</v>
      </c>
      <c r="P605" t="str">
        <f>IF(Table46[[#This Row],[Locked Prediction]]&lt;&gt;Table46[[#This Row],[Prob Winner]], "Changed", "Same")</f>
        <v>Changed</v>
      </c>
      <c r="Q60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06" spans="4:17" x14ac:dyDescent="0.2">
      <c r="D606" s="1">
        <v>46019</v>
      </c>
      <c r="E606" s="2">
        <v>0.70833333333333337</v>
      </c>
      <c r="F606" t="s">
        <v>37</v>
      </c>
      <c r="G606">
        <f>VLOOKUP(Table46[[#This Row],[Home]],'NHL Model'!$A$6:$B$38,2,FALSE)</f>
        <v>-0.11309445867623392</v>
      </c>
      <c r="H606" t="s">
        <v>18</v>
      </c>
      <c r="I606">
        <f>VLOOKUP(Table46[[#This Row],[Visitor]],'NHL Model'!$A$6:$B$38,2,FALSE)</f>
        <v>-0.52437726201848234</v>
      </c>
      <c r="J606">
        <f>($B$1+Table46[[#This Row],[Home Differential]])-Table46[[#This Row],[Away Differential]]</f>
        <v>0.57385511300456682</v>
      </c>
      <c r="K606" t="str">
        <f>IF(Table46[[#This Row],[HomeIce Differential]]&gt;0,Table46[[#This Row],[Home]],Table46[[#This Row],[Visitor]])</f>
        <v>Tampa Bay Lightning</v>
      </c>
      <c r="L60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0.53979556465993905</v>
      </c>
      <c r="M606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606" t="str">
        <f>IF(OR((NHL2025_26Results[[#This Row],[Winning Team]]="")),"-",IF(Table46[[#This Row],[Predicted Winner]]=NHL2025_26Results[[#This Row],[Winning Team]],"YES","NO"))</f>
        <v>-</v>
      </c>
      <c r="O606" t="str">
        <f>IF(OR((NHL2025_26Results[[#This Row],[Winning Team]]="")),"-",IF(Table46[[#This Row],[Prob Winner]]=NHL2025_26Results[[#This Row],[Winning Team]],"YES","NO"))</f>
        <v>-</v>
      </c>
      <c r="P606" t="str">
        <f>IF(Table46[[#This Row],[Locked Prediction]]&lt;&gt;Table46[[#This Row],[Prob Winner]], "Changed", "Same")</f>
        <v>Changed</v>
      </c>
      <c r="Q60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07" spans="4:17" x14ac:dyDescent="0.2">
      <c r="D607" s="1">
        <v>46020</v>
      </c>
      <c r="E607" s="2">
        <v>0.91666666666666663</v>
      </c>
      <c r="F607" t="s">
        <v>31</v>
      </c>
      <c r="G607">
        <f>VLOOKUP(Table46[[#This Row],[Home]],'NHL Model'!$A$6:$B$38,2,FALSE)</f>
        <v>0.51775546328552802</v>
      </c>
      <c r="H607" t="s">
        <v>33</v>
      </c>
      <c r="I607">
        <f>VLOOKUP(Table46[[#This Row],[Visitor]],'NHL Model'!$A$6:$B$38,2,FALSE)</f>
        <v>-0.39418177254008485</v>
      </c>
      <c r="J607">
        <f>($B$1+Table46[[#This Row],[Home Differential]])-Table46[[#This Row],[Away Differential]]</f>
        <v>1.0745095454879312</v>
      </c>
      <c r="K607" t="str">
        <f>IF(Table46[[#This Row],[HomeIce Differential]]&gt;0,Table46[[#This Row],[Home]],Table46[[#This Row],[Visitor]])</f>
        <v>Anaheim Ducks</v>
      </c>
      <c r="L60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0.78715263790554613</v>
      </c>
      <c r="M607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607" t="str">
        <f>IF(OR((NHL2025_26Results[[#This Row],[Winning Team]]="")),"-",IF(Table46[[#This Row],[Predicted Winner]]=NHL2025_26Results[[#This Row],[Winning Team]],"YES","NO"))</f>
        <v>-</v>
      </c>
      <c r="O607" t="str">
        <f>IF(OR((NHL2025_26Results[[#This Row],[Winning Team]]="")),"-",IF(Table46[[#This Row],[Prob Winner]]=NHL2025_26Results[[#This Row],[Winning Team]],"YES","NO"))</f>
        <v>-</v>
      </c>
      <c r="P607" t="str">
        <f>IF(Table46[[#This Row],[Locked Prediction]]&lt;&gt;Table46[[#This Row],[Prob Winner]], "Changed", "Same")</f>
        <v>Changed</v>
      </c>
      <c r="Q60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08" spans="4:17" x14ac:dyDescent="0.2">
      <c r="D608" s="1">
        <v>46020</v>
      </c>
      <c r="E608" s="2">
        <v>0.79166666666666663</v>
      </c>
      <c r="F608" t="s">
        <v>25</v>
      </c>
      <c r="G608">
        <f>VLOOKUP(Table46[[#This Row],[Home]],'NHL Model'!$A$6:$B$38,2,FALSE)</f>
        <v>0.67193921242367816</v>
      </c>
      <c r="H608" t="s">
        <v>15</v>
      </c>
      <c r="I608">
        <f>VLOOKUP(Table46[[#This Row],[Visitor]],'NHL Model'!$A$6:$B$38,2,FALSE)</f>
        <v>-0.30719665303039001</v>
      </c>
      <c r="J608">
        <f>($B$1+Table46[[#This Row],[Home Differential]])-Table46[[#This Row],[Away Differential]]</f>
        <v>1.1417081751163867</v>
      </c>
      <c r="K608" t="str">
        <f>IF(Table46[[#This Row],[HomeIce Differential]]&gt;0,Table46[[#This Row],[Home]],Table46[[#This Row],[Visitor]])</f>
        <v>Carolina Hurricanes</v>
      </c>
      <c r="L60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0.60073430790701154</v>
      </c>
      <c r="M608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608" t="str">
        <f>IF(OR((NHL2025_26Results[[#This Row],[Winning Team]]="")),"-",IF(Table46[[#This Row],[Predicted Winner]]=NHL2025_26Results[[#This Row],[Winning Team]],"YES","NO"))</f>
        <v>-</v>
      </c>
      <c r="O608" t="str">
        <f>IF(OR((NHL2025_26Results[[#This Row],[Winning Team]]="")),"-",IF(Table46[[#This Row],[Prob Winner]]=NHL2025_26Results[[#This Row],[Winning Team]],"YES","NO"))</f>
        <v>-</v>
      </c>
      <c r="P608" t="str">
        <f>IF(Table46[[#This Row],[Locked Prediction]]&lt;&gt;Table46[[#This Row],[Prob Winner]], "Changed", "Same")</f>
        <v>Changed</v>
      </c>
      <c r="Q60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09" spans="4:17" x14ac:dyDescent="0.2">
      <c r="D609" s="1">
        <v>46020</v>
      </c>
      <c r="E609" s="2">
        <v>0.875</v>
      </c>
      <c r="F609" t="s">
        <v>16</v>
      </c>
      <c r="G609">
        <f>VLOOKUP(Table46[[#This Row],[Home]],'NHL Model'!$A$6:$B$38,2,FALSE)</f>
        <v>-1.3903684122795328</v>
      </c>
      <c r="H609" t="s">
        <v>21</v>
      </c>
      <c r="I609">
        <f>VLOOKUP(Table46[[#This Row],[Visitor]],'NHL Model'!$A$6:$B$38,2,FALSE)</f>
        <v>4.029141914856392E-2</v>
      </c>
      <c r="J609">
        <f>($B$1+Table46[[#This Row],[Home Differential]])-Table46[[#This Row],[Away Differential]]</f>
        <v>-1.2680875217657783</v>
      </c>
      <c r="K609" t="str">
        <f>IF(Table46[[#This Row],[HomeIce Differential]]&gt;0,Table46[[#This Row],[Home]],Table46[[#This Row],[Visitor]])</f>
        <v>Boston Bruins</v>
      </c>
      <c r="L60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0.62855293323813632</v>
      </c>
      <c r="M609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609" t="str">
        <f>IF(OR((NHL2025_26Results[[#This Row],[Winning Team]]="")),"-",IF(Table46[[#This Row],[Predicted Winner]]=NHL2025_26Results[[#This Row],[Winning Team]],"YES","NO"))</f>
        <v>-</v>
      </c>
      <c r="O609" t="str">
        <f>IF(OR((NHL2025_26Results[[#This Row],[Winning Team]]="")),"-",IF(Table46[[#This Row],[Prob Winner]]=NHL2025_26Results[[#This Row],[Winning Team]],"YES","NO"))</f>
        <v>-</v>
      </c>
      <c r="P609" t="str">
        <f>IF(Table46[[#This Row],[Locked Prediction]]&lt;&gt;Table46[[#This Row],[Prob Winner]], "Changed", "Same")</f>
        <v>Changed</v>
      </c>
      <c r="Q60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10" spans="4:17" x14ac:dyDescent="0.2">
      <c r="D610" s="1">
        <v>46020</v>
      </c>
      <c r="E610" s="2">
        <v>0.875</v>
      </c>
      <c r="F610" t="s">
        <v>12</v>
      </c>
      <c r="G610">
        <f>VLOOKUP(Table46[[#This Row],[Home]],'NHL Model'!$A$6:$B$38,2,FALSE)</f>
        <v>1.5475013591489768</v>
      </c>
      <c r="H610" t="s">
        <v>13</v>
      </c>
      <c r="I610">
        <f>VLOOKUP(Table46[[#This Row],[Visitor]],'NHL Model'!$A$6:$B$38,2,FALSE)</f>
        <v>-7.5459708298993802E-2</v>
      </c>
      <c r="J610">
        <f>($B$1+Table46[[#This Row],[Home Differential]])-Table46[[#This Row],[Away Differential]]</f>
        <v>1.785533377110289</v>
      </c>
      <c r="K610" t="str">
        <f>IF(Table46[[#This Row],[HomeIce Differential]]&gt;0,Table46[[#This Row],[Home]],Table46[[#This Row],[Visitor]])</f>
        <v>Colorado Avalanche</v>
      </c>
      <c r="L6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0.74642223121247708</v>
      </c>
      <c r="M610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610" t="str">
        <f>IF(OR((NHL2025_26Results[[#This Row],[Winning Team]]="")),"-",IF(Table46[[#This Row],[Predicted Winner]]=NHL2025_26Results[[#This Row],[Winning Team]],"YES","NO"))</f>
        <v>-</v>
      </c>
      <c r="O610" t="str">
        <f>IF(OR((NHL2025_26Results[[#This Row],[Winning Team]]="")),"-",IF(Table46[[#This Row],[Prob Winner]]=NHL2025_26Results[[#This Row],[Winning Team]],"YES","NO"))</f>
        <v>-</v>
      </c>
      <c r="P610" t="str">
        <f>IF(Table46[[#This Row],[Locked Prediction]]&lt;&gt;Table46[[#This Row],[Prob Winner]], "Changed", "Same")</f>
        <v>Changed</v>
      </c>
      <c r="Q61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11" spans="4:17" x14ac:dyDescent="0.2">
      <c r="D611" s="1">
        <v>46020</v>
      </c>
      <c r="E611" s="2">
        <v>0.79166666666666663</v>
      </c>
      <c r="F611" t="s">
        <v>11</v>
      </c>
      <c r="G611">
        <f>VLOOKUP(Table46[[#This Row],[Home]],'NHL Model'!$A$6:$B$38,2,FALSE)</f>
        <v>-0.28105923893144158</v>
      </c>
      <c r="H611" t="s">
        <v>22</v>
      </c>
      <c r="I611">
        <f>VLOOKUP(Table46[[#This Row],[Visitor]],'NHL Model'!$A$6:$B$38,2,FALSE)</f>
        <v>-6.1308839486784707E-2</v>
      </c>
      <c r="J611">
        <f>($B$1+Table46[[#This Row],[Home Differential]])-Table46[[#This Row],[Away Differential]]</f>
        <v>-5.717808978233848E-2</v>
      </c>
      <c r="K611" t="str">
        <f>IF(Table46[[#This Row],[HomeIce Differential]]&gt;0,Table46[[#This Row],[Home]],Table46[[#This Row],[Visitor]])</f>
        <v>Washington Capitals</v>
      </c>
      <c r="L6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0.41588407854209658</v>
      </c>
      <c r="M611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611" t="str">
        <f>IF(OR((NHL2025_26Results[[#This Row],[Winning Team]]="")),"-",IF(Table46[[#This Row],[Predicted Winner]]=NHL2025_26Results[[#This Row],[Winning Team]],"YES","NO"))</f>
        <v>-</v>
      </c>
      <c r="O611" t="str">
        <f>IF(OR((NHL2025_26Results[[#This Row],[Winning Team]]="")),"-",IF(Table46[[#This Row],[Prob Winner]]=NHL2025_26Results[[#This Row],[Winning Team]],"YES","NO"))</f>
        <v>-</v>
      </c>
      <c r="P611" t="str">
        <f>IF(Table46[[#This Row],[Locked Prediction]]&lt;&gt;Table46[[#This Row],[Prob Winner]], "Changed", "Same")</f>
        <v>Changed</v>
      </c>
      <c r="Q61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12" spans="4:17" x14ac:dyDescent="0.2">
      <c r="D612" s="1">
        <v>46020</v>
      </c>
      <c r="E612" s="2">
        <v>0.79166666666666663</v>
      </c>
      <c r="F612" t="s">
        <v>36</v>
      </c>
      <c r="G612">
        <f>VLOOKUP(Table46[[#This Row],[Home]],'NHL Model'!$A$6:$B$38,2,FALSE)</f>
        <v>-0.40651947573390851</v>
      </c>
      <c r="H612" t="s">
        <v>28</v>
      </c>
      <c r="I612">
        <f>VLOOKUP(Table46[[#This Row],[Visitor]],'NHL Model'!$A$6:$B$38,2,FALSE)</f>
        <v>-0.40822279081308277</v>
      </c>
      <c r="J612">
        <f>($B$1+Table46[[#This Row],[Home Differential]])-Table46[[#This Row],[Away Differential]]</f>
        <v>0.16427562474149265</v>
      </c>
      <c r="K612" t="str">
        <f>IF(Table46[[#This Row],[HomeIce Differential]]&gt;0,Table46[[#This Row],[Home]],Table46[[#This Row],[Visitor]])</f>
        <v>Ottawa Senators</v>
      </c>
      <c r="L6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0.54357448322742707</v>
      </c>
      <c r="M612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612" t="str">
        <f>IF(OR((NHL2025_26Results[[#This Row],[Winning Team]]="")),"-",IF(Table46[[#This Row],[Predicted Winner]]=NHL2025_26Results[[#This Row],[Winning Team]],"YES","NO"))</f>
        <v>-</v>
      </c>
      <c r="O612" t="str">
        <f>IF(OR((NHL2025_26Results[[#This Row],[Winning Team]]="")),"-",IF(Table46[[#This Row],[Prob Winner]]=NHL2025_26Results[[#This Row],[Winning Team]],"YES","NO"))</f>
        <v>-</v>
      </c>
      <c r="P612" t="str">
        <f>IF(Table46[[#This Row],[Locked Prediction]]&lt;&gt;Table46[[#This Row],[Prob Winner]], "Changed", "Same")</f>
        <v>Changed</v>
      </c>
      <c r="Q61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13" spans="4:17" x14ac:dyDescent="0.2">
      <c r="D613" s="1">
        <v>46020</v>
      </c>
      <c r="E613" s="2">
        <v>0.91666666666666663</v>
      </c>
      <c r="F613" t="s">
        <v>32</v>
      </c>
      <c r="G613">
        <f>VLOOKUP(Table46[[#This Row],[Home]],'NHL Model'!$A$6:$B$38,2,FALSE)</f>
        <v>-0.361361309178443</v>
      </c>
      <c r="H613" t="s">
        <v>38</v>
      </c>
      <c r="I613">
        <f>VLOOKUP(Table46[[#This Row],[Visitor]],'NHL Model'!$A$6:$B$38,2,FALSE)</f>
        <v>-0.6902088310934803</v>
      </c>
      <c r="J613">
        <f>($B$1+Table46[[#This Row],[Home Differential]])-Table46[[#This Row],[Away Differential]]</f>
        <v>0.49141983157735569</v>
      </c>
      <c r="K613" t="str">
        <f>IF(Table46[[#This Row],[HomeIce Differential]]&gt;0,Table46[[#This Row],[Home]],Table46[[#This Row],[Visitor]])</f>
        <v>Seattle Kraken</v>
      </c>
      <c r="L6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0.58912855947704235</v>
      </c>
      <c r="M613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613" t="str">
        <f>IF(OR((NHL2025_26Results[[#This Row],[Winning Team]]="")),"-",IF(Table46[[#This Row],[Predicted Winner]]=NHL2025_26Results[[#This Row],[Winning Team]],"YES","NO"))</f>
        <v>-</v>
      </c>
      <c r="O613" t="str">
        <f>IF(OR((NHL2025_26Results[[#This Row],[Winning Team]]="")),"-",IF(Table46[[#This Row],[Prob Winner]]=NHL2025_26Results[[#This Row],[Winning Team]],"YES","NO"))</f>
        <v>-</v>
      </c>
      <c r="P613" t="str">
        <f>IF(Table46[[#This Row],[Locked Prediction]]&lt;&gt;Table46[[#This Row],[Prob Winner]], "Changed", "Same")</f>
        <v>Changed</v>
      </c>
      <c r="Q61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14" spans="4:17" x14ac:dyDescent="0.2">
      <c r="D614" s="1">
        <v>46020</v>
      </c>
      <c r="E614" s="2">
        <v>0.83333333333333337</v>
      </c>
      <c r="F614" t="s">
        <v>35</v>
      </c>
      <c r="G614">
        <f>VLOOKUP(Table46[[#This Row],[Home]],'NHL Model'!$A$6:$B$38,2,FALSE)</f>
        <v>-1.6211574240381006</v>
      </c>
      <c r="H614" t="s">
        <v>23</v>
      </c>
      <c r="I614">
        <f>VLOOKUP(Table46[[#This Row],[Visitor]],'NHL Model'!$A$6:$B$38,2,FALSE)</f>
        <v>-0.8683412362501769</v>
      </c>
      <c r="J614">
        <f>($B$1+Table46[[#This Row],[Home Differential]])-Table46[[#This Row],[Away Differential]]</f>
        <v>-0.5902438781256053</v>
      </c>
      <c r="K614" t="str">
        <f>IF(Table46[[#This Row],[HomeIce Differential]]&gt;0,Table46[[#This Row],[Home]],Table46[[#This Row],[Visitor]])</f>
        <v>Buffalo Sabres</v>
      </c>
      <c r="L61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0.5384546297288616</v>
      </c>
      <c r="M614" s="11" t="str">
        <f>IF(Table46[[#This Row],[Strength of Win]]&gt; 0.5,Table46[[#This Row],[Predicted Winner]], IF(Table46[[#This Row],[Home]]=Table46[[#This Row],[Predicted Winner]],Table46[[#This Row],[Visitor]],Table46[[#This Row],[Home]]))</f>
        <v>Buffalo Sabres</v>
      </c>
      <c r="N614" t="str">
        <f>IF(OR((NHL2025_26Results[[#This Row],[Winning Team]]="")),"-",IF(Table46[[#This Row],[Predicted Winner]]=NHL2025_26Results[[#This Row],[Winning Team]],"YES","NO"))</f>
        <v>-</v>
      </c>
      <c r="O614" t="str">
        <f>IF(OR((NHL2025_26Results[[#This Row],[Winning Team]]="")),"-",IF(Table46[[#This Row],[Prob Winner]]=NHL2025_26Results[[#This Row],[Winning Team]],"YES","NO"))</f>
        <v>-</v>
      </c>
      <c r="P614" t="str">
        <f>IF(Table46[[#This Row],[Locked Prediction]]&lt;&gt;Table46[[#This Row],[Prob Winner]], "Changed", "Same")</f>
        <v>Changed</v>
      </c>
      <c r="Q61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15" spans="4:17" x14ac:dyDescent="0.2">
      <c r="D615" s="1">
        <v>46020</v>
      </c>
      <c r="E615" s="2">
        <v>0.875</v>
      </c>
      <c r="F615" t="s">
        <v>55</v>
      </c>
      <c r="G615">
        <f>VLOOKUP(Table46[[#This Row],[Home]],'NHL Model'!$A$6:$B$38,2,FALSE)</f>
        <v>-0.12212311954851815</v>
      </c>
      <c r="H615" t="s">
        <v>29</v>
      </c>
      <c r="I615">
        <f>VLOOKUP(Table46[[#This Row],[Visitor]],'NHL Model'!$A$6:$B$38,2,FALSE)</f>
        <v>-1.3516250707060606</v>
      </c>
      <c r="J615">
        <f>($B$1+Table46[[#This Row],[Home Differential]])-Table46[[#This Row],[Away Differential]]</f>
        <v>1.3920742608198609</v>
      </c>
      <c r="K615" t="str">
        <f>IF(Table46[[#This Row],[HomeIce Differential]]&gt;0,Table46[[#This Row],[Home]],Table46[[#This Row],[Visitor]])</f>
        <v>Utah Mammoth</v>
      </c>
      <c r="L61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0.79330563346479288</v>
      </c>
      <c r="M615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615" t="str">
        <f>IF(OR((NHL2025_26Results[[#This Row],[Winning Team]]="")),"-",IF(Table46[[#This Row],[Predicted Winner]]=NHL2025_26Results[[#This Row],[Winning Team]],"YES","NO"))</f>
        <v>-</v>
      </c>
      <c r="O615" t="str">
        <f>IF(OR((NHL2025_26Results[[#This Row],[Winning Team]]="")),"-",IF(Table46[[#This Row],[Prob Winner]]=NHL2025_26Results[[#This Row],[Winning Team]],"YES","NO"))</f>
        <v>-</v>
      </c>
      <c r="P615" t="str">
        <f>IF(Table46[[#This Row],[Locked Prediction]]&lt;&gt;Table46[[#This Row],[Prob Winner]], "Changed", "Same")</f>
        <v>Changed</v>
      </c>
      <c r="Q61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16" spans="4:17" x14ac:dyDescent="0.2">
      <c r="D616" s="1">
        <v>46020</v>
      </c>
      <c r="E616" s="2">
        <v>0.91666666666666663</v>
      </c>
      <c r="F616" t="s">
        <v>20</v>
      </c>
      <c r="G616">
        <f>VLOOKUP(Table46[[#This Row],[Home]],'NHL Model'!$A$6:$B$38,2,FALSE)</f>
        <v>-6.3745791019188943E-4</v>
      </c>
      <c r="H616" t="s">
        <v>34</v>
      </c>
      <c r="I616">
        <f>VLOOKUP(Table46[[#This Row],[Visitor]],'NHL Model'!$A$6:$B$38,2,FALSE)</f>
        <v>-0.53650300840565446</v>
      </c>
      <c r="J616">
        <f>($B$1+Table46[[#This Row],[Home Differential]])-Table46[[#This Row],[Away Differential]]</f>
        <v>0.69843786015778098</v>
      </c>
      <c r="K616" t="str">
        <f>IF(Table46[[#This Row],[HomeIce Differential]]&gt;0,Table46[[#This Row],[Home]],Table46[[#This Row],[Visitor]])</f>
        <v>Vegas Golden Knights</v>
      </c>
      <c r="L61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0.63283566630340637</v>
      </c>
      <c r="M616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616" t="str">
        <f>IF(OR((NHL2025_26Results[[#This Row],[Winning Team]]="")),"-",IF(Table46[[#This Row],[Predicted Winner]]=NHL2025_26Results[[#This Row],[Winning Team]],"YES","NO"))</f>
        <v>-</v>
      </c>
      <c r="O616" t="str">
        <f>IF(OR((NHL2025_26Results[[#This Row],[Winning Team]]="")),"-",IF(Table46[[#This Row],[Prob Winner]]=NHL2025_26Results[[#This Row],[Winning Team]],"YES","NO"))</f>
        <v>-</v>
      </c>
      <c r="P616" t="str">
        <f>IF(Table46[[#This Row],[Locked Prediction]]&lt;&gt;Table46[[#This Row],[Prob Winner]], "Changed", "Same")</f>
        <v>Changed</v>
      </c>
      <c r="Q61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17" spans="4:17" x14ac:dyDescent="0.2">
      <c r="D617" s="1">
        <v>46020</v>
      </c>
      <c r="E617" s="2">
        <v>0.8125</v>
      </c>
      <c r="F617" t="s">
        <v>40</v>
      </c>
      <c r="G617">
        <f>VLOOKUP(Table46[[#This Row],[Home]],'NHL Model'!$A$6:$B$38,2,FALSE)</f>
        <v>0.105105258369765</v>
      </c>
      <c r="H617" t="s">
        <v>17</v>
      </c>
      <c r="I617">
        <f>VLOOKUP(Table46[[#This Row],[Visitor]],'NHL Model'!$A$6:$B$38,2,FALSE)</f>
        <v>-0.61980804137564283</v>
      </c>
      <c r="J617">
        <f>($B$1+Table46[[#This Row],[Home Differential]])-Table46[[#This Row],[Away Differential]]</f>
        <v>0.88748560940772625</v>
      </c>
      <c r="K617" t="str">
        <f>IF(Table46[[#This Row],[HomeIce Differential]]&gt;0,Table46[[#This Row],[Home]],Table46[[#This Row],[Visitor]])</f>
        <v>Winnipeg Jets</v>
      </c>
      <c r="L61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0.69400057162799944</v>
      </c>
      <c r="M617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617" t="str">
        <f>IF(OR((NHL2025_26Results[[#This Row],[Winning Team]]="")),"-",IF(Table46[[#This Row],[Predicted Winner]]=NHL2025_26Results[[#This Row],[Winning Team]],"YES","NO"))</f>
        <v>-</v>
      </c>
      <c r="O617" t="str">
        <f>IF(OR((NHL2025_26Results[[#This Row],[Winning Team]]="")),"-",IF(Table46[[#This Row],[Prob Winner]]=NHL2025_26Results[[#This Row],[Winning Team]],"YES","NO"))</f>
        <v>-</v>
      </c>
      <c r="P617" t="str">
        <f>IF(Table46[[#This Row],[Locked Prediction]]&lt;&gt;Table46[[#This Row],[Prob Winner]], "Changed", "Same")</f>
        <v>Changed</v>
      </c>
      <c r="Q61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18" spans="4:17" x14ac:dyDescent="0.2">
      <c r="D618" s="1">
        <v>46021</v>
      </c>
      <c r="E618" s="2">
        <v>0.85416666666666663</v>
      </c>
      <c r="F618" t="s">
        <v>10</v>
      </c>
      <c r="G618">
        <f>VLOOKUP(Table46[[#This Row],[Home]],'NHL Model'!$A$6:$B$38,2,FALSE)</f>
        <v>0.30570968833820172</v>
      </c>
      <c r="H618" t="s">
        <v>30</v>
      </c>
      <c r="I618">
        <f>VLOOKUP(Table46[[#This Row],[Visitor]],'NHL Model'!$A$6:$B$38,2,FALSE)</f>
        <v>-6.4729560818359025E-2</v>
      </c>
      <c r="J618">
        <f>($B$1+Table46[[#This Row],[Home Differential]])-Table46[[#This Row],[Away Differential]]</f>
        <v>0.53301155881887918</v>
      </c>
      <c r="K618" t="str">
        <f>IF(Table46[[#This Row],[HomeIce Differential]]&gt;0,Table46[[#This Row],[Home]],Table46[[#This Row],[Visitor]])</f>
        <v>Chicago Blackhawks</v>
      </c>
      <c r="L61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0.56833480390684243</v>
      </c>
      <c r="M618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618" t="str">
        <f>IF(OR((NHL2025_26Results[[#This Row],[Winning Team]]="")),"-",IF(Table46[[#This Row],[Predicted Winner]]=NHL2025_26Results[[#This Row],[Winning Team]],"YES","NO"))</f>
        <v>-</v>
      </c>
      <c r="O618" t="str">
        <f>IF(OR((NHL2025_26Results[[#This Row],[Winning Team]]="")),"-",IF(Table46[[#This Row],[Prob Winner]]=NHL2025_26Results[[#This Row],[Winning Team]],"YES","NO"))</f>
        <v>-</v>
      </c>
      <c r="P618" t="str">
        <f>IF(Table46[[#This Row],[Locked Prediction]]&lt;&gt;Table46[[#This Row],[Prob Winner]], "Changed", "Same")</f>
        <v>Changed</v>
      </c>
      <c r="Q61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19" spans="4:17" x14ac:dyDescent="0.2">
      <c r="D619" s="1">
        <v>46021</v>
      </c>
      <c r="E619" s="2">
        <v>0.79166666666666663</v>
      </c>
      <c r="F619" t="s">
        <v>11</v>
      </c>
      <c r="G619">
        <f>VLOOKUP(Table46[[#This Row],[Home]],'NHL Model'!$A$6:$B$38,2,FALSE)</f>
        <v>-0.28105923893144158</v>
      </c>
      <c r="H619" t="s">
        <v>18</v>
      </c>
      <c r="I619">
        <f>VLOOKUP(Table46[[#This Row],[Visitor]],'NHL Model'!$A$6:$B$38,2,FALSE)</f>
        <v>-0.52437726201848234</v>
      </c>
      <c r="J619">
        <f>($B$1+Table46[[#This Row],[Home Differential]])-Table46[[#This Row],[Away Differential]]</f>
        <v>0.40589033274935915</v>
      </c>
      <c r="K619" t="str">
        <f>IF(Table46[[#This Row],[HomeIce Differential]]&gt;0,Table46[[#This Row],[Home]],Table46[[#This Row],[Visitor]])</f>
        <v>Florida Panthers</v>
      </c>
      <c r="L61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0.57007957193583292</v>
      </c>
      <c r="M619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619" t="str">
        <f>IF(OR((NHL2025_26Results[[#This Row],[Winning Team]]="")),"-",IF(Table46[[#This Row],[Predicted Winner]]=NHL2025_26Results[[#This Row],[Winning Team]],"YES","NO"))</f>
        <v>-</v>
      </c>
      <c r="O619" t="str">
        <f>IF(OR((NHL2025_26Results[[#This Row],[Winning Team]]="")),"-",IF(Table46[[#This Row],[Prob Winner]]=NHL2025_26Results[[#This Row],[Winning Team]],"YES","NO"))</f>
        <v>-</v>
      </c>
      <c r="P619" t="str">
        <f>IF(Table46[[#This Row],[Locked Prediction]]&lt;&gt;Table46[[#This Row],[Prob Winner]], "Changed", "Same")</f>
        <v>Changed</v>
      </c>
      <c r="Q61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20" spans="4:17" x14ac:dyDescent="0.2">
      <c r="D620" s="1">
        <v>46021</v>
      </c>
      <c r="E620" s="2">
        <v>0.79166666666666663</v>
      </c>
      <c r="F620" t="s">
        <v>14</v>
      </c>
      <c r="G620">
        <f>VLOOKUP(Table46[[#This Row],[Home]],'NHL Model'!$A$6:$B$38,2,FALSE)</f>
        <v>0.26289091192875702</v>
      </c>
      <c r="H620" t="s">
        <v>25</v>
      </c>
      <c r="I620">
        <f>VLOOKUP(Table46[[#This Row],[Visitor]],'NHL Model'!$A$6:$B$38,2,FALSE)</f>
        <v>0.67193921242367816</v>
      </c>
      <c r="J620">
        <f>($B$1+Table46[[#This Row],[Home Differential]])-Table46[[#This Row],[Away Differential]]</f>
        <v>-0.24647599083260274</v>
      </c>
      <c r="K620" t="str">
        <f>IF(Table46[[#This Row],[HomeIce Differential]]&gt;0,Table46[[#This Row],[Home]],Table46[[#This Row],[Visitor]])</f>
        <v>Carolina Hurricanes</v>
      </c>
      <c r="L62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0.54889037602537949</v>
      </c>
      <c r="M620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620" t="str">
        <f>IF(OR((NHL2025_26Results[[#This Row],[Winning Team]]="")),"-",IF(Table46[[#This Row],[Predicted Winner]]=NHL2025_26Results[[#This Row],[Winning Team]],"YES","NO"))</f>
        <v>-</v>
      </c>
      <c r="O620" t="str">
        <f>IF(OR((NHL2025_26Results[[#This Row],[Winning Team]]="")),"-",IF(Table46[[#This Row],[Prob Winner]]=NHL2025_26Results[[#This Row],[Winning Team]],"YES","NO"))</f>
        <v>-</v>
      </c>
      <c r="P620" t="str">
        <f>IF(Table46[[#This Row],[Locked Prediction]]&lt;&gt;Table46[[#This Row],[Prob Winner]], "Changed", "Same")</f>
        <v>Changed</v>
      </c>
      <c r="Q62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21" spans="4:17" x14ac:dyDescent="0.2">
      <c r="D621" s="1">
        <v>46021</v>
      </c>
      <c r="E621" s="2">
        <v>0.79166666666666663</v>
      </c>
      <c r="F621" t="s">
        <v>19</v>
      </c>
      <c r="G621">
        <f>VLOOKUP(Table46[[#This Row],[Home]],'NHL Model'!$A$6:$B$38,2,FALSE)</f>
        <v>-0.635565543477981</v>
      </c>
      <c r="H621" t="s">
        <v>24</v>
      </c>
      <c r="I621">
        <f>VLOOKUP(Table46[[#This Row],[Visitor]],'NHL Model'!$A$6:$B$38,2,FALSE)</f>
        <v>0.559441163373953</v>
      </c>
      <c r="J621">
        <f>($B$1+Table46[[#This Row],[Home Differential]])-Table46[[#This Row],[Away Differential]]</f>
        <v>-1.0324343971896157</v>
      </c>
      <c r="K621" t="str">
        <f>IF(Table46[[#This Row],[HomeIce Differential]]&gt;0,Table46[[#This Row],[Home]],Table46[[#This Row],[Visitor]])</f>
        <v>New Jersey Devils</v>
      </c>
      <c r="L62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0.66354594357214802</v>
      </c>
      <c r="M621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621" t="str">
        <f>IF(OR((NHL2025_26Results[[#This Row],[Winning Team]]="")),"-",IF(Table46[[#This Row],[Predicted Winner]]=NHL2025_26Results[[#This Row],[Winning Team]],"YES","NO"))</f>
        <v>-</v>
      </c>
      <c r="O621" t="str">
        <f>IF(OR((NHL2025_26Results[[#This Row],[Winning Team]]="")),"-",IF(Table46[[#This Row],[Prob Winner]]=NHL2025_26Results[[#This Row],[Winning Team]],"YES","NO"))</f>
        <v>-</v>
      </c>
      <c r="P621" t="str">
        <f>IF(Table46[[#This Row],[Locked Prediction]]&lt;&gt;Table46[[#This Row],[Prob Winner]], "Changed", "Same")</f>
        <v>Changed</v>
      </c>
      <c r="Q62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22" spans="4:17" x14ac:dyDescent="0.2">
      <c r="D622" s="1">
        <v>46021</v>
      </c>
      <c r="E622" s="2">
        <v>0.91666666666666663</v>
      </c>
      <c r="F622" t="s">
        <v>38</v>
      </c>
      <c r="G622">
        <f>VLOOKUP(Table46[[#This Row],[Home]],'NHL Model'!$A$6:$B$38,2,FALSE)</f>
        <v>-0.6902088310934803</v>
      </c>
      <c r="H622" t="s">
        <v>27</v>
      </c>
      <c r="I622">
        <f>VLOOKUP(Table46[[#This Row],[Visitor]],'NHL Model'!$A$6:$B$38,2,FALSE)</f>
        <v>-0.51358590497437617</v>
      </c>
      <c r="J622">
        <f>($B$1+Table46[[#This Row],[Home Differential]])-Table46[[#This Row],[Away Differential]]</f>
        <v>-1.4050616456785736E-2</v>
      </c>
      <c r="K622" t="str">
        <f>IF(Table46[[#This Row],[HomeIce Differential]]&gt;0,Table46[[#This Row],[Home]],Table46[[#This Row],[Visitor]])</f>
        <v>Philadelphia Flyers</v>
      </c>
      <c r="L62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0.46186759397671345</v>
      </c>
      <c r="M622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622" t="str">
        <f>IF(OR((NHL2025_26Results[[#This Row],[Winning Team]]="")),"-",IF(Table46[[#This Row],[Predicted Winner]]=NHL2025_26Results[[#This Row],[Winning Team]],"YES","NO"))</f>
        <v>-</v>
      </c>
      <c r="O622" t="str">
        <f>IF(OR((NHL2025_26Results[[#This Row],[Winning Team]]="")),"-",IF(Table46[[#This Row],[Prob Winner]]=NHL2025_26Results[[#This Row],[Winning Team]],"YES","NO"))</f>
        <v>-</v>
      </c>
      <c r="P622" t="str">
        <f>IF(Table46[[#This Row],[Locked Prediction]]&lt;&gt;Table46[[#This Row],[Prob Winner]], "Changed", "Same")</f>
        <v>Changed</v>
      </c>
      <c r="Q62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23" spans="4:17" x14ac:dyDescent="0.2">
      <c r="D623" s="1">
        <v>46022</v>
      </c>
      <c r="E623" s="2">
        <v>0.66666666666666663</v>
      </c>
      <c r="F623" t="s">
        <v>31</v>
      </c>
      <c r="G623">
        <f>VLOOKUP(Table46[[#This Row],[Home]],'NHL Model'!$A$6:$B$38,2,FALSE)</f>
        <v>0.51775546328552802</v>
      </c>
      <c r="H623" t="s">
        <v>37</v>
      </c>
      <c r="I623">
        <f>VLOOKUP(Table46[[#This Row],[Visitor]],'NHL Model'!$A$6:$B$38,2,FALSE)</f>
        <v>-0.11309445867623392</v>
      </c>
      <c r="J623">
        <f>($B$1+Table46[[#This Row],[Home Differential]])-Table46[[#This Row],[Away Differential]]</f>
        <v>0.79342223162408032</v>
      </c>
      <c r="K623" t="str">
        <f>IF(Table46[[#This Row],[HomeIce Differential]]&gt;0,Table46[[#This Row],[Home]],Table46[[#This Row],[Visitor]])</f>
        <v>Anaheim Ducks</v>
      </c>
      <c r="L62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0.70546089456851235</v>
      </c>
      <c r="M623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623" t="str">
        <f>IF(OR((NHL2025_26Results[[#This Row],[Winning Team]]="")),"-",IF(Table46[[#This Row],[Predicted Winner]]=NHL2025_26Results[[#This Row],[Winning Team]],"YES","NO"))</f>
        <v>-</v>
      </c>
      <c r="O623" t="str">
        <f>IF(OR((NHL2025_26Results[[#This Row],[Winning Team]]="")),"-",IF(Table46[[#This Row],[Prob Winner]]=NHL2025_26Results[[#This Row],[Winning Team]],"YES","NO"))</f>
        <v>-</v>
      </c>
      <c r="P623" t="str">
        <f>IF(Table46[[#This Row],[Locked Prediction]]&lt;&gt;Table46[[#This Row],[Prob Winner]], "Changed", "Same")</f>
        <v>Changed</v>
      </c>
      <c r="Q62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24" spans="4:17" x14ac:dyDescent="0.2">
      <c r="D624" s="1">
        <v>46022</v>
      </c>
      <c r="E624" s="2">
        <v>0.79166666666666663</v>
      </c>
      <c r="F624" t="s">
        <v>28</v>
      </c>
      <c r="G624">
        <f>VLOOKUP(Table46[[#This Row],[Home]],'NHL Model'!$A$6:$B$38,2,FALSE)</f>
        <v>-0.40822279081308277</v>
      </c>
      <c r="H624" t="s">
        <v>24</v>
      </c>
      <c r="I624">
        <f>VLOOKUP(Table46[[#This Row],[Visitor]],'NHL Model'!$A$6:$B$38,2,FALSE)</f>
        <v>0.559441163373953</v>
      </c>
      <c r="J624">
        <f>($B$1+Table46[[#This Row],[Home Differential]])-Table46[[#This Row],[Away Differential]]</f>
        <v>-0.80509164452471738</v>
      </c>
      <c r="K624" t="str">
        <f>IF(Table46[[#This Row],[HomeIce Differential]]&gt;0,Table46[[#This Row],[Home]],Table46[[#This Row],[Visitor]])</f>
        <v>New Jersey Devils</v>
      </c>
      <c r="L62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0.63332777080853453</v>
      </c>
      <c r="M624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624" t="str">
        <f>IF(OR((NHL2025_26Results[[#This Row],[Winning Team]]="")),"-",IF(Table46[[#This Row],[Predicted Winner]]=NHL2025_26Results[[#This Row],[Winning Team]],"YES","NO"))</f>
        <v>-</v>
      </c>
      <c r="O624" t="str">
        <f>IF(OR((NHL2025_26Results[[#This Row],[Winning Team]]="")),"-",IF(Table46[[#This Row],[Prob Winner]]=NHL2025_26Results[[#This Row],[Winning Team]],"YES","NO"))</f>
        <v>-</v>
      </c>
      <c r="P624" t="str">
        <f>IF(Table46[[#This Row],[Locked Prediction]]&lt;&gt;Table46[[#This Row],[Prob Winner]], "Changed", "Same")</f>
        <v>Changed</v>
      </c>
      <c r="Q62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25" spans="4:17" x14ac:dyDescent="0.2">
      <c r="D625" s="1">
        <v>46022</v>
      </c>
      <c r="E625" s="2">
        <v>0.89583333333333337</v>
      </c>
      <c r="F625" t="s">
        <v>16</v>
      </c>
      <c r="G625">
        <f>VLOOKUP(Table46[[#This Row],[Home]],'NHL Model'!$A$6:$B$38,2,FALSE)</f>
        <v>-1.3903684122795328</v>
      </c>
      <c r="H625" t="s">
        <v>27</v>
      </c>
      <c r="I625">
        <f>VLOOKUP(Table46[[#This Row],[Visitor]],'NHL Model'!$A$6:$B$38,2,FALSE)</f>
        <v>-0.51358590497437617</v>
      </c>
      <c r="J625">
        <f>($B$1+Table46[[#This Row],[Home Differential]])-Table46[[#This Row],[Away Differential]]</f>
        <v>-0.71421019764283822</v>
      </c>
      <c r="K625" t="str">
        <f>IF(Table46[[#This Row],[HomeIce Differential]]&gt;0,Table46[[#This Row],[Home]],Table46[[#This Row],[Visitor]])</f>
        <v>Philadelphia Flyers</v>
      </c>
      <c r="L62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0.55493210972824691</v>
      </c>
      <c r="M625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625" t="str">
        <f>IF(OR((NHL2025_26Results[[#This Row],[Winning Team]]="")),"-",IF(Table46[[#This Row],[Predicted Winner]]=NHL2025_26Results[[#This Row],[Winning Team]],"YES","NO"))</f>
        <v>-</v>
      </c>
      <c r="O625" t="str">
        <f>IF(OR((NHL2025_26Results[[#This Row],[Winning Team]]="")),"-",IF(Table46[[#This Row],[Prob Winner]]=NHL2025_26Results[[#This Row],[Winning Team]],"YES","NO"))</f>
        <v>-</v>
      </c>
      <c r="P625" t="str">
        <f>IF(Table46[[#This Row],[Locked Prediction]]&lt;&gt;Table46[[#This Row],[Prob Winner]], "Changed", "Same")</f>
        <v>Changed</v>
      </c>
      <c r="Q62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26" spans="4:17" x14ac:dyDescent="0.2">
      <c r="D626" s="1">
        <v>46022</v>
      </c>
      <c r="E626" s="2">
        <v>0.875</v>
      </c>
      <c r="F626" t="s">
        <v>12</v>
      </c>
      <c r="G626">
        <f>VLOOKUP(Table46[[#This Row],[Home]],'NHL Model'!$A$6:$B$38,2,FALSE)</f>
        <v>1.5475013591489768</v>
      </c>
      <c r="H626" t="s">
        <v>35</v>
      </c>
      <c r="I626">
        <f>VLOOKUP(Table46[[#This Row],[Visitor]],'NHL Model'!$A$6:$B$38,2,FALSE)</f>
        <v>-1.6211574240381006</v>
      </c>
      <c r="J626">
        <f>($B$1+Table46[[#This Row],[Home Differential]])-Table46[[#This Row],[Away Differential]]</f>
        <v>3.3312310928493956</v>
      </c>
      <c r="K626" t="str">
        <f>IF(Table46[[#This Row],[HomeIce Differential]]&gt;0,Table46[[#This Row],[Home]],Table46[[#This Row],[Visitor]])</f>
        <v>Colorado Avalanche</v>
      </c>
      <c r="L62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1</v>
      </c>
      <c r="M626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626" t="str">
        <f>IF(OR((NHL2025_26Results[[#This Row],[Winning Team]]="")),"-",IF(Table46[[#This Row],[Predicted Winner]]=NHL2025_26Results[[#This Row],[Winning Team]],"YES","NO"))</f>
        <v>-</v>
      </c>
      <c r="O626" t="str">
        <f>IF(OR((NHL2025_26Results[[#This Row],[Winning Team]]="")),"-",IF(Table46[[#This Row],[Prob Winner]]=NHL2025_26Results[[#This Row],[Winning Team]],"YES","NO"))</f>
        <v>-</v>
      </c>
      <c r="P626" t="str">
        <f>IF(Table46[[#This Row],[Locked Prediction]]&lt;&gt;Table46[[#This Row],[Prob Winner]], "Changed", "Same")</f>
        <v>Changed</v>
      </c>
      <c r="Q62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27" spans="4:17" x14ac:dyDescent="0.2">
      <c r="D627" s="1">
        <v>46022</v>
      </c>
      <c r="E627" s="2">
        <v>0.83333333333333337</v>
      </c>
      <c r="F627" t="s">
        <v>39</v>
      </c>
      <c r="G627">
        <f>VLOOKUP(Table46[[#This Row],[Home]],'NHL Model'!$A$6:$B$38,2,FALSE)</f>
        <v>0.19809534061227302</v>
      </c>
      <c r="H627" t="s">
        <v>23</v>
      </c>
      <c r="I627">
        <f>VLOOKUP(Table46[[#This Row],[Visitor]],'NHL Model'!$A$6:$B$38,2,FALSE)</f>
        <v>-0.8683412362501769</v>
      </c>
      <c r="J627">
        <f>($B$1+Table46[[#This Row],[Home Differential]])-Table46[[#This Row],[Away Differential]]</f>
        <v>1.2290088865247684</v>
      </c>
      <c r="K627" t="str">
        <f>IF(Table46[[#This Row],[HomeIce Differential]]&gt;0,Table46[[#This Row],[Home]],Table46[[#This Row],[Visitor]])</f>
        <v>Dallas Stars</v>
      </c>
      <c r="L62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0.72939637572513583</v>
      </c>
      <c r="M627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627" t="str">
        <f>IF(OR((NHL2025_26Results[[#This Row],[Winning Team]]="")),"-",IF(Table46[[#This Row],[Predicted Winner]]=NHL2025_26Results[[#This Row],[Winning Team]],"YES","NO"))</f>
        <v>-</v>
      </c>
      <c r="O627" t="str">
        <f>IF(OR((NHL2025_26Results[[#This Row],[Winning Team]]="")),"-",IF(Table46[[#This Row],[Prob Winner]]=NHL2025_26Results[[#This Row],[Winning Team]],"YES","NO"))</f>
        <v>-</v>
      </c>
      <c r="P627" t="str">
        <f>IF(Table46[[#This Row],[Locked Prediction]]&lt;&gt;Table46[[#This Row],[Prob Winner]], "Changed", "Same")</f>
        <v>Changed</v>
      </c>
      <c r="Q62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28" spans="4:17" x14ac:dyDescent="0.2">
      <c r="D628" s="1">
        <v>46022</v>
      </c>
      <c r="E628" s="2">
        <v>0.77083333333333337</v>
      </c>
      <c r="F628" t="s">
        <v>26</v>
      </c>
      <c r="G628">
        <f>VLOOKUP(Table46[[#This Row],[Home]],'NHL Model'!$A$6:$B$38,2,FALSE)</f>
        <v>-0.513643833119658</v>
      </c>
      <c r="H628" t="s">
        <v>40</v>
      </c>
      <c r="I628">
        <f>VLOOKUP(Table46[[#This Row],[Visitor]],'NHL Model'!$A$6:$B$38,2,FALSE)</f>
        <v>0.105105258369765</v>
      </c>
      <c r="J628">
        <f>($B$1+Table46[[#This Row],[Home Differential]])-Table46[[#This Row],[Away Differential]]</f>
        <v>-0.45617678182710464</v>
      </c>
      <c r="K628" t="str">
        <f>IF(Table46[[#This Row],[HomeIce Differential]]&gt;0,Table46[[#This Row],[Home]],Table46[[#This Row],[Visitor]])</f>
        <v>Winnipeg Jets</v>
      </c>
      <c r="L62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0.56063456451730131</v>
      </c>
      <c r="M628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628" t="str">
        <f>IF(OR((NHL2025_26Results[[#This Row],[Winning Team]]="")),"-",IF(Table46[[#This Row],[Predicted Winner]]=NHL2025_26Results[[#This Row],[Winning Team]],"YES","NO"))</f>
        <v>-</v>
      </c>
      <c r="O628" t="str">
        <f>IF(OR((NHL2025_26Results[[#This Row],[Winning Team]]="")),"-",IF(Table46[[#This Row],[Prob Winner]]=NHL2025_26Results[[#This Row],[Winning Team]],"YES","NO"))</f>
        <v>-</v>
      </c>
      <c r="P628" t="str">
        <f>IF(Table46[[#This Row],[Locked Prediction]]&lt;&gt;Table46[[#This Row],[Prob Winner]], "Changed", "Same")</f>
        <v>Changed</v>
      </c>
      <c r="Q62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29" spans="4:17" x14ac:dyDescent="0.2">
      <c r="D629" s="1">
        <v>46022</v>
      </c>
      <c r="E629" s="2">
        <v>0.89583333333333337</v>
      </c>
      <c r="F629" t="s">
        <v>17</v>
      </c>
      <c r="G629">
        <f>VLOOKUP(Table46[[#This Row],[Home]],'NHL Model'!$A$6:$B$38,2,FALSE)</f>
        <v>-0.61980804137564283</v>
      </c>
      <c r="H629" t="s">
        <v>21</v>
      </c>
      <c r="I629">
        <f>VLOOKUP(Table46[[#This Row],[Visitor]],'NHL Model'!$A$6:$B$38,2,FALSE)</f>
        <v>4.029141914856392E-2</v>
      </c>
      <c r="J629">
        <f>($B$1+Table46[[#This Row],[Home Differential]])-Table46[[#This Row],[Away Differential]]</f>
        <v>-0.49752715086188837</v>
      </c>
      <c r="K629" t="str">
        <f>IF(Table46[[#This Row],[HomeIce Differential]]&gt;0,Table46[[#This Row],[Home]],Table46[[#This Row],[Visitor]])</f>
        <v>Boston Bruins</v>
      </c>
      <c r="L62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0.49009394811825702</v>
      </c>
      <c r="M629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629" t="str">
        <f>IF(OR((NHL2025_26Results[[#This Row],[Winning Team]]="")),"-",IF(Table46[[#This Row],[Predicted Winner]]=NHL2025_26Results[[#This Row],[Winning Team]],"YES","NO"))</f>
        <v>-</v>
      </c>
      <c r="O629" t="str">
        <f>IF(OR((NHL2025_26Results[[#This Row],[Winning Team]]="")),"-",IF(Table46[[#This Row],[Prob Winner]]=NHL2025_26Results[[#This Row],[Winning Team]],"YES","NO"))</f>
        <v>-</v>
      </c>
      <c r="P629" t="str">
        <f>IF(Table46[[#This Row],[Locked Prediction]]&lt;&gt;Table46[[#This Row],[Prob Winner]], "Changed", "Same")</f>
        <v>Changed</v>
      </c>
      <c r="Q62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30" spans="4:17" x14ac:dyDescent="0.2">
      <c r="D630" s="1">
        <v>46022</v>
      </c>
      <c r="E630" s="2">
        <v>0.66666666666666663</v>
      </c>
      <c r="F630" t="s">
        <v>33</v>
      </c>
      <c r="G630">
        <f>VLOOKUP(Table46[[#This Row],[Home]],'NHL Model'!$A$6:$B$38,2,FALSE)</f>
        <v>-0.39418177254008485</v>
      </c>
      <c r="H630" t="s">
        <v>34</v>
      </c>
      <c r="I630">
        <f>VLOOKUP(Table46[[#This Row],[Visitor]],'NHL Model'!$A$6:$B$38,2,FALSE)</f>
        <v>-0.53650300840565446</v>
      </c>
      <c r="J630">
        <f>($B$1+Table46[[#This Row],[Home Differential]])-Table46[[#This Row],[Away Differential]]</f>
        <v>0.304893545527888</v>
      </c>
      <c r="K630" t="str">
        <f>IF(Table46[[#This Row],[HomeIce Differential]]&gt;0,Table46[[#This Row],[Home]],Table46[[#This Row],[Visitor]])</f>
        <v>San Jose Sharks</v>
      </c>
      <c r="L63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0.58052614708529005</v>
      </c>
      <c r="M630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630" t="str">
        <f>IF(OR((NHL2025_26Results[[#This Row],[Winning Team]]="")),"-",IF(Table46[[#This Row],[Predicted Winner]]=NHL2025_26Results[[#This Row],[Winning Team]],"YES","NO"))</f>
        <v>-</v>
      </c>
      <c r="O630" t="str">
        <f>IF(OR((NHL2025_26Results[[#This Row],[Winning Team]]="")),"-",IF(Table46[[#This Row],[Prob Winner]]=NHL2025_26Results[[#This Row],[Winning Team]],"YES","NO"))</f>
        <v>-</v>
      </c>
      <c r="P630" t="str">
        <f>IF(Table46[[#This Row],[Locked Prediction]]&lt;&gt;Table46[[#This Row],[Prob Winner]], "Changed", "Same")</f>
        <v>Changed</v>
      </c>
      <c r="Q63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31" spans="4:17" x14ac:dyDescent="0.2">
      <c r="D631" s="1">
        <v>46022</v>
      </c>
      <c r="E631" s="2">
        <v>0.625</v>
      </c>
      <c r="F631" t="s">
        <v>20</v>
      </c>
      <c r="G631">
        <f>VLOOKUP(Table46[[#This Row],[Home]],'NHL Model'!$A$6:$B$38,2,FALSE)</f>
        <v>-6.3745791019188943E-4</v>
      </c>
      <c r="H631" t="s">
        <v>29</v>
      </c>
      <c r="I631">
        <f>VLOOKUP(Table46[[#This Row],[Visitor]],'NHL Model'!$A$6:$B$38,2,FALSE)</f>
        <v>-1.3516250707060606</v>
      </c>
      <c r="J631">
        <f>($B$1+Table46[[#This Row],[Home Differential]])-Table46[[#This Row],[Away Differential]]</f>
        <v>1.513559922458187</v>
      </c>
      <c r="K631" t="str">
        <f>IF(Table46[[#This Row],[HomeIce Differential]]&gt;0,Table46[[#This Row],[Home]],Table46[[#This Row],[Visitor]])</f>
        <v>Vegas Golden Knights</v>
      </c>
      <c r="L63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0.74118088080132893</v>
      </c>
      <c r="M631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631" t="str">
        <f>IF(OR((NHL2025_26Results[[#This Row],[Winning Team]]="")),"-",IF(Table46[[#This Row],[Predicted Winner]]=NHL2025_26Results[[#This Row],[Winning Team]],"YES","NO"))</f>
        <v>-</v>
      </c>
      <c r="O631" t="str">
        <f>IF(OR((NHL2025_26Results[[#This Row],[Winning Team]]="")),"-",IF(Table46[[#This Row],[Prob Winner]]=NHL2025_26Results[[#This Row],[Winning Team]],"YES","NO"))</f>
        <v>-</v>
      </c>
      <c r="P631" t="str">
        <f>IF(Table46[[#This Row],[Locked Prediction]]&lt;&gt;Table46[[#This Row],[Prob Winner]], "Changed", "Same")</f>
        <v>Changed</v>
      </c>
      <c r="Q63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32" spans="4:17" x14ac:dyDescent="0.2">
      <c r="D632" s="1">
        <v>46022</v>
      </c>
      <c r="E632" s="2">
        <v>0.52083333333333337</v>
      </c>
      <c r="F632" t="s">
        <v>22</v>
      </c>
      <c r="G632">
        <f>VLOOKUP(Table46[[#This Row],[Home]],'NHL Model'!$A$6:$B$38,2,FALSE)</f>
        <v>-6.1308839486784707E-2</v>
      </c>
      <c r="H632" t="s">
        <v>15</v>
      </c>
      <c r="I632">
        <f>VLOOKUP(Table46[[#This Row],[Visitor]],'NHL Model'!$A$6:$B$38,2,FALSE)</f>
        <v>-0.30719665303039001</v>
      </c>
      <c r="J632">
        <f>($B$1+Table46[[#This Row],[Home Differential]])-Table46[[#This Row],[Away Differential]]</f>
        <v>0.40846012320592373</v>
      </c>
      <c r="K632" t="str">
        <f>IF(Table46[[#This Row],[HomeIce Differential]]&gt;0,Table46[[#This Row],[Home]],Table46[[#This Row],[Visitor]])</f>
        <v>Washington Capitals</v>
      </c>
      <c r="L63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0.45188247511732305</v>
      </c>
      <c r="M632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632" t="str">
        <f>IF(OR((NHL2025_26Results[[#This Row],[Winning Team]]="")),"-",IF(Table46[[#This Row],[Predicted Winner]]=NHL2025_26Results[[#This Row],[Winning Team]],"YES","NO"))</f>
        <v>-</v>
      </c>
      <c r="O632" t="str">
        <f>IF(OR((NHL2025_26Results[[#This Row],[Winning Team]]="")),"-",IF(Table46[[#This Row],[Prob Winner]]=NHL2025_26Results[[#This Row],[Winning Team]],"YES","NO"))</f>
        <v>-</v>
      </c>
      <c r="P632" t="str">
        <f>IF(Table46[[#This Row],[Locked Prediction]]&lt;&gt;Table46[[#This Row],[Prob Winner]], "Changed", "Same")</f>
        <v>Changed</v>
      </c>
      <c r="Q63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33" spans="4:17" x14ac:dyDescent="0.2">
      <c r="D633" s="1">
        <v>46023</v>
      </c>
      <c r="E633" s="2">
        <v>0.79166666666666663</v>
      </c>
      <c r="F633" t="s">
        <v>25</v>
      </c>
      <c r="G633">
        <f>VLOOKUP(Table46[[#This Row],[Home]],'NHL Model'!$A$6:$B$38,2,FALSE)</f>
        <v>0.67193921242367816</v>
      </c>
      <c r="H633" t="s">
        <v>18</v>
      </c>
      <c r="I633">
        <f>VLOOKUP(Table46[[#This Row],[Visitor]],'NHL Model'!$A$6:$B$38,2,FALSE)</f>
        <v>-0.52437726201848234</v>
      </c>
      <c r="J633">
        <f>($B$1+Table46[[#This Row],[Home Differential]])-Table46[[#This Row],[Away Differential]]</f>
        <v>1.358888784104479</v>
      </c>
      <c r="K633" t="str">
        <f>IF(Table46[[#This Row],[HomeIce Differential]]&gt;0,Table46[[#This Row],[Home]],Table46[[#This Row],[Visitor]])</f>
        <v>Carolina Hurricanes</v>
      </c>
      <c r="L63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0.69675117905300799</v>
      </c>
      <c r="M633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633" t="str">
        <f>IF(OR((NHL2025_26Results[[#This Row],[Winning Team]]="")),"-",IF(Table46[[#This Row],[Predicted Winner]]=NHL2025_26Results[[#This Row],[Winning Team]],"YES","NO"))</f>
        <v>-</v>
      </c>
      <c r="O633" t="str">
        <f>IF(OR((NHL2025_26Results[[#This Row],[Winning Team]]="")),"-",IF(Table46[[#This Row],[Prob Winner]]=NHL2025_26Results[[#This Row],[Winning Team]],"YES","NO"))</f>
        <v>-</v>
      </c>
      <c r="P633" t="str">
        <f>IF(Table46[[#This Row],[Locked Prediction]]&lt;&gt;Table46[[#This Row],[Prob Winner]], "Changed", "Same")</f>
        <v>Changed</v>
      </c>
      <c r="Q63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34" spans="4:17" x14ac:dyDescent="0.2">
      <c r="D634" s="1">
        <v>46023</v>
      </c>
      <c r="E634" s="2">
        <v>0.85416666666666663</v>
      </c>
      <c r="F634" t="s">
        <v>10</v>
      </c>
      <c r="G634">
        <f>VLOOKUP(Table46[[#This Row],[Home]],'NHL Model'!$A$6:$B$38,2,FALSE)</f>
        <v>0.30570968833820172</v>
      </c>
      <c r="H634" t="s">
        <v>39</v>
      </c>
      <c r="I634">
        <f>VLOOKUP(Table46[[#This Row],[Visitor]],'NHL Model'!$A$6:$B$38,2,FALSE)</f>
        <v>0.19809534061227302</v>
      </c>
      <c r="J634">
        <f>($B$1+Table46[[#This Row],[Home Differential]])-Table46[[#This Row],[Away Differential]]</f>
        <v>0.2701866573882471</v>
      </c>
      <c r="K634" t="str">
        <f>IF(Table46[[#This Row],[HomeIce Differential]]&gt;0,Table46[[#This Row],[Home]],Table46[[#This Row],[Visitor]])</f>
        <v>Chicago Blackhawks</v>
      </c>
      <c r="L63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0.48342675415824354</v>
      </c>
      <c r="M634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634" t="str">
        <f>IF(OR((NHL2025_26Results[[#This Row],[Winning Team]]="")),"-",IF(Table46[[#This Row],[Predicted Winner]]=NHL2025_26Results[[#This Row],[Winning Team]],"YES","NO"))</f>
        <v>-</v>
      </c>
      <c r="O634" t="str">
        <f>IF(OR((NHL2025_26Results[[#This Row],[Winning Team]]="")),"-",IF(Table46[[#This Row],[Prob Winner]]=NHL2025_26Results[[#This Row],[Winning Team]],"YES","NO"))</f>
        <v>-</v>
      </c>
      <c r="P634" t="str">
        <f>IF(Table46[[#This Row],[Locked Prediction]]&lt;&gt;Table46[[#This Row],[Prob Winner]], "Changed", "Same")</f>
        <v>Changed</v>
      </c>
      <c r="Q63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35" spans="4:17" x14ac:dyDescent="0.2">
      <c r="D635" s="1">
        <v>46023</v>
      </c>
      <c r="E635" s="2">
        <v>0.79166666666666663</v>
      </c>
      <c r="F635" t="s">
        <v>13</v>
      </c>
      <c r="G635">
        <f>VLOOKUP(Table46[[#This Row],[Home]],'NHL Model'!$A$6:$B$38,2,FALSE)</f>
        <v>-7.5459708298993802E-2</v>
      </c>
      <c r="H635" t="s">
        <v>37</v>
      </c>
      <c r="I635">
        <f>VLOOKUP(Table46[[#This Row],[Visitor]],'NHL Model'!$A$6:$B$38,2,FALSE)</f>
        <v>-0.11309445867623392</v>
      </c>
      <c r="J635">
        <f>($B$1+Table46[[#This Row],[Home Differential]])-Table46[[#This Row],[Away Differential]]</f>
        <v>0.20020706003955852</v>
      </c>
      <c r="K635" t="str">
        <f>IF(Table46[[#This Row],[HomeIce Differential]]&gt;0,Table46[[#This Row],[Home]],Table46[[#This Row],[Visitor]])</f>
        <v>Los Angeles Kings</v>
      </c>
      <c r="L63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0.51951193198506773</v>
      </c>
      <c r="M635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635" t="str">
        <f>IF(OR((NHL2025_26Results[[#This Row],[Winning Team]]="")),"-",IF(Table46[[#This Row],[Predicted Winner]]=NHL2025_26Results[[#This Row],[Winning Team]],"YES","NO"))</f>
        <v>-</v>
      </c>
      <c r="O635" t="str">
        <f>IF(OR((NHL2025_26Results[[#This Row],[Winning Team]]="")),"-",IF(Table46[[#This Row],[Prob Winner]]=NHL2025_26Results[[#This Row],[Winning Team]],"YES","NO"))</f>
        <v>-</v>
      </c>
      <c r="P635" t="str">
        <f>IF(Table46[[#This Row],[Locked Prediction]]&lt;&gt;Table46[[#This Row],[Prob Winner]], "Changed", "Same")</f>
        <v>Changed</v>
      </c>
      <c r="Q63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36" spans="4:17" x14ac:dyDescent="0.2">
      <c r="D636" s="1">
        <v>46023</v>
      </c>
      <c r="E636" s="2">
        <v>0.625</v>
      </c>
      <c r="F636" t="s">
        <v>30</v>
      </c>
      <c r="G636">
        <f>VLOOKUP(Table46[[#This Row],[Home]],'NHL Model'!$A$6:$B$38,2,FALSE)</f>
        <v>-6.4729560818359025E-2</v>
      </c>
      <c r="H636" t="s">
        <v>55</v>
      </c>
      <c r="I636">
        <f>VLOOKUP(Table46[[#This Row],[Visitor]],'NHL Model'!$A$6:$B$38,2,FALSE)</f>
        <v>-0.12212311954851815</v>
      </c>
      <c r="J636">
        <f>($B$1+Table46[[#This Row],[Home Differential]])-Table46[[#This Row],[Away Differential]]</f>
        <v>0.2199658683924775</v>
      </c>
      <c r="K636" t="str">
        <f>IF(Table46[[#This Row],[HomeIce Differential]]&gt;0,Table46[[#This Row],[Home]],Table46[[#This Row],[Visitor]])</f>
        <v>New York Islanders</v>
      </c>
      <c r="L63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0.56923764463686133</v>
      </c>
      <c r="M636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636" t="str">
        <f>IF(OR((NHL2025_26Results[[#This Row],[Winning Team]]="")),"-",IF(Table46[[#This Row],[Predicted Winner]]=NHL2025_26Results[[#This Row],[Winning Team]],"YES","NO"))</f>
        <v>-</v>
      </c>
      <c r="O636" t="str">
        <f>IF(OR((NHL2025_26Results[[#This Row],[Winning Team]]="")),"-",IF(Table46[[#This Row],[Prob Winner]]=NHL2025_26Results[[#This Row],[Winning Team]],"YES","NO"))</f>
        <v>-</v>
      </c>
      <c r="P636" t="str">
        <f>IF(Table46[[#This Row],[Locked Prediction]]&lt;&gt;Table46[[#This Row],[Prob Winner]], "Changed", "Same")</f>
        <v>Changed</v>
      </c>
      <c r="Q63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37" spans="4:17" x14ac:dyDescent="0.2">
      <c r="D637" s="1">
        <v>46023</v>
      </c>
      <c r="E637" s="2">
        <v>0.54166666666666663</v>
      </c>
      <c r="F637" t="s">
        <v>36</v>
      </c>
      <c r="G637">
        <f>VLOOKUP(Table46[[#This Row],[Home]],'NHL Model'!$A$6:$B$38,2,FALSE)</f>
        <v>-0.40651947573390851</v>
      </c>
      <c r="H637" t="s">
        <v>22</v>
      </c>
      <c r="I637">
        <f>VLOOKUP(Table46[[#This Row],[Visitor]],'NHL Model'!$A$6:$B$38,2,FALSE)</f>
        <v>-6.1308839486784707E-2</v>
      </c>
      <c r="J637">
        <f>($B$1+Table46[[#This Row],[Home Differential]])-Table46[[#This Row],[Away Differential]]</f>
        <v>-0.18263832658480542</v>
      </c>
      <c r="K637" t="str">
        <f>IF(Table46[[#This Row],[HomeIce Differential]]&gt;0,Table46[[#This Row],[Home]],Table46[[#This Row],[Visitor]])</f>
        <v>Washington Capitals</v>
      </c>
      <c r="L63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0.4817806256694841</v>
      </c>
      <c r="M637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637" t="str">
        <f>IF(OR((NHL2025_26Results[[#This Row],[Winning Team]]="")),"-",IF(Table46[[#This Row],[Predicted Winner]]=NHL2025_26Results[[#This Row],[Winning Team]],"YES","NO"))</f>
        <v>-</v>
      </c>
      <c r="O637" t="str">
        <f>IF(OR((NHL2025_26Results[[#This Row],[Winning Team]]="")),"-",IF(Table46[[#This Row],[Prob Winner]]=NHL2025_26Results[[#This Row],[Winning Team]],"YES","NO"))</f>
        <v>-</v>
      </c>
      <c r="P637" t="str">
        <f>IF(Table46[[#This Row],[Locked Prediction]]&lt;&gt;Table46[[#This Row],[Prob Winner]], "Changed", "Same")</f>
        <v>Changed</v>
      </c>
      <c r="Q63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38" spans="4:17" x14ac:dyDescent="0.2">
      <c r="D638" s="1">
        <v>46023</v>
      </c>
      <c r="E638" s="2">
        <v>0.79166666666666663</v>
      </c>
      <c r="F638" t="s">
        <v>14</v>
      </c>
      <c r="G638">
        <f>VLOOKUP(Table46[[#This Row],[Home]],'NHL Model'!$A$6:$B$38,2,FALSE)</f>
        <v>0.26289091192875702</v>
      </c>
      <c r="H638" t="s">
        <v>26</v>
      </c>
      <c r="I638">
        <f>VLOOKUP(Table46[[#This Row],[Visitor]],'NHL Model'!$A$6:$B$38,2,FALSE)</f>
        <v>-0.513643833119658</v>
      </c>
      <c r="J638">
        <f>($B$1+Table46[[#This Row],[Home Differential]])-Table46[[#This Row],[Away Differential]]</f>
        <v>0.93910705471073341</v>
      </c>
      <c r="K638" t="str">
        <f>IF(Table46[[#This Row],[HomeIce Differential]]&gt;0,Table46[[#This Row],[Home]],Table46[[#This Row],[Visitor]])</f>
        <v>Pittsburgh Penguins</v>
      </c>
      <c r="L63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0.65423694118558429</v>
      </c>
      <c r="M638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638" t="str">
        <f>IF(OR((NHL2025_26Results[[#This Row],[Winning Team]]="")),"-",IF(Table46[[#This Row],[Predicted Winner]]=NHL2025_26Results[[#This Row],[Winning Team]],"YES","NO"))</f>
        <v>-</v>
      </c>
      <c r="O638" t="str">
        <f>IF(OR((NHL2025_26Results[[#This Row],[Winning Team]]="")),"-",IF(Table46[[#This Row],[Prob Winner]]=NHL2025_26Results[[#This Row],[Winning Team]],"YES","NO"))</f>
        <v>-</v>
      </c>
      <c r="P638" t="str">
        <f>IF(Table46[[#This Row],[Locked Prediction]]&lt;&gt;Table46[[#This Row],[Prob Winner]], "Changed", "Same")</f>
        <v>Changed</v>
      </c>
      <c r="Q63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39" spans="4:17" x14ac:dyDescent="0.2">
      <c r="D639" s="1">
        <v>46023</v>
      </c>
      <c r="E639" s="2">
        <v>0.91666666666666663</v>
      </c>
      <c r="F639" t="s">
        <v>32</v>
      </c>
      <c r="G639">
        <f>VLOOKUP(Table46[[#This Row],[Home]],'NHL Model'!$A$6:$B$38,2,FALSE)</f>
        <v>-0.361361309178443</v>
      </c>
      <c r="H639" t="s">
        <v>29</v>
      </c>
      <c r="I639">
        <f>VLOOKUP(Table46[[#This Row],[Visitor]],'NHL Model'!$A$6:$B$38,2,FALSE)</f>
        <v>-1.3516250707060606</v>
      </c>
      <c r="J639">
        <f>($B$1+Table46[[#This Row],[Home Differential]])-Table46[[#This Row],[Away Differential]]</f>
        <v>1.1528360711899359</v>
      </c>
      <c r="K639" t="str">
        <f>IF(Table46[[#This Row],[HomeIce Differential]]&gt;0,Table46[[#This Row],[Home]],Table46[[#This Row],[Visitor]])</f>
        <v>Seattle Kraken</v>
      </c>
      <c r="L63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0.71927156080714449</v>
      </c>
      <c r="M639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639" t="str">
        <f>IF(OR((NHL2025_26Results[[#This Row],[Winning Team]]="")),"-",IF(Table46[[#This Row],[Predicted Winner]]=NHL2025_26Results[[#This Row],[Winning Team]],"YES","NO"))</f>
        <v>-</v>
      </c>
      <c r="O639" t="str">
        <f>IF(OR((NHL2025_26Results[[#This Row],[Winning Team]]="")),"-",IF(Table46[[#This Row],[Prob Winner]]=NHL2025_26Results[[#This Row],[Winning Team]],"YES","NO"))</f>
        <v>-</v>
      </c>
      <c r="P639" t="str">
        <f>IF(Table46[[#This Row],[Locked Prediction]]&lt;&gt;Table46[[#This Row],[Prob Winner]], "Changed", "Same")</f>
        <v>Changed</v>
      </c>
      <c r="Q63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40" spans="4:17" x14ac:dyDescent="0.2">
      <c r="D640" s="1">
        <v>46023</v>
      </c>
      <c r="E640" s="2">
        <v>0.79166666666666663</v>
      </c>
      <c r="F640" t="s">
        <v>19</v>
      </c>
      <c r="G640">
        <f>VLOOKUP(Table46[[#This Row],[Home]],'NHL Model'!$A$6:$B$38,2,FALSE)</f>
        <v>-0.635565543477981</v>
      </c>
      <c r="H640" t="s">
        <v>40</v>
      </c>
      <c r="I640">
        <f>VLOOKUP(Table46[[#This Row],[Visitor]],'NHL Model'!$A$6:$B$38,2,FALSE)</f>
        <v>0.105105258369765</v>
      </c>
      <c r="J640">
        <f>($B$1+Table46[[#This Row],[Home Differential]])-Table46[[#This Row],[Away Differential]]</f>
        <v>-0.57809849218542764</v>
      </c>
      <c r="K640" t="str">
        <f>IF(Table46[[#This Row],[HomeIce Differential]]&gt;0,Table46[[#This Row],[Home]],Table46[[#This Row],[Visitor]])</f>
        <v>Winnipeg Jets</v>
      </c>
      <c r="L64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0.60315606657278753</v>
      </c>
      <c r="M640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640" t="str">
        <f>IF(OR((NHL2025_26Results[[#This Row],[Winning Team]]="")),"-",IF(Table46[[#This Row],[Predicted Winner]]=NHL2025_26Results[[#This Row],[Winning Team]],"YES","NO"))</f>
        <v>-</v>
      </c>
      <c r="O640" t="str">
        <f>IF(OR((NHL2025_26Results[[#This Row],[Winning Team]]="")),"-",IF(Table46[[#This Row],[Prob Winner]]=NHL2025_26Results[[#This Row],[Winning Team]],"YES","NO"))</f>
        <v>-</v>
      </c>
      <c r="P640" t="str">
        <f>IF(Table46[[#This Row],[Locked Prediction]]&lt;&gt;Table46[[#This Row],[Prob Winner]], "Changed", "Same")</f>
        <v>Changed</v>
      </c>
      <c r="Q64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41" spans="4:17" x14ac:dyDescent="0.2">
      <c r="D641" s="1">
        <v>46024</v>
      </c>
      <c r="E641" s="2">
        <v>0.9375</v>
      </c>
      <c r="F641" t="s">
        <v>31</v>
      </c>
      <c r="G641">
        <f>VLOOKUP(Table46[[#This Row],[Home]],'NHL Model'!$A$6:$B$38,2,FALSE)</f>
        <v>0.51775546328552802</v>
      </c>
      <c r="H641" t="s">
        <v>34</v>
      </c>
      <c r="I641">
        <f>VLOOKUP(Table46[[#This Row],[Visitor]],'NHL Model'!$A$6:$B$38,2,FALSE)</f>
        <v>-0.53650300840565446</v>
      </c>
      <c r="J641">
        <f>($B$1+Table46[[#This Row],[Home Differential]])-Table46[[#This Row],[Away Differential]]</f>
        <v>1.2168307813535009</v>
      </c>
      <c r="K641" t="str">
        <f>IF(Table46[[#This Row],[HomeIce Differential]]&gt;0,Table46[[#This Row],[Home]],Table46[[#This Row],[Visitor]])</f>
        <v>Anaheim Ducks</v>
      </c>
      <c r="L64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0.80606983514585551</v>
      </c>
      <c r="M641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641" t="str">
        <f>IF(OR((NHL2025_26Results[[#This Row],[Winning Team]]="")),"-",IF(Table46[[#This Row],[Predicted Winner]]=NHL2025_26Results[[#This Row],[Winning Team]],"YES","NO"))</f>
        <v>-</v>
      </c>
      <c r="O641" t="str">
        <f>IF(OR((NHL2025_26Results[[#This Row],[Winning Team]]="")),"-",IF(Table46[[#This Row],[Prob Winner]]=NHL2025_26Results[[#This Row],[Winning Team]],"YES","NO"))</f>
        <v>-</v>
      </c>
      <c r="P641" t="str">
        <f>IF(Table46[[#This Row],[Locked Prediction]]&lt;&gt;Table46[[#This Row],[Prob Winner]], "Changed", "Same")</f>
        <v>Changed</v>
      </c>
      <c r="Q64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42" spans="4:17" x14ac:dyDescent="0.2">
      <c r="D642" s="1">
        <v>46024</v>
      </c>
      <c r="E642" s="2">
        <v>0.83333333333333337</v>
      </c>
      <c r="F642" t="s">
        <v>11</v>
      </c>
      <c r="G642">
        <f>VLOOKUP(Table46[[#This Row],[Home]],'NHL Model'!$A$6:$B$38,2,FALSE)</f>
        <v>-0.28105923893144158</v>
      </c>
      <c r="H642" t="s">
        <v>15</v>
      </c>
      <c r="I642">
        <f>VLOOKUP(Table46[[#This Row],[Visitor]],'NHL Model'!$A$6:$B$38,2,FALSE)</f>
        <v>-0.30719665303039001</v>
      </c>
      <c r="J642">
        <f>($B$1+Table46[[#This Row],[Home Differential]])-Table46[[#This Row],[Away Differential]]</f>
        <v>0.18870972376126682</v>
      </c>
      <c r="K642" t="str">
        <f>IF(Table46[[#This Row],[HomeIce Differential]]&gt;0,Table46[[#This Row],[Home]],Table46[[#This Row],[Visitor]])</f>
        <v>Florida Panthers</v>
      </c>
      <c r="L64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0.47406270078983653</v>
      </c>
      <c r="M642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642" t="str">
        <f>IF(OR((NHL2025_26Results[[#This Row],[Winning Team]]="")),"-",IF(Table46[[#This Row],[Predicted Winner]]=NHL2025_26Results[[#This Row],[Winning Team]],"YES","NO"))</f>
        <v>-</v>
      </c>
      <c r="O642" t="str">
        <f>IF(OR((NHL2025_26Results[[#This Row],[Winning Team]]="")),"-",IF(Table46[[#This Row],[Prob Winner]]=NHL2025_26Results[[#This Row],[Winning Team]],"YES","NO"))</f>
        <v>-</v>
      </c>
      <c r="P642" t="str">
        <f>IF(Table46[[#This Row],[Locked Prediction]]&lt;&gt;Table46[[#This Row],[Prob Winner]], "Changed", "Same")</f>
        <v>Changed</v>
      </c>
      <c r="Q64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43" spans="4:17" x14ac:dyDescent="0.2">
      <c r="D643" s="1">
        <v>46024</v>
      </c>
      <c r="E643" s="2">
        <v>0.625</v>
      </c>
      <c r="F643" t="s">
        <v>35</v>
      </c>
      <c r="G643">
        <f>VLOOKUP(Table46[[#This Row],[Home]],'NHL Model'!$A$6:$B$38,2,FALSE)</f>
        <v>-1.6211574240381006</v>
      </c>
      <c r="H643" t="s">
        <v>20</v>
      </c>
      <c r="I643">
        <f>VLOOKUP(Table46[[#This Row],[Visitor]],'NHL Model'!$A$6:$B$38,2,FALSE)</f>
        <v>-6.3745791019188943E-4</v>
      </c>
      <c r="J643">
        <f>($B$1+Table46[[#This Row],[Home Differential]])-Table46[[#This Row],[Away Differential]]</f>
        <v>-1.4579476564655902</v>
      </c>
      <c r="K643" t="str">
        <f>IF(Table46[[#This Row],[HomeIce Differential]]&gt;0,Table46[[#This Row],[Home]],Table46[[#This Row],[Visitor]])</f>
        <v>Vegas Golden Knights</v>
      </c>
      <c r="L64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0.6745581844392059</v>
      </c>
      <c r="M643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643" t="str">
        <f>IF(OR((NHL2025_26Results[[#This Row],[Winning Team]]="")),"-",IF(Table46[[#This Row],[Predicted Winner]]=NHL2025_26Results[[#This Row],[Winning Team]],"YES","NO"))</f>
        <v>-</v>
      </c>
      <c r="O643" t="str">
        <f>IF(OR((NHL2025_26Results[[#This Row],[Winning Team]]="")),"-",IF(Table46[[#This Row],[Prob Winner]]=NHL2025_26Results[[#This Row],[Winning Team]],"YES","NO"))</f>
        <v>-</v>
      </c>
      <c r="P643" t="str">
        <f>IF(Table46[[#This Row],[Locked Prediction]]&lt;&gt;Table46[[#This Row],[Prob Winner]], "Changed", "Same")</f>
        <v>Changed</v>
      </c>
      <c r="Q64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44" spans="4:17" x14ac:dyDescent="0.2">
      <c r="D644" s="1">
        <v>46024</v>
      </c>
      <c r="E644" s="2">
        <v>0.9375</v>
      </c>
      <c r="F644" t="s">
        <v>38</v>
      </c>
      <c r="G644">
        <f>VLOOKUP(Table46[[#This Row],[Home]],'NHL Model'!$A$6:$B$38,2,FALSE)</f>
        <v>-0.6902088310934803</v>
      </c>
      <c r="H644" t="s">
        <v>32</v>
      </c>
      <c r="I644">
        <f>VLOOKUP(Table46[[#This Row],[Visitor]],'NHL Model'!$A$6:$B$38,2,FALSE)</f>
        <v>-0.361361309178443</v>
      </c>
      <c r="J644">
        <f>($B$1+Table46[[#This Row],[Home Differential]])-Table46[[#This Row],[Away Differential]]</f>
        <v>-0.16627521225271891</v>
      </c>
      <c r="K644" t="str">
        <f>IF(Table46[[#This Row],[HomeIce Differential]]&gt;0,Table46[[#This Row],[Home]],Table46[[#This Row],[Visitor]])</f>
        <v>Seattle Kraken</v>
      </c>
      <c r="L64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0.4821011359775576</v>
      </c>
      <c r="M644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644" t="str">
        <f>IF(OR((NHL2025_26Results[[#This Row],[Winning Team]]="")),"-",IF(Table46[[#This Row],[Predicted Winner]]=NHL2025_26Results[[#This Row],[Winning Team]],"YES","NO"))</f>
        <v>-</v>
      </c>
      <c r="O644" t="str">
        <f>IF(OR((NHL2025_26Results[[#This Row],[Winning Team]]="")),"-",IF(Table46[[#This Row],[Prob Winner]]=NHL2025_26Results[[#This Row],[Winning Team]],"YES","NO"))</f>
        <v>-</v>
      </c>
      <c r="P644" t="str">
        <f>IF(Table46[[#This Row],[Locked Prediction]]&lt;&gt;Table46[[#This Row],[Prob Winner]], "Changed", "Same")</f>
        <v>Changed</v>
      </c>
      <c r="Q64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45" spans="4:17" x14ac:dyDescent="0.2">
      <c r="D645" s="1">
        <v>46025</v>
      </c>
      <c r="E645" s="2">
        <v>0.79166666666666663</v>
      </c>
      <c r="F645" t="s">
        <v>25</v>
      </c>
      <c r="G645">
        <f>VLOOKUP(Table46[[#This Row],[Home]],'NHL Model'!$A$6:$B$38,2,FALSE)</f>
        <v>0.67193921242367816</v>
      </c>
      <c r="H645" t="s">
        <v>12</v>
      </c>
      <c r="I645">
        <f>VLOOKUP(Table46[[#This Row],[Visitor]],'NHL Model'!$A$6:$B$38,2,FALSE)</f>
        <v>1.5475013591489768</v>
      </c>
      <c r="J645">
        <f>($B$1+Table46[[#This Row],[Home Differential]])-Table46[[#This Row],[Away Differential]]</f>
        <v>-0.71298983706298025</v>
      </c>
      <c r="K645" t="str">
        <f>IF(Table46[[#This Row],[HomeIce Differential]]&gt;0,Table46[[#This Row],[Home]],Table46[[#This Row],[Visitor]])</f>
        <v>Colorado Avalanche</v>
      </c>
      <c r="L64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0.56845411113901456</v>
      </c>
      <c r="M645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645" t="str">
        <f>IF(OR((NHL2025_26Results[[#This Row],[Winning Team]]="")),"-",IF(Table46[[#This Row],[Predicted Winner]]=NHL2025_26Results[[#This Row],[Winning Team]],"YES","NO"))</f>
        <v>-</v>
      </c>
      <c r="O645" t="str">
        <f>IF(OR((NHL2025_26Results[[#This Row],[Winning Team]]="")),"-",IF(Table46[[#This Row],[Prob Winner]]=NHL2025_26Results[[#This Row],[Winning Team]],"YES","NO"))</f>
        <v>-</v>
      </c>
      <c r="P645" t="str">
        <f>IF(Table46[[#This Row],[Locked Prediction]]&lt;&gt;Table46[[#This Row],[Prob Winner]], "Changed", "Same")</f>
        <v>Changed</v>
      </c>
      <c r="Q64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46" spans="4:17" x14ac:dyDescent="0.2">
      <c r="D646" s="1">
        <v>46025</v>
      </c>
      <c r="E646" s="2">
        <v>0.625</v>
      </c>
      <c r="F646" t="s">
        <v>28</v>
      </c>
      <c r="G646">
        <f>VLOOKUP(Table46[[#This Row],[Home]],'NHL Model'!$A$6:$B$38,2,FALSE)</f>
        <v>-0.40822279081308277</v>
      </c>
      <c r="H646" t="s">
        <v>23</v>
      </c>
      <c r="I646">
        <f>VLOOKUP(Table46[[#This Row],[Visitor]],'NHL Model'!$A$6:$B$38,2,FALSE)</f>
        <v>-0.8683412362501769</v>
      </c>
      <c r="J646">
        <f>($B$1+Table46[[#This Row],[Home Differential]])-Table46[[#This Row],[Away Differential]]</f>
        <v>0.62269075509941252</v>
      </c>
      <c r="K646" t="str">
        <f>IF(Table46[[#This Row],[HomeIce Differential]]&gt;0,Table46[[#This Row],[Home]],Table46[[#This Row],[Visitor]])</f>
        <v>Columbus Blue Jackets</v>
      </c>
      <c r="L64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0.62276743637231524</v>
      </c>
      <c r="M646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646" t="str">
        <f>IF(OR((NHL2025_26Results[[#This Row],[Winning Team]]="")),"-",IF(Table46[[#This Row],[Predicted Winner]]=NHL2025_26Results[[#This Row],[Winning Team]],"YES","NO"))</f>
        <v>-</v>
      </c>
      <c r="O646" t="str">
        <f>IF(OR((NHL2025_26Results[[#This Row],[Winning Team]]="")),"-",IF(Table46[[#This Row],[Prob Winner]]=NHL2025_26Results[[#This Row],[Winning Team]],"YES","NO"))</f>
        <v>-</v>
      </c>
      <c r="P646" t="str">
        <f>IF(Table46[[#This Row],[Locked Prediction]]&lt;&gt;Table46[[#This Row],[Prob Winner]], "Changed", "Same")</f>
        <v>Changed</v>
      </c>
      <c r="Q64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47" spans="4:17" x14ac:dyDescent="0.2">
      <c r="D647" s="1">
        <v>46025</v>
      </c>
      <c r="E647" s="2">
        <v>0.79166666666666663</v>
      </c>
      <c r="F647" t="s">
        <v>16</v>
      </c>
      <c r="G647">
        <f>VLOOKUP(Table46[[#This Row],[Home]],'NHL Model'!$A$6:$B$38,2,FALSE)</f>
        <v>-1.3903684122795328</v>
      </c>
      <c r="H647" t="s">
        <v>29</v>
      </c>
      <c r="I647">
        <f>VLOOKUP(Table46[[#This Row],[Visitor]],'NHL Model'!$A$6:$B$38,2,FALSE)</f>
        <v>-1.3516250707060606</v>
      </c>
      <c r="J647">
        <f>($B$1+Table46[[#This Row],[Home Differential]])-Table46[[#This Row],[Away Differential]]</f>
        <v>0.12382896808884625</v>
      </c>
      <c r="K647" t="str">
        <f>IF(Table46[[#This Row],[HomeIce Differential]]&gt;0,Table46[[#This Row],[Home]],Table46[[#This Row],[Visitor]])</f>
        <v>Calgary Flames</v>
      </c>
      <c r="L64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0.55645922338401632</v>
      </c>
      <c r="M647" s="11" t="str">
        <f>IF(Table46[[#This Row],[Strength of Win]]&gt; 0.5,Table46[[#This Row],[Predicted Winner]], IF(Table46[[#This Row],[Home]]=Table46[[#This Row],[Predicted Winner]],Table46[[#This Row],[Visitor]],Table46[[#This Row],[Home]]))</f>
        <v>Calgary Flames</v>
      </c>
      <c r="N647" t="str">
        <f>IF(OR((NHL2025_26Results[[#This Row],[Winning Team]]="")),"-",IF(Table46[[#This Row],[Predicted Winner]]=NHL2025_26Results[[#This Row],[Winning Team]],"YES","NO"))</f>
        <v>-</v>
      </c>
      <c r="O647" t="str">
        <f>IF(OR((NHL2025_26Results[[#This Row],[Winning Team]]="")),"-",IF(Table46[[#This Row],[Prob Winner]]=NHL2025_26Results[[#This Row],[Winning Team]],"YES","NO"))</f>
        <v>-</v>
      </c>
      <c r="P647" t="str">
        <f>IF(Table46[[#This Row],[Locked Prediction]]&lt;&gt;Table46[[#This Row],[Prob Winner]], "Changed", "Same")</f>
        <v>Changed</v>
      </c>
      <c r="Q64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48" spans="4:17" x14ac:dyDescent="0.2">
      <c r="D648" s="1">
        <v>46025</v>
      </c>
      <c r="E648" s="2">
        <v>0.5</v>
      </c>
      <c r="F648" t="s">
        <v>26</v>
      </c>
      <c r="G648">
        <f>VLOOKUP(Table46[[#This Row],[Home]],'NHL Model'!$A$6:$B$38,2,FALSE)</f>
        <v>-0.513643833119658</v>
      </c>
      <c r="H648" t="s">
        <v>14</v>
      </c>
      <c r="I648">
        <f>VLOOKUP(Table46[[#This Row],[Visitor]],'NHL Model'!$A$6:$B$38,2,FALSE)</f>
        <v>0.26289091192875702</v>
      </c>
      <c r="J648">
        <f>($B$1+Table46[[#This Row],[Home Differential]])-Table46[[#This Row],[Away Differential]]</f>
        <v>-0.61396243538609663</v>
      </c>
      <c r="K648" t="str">
        <f>IF(Table46[[#This Row],[HomeIce Differential]]&gt;0,Table46[[#This Row],[Home]],Table46[[#This Row],[Visitor]])</f>
        <v>Pittsburgh Penguins</v>
      </c>
      <c r="L64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0.51556954094068419</v>
      </c>
      <c r="M648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648" t="str">
        <f>IF(OR((NHL2025_26Results[[#This Row],[Winning Team]]="")),"-",IF(Table46[[#This Row],[Predicted Winner]]=NHL2025_26Results[[#This Row],[Winning Team]],"YES","NO"))</f>
        <v>-</v>
      </c>
      <c r="O648" t="str">
        <f>IF(OR((NHL2025_26Results[[#This Row],[Winning Team]]="")),"-",IF(Table46[[#This Row],[Prob Winner]]=NHL2025_26Results[[#This Row],[Winning Team]],"YES","NO"))</f>
        <v>-</v>
      </c>
      <c r="P648" t="str">
        <f>IF(Table46[[#This Row],[Locked Prediction]]&lt;&gt;Table46[[#This Row],[Prob Winner]], "Changed", "Same")</f>
        <v>Changed</v>
      </c>
      <c r="Q64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49" spans="4:17" x14ac:dyDescent="0.2">
      <c r="D649" s="1">
        <v>46025</v>
      </c>
      <c r="E649" s="2">
        <v>0.64583333333333337</v>
      </c>
      <c r="F649" t="s">
        <v>17</v>
      </c>
      <c r="G649">
        <f>VLOOKUP(Table46[[#This Row],[Home]],'NHL Model'!$A$6:$B$38,2,FALSE)</f>
        <v>-0.61980804137564283</v>
      </c>
      <c r="H649" t="s">
        <v>27</v>
      </c>
      <c r="I649">
        <f>VLOOKUP(Table46[[#This Row],[Visitor]],'NHL Model'!$A$6:$B$38,2,FALSE)</f>
        <v>-0.51358590497437617</v>
      </c>
      <c r="J649">
        <f>($B$1+Table46[[#This Row],[Home Differential]])-Table46[[#This Row],[Away Differential]]</f>
        <v>5.6350173261051739E-2</v>
      </c>
      <c r="K649" t="str">
        <f>IF(Table46[[#This Row],[HomeIce Differential]]&gt;0,Table46[[#This Row],[Home]],Table46[[#This Row],[Visitor]])</f>
        <v>Edmonton Oilers</v>
      </c>
      <c r="L64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0.58352687539163262</v>
      </c>
      <c r="M649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649" t="str">
        <f>IF(OR((NHL2025_26Results[[#This Row],[Winning Team]]="")),"-",IF(Table46[[#This Row],[Predicted Winner]]=NHL2025_26Results[[#This Row],[Winning Team]],"YES","NO"))</f>
        <v>-</v>
      </c>
      <c r="O649" t="str">
        <f>IF(OR((NHL2025_26Results[[#This Row],[Winning Team]]="")),"-",IF(Table46[[#This Row],[Prob Winner]]=NHL2025_26Results[[#This Row],[Winning Team]],"YES","NO"))</f>
        <v>-</v>
      </c>
      <c r="P649" t="str">
        <f>IF(Table46[[#This Row],[Locked Prediction]]&lt;&gt;Table46[[#This Row],[Prob Winner]], "Changed", "Same")</f>
        <v>Changed</v>
      </c>
      <c r="Q64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50" spans="4:17" x14ac:dyDescent="0.2">
      <c r="D650" s="1">
        <v>46025</v>
      </c>
      <c r="E650" s="2">
        <v>0.875</v>
      </c>
      <c r="F650" t="s">
        <v>13</v>
      </c>
      <c r="G650">
        <f>VLOOKUP(Table46[[#This Row],[Home]],'NHL Model'!$A$6:$B$38,2,FALSE)</f>
        <v>-7.5459708298993802E-2</v>
      </c>
      <c r="H650" t="s">
        <v>34</v>
      </c>
      <c r="I650">
        <f>VLOOKUP(Table46[[#This Row],[Visitor]],'NHL Model'!$A$6:$B$38,2,FALSE)</f>
        <v>-0.53650300840565446</v>
      </c>
      <c r="J650">
        <f>($B$1+Table46[[#This Row],[Home Differential]])-Table46[[#This Row],[Away Differential]]</f>
        <v>0.62361560976897901</v>
      </c>
      <c r="K650" t="str">
        <f>IF(Table46[[#This Row],[HomeIce Differential]]&gt;0,Table46[[#This Row],[Home]],Table46[[#This Row],[Visitor]])</f>
        <v>Los Angeles Kings</v>
      </c>
      <c r="L65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0.62289036713592483</v>
      </c>
      <c r="M650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650" t="str">
        <f>IF(OR((NHL2025_26Results[[#This Row],[Winning Team]]="")),"-",IF(Table46[[#This Row],[Predicted Winner]]=NHL2025_26Results[[#This Row],[Winning Team]],"YES","NO"))</f>
        <v>-</v>
      </c>
      <c r="O650" t="str">
        <f>IF(OR((NHL2025_26Results[[#This Row],[Winning Team]]="")),"-",IF(Table46[[#This Row],[Prob Winner]]=NHL2025_26Results[[#This Row],[Winning Team]],"YES","NO"))</f>
        <v>-</v>
      </c>
      <c r="P650" t="str">
        <f>IF(Table46[[#This Row],[Locked Prediction]]&lt;&gt;Table46[[#This Row],[Prob Winner]], "Changed", "Same")</f>
        <v>Changed</v>
      </c>
      <c r="Q65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51" spans="4:17" x14ac:dyDescent="0.2">
      <c r="D651" s="1">
        <v>46025</v>
      </c>
      <c r="E651" s="2">
        <v>0.625</v>
      </c>
      <c r="F651" t="s">
        <v>24</v>
      </c>
      <c r="G651">
        <f>VLOOKUP(Table46[[#This Row],[Home]],'NHL Model'!$A$6:$B$38,2,FALSE)</f>
        <v>0.559441163373953</v>
      </c>
      <c r="H651" t="s">
        <v>55</v>
      </c>
      <c r="I651">
        <f>VLOOKUP(Table46[[#This Row],[Visitor]],'NHL Model'!$A$6:$B$38,2,FALSE)</f>
        <v>-0.12212311954851815</v>
      </c>
      <c r="J651">
        <f>($B$1+Table46[[#This Row],[Home Differential]])-Table46[[#This Row],[Away Differential]]</f>
        <v>0.84413659258478957</v>
      </c>
      <c r="K651" t="str">
        <f>IF(Table46[[#This Row],[HomeIce Differential]]&gt;0,Table46[[#This Row],[Home]],Table46[[#This Row],[Visitor]])</f>
        <v>New Jersey Devils</v>
      </c>
      <c r="L65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0.76763250864078059</v>
      </c>
      <c r="M651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651" t="str">
        <f>IF(OR((NHL2025_26Results[[#This Row],[Winning Team]]="")),"-",IF(Table46[[#This Row],[Predicted Winner]]=NHL2025_26Results[[#This Row],[Winning Team]],"YES","NO"))</f>
        <v>-</v>
      </c>
      <c r="O651" t="str">
        <f>IF(OR((NHL2025_26Results[[#This Row],[Winning Team]]="")),"-",IF(Table46[[#This Row],[Prob Winner]]=NHL2025_26Results[[#This Row],[Winning Team]],"YES","NO"))</f>
        <v>-</v>
      </c>
      <c r="P651" t="str">
        <f>IF(Table46[[#This Row],[Locked Prediction]]&lt;&gt;Table46[[#This Row],[Prob Winner]], "Changed", "Same")</f>
        <v>Changed</v>
      </c>
      <c r="Q65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52" spans="4:17" x14ac:dyDescent="0.2">
      <c r="D652" s="1">
        <v>46025</v>
      </c>
      <c r="E652" s="2">
        <v>0.79166666666666663</v>
      </c>
      <c r="F652" t="s">
        <v>30</v>
      </c>
      <c r="G652">
        <f>VLOOKUP(Table46[[#This Row],[Home]],'NHL Model'!$A$6:$B$38,2,FALSE)</f>
        <v>-6.4729560818359025E-2</v>
      </c>
      <c r="H652" t="s">
        <v>19</v>
      </c>
      <c r="I652">
        <f>VLOOKUP(Table46[[#This Row],[Visitor]],'NHL Model'!$A$6:$B$38,2,FALSE)</f>
        <v>-0.635565543477981</v>
      </c>
      <c r="J652">
        <f>($B$1+Table46[[#This Row],[Home Differential]])-Table46[[#This Row],[Away Differential]]</f>
        <v>0.73340829232194038</v>
      </c>
      <c r="K652" t="str">
        <f>IF(Table46[[#This Row],[HomeIce Differential]]&gt;0,Table46[[#This Row],[Home]],Table46[[#This Row],[Visitor]])</f>
        <v>New York Islanders</v>
      </c>
      <c r="L65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0.63748390139499256</v>
      </c>
      <c r="M652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652" t="str">
        <f>IF(OR((NHL2025_26Results[[#This Row],[Winning Team]]="")),"-",IF(Table46[[#This Row],[Predicted Winner]]=NHL2025_26Results[[#This Row],[Winning Team]],"YES","NO"))</f>
        <v>-</v>
      </c>
      <c r="O652" t="str">
        <f>IF(OR((NHL2025_26Results[[#This Row],[Winning Team]]="")),"-",IF(Table46[[#This Row],[Prob Winner]]=NHL2025_26Results[[#This Row],[Winning Team]],"YES","NO"))</f>
        <v>-</v>
      </c>
      <c r="P652" t="str">
        <f>IF(Table46[[#This Row],[Locked Prediction]]&lt;&gt;Table46[[#This Row],[Prob Winner]], "Changed", "Same")</f>
        <v>Changed</v>
      </c>
      <c r="Q65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53" spans="4:17" x14ac:dyDescent="0.2">
      <c r="D653" s="1">
        <v>46025</v>
      </c>
      <c r="E653" s="2">
        <v>0.79166666666666663</v>
      </c>
      <c r="F653" t="s">
        <v>36</v>
      </c>
      <c r="G653">
        <f>VLOOKUP(Table46[[#This Row],[Home]],'NHL Model'!$A$6:$B$38,2,FALSE)</f>
        <v>-0.40651947573390851</v>
      </c>
      <c r="H653" t="s">
        <v>40</v>
      </c>
      <c r="I653">
        <f>VLOOKUP(Table46[[#This Row],[Visitor]],'NHL Model'!$A$6:$B$38,2,FALSE)</f>
        <v>0.105105258369765</v>
      </c>
      <c r="J653">
        <f>($B$1+Table46[[#This Row],[Home Differential]])-Table46[[#This Row],[Away Differential]]</f>
        <v>-0.34905242444135509</v>
      </c>
      <c r="K653" t="str">
        <f>IF(Table46[[#This Row],[HomeIce Differential]]&gt;0,Table46[[#This Row],[Home]],Table46[[#This Row],[Visitor]])</f>
        <v>Winnipeg Jets</v>
      </c>
      <c r="L65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0.57020522519734973</v>
      </c>
      <c r="M653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653" t="str">
        <f>IF(OR((NHL2025_26Results[[#This Row],[Winning Team]]="")),"-",IF(Table46[[#This Row],[Predicted Winner]]=NHL2025_26Results[[#This Row],[Winning Team]],"YES","NO"))</f>
        <v>-</v>
      </c>
      <c r="O653" t="str">
        <f>IF(OR((NHL2025_26Results[[#This Row],[Winning Team]]="")),"-",IF(Table46[[#This Row],[Prob Winner]]=NHL2025_26Results[[#This Row],[Winning Team]],"YES","NO"))</f>
        <v>-</v>
      </c>
      <c r="P653" t="str">
        <f>IF(Table46[[#This Row],[Locked Prediction]]&lt;&gt;Table46[[#This Row],[Prob Winner]], "Changed", "Same")</f>
        <v>Changed</v>
      </c>
      <c r="Q65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54" spans="4:17" x14ac:dyDescent="0.2">
      <c r="D654" s="1">
        <v>46025</v>
      </c>
      <c r="E654" s="2">
        <v>0.66666666666666663</v>
      </c>
      <c r="F654" t="s">
        <v>33</v>
      </c>
      <c r="G654">
        <f>VLOOKUP(Table46[[#This Row],[Home]],'NHL Model'!$A$6:$B$38,2,FALSE)</f>
        <v>-0.39418177254008485</v>
      </c>
      <c r="H654" t="s">
        <v>37</v>
      </c>
      <c r="I654">
        <f>VLOOKUP(Table46[[#This Row],[Visitor]],'NHL Model'!$A$6:$B$38,2,FALSE)</f>
        <v>-0.11309445867623392</v>
      </c>
      <c r="J654">
        <f>($B$1+Table46[[#This Row],[Home Differential]])-Table46[[#This Row],[Away Differential]]</f>
        <v>-0.11851500420153253</v>
      </c>
      <c r="K654" t="str">
        <f>IF(Table46[[#This Row],[HomeIce Differential]]&gt;0,Table46[[#This Row],[Home]],Table46[[#This Row],[Visitor]])</f>
        <v>Tampa Bay Lightning</v>
      </c>
      <c r="L65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0.52285228806556705</v>
      </c>
      <c r="M654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654" t="str">
        <f>IF(OR((NHL2025_26Results[[#This Row],[Winning Team]]="")),"-",IF(Table46[[#This Row],[Predicted Winner]]=NHL2025_26Results[[#This Row],[Winning Team]],"YES","NO"))</f>
        <v>-</v>
      </c>
      <c r="O654" t="str">
        <f>IF(OR((NHL2025_26Results[[#This Row],[Winning Team]]="")),"-",IF(Table46[[#This Row],[Prob Winner]]=NHL2025_26Results[[#This Row],[Winning Team]],"YES","NO"))</f>
        <v>-</v>
      </c>
      <c r="P654" t="str">
        <f>IF(Table46[[#This Row],[Locked Prediction]]&lt;&gt;Table46[[#This Row],[Prob Winner]], "Changed", "Same")</f>
        <v>Changed</v>
      </c>
      <c r="Q65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55" spans="4:17" x14ac:dyDescent="0.2">
      <c r="D655" s="1">
        <v>46025</v>
      </c>
      <c r="E655" s="2">
        <v>0.66666666666666663</v>
      </c>
      <c r="F655" t="s">
        <v>35</v>
      </c>
      <c r="G655">
        <f>VLOOKUP(Table46[[#This Row],[Home]],'NHL Model'!$A$6:$B$38,2,FALSE)</f>
        <v>-1.6211574240381006</v>
      </c>
      <c r="H655" t="s">
        <v>18</v>
      </c>
      <c r="I655">
        <f>VLOOKUP(Table46[[#This Row],[Visitor]],'NHL Model'!$A$6:$B$38,2,FALSE)</f>
        <v>-0.52437726201848234</v>
      </c>
      <c r="J655">
        <f>($B$1+Table46[[#This Row],[Home Differential]])-Table46[[#This Row],[Away Differential]]</f>
        <v>-0.93420785235729986</v>
      </c>
      <c r="K655" t="str">
        <f>IF(Table46[[#This Row],[HomeIce Differential]]&gt;0,Table46[[#This Row],[Home]],Table46[[#This Row],[Visitor]])</f>
        <v>Montreal Canadiens</v>
      </c>
      <c r="L65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0.66065466606671774</v>
      </c>
      <c r="M655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655" t="str">
        <f>IF(OR((NHL2025_26Results[[#This Row],[Winning Team]]="")),"-",IF(Table46[[#This Row],[Predicted Winner]]=NHL2025_26Results[[#This Row],[Winning Team]],"YES","NO"))</f>
        <v>-</v>
      </c>
      <c r="O655" t="str">
        <f>IF(OR((NHL2025_26Results[[#This Row],[Winning Team]]="")),"-",IF(Table46[[#This Row],[Prob Winner]]=NHL2025_26Results[[#This Row],[Winning Team]],"YES","NO"))</f>
        <v>-</v>
      </c>
      <c r="P655" t="str">
        <f>IF(Table46[[#This Row],[Locked Prediction]]&lt;&gt;Table46[[#This Row],[Prob Winner]], "Changed", "Same")</f>
        <v>Changed</v>
      </c>
      <c r="Q65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56" spans="4:17" x14ac:dyDescent="0.2">
      <c r="D656" s="1">
        <v>46025</v>
      </c>
      <c r="E656" s="2">
        <v>0.91666666666666663</v>
      </c>
      <c r="F656" t="s">
        <v>38</v>
      </c>
      <c r="G656">
        <f>VLOOKUP(Table46[[#This Row],[Home]],'NHL Model'!$A$6:$B$38,2,FALSE)</f>
        <v>-0.6902088310934803</v>
      </c>
      <c r="H656" t="s">
        <v>21</v>
      </c>
      <c r="I656">
        <f>VLOOKUP(Table46[[#This Row],[Visitor]],'NHL Model'!$A$6:$B$38,2,FALSE)</f>
        <v>4.029141914856392E-2</v>
      </c>
      <c r="J656">
        <f>($B$1+Table46[[#This Row],[Home Differential]])-Table46[[#This Row],[Away Differential]]</f>
        <v>-0.56792794057972584</v>
      </c>
      <c r="K656" t="str">
        <f>IF(Table46[[#This Row],[HomeIce Differential]]&gt;0,Table46[[#This Row],[Home]],Table46[[#This Row],[Visitor]])</f>
        <v>Boston Bruins</v>
      </c>
      <c r="L65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0.53548841748660303</v>
      </c>
      <c r="M656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656" t="str">
        <f>IF(OR((NHL2025_26Results[[#This Row],[Winning Team]]="")),"-",IF(Table46[[#This Row],[Predicted Winner]]=NHL2025_26Results[[#This Row],[Winning Team]],"YES","NO"))</f>
        <v>-</v>
      </c>
      <c r="O656" t="str">
        <f>IF(OR((NHL2025_26Results[[#This Row],[Winning Team]]="")),"-",IF(Table46[[#This Row],[Prob Winner]]=NHL2025_26Results[[#This Row],[Winning Team]],"YES","NO"))</f>
        <v>-</v>
      </c>
      <c r="P656" t="str">
        <f>IF(Table46[[#This Row],[Locked Prediction]]&lt;&gt;Table46[[#This Row],[Prob Winner]], "Changed", "Same")</f>
        <v>Changed</v>
      </c>
      <c r="Q65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57" spans="4:17" x14ac:dyDescent="0.2">
      <c r="D657" s="1">
        <v>46025</v>
      </c>
      <c r="E657" s="2">
        <v>0.79166666666666663</v>
      </c>
      <c r="F657" t="s">
        <v>22</v>
      </c>
      <c r="G657">
        <f>VLOOKUP(Table46[[#This Row],[Home]],'NHL Model'!$A$6:$B$38,2,FALSE)</f>
        <v>-6.1308839486784707E-2</v>
      </c>
      <c r="H657" t="s">
        <v>10</v>
      </c>
      <c r="I657">
        <f>VLOOKUP(Table46[[#This Row],[Visitor]],'NHL Model'!$A$6:$B$38,2,FALSE)</f>
        <v>0.30570968833820172</v>
      </c>
      <c r="J657">
        <f>($B$1+Table46[[#This Row],[Home Differential]])-Table46[[#This Row],[Away Differential]]</f>
        <v>-0.20444621816266803</v>
      </c>
      <c r="K657" t="str">
        <f>IF(Table46[[#This Row],[HomeIce Differential]]&gt;0,Table46[[#This Row],[Home]],Table46[[#This Row],[Visitor]])</f>
        <v>Chicago Blackhawks</v>
      </c>
      <c r="L65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0.50794401892011243</v>
      </c>
      <c r="M657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657" t="str">
        <f>IF(OR((NHL2025_26Results[[#This Row],[Winning Team]]="")),"-",IF(Table46[[#This Row],[Predicted Winner]]=NHL2025_26Results[[#This Row],[Winning Team]],"YES","NO"))</f>
        <v>-</v>
      </c>
      <c r="O657" t="str">
        <f>IF(OR((NHL2025_26Results[[#This Row],[Winning Team]]="")),"-",IF(Table46[[#This Row],[Prob Winner]]=NHL2025_26Results[[#This Row],[Winning Team]],"YES","NO"))</f>
        <v>-</v>
      </c>
      <c r="P657" t="str">
        <f>IF(Table46[[#This Row],[Locked Prediction]]&lt;&gt;Table46[[#This Row],[Prob Winner]], "Changed", "Same")</f>
        <v>Changed</v>
      </c>
      <c r="Q65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58" spans="4:17" x14ac:dyDescent="0.2">
      <c r="D658" s="1">
        <v>46026</v>
      </c>
      <c r="E658" s="2">
        <v>0.625</v>
      </c>
      <c r="F658" t="s">
        <v>28</v>
      </c>
      <c r="G658">
        <f>VLOOKUP(Table46[[#This Row],[Home]],'NHL Model'!$A$6:$B$38,2,FALSE)</f>
        <v>-0.40822279081308277</v>
      </c>
      <c r="H658" t="s">
        <v>14</v>
      </c>
      <c r="I658">
        <f>VLOOKUP(Table46[[#This Row],[Visitor]],'NHL Model'!$A$6:$B$38,2,FALSE)</f>
        <v>0.26289091192875702</v>
      </c>
      <c r="J658">
        <f>($B$1+Table46[[#This Row],[Home Differential]])-Table46[[#This Row],[Away Differential]]</f>
        <v>-0.5085413930795214</v>
      </c>
      <c r="K658" t="str">
        <f>IF(Table46[[#This Row],[HomeIce Differential]]&gt;0,Table46[[#This Row],[Home]],Table46[[#This Row],[Visitor]])</f>
        <v>Pittsburgh Penguins</v>
      </c>
      <c r="L65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0.5275948166079294</v>
      </c>
      <c r="M658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658" t="str">
        <f>IF(OR((NHL2025_26Results[[#This Row],[Winning Team]]="")),"-",IF(Table46[[#This Row],[Predicted Winner]]=NHL2025_26Results[[#This Row],[Winning Team]],"YES","NO"))</f>
        <v>-</v>
      </c>
      <c r="O658" t="str">
        <f>IF(OR((NHL2025_26Results[[#This Row],[Winning Team]]="")),"-",IF(Table46[[#This Row],[Prob Winner]]=NHL2025_26Results[[#This Row],[Winning Team]],"YES","NO"))</f>
        <v>-</v>
      </c>
      <c r="P658" t="str">
        <f>IF(Table46[[#This Row],[Locked Prediction]]&lt;&gt;Table46[[#This Row],[Prob Winner]], "Changed", "Same")</f>
        <v>Changed</v>
      </c>
      <c r="Q65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59" spans="4:17" x14ac:dyDescent="0.2">
      <c r="D659" s="1">
        <v>46026</v>
      </c>
      <c r="E659" s="2">
        <v>0.79166666666666663</v>
      </c>
      <c r="F659" t="s">
        <v>10</v>
      </c>
      <c r="G659">
        <f>VLOOKUP(Table46[[#This Row],[Home]],'NHL Model'!$A$6:$B$38,2,FALSE)</f>
        <v>0.30570968833820172</v>
      </c>
      <c r="H659" t="s">
        <v>20</v>
      </c>
      <c r="I659">
        <f>VLOOKUP(Table46[[#This Row],[Visitor]],'NHL Model'!$A$6:$B$38,2,FALSE)</f>
        <v>-6.3745791019188943E-4</v>
      </c>
      <c r="J659">
        <f>($B$1+Table46[[#This Row],[Home Differential]])-Table46[[#This Row],[Away Differential]]</f>
        <v>0.46891945591071199</v>
      </c>
      <c r="K659" t="str">
        <f>IF(Table46[[#This Row],[HomeIce Differential]]&gt;0,Table46[[#This Row],[Home]],Table46[[#This Row],[Visitor]])</f>
        <v>Chicago Blackhawks</v>
      </c>
      <c r="L65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0.58155907732430168</v>
      </c>
      <c r="M659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659" t="str">
        <f>IF(OR((NHL2025_26Results[[#This Row],[Winning Team]]="")),"-",IF(Table46[[#This Row],[Predicted Winner]]=NHL2025_26Results[[#This Row],[Winning Team]],"YES","NO"))</f>
        <v>-</v>
      </c>
      <c r="O659" t="str">
        <f>IF(OR((NHL2025_26Results[[#This Row],[Winning Team]]="")),"-",IF(Table46[[#This Row],[Prob Winner]]=NHL2025_26Results[[#This Row],[Winning Team]],"YES","NO"))</f>
        <v>-</v>
      </c>
      <c r="P659" t="str">
        <f>IF(Table46[[#This Row],[Locked Prediction]]&lt;&gt;Table46[[#This Row],[Prob Winner]], "Changed", "Same")</f>
        <v>Changed</v>
      </c>
      <c r="Q65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60" spans="4:17" x14ac:dyDescent="0.2">
      <c r="D660" s="1">
        <v>46026</v>
      </c>
      <c r="E660" s="2">
        <v>0.58333333333333337</v>
      </c>
      <c r="F660" t="s">
        <v>39</v>
      </c>
      <c r="G660">
        <f>VLOOKUP(Table46[[#This Row],[Home]],'NHL Model'!$A$6:$B$38,2,FALSE)</f>
        <v>0.19809534061227302</v>
      </c>
      <c r="H660" t="s">
        <v>18</v>
      </c>
      <c r="I660">
        <f>VLOOKUP(Table46[[#This Row],[Visitor]],'NHL Model'!$A$6:$B$38,2,FALSE)</f>
        <v>-0.52437726201848234</v>
      </c>
      <c r="J660">
        <f>($B$1+Table46[[#This Row],[Home Differential]])-Table46[[#This Row],[Away Differential]]</f>
        <v>0.88504491229307369</v>
      </c>
      <c r="K660" t="str">
        <f>IF(Table46[[#This Row],[HomeIce Differential]]&gt;0,Table46[[#This Row],[Home]],Table46[[#This Row],[Visitor]])</f>
        <v>Dallas Stars</v>
      </c>
      <c r="L66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0.60743520860084887</v>
      </c>
      <c r="M660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660" t="str">
        <f>IF(OR((NHL2025_26Results[[#This Row],[Winning Team]]="")),"-",IF(Table46[[#This Row],[Predicted Winner]]=NHL2025_26Results[[#This Row],[Winning Team]],"YES","NO"))</f>
        <v>-</v>
      </c>
      <c r="O660" t="str">
        <f>IF(OR((NHL2025_26Results[[#This Row],[Winning Team]]="")),"-",IF(Table46[[#This Row],[Prob Winner]]=NHL2025_26Results[[#This Row],[Winning Team]],"YES","NO"))</f>
        <v>-</v>
      </c>
      <c r="P660" t="str">
        <f>IF(Table46[[#This Row],[Locked Prediction]]&lt;&gt;Table46[[#This Row],[Prob Winner]], "Changed", "Same")</f>
        <v>Changed</v>
      </c>
      <c r="Q66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61" spans="4:17" x14ac:dyDescent="0.2">
      <c r="D661" s="1">
        <v>46026</v>
      </c>
      <c r="E661" s="2">
        <v>0.70833333333333337</v>
      </c>
      <c r="F661" t="s">
        <v>11</v>
      </c>
      <c r="G661">
        <f>VLOOKUP(Table46[[#This Row],[Home]],'NHL Model'!$A$6:$B$38,2,FALSE)</f>
        <v>-0.28105923893144158</v>
      </c>
      <c r="H661" t="s">
        <v>12</v>
      </c>
      <c r="I661">
        <f>VLOOKUP(Table46[[#This Row],[Visitor]],'NHL Model'!$A$6:$B$38,2,FALSE)</f>
        <v>1.5475013591489768</v>
      </c>
      <c r="J661">
        <f>($B$1+Table46[[#This Row],[Home Differential]])-Table46[[#This Row],[Away Differential]]</f>
        <v>-1.6659882884181001</v>
      </c>
      <c r="K661" t="str">
        <f>IF(Table46[[#This Row],[HomeIce Differential]]&gt;0,Table46[[#This Row],[Home]],Table46[[#This Row],[Visitor]])</f>
        <v>Colorado Avalanche</v>
      </c>
      <c r="L66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0.69512571825618963</v>
      </c>
      <c r="M661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661" t="str">
        <f>IF(OR((NHL2025_26Results[[#This Row],[Winning Team]]="")),"-",IF(Table46[[#This Row],[Predicted Winner]]=NHL2025_26Results[[#This Row],[Winning Team]],"YES","NO"))</f>
        <v>-</v>
      </c>
      <c r="O661" t="str">
        <f>IF(OR((NHL2025_26Results[[#This Row],[Winning Team]]="")),"-",IF(Table46[[#This Row],[Prob Winner]]=NHL2025_26Results[[#This Row],[Winning Team]],"YES","NO"))</f>
        <v>-</v>
      </c>
      <c r="P661" t="str">
        <f>IF(Table46[[#This Row],[Locked Prediction]]&lt;&gt;Table46[[#This Row],[Prob Winner]], "Changed", "Same")</f>
        <v>Changed</v>
      </c>
      <c r="Q66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62" spans="4:17" x14ac:dyDescent="0.2">
      <c r="D662" s="1">
        <v>46026</v>
      </c>
      <c r="E662" s="2">
        <v>0.79166666666666663</v>
      </c>
      <c r="F662" t="s">
        <v>24</v>
      </c>
      <c r="G662">
        <f>VLOOKUP(Table46[[#This Row],[Home]],'NHL Model'!$A$6:$B$38,2,FALSE)</f>
        <v>0.559441163373953</v>
      </c>
      <c r="H662" t="s">
        <v>25</v>
      </c>
      <c r="I662">
        <f>VLOOKUP(Table46[[#This Row],[Visitor]],'NHL Model'!$A$6:$B$38,2,FALSE)</f>
        <v>0.67193921242367816</v>
      </c>
      <c r="J662">
        <f>($B$1+Table46[[#This Row],[Home Differential]])-Table46[[#This Row],[Away Differential]]</f>
        <v>5.0074260612593235E-2</v>
      </c>
      <c r="K662" t="str">
        <f>IF(Table46[[#This Row],[HomeIce Differential]]&gt;0,Table46[[#This Row],[Home]],Table46[[#This Row],[Visitor]])</f>
        <v>New Jersey Devils</v>
      </c>
      <c r="L66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0.57422338852717358</v>
      </c>
      <c r="M662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662" t="str">
        <f>IF(OR((NHL2025_26Results[[#This Row],[Winning Team]]="")),"-",IF(Table46[[#This Row],[Predicted Winner]]=NHL2025_26Results[[#This Row],[Winning Team]],"YES","NO"))</f>
        <v>-</v>
      </c>
      <c r="O662" t="str">
        <f>IF(OR((NHL2025_26Results[[#This Row],[Winning Team]]="")),"-",IF(Table46[[#This Row],[Prob Winner]]=NHL2025_26Results[[#This Row],[Winning Team]],"YES","NO"))</f>
        <v>-</v>
      </c>
      <c r="P662" t="str">
        <f>IF(Table46[[#This Row],[Locked Prediction]]&lt;&gt;Table46[[#This Row],[Prob Winner]], "Changed", "Same")</f>
        <v>Changed</v>
      </c>
      <c r="Q66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63" spans="4:17" x14ac:dyDescent="0.2">
      <c r="D663" s="1">
        <v>46027</v>
      </c>
      <c r="E663" s="2">
        <v>0.89583333333333337</v>
      </c>
      <c r="F663" t="s">
        <v>16</v>
      </c>
      <c r="G663">
        <f>VLOOKUP(Table46[[#This Row],[Home]],'NHL Model'!$A$6:$B$38,2,FALSE)</f>
        <v>-1.3903684122795328</v>
      </c>
      <c r="H663" t="s">
        <v>32</v>
      </c>
      <c r="I663">
        <f>VLOOKUP(Table46[[#This Row],[Visitor]],'NHL Model'!$A$6:$B$38,2,FALSE)</f>
        <v>-0.361361309178443</v>
      </c>
      <c r="J663">
        <f>($B$1+Table46[[#This Row],[Home Differential]])-Table46[[#This Row],[Away Differential]]</f>
        <v>-0.86643479343877139</v>
      </c>
      <c r="K663" t="str">
        <f>IF(Table46[[#This Row],[HomeIce Differential]]&gt;0,Table46[[#This Row],[Home]],Table46[[#This Row],[Visitor]])</f>
        <v>Seattle Kraken</v>
      </c>
      <c r="L66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0.57516565172909095</v>
      </c>
      <c r="M663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663" t="str">
        <f>IF(OR((NHL2025_26Results[[#This Row],[Winning Team]]="")),"-",IF(Table46[[#This Row],[Predicted Winner]]=NHL2025_26Results[[#This Row],[Winning Team]],"YES","NO"))</f>
        <v>-</v>
      </c>
      <c r="O663" t="str">
        <f>IF(OR((NHL2025_26Results[[#This Row],[Winning Team]]="")),"-",IF(Table46[[#This Row],[Prob Winner]]=NHL2025_26Results[[#This Row],[Winning Team]],"YES","NO"))</f>
        <v>-</v>
      </c>
      <c r="P663" t="str">
        <f>IF(Table46[[#This Row],[Locked Prediction]]&lt;&gt;Table46[[#This Row],[Prob Winner]], "Changed", "Same")</f>
        <v>Changed</v>
      </c>
      <c r="Q66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64" spans="4:17" x14ac:dyDescent="0.2">
      <c r="D664" s="1">
        <v>46027</v>
      </c>
      <c r="E664" s="2">
        <v>0.9375</v>
      </c>
      <c r="F664" t="s">
        <v>13</v>
      </c>
      <c r="G664">
        <f>VLOOKUP(Table46[[#This Row],[Home]],'NHL Model'!$A$6:$B$38,2,FALSE)</f>
        <v>-7.5459708298993802E-2</v>
      </c>
      <c r="H664" t="s">
        <v>34</v>
      </c>
      <c r="I664">
        <f>VLOOKUP(Table46[[#This Row],[Visitor]],'NHL Model'!$A$6:$B$38,2,FALSE)</f>
        <v>-0.53650300840565446</v>
      </c>
      <c r="J664">
        <f>($B$1+Table46[[#This Row],[Home Differential]])-Table46[[#This Row],[Away Differential]]</f>
        <v>0.62361560976897901</v>
      </c>
      <c r="K664" t="str">
        <f>IF(Table46[[#This Row],[HomeIce Differential]]&gt;0,Table46[[#This Row],[Home]],Table46[[#This Row],[Visitor]])</f>
        <v>Los Angeles Kings</v>
      </c>
      <c r="L66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0.62289036713592483</v>
      </c>
      <c r="M664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664" t="str">
        <f>IF(OR((NHL2025_26Results[[#This Row],[Winning Team]]="")),"-",IF(Table46[[#This Row],[Predicted Winner]]=NHL2025_26Results[[#This Row],[Winning Team]],"YES","NO"))</f>
        <v>-</v>
      </c>
      <c r="O664" t="str">
        <f>IF(OR((NHL2025_26Results[[#This Row],[Winning Team]]="")),"-",IF(Table46[[#This Row],[Prob Winner]]=NHL2025_26Results[[#This Row],[Winning Team]],"YES","NO"))</f>
        <v>-</v>
      </c>
      <c r="P664" t="str">
        <f>IF(Table46[[#This Row],[Locked Prediction]]&lt;&gt;Table46[[#This Row],[Prob Winner]], "Changed", "Same")</f>
        <v>Changed</v>
      </c>
      <c r="Q66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65" spans="4:17" x14ac:dyDescent="0.2">
      <c r="D665" s="1">
        <v>46027</v>
      </c>
      <c r="E665" s="2">
        <v>0.79166666666666663</v>
      </c>
      <c r="F665" t="s">
        <v>15</v>
      </c>
      <c r="G665">
        <f>VLOOKUP(Table46[[#This Row],[Home]],'NHL Model'!$A$6:$B$38,2,FALSE)</f>
        <v>-0.30719665303039001</v>
      </c>
      <c r="H665" t="s">
        <v>55</v>
      </c>
      <c r="I665">
        <f>VLOOKUP(Table46[[#This Row],[Visitor]],'NHL Model'!$A$6:$B$38,2,FALSE)</f>
        <v>-0.12212311954851815</v>
      </c>
      <c r="J665">
        <f>($B$1+Table46[[#This Row],[Home Differential]])-Table46[[#This Row],[Away Differential]]</f>
        <v>-2.2501223819553468E-2</v>
      </c>
      <c r="K665" t="str">
        <f>IF(Table46[[#This Row],[HomeIce Differential]]&gt;0,Table46[[#This Row],[Home]],Table46[[#This Row],[Visitor]])</f>
        <v>Utah Mammoth</v>
      </c>
      <c r="L66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0.46299084030962817</v>
      </c>
      <c r="M665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665" t="str">
        <f>IF(OR((NHL2025_26Results[[#This Row],[Winning Team]]="")),"-",IF(Table46[[#This Row],[Predicted Winner]]=NHL2025_26Results[[#This Row],[Winning Team]],"YES","NO"))</f>
        <v>-</v>
      </c>
      <c r="O665" t="str">
        <f>IF(OR((NHL2025_26Results[[#This Row],[Winning Team]]="")),"-",IF(Table46[[#This Row],[Prob Winner]]=NHL2025_26Results[[#This Row],[Winning Team]],"YES","NO"))</f>
        <v>-</v>
      </c>
      <c r="P665" t="str">
        <f>IF(Table46[[#This Row],[Locked Prediction]]&lt;&gt;Table46[[#This Row],[Prob Winner]], "Changed", "Same")</f>
        <v>Changed</v>
      </c>
      <c r="Q66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66" spans="4:17" x14ac:dyDescent="0.2">
      <c r="D666" s="1">
        <v>46027</v>
      </c>
      <c r="E666" s="2">
        <v>0.8125</v>
      </c>
      <c r="F666" t="s">
        <v>36</v>
      </c>
      <c r="G666">
        <f>VLOOKUP(Table46[[#This Row],[Home]],'NHL Model'!$A$6:$B$38,2,FALSE)</f>
        <v>-0.40651947573390851</v>
      </c>
      <c r="H666" t="s">
        <v>26</v>
      </c>
      <c r="I666">
        <f>VLOOKUP(Table46[[#This Row],[Visitor]],'NHL Model'!$A$6:$B$38,2,FALSE)</f>
        <v>-0.513643833119658</v>
      </c>
      <c r="J666">
        <f>($B$1+Table46[[#This Row],[Home Differential]])-Table46[[#This Row],[Away Differential]]</f>
        <v>0.26969666704806788</v>
      </c>
      <c r="K666" t="str">
        <f>IF(Table46[[#This Row],[HomeIce Differential]]&gt;0,Table46[[#This Row],[Home]],Table46[[#This Row],[Visitor]])</f>
        <v>Ottawa Senators</v>
      </c>
      <c r="L66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0.5312606570111531</v>
      </c>
      <c r="M666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666" t="str">
        <f>IF(OR((NHL2025_26Results[[#This Row],[Winning Team]]="")),"-",IF(Table46[[#This Row],[Predicted Winner]]=NHL2025_26Results[[#This Row],[Winning Team]],"YES","NO"))</f>
        <v>-</v>
      </c>
      <c r="O666" t="str">
        <f>IF(OR((NHL2025_26Results[[#This Row],[Winning Team]]="")),"-",IF(Table46[[#This Row],[Prob Winner]]=NHL2025_26Results[[#This Row],[Winning Team]],"YES","NO"))</f>
        <v>-</v>
      </c>
      <c r="P666" t="str">
        <f>IF(Table46[[#This Row],[Locked Prediction]]&lt;&gt;Table46[[#This Row],[Prob Winner]], "Changed", "Same")</f>
        <v>Changed</v>
      </c>
      <c r="Q66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67" spans="4:17" x14ac:dyDescent="0.2">
      <c r="D667" s="1">
        <v>46027</v>
      </c>
      <c r="E667" s="2">
        <v>0.79166666666666663</v>
      </c>
      <c r="F667" t="s">
        <v>22</v>
      </c>
      <c r="G667">
        <f>VLOOKUP(Table46[[#This Row],[Home]],'NHL Model'!$A$6:$B$38,2,FALSE)</f>
        <v>-6.1308839486784707E-2</v>
      </c>
      <c r="H667" t="s">
        <v>31</v>
      </c>
      <c r="I667">
        <f>VLOOKUP(Table46[[#This Row],[Visitor]],'NHL Model'!$A$6:$B$38,2,FALSE)</f>
        <v>0.51775546328552802</v>
      </c>
      <c r="J667">
        <f>($B$1+Table46[[#This Row],[Home Differential]])-Table46[[#This Row],[Away Differential]]</f>
        <v>-0.4164919931099943</v>
      </c>
      <c r="K667" t="str">
        <f>IF(Table46[[#This Row],[HomeIce Differential]]&gt;0,Table46[[#This Row],[Home]],Table46[[#This Row],[Visitor]])</f>
        <v>Anaheim Ducks</v>
      </c>
      <c r="L66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0.5361289326067934</v>
      </c>
      <c r="M667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667" t="str">
        <f>IF(OR((NHL2025_26Results[[#This Row],[Winning Team]]="")),"-",IF(Table46[[#This Row],[Predicted Winner]]=NHL2025_26Results[[#This Row],[Winning Team]],"YES","NO"))</f>
        <v>-</v>
      </c>
      <c r="O667" t="str">
        <f>IF(OR((NHL2025_26Results[[#This Row],[Winning Team]]="")),"-",IF(Table46[[#This Row],[Prob Winner]]=NHL2025_26Results[[#This Row],[Winning Team]],"YES","NO"))</f>
        <v>-</v>
      </c>
      <c r="P667" t="str">
        <f>IF(Table46[[#This Row],[Locked Prediction]]&lt;&gt;Table46[[#This Row],[Prob Winner]], "Changed", "Same")</f>
        <v>Changed</v>
      </c>
      <c r="Q66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68" spans="4:17" x14ac:dyDescent="0.2">
      <c r="D668" s="1">
        <v>46028</v>
      </c>
      <c r="E668" s="2">
        <v>0.79166666666666663</v>
      </c>
      <c r="F668" t="s">
        <v>23</v>
      </c>
      <c r="G668">
        <f>VLOOKUP(Table46[[#This Row],[Home]],'NHL Model'!$A$6:$B$38,2,FALSE)</f>
        <v>-0.8683412362501769</v>
      </c>
      <c r="H668" t="s">
        <v>38</v>
      </c>
      <c r="I668">
        <f>VLOOKUP(Table46[[#This Row],[Visitor]],'NHL Model'!$A$6:$B$38,2,FALSE)</f>
        <v>-0.6902088310934803</v>
      </c>
      <c r="J668">
        <f>($B$1+Table46[[#This Row],[Home Differential]])-Table46[[#This Row],[Away Differential]]</f>
        <v>-1.5560095494378201E-2</v>
      </c>
      <c r="K668" t="str">
        <f>IF(Table46[[#This Row],[HomeIce Differential]]&gt;0,Table46[[#This Row],[Home]],Table46[[#This Row],[Visitor]])</f>
        <v>Vancouver Canucks</v>
      </c>
      <c r="L66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0.50458079524442412</v>
      </c>
      <c r="M668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668" t="str">
        <f>IF(OR((NHL2025_26Results[[#This Row],[Winning Team]]="")),"-",IF(Table46[[#This Row],[Predicted Winner]]=NHL2025_26Results[[#This Row],[Winning Team]],"YES","NO"))</f>
        <v>-</v>
      </c>
      <c r="O668" t="str">
        <f>IF(OR((NHL2025_26Results[[#This Row],[Winning Team]]="")),"-",IF(Table46[[#This Row],[Prob Winner]]=NHL2025_26Results[[#This Row],[Winning Team]],"YES","NO"))</f>
        <v>-</v>
      </c>
      <c r="P668" t="str">
        <f>IF(Table46[[#This Row],[Locked Prediction]]&lt;&gt;Table46[[#This Row],[Prob Winner]], "Changed", "Same")</f>
        <v>Changed</v>
      </c>
      <c r="Q66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69" spans="4:17" x14ac:dyDescent="0.2">
      <c r="D669" s="1">
        <v>46028</v>
      </c>
      <c r="E669" s="2">
        <v>0.79166666666666663</v>
      </c>
      <c r="F669" t="s">
        <v>25</v>
      </c>
      <c r="G669">
        <f>VLOOKUP(Table46[[#This Row],[Home]],'NHL Model'!$A$6:$B$38,2,FALSE)</f>
        <v>0.67193921242367816</v>
      </c>
      <c r="H669" t="s">
        <v>39</v>
      </c>
      <c r="I669">
        <f>VLOOKUP(Table46[[#This Row],[Visitor]],'NHL Model'!$A$6:$B$38,2,FALSE)</f>
        <v>0.19809534061227302</v>
      </c>
      <c r="J669">
        <f>($B$1+Table46[[#This Row],[Home Differential]])-Table46[[#This Row],[Away Differential]]</f>
        <v>0.63641618147372347</v>
      </c>
      <c r="K669" t="str">
        <f>IF(Table46[[#This Row],[HomeIce Differential]]&gt;0,Table46[[#This Row],[Home]],Table46[[#This Row],[Visitor]])</f>
        <v>Carolina Hurricanes</v>
      </c>
      <c r="L66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0.58459180640642205</v>
      </c>
      <c r="M669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669" t="str">
        <f>IF(OR((NHL2025_26Results[[#This Row],[Winning Team]]="")),"-",IF(Table46[[#This Row],[Predicted Winner]]=NHL2025_26Results[[#This Row],[Winning Team]],"YES","NO"))</f>
        <v>-</v>
      </c>
      <c r="O669" t="str">
        <f>IF(OR((NHL2025_26Results[[#This Row],[Winning Team]]="")),"-",IF(Table46[[#This Row],[Prob Winner]]=NHL2025_26Results[[#This Row],[Winning Team]],"YES","NO"))</f>
        <v>-</v>
      </c>
      <c r="P669" t="str">
        <f>IF(Table46[[#This Row],[Locked Prediction]]&lt;&gt;Table46[[#This Row],[Prob Winner]], "Changed", "Same")</f>
        <v>Changed</v>
      </c>
      <c r="Q66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70" spans="4:17" x14ac:dyDescent="0.2">
      <c r="D670" s="1">
        <v>46028</v>
      </c>
      <c r="E670" s="2">
        <v>0.875</v>
      </c>
      <c r="F670" t="s">
        <v>17</v>
      </c>
      <c r="G670">
        <f>VLOOKUP(Table46[[#This Row],[Home]],'NHL Model'!$A$6:$B$38,2,FALSE)</f>
        <v>-0.61980804137564283</v>
      </c>
      <c r="H670" t="s">
        <v>29</v>
      </c>
      <c r="I670">
        <f>VLOOKUP(Table46[[#This Row],[Visitor]],'NHL Model'!$A$6:$B$38,2,FALSE)</f>
        <v>-1.3516250707060606</v>
      </c>
      <c r="J670">
        <f>($B$1+Table46[[#This Row],[Home Differential]])-Table46[[#This Row],[Away Differential]]</f>
        <v>0.8943893389927362</v>
      </c>
      <c r="K670" t="str">
        <f>IF(Table46[[#This Row],[HomeIce Differential]]&gt;0,Table46[[#This Row],[Home]],Table46[[#This Row],[Visitor]])</f>
        <v>Edmonton Oilers</v>
      </c>
      <c r="L67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0.69491820850389585</v>
      </c>
      <c r="M670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670" t="str">
        <f>IF(OR((NHL2025_26Results[[#This Row],[Winning Team]]="")),"-",IF(Table46[[#This Row],[Predicted Winner]]=NHL2025_26Results[[#This Row],[Winning Team]],"YES","NO"))</f>
        <v>-</v>
      </c>
      <c r="O670" t="str">
        <f>IF(OR((NHL2025_26Results[[#This Row],[Winning Team]]="")),"-",IF(Table46[[#This Row],[Prob Winner]]=NHL2025_26Results[[#This Row],[Winning Team]],"YES","NO"))</f>
        <v>-</v>
      </c>
      <c r="P670" t="str">
        <f>IF(Table46[[#This Row],[Locked Prediction]]&lt;&gt;Table46[[#This Row],[Prob Winner]], "Changed", "Same")</f>
        <v>Changed</v>
      </c>
      <c r="Q67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71" spans="4:17" x14ac:dyDescent="0.2">
      <c r="D671" s="1">
        <v>46028</v>
      </c>
      <c r="E671" s="2">
        <v>0.8125</v>
      </c>
      <c r="F671" t="s">
        <v>30</v>
      </c>
      <c r="G671">
        <f>VLOOKUP(Table46[[#This Row],[Home]],'NHL Model'!$A$6:$B$38,2,FALSE)</f>
        <v>-6.4729560818359025E-2</v>
      </c>
      <c r="H671" t="s">
        <v>24</v>
      </c>
      <c r="I671">
        <f>VLOOKUP(Table46[[#This Row],[Visitor]],'NHL Model'!$A$6:$B$38,2,FALSE)</f>
        <v>0.559441163373953</v>
      </c>
      <c r="J671">
        <f>($B$1+Table46[[#This Row],[Home Differential]])-Table46[[#This Row],[Away Differential]]</f>
        <v>-0.46159841452999362</v>
      </c>
      <c r="K671" t="str">
        <f>IF(Table46[[#This Row],[HomeIce Differential]]&gt;0,Table46[[#This Row],[Home]],Table46[[#This Row],[Visitor]])</f>
        <v>New Jersey Devils</v>
      </c>
      <c r="L67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0.58767099202213602</v>
      </c>
      <c r="M671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671" t="str">
        <f>IF(OR((NHL2025_26Results[[#This Row],[Winning Team]]="")),"-",IF(Table46[[#This Row],[Predicted Winner]]=NHL2025_26Results[[#This Row],[Winning Team]],"YES","NO"))</f>
        <v>-</v>
      </c>
      <c r="O671" t="str">
        <f>IF(OR((NHL2025_26Results[[#This Row],[Winning Team]]="")),"-",IF(Table46[[#This Row],[Prob Winner]]=NHL2025_26Results[[#This Row],[Winning Team]],"YES","NO"))</f>
        <v>-</v>
      </c>
      <c r="P671" t="str">
        <f>IF(Table46[[#This Row],[Locked Prediction]]&lt;&gt;Table46[[#This Row],[Prob Winner]], "Changed", "Same")</f>
        <v>Changed</v>
      </c>
      <c r="Q67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72" spans="4:17" x14ac:dyDescent="0.2">
      <c r="D672" s="1">
        <v>46028</v>
      </c>
      <c r="E672" s="2">
        <v>0.79166666666666663</v>
      </c>
      <c r="F672" t="s">
        <v>27</v>
      </c>
      <c r="G672">
        <f>VLOOKUP(Table46[[#This Row],[Home]],'NHL Model'!$A$6:$B$38,2,FALSE)</f>
        <v>-0.51358590497437617</v>
      </c>
      <c r="H672" t="s">
        <v>31</v>
      </c>
      <c r="I672">
        <f>VLOOKUP(Table46[[#This Row],[Visitor]],'NHL Model'!$A$6:$B$38,2,FALSE)</f>
        <v>0.51775546328552802</v>
      </c>
      <c r="J672">
        <f>($B$1+Table46[[#This Row],[Home Differential]])-Table46[[#This Row],[Away Differential]]</f>
        <v>-0.8687690585975858</v>
      </c>
      <c r="K672" t="str">
        <f>IF(Table46[[#This Row],[HomeIce Differential]]&gt;0,Table46[[#This Row],[Home]],Table46[[#This Row],[Visitor]])</f>
        <v>Anaheim Ducks</v>
      </c>
      <c r="L67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0.59373678949955488</v>
      </c>
      <c r="M672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672" t="str">
        <f>IF(OR((NHL2025_26Results[[#This Row],[Winning Team]]="")),"-",IF(Table46[[#This Row],[Predicted Winner]]=NHL2025_26Results[[#This Row],[Winning Team]],"YES","NO"))</f>
        <v>-</v>
      </c>
      <c r="O672" t="str">
        <f>IF(OR((NHL2025_26Results[[#This Row],[Winning Team]]="")),"-",IF(Table46[[#This Row],[Prob Winner]]=NHL2025_26Results[[#This Row],[Winning Team]],"YES","NO"))</f>
        <v>-</v>
      </c>
      <c r="P672" t="str">
        <f>IF(Table46[[#This Row],[Locked Prediction]]&lt;&gt;Table46[[#This Row],[Prob Winner]], "Changed", "Same")</f>
        <v>Changed</v>
      </c>
      <c r="Q67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73" spans="4:17" x14ac:dyDescent="0.2">
      <c r="D673" s="1">
        <v>46028</v>
      </c>
      <c r="E673" s="2">
        <v>0.91666666666666663</v>
      </c>
      <c r="F673" t="s">
        <v>32</v>
      </c>
      <c r="G673">
        <f>VLOOKUP(Table46[[#This Row],[Home]],'NHL Model'!$A$6:$B$38,2,FALSE)</f>
        <v>-0.361361309178443</v>
      </c>
      <c r="H673" t="s">
        <v>21</v>
      </c>
      <c r="I673">
        <f>VLOOKUP(Table46[[#This Row],[Visitor]],'NHL Model'!$A$6:$B$38,2,FALSE)</f>
        <v>4.029141914856392E-2</v>
      </c>
      <c r="J673">
        <f>($B$1+Table46[[#This Row],[Home Differential]])-Table46[[#This Row],[Away Differential]]</f>
        <v>-0.23908041866468854</v>
      </c>
      <c r="K673" t="str">
        <f>IF(Table46[[#This Row],[HomeIce Differential]]&gt;0,Table46[[#This Row],[Home]],Table46[[#This Row],[Visitor]])</f>
        <v>Boston Bruins</v>
      </c>
      <c r="L67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0.46574059581500826</v>
      </c>
      <c r="M673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673" t="str">
        <f>IF(OR((NHL2025_26Results[[#This Row],[Winning Team]]="")),"-",IF(Table46[[#This Row],[Predicted Winner]]=NHL2025_26Results[[#This Row],[Winning Team]],"YES","NO"))</f>
        <v>-</v>
      </c>
      <c r="O673" t="str">
        <f>IF(OR((NHL2025_26Results[[#This Row],[Winning Team]]="")),"-",IF(Table46[[#This Row],[Prob Winner]]=NHL2025_26Results[[#This Row],[Winning Team]],"YES","NO"))</f>
        <v>-</v>
      </c>
      <c r="P673" t="str">
        <f>IF(Table46[[#This Row],[Locked Prediction]]&lt;&gt;Table46[[#This Row],[Prob Winner]], "Changed", "Same")</f>
        <v>Changed</v>
      </c>
      <c r="Q67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74" spans="4:17" x14ac:dyDescent="0.2">
      <c r="D674" s="1">
        <v>46028</v>
      </c>
      <c r="E674" s="2">
        <v>0.91666666666666663</v>
      </c>
      <c r="F674" t="s">
        <v>33</v>
      </c>
      <c r="G674">
        <f>VLOOKUP(Table46[[#This Row],[Home]],'NHL Model'!$A$6:$B$38,2,FALSE)</f>
        <v>-0.39418177254008485</v>
      </c>
      <c r="H674" t="s">
        <v>28</v>
      </c>
      <c r="I674">
        <f>VLOOKUP(Table46[[#This Row],[Visitor]],'NHL Model'!$A$6:$B$38,2,FALSE)</f>
        <v>-0.40822279081308277</v>
      </c>
      <c r="J674">
        <f>($B$1+Table46[[#This Row],[Home Differential]])-Table46[[#This Row],[Away Differential]]</f>
        <v>0.17661332793531631</v>
      </c>
      <c r="K674" t="str">
        <f>IF(Table46[[#This Row],[HomeIce Differential]]&gt;0,Table46[[#This Row],[Home]],Table46[[#This Row],[Visitor]])</f>
        <v>San Jose Sharks</v>
      </c>
      <c r="L67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0.54270603727141231</v>
      </c>
      <c r="M674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674" t="str">
        <f>IF(OR((NHL2025_26Results[[#This Row],[Winning Team]]="")),"-",IF(Table46[[#This Row],[Predicted Winner]]=NHL2025_26Results[[#This Row],[Winning Team]],"YES","NO"))</f>
        <v>-</v>
      </c>
      <c r="O674" t="str">
        <f>IF(OR((NHL2025_26Results[[#This Row],[Winning Team]]="")),"-",IF(Table46[[#This Row],[Prob Winner]]=NHL2025_26Results[[#This Row],[Winning Team]],"YES","NO"))</f>
        <v>-</v>
      </c>
      <c r="P674" t="str">
        <f>IF(Table46[[#This Row],[Locked Prediction]]&lt;&gt;Table46[[#This Row],[Prob Winner]], "Changed", "Same")</f>
        <v>Changed</v>
      </c>
      <c r="Q67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75" spans="4:17" x14ac:dyDescent="0.2">
      <c r="D675" s="1">
        <v>46028</v>
      </c>
      <c r="E675" s="2">
        <v>0.79166666666666663</v>
      </c>
      <c r="F675" t="s">
        <v>37</v>
      </c>
      <c r="G675">
        <f>VLOOKUP(Table46[[#This Row],[Home]],'NHL Model'!$A$6:$B$38,2,FALSE)</f>
        <v>-0.11309445867623392</v>
      </c>
      <c r="H675" t="s">
        <v>12</v>
      </c>
      <c r="I675">
        <f>VLOOKUP(Table46[[#This Row],[Visitor]],'NHL Model'!$A$6:$B$38,2,FALSE)</f>
        <v>1.5475013591489768</v>
      </c>
      <c r="J675">
        <f>($B$1+Table46[[#This Row],[Home Differential]])-Table46[[#This Row],[Away Differential]]</f>
        <v>-1.4980235081628923</v>
      </c>
      <c r="K675" t="str">
        <f>IF(Table46[[#This Row],[HomeIce Differential]]&gt;0,Table46[[#This Row],[Home]],Table46[[#This Row],[Visitor]])</f>
        <v>Colorado Avalanche</v>
      </c>
      <c r="L67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0.72543158552610842</v>
      </c>
      <c r="M675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675" t="str">
        <f>IF(OR((NHL2025_26Results[[#This Row],[Winning Team]]="")),"-",IF(Table46[[#This Row],[Predicted Winner]]=NHL2025_26Results[[#This Row],[Winning Team]],"YES","NO"))</f>
        <v>-</v>
      </c>
      <c r="O675" t="str">
        <f>IF(OR((NHL2025_26Results[[#This Row],[Winning Team]]="")),"-",IF(Table46[[#This Row],[Prob Winner]]=NHL2025_26Results[[#This Row],[Winning Team]],"YES","NO"))</f>
        <v>-</v>
      </c>
      <c r="P675" t="str">
        <f>IF(Table46[[#This Row],[Locked Prediction]]&lt;&gt;Table46[[#This Row],[Prob Winner]], "Changed", "Same")</f>
        <v>Changed</v>
      </c>
      <c r="Q67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76" spans="4:17" x14ac:dyDescent="0.2">
      <c r="D676" s="1">
        <v>46028</v>
      </c>
      <c r="E676" s="2">
        <v>0.8125</v>
      </c>
      <c r="F676" t="s">
        <v>19</v>
      </c>
      <c r="G676">
        <f>VLOOKUP(Table46[[#This Row],[Home]],'NHL Model'!$A$6:$B$38,2,FALSE)</f>
        <v>-0.635565543477981</v>
      </c>
      <c r="H676" t="s">
        <v>11</v>
      </c>
      <c r="I676">
        <f>VLOOKUP(Table46[[#This Row],[Visitor]],'NHL Model'!$A$6:$B$38,2,FALSE)</f>
        <v>-0.28105923893144158</v>
      </c>
      <c r="J676">
        <f>($B$1+Table46[[#This Row],[Home Differential]])-Table46[[#This Row],[Away Differential]]</f>
        <v>-0.19193399488422103</v>
      </c>
      <c r="K676" t="str">
        <f>IF(Table46[[#This Row],[HomeIce Differential]]&gt;0,Table46[[#This Row],[Home]],Table46[[#This Row],[Visitor]])</f>
        <v>Florida Panthers</v>
      </c>
      <c r="L67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0.48551167586666333</v>
      </c>
      <c r="M676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676" t="str">
        <f>IF(OR((NHL2025_26Results[[#This Row],[Winning Team]]="")),"-",IF(Table46[[#This Row],[Predicted Winner]]=NHL2025_26Results[[#This Row],[Winning Team]],"YES","NO"))</f>
        <v>-</v>
      </c>
      <c r="O676" t="str">
        <f>IF(OR((NHL2025_26Results[[#This Row],[Winning Team]]="")),"-",IF(Table46[[#This Row],[Prob Winner]]=NHL2025_26Results[[#This Row],[Winning Team]],"YES","NO"))</f>
        <v>-</v>
      </c>
      <c r="P676" t="str">
        <f>IF(Table46[[#This Row],[Locked Prediction]]&lt;&gt;Table46[[#This Row],[Prob Winner]], "Changed", "Same")</f>
        <v>Changed</v>
      </c>
      <c r="Q67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77" spans="4:17" x14ac:dyDescent="0.2">
      <c r="D677" s="1">
        <v>46028</v>
      </c>
      <c r="E677" s="2">
        <v>0.83333333333333337</v>
      </c>
      <c r="F677" t="s">
        <v>40</v>
      </c>
      <c r="G677">
        <f>VLOOKUP(Table46[[#This Row],[Home]],'NHL Model'!$A$6:$B$38,2,FALSE)</f>
        <v>0.105105258369765</v>
      </c>
      <c r="H677" t="s">
        <v>20</v>
      </c>
      <c r="I677">
        <f>VLOOKUP(Table46[[#This Row],[Visitor]],'NHL Model'!$A$6:$B$38,2,FALSE)</f>
        <v>-6.3745791019188943E-4</v>
      </c>
      <c r="J677">
        <f>($B$1+Table46[[#This Row],[Home Differential]])-Table46[[#This Row],[Away Differential]]</f>
        <v>0.2683150259422753</v>
      </c>
      <c r="K677" t="str">
        <f>IF(Table46[[#This Row],[HomeIce Differential]]&gt;0,Table46[[#This Row],[Home]],Table46[[#This Row],[Visitor]])</f>
        <v>Winnipeg Jets</v>
      </c>
      <c r="L67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0.59121972216722773</v>
      </c>
      <c r="M677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677" t="str">
        <f>IF(OR((NHL2025_26Results[[#This Row],[Winning Team]]="")),"-",IF(Table46[[#This Row],[Predicted Winner]]=NHL2025_26Results[[#This Row],[Winning Team]],"YES","NO"))</f>
        <v>-</v>
      </c>
      <c r="O677" t="str">
        <f>IF(OR((NHL2025_26Results[[#This Row],[Winning Team]]="")),"-",IF(Table46[[#This Row],[Prob Winner]]=NHL2025_26Results[[#This Row],[Winning Team]],"YES","NO"))</f>
        <v>-</v>
      </c>
      <c r="P677" t="str">
        <f>IF(Table46[[#This Row],[Locked Prediction]]&lt;&gt;Table46[[#This Row],[Prob Winner]], "Changed", "Same")</f>
        <v>Changed</v>
      </c>
      <c r="Q67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78" spans="4:17" x14ac:dyDescent="0.2">
      <c r="D678" s="1">
        <v>46029</v>
      </c>
      <c r="E678" s="2">
        <v>0.89583333333333337</v>
      </c>
      <c r="F678" t="s">
        <v>10</v>
      </c>
      <c r="G678">
        <f>VLOOKUP(Table46[[#This Row],[Home]],'NHL Model'!$A$6:$B$38,2,FALSE)</f>
        <v>0.30570968833820172</v>
      </c>
      <c r="H678" t="s">
        <v>35</v>
      </c>
      <c r="I678">
        <f>VLOOKUP(Table46[[#This Row],[Visitor]],'NHL Model'!$A$6:$B$38,2,FALSE)</f>
        <v>-1.6211574240381006</v>
      </c>
      <c r="J678">
        <f>($B$1+Table46[[#This Row],[Home Differential]])-Table46[[#This Row],[Away Differential]]</f>
        <v>2.0894394220386205</v>
      </c>
      <c r="K678" t="str">
        <f>IF(Table46[[#This Row],[HomeIce Differential]]&gt;0,Table46[[#This Row],[Home]],Table46[[#This Row],[Visitor]])</f>
        <v>Chicago Blackhawks</v>
      </c>
      <c r="L67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0.81772621160848813</v>
      </c>
      <c r="M678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678" t="str">
        <f>IF(OR((NHL2025_26Results[[#This Row],[Winning Team]]="")),"-",IF(Table46[[#This Row],[Predicted Winner]]=NHL2025_26Results[[#This Row],[Winning Team]],"YES","NO"))</f>
        <v>-</v>
      </c>
      <c r="O678" t="str">
        <f>IF(OR((NHL2025_26Results[[#This Row],[Winning Team]]="")),"-",IF(Table46[[#This Row],[Prob Winner]]=NHL2025_26Results[[#This Row],[Winning Team]],"YES","NO"))</f>
        <v>-</v>
      </c>
      <c r="P678" t="str">
        <f>IF(Table46[[#This Row],[Locked Prediction]]&lt;&gt;Table46[[#This Row],[Prob Winner]], "Changed", "Same")</f>
        <v>Changed</v>
      </c>
      <c r="Q67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79" spans="4:17" x14ac:dyDescent="0.2">
      <c r="D679" s="1">
        <v>46029</v>
      </c>
      <c r="E679" s="2">
        <v>0.9375</v>
      </c>
      <c r="F679" t="s">
        <v>13</v>
      </c>
      <c r="G679">
        <f>VLOOKUP(Table46[[#This Row],[Home]],'NHL Model'!$A$6:$B$38,2,FALSE)</f>
        <v>-7.5459708298993802E-2</v>
      </c>
      <c r="H679" t="s">
        <v>33</v>
      </c>
      <c r="I679">
        <f>VLOOKUP(Table46[[#This Row],[Visitor]],'NHL Model'!$A$6:$B$38,2,FALSE)</f>
        <v>-0.39418177254008485</v>
      </c>
      <c r="J679">
        <f>($B$1+Table46[[#This Row],[Home Differential]])-Table46[[#This Row],[Away Differential]]</f>
        <v>0.48129437390340946</v>
      </c>
      <c r="K679" t="str">
        <f>IF(Table46[[#This Row],[HomeIce Differential]]&gt;0,Table46[[#This Row],[Home]],Table46[[#This Row],[Visitor]])</f>
        <v>Los Angeles Kings</v>
      </c>
      <c r="L67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0.60397316989561545</v>
      </c>
      <c r="M679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679" t="str">
        <f>IF(OR((NHL2025_26Results[[#This Row],[Winning Team]]="")),"-",IF(Table46[[#This Row],[Predicted Winner]]=NHL2025_26Results[[#This Row],[Winning Team]],"YES","NO"))</f>
        <v>-</v>
      </c>
      <c r="O679" t="str">
        <f>IF(OR((NHL2025_26Results[[#This Row],[Winning Team]]="")),"-",IF(Table46[[#This Row],[Prob Winner]]=NHL2025_26Results[[#This Row],[Winning Team]],"YES","NO"))</f>
        <v>-</v>
      </c>
      <c r="P679" t="str">
        <f>IF(Table46[[#This Row],[Locked Prediction]]&lt;&gt;Table46[[#This Row],[Prob Winner]], "Changed", "Same")</f>
        <v>Changed</v>
      </c>
      <c r="Q67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80" spans="4:17" x14ac:dyDescent="0.2">
      <c r="D680" s="1">
        <v>46029</v>
      </c>
      <c r="E680" s="2">
        <v>0.8125</v>
      </c>
      <c r="F680" t="s">
        <v>18</v>
      </c>
      <c r="G680">
        <f>VLOOKUP(Table46[[#This Row],[Home]],'NHL Model'!$A$6:$B$38,2,FALSE)</f>
        <v>-0.52437726201848234</v>
      </c>
      <c r="H680" t="s">
        <v>16</v>
      </c>
      <c r="I680">
        <f>VLOOKUP(Table46[[#This Row],[Visitor]],'NHL Model'!$A$6:$B$38,2,FALSE)</f>
        <v>-1.3903684122795328</v>
      </c>
      <c r="J680">
        <f>($B$1+Table46[[#This Row],[Home Differential]])-Table46[[#This Row],[Away Differential]]</f>
        <v>1.0285634599233688</v>
      </c>
      <c r="K680" t="str">
        <f>IF(Table46[[#This Row],[HomeIce Differential]]&gt;0,Table46[[#This Row],[Home]],Table46[[#This Row],[Visitor]])</f>
        <v>Montreal Canadiens</v>
      </c>
      <c r="L68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0.67671563296375681</v>
      </c>
      <c r="M680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680" t="str">
        <f>IF(OR((NHL2025_26Results[[#This Row],[Winning Team]]="")),"-",IF(Table46[[#This Row],[Predicted Winner]]=NHL2025_26Results[[#This Row],[Winning Team]],"YES","NO"))</f>
        <v>-</v>
      </c>
      <c r="O680" t="str">
        <f>IF(OR((NHL2025_26Results[[#This Row],[Winning Team]]="")),"-",IF(Table46[[#This Row],[Prob Winner]]=NHL2025_26Results[[#This Row],[Winning Team]],"YES","NO"))</f>
        <v>-</v>
      </c>
      <c r="P680" t="str">
        <f>IF(Table46[[#This Row],[Locked Prediction]]&lt;&gt;Table46[[#This Row],[Prob Winner]], "Changed", "Same")</f>
        <v>Changed</v>
      </c>
      <c r="Q68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81" spans="4:17" x14ac:dyDescent="0.2">
      <c r="D681" s="1">
        <v>46029</v>
      </c>
      <c r="E681" s="2">
        <v>0.89583333333333337</v>
      </c>
      <c r="F681" t="s">
        <v>55</v>
      </c>
      <c r="G681">
        <f>VLOOKUP(Table46[[#This Row],[Home]],'NHL Model'!$A$6:$B$38,2,FALSE)</f>
        <v>-0.12212311954851815</v>
      </c>
      <c r="H681" t="s">
        <v>36</v>
      </c>
      <c r="I681">
        <f>VLOOKUP(Table46[[#This Row],[Visitor]],'NHL Model'!$A$6:$B$38,2,FALSE)</f>
        <v>-0.40651947573390851</v>
      </c>
      <c r="J681">
        <f>($B$1+Table46[[#This Row],[Home Differential]])-Table46[[#This Row],[Away Differential]]</f>
        <v>0.44696866584770878</v>
      </c>
      <c r="K681" t="str">
        <f>IF(Table46[[#This Row],[HomeIce Differential]]&gt;0,Table46[[#This Row],[Home]],Table46[[#This Row],[Visitor]])</f>
        <v>Utah Mammoth</v>
      </c>
      <c r="L68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0.66768313697455939</v>
      </c>
      <c r="M681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681" t="str">
        <f>IF(OR((NHL2025_26Results[[#This Row],[Winning Team]]="")),"-",IF(Table46[[#This Row],[Predicted Winner]]=NHL2025_26Results[[#This Row],[Winning Team]],"YES","NO"))</f>
        <v>-</v>
      </c>
      <c r="O681" t="str">
        <f>IF(OR((NHL2025_26Results[[#This Row],[Winning Team]]="")),"-",IF(Table46[[#This Row],[Prob Winner]]=NHL2025_26Results[[#This Row],[Winning Team]],"YES","NO"))</f>
        <v>-</v>
      </c>
      <c r="P681" t="str">
        <f>IF(Table46[[#This Row],[Locked Prediction]]&lt;&gt;Table46[[#This Row],[Prob Winner]], "Changed", "Same")</f>
        <v>Changed</v>
      </c>
      <c r="Q68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82" spans="4:17" x14ac:dyDescent="0.2">
      <c r="D682" s="1">
        <v>46029</v>
      </c>
      <c r="E682" s="2">
        <v>0.79166666666666663</v>
      </c>
      <c r="F682" t="s">
        <v>22</v>
      </c>
      <c r="G682">
        <f>VLOOKUP(Table46[[#This Row],[Home]],'NHL Model'!$A$6:$B$38,2,FALSE)</f>
        <v>-6.1308839486784707E-2</v>
      </c>
      <c r="H682" t="s">
        <v>39</v>
      </c>
      <c r="I682">
        <f>VLOOKUP(Table46[[#This Row],[Visitor]],'NHL Model'!$A$6:$B$38,2,FALSE)</f>
        <v>0.19809534061227302</v>
      </c>
      <c r="J682">
        <f>($B$1+Table46[[#This Row],[Home Differential]])-Table46[[#This Row],[Away Differential]]</f>
        <v>-9.6831870436739326E-2</v>
      </c>
      <c r="K682" t="str">
        <f>IF(Table46[[#This Row],[HomeIce Differential]]&gt;0,Table46[[#This Row],[Home]],Table46[[#This Row],[Visitor]])</f>
        <v>Dallas Stars</v>
      </c>
      <c r="L68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0.5653569838376189</v>
      </c>
      <c r="M682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682" t="str">
        <f>IF(OR((NHL2025_26Results[[#This Row],[Winning Team]]="")),"-",IF(Table46[[#This Row],[Predicted Winner]]=NHL2025_26Results[[#This Row],[Winning Team]],"YES","NO"))</f>
        <v>-</v>
      </c>
      <c r="O682" t="str">
        <f>IF(OR((NHL2025_26Results[[#This Row],[Winning Team]]="")),"-",IF(Table46[[#This Row],[Prob Winner]]=NHL2025_26Results[[#This Row],[Winning Team]],"YES","NO"))</f>
        <v>-</v>
      </c>
      <c r="P682" t="str">
        <f>IF(Table46[[#This Row],[Locked Prediction]]&lt;&gt;Table46[[#This Row],[Prob Winner]], "Changed", "Same")</f>
        <v>Changed</v>
      </c>
      <c r="Q68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83" spans="4:17" x14ac:dyDescent="0.2">
      <c r="D683" s="1">
        <v>46030</v>
      </c>
      <c r="E683" s="2">
        <v>0.79166666666666663</v>
      </c>
      <c r="F683" t="s">
        <v>21</v>
      </c>
      <c r="G683">
        <f>VLOOKUP(Table46[[#This Row],[Home]],'NHL Model'!$A$6:$B$38,2,FALSE)</f>
        <v>4.029141914856392E-2</v>
      </c>
      <c r="H683" t="s">
        <v>16</v>
      </c>
      <c r="I683">
        <f>VLOOKUP(Table46[[#This Row],[Visitor]],'NHL Model'!$A$6:$B$38,2,FALSE)</f>
        <v>-1.3903684122795328</v>
      </c>
      <c r="J683">
        <f>($B$1+Table46[[#This Row],[Home Differential]])-Table46[[#This Row],[Away Differential]]</f>
        <v>1.5932321410904151</v>
      </c>
      <c r="K683" t="str">
        <f>IF(Table46[[#This Row],[HomeIce Differential]]&gt;0,Table46[[#This Row],[Home]],Table46[[#This Row],[Visitor]])</f>
        <v>Boston Bruins</v>
      </c>
      <c r="L68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0.82432826018690308</v>
      </c>
      <c r="M683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683" t="str">
        <f>IF(OR((NHL2025_26Results[[#This Row],[Winning Team]]="")),"-",IF(Table46[[#This Row],[Predicted Winner]]=NHL2025_26Results[[#This Row],[Winning Team]],"YES","NO"))</f>
        <v>-</v>
      </c>
      <c r="O683" t="str">
        <f>IF(OR((NHL2025_26Results[[#This Row],[Winning Team]]="")),"-",IF(Table46[[#This Row],[Prob Winner]]=NHL2025_26Results[[#This Row],[Winning Team]],"YES","NO"))</f>
        <v>-</v>
      </c>
      <c r="P683" t="str">
        <f>IF(Table46[[#This Row],[Locked Prediction]]&lt;&gt;Table46[[#This Row],[Prob Winner]], "Changed", "Same")</f>
        <v>Changed</v>
      </c>
      <c r="Q68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84" spans="4:17" x14ac:dyDescent="0.2">
      <c r="D684" s="1">
        <v>46030</v>
      </c>
      <c r="E684" s="2">
        <v>0.79166666666666663</v>
      </c>
      <c r="F684" t="s">
        <v>25</v>
      </c>
      <c r="G684">
        <f>VLOOKUP(Table46[[#This Row],[Home]],'NHL Model'!$A$6:$B$38,2,FALSE)</f>
        <v>0.67193921242367816</v>
      </c>
      <c r="H684" t="s">
        <v>31</v>
      </c>
      <c r="I684">
        <f>VLOOKUP(Table46[[#This Row],[Visitor]],'NHL Model'!$A$6:$B$38,2,FALSE)</f>
        <v>0.51775546328552802</v>
      </c>
      <c r="J684">
        <f>($B$1+Table46[[#This Row],[Home Differential]])-Table46[[#This Row],[Away Differential]]</f>
        <v>0.31675605880046853</v>
      </c>
      <c r="K684" t="str">
        <f>IF(Table46[[#This Row],[HomeIce Differential]]&gt;0,Table46[[#This Row],[Home]],Table46[[#This Row],[Visitor]])</f>
        <v>Carolina Hurricanes</v>
      </c>
      <c r="L68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0.61353147198974589</v>
      </c>
      <c r="M684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684" t="str">
        <f>IF(OR((NHL2025_26Results[[#This Row],[Winning Team]]="")),"-",IF(Table46[[#This Row],[Predicted Winner]]=NHL2025_26Results[[#This Row],[Winning Team]],"YES","NO"))</f>
        <v>-</v>
      </c>
      <c r="O684" t="str">
        <f>IF(OR((NHL2025_26Results[[#This Row],[Winning Team]]="")),"-",IF(Table46[[#This Row],[Prob Winner]]=NHL2025_26Results[[#This Row],[Winning Team]],"YES","NO"))</f>
        <v>-</v>
      </c>
      <c r="P684" t="str">
        <f>IF(Table46[[#This Row],[Locked Prediction]]&lt;&gt;Table46[[#This Row],[Prob Winner]], "Changed", "Same")</f>
        <v>Changed</v>
      </c>
      <c r="Q68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85" spans="4:17" x14ac:dyDescent="0.2">
      <c r="D685" s="1">
        <v>46030</v>
      </c>
      <c r="E685" s="2">
        <v>0.875</v>
      </c>
      <c r="F685" t="s">
        <v>12</v>
      </c>
      <c r="G685">
        <f>VLOOKUP(Table46[[#This Row],[Home]],'NHL Model'!$A$6:$B$38,2,FALSE)</f>
        <v>1.5475013591489768</v>
      </c>
      <c r="H685" t="s">
        <v>36</v>
      </c>
      <c r="I685">
        <f>VLOOKUP(Table46[[#This Row],[Visitor]],'NHL Model'!$A$6:$B$38,2,FALSE)</f>
        <v>-0.40651947573390851</v>
      </c>
      <c r="J685">
        <f>($B$1+Table46[[#This Row],[Home Differential]])-Table46[[#This Row],[Away Differential]]</f>
        <v>2.1165931445452038</v>
      </c>
      <c r="K685" t="str">
        <f>IF(Table46[[#This Row],[HomeIce Differential]]&gt;0,Table46[[#This Row],[Home]],Table46[[#This Row],[Visitor]])</f>
        <v>Colorado Avalanche</v>
      </c>
      <c r="L68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0.90970170517603621</v>
      </c>
      <c r="M685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685" t="str">
        <f>IF(OR((NHL2025_26Results[[#This Row],[Winning Team]]="")),"-",IF(Table46[[#This Row],[Predicted Winner]]=NHL2025_26Results[[#This Row],[Winning Team]],"YES","NO"))</f>
        <v>-</v>
      </c>
      <c r="O685" t="str">
        <f>IF(OR((NHL2025_26Results[[#This Row],[Winning Team]]="")),"-",IF(Table46[[#This Row],[Prob Winner]]=NHL2025_26Results[[#This Row],[Winning Team]],"YES","NO"))</f>
        <v>-</v>
      </c>
      <c r="P685" t="str">
        <f>IF(Table46[[#This Row],[Locked Prediction]]&lt;&gt;Table46[[#This Row],[Prob Winner]], "Changed", "Same")</f>
        <v>Changed</v>
      </c>
      <c r="Q68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86" spans="4:17" x14ac:dyDescent="0.2">
      <c r="D686" s="1">
        <v>46030</v>
      </c>
      <c r="E686" s="2">
        <v>0.79166666666666663</v>
      </c>
      <c r="F686" t="s">
        <v>26</v>
      </c>
      <c r="G686">
        <f>VLOOKUP(Table46[[#This Row],[Home]],'NHL Model'!$A$6:$B$38,2,FALSE)</f>
        <v>-0.513643833119658</v>
      </c>
      <c r="H686" t="s">
        <v>38</v>
      </c>
      <c r="I686">
        <f>VLOOKUP(Table46[[#This Row],[Visitor]],'NHL Model'!$A$6:$B$38,2,FALSE)</f>
        <v>-0.6902088310934803</v>
      </c>
      <c r="J686">
        <f>($B$1+Table46[[#This Row],[Home Differential]])-Table46[[#This Row],[Away Differential]]</f>
        <v>0.33913730763614069</v>
      </c>
      <c r="K686" t="str">
        <f>IF(Table46[[#This Row],[HomeIce Differential]]&gt;0,Table46[[#This Row],[Home]],Table46[[#This Row],[Visitor]])</f>
        <v>Detroit Red Wings</v>
      </c>
      <c r="L68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0.56888731772469314</v>
      </c>
      <c r="M686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686" t="str">
        <f>IF(OR((NHL2025_26Results[[#This Row],[Winning Team]]="")),"-",IF(Table46[[#This Row],[Predicted Winner]]=NHL2025_26Results[[#This Row],[Winning Team]],"YES","NO"))</f>
        <v>-</v>
      </c>
      <c r="O686" t="str">
        <f>IF(OR((NHL2025_26Results[[#This Row],[Winning Team]]="")),"-",IF(Table46[[#This Row],[Prob Winner]]=NHL2025_26Results[[#This Row],[Winning Team]],"YES","NO"))</f>
        <v>-</v>
      </c>
      <c r="P686" t="str">
        <f>IF(Table46[[#This Row],[Locked Prediction]]&lt;&gt;Table46[[#This Row],[Prob Winner]], "Changed", "Same")</f>
        <v>Changed</v>
      </c>
      <c r="Q68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87" spans="4:17" x14ac:dyDescent="0.2">
      <c r="D687" s="1">
        <v>46030</v>
      </c>
      <c r="E687" s="2">
        <v>0.79166666666666663</v>
      </c>
      <c r="F687" t="s">
        <v>18</v>
      </c>
      <c r="G687">
        <f>VLOOKUP(Table46[[#This Row],[Home]],'NHL Model'!$A$6:$B$38,2,FALSE)</f>
        <v>-0.52437726201848234</v>
      </c>
      <c r="H687" t="s">
        <v>11</v>
      </c>
      <c r="I687">
        <f>VLOOKUP(Table46[[#This Row],[Visitor]],'NHL Model'!$A$6:$B$38,2,FALSE)</f>
        <v>-0.28105923893144158</v>
      </c>
      <c r="J687">
        <f>($B$1+Table46[[#This Row],[Home Differential]])-Table46[[#This Row],[Away Differential]]</f>
        <v>-8.0745713424722365E-2</v>
      </c>
      <c r="K687" t="str">
        <f>IF(Table46[[#This Row],[HomeIce Differential]]&gt;0,Table46[[#This Row],[Home]],Table46[[#This Row],[Visitor]])</f>
        <v>Florida Panthers</v>
      </c>
      <c r="L68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0.47073263998780734</v>
      </c>
      <c r="M687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687" t="str">
        <f>IF(OR((NHL2025_26Results[[#This Row],[Winning Team]]="")),"-",IF(Table46[[#This Row],[Predicted Winner]]=NHL2025_26Results[[#This Row],[Winning Team]],"YES","NO"))</f>
        <v>-</v>
      </c>
      <c r="O687" t="str">
        <f>IF(OR((NHL2025_26Results[[#This Row],[Winning Team]]="")),"-",IF(Table46[[#This Row],[Prob Winner]]=NHL2025_26Results[[#This Row],[Winning Team]],"YES","NO"))</f>
        <v>-</v>
      </c>
      <c r="P687" t="str">
        <f>IF(Table46[[#This Row],[Locked Prediction]]&lt;&gt;Table46[[#This Row],[Prob Winner]], "Changed", "Same")</f>
        <v>Changed</v>
      </c>
      <c r="Q68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88" spans="4:17" x14ac:dyDescent="0.2">
      <c r="D688" s="1">
        <v>46030</v>
      </c>
      <c r="E688" s="2">
        <v>0.83333333333333337</v>
      </c>
      <c r="F688" t="s">
        <v>29</v>
      </c>
      <c r="G688">
        <f>VLOOKUP(Table46[[#This Row],[Home]],'NHL Model'!$A$6:$B$38,2,FALSE)</f>
        <v>-1.3516250707060606</v>
      </c>
      <c r="H688" t="s">
        <v>30</v>
      </c>
      <c r="I688">
        <f>VLOOKUP(Table46[[#This Row],[Visitor]],'NHL Model'!$A$6:$B$38,2,FALSE)</f>
        <v>-6.4729560818359025E-2</v>
      </c>
      <c r="J688">
        <f>($B$1+Table46[[#This Row],[Home Differential]])-Table46[[#This Row],[Away Differential]]</f>
        <v>-1.1243232002253831</v>
      </c>
      <c r="K688" t="str">
        <f>IF(Table46[[#This Row],[HomeIce Differential]]&gt;0,Table46[[#This Row],[Home]],Table46[[#This Row],[Visitor]])</f>
        <v>New York Islanders</v>
      </c>
      <c r="L68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0.65195648529805783</v>
      </c>
      <c r="M688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688" t="str">
        <f>IF(OR((NHL2025_26Results[[#This Row],[Winning Team]]="")),"-",IF(Table46[[#This Row],[Predicted Winner]]=NHL2025_26Results[[#This Row],[Winning Team]],"YES","NO"))</f>
        <v>-</v>
      </c>
      <c r="O688" t="str">
        <f>IF(OR((NHL2025_26Results[[#This Row],[Winning Team]]="")),"-",IF(Table46[[#This Row],[Prob Winner]]=NHL2025_26Results[[#This Row],[Winning Team]],"YES","NO"))</f>
        <v>-</v>
      </c>
      <c r="P688" t="str">
        <f>IF(Table46[[#This Row],[Locked Prediction]]&lt;&gt;Table46[[#This Row],[Prob Winner]], "Changed", "Same")</f>
        <v>Changed</v>
      </c>
      <c r="Q68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89" spans="4:17" x14ac:dyDescent="0.2">
      <c r="D689" s="1">
        <v>46030</v>
      </c>
      <c r="E689" s="2">
        <v>0.79166666666666663</v>
      </c>
      <c r="F689" t="s">
        <v>15</v>
      </c>
      <c r="G689">
        <f>VLOOKUP(Table46[[#This Row],[Home]],'NHL Model'!$A$6:$B$38,2,FALSE)</f>
        <v>-0.30719665303039001</v>
      </c>
      <c r="H689" t="s">
        <v>23</v>
      </c>
      <c r="I689">
        <f>VLOOKUP(Table46[[#This Row],[Visitor]],'NHL Model'!$A$6:$B$38,2,FALSE)</f>
        <v>-0.8683412362501769</v>
      </c>
      <c r="J689">
        <f>($B$1+Table46[[#This Row],[Home Differential]])-Table46[[#This Row],[Away Differential]]</f>
        <v>0.72371689288210528</v>
      </c>
      <c r="K689" t="str">
        <f>IF(Table46[[#This Row],[HomeIce Differential]]&gt;0,Table46[[#This Row],[Home]],Table46[[#This Row],[Visitor]])</f>
        <v>New York Rangers</v>
      </c>
      <c r="L68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0.63619573021222442</v>
      </c>
      <c r="M689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689" t="str">
        <f>IF(OR((NHL2025_26Results[[#This Row],[Winning Team]]="")),"-",IF(Table46[[#This Row],[Predicted Winner]]=NHL2025_26Results[[#This Row],[Winning Team]],"YES","NO"))</f>
        <v>-</v>
      </c>
      <c r="O689" t="str">
        <f>IF(OR((NHL2025_26Results[[#This Row],[Winning Team]]="")),"-",IF(Table46[[#This Row],[Prob Winner]]=NHL2025_26Results[[#This Row],[Winning Team]],"YES","NO"))</f>
        <v>-</v>
      </c>
      <c r="P689" t="str">
        <f>IF(Table46[[#This Row],[Locked Prediction]]&lt;&gt;Table46[[#This Row],[Prob Winner]], "Changed", "Same")</f>
        <v>Changed</v>
      </c>
      <c r="Q68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90" spans="4:17" x14ac:dyDescent="0.2">
      <c r="D690" s="1">
        <v>46030</v>
      </c>
      <c r="E690" s="2">
        <v>0.79166666666666663</v>
      </c>
      <c r="F690" t="s">
        <v>27</v>
      </c>
      <c r="G690">
        <f>VLOOKUP(Table46[[#This Row],[Home]],'NHL Model'!$A$6:$B$38,2,FALSE)</f>
        <v>-0.51358590497437617</v>
      </c>
      <c r="H690" t="s">
        <v>19</v>
      </c>
      <c r="I690">
        <f>VLOOKUP(Table46[[#This Row],[Visitor]],'NHL Model'!$A$6:$B$38,2,FALSE)</f>
        <v>-0.635565543477981</v>
      </c>
      <c r="J690">
        <f>($B$1+Table46[[#This Row],[Home Differential]])-Table46[[#This Row],[Away Differential]]</f>
        <v>0.28455194816592322</v>
      </c>
      <c r="K690" t="str">
        <f>IF(Table46[[#This Row],[HomeIce Differential]]&gt;0,Table46[[#This Row],[Home]],Table46[[#This Row],[Visitor]])</f>
        <v>Philadelphia Flyers</v>
      </c>
      <c r="L69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0.58031784138262754</v>
      </c>
      <c r="M690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690" t="str">
        <f>IF(OR((NHL2025_26Results[[#This Row],[Winning Team]]="")),"-",IF(Table46[[#This Row],[Predicted Winner]]=NHL2025_26Results[[#This Row],[Winning Team]],"YES","NO"))</f>
        <v>-</v>
      </c>
      <c r="O690" t="str">
        <f>IF(OR((NHL2025_26Results[[#This Row],[Winning Team]]="")),"-",IF(Table46[[#This Row],[Prob Winner]]=NHL2025_26Results[[#This Row],[Winning Team]],"YES","NO"))</f>
        <v>-</v>
      </c>
      <c r="P690" t="str">
        <f>IF(Table46[[#This Row],[Locked Prediction]]&lt;&gt;Table46[[#This Row],[Prob Winner]], "Changed", "Same")</f>
        <v>Changed</v>
      </c>
      <c r="Q69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91" spans="4:17" x14ac:dyDescent="0.2">
      <c r="D691" s="1">
        <v>46030</v>
      </c>
      <c r="E691" s="2">
        <v>0.79166666666666663</v>
      </c>
      <c r="F691" t="s">
        <v>14</v>
      </c>
      <c r="G691">
        <f>VLOOKUP(Table46[[#This Row],[Home]],'NHL Model'!$A$6:$B$38,2,FALSE)</f>
        <v>0.26289091192875702</v>
      </c>
      <c r="H691" t="s">
        <v>24</v>
      </c>
      <c r="I691">
        <f>VLOOKUP(Table46[[#This Row],[Visitor]],'NHL Model'!$A$6:$B$38,2,FALSE)</f>
        <v>0.559441163373953</v>
      </c>
      <c r="J691">
        <f>($B$1+Table46[[#This Row],[Home Differential]])-Table46[[#This Row],[Away Differential]]</f>
        <v>-0.13397794178287759</v>
      </c>
      <c r="K691" t="str">
        <f>IF(Table46[[#This Row],[HomeIce Differential]]&gt;0,Table46[[#This Row],[Home]],Table46[[#This Row],[Visitor]])</f>
        <v>New Jersey Devils</v>
      </c>
      <c r="L69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0.50760413324928733</v>
      </c>
      <c r="M691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691" t="str">
        <f>IF(OR((NHL2025_26Results[[#This Row],[Winning Team]]="")),"-",IF(Table46[[#This Row],[Predicted Winner]]=NHL2025_26Results[[#This Row],[Winning Team]],"YES","NO"))</f>
        <v>-</v>
      </c>
      <c r="O691" t="str">
        <f>IF(OR((NHL2025_26Results[[#This Row],[Winning Team]]="")),"-",IF(Table46[[#This Row],[Prob Winner]]=NHL2025_26Results[[#This Row],[Winning Team]],"YES","NO"))</f>
        <v>-</v>
      </c>
      <c r="P691" t="str">
        <f>IF(Table46[[#This Row],[Locked Prediction]]&lt;&gt;Table46[[#This Row],[Prob Winner]], "Changed", "Same")</f>
        <v>Changed</v>
      </c>
      <c r="Q69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92" spans="4:17" x14ac:dyDescent="0.2">
      <c r="D692" s="1">
        <v>46030</v>
      </c>
      <c r="E692" s="2">
        <v>0.91666666666666663</v>
      </c>
      <c r="F692" t="s">
        <v>32</v>
      </c>
      <c r="G692">
        <f>VLOOKUP(Table46[[#This Row],[Home]],'NHL Model'!$A$6:$B$38,2,FALSE)</f>
        <v>-0.361361309178443</v>
      </c>
      <c r="H692" t="s">
        <v>34</v>
      </c>
      <c r="I692">
        <f>VLOOKUP(Table46[[#This Row],[Visitor]],'NHL Model'!$A$6:$B$38,2,FALSE)</f>
        <v>-0.53650300840565446</v>
      </c>
      <c r="J692">
        <f>($B$1+Table46[[#This Row],[Home Differential]])-Table46[[#This Row],[Away Differential]]</f>
        <v>0.33771400888952985</v>
      </c>
      <c r="K692" t="str">
        <f>IF(Table46[[#This Row],[HomeIce Differential]]&gt;0,Table46[[#This Row],[Home]],Table46[[#This Row],[Visitor]])</f>
        <v>Seattle Kraken</v>
      </c>
      <c r="L69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0.61092634630922182</v>
      </c>
      <c r="M692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692" t="str">
        <f>IF(OR((NHL2025_26Results[[#This Row],[Winning Team]]="")),"-",IF(Table46[[#This Row],[Predicted Winner]]=NHL2025_26Results[[#This Row],[Winning Team]],"YES","NO"))</f>
        <v>-</v>
      </c>
      <c r="O692" t="str">
        <f>IF(OR((NHL2025_26Results[[#This Row],[Winning Team]]="")),"-",IF(Table46[[#This Row],[Prob Winner]]=NHL2025_26Results[[#This Row],[Winning Team]],"YES","NO"))</f>
        <v>-</v>
      </c>
      <c r="P692" t="str">
        <f>IF(Table46[[#This Row],[Locked Prediction]]&lt;&gt;Table46[[#This Row],[Prob Winner]], "Changed", "Same")</f>
        <v>Changed</v>
      </c>
      <c r="Q69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93" spans="4:17" x14ac:dyDescent="0.2">
      <c r="D693" s="1">
        <v>46030</v>
      </c>
      <c r="E693" s="2">
        <v>0.91666666666666663</v>
      </c>
      <c r="F693" t="s">
        <v>20</v>
      </c>
      <c r="G693">
        <f>VLOOKUP(Table46[[#This Row],[Home]],'NHL Model'!$A$6:$B$38,2,FALSE)</f>
        <v>-6.3745791019188943E-4</v>
      </c>
      <c r="H693" t="s">
        <v>28</v>
      </c>
      <c r="I693">
        <f>VLOOKUP(Table46[[#This Row],[Visitor]],'NHL Model'!$A$6:$B$38,2,FALSE)</f>
        <v>-0.40822279081308277</v>
      </c>
      <c r="J693">
        <f>($B$1+Table46[[#This Row],[Home Differential]])-Table46[[#This Row],[Away Differential]]</f>
        <v>0.57015764256520929</v>
      </c>
      <c r="K693" t="str">
        <f>IF(Table46[[#This Row],[HomeIce Differential]]&gt;0,Table46[[#This Row],[Home]],Table46[[#This Row],[Visitor]])</f>
        <v>Vegas Golden Knights</v>
      </c>
      <c r="L69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0.59501555648952864</v>
      </c>
      <c r="M693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693" t="str">
        <f>IF(OR((NHL2025_26Results[[#This Row],[Winning Team]]="")),"-",IF(Table46[[#This Row],[Predicted Winner]]=NHL2025_26Results[[#This Row],[Winning Team]],"YES","NO"))</f>
        <v>-</v>
      </c>
      <c r="O693" t="str">
        <f>IF(OR((NHL2025_26Results[[#This Row],[Winning Team]]="")),"-",IF(Table46[[#This Row],[Prob Winner]]=NHL2025_26Results[[#This Row],[Winning Team]],"YES","NO"))</f>
        <v>-</v>
      </c>
      <c r="P693" t="str">
        <f>IF(Table46[[#This Row],[Locked Prediction]]&lt;&gt;Table46[[#This Row],[Prob Winner]], "Changed", "Same")</f>
        <v>Changed</v>
      </c>
      <c r="Q69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94" spans="4:17" x14ac:dyDescent="0.2">
      <c r="D694" s="1">
        <v>46030</v>
      </c>
      <c r="E694" s="2">
        <v>0.83333333333333337</v>
      </c>
      <c r="F694" t="s">
        <v>40</v>
      </c>
      <c r="G694">
        <f>VLOOKUP(Table46[[#This Row],[Home]],'NHL Model'!$A$6:$B$38,2,FALSE)</f>
        <v>0.105105258369765</v>
      </c>
      <c r="H694" t="s">
        <v>17</v>
      </c>
      <c r="I694">
        <f>VLOOKUP(Table46[[#This Row],[Visitor]],'NHL Model'!$A$6:$B$38,2,FALSE)</f>
        <v>-0.61980804137564283</v>
      </c>
      <c r="J694">
        <f>($B$1+Table46[[#This Row],[Home Differential]])-Table46[[#This Row],[Away Differential]]</f>
        <v>0.88748560940772625</v>
      </c>
      <c r="K694" t="str">
        <f>IF(Table46[[#This Row],[HomeIce Differential]]&gt;0,Table46[[#This Row],[Home]],Table46[[#This Row],[Visitor]])</f>
        <v>Winnipeg Jets</v>
      </c>
      <c r="L69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0.69400057162799944</v>
      </c>
      <c r="M694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694" t="str">
        <f>IF(OR((NHL2025_26Results[[#This Row],[Winning Team]]="")),"-",IF(Table46[[#This Row],[Predicted Winner]]=NHL2025_26Results[[#This Row],[Winning Team]],"YES","NO"))</f>
        <v>-</v>
      </c>
      <c r="O694" t="str">
        <f>IF(OR((NHL2025_26Results[[#This Row],[Winning Team]]="")),"-",IF(Table46[[#This Row],[Prob Winner]]=NHL2025_26Results[[#This Row],[Winning Team]],"YES","NO"))</f>
        <v>-</v>
      </c>
      <c r="P694" t="str">
        <f>IF(Table46[[#This Row],[Locked Prediction]]&lt;&gt;Table46[[#This Row],[Prob Winner]], "Changed", "Same")</f>
        <v>Changed</v>
      </c>
      <c r="Q69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95" spans="4:17" x14ac:dyDescent="0.2">
      <c r="D695" s="1">
        <v>46031</v>
      </c>
      <c r="E695" s="2">
        <v>0.83333333333333337</v>
      </c>
      <c r="F695" t="s">
        <v>10</v>
      </c>
      <c r="G695">
        <f>VLOOKUP(Table46[[#This Row],[Home]],'NHL Model'!$A$6:$B$38,2,FALSE)</f>
        <v>0.30570968833820172</v>
      </c>
      <c r="H695" t="s">
        <v>22</v>
      </c>
      <c r="I695">
        <f>VLOOKUP(Table46[[#This Row],[Visitor]],'NHL Model'!$A$6:$B$38,2,FALSE)</f>
        <v>-6.1308839486784707E-2</v>
      </c>
      <c r="J695">
        <f>($B$1+Table46[[#This Row],[Home Differential]])-Table46[[#This Row],[Away Differential]]</f>
        <v>0.52959083748730484</v>
      </c>
      <c r="K695" t="str">
        <f>IF(Table46[[#This Row],[HomeIce Differential]]&gt;0,Table46[[#This Row],[Home]],Table46[[#This Row],[Visitor]])</f>
        <v>Chicago Blackhawks</v>
      </c>
      <c r="L69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0.61039268784084288</v>
      </c>
      <c r="M695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695" t="str">
        <f>IF(OR((NHL2025_26Results[[#This Row],[Winning Team]]="")),"-",IF(Table46[[#This Row],[Predicted Winner]]=NHL2025_26Results[[#This Row],[Winning Team]],"YES","NO"))</f>
        <v>-</v>
      </c>
      <c r="O695" t="str">
        <f>IF(OR((NHL2025_26Results[[#This Row],[Winning Team]]="")),"-",IF(Table46[[#This Row],[Prob Winner]]=NHL2025_26Results[[#This Row],[Winning Team]],"YES","NO"))</f>
        <v>-</v>
      </c>
      <c r="P695" t="str">
        <f>IF(Table46[[#This Row],[Locked Prediction]]&lt;&gt;Table46[[#This Row],[Prob Winner]], "Changed", "Same")</f>
        <v>Changed</v>
      </c>
      <c r="Q69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96" spans="4:17" x14ac:dyDescent="0.2">
      <c r="D696" s="1">
        <v>46031</v>
      </c>
      <c r="E696" s="2">
        <v>0.875</v>
      </c>
      <c r="F696" t="s">
        <v>55</v>
      </c>
      <c r="G696">
        <f>VLOOKUP(Table46[[#This Row],[Home]],'NHL Model'!$A$6:$B$38,2,FALSE)</f>
        <v>-0.12212311954851815</v>
      </c>
      <c r="H696" t="s">
        <v>35</v>
      </c>
      <c r="I696">
        <f>VLOOKUP(Table46[[#This Row],[Visitor]],'NHL Model'!$A$6:$B$38,2,FALSE)</f>
        <v>-1.6211574240381006</v>
      </c>
      <c r="J696">
        <f>($B$1+Table46[[#This Row],[Home Differential]])-Table46[[#This Row],[Away Differential]]</f>
        <v>1.6616066141519008</v>
      </c>
      <c r="K696" t="str">
        <f>IF(Table46[[#This Row],[HomeIce Differential]]&gt;0,Table46[[#This Row],[Home]],Table46[[#This Row],[Visitor]])</f>
        <v>Utah Mammoth</v>
      </c>
      <c r="L69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0.82913160602340019</v>
      </c>
      <c r="M696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696" t="str">
        <f>IF(OR((NHL2025_26Results[[#This Row],[Winning Team]]="")),"-",IF(Table46[[#This Row],[Predicted Winner]]=NHL2025_26Results[[#This Row],[Winning Team]],"YES","NO"))</f>
        <v>-</v>
      </c>
      <c r="O696" t="str">
        <f>IF(OR((NHL2025_26Results[[#This Row],[Winning Team]]="")),"-",IF(Table46[[#This Row],[Prob Winner]]=NHL2025_26Results[[#This Row],[Winning Team]],"YES","NO"))</f>
        <v>-</v>
      </c>
      <c r="P696" t="str">
        <f>IF(Table46[[#This Row],[Locked Prediction]]&lt;&gt;Table46[[#This Row],[Prob Winner]], "Changed", "Same")</f>
        <v>Changed</v>
      </c>
      <c r="Q69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97" spans="4:17" x14ac:dyDescent="0.2">
      <c r="D697" s="1">
        <v>46031</v>
      </c>
      <c r="E697" s="2">
        <v>0.83333333333333337</v>
      </c>
      <c r="F697" t="s">
        <v>40</v>
      </c>
      <c r="G697">
        <f>VLOOKUP(Table46[[#This Row],[Home]],'NHL Model'!$A$6:$B$38,2,FALSE)</f>
        <v>0.105105258369765</v>
      </c>
      <c r="H697" t="s">
        <v>13</v>
      </c>
      <c r="I697">
        <f>VLOOKUP(Table46[[#This Row],[Visitor]],'NHL Model'!$A$6:$B$38,2,FALSE)</f>
        <v>-7.5459708298993802E-2</v>
      </c>
      <c r="J697">
        <f>($B$1+Table46[[#This Row],[Home Differential]])-Table46[[#This Row],[Away Differential]]</f>
        <v>0.34313727633107721</v>
      </c>
      <c r="K697" t="str">
        <f>IF(Table46[[#This Row],[HomeIce Differential]]&gt;0,Table46[[#This Row],[Home]],Table46[[#This Row],[Visitor]])</f>
        <v>Winnipeg Jets</v>
      </c>
      <c r="L69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0.50015492032460818</v>
      </c>
      <c r="M697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697" t="str">
        <f>IF(OR((NHL2025_26Results[[#This Row],[Winning Team]]="")),"-",IF(Table46[[#This Row],[Predicted Winner]]=NHL2025_26Results[[#This Row],[Winning Team]],"YES","NO"))</f>
        <v>-</v>
      </c>
      <c r="O697" t="str">
        <f>IF(OR((NHL2025_26Results[[#This Row],[Winning Team]]="")),"-",IF(Table46[[#This Row],[Prob Winner]]=NHL2025_26Results[[#This Row],[Winning Team]],"YES","NO"))</f>
        <v>-</v>
      </c>
      <c r="P697" t="str">
        <f>IF(Table46[[#This Row],[Locked Prediction]]&lt;&gt;Table46[[#This Row],[Prob Winner]], "Changed", "Same")</f>
        <v>Changed</v>
      </c>
      <c r="Q69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98" spans="4:17" x14ac:dyDescent="0.2">
      <c r="D698" s="1">
        <v>46032</v>
      </c>
      <c r="E698" s="2">
        <v>0.54166666666666663</v>
      </c>
      <c r="F698" t="s">
        <v>21</v>
      </c>
      <c r="G698">
        <f>VLOOKUP(Table46[[#This Row],[Home]],'NHL Model'!$A$6:$B$38,2,FALSE)</f>
        <v>4.029141914856392E-2</v>
      </c>
      <c r="H698" t="s">
        <v>15</v>
      </c>
      <c r="I698">
        <f>VLOOKUP(Table46[[#This Row],[Visitor]],'NHL Model'!$A$6:$B$38,2,FALSE)</f>
        <v>-0.30719665303039001</v>
      </c>
      <c r="J698">
        <f>($B$1+Table46[[#This Row],[Home Differential]])-Table46[[#This Row],[Away Differential]]</f>
        <v>0.51006038184127234</v>
      </c>
      <c r="K698" t="str">
        <f>IF(Table46[[#This Row],[HomeIce Differential]]&gt;0,Table46[[#This Row],[Home]],Table46[[#This Row],[Visitor]])</f>
        <v>Boston Bruins</v>
      </c>
      <c r="L69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0.53838495437877232</v>
      </c>
      <c r="M698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698" t="str">
        <f>IF(OR((NHL2025_26Results[[#This Row],[Winning Team]]="")),"-",IF(Table46[[#This Row],[Predicted Winner]]=NHL2025_26Results[[#This Row],[Winning Team]],"YES","NO"))</f>
        <v>-</v>
      </c>
      <c r="O698" t="str">
        <f>IF(OR((NHL2025_26Results[[#This Row],[Winning Team]]="")),"-",IF(Table46[[#This Row],[Prob Winner]]=NHL2025_26Results[[#This Row],[Winning Team]],"YES","NO"))</f>
        <v>-</v>
      </c>
      <c r="P698" t="str">
        <f>IF(Table46[[#This Row],[Locked Prediction]]&lt;&gt;Table46[[#This Row],[Prob Winner]], "Changed", "Same")</f>
        <v>Changed</v>
      </c>
      <c r="Q69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699" spans="4:17" x14ac:dyDescent="0.2">
      <c r="D699" s="1">
        <v>46032</v>
      </c>
      <c r="E699" s="2">
        <v>0.79166666666666663</v>
      </c>
      <c r="F699" t="s">
        <v>23</v>
      </c>
      <c r="G699">
        <f>VLOOKUP(Table46[[#This Row],[Home]],'NHL Model'!$A$6:$B$38,2,FALSE)</f>
        <v>-0.8683412362501769</v>
      </c>
      <c r="H699" t="s">
        <v>31</v>
      </c>
      <c r="I699">
        <f>VLOOKUP(Table46[[#This Row],[Visitor]],'NHL Model'!$A$6:$B$38,2,FALSE)</f>
        <v>0.51775546328552802</v>
      </c>
      <c r="J699">
        <f>($B$1+Table46[[#This Row],[Home Differential]])-Table46[[#This Row],[Away Differential]]</f>
        <v>-1.2235243898733865</v>
      </c>
      <c r="K699" t="str">
        <f>IF(Table46[[#This Row],[HomeIce Differential]]&gt;0,Table46[[#This Row],[Home]],Table46[[#This Row],[Visitor]])</f>
        <v>Anaheim Ducks</v>
      </c>
      <c r="L69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0.64339887680059649</v>
      </c>
      <c r="M699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699" t="str">
        <f>IF(OR((NHL2025_26Results[[#This Row],[Winning Team]]="")),"-",IF(Table46[[#This Row],[Predicted Winner]]=NHL2025_26Results[[#This Row],[Winning Team]],"YES","NO"))</f>
        <v>-</v>
      </c>
      <c r="O699" t="str">
        <f>IF(OR((NHL2025_26Results[[#This Row],[Winning Team]]="")),"-",IF(Table46[[#This Row],[Prob Winner]]=NHL2025_26Results[[#This Row],[Winning Team]],"YES","NO"))</f>
        <v>-</v>
      </c>
      <c r="P699" t="str">
        <f>IF(Table46[[#This Row],[Locked Prediction]]&lt;&gt;Table46[[#This Row],[Prob Winner]], "Changed", "Same")</f>
        <v>Changed</v>
      </c>
      <c r="Q69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00" spans="4:17" x14ac:dyDescent="0.2">
      <c r="D700" s="1">
        <v>46032</v>
      </c>
      <c r="E700" s="2">
        <v>0.79166666666666663</v>
      </c>
      <c r="F700" t="s">
        <v>25</v>
      </c>
      <c r="G700">
        <f>VLOOKUP(Table46[[#This Row],[Home]],'NHL Model'!$A$6:$B$38,2,FALSE)</f>
        <v>0.67193921242367816</v>
      </c>
      <c r="H700" t="s">
        <v>32</v>
      </c>
      <c r="I700">
        <f>VLOOKUP(Table46[[#This Row],[Visitor]],'NHL Model'!$A$6:$B$38,2,FALSE)</f>
        <v>-0.361361309178443</v>
      </c>
      <c r="J700">
        <f>($B$1+Table46[[#This Row],[Home Differential]])-Table46[[#This Row],[Away Differential]]</f>
        <v>1.1958728312644396</v>
      </c>
      <c r="K700" t="str">
        <f>IF(Table46[[#This Row],[HomeIce Differential]]&gt;0,Table46[[#This Row],[Home]],Table46[[#This Row],[Visitor]])</f>
        <v>Carolina Hurricanes</v>
      </c>
      <c r="L70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0.75067020467100909</v>
      </c>
      <c r="M700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700" t="str">
        <f>IF(OR((NHL2025_26Results[[#This Row],[Winning Team]]="")),"-",IF(Table46[[#This Row],[Predicted Winner]]=NHL2025_26Results[[#This Row],[Winning Team]],"YES","NO"))</f>
        <v>-</v>
      </c>
      <c r="O700" t="str">
        <f>IF(OR((NHL2025_26Results[[#This Row],[Winning Team]]="")),"-",IF(Table46[[#This Row],[Prob Winner]]=NHL2025_26Results[[#This Row],[Winning Team]],"YES","NO"))</f>
        <v>-</v>
      </c>
      <c r="P700" t="str">
        <f>IF(Table46[[#This Row],[Locked Prediction]]&lt;&gt;Table46[[#This Row],[Prob Winner]], "Changed", "Same")</f>
        <v>Changed</v>
      </c>
      <c r="Q70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01" spans="4:17" x14ac:dyDescent="0.2">
      <c r="D701" s="1">
        <v>46032</v>
      </c>
      <c r="E701" s="2">
        <v>0.66666666666666663</v>
      </c>
      <c r="F701" t="s">
        <v>12</v>
      </c>
      <c r="G701">
        <f>VLOOKUP(Table46[[#This Row],[Home]],'NHL Model'!$A$6:$B$38,2,FALSE)</f>
        <v>1.5475013591489768</v>
      </c>
      <c r="H701" t="s">
        <v>28</v>
      </c>
      <c r="I701">
        <f>VLOOKUP(Table46[[#This Row],[Visitor]],'NHL Model'!$A$6:$B$38,2,FALSE)</f>
        <v>-0.40822279081308277</v>
      </c>
      <c r="J701">
        <f>($B$1+Table46[[#This Row],[Home Differential]])-Table46[[#This Row],[Away Differential]]</f>
        <v>2.1182964596243781</v>
      </c>
      <c r="K701" t="str">
        <f>IF(Table46[[#This Row],[HomeIce Differential]]&gt;0,Table46[[#This Row],[Home]],Table46[[#This Row],[Visitor]])</f>
        <v>Colorado Avalanche</v>
      </c>
      <c r="L70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0.89025751254177843</v>
      </c>
      <c r="M701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701" t="str">
        <f>IF(OR((NHL2025_26Results[[#This Row],[Winning Team]]="")),"-",IF(Table46[[#This Row],[Predicted Winner]]=NHL2025_26Results[[#This Row],[Winning Team]],"YES","NO"))</f>
        <v>-</v>
      </c>
      <c r="O701" t="str">
        <f>IF(OR((NHL2025_26Results[[#This Row],[Winning Team]]="")),"-",IF(Table46[[#This Row],[Prob Winner]]=NHL2025_26Results[[#This Row],[Winning Team]],"YES","NO"))</f>
        <v>-</v>
      </c>
      <c r="P701" t="str">
        <f>IF(Table46[[#This Row],[Locked Prediction]]&lt;&gt;Table46[[#This Row],[Prob Winner]], "Changed", "Same")</f>
        <v>Changed</v>
      </c>
      <c r="Q70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02" spans="4:17" x14ac:dyDescent="0.2">
      <c r="D702" s="1">
        <v>46032</v>
      </c>
      <c r="E702" s="2">
        <v>0.91666666666666663</v>
      </c>
      <c r="F702" t="s">
        <v>17</v>
      </c>
      <c r="G702">
        <f>VLOOKUP(Table46[[#This Row],[Home]],'NHL Model'!$A$6:$B$38,2,FALSE)</f>
        <v>-0.61980804137564283</v>
      </c>
      <c r="H702" t="s">
        <v>13</v>
      </c>
      <c r="I702">
        <f>VLOOKUP(Table46[[#This Row],[Visitor]],'NHL Model'!$A$6:$B$38,2,FALSE)</f>
        <v>-7.5459708298993802E-2</v>
      </c>
      <c r="J702">
        <f>($B$1+Table46[[#This Row],[Home Differential]])-Table46[[#This Row],[Away Differential]]</f>
        <v>-0.38177602341433065</v>
      </c>
      <c r="K702" t="str">
        <f>IF(Table46[[#This Row],[HomeIce Differential]]&gt;0,Table46[[#This Row],[Home]],Table46[[#This Row],[Visitor]])</f>
        <v>Los Angeles Kings</v>
      </c>
      <c r="L70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0.59619983509896357</v>
      </c>
      <c r="M702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702" t="str">
        <f>IF(OR((NHL2025_26Results[[#This Row],[Winning Team]]="")),"-",IF(Table46[[#This Row],[Predicted Winner]]=NHL2025_26Results[[#This Row],[Winning Team]],"YES","NO"))</f>
        <v>-</v>
      </c>
      <c r="O702" t="str">
        <f>IF(OR((NHL2025_26Results[[#This Row],[Winning Team]]="")),"-",IF(Table46[[#This Row],[Prob Winner]]=NHL2025_26Results[[#This Row],[Winning Team]],"YES","NO"))</f>
        <v>-</v>
      </c>
      <c r="P702" t="str">
        <f>IF(Table46[[#This Row],[Locked Prediction]]&lt;&gt;Table46[[#This Row],[Prob Winner]], "Changed", "Same")</f>
        <v>Changed</v>
      </c>
      <c r="Q70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03" spans="4:17" x14ac:dyDescent="0.2">
      <c r="D703" s="1">
        <v>46032</v>
      </c>
      <c r="E703" s="2">
        <v>0.83333333333333337</v>
      </c>
      <c r="F703" t="s">
        <v>34</v>
      </c>
      <c r="G703">
        <f>VLOOKUP(Table46[[#This Row],[Home]],'NHL Model'!$A$6:$B$38,2,FALSE)</f>
        <v>-0.53650300840565446</v>
      </c>
      <c r="H703" t="s">
        <v>30</v>
      </c>
      <c r="I703">
        <f>VLOOKUP(Table46[[#This Row],[Visitor]],'NHL Model'!$A$6:$B$38,2,FALSE)</f>
        <v>-6.4729560818359025E-2</v>
      </c>
      <c r="J703">
        <f>($B$1+Table46[[#This Row],[Home Differential]])-Table46[[#This Row],[Away Differential]]</f>
        <v>-0.30920113792497705</v>
      </c>
      <c r="K703" t="str">
        <f>IF(Table46[[#This Row],[HomeIce Differential]]&gt;0,Table46[[#This Row],[Home]],Table46[[#This Row],[Visitor]])</f>
        <v>New York Islanders</v>
      </c>
      <c r="L70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0.54361127080013527</v>
      </c>
      <c r="M703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703" t="str">
        <f>IF(OR((NHL2025_26Results[[#This Row],[Winning Team]]="")),"-",IF(Table46[[#This Row],[Predicted Winner]]=NHL2025_26Results[[#This Row],[Winning Team]],"YES","NO"))</f>
        <v>-</v>
      </c>
      <c r="O703" t="str">
        <f>IF(OR((NHL2025_26Results[[#This Row],[Winning Team]]="")),"-",IF(Table46[[#This Row],[Prob Winner]]=NHL2025_26Results[[#This Row],[Winning Team]],"YES","NO"))</f>
        <v>-</v>
      </c>
      <c r="P703" t="str">
        <f>IF(Table46[[#This Row],[Locked Prediction]]&lt;&gt;Table46[[#This Row],[Prob Winner]], "Changed", "Same")</f>
        <v>Changed</v>
      </c>
      <c r="Q70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04" spans="4:17" x14ac:dyDescent="0.2">
      <c r="D704" s="1">
        <v>46032</v>
      </c>
      <c r="E704" s="2">
        <v>0.79166666666666663</v>
      </c>
      <c r="F704" t="s">
        <v>18</v>
      </c>
      <c r="G704">
        <f>VLOOKUP(Table46[[#This Row],[Home]],'NHL Model'!$A$6:$B$38,2,FALSE)</f>
        <v>-0.52437726201848234</v>
      </c>
      <c r="H704" t="s">
        <v>26</v>
      </c>
      <c r="I704">
        <f>VLOOKUP(Table46[[#This Row],[Visitor]],'NHL Model'!$A$6:$B$38,2,FALSE)</f>
        <v>-0.513643833119658</v>
      </c>
      <c r="J704">
        <f>($B$1+Table46[[#This Row],[Home Differential]])-Table46[[#This Row],[Away Differential]]</f>
        <v>0.15183888076349406</v>
      </c>
      <c r="K704" t="str">
        <f>IF(Table46[[#This Row],[HomeIce Differential]]&gt;0,Table46[[#This Row],[Home]],Table46[[#This Row],[Visitor]])</f>
        <v>Montreal Canadiens</v>
      </c>
      <c r="L70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0.51308288166130422</v>
      </c>
      <c r="M704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704" t="str">
        <f>IF(OR((NHL2025_26Results[[#This Row],[Winning Team]]="")),"-",IF(Table46[[#This Row],[Predicted Winner]]=NHL2025_26Results[[#This Row],[Winning Team]],"YES","NO"))</f>
        <v>-</v>
      </c>
      <c r="O704" t="str">
        <f>IF(OR((NHL2025_26Results[[#This Row],[Winning Team]]="")),"-",IF(Table46[[#This Row],[Prob Winner]]=NHL2025_26Results[[#This Row],[Winning Team]],"YES","NO"))</f>
        <v>-</v>
      </c>
      <c r="P704" t="str">
        <f>IF(Table46[[#This Row],[Locked Prediction]]&lt;&gt;Table46[[#This Row],[Prob Winner]], "Changed", "Same")</f>
        <v>Changed</v>
      </c>
      <c r="Q70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05" spans="4:17" x14ac:dyDescent="0.2">
      <c r="D705" s="1">
        <v>46032</v>
      </c>
      <c r="E705" s="2">
        <v>0.83333333333333337</v>
      </c>
      <c r="F705" t="s">
        <v>29</v>
      </c>
      <c r="G705">
        <f>VLOOKUP(Table46[[#This Row],[Home]],'NHL Model'!$A$6:$B$38,2,FALSE)</f>
        <v>-1.3516250707060606</v>
      </c>
      <c r="H705" t="s">
        <v>10</v>
      </c>
      <c r="I705">
        <f>VLOOKUP(Table46[[#This Row],[Visitor]],'NHL Model'!$A$6:$B$38,2,FALSE)</f>
        <v>0.30570968833820172</v>
      </c>
      <c r="J705">
        <f>($B$1+Table46[[#This Row],[Home Differential]])-Table46[[#This Row],[Away Differential]]</f>
        <v>-1.494762449381944</v>
      </c>
      <c r="K705" t="str">
        <f>IF(Table46[[#This Row],[HomeIce Differential]]&gt;0,Table46[[#This Row],[Home]],Table46[[#This Row],[Visitor]])</f>
        <v>Chicago Blackhawks</v>
      </c>
      <c r="L70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0.67945157012915047</v>
      </c>
      <c r="M705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705" t="str">
        <f>IF(OR((NHL2025_26Results[[#This Row],[Winning Team]]="")),"-",IF(Table46[[#This Row],[Predicted Winner]]=NHL2025_26Results[[#This Row],[Winning Team]],"YES","NO"))</f>
        <v>-</v>
      </c>
      <c r="O705" t="str">
        <f>IF(OR((NHL2025_26Results[[#This Row],[Winning Team]]="")),"-",IF(Table46[[#This Row],[Prob Winner]]=NHL2025_26Results[[#This Row],[Winning Team]],"YES","NO"))</f>
        <v>-</v>
      </c>
      <c r="P705" t="str">
        <f>IF(Table46[[#This Row],[Locked Prediction]]&lt;&gt;Table46[[#This Row],[Prob Winner]], "Changed", "Same")</f>
        <v>Changed</v>
      </c>
      <c r="Q70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06" spans="4:17" x14ac:dyDescent="0.2">
      <c r="D706" s="1">
        <v>46032</v>
      </c>
      <c r="E706" s="2">
        <v>0.79166666666666663</v>
      </c>
      <c r="F706" t="s">
        <v>36</v>
      </c>
      <c r="G706">
        <f>VLOOKUP(Table46[[#This Row],[Home]],'NHL Model'!$A$6:$B$38,2,FALSE)</f>
        <v>-0.40651947573390851</v>
      </c>
      <c r="H706" t="s">
        <v>11</v>
      </c>
      <c r="I706">
        <f>VLOOKUP(Table46[[#This Row],[Visitor]],'NHL Model'!$A$6:$B$38,2,FALSE)</f>
        <v>-0.28105923893144158</v>
      </c>
      <c r="J706">
        <f>($B$1+Table46[[#This Row],[Home Differential]])-Table46[[#This Row],[Away Differential]]</f>
        <v>3.7112072859851464E-2</v>
      </c>
      <c r="K706" t="str">
        <f>IF(Table46[[#This Row],[HomeIce Differential]]&gt;0,Table46[[#This Row],[Home]],Table46[[#This Row],[Visitor]])</f>
        <v>Ottawa Senators</v>
      </c>
      <c r="L70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0.54742837904895392</v>
      </c>
      <c r="M706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706" t="str">
        <f>IF(OR((NHL2025_26Results[[#This Row],[Winning Team]]="")),"-",IF(Table46[[#This Row],[Predicted Winner]]=NHL2025_26Results[[#This Row],[Winning Team]],"YES","NO"))</f>
        <v>-</v>
      </c>
      <c r="O706" t="str">
        <f>IF(OR((NHL2025_26Results[[#This Row],[Winning Team]]="")),"-",IF(Table46[[#This Row],[Prob Winner]]=NHL2025_26Results[[#This Row],[Winning Team]],"YES","NO"))</f>
        <v>-</v>
      </c>
      <c r="P706" t="str">
        <f>IF(Table46[[#This Row],[Locked Prediction]]&lt;&gt;Table46[[#This Row],[Prob Winner]], "Changed", "Same")</f>
        <v>Changed</v>
      </c>
      <c r="Q70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07" spans="4:17" x14ac:dyDescent="0.2">
      <c r="D707" s="1">
        <v>46032</v>
      </c>
      <c r="E707" s="2">
        <v>0.79166666666666663</v>
      </c>
      <c r="F707" t="s">
        <v>27</v>
      </c>
      <c r="G707">
        <f>VLOOKUP(Table46[[#This Row],[Home]],'NHL Model'!$A$6:$B$38,2,FALSE)</f>
        <v>-0.51358590497437617</v>
      </c>
      <c r="H707" t="s">
        <v>37</v>
      </c>
      <c r="I707">
        <f>VLOOKUP(Table46[[#This Row],[Visitor]],'NHL Model'!$A$6:$B$38,2,FALSE)</f>
        <v>-0.11309445867623392</v>
      </c>
      <c r="J707">
        <f>($B$1+Table46[[#This Row],[Home Differential]])-Table46[[#This Row],[Away Differential]]</f>
        <v>-0.23791913663582387</v>
      </c>
      <c r="K707" t="str">
        <f>IF(Table46[[#This Row],[HomeIce Differential]]&gt;0,Table46[[#This Row],[Home]],Table46[[#This Row],[Visitor]])</f>
        <v>Tampa Bay Lightning</v>
      </c>
      <c r="L70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0.53621113117410857</v>
      </c>
      <c r="M707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707" t="str">
        <f>IF(OR((NHL2025_26Results[[#This Row],[Winning Team]]="")),"-",IF(Table46[[#This Row],[Predicted Winner]]=NHL2025_26Results[[#This Row],[Winning Team]],"YES","NO"))</f>
        <v>-</v>
      </c>
      <c r="O707" t="str">
        <f>IF(OR((NHL2025_26Results[[#This Row],[Winning Team]]="")),"-",IF(Table46[[#This Row],[Prob Winner]]=NHL2025_26Results[[#This Row],[Winning Team]],"YES","NO"))</f>
        <v>-</v>
      </c>
      <c r="P707" t="str">
        <f>IF(Table46[[#This Row],[Locked Prediction]]&lt;&gt;Table46[[#This Row],[Prob Winner]], "Changed", "Same")</f>
        <v>Changed</v>
      </c>
      <c r="Q70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08" spans="4:17" x14ac:dyDescent="0.2">
      <c r="D708" s="1">
        <v>46032</v>
      </c>
      <c r="E708" s="2">
        <v>0.64583333333333337</v>
      </c>
      <c r="F708" t="s">
        <v>14</v>
      </c>
      <c r="G708">
        <f>VLOOKUP(Table46[[#This Row],[Home]],'NHL Model'!$A$6:$B$38,2,FALSE)</f>
        <v>0.26289091192875702</v>
      </c>
      <c r="H708" t="s">
        <v>16</v>
      </c>
      <c r="I708">
        <f>VLOOKUP(Table46[[#This Row],[Visitor]],'NHL Model'!$A$6:$B$38,2,FALSE)</f>
        <v>-1.3903684122795328</v>
      </c>
      <c r="J708">
        <f>($B$1+Table46[[#This Row],[Home Differential]])-Table46[[#This Row],[Away Differential]]</f>
        <v>1.8158316338706082</v>
      </c>
      <c r="K708" t="str">
        <f>IF(Table46[[#This Row],[HomeIce Differential]]&gt;0,Table46[[#This Row],[Home]],Table46[[#This Row],[Visitor]])</f>
        <v>Pittsburgh Penguins</v>
      </c>
      <c r="L70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0.8173954026608713</v>
      </c>
      <c r="M708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708" t="str">
        <f>IF(OR((NHL2025_26Results[[#This Row],[Winning Team]]="")),"-",IF(Table46[[#This Row],[Predicted Winner]]=NHL2025_26Results[[#This Row],[Winning Team]],"YES","NO"))</f>
        <v>-</v>
      </c>
      <c r="O708" t="str">
        <f>IF(OR((NHL2025_26Results[[#This Row],[Winning Team]]="")),"-",IF(Table46[[#This Row],[Prob Winner]]=NHL2025_26Results[[#This Row],[Winning Team]],"YES","NO"))</f>
        <v>-</v>
      </c>
      <c r="P708" t="str">
        <f>IF(Table46[[#This Row],[Locked Prediction]]&lt;&gt;Table46[[#This Row],[Prob Winner]], "Changed", "Same")</f>
        <v>Changed</v>
      </c>
      <c r="Q70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09" spans="4:17" x14ac:dyDescent="0.2">
      <c r="D709" s="1">
        <v>46032</v>
      </c>
      <c r="E709" s="2">
        <v>0.66666666666666663</v>
      </c>
      <c r="F709" t="s">
        <v>33</v>
      </c>
      <c r="G709">
        <f>VLOOKUP(Table46[[#This Row],[Home]],'NHL Model'!$A$6:$B$38,2,FALSE)</f>
        <v>-0.39418177254008485</v>
      </c>
      <c r="H709" t="s">
        <v>39</v>
      </c>
      <c r="I709">
        <f>VLOOKUP(Table46[[#This Row],[Visitor]],'NHL Model'!$A$6:$B$38,2,FALSE)</f>
        <v>0.19809534061227302</v>
      </c>
      <c r="J709">
        <f>($B$1+Table46[[#This Row],[Home Differential]])-Table46[[#This Row],[Away Differential]]</f>
        <v>-0.42970480349003948</v>
      </c>
      <c r="K709" t="str">
        <f>IF(Table46[[#This Row],[HomeIce Differential]]&gt;0,Table46[[#This Row],[Home]],Table46[[#This Row],[Visitor]])</f>
        <v>Dallas Stars</v>
      </c>
      <c r="L70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0.60960212330842478</v>
      </c>
      <c r="M709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709" t="str">
        <f>IF(OR((NHL2025_26Results[[#This Row],[Winning Team]]="")),"-",IF(Table46[[#This Row],[Predicted Winner]]=NHL2025_26Results[[#This Row],[Winning Team]],"YES","NO"))</f>
        <v>-</v>
      </c>
      <c r="O709" t="str">
        <f>IF(OR((NHL2025_26Results[[#This Row],[Winning Team]]="")),"-",IF(Table46[[#This Row],[Prob Winner]]=NHL2025_26Results[[#This Row],[Winning Team]],"YES","NO"))</f>
        <v>-</v>
      </c>
      <c r="P709" t="str">
        <f>IF(Table46[[#This Row],[Locked Prediction]]&lt;&gt;Table46[[#This Row],[Prob Winner]], "Changed", "Same")</f>
        <v>Changed</v>
      </c>
      <c r="Q70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10" spans="4:17" x14ac:dyDescent="0.2">
      <c r="D710" s="1">
        <v>46032</v>
      </c>
      <c r="E710" s="2">
        <v>0.79166666666666663</v>
      </c>
      <c r="F710" t="s">
        <v>19</v>
      </c>
      <c r="G710">
        <f>VLOOKUP(Table46[[#This Row],[Home]],'NHL Model'!$A$6:$B$38,2,FALSE)</f>
        <v>-0.635565543477981</v>
      </c>
      <c r="H710" t="s">
        <v>38</v>
      </c>
      <c r="I710">
        <f>VLOOKUP(Table46[[#This Row],[Visitor]],'NHL Model'!$A$6:$B$38,2,FALSE)</f>
        <v>-0.6902088310934803</v>
      </c>
      <c r="J710">
        <f>($B$1+Table46[[#This Row],[Home Differential]])-Table46[[#This Row],[Away Differential]]</f>
        <v>0.2172155972778177</v>
      </c>
      <c r="K710" t="str">
        <f>IF(Table46[[#This Row],[HomeIce Differential]]&gt;0,Table46[[#This Row],[Home]],Table46[[#This Row],[Visitor]])</f>
        <v>Toronto Maple Leafs</v>
      </c>
      <c r="L7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0.52635951851929719</v>
      </c>
      <c r="M710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710" t="str">
        <f>IF(OR((NHL2025_26Results[[#This Row],[Winning Team]]="")),"-",IF(Table46[[#This Row],[Predicted Winner]]=NHL2025_26Results[[#This Row],[Winning Team]],"YES","NO"))</f>
        <v>-</v>
      </c>
      <c r="O710" t="str">
        <f>IF(OR((NHL2025_26Results[[#This Row],[Winning Team]]="")),"-",IF(Table46[[#This Row],[Prob Winner]]=NHL2025_26Results[[#This Row],[Winning Team]],"YES","NO"))</f>
        <v>-</v>
      </c>
      <c r="P710" t="str">
        <f>IF(Table46[[#This Row],[Locked Prediction]]&lt;&gt;Table46[[#This Row],[Prob Winner]], "Changed", "Same")</f>
        <v>Changed</v>
      </c>
      <c r="Q71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11" spans="4:17" x14ac:dyDescent="0.2">
      <c r="D711" s="1">
        <v>46032</v>
      </c>
      <c r="E711" s="2">
        <v>0.91666666666666663</v>
      </c>
      <c r="F711" t="s">
        <v>20</v>
      </c>
      <c r="G711">
        <f>VLOOKUP(Table46[[#This Row],[Home]],'NHL Model'!$A$6:$B$38,2,FALSE)</f>
        <v>-6.3745791019188943E-4</v>
      </c>
      <c r="H711" t="s">
        <v>35</v>
      </c>
      <c r="I711">
        <f>VLOOKUP(Table46[[#This Row],[Visitor]],'NHL Model'!$A$6:$B$38,2,FALSE)</f>
        <v>-1.6211574240381006</v>
      </c>
      <c r="J711">
        <f>($B$1+Table46[[#This Row],[Home Differential]])-Table46[[#This Row],[Away Differential]]</f>
        <v>1.783092275790227</v>
      </c>
      <c r="K711" t="str">
        <f>IF(Table46[[#This Row],[HomeIce Differential]]&gt;0,Table46[[#This Row],[Home]],Table46[[#This Row],[Visitor]])</f>
        <v>Vegas Golden Knights</v>
      </c>
      <c r="L7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0.77700685335993624</v>
      </c>
      <c r="M711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711" t="str">
        <f>IF(OR((NHL2025_26Results[[#This Row],[Winning Team]]="")),"-",IF(Table46[[#This Row],[Predicted Winner]]=NHL2025_26Results[[#This Row],[Winning Team]],"YES","NO"))</f>
        <v>-</v>
      </c>
      <c r="O711" t="str">
        <f>IF(OR((NHL2025_26Results[[#This Row],[Winning Team]]="")),"-",IF(Table46[[#This Row],[Prob Winner]]=NHL2025_26Results[[#This Row],[Winning Team]],"YES","NO"))</f>
        <v>-</v>
      </c>
      <c r="P711" t="str">
        <f>IF(Table46[[#This Row],[Locked Prediction]]&lt;&gt;Table46[[#This Row],[Prob Winner]], "Changed", "Same")</f>
        <v>Changed</v>
      </c>
      <c r="Q71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12" spans="4:17" x14ac:dyDescent="0.2">
      <c r="D712" s="1">
        <v>46033</v>
      </c>
      <c r="E712" s="2">
        <v>0.70833333333333337</v>
      </c>
      <c r="F712" t="s">
        <v>21</v>
      </c>
      <c r="G712">
        <f>VLOOKUP(Table46[[#This Row],[Home]],'NHL Model'!$A$6:$B$38,2,FALSE)</f>
        <v>4.029141914856392E-2</v>
      </c>
      <c r="H712" t="s">
        <v>14</v>
      </c>
      <c r="I712">
        <f>VLOOKUP(Table46[[#This Row],[Visitor]],'NHL Model'!$A$6:$B$38,2,FALSE)</f>
        <v>0.26289091192875702</v>
      </c>
      <c r="J712">
        <f>($B$1+Table46[[#This Row],[Home Differential]])-Table46[[#This Row],[Away Differential]]</f>
        <v>-6.0027183117874694E-2</v>
      </c>
      <c r="K712" t="str">
        <f>IF(Table46[[#This Row],[HomeIce Differential]]&gt;0,Table46[[#This Row],[Home]],Table46[[#This Row],[Visitor]])</f>
        <v>Pittsburgh Penguins</v>
      </c>
      <c r="L7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0.39542132626954074</v>
      </c>
      <c r="M712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712" t="str">
        <f>IF(OR((NHL2025_26Results[[#This Row],[Winning Team]]="")),"-",IF(Table46[[#This Row],[Predicted Winner]]=NHL2025_26Results[[#This Row],[Winning Team]],"YES","NO"))</f>
        <v>-</v>
      </c>
      <c r="O712" t="str">
        <f>IF(OR((NHL2025_26Results[[#This Row],[Winning Team]]="")),"-",IF(Table46[[#This Row],[Prob Winner]]=NHL2025_26Results[[#This Row],[Winning Team]],"YES","NO"))</f>
        <v>-</v>
      </c>
      <c r="P712" t="str">
        <f>IF(Table46[[#This Row],[Locked Prediction]]&lt;&gt;Table46[[#This Row],[Prob Winner]], "Changed", "Same")</f>
        <v>Changed</v>
      </c>
      <c r="Q71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13" spans="4:17" x14ac:dyDescent="0.2">
      <c r="D713" s="1">
        <v>46033</v>
      </c>
      <c r="E713" s="2">
        <v>0.79166666666666663</v>
      </c>
      <c r="F713" t="s">
        <v>29</v>
      </c>
      <c r="G713">
        <f>VLOOKUP(Table46[[#This Row],[Home]],'NHL Model'!$A$6:$B$38,2,FALSE)</f>
        <v>-1.3516250707060606</v>
      </c>
      <c r="H713" t="s">
        <v>22</v>
      </c>
      <c r="I713">
        <f>VLOOKUP(Table46[[#This Row],[Visitor]],'NHL Model'!$A$6:$B$38,2,FALSE)</f>
        <v>-6.1308839486784707E-2</v>
      </c>
      <c r="J713">
        <f>($B$1+Table46[[#This Row],[Home Differential]])-Table46[[#This Row],[Away Differential]]</f>
        <v>-1.1277439215569576</v>
      </c>
      <c r="K713" t="str">
        <f>IF(Table46[[#This Row],[HomeIce Differential]]&gt;0,Table46[[#This Row],[Home]],Table46[[#This Row],[Visitor]])</f>
        <v>Washington Capitals</v>
      </c>
      <c r="L7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0.60989860136405749</v>
      </c>
      <c r="M713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713" t="str">
        <f>IF(OR((NHL2025_26Results[[#This Row],[Winning Team]]="")),"-",IF(Table46[[#This Row],[Predicted Winner]]=NHL2025_26Results[[#This Row],[Winning Team]],"YES","NO"))</f>
        <v>-</v>
      </c>
      <c r="O713" t="str">
        <f>IF(OR((NHL2025_26Results[[#This Row],[Winning Team]]="")),"-",IF(Table46[[#This Row],[Prob Winner]]=NHL2025_26Results[[#This Row],[Winning Team]],"YES","NO"))</f>
        <v>-</v>
      </c>
      <c r="P713" t="str">
        <f>IF(Table46[[#This Row],[Locked Prediction]]&lt;&gt;Table46[[#This Row],[Prob Winner]], "Changed", "Same")</f>
        <v>Changed</v>
      </c>
      <c r="Q71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14" spans="4:17" x14ac:dyDescent="0.2">
      <c r="D714" s="1">
        <v>46033</v>
      </c>
      <c r="E714" s="2">
        <v>0.83333333333333337</v>
      </c>
      <c r="F714" t="s">
        <v>33</v>
      </c>
      <c r="G714">
        <f>VLOOKUP(Table46[[#This Row],[Home]],'NHL Model'!$A$6:$B$38,2,FALSE)</f>
        <v>-0.39418177254008485</v>
      </c>
      <c r="H714" t="s">
        <v>20</v>
      </c>
      <c r="I714">
        <f>VLOOKUP(Table46[[#This Row],[Visitor]],'NHL Model'!$A$6:$B$38,2,FALSE)</f>
        <v>-6.3745791019188943E-4</v>
      </c>
      <c r="J714">
        <f>($B$1+Table46[[#This Row],[Home Differential]])-Table46[[#This Row],[Away Differential]]</f>
        <v>-0.23097200496757456</v>
      </c>
      <c r="K714" t="str">
        <f>IF(Table46[[#This Row],[HomeIce Differential]]&gt;0,Table46[[#This Row],[Home]],Table46[[#This Row],[Visitor]])</f>
        <v>Vegas Golden Knights</v>
      </c>
      <c r="L71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0.51146980014236654</v>
      </c>
      <c r="M714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714" t="str">
        <f>IF(OR((NHL2025_26Results[[#This Row],[Winning Team]]="")),"-",IF(Table46[[#This Row],[Predicted Winner]]=NHL2025_26Results[[#This Row],[Winning Team]],"YES","NO"))</f>
        <v>-</v>
      </c>
      <c r="O714" t="str">
        <f>IF(OR((NHL2025_26Results[[#This Row],[Winning Team]]="")),"-",IF(Table46[[#This Row],[Prob Winner]]=NHL2025_26Results[[#This Row],[Winning Team]],"YES","NO"))</f>
        <v>-</v>
      </c>
      <c r="P714" t="str">
        <f>IF(Table46[[#This Row],[Locked Prediction]]&lt;&gt;Table46[[#This Row],[Prob Winner]], "Changed", "Same")</f>
        <v>Changed</v>
      </c>
      <c r="Q71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15" spans="4:17" x14ac:dyDescent="0.2">
      <c r="D715" s="1">
        <v>46033</v>
      </c>
      <c r="E715" s="2">
        <v>0.79166666666666663</v>
      </c>
      <c r="F715" t="s">
        <v>55</v>
      </c>
      <c r="G715">
        <f>VLOOKUP(Table46[[#This Row],[Home]],'NHL Model'!$A$6:$B$38,2,FALSE)</f>
        <v>-0.12212311954851815</v>
      </c>
      <c r="H715" t="s">
        <v>28</v>
      </c>
      <c r="I715">
        <f>VLOOKUP(Table46[[#This Row],[Visitor]],'NHL Model'!$A$6:$B$38,2,FALSE)</f>
        <v>-0.40822279081308277</v>
      </c>
      <c r="J715">
        <f>($B$1+Table46[[#This Row],[Home Differential]])-Table46[[#This Row],[Away Differential]]</f>
        <v>0.44867198092688299</v>
      </c>
      <c r="K715" t="str">
        <f>IF(Table46[[#This Row],[HomeIce Differential]]&gt;0,Table46[[#This Row],[Home]],Table46[[#This Row],[Visitor]])</f>
        <v>Utah Mammoth</v>
      </c>
      <c r="L71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0.64787232795714533</v>
      </c>
      <c r="M715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715" t="str">
        <f>IF(OR((NHL2025_26Results[[#This Row],[Winning Team]]="")),"-",IF(Table46[[#This Row],[Predicted Winner]]=NHL2025_26Results[[#This Row],[Winning Team]],"YES","NO"))</f>
        <v>-</v>
      </c>
      <c r="O715" t="str">
        <f>IF(OR((NHL2025_26Results[[#This Row],[Winning Team]]="")),"-",IF(Table46[[#This Row],[Prob Winner]]=NHL2025_26Results[[#This Row],[Winning Team]],"YES","NO"))</f>
        <v>-</v>
      </c>
      <c r="P715" t="str">
        <f>IF(Table46[[#This Row],[Locked Prediction]]&lt;&gt;Table46[[#This Row],[Prob Winner]], "Changed", "Same")</f>
        <v>Changed</v>
      </c>
      <c r="Q71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16" spans="4:17" x14ac:dyDescent="0.2">
      <c r="D716" s="1">
        <v>46033</v>
      </c>
      <c r="E716" s="2">
        <v>0.58333333333333337</v>
      </c>
      <c r="F716" t="s">
        <v>40</v>
      </c>
      <c r="G716">
        <f>VLOOKUP(Table46[[#This Row],[Home]],'NHL Model'!$A$6:$B$38,2,FALSE)</f>
        <v>0.105105258369765</v>
      </c>
      <c r="H716" t="s">
        <v>24</v>
      </c>
      <c r="I716">
        <f>VLOOKUP(Table46[[#This Row],[Visitor]],'NHL Model'!$A$6:$B$38,2,FALSE)</f>
        <v>0.559441163373953</v>
      </c>
      <c r="J716">
        <f>($B$1+Table46[[#This Row],[Home Differential]])-Table46[[#This Row],[Away Differential]]</f>
        <v>-0.29176359534186957</v>
      </c>
      <c r="K716" t="str">
        <f>IF(Table46[[#This Row],[HomeIce Differential]]&gt;0,Table46[[#This Row],[Home]],Table46[[#This Row],[Visitor]])</f>
        <v>New Jersey Devils</v>
      </c>
      <c r="L71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0.52857684552172679</v>
      </c>
      <c r="M716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716" t="str">
        <f>IF(OR((NHL2025_26Results[[#This Row],[Winning Team]]="")),"-",IF(Table46[[#This Row],[Predicted Winner]]=NHL2025_26Results[[#This Row],[Winning Team]],"YES","NO"))</f>
        <v>-</v>
      </c>
      <c r="O716" t="str">
        <f>IF(OR((NHL2025_26Results[[#This Row],[Winning Team]]="")),"-",IF(Table46[[#This Row],[Prob Winner]]=NHL2025_26Results[[#This Row],[Winning Team]],"YES","NO"))</f>
        <v>-</v>
      </c>
      <c r="P716" t="str">
        <f>IF(Table46[[#This Row],[Locked Prediction]]&lt;&gt;Table46[[#This Row],[Prob Winner]], "Changed", "Same")</f>
        <v>Changed</v>
      </c>
      <c r="Q71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17" spans="4:17" x14ac:dyDescent="0.2">
      <c r="D717" s="1">
        <v>46034</v>
      </c>
      <c r="E717" s="2">
        <v>0.79166666666666663</v>
      </c>
      <c r="F717" t="s">
        <v>23</v>
      </c>
      <c r="G717">
        <f>VLOOKUP(Table46[[#This Row],[Home]],'NHL Model'!$A$6:$B$38,2,FALSE)</f>
        <v>-0.8683412362501769</v>
      </c>
      <c r="H717" t="s">
        <v>11</v>
      </c>
      <c r="I717">
        <f>VLOOKUP(Table46[[#This Row],[Visitor]],'NHL Model'!$A$6:$B$38,2,FALSE)</f>
        <v>-0.28105923893144158</v>
      </c>
      <c r="J717">
        <f>($B$1+Table46[[#This Row],[Home Differential]])-Table46[[#This Row],[Away Differential]]</f>
        <v>-0.42470968765641692</v>
      </c>
      <c r="K717" t="str">
        <f>IF(Table46[[#This Row],[HomeIce Differential]]&gt;0,Table46[[#This Row],[Home]],Table46[[#This Row],[Visitor]])</f>
        <v>Florida Panthers</v>
      </c>
      <c r="L71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0.51645198963038463</v>
      </c>
      <c r="M717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717" t="str">
        <f>IF(OR((NHL2025_26Results[[#This Row],[Winning Team]]="")),"-",IF(Table46[[#This Row],[Predicted Winner]]=NHL2025_26Results[[#This Row],[Winning Team]],"YES","NO"))</f>
        <v>-</v>
      </c>
      <c r="O717" t="str">
        <f>IF(OR((NHL2025_26Results[[#This Row],[Winning Team]]="")),"-",IF(Table46[[#This Row],[Prob Winner]]=NHL2025_26Results[[#This Row],[Winning Team]],"YES","NO"))</f>
        <v>-</v>
      </c>
      <c r="P717" t="str">
        <f>IF(Table46[[#This Row],[Locked Prediction]]&lt;&gt;Table46[[#This Row],[Prob Winner]], "Changed", "Same")</f>
        <v>Changed</v>
      </c>
      <c r="Q71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18" spans="4:17" x14ac:dyDescent="0.2">
      <c r="D718" s="1">
        <v>46034</v>
      </c>
      <c r="E718" s="2">
        <v>0.85416666666666663</v>
      </c>
      <c r="F718" t="s">
        <v>10</v>
      </c>
      <c r="G718">
        <f>VLOOKUP(Table46[[#This Row],[Home]],'NHL Model'!$A$6:$B$38,2,FALSE)</f>
        <v>0.30570968833820172</v>
      </c>
      <c r="H718" t="s">
        <v>17</v>
      </c>
      <c r="I718">
        <f>VLOOKUP(Table46[[#This Row],[Visitor]],'NHL Model'!$A$6:$B$38,2,FALSE)</f>
        <v>-0.61980804137564283</v>
      </c>
      <c r="J718">
        <f>($B$1+Table46[[#This Row],[Home Differential]])-Table46[[#This Row],[Away Differential]]</f>
        <v>1.088090039376163</v>
      </c>
      <c r="K718" t="str">
        <f>IF(Table46[[#This Row],[HomeIce Differential]]&gt;0,Table46[[#This Row],[Home]],Table46[[#This Row],[Visitor]])</f>
        <v>Chicago Blackhawks</v>
      </c>
      <c r="L71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0.68462784675041266</v>
      </c>
      <c r="M718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718" t="str">
        <f>IF(OR((NHL2025_26Results[[#This Row],[Winning Team]]="")),"-",IF(Table46[[#This Row],[Predicted Winner]]=NHL2025_26Results[[#This Row],[Winning Team]],"YES","NO"))</f>
        <v>-</v>
      </c>
      <c r="O718" t="str">
        <f>IF(OR((NHL2025_26Results[[#This Row],[Winning Team]]="")),"-",IF(Table46[[#This Row],[Prob Winner]]=NHL2025_26Results[[#This Row],[Winning Team]],"YES","NO"))</f>
        <v>-</v>
      </c>
      <c r="P718" t="str">
        <f>IF(Table46[[#This Row],[Locked Prediction]]&lt;&gt;Table46[[#This Row],[Prob Winner]], "Changed", "Same")</f>
        <v>Changed</v>
      </c>
      <c r="Q71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19" spans="4:17" x14ac:dyDescent="0.2">
      <c r="D719" s="1">
        <v>46034</v>
      </c>
      <c r="E719" s="2">
        <v>0.91666666666666663</v>
      </c>
      <c r="F719" t="s">
        <v>12</v>
      </c>
      <c r="G719">
        <f>VLOOKUP(Table46[[#This Row],[Home]],'NHL Model'!$A$6:$B$38,2,FALSE)</f>
        <v>1.5475013591489768</v>
      </c>
      <c r="H719" t="s">
        <v>19</v>
      </c>
      <c r="I719">
        <f>VLOOKUP(Table46[[#This Row],[Visitor]],'NHL Model'!$A$6:$B$38,2,FALSE)</f>
        <v>-0.635565543477981</v>
      </c>
      <c r="J719">
        <f>($B$1+Table46[[#This Row],[Home Differential]])-Table46[[#This Row],[Away Differential]]</f>
        <v>2.3456392122892762</v>
      </c>
      <c r="K719" t="str">
        <f>IF(Table46[[#This Row],[HomeIce Differential]]&gt;0,Table46[[#This Row],[Home]],Table46[[#This Row],[Visitor]])</f>
        <v>Colorado Avalanche</v>
      </c>
      <c r="L71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0.94014628088731356</v>
      </c>
      <c r="M719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719" t="str">
        <f>IF(OR((NHL2025_26Results[[#This Row],[Winning Team]]="")),"-",IF(Table46[[#This Row],[Predicted Winner]]=NHL2025_26Results[[#This Row],[Winning Team]],"YES","NO"))</f>
        <v>-</v>
      </c>
      <c r="O719" t="str">
        <f>IF(OR((NHL2025_26Results[[#This Row],[Winning Team]]="")),"-",IF(Table46[[#This Row],[Prob Winner]]=NHL2025_26Results[[#This Row],[Winning Team]],"YES","NO"))</f>
        <v>-</v>
      </c>
      <c r="P719" t="str">
        <f>IF(Table46[[#This Row],[Locked Prediction]]&lt;&gt;Table46[[#This Row],[Prob Winner]], "Changed", "Same")</f>
        <v>Changed</v>
      </c>
      <c r="Q71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20" spans="4:17" x14ac:dyDescent="0.2">
      <c r="D720" s="1">
        <v>46034</v>
      </c>
      <c r="E720" s="2">
        <v>0.79166666666666663</v>
      </c>
      <c r="F720" t="s">
        <v>26</v>
      </c>
      <c r="G720">
        <f>VLOOKUP(Table46[[#This Row],[Home]],'NHL Model'!$A$6:$B$38,2,FALSE)</f>
        <v>-0.513643833119658</v>
      </c>
      <c r="H720" t="s">
        <v>25</v>
      </c>
      <c r="I720">
        <f>VLOOKUP(Table46[[#This Row],[Visitor]],'NHL Model'!$A$6:$B$38,2,FALSE)</f>
        <v>0.67193921242367816</v>
      </c>
      <c r="J720">
        <f>($B$1+Table46[[#This Row],[Home Differential]])-Table46[[#This Row],[Away Differential]]</f>
        <v>-1.0230107358810177</v>
      </c>
      <c r="K720" t="str">
        <f>IF(Table46[[#This Row],[HomeIce Differential]]&gt;0,Table46[[#This Row],[Home]],Table46[[#This Row],[Visitor]])</f>
        <v>Carolina Hurricanes</v>
      </c>
      <c r="L72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0.66229335987572058</v>
      </c>
      <c r="M720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720" t="str">
        <f>IF(OR((NHL2025_26Results[[#This Row],[Winning Team]]="")),"-",IF(Table46[[#This Row],[Predicted Winner]]=NHL2025_26Results[[#This Row],[Winning Team]],"YES","NO"))</f>
        <v>-</v>
      </c>
      <c r="O720" t="str">
        <f>IF(OR((NHL2025_26Results[[#This Row],[Winning Team]]="")),"-",IF(Table46[[#This Row],[Prob Winner]]=NHL2025_26Results[[#This Row],[Winning Team]],"YES","NO"))</f>
        <v>-</v>
      </c>
      <c r="P720" t="str">
        <f>IF(Table46[[#This Row],[Locked Prediction]]&lt;&gt;Table46[[#This Row],[Prob Winner]], "Changed", "Same")</f>
        <v>Changed</v>
      </c>
      <c r="Q72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21" spans="4:17" x14ac:dyDescent="0.2">
      <c r="D721" s="1">
        <v>46034</v>
      </c>
      <c r="E721" s="2">
        <v>0.91666666666666663</v>
      </c>
      <c r="F721" t="s">
        <v>13</v>
      </c>
      <c r="G721">
        <f>VLOOKUP(Table46[[#This Row],[Home]],'NHL Model'!$A$6:$B$38,2,FALSE)</f>
        <v>-7.5459708298993802E-2</v>
      </c>
      <c r="H721" t="s">
        <v>39</v>
      </c>
      <c r="I721">
        <f>VLOOKUP(Table46[[#This Row],[Visitor]],'NHL Model'!$A$6:$B$38,2,FALSE)</f>
        <v>0.19809534061227302</v>
      </c>
      <c r="J721">
        <f>($B$1+Table46[[#This Row],[Home Differential]])-Table46[[#This Row],[Away Differential]]</f>
        <v>-0.11098273924894843</v>
      </c>
      <c r="K721" t="str">
        <f>IF(Table46[[#This Row],[HomeIce Differential]]&gt;0,Table46[[#This Row],[Home]],Table46[[#This Row],[Visitor]])</f>
        <v>Dallas Stars</v>
      </c>
      <c r="L72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0.56723790325779</v>
      </c>
      <c r="M721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721" t="str">
        <f>IF(OR((NHL2025_26Results[[#This Row],[Winning Team]]="")),"-",IF(Table46[[#This Row],[Predicted Winner]]=NHL2025_26Results[[#This Row],[Winning Team]],"YES","NO"))</f>
        <v>-</v>
      </c>
      <c r="O721" t="str">
        <f>IF(OR((NHL2025_26Results[[#This Row],[Winning Team]]="")),"-",IF(Table46[[#This Row],[Prob Winner]]=NHL2025_26Results[[#This Row],[Winning Team]],"YES","NO"))</f>
        <v>-</v>
      </c>
      <c r="P721" t="str">
        <f>IF(Table46[[#This Row],[Locked Prediction]]&lt;&gt;Table46[[#This Row],[Prob Winner]], "Changed", "Same")</f>
        <v>Changed</v>
      </c>
      <c r="Q72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22" spans="4:17" x14ac:dyDescent="0.2">
      <c r="D722" s="1">
        <v>46034</v>
      </c>
      <c r="E722" s="2">
        <v>0.83333333333333337</v>
      </c>
      <c r="F722" t="s">
        <v>34</v>
      </c>
      <c r="G722">
        <f>VLOOKUP(Table46[[#This Row],[Home]],'NHL Model'!$A$6:$B$38,2,FALSE)</f>
        <v>-0.53650300840565446</v>
      </c>
      <c r="H722" t="s">
        <v>24</v>
      </c>
      <c r="I722">
        <f>VLOOKUP(Table46[[#This Row],[Visitor]],'NHL Model'!$A$6:$B$38,2,FALSE)</f>
        <v>0.559441163373953</v>
      </c>
      <c r="J722">
        <f>($B$1+Table46[[#This Row],[Home Differential]])-Table46[[#This Row],[Away Differential]]</f>
        <v>-0.93337186211728906</v>
      </c>
      <c r="K722" t="str">
        <f>IF(Table46[[#This Row],[HomeIce Differential]]&gt;0,Table46[[#This Row],[Home]],Table46[[#This Row],[Visitor]])</f>
        <v>New Jersey Devils</v>
      </c>
      <c r="L72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0.65037864985318139</v>
      </c>
      <c r="M722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722" t="str">
        <f>IF(OR((NHL2025_26Results[[#This Row],[Winning Team]]="")),"-",IF(Table46[[#This Row],[Predicted Winner]]=NHL2025_26Results[[#This Row],[Winning Team]],"YES","NO"))</f>
        <v>-</v>
      </c>
      <c r="O722" t="str">
        <f>IF(OR((NHL2025_26Results[[#This Row],[Winning Team]]="")),"-",IF(Table46[[#This Row],[Prob Winner]]=NHL2025_26Results[[#This Row],[Winning Team]],"YES","NO"))</f>
        <v>-</v>
      </c>
      <c r="P722" t="str">
        <f>IF(Table46[[#This Row],[Locked Prediction]]&lt;&gt;Table46[[#This Row],[Prob Winner]], "Changed", "Same")</f>
        <v>Changed</v>
      </c>
      <c r="Q72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23" spans="4:17" x14ac:dyDescent="0.2">
      <c r="D723" s="1">
        <v>46034</v>
      </c>
      <c r="E723" s="2">
        <v>0.8125</v>
      </c>
      <c r="F723" t="s">
        <v>18</v>
      </c>
      <c r="G723">
        <f>VLOOKUP(Table46[[#This Row],[Home]],'NHL Model'!$A$6:$B$38,2,FALSE)</f>
        <v>-0.52437726201848234</v>
      </c>
      <c r="H723" t="s">
        <v>38</v>
      </c>
      <c r="I723">
        <f>VLOOKUP(Table46[[#This Row],[Visitor]],'NHL Model'!$A$6:$B$38,2,FALSE)</f>
        <v>-0.6902088310934803</v>
      </c>
      <c r="J723">
        <f>($B$1+Table46[[#This Row],[Home Differential]])-Table46[[#This Row],[Away Differential]]</f>
        <v>0.32840387873731636</v>
      </c>
      <c r="K723" t="str">
        <f>IF(Table46[[#This Row],[HomeIce Differential]]&gt;0,Table46[[#This Row],[Home]],Table46[[#This Row],[Visitor]])</f>
        <v>Montreal Canadiens</v>
      </c>
      <c r="L72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0.54113855439815306</v>
      </c>
      <c r="M723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723" t="str">
        <f>IF(OR((NHL2025_26Results[[#This Row],[Winning Team]]="")),"-",IF(Table46[[#This Row],[Predicted Winner]]=NHL2025_26Results[[#This Row],[Winning Team]],"YES","NO"))</f>
        <v>-</v>
      </c>
      <c r="O723" t="str">
        <f>IF(OR((NHL2025_26Results[[#This Row],[Winning Team]]="")),"-",IF(Table46[[#This Row],[Prob Winner]]=NHL2025_26Results[[#This Row],[Winning Team]],"YES","NO"))</f>
        <v>-</v>
      </c>
      <c r="P723" t="str">
        <f>IF(Table46[[#This Row],[Locked Prediction]]&lt;&gt;Table46[[#This Row],[Prob Winner]], "Changed", "Same")</f>
        <v>Changed</v>
      </c>
      <c r="Q72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24" spans="4:17" x14ac:dyDescent="0.2">
      <c r="D724" s="1">
        <v>46034</v>
      </c>
      <c r="E724" s="2">
        <v>0.79166666666666663</v>
      </c>
      <c r="F724" t="s">
        <v>15</v>
      </c>
      <c r="G724">
        <f>VLOOKUP(Table46[[#This Row],[Home]],'NHL Model'!$A$6:$B$38,2,FALSE)</f>
        <v>-0.30719665303039001</v>
      </c>
      <c r="H724" t="s">
        <v>32</v>
      </c>
      <c r="I724">
        <f>VLOOKUP(Table46[[#This Row],[Visitor]],'NHL Model'!$A$6:$B$38,2,FALSE)</f>
        <v>-0.361361309178443</v>
      </c>
      <c r="J724">
        <f>($B$1+Table46[[#This Row],[Home Differential]])-Table46[[#This Row],[Away Differential]]</f>
        <v>0.21673696581037138</v>
      </c>
      <c r="K724" t="str">
        <f>IF(Table46[[#This Row],[HomeIce Differential]]&gt;0,Table46[[#This Row],[Home]],Table46[[#This Row],[Visitor]])</f>
        <v>New York Rangers</v>
      </c>
      <c r="L72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0.56880846211435188</v>
      </c>
      <c r="M724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724" t="str">
        <f>IF(OR((NHL2025_26Results[[#This Row],[Winning Team]]="")),"-",IF(Table46[[#This Row],[Predicted Winner]]=NHL2025_26Results[[#This Row],[Winning Team]],"YES","NO"))</f>
        <v>-</v>
      </c>
      <c r="O724" t="str">
        <f>IF(OR((NHL2025_26Results[[#This Row],[Winning Team]]="")),"-",IF(Table46[[#This Row],[Prob Winner]]=NHL2025_26Results[[#This Row],[Winning Team]],"YES","NO"))</f>
        <v>-</v>
      </c>
      <c r="P724" t="str">
        <f>IF(Table46[[#This Row],[Locked Prediction]]&lt;&gt;Table46[[#This Row],[Prob Winner]], "Changed", "Same")</f>
        <v>Changed</v>
      </c>
      <c r="Q72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25" spans="4:17" x14ac:dyDescent="0.2">
      <c r="D725" s="1">
        <v>46034</v>
      </c>
      <c r="E725" s="2">
        <v>0.79166666666666663</v>
      </c>
      <c r="F725" t="s">
        <v>27</v>
      </c>
      <c r="G725">
        <f>VLOOKUP(Table46[[#This Row],[Home]],'NHL Model'!$A$6:$B$38,2,FALSE)</f>
        <v>-0.51358590497437617</v>
      </c>
      <c r="H725" t="s">
        <v>37</v>
      </c>
      <c r="I725">
        <f>VLOOKUP(Table46[[#This Row],[Visitor]],'NHL Model'!$A$6:$B$38,2,FALSE)</f>
        <v>-0.11309445867623392</v>
      </c>
      <c r="J725">
        <f>($B$1+Table46[[#This Row],[Home Differential]])-Table46[[#This Row],[Away Differential]]</f>
        <v>-0.23791913663582387</v>
      </c>
      <c r="K725" t="str">
        <f>IF(Table46[[#This Row],[HomeIce Differential]]&gt;0,Table46[[#This Row],[Home]],Table46[[#This Row],[Visitor]])</f>
        <v>Tampa Bay Lightning</v>
      </c>
      <c r="L72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0.53621113117410857</v>
      </c>
      <c r="M725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725" t="str">
        <f>IF(OR((NHL2025_26Results[[#This Row],[Winning Team]]="")),"-",IF(Table46[[#This Row],[Predicted Winner]]=NHL2025_26Results[[#This Row],[Winning Team]],"YES","NO"))</f>
        <v>-</v>
      </c>
      <c r="O725" t="str">
        <f>IF(OR((NHL2025_26Results[[#This Row],[Winning Team]]="")),"-",IF(Table46[[#This Row],[Prob Winner]]=NHL2025_26Results[[#This Row],[Winning Team]],"YES","NO"))</f>
        <v>-</v>
      </c>
      <c r="P725" t="str">
        <f>IF(Table46[[#This Row],[Locked Prediction]]&lt;&gt;Table46[[#This Row],[Prob Winner]], "Changed", "Same")</f>
        <v>Changed</v>
      </c>
      <c r="Q72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26" spans="4:17" x14ac:dyDescent="0.2">
      <c r="D726" s="1">
        <v>46035</v>
      </c>
      <c r="E726" s="2">
        <v>0.91666666666666663</v>
      </c>
      <c r="F726" t="s">
        <v>31</v>
      </c>
      <c r="G726">
        <f>VLOOKUP(Table46[[#This Row],[Home]],'NHL Model'!$A$6:$B$38,2,FALSE)</f>
        <v>0.51775546328552802</v>
      </c>
      <c r="H726" t="s">
        <v>39</v>
      </c>
      <c r="I726">
        <f>VLOOKUP(Table46[[#This Row],[Visitor]],'NHL Model'!$A$6:$B$38,2,FALSE)</f>
        <v>0.19809534061227302</v>
      </c>
      <c r="J726">
        <f>($B$1+Table46[[#This Row],[Home Differential]])-Table46[[#This Row],[Away Differential]]</f>
        <v>0.48223243233557339</v>
      </c>
      <c r="K726" t="str">
        <f>IF(Table46[[#This Row],[HomeIce Differential]]&gt;0,Table46[[#This Row],[Home]],Table46[[#This Row],[Visitor]])</f>
        <v>Anaheim Ducks</v>
      </c>
      <c r="L72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0.61965341124578377</v>
      </c>
      <c r="M726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726" t="str">
        <f>IF(OR((NHL2025_26Results[[#This Row],[Winning Team]]="")),"-",IF(Table46[[#This Row],[Predicted Winner]]=NHL2025_26Results[[#This Row],[Winning Team]],"YES","NO"))</f>
        <v>-</v>
      </c>
      <c r="O726" t="str">
        <f>IF(OR((NHL2025_26Results[[#This Row],[Winning Team]]="")),"-",IF(Table46[[#This Row],[Prob Winner]]=NHL2025_26Results[[#This Row],[Winning Team]],"YES","NO"))</f>
        <v>-</v>
      </c>
      <c r="P726" t="str">
        <f>IF(Table46[[#This Row],[Locked Prediction]]&lt;&gt;Table46[[#This Row],[Prob Winner]], "Changed", "Same")</f>
        <v>Changed</v>
      </c>
      <c r="Q72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27" spans="4:17" x14ac:dyDescent="0.2">
      <c r="D727" s="1">
        <v>46035</v>
      </c>
      <c r="E727" s="2">
        <v>0.8125</v>
      </c>
      <c r="F727" t="s">
        <v>21</v>
      </c>
      <c r="G727">
        <f>VLOOKUP(Table46[[#This Row],[Home]],'NHL Model'!$A$6:$B$38,2,FALSE)</f>
        <v>4.029141914856392E-2</v>
      </c>
      <c r="H727" t="s">
        <v>26</v>
      </c>
      <c r="I727">
        <f>VLOOKUP(Table46[[#This Row],[Visitor]],'NHL Model'!$A$6:$B$38,2,FALSE)</f>
        <v>-0.513643833119658</v>
      </c>
      <c r="J727">
        <f>($B$1+Table46[[#This Row],[Home Differential]])-Table46[[#This Row],[Away Differential]]</f>
        <v>0.71650756193054033</v>
      </c>
      <c r="K727" t="str">
        <f>IF(Table46[[#This Row],[HomeIce Differential]]&gt;0,Table46[[#This Row],[Home]],Table46[[#This Row],[Visitor]])</f>
        <v>Boston Bruins</v>
      </c>
      <c r="L72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0.6621666069646428</v>
      </c>
      <c r="M727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727" t="str">
        <f>IF(OR((NHL2025_26Results[[#This Row],[Winning Team]]="")),"-",IF(Table46[[#This Row],[Predicted Winner]]=NHL2025_26Results[[#This Row],[Winning Team]],"YES","NO"))</f>
        <v>-</v>
      </c>
      <c r="O727" t="str">
        <f>IF(OR((NHL2025_26Results[[#This Row],[Winning Team]]="")),"-",IF(Table46[[#This Row],[Prob Winner]]=NHL2025_26Results[[#This Row],[Winning Team]],"YES","NO"))</f>
        <v>-</v>
      </c>
      <c r="P727" t="str">
        <f>IF(Table46[[#This Row],[Locked Prediction]]&lt;&gt;Table46[[#This Row],[Prob Winner]], "Changed", "Same")</f>
        <v>Changed</v>
      </c>
      <c r="Q72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28" spans="4:17" x14ac:dyDescent="0.2">
      <c r="D728" s="1">
        <v>46035</v>
      </c>
      <c r="E728" s="2">
        <v>0.79166666666666663</v>
      </c>
      <c r="F728" t="s">
        <v>28</v>
      </c>
      <c r="G728">
        <f>VLOOKUP(Table46[[#This Row],[Home]],'NHL Model'!$A$6:$B$38,2,FALSE)</f>
        <v>-0.40822279081308277</v>
      </c>
      <c r="H728" t="s">
        <v>16</v>
      </c>
      <c r="I728">
        <f>VLOOKUP(Table46[[#This Row],[Visitor]],'NHL Model'!$A$6:$B$38,2,FALSE)</f>
        <v>-1.3903684122795328</v>
      </c>
      <c r="J728">
        <f>($B$1+Table46[[#This Row],[Home Differential]])-Table46[[#This Row],[Away Differential]]</f>
        <v>1.1447179311287683</v>
      </c>
      <c r="K728" t="str">
        <f>IF(Table46[[#This Row],[HomeIce Differential]]&gt;0,Table46[[#This Row],[Home]],Table46[[#This Row],[Visitor]])</f>
        <v>Columbus Blue Jackets</v>
      </c>
      <c r="L72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0.69215476984851432</v>
      </c>
      <c r="M728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728" t="str">
        <f>IF(OR((NHL2025_26Results[[#This Row],[Winning Team]]="")),"-",IF(Table46[[#This Row],[Predicted Winner]]=NHL2025_26Results[[#This Row],[Winning Team]],"YES","NO"))</f>
        <v>-</v>
      </c>
      <c r="O728" t="str">
        <f>IF(OR((NHL2025_26Results[[#This Row],[Winning Team]]="")),"-",IF(Table46[[#This Row],[Prob Winner]]=NHL2025_26Results[[#This Row],[Winning Team]],"YES","NO"))</f>
        <v>-</v>
      </c>
      <c r="P728" t="str">
        <f>IF(Table46[[#This Row],[Locked Prediction]]&lt;&gt;Table46[[#This Row],[Prob Winner]], "Changed", "Same")</f>
        <v>Changed</v>
      </c>
      <c r="Q72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29" spans="4:17" x14ac:dyDescent="0.2">
      <c r="D729" s="1">
        <v>46035</v>
      </c>
      <c r="E729" s="2">
        <v>0.83333333333333337</v>
      </c>
      <c r="F729" t="s">
        <v>29</v>
      </c>
      <c r="G729">
        <f>VLOOKUP(Table46[[#This Row],[Home]],'NHL Model'!$A$6:$B$38,2,FALSE)</f>
        <v>-1.3516250707060606</v>
      </c>
      <c r="H729" t="s">
        <v>17</v>
      </c>
      <c r="I729">
        <f>VLOOKUP(Table46[[#This Row],[Visitor]],'NHL Model'!$A$6:$B$38,2,FALSE)</f>
        <v>-0.61980804137564283</v>
      </c>
      <c r="J729">
        <f>($B$1+Table46[[#This Row],[Home Differential]])-Table46[[#This Row],[Away Differential]]</f>
        <v>-0.56924471966809942</v>
      </c>
      <c r="K729" t="str">
        <f>IF(Table46[[#This Row],[HomeIce Differential]]&gt;0,Table46[[#This Row],[Home]],Table46[[#This Row],[Visitor]])</f>
        <v>Edmonton Oilers</v>
      </c>
      <c r="L72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0.53566344245448771</v>
      </c>
      <c r="M729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729" t="str">
        <f>IF(OR((NHL2025_26Results[[#This Row],[Winning Team]]="")),"-",IF(Table46[[#This Row],[Predicted Winner]]=NHL2025_26Results[[#This Row],[Winning Team]],"YES","NO"))</f>
        <v>-</v>
      </c>
      <c r="O729" t="str">
        <f>IF(OR((NHL2025_26Results[[#This Row],[Winning Team]]="")),"-",IF(Table46[[#This Row],[Prob Winner]]=NHL2025_26Results[[#This Row],[Winning Team]],"YES","NO"))</f>
        <v>-</v>
      </c>
      <c r="P729" t="str">
        <f>IF(Table46[[#This Row],[Locked Prediction]]&lt;&gt;Table46[[#This Row],[Prob Winner]], "Changed", "Same")</f>
        <v>Changed</v>
      </c>
      <c r="Q72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30" spans="4:17" x14ac:dyDescent="0.2">
      <c r="D730" s="1">
        <v>46035</v>
      </c>
      <c r="E730" s="2">
        <v>0.79166666666666663</v>
      </c>
      <c r="F730" t="s">
        <v>36</v>
      </c>
      <c r="G730">
        <f>VLOOKUP(Table46[[#This Row],[Home]],'NHL Model'!$A$6:$B$38,2,FALSE)</f>
        <v>-0.40651947573390851</v>
      </c>
      <c r="H730" t="s">
        <v>38</v>
      </c>
      <c r="I730">
        <f>VLOOKUP(Table46[[#This Row],[Visitor]],'NHL Model'!$A$6:$B$38,2,FALSE)</f>
        <v>-0.6902088310934803</v>
      </c>
      <c r="J730">
        <f>($B$1+Table46[[#This Row],[Home Differential]])-Table46[[#This Row],[Away Differential]]</f>
        <v>0.44626166502189019</v>
      </c>
      <c r="K730" t="str">
        <f>IF(Table46[[#This Row],[HomeIce Differential]]&gt;0,Table46[[#This Row],[Home]],Table46[[#This Row],[Visitor]])</f>
        <v>Ottawa Senators</v>
      </c>
      <c r="L73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0.55931665704464484</v>
      </c>
      <c r="M730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730" t="str">
        <f>IF(OR((NHL2025_26Results[[#This Row],[Winning Team]]="")),"-",IF(Table46[[#This Row],[Predicted Winner]]=NHL2025_26Results[[#This Row],[Winning Team]],"YES","NO"))</f>
        <v>-</v>
      </c>
      <c r="O730" t="str">
        <f>IF(OR((NHL2025_26Results[[#This Row],[Winning Team]]="")),"-",IF(Table46[[#This Row],[Prob Winner]]=NHL2025_26Results[[#This Row],[Winning Team]],"YES","NO"))</f>
        <v>-</v>
      </c>
      <c r="P730" t="str">
        <f>IF(Table46[[#This Row],[Locked Prediction]]&lt;&gt;Table46[[#This Row],[Prob Winner]], "Changed", "Same")</f>
        <v>Changed</v>
      </c>
      <c r="Q73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31" spans="4:17" x14ac:dyDescent="0.2">
      <c r="D731" s="1">
        <v>46035</v>
      </c>
      <c r="E731" s="2">
        <v>0.79166666666666663</v>
      </c>
      <c r="F731" t="s">
        <v>14</v>
      </c>
      <c r="G731">
        <f>VLOOKUP(Table46[[#This Row],[Home]],'NHL Model'!$A$6:$B$38,2,FALSE)</f>
        <v>0.26289091192875702</v>
      </c>
      <c r="H731" t="s">
        <v>37</v>
      </c>
      <c r="I731">
        <f>VLOOKUP(Table46[[#This Row],[Visitor]],'NHL Model'!$A$6:$B$38,2,FALSE)</f>
        <v>-0.11309445867623392</v>
      </c>
      <c r="J731">
        <f>($B$1+Table46[[#This Row],[Home Differential]])-Table46[[#This Row],[Away Differential]]</f>
        <v>0.53855768026730932</v>
      </c>
      <c r="K731" t="str">
        <f>IF(Table46[[#This Row],[HomeIce Differential]]&gt;0,Table46[[#This Row],[Home]],Table46[[#This Row],[Visitor]])</f>
        <v>Pittsburgh Penguins</v>
      </c>
      <c r="L73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0.60099631637829287</v>
      </c>
      <c r="M731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731" t="str">
        <f>IF(OR((NHL2025_26Results[[#This Row],[Winning Team]]="")),"-",IF(Table46[[#This Row],[Predicted Winner]]=NHL2025_26Results[[#This Row],[Winning Team]],"YES","NO"))</f>
        <v>-</v>
      </c>
      <c r="O731" t="str">
        <f>IF(OR((NHL2025_26Results[[#This Row],[Winning Team]]="")),"-",IF(Table46[[#This Row],[Prob Winner]]=NHL2025_26Results[[#This Row],[Winning Team]],"YES","NO"))</f>
        <v>-</v>
      </c>
      <c r="P731" t="str">
        <f>IF(Table46[[#This Row],[Locked Prediction]]&lt;&gt;Table46[[#This Row],[Prob Winner]], "Changed", "Same")</f>
        <v>Changed</v>
      </c>
      <c r="Q73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32" spans="4:17" x14ac:dyDescent="0.2">
      <c r="D732" s="1">
        <v>46035</v>
      </c>
      <c r="E732" s="2">
        <v>0.8125</v>
      </c>
      <c r="F732" t="s">
        <v>35</v>
      </c>
      <c r="G732">
        <f>VLOOKUP(Table46[[#This Row],[Home]],'NHL Model'!$A$6:$B$38,2,FALSE)</f>
        <v>-1.6211574240381006</v>
      </c>
      <c r="H732" t="s">
        <v>25</v>
      </c>
      <c r="I732">
        <f>VLOOKUP(Table46[[#This Row],[Visitor]],'NHL Model'!$A$6:$B$38,2,FALSE)</f>
        <v>0.67193921242367816</v>
      </c>
      <c r="J732">
        <f>($B$1+Table46[[#This Row],[Home Differential]])-Table46[[#This Row],[Away Differential]]</f>
        <v>-2.1305243267994602</v>
      </c>
      <c r="K732" t="str">
        <f>IF(Table46[[#This Row],[HomeIce Differential]]&gt;0,Table46[[#This Row],[Home]],Table46[[#This Row],[Visitor]])</f>
        <v>Carolina Hurricanes</v>
      </c>
      <c r="L73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0.83567336416670557</v>
      </c>
      <c r="M732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732" t="str">
        <f>IF(OR((NHL2025_26Results[[#This Row],[Winning Team]]="")),"-",IF(Table46[[#This Row],[Predicted Winner]]=NHL2025_26Results[[#This Row],[Winning Team]],"YES","NO"))</f>
        <v>-</v>
      </c>
      <c r="O732" t="str">
        <f>IF(OR((NHL2025_26Results[[#This Row],[Winning Team]]="")),"-",IF(Table46[[#This Row],[Prob Winner]]=NHL2025_26Results[[#This Row],[Winning Team]],"YES","NO"))</f>
        <v>-</v>
      </c>
      <c r="P732" t="str">
        <f>IF(Table46[[#This Row],[Locked Prediction]]&lt;&gt;Table46[[#This Row],[Prob Winner]], "Changed", "Same")</f>
        <v>Changed</v>
      </c>
      <c r="Q73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33" spans="4:17" x14ac:dyDescent="0.2">
      <c r="D733" s="1">
        <v>46035</v>
      </c>
      <c r="E733" s="2">
        <v>0.91666666666666663</v>
      </c>
      <c r="F733" t="s">
        <v>55</v>
      </c>
      <c r="G733">
        <f>VLOOKUP(Table46[[#This Row],[Home]],'NHL Model'!$A$6:$B$38,2,FALSE)</f>
        <v>-0.12212311954851815</v>
      </c>
      <c r="H733" t="s">
        <v>19</v>
      </c>
      <c r="I733">
        <f>VLOOKUP(Table46[[#This Row],[Visitor]],'NHL Model'!$A$6:$B$38,2,FALSE)</f>
        <v>-0.635565543477981</v>
      </c>
      <c r="J733">
        <f>($B$1+Table46[[#This Row],[Home Differential]])-Table46[[#This Row],[Away Differential]]</f>
        <v>0.67601473359178121</v>
      </c>
      <c r="K733" t="str">
        <f>IF(Table46[[#This Row],[HomeIce Differential]]&gt;0,Table46[[#This Row],[Home]],Table46[[#This Row],[Visitor]])</f>
        <v>Utah Mammoth</v>
      </c>
      <c r="L73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0.69812771268583673</v>
      </c>
      <c r="M733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733" t="str">
        <f>IF(OR((NHL2025_26Results[[#This Row],[Winning Team]]="")),"-",IF(Table46[[#This Row],[Predicted Winner]]=NHL2025_26Results[[#This Row],[Winning Team]],"YES","NO"))</f>
        <v>-</v>
      </c>
      <c r="O733" t="str">
        <f>IF(OR((NHL2025_26Results[[#This Row],[Winning Team]]="")),"-",IF(Table46[[#This Row],[Prob Winner]]=NHL2025_26Results[[#This Row],[Winning Team]],"YES","NO"))</f>
        <v>-</v>
      </c>
      <c r="P733" t="str">
        <f>IF(Table46[[#This Row],[Locked Prediction]]&lt;&gt;Table46[[#This Row],[Prob Winner]], "Changed", "Same")</f>
        <v>Changed</v>
      </c>
      <c r="Q73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34" spans="4:17" x14ac:dyDescent="0.2">
      <c r="D734" s="1">
        <v>46035</v>
      </c>
      <c r="E734" s="2">
        <v>0.83333333333333337</v>
      </c>
      <c r="F734" t="s">
        <v>40</v>
      </c>
      <c r="G734">
        <f>VLOOKUP(Table46[[#This Row],[Home]],'NHL Model'!$A$6:$B$38,2,FALSE)</f>
        <v>0.105105258369765</v>
      </c>
      <c r="H734" t="s">
        <v>30</v>
      </c>
      <c r="I734">
        <f>VLOOKUP(Table46[[#This Row],[Visitor]],'NHL Model'!$A$6:$B$38,2,FALSE)</f>
        <v>-6.4729560818359025E-2</v>
      </c>
      <c r="J734">
        <f>($B$1+Table46[[#This Row],[Home Differential]])-Table46[[#This Row],[Away Differential]]</f>
        <v>0.33240712885044243</v>
      </c>
      <c r="K734" t="str">
        <f>IF(Table46[[#This Row],[HomeIce Differential]]&gt;0,Table46[[#This Row],[Home]],Table46[[#This Row],[Visitor]])</f>
        <v>Winnipeg Jets</v>
      </c>
      <c r="L73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0.57816380776332432</v>
      </c>
      <c r="M734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734" t="str">
        <f>IF(OR((NHL2025_26Results[[#This Row],[Winning Team]]="")),"-",IF(Table46[[#This Row],[Predicted Winner]]=NHL2025_26Results[[#This Row],[Winning Team]],"YES","NO"))</f>
        <v>-</v>
      </c>
      <c r="O734" t="str">
        <f>IF(OR((NHL2025_26Results[[#This Row],[Winning Team]]="")),"-",IF(Table46[[#This Row],[Prob Winner]]=NHL2025_26Results[[#This Row],[Winning Team]],"YES","NO"))</f>
        <v>-</v>
      </c>
      <c r="P734" t="str">
        <f>IF(Table46[[#This Row],[Locked Prediction]]&lt;&gt;Table46[[#This Row],[Prob Winner]], "Changed", "Same")</f>
        <v>Changed</v>
      </c>
      <c r="Q73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35" spans="4:17" x14ac:dyDescent="0.2">
      <c r="D735" s="1">
        <v>46035</v>
      </c>
      <c r="E735" s="2">
        <v>0.79166666666666663</v>
      </c>
      <c r="F735" t="s">
        <v>22</v>
      </c>
      <c r="G735">
        <f>VLOOKUP(Table46[[#This Row],[Home]],'NHL Model'!$A$6:$B$38,2,FALSE)</f>
        <v>-6.1308839486784707E-2</v>
      </c>
      <c r="H735" t="s">
        <v>18</v>
      </c>
      <c r="I735">
        <f>VLOOKUP(Table46[[#This Row],[Visitor]],'NHL Model'!$A$6:$B$38,2,FALSE)</f>
        <v>-0.52437726201848234</v>
      </c>
      <c r="J735">
        <f>($B$1+Table46[[#This Row],[Home Differential]])-Table46[[#This Row],[Away Differential]]</f>
        <v>0.62564073219401606</v>
      </c>
      <c r="K735" t="str">
        <f>IF(Table46[[#This Row],[HomeIce Differential]]&gt;0,Table46[[#This Row],[Home]],Table46[[#This Row],[Visitor]])</f>
        <v>Washington Capitals</v>
      </c>
      <c r="L73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0.54667885770092761</v>
      </c>
      <c r="M735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735" t="str">
        <f>IF(OR((NHL2025_26Results[[#This Row],[Winning Team]]="")),"-",IF(Table46[[#This Row],[Predicted Winner]]=NHL2025_26Results[[#This Row],[Winning Team]],"YES","NO"))</f>
        <v>-</v>
      </c>
      <c r="O735" t="str">
        <f>IF(OR((NHL2025_26Results[[#This Row],[Winning Team]]="")),"-",IF(Table46[[#This Row],[Prob Winner]]=NHL2025_26Results[[#This Row],[Winning Team]],"YES","NO"))</f>
        <v>-</v>
      </c>
      <c r="P735" t="str">
        <f>IF(Table46[[#This Row],[Locked Prediction]]&lt;&gt;Table46[[#This Row],[Prob Winner]], "Changed", "Same")</f>
        <v>Changed</v>
      </c>
      <c r="Q73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36" spans="4:17" x14ac:dyDescent="0.2">
      <c r="D736" s="1">
        <v>46036</v>
      </c>
      <c r="E736" s="2">
        <v>0.8125</v>
      </c>
      <c r="F736" t="s">
        <v>23</v>
      </c>
      <c r="G736">
        <f>VLOOKUP(Table46[[#This Row],[Home]],'NHL Model'!$A$6:$B$38,2,FALSE)</f>
        <v>-0.8683412362501769</v>
      </c>
      <c r="H736" t="s">
        <v>27</v>
      </c>
      <c r="I736">
        <f>VLOOKUP(Table46[[#This Row],[Visitor]],'NHL Model'!$A$6:$B$38,2,FALSE)</f>
        <v>-0.51358590497437617</v>
      </c>
      <c r="J736">
        <f>($B$1+Table46[[#This Row],[Home Differential]])-Table46[[#This Row],[Away Differential]]</f>
        <v>-0.19218302161348233</v>
      </c>
      <c r="K736" t="str">
        <f>IF(Table46[[#This Row],[HomeIce Differential]]&gt;0,Table46[[#This Row],[Home]],Table46[[#This Row],[Visitor]])</f>
        <v>Philadelphia Flyers</v>
      </c>
      <c r="L73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0.48554477625204784</v>
      </c>
      <c r="M736" s="11" t="str">
        <f>IF(Table46[[#This Row],[Strength of Win]]&gt; 0.5,Table46[[#This Row],[Predicted Winner]], IF(Table46[[#This Row],[Home]]=Table46[[#This Row],[Predicted Winner]],Table46[[#This Row],[Visitor]],Table46[[#This Row],[Home]]))</f>
        <v>Buffalo Sabres</v>
      </c>
      <c r="N736" t="str">
        <f>IF(OR((NHL2025_26Results[[#This Row],[Winning Team]]="")),"-",IF(Table46[[#This Row],[Predicted Winner]]=NHL2025_26Results[[#This Row],[Winning Team]],"YES","NO"))</f>
        <v>-</v>
      </c>
      <c r="O736" t="str">
        <f>IF(OR((NHL2025_26Results[[#This Row],[Winning Team]]="")),"-",IF(Table46[[#This Row],[Prob Winner]]=NHL2025_26Results[[#This Row],[Winning Team]],"YES","NO"))</f>
        <v>-</v>
      </c>
      <c r="P736" t="str">
        <f>IF(Table46[[#This Row],[Locked Prediction]]&lt;&gt;Table46[[#This Row],[Prob Winner]], "Changed", "Same")</f>
        <v>Changed</v>
      </c>
      <c r="Q73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37" spans="4:17" x14ac:dyDescent="0.2">
      <c r="D737" s="1">
        <v>46036</v>
      </c>
      <c r="E737" s="2">
        <v>0.91666666666666663</v>
      </c>
      <c r="F737" t="s">
        <v>13</v>
      </c>
      <c r="G737">
        <f>VLOOKUP(Table46[[#This Row],[Home]],'NHL Model'!$A$6:$B$38,2,FALSE)</f>
        <v>-7.5459708298993802E-2</v>
      </c>
      <c r="H737" t="s">
        <v>20</v>
      </c>
      <c r="I737">
        <f>VLOOKUP(Table46[[#This Row],[Visitor]],'NHL Model'!$A$6:$B$38,2,FALSE)</f>
        <v>-6.3745791019188943E-4</v>
      </c>
      <c r="J737">
        <f>($B$1+Table46[[#This Row],[Home Differential]])-Table46[[#This Row],[Away Differential]]</f>
        <v>8.7750059273516479E-2</v>
      </c>
      <c r="K737" t="str">
        <f>IF(Table46[[#This Row],[HomeIce Differential]]&gt;0,Table46[[#This Row],[Home]],Table46[[#This Row],[Visitor]])</f>
        <v>Los Angeles Kings</v>
      </c>
      <c r="L73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0.53089441990826836</v>
      </c>
      <c r="M737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737" t="str">
        <f>IF(OR((NHL2025_26Results[[#This Row],[Winning Team]]="")),"-",IF(Table46[[#This Row],[Predicted Winner]]=NHL2025_26Results[[#This Row],[Winning Team]],"YES","NO"))</f>
        <v>-</v>
      </c>
      <c r="O737" t="str">
        <f>IF(OR((NHL2025_26Results[[#This Row],[Winning Team]]="")),"-",IF(Table46[[#This Row],[Prob Winner]]=NHL2025_26Results[[#This Row],[Winning Team]],"YES","NO"))</f>
        <v>-</v>
      </c>
      <c r="P737" t="str">
        <f>IF(Table46[[#This Row],[Locked Prediction]]&lt;&gt;Table46[[#This Row],[Prob Winner]], "Changed", "Same")</f>
        <v>Changed</v>
      </c>
      <c r="Q73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38" spans="4:17" x14ac:dyDescent="0.2">
      <c r="D738" s="1">
        <v>46036</v>
      </c>
      <c r="E738" s="2">
        <v>0.79166666666666663</v>
      </c>
      <c r="F738" t="s">
        <v>24</v>
      </c>
      <c r="G738">
        <f>VLOOKUP(Table46[[#This Row],[Home]],'NHL Model'!$A$6:$B$38,2,FALSE)</f>
        <v>0.559441163373953</v>
      </c>
      <c r="H738" t="s">
        <v>32</v>
      </c>
      <c r="I738">
        <f>VLOOKUP(Table46[[#This Row],[Visitor]],'NHL Model'!$A$6:$B$38,2,FALSE)</f>
        <v>-0.361361309178443</v>
      </c>
      <c r="J738">
        <f>($B$1+Table46[[#This Row],[Home Differential]])-Table46[[#This Row],[Away Differential]]</f>
        <v>1.0833747822147144</v>
      </c>
      <c r="K738" t="str">
        <f>IF(Table46[[#This Row],[HomeIce Differential]]&gt;0,Table46[[#This Row],[Home]],Table46[[#This Row],[Visitor]])</f>
        <v>New Jersey Devils</v>
      </c>
      <c r="L73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0.79943181106476058</v>
      </c>
      <c r="M738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738" t="str">
        <f>IF(OR((NHL2025_26Results[[#This Row],[Winning Team]]="")),"-",IF(Table46[[#This Row],[Predicted Winner]]=NHL2025_26Results[[#This Row],[Winning Team]],"YES","NO"))</f>
        <v>-</v>
      </c>
      <c r="O738" t="str">
        <f>IF(OR((NHL2025_26Results[[#This Row],[Winning Team]]="")),"-",IF(Table46[[#This Row],[Prob Winner]]=NHL2025_26Results[[#This Row],[Winning Team]],"YES","NO"))</f>
        <v>-</v>
      </c>
      <c r="P738" t="str">
        <f>IF(Table46[[#This Row],[Locked Prediction]]&lt;&gt;Table46[[#This Row],[Prob Winner]], "Changed", "Same")</f>
        <v>Changed</v>
      </c>
      <c r="Q73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39" spans="4:17" x14ac:dyDescent="0.2">
      <c r="D739" s="1">
        <v>46036</v>
      </c>
      <c r="E739" s="2">
        <v>0.8125</v>
      </c>
      <c r="F739" t="s">
        <v>15</v>
      </c>
      <c r="G739">
        <f>VLOOKUP(Table46[[#This Row],[Home]],'NHL Model'!$A$6:$B$38,2,FALSE)</f>
        <v>-0.30719665303039001</v>
      </c>
      <c r="H739" t="s">
        <v>36</v>
      </c>
      <c r="I739">
        <f>VLOOKUP(Table46[[#This Row],[Visitor]],'NHL Model'!$A$6:$B$38,2,FALSE)</f>
        <v>-0.40651947573390851</v>
      </c>
      <c r="J739">
        <f>($B$1+Table46[[#This Row],[Home Differential]])-Table46[[#This Row],[Away Differential]]</f>
        <v>0.26189513236583689</v>
      </c>
      <c r="K739" t="str">
        <f>IF(Table46[[#This Row],[HomeIce Differential]]&gt;0,Table46[[#This Row],[Home]],Table46[[#This Row],[Visitor]])</f>
        <v>New York Rangers</v>
      </c>
      <c r="L73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0.57481084073722577</v>
      </c>
      <c r="M739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739" t="str">
        <f>IF(OR((NHL2025_26Results[[#This Row],[Winning Team]]="")),"-",IF(Table46[[#This Row],[Predicted Winner]]=NHL2025_26Results[[#This Row],[Winning Team]],"YES","NO"))</f>
        <v>-</v>
      </c>
      <c r="O739" t="str">
        <f>IF(OR((NHL2025_26Results[[#This Row],[Winning Team]]="")),"-",IF(Table46[[#This Row],[Prob Winner]]=NHL2025_26Results[[#This Row],[Winning Team]],"YES","NO"))</f>
        <v>-</v>
      </c>
      <c r="P739" t="str">
        <f>IF(Table46[[#This Row],[Locked Prediction]]&lt;&gt;Table46[[#This Row],[Prob Winner]], "Changed", "Same")</f>
        <v>Changed</v>
      </c>
      <c r="Q73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40" spans="4:17" x14ac:dyDescent="0.2">
      <c r="D740" s="1">
        <v>46037</v>
      </c>
      <c r="E740" s="2">
        <v>0.79166666666666663</v>
      </c>
      <c r="F740" t="s">
        <v>21</v>
      </c>
      <c r="G740">
        <f>VLOOKUP(Table46[[#This Row],[Home]],'NHL Model'!$A$6:$B$38,2,FALSE)</f>
        <v>4.029141914856392E-2</v>
      </c>
      <c r="H740" t="s">
        <v>32</v>
      </c>
      <c r="I740">
        <f>VLOOKUP(Table46[[#This Row],[Visitor]],'NHL Model'!$A$6:$B$38,2,FALSE)</f>
        <v>-0.361361309178443</v>
      </c>
      <c r="J740">
        <f>($B$1+Table46[[#This Row],[Home Differential]])-Table46[[#This Row],[Away Differential]]</f>
        <v>0.56422503798932533</v>
      </c>
      <c r="K740" t="str">
        <f>IF(Table46[[#This Row],[HomeIce Differential]]&gt;0,Table46[[#This Row],[Home]],Table46[[#This Row],[Visitor]])</f>
        <v>Boston Bruins</v>
      </c>
      <c r="L74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0.68755365861283146</v>
      </c>
      <c r="M740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740" t="str">
        <f>IF(OR((NHL2025_26Results[[#This Row],[Winning Team]]="")),"-",IF(Table46[[#This Row],[Predicted Winner]]=NHL2025_26Results[[#This Row],[Winning Team]],"YES","NO"))</f>
        <v>-</v>
      </c>
      <c r="O740" t="str">
        <f>IF(OR((NHL2025_26Results[[#This Row],[Winning Team]]="")),"-",IF(Table46[[#This Row],[Prob Winner]]=NHL2025_26Results[[#This Row],[Winning Team]],"YES","NO"))</f>
        <v>-</v>
      </c>
      <c r="P740" t="str">
        <f>IF(Table46[[#This Row],[Locked Prediction]]&lt;&gt;Table46[[#This Row],[Prob Winner]], "Changed", "Same")</f>
        <v>Changed</v>
      </c>
      <c r="Q74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41" spans="4:17" x14ac:dyDescent="0.2">
      <c r="D741" s="1">
        <v>46037</v>
      </c>
      <c r="E741" s="2">
        <v>0.79166666666666663</v>
      </c>
      <c r="F741" t="s">
        <v>23</v>
      </c>
      <c r="G741">
        <f>VLOOKUP(Table46[[#This Row],[Home]],'NHL Model'!$A$6:$B$38,2,FALSE)</f>
        <v>-0.8683412362501769</v>
      </c>
      <c r="H741" t="s">
        <v>18</v>
      </c>
      <c r="I741">
        <f>VLOOKUP(Table46[[#This Row],[Visitor]],'NHL Model'!$A$6:$B$38,2,FALSE)</f>
        <v>-0.52437726201848234</v>
      </c>
      <c r="J741">
        <f>($B$1+Table46[[#This Row],[Home Differential]])-Table46[[#This Row],[Away Differential]]</f>
        <v>-0.18139166456937617</v>
      </c>
      <c r="K741" t="str">
        <f>IF(Table46[[#This Row],[HomeIce Differential]]&gt;0,Table46[[#This Row],[Home]],Table46[[#This Row],[Visitor]])</f>
        <v>Montreal Canadiens</v>
      </c>
      <c r="L74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0.56059108649287559</v>
      </c>
      <c r="M741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741" t="str">
        <f>IF(OR((NHL2025_26Results[[#This Row],[Winning Team]]="")),"-",IF(Table46[[#This Row],[Predicted Winner]]=NHL2025_26Results[[#This Row],[Winning Team]],"YES","NO"))</f>
        <v>-</v>
      </c>
      <c r="O741" t="str">
        <f>IF(OR((NHL2025_26Results[[#This Row],[Winning Team]]="")),"-",IF(Table46[[#This Row],[Prob Winner]]=NHL2025_26Results[[#This Row],[Winning Team]],"YES","NO"))</f>
        <v>-</v>
      </c>
      <c r="P741" t="str">
        <f>IF(Table46[[#This Row],[Locked Prediction]]&lt;&gt;Table46[[#This Row],[Prob Winner]], "Changed", "Same")</f>
        <v>Changed</v>
      </c>
      <c r="Q74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42" spans="4:17" x14ac:dyDescent="0.2">
      <c r="D742" s="1">
        <v>46037</v>
      </c>
      <c r="E742" s="2">
        <v>0.79166666666666663</v>
      </c>
      <c r="F742" t="s">
        <v>28</v>
      </c>
      <c r="G742">
        <f>VLOOKUP(Table46[[#This Row],[Home]],'NHL Model'!$A$6:$B$38,2,FALSE)</f>
        <v>-0.40822279081308277</v>
      </c>
      <c r="H742" t="s">
        <v>38</v>
      </c>
      <c r="I742">
        <f>VLOOKUP(Table46[[#This Row],[Visitor]],'NHL Model'!$A$6:$B$38,2,FALSE)</f>
        <v>-0.6902088310934803</v>
      </c>
      <c r="J742">
        <f>($B$1+Table46[[#This Row],[Home Differential]])-Table46[[#This Row],[Away Differential]]</f>
        <v>0.44455834994271592</v>
      </c>
      <c r="K742" t="str">
        <f>IF(Table46[[#This Row],[HomeIce Differential]]&gt;0,Table46[[#This Row],[Home]],Table46[[#This Row],[Visitor]])</f>
        <v>Columbus Blue Jackets</v>
      </c>
      <c r="L74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0.55657769128291057</v>
      </c>
      <c r="M742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742" t="str">
        <f>IF(OR((NHL2025_26Results[[#This Row],[Winning Team]]="")),"-",IF(Table46[[#This Row],[Predicted Winner]]=NHL2025_26Results[[#This Row],[Winning Team]],"YES","NO"))</f>
        <v>-</v>
      </c>
      <c r="O742" t="str">
        <f>IF(OR((NHL2025_26Results[[#This Row],[Winning Team]]="")),"-",IF(Table46[[#This Row],[Prob Winner]]=NHL2025_26Results[[#This Row],[Winning Team]],"YES","NO"))</f>
        <v>-</v>
      </c>
      <c r="P742" t="str">
        <f>IF(Table46[[#This Row],[Locked Prediction]]&lt;&gt;Table46[[#This Row],[Prob Winner]], "Changed", "Same")</f>
        <v>Changed</v>
      </c>
      <c r="Q74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43" spans="4:17" x14ac:dyDescent="0.2">
      <c r="D743" s="1">
        <v>46037</v>
      </c>
      <c r="E743" s="2">
        <v>0.85416666666666663</v>
      </c>
      <c r="F743" t="s">
        <v>10</v>
      </c>
      <c r="G743">
        <f>VLOOKUP(Table46[[#This Row],[Home]],'NHL Model'!$A$6:$B$38,2,FALSE)</f>
        <v>0.30570968833820172</v>
      </c>
      <c r="H743" t="s">
        <v>16</v>
      </c>
      <c r="I743">
        <f>VLOOKUP(Table46[[#This Row],[Visitor]],'NHL Model'!$A$6:$B$38,2,FALSE)</f>
        <v>-1.3903684122795328</v>
      </c>
      <c r="J743">
        <f>($B$1+Table46[[#This Row],[Home Differential]])-Table46[[#This Row],[Away Differential]]</f>
        <v>1.858650410280053</v>
      </c>
      <c r="K743" t="str">
        <f>IF(Table46[[#This Row],[HomeIce Differential]]&gt;0,Table46[[#This Row],[Home]],Table46[[#This Row],[Visitor]])</f>
        <v>Chicago Blackhawks</v>
      </c>
      <c r="L74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0.78704996551084505</v>
      </c>
      <c r="M743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743" t="str">
        <f>IF(OR((NHL2025_26Results[[#This Row],[Winning Team]]="")),"-",IF(Table46[[#This Row],[Predicted Winner]]=NHL2025_26Results[[#This Row],[Winning Team]],"YES","NO"))</f>
        <v>-</v>
      </c>
      <c r="O743" t="str">
        <f>IF(OR((NHL2025_26Results[[#This Row],[Winning Team]]="")),"-",IF(Table46[[#This Row],[Prob Winner]]=NHL2025_26Results[[#This Row],[Winning Team]],"YES","NO"))</f>
        <v>-</v>
      </c>
      <c r="P743" t="str">
        <f>IF(Table46[[#This Row],[Locked Prediction]]&lt;&gt;Table46[[#This Row],[Prob Winner]], "Changed", "Same")</f>
        <v>Changed</v>
      </c>
      <c r="Q74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44" spans="4:17" x14ac:dyDescent="0.2">
      <c r="D744" s="1">
        <v>46037</v>
      </c>
      <c r="E744" s="2">
        <v>0.875</v>
      </c>
      <c r="F744" t="s">
        <v>17</v>
      </c>
      <c r="G744">
        <f>VLOOKUP(Table46[[#This Row],[Home]],'NHL Model'!$A$6:$B$38,2,FALSE)</f>
        <v>-0.61980804137564283</v>
      </c>
      <c r="H744" t="s">
        <v>30</v>
      </c>
      <c r="I744">
        <f>VLOOKUP(Table46[[#This Row],[Visitor]],'NHL Model'!$A$6:$B$38,2,FALSE)</f>
        <v>-6.4729560818359025E-2</v>
      </c>
      <c r="J744">
        <f>($B$1+Table46[[#This Row],[Home Differential]])-Table46[[#This Row],[Away Differential]]</f>
        <v>-0.39250617089496542</v>
      </c>
      <c r="K744" t="str">
        <f>IF(Table46[[#This Row],[HomeIce Differential]]&gt;0,Table46[[#This Row],[Home]],Table46[[#This Row],[Visitor]])</f>
        <v>New York Islanders</v>
      </c>
      <c r="L74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0.51819094766024743</v>
      </c>
      <c r="M744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744" t="str">
        <f>IF(OR((NHL2025_26Results[[#This Row],[Winning Team]]="")),"-",IF(Table46[[#This Row],[Predicted Winner]]=NHL2025_26Results[[#This Row],[Winning Team]],"YES","NO"))</f>
        <v>-</v>
      </c>
      <c r="O744" t="str">
        <f>IF(OR((NHL2025_26Results[[#This Row],[Winning Team]]="")),"-",IF(Table46[[#This Row],[Prob Winner]]=NHL2025_26Results[[#This Row],[Winning Team]],"YES","NO"))</f>
        <v>-</v>
      </c>
      <c r="P744" t="str">
        <f>IF(Table46[[#This Row],[Locked Prediction]]&lt;&gt;Table46[[#This Row],[Prob Winner]], "Changed", "Same")</f>
        <v>Changed</v>
      </c>
      <c r="Q74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45" spans="4:17" x14ac:dyDescent="0.2">
      <c r="D745" s="1">
        <v>46037</v>
      </c>
      <c r="E745" s="2">
        <v>0.83333333333333337</v>
      </c>
      <c r="F745" t="s">
        <v>34</v>
      </c>
      <c r="G745">
        <f>VLOOKUP(Table46[[#This Row],[Home]],'NHL Model'!$A$6:$B$38,2,FALSE)</f>
        <v>-0.53650300840565446</v>
      </c>
      <c r="H745" t="s">
        <v>40</v>
      </c>
      <c r="I745">
        <f>VLOOKUP(Table46[[#This Row],[Visitor]],'NHL Model'!$A$6:$B$38,2,FALSE)</f>
        <v>0.105105258369765</v>
      </c>
      <c r="J745">
        <f>($B$1+Table46[[#This Row],[Home Differential]])-Table46[[#This Row],[Away Differential]]</f>
        <v>-0.4790359571131011</v>
      </c>
      <c r="K745" t="str">
        <f>IF(Table46[[#This Row],[HomeIce Differential]]&gt;0,Table46[[#This Row],[Home]],Table46[[#This Row],[Visitor]])</f>
        <v>Winnipeg Jets</v>
      </c>
      <c r="L74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0.58998877285382101</v>
      </c>
      <c r="M745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745" t="str">
        <f>IF(OR((NHL2025_26Results[[#This Row],[Winning Team]]="")),"-",IF(Table46[[#This Row],[Predicted Winner]]=NHL2025_26Results[[#This Row],[Winning Team]],"YES","NO"))</f>
        <v>-</v>
      </c>
      <c r="O745" t="str">
        <f>IF(OR((NHL2025_26Results[[#This Row],[Winning Team]]="")),"-",IF(Table46[[#This Row],[Prob Winner]]=NHL2025_26Results[[#This Row],[Winning Team]],"YES","NO"))</f>
        <v>-</v>
      </c>
      <c r="P745" t="str">
        <f>IF(Table46[[#This Row],[Locked Prediction]]&lt;&gt;Table46[[#This Row],[Prob Winner]], "Changed", "Same")</f>
        <v>Changed</v>
      </c>
      <c r="Q74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46" spans="4:17" x14ac:dyDescent="0.2">
      <c r="D746" s="1">
        <v>46037</v>
      </c>
      <c r="E746" s="2">
        <v>0.79166666666666663</v>
      </c>
      <c r="F746" t="s">
        <v>14</v>
      </c>
      <c r="G746">
        <f>VLOOKUP(Table46[[#This Row],[Home]],'NHL Model'!$A$6:$B$38,2,FALSE)</f>
        <v>0.26289091192875702</v>
      </c>
      <c r="H746" t="s">
        <v>27</v>
      </c>
      <c r="I746">
        <f>VLOOKUP(Table46[[#This Row],[Visitor]],'NHL Model'!$A$6:$B$38,2,FALSE)</f>
        <v>-0.51358590497437617</v>
      </c>
      <c r="J746">
        <f>($B$1+Table46[[#This Row],[Home Differential]])-Table46[[#This Row],[Away Differential]]</f>
        <v>0.93904912656545159</v>
      </c>
      <c r="K746" t="str">
        <f>IF(Table46[[#This Row],[HomeIce Differential]]&gt;0,Table46[[#This Row],[Home]],Table46[[#This Row],[Visitor]])</f>
        <v>Pittsburgh Penguins</v>
      </c>
      <c r="L74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0.70085434308764394</v>
      </c>
      <c r="M746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746" t="str">
        <f>IF(OR((NHL2025_26Results[[#This Row],[Winning Team]]="")),"-",IF(Table46[[#This Row],[Predicted Winner]]=NHL2025_26Results[[#This Row],[Winning Team]],"YES","NO"))</f>
        <v>-</v>
      </c>
      <c r="O746" t="str">
        <f>IF(OR((NHL2025_26Results[[#This Row],[Winning Team]]="")),"-",IF(Table46[[#This Row],[Prob Winner]]=NHL2025_26Results[[#This Row],[Winning Team]],"YES","NO"))</f>
        <v>-</v>
      </c>
      <c r="P746" t="str">
        <f>IF(Table46[[#This Row],[Locked Prediction]]&lt;&gt;Table46[[#This Row],[Prob Winner]], "Changed", "Same")</f>
        <v>Changed</v>
      </c>
      <c r="Q74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47" spans="4:17" x14ac:dyDescent="0.2">
      <c r="D747" s="1">
        <v>46037</v>
      </c>
      <c r="E747" s="2">
        <v>0.875</v>
      </c>
      <c r="F747" t="s">
        <v>55</v>
      </c>
      <c r="G747">
        <f>VLOOKUP(Table46[[#This Row],[Home]],'NHL Model'!$A$6:$B$38,2,FALSE)</f>
        <v>-0.12212311954851815</v>
      </c>
      <c r="H747" t="s">
        <v>39</v>
      </c>
      <c r="I747">
        <f>VLOOKUP(Table46[[#This Row],[Visitor]],'NHL Model'!$A$6:$B$38,2,FALSE)</f>
        <v>0.19809534061227302</v>
      </c>
      <c r="J747">
        <f>($B$1+Table46[[#This Row],[Home Differential]])-Table46[[#This Row],[Away Differential]]</f>
        <v>-0.15764615049847278</v>
      </c>
      <c r="K747" t="str">
        <f>IF(Table46[[#This Row],[HomeIce Differential]]&gt;0,Table46[[#This Row],[Home]],Table46[[#This Row],[Visitor]])</f>
        <v>Dallas Stars</v>
      </c>
      <c r="L74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0.5037127903539208</v>
      </c>
      <c r="M747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747" t="str">
        <f>IF(OR((NHL2025_26Results[[#This Row],[Winning Team]]="")),"-",IF(Table46[[#This Row],[Predicted Winner]]=NHL2025_26Results[[#This Row],[Winning Team]],"YES","NO"))</f>
        <v>-</v>
      </c>
      <c r="O747" t="str">
        <f>IF(OR((NHL2025_26Results[[#This Row],[Winning Team]]="")),"-",IF(Table46[[#This Row],[Prob Winner]]=NHL2025_26Results[[#This Row],[Winning Team]],"YES","NO"))</f>
        <v>-</v>
      </c>
      <c r="P747" t="str">
        <f>IF(Table46[[#This Row],[Locked Prediction]]&lt;&gt;Table46[[#This Row],[Prob Winner]], "Changed", "Same")</f>
        <v>Changed</v>
      </c>
      <c r="Q74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48" spans="4:17" x14ac:dyDescent="0.2">
      <c r="D748" s="1">
        <v>46037</v>
      </c>
      <c r="E748" s="2">
        <v>0.89583333333333337</v>
      </c>
      <c r="F748" t="s">
        <v>20</v>
      </c>
      <c r="G748">
        <f>VLOOKUP(Table46[[#This Row],[Home]],'NHL Model'!$A$6:$B$38,2,FALSE)</f>
        <v>-6.3745791019188943E-4</v>
      </c>
      <c r="H748" t="s">
        <v>19</v>
      </c>
      <c r="I748">
        <f>VLOOKUP(Table46[[#This Row],[Visitor]],'NHL Model'!$A$6:$B$38,2,FALSE)</f>
        <v>-0.635565543477981</v>
      </c>
      <c r="J748">
        <f>($B$1+Table46[[#This Row],[Home Differential]])-Table46[[#This Row],[Away Differential]]</f>
        <v>0.79750039523010752</v>
      </c>
      <c r="K748" t="str">
        <f>IF(Table46[[#This Row],[HomeIce Differential]]&gt;0,Table46[[#This Row],[Home]],Table46[[#This Row],[Visitor]])</f>
        <v>Vegas Golden Knights</v>
      </c>
      <c r="L74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0.6460029600223729</v>
      </c>
      <c r="M748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748" t="str">
        <f>IF(OR((NHL2025_26Results[[#This Row],[Winning Team]]="")),"-",IF(Table46[[#This Row],[Predicted Winner]]=NHL2025_26Results[[#This Row],[Winning Team]],"YES","NO"))</f>
        <v>-</v>
      </c>
      <c r="O748" t="str">
        <f>IF(OR((NHL2025_26Results[[#This Row],[Winning Team]]="")),"-",IF(Table46[[#This Row],[Prob Winner]]=NHL2025_26Results[[#This Row],[Winning Team]],"YES","NO"))</f>
        <v>-</v>
      </c>
      <c r="P748" t="str">
        <f>IF(Table46[[#This Row],[Locked Prediction]]&lt;&gt;Table46[[#This Row],[Prob Winner]], "Changed", "Same")</f>
        <v>Changed</v>
      </c>
      <c r="Q74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49" spans="4:17" x14ac:dyDescent="0.2">
      <c r="D749" s="1">
        <v>46037</v>
      </c>
      <c r="E749" s="2">
        <v>0.79166666666666663</v>
      </c>
      <c r="F749" t="s">
        <v>22</v>
      </c>
      <c r="G749">
        <f>VLOOKUP(Table46[[#This Row],[Home]],'NHL Model'!$A$6:$B$38,2,FALSE)</f>
        <v>-6.1308839486784707E-2</v>
      </c>
      <c r="H749" t="s">
        <v>33</v>
      </c>
      <c r="I749">
        <f>VLOOKUP(Table46[[#This Row],[Visitor]],'NHL Model'!$A$6:$B$38,2,FALSE)</f>
        <v>-0.39418177254008485</v>
      </c>
      <c r="J749">
        <f>($B$1+Table46[[#This Row],[Home Differential]])-Table46[[#This Row],[Away Differential]]</f>
        <v>0.49544524271561852</v>
      </c>
      <c r="K749" t="str">
        <f>IF(Table46[[#This Row],[HomeIce Differential]]&gt;0,Table46[[#This Row],[Home]],Table46[[#This Row],[Visitor]])</f>
        <v>Washington Capitals</v>
      </c>
      <c r="L74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0.60585408931578655</v>
      </c>
      <c r="M749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749" t="str">
        <f>IF(OR((NHL2025_26Results[[#This Row],[Winning Team]]="")),"-",IF(Table46[[#This Row],[Predicted Winner]]=NHL2025_26Results[[#This Row],[Winning Team]],"YES","NO"))</f>
        <v>-</v>
      </c>
      <c r="O749" t="str">
        <f>IF(OR((NHL2025_26Results[[#This Row],[Winning Team]]="")),"-",IF(Table46[[#This Row],[Prob Winner]]=NHL2025_26Results[[#This Row],[Winning Team]],"YES","NO"))</f>
        <v>-</v>
      </c>
      <c r="P749" t="str">
        <f>IF(Table46[[#This Row],[Locked Prediction]]&lt;&gt;Table46[[#This Row],[Prob Winner]], "Changed", "Same")</f>
        <v>Changed</v>
      </c>
      <c r="Q74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50" spans="4:17" x14ac:dyDescent="0.2">
      <c r="D750" s="1">
        <v>46038</v>
      </c>
      <c r="E750" s="2">
        <v>0.79166666666666663</v>
      </c>
      <c r="F750" t="s">
        <v>25</v>
      </c>
      <c r="G750">
        <f>VLOOKUP(Table46[[#This Row],[Home]],'NHL Model'!$A$6:$B$38,2,FALSE)</f>
        <v>0.67193921242367816</v>
      </c>
      <c r="H750" t="s">
        <v>11</v>
      </c>
      <c r="I750">
        <f>VLOOKUP(Table46[[#This Row],[Visitor]],'NHL Model'!$A$6:$B$38,2,FALSE)</f>
        <v>-0.28105923893144158</v>
      </c>
      <c r="J750">
        <f>($B$1+Table46[[#This Row],[Home Differential]])-Table46[[#This Row],[Away Differential]]</f>
        <v>1.1155707610174381</v>
      </c>
      <c r="K750" t="str">
        <f>IF(Table46[[#This Row],[HomeIce Differential]]&gt;0,Table46[[#This Row],[Home]],Table46[[#This Row],[Visitor]])</f>
        <v>Carolina Hurricanes</v>
      </c>
      <c r="L75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0.73999653329351645</v>
      </c>
      <c r="M750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750" t="str">
        <f>IF(OR((NHL2025_26Results[[#This Row],[Winning Team]]="")),"-",IF(Table46[[#This Row],[Predicted Winner]]=NHL2025_26Results[[#This Row],[Winning Team]],"YES","NO"))</f>
        <v>-</v>
      </c>
      <c r="O750" t="str">
        <f>IF(OR((NHL2025_26Results[[#This Row],[Winning Team]]="")),"-",IF(Table46[[#This Row],[Prob Winner]]=NHL2025_26Results[[#This Row],[Winning Team]],"YES","NO"))</f>
        <v>-</v>
      </c>
      <c r="P750" t="str">
        <f>IF(Table46[[#This Row],[Locked Prediction]]&lt;&gt;Table46[[#This Row],[Prob Winner]], "Changed", "Same")</f>
        <v>Changed</v>
      </c>
      <c r="Q75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51" spans="4:17" x14ac:dyDescent="0.2">
      <c r="D751" s="1">
        <v>46038</v>
      </c>
      <c r="E751" s="2">
        <v>0.875</v>
      </c>
      <c r="F751" t="s">
        <v>12</v>
      </c>
      <c r="G751">
        <f>VLOOKUP(Table46[[#This Row],[Home]],'NHL Model'!$A$6:$B$38,2,FALSE)</f>
        <v>1.5475013591489768</v>
      </c>
      <c r="H751" t="s">
        <v>29</v>
      </c>
      <c r="I751">
        <f>VLOOKUP(Table46[[#This Row],[Visitor]],'NHL Model'!$A$6:$B$38,2,FALSE)</f>
        <v>-1.3516250707060606</v>
      </c>
      <c r="J751">
        <f>($B$1+Table46[[#This Row],[Home Differential]])-Table46[[#This Row],[Away Differential]]</f>
        <v>3.0616987395173556</v>
      </c>
      <c r="K751" t="str">
        <f>IF(Table46[[#This Row],[HomeIce Differential]]&gt;0,Table46[[#This Row],[Home]],Table46[[#This Row],[Visitor]])</f>
        <v>Colorado Avalanche</v>
      </c>
      <c r="L75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1</v>
      </c>
      <c r="M751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751" t="str">
        <f>IF(OR((NHL2025_26Results[[#This Row],[Winning Team]]="")),"-",IF(Table46[[#This Row],[Predicted Winner]]=NHL2025_26Results[[#This Row],[Winning Team]],"YES","NO"))</f>
        <v>-</v>
      </c>
      <c r="O751" t="str">
        <f>IF(OR((NHL2025_26Results[[#This Row],[Winning Team]]="")),"-",IF(Table46[[#This Row],[Prob Winner]]=NHL2025_26Results[[#This Row],[Winning Team]],"YES","NO"))</f>
        <v>-</v>
      </c>
      <c r="P751" t="str">
        <f>IF(Table46[[#This Row],[Locked Prediction]]&lt;&gt;Table46[[#This Row],[Prob Winner]], "Changed", "Same")</f>
        <v>Changed</v>
      </c>
      <c r="Q75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52" spans="4:17" x14ac:dyDescent="0.2">
      <c r="D752" s="1">
        <v>46038</v>
      </c>
      <c r="E752" s="2">
        <v>0.79166666666666663</v>
      </c>
      <c r="F752" t="s">
        <v>26</v>
      </c>
      <c r="G752">
        <f>VLOOKUP(Table46[[#This Row],[Home]],'NHL Model'!$A$6:$B$38,2,FALSE)</f>
        <v>-0.513643833119658</v>
      </c>
      <c r="H752" t="s">
        <v>33</v>
      </c>
      <c r="I752">
        <f>VLOOKUP(Table46[[#This Row],[Visitor]],'NHL Model'!$A$6:$B$38,2,FALSE)</f>
        <v>-0.39418177254008485</v>
      </c>
      <c r="J752">
        <f>($B$1+Table46[[#This Row],[Home Differential]])-Table46[[#This Row],[Away Differential]]</f>
        <v>4.3110249082745244E-2</v>
      </c>
      <c r="K752" t="str">
        <f>IF(Table46[[#This Row],[HomeIce Differential]]&gt;0,Table46[[#This Row],[Home]],Table46[[#This Row],[Visitor]])</f>
        <v>Detroit Red Wings</v>
      </c>
      <c r="L75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0.57176790731656313</v>
      </c>
      <c r="M752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752" t="str">
        <f>IF(OR((NHL2025_26Results[[#This Row],[Winning Team]]="")),"-",IF(Table46[[#This Row],[Predicted Winner]]=NHL2025_26Results[[#This Row],[Winning Team]],"YES","NO"))</f>
        <v>-</v>
      </c>
      <c r="O752" t="str">
        <f>IF(OR((NHL2025_26Results[[#This Row],[Winning Team]]="")),"-",IF(Table46[[#This Row],[Prob Winner]]=NHL2025_26Results[[#This Row],[Winning Team]],"YES","NO"))</f>
        <v>-</v>
      </c>
      <c r="P752" t="str">
        <f>IF(Table46[[#This Row],[Locked Prediction]]&lt;&gt;Table46[[#This Row],[Prob Winner]], "Changed", "Same")</f>
        <v>Changed</v>
      </c>
      <c r="Q75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53" spans="4:17" x14ac:dyDescent="0.2">
      <c r="D753" s="1">
        <v>46038</v>
      </c>
      <c r="E753" s="2">
        <v>0.9375</v>
      </c>
      <c r="F753" t="s">
        <v>13</v>
      </c>
      <c r="G753">
        <f>VLOOKUP(Table46[[#This Row],[Home]],'NHL Model'!$A$6:$B$38,2,FALSE)</f>
        <v>-7.5459708298993802E-2</v>
      </c>
      <c r="H753" t="s">
        <v>31</v>
      </c>
      <c r="I753">
        <f>VLOOKUP(Table46[[#This Row],[Visitor]],'NHL Model'!$A$6:$B$38,2,FALSE)</f>
        <v>0.51775546328552802</v>
      </c>
      <c r="J753">
        <f>($B$1+Table46[[#This Row],[Home Differential]])-Table46[[#This Row],[Away Differential]]</f>
        <v>-0.43064286192220341</v>
      </c>
      <c r="K753" t="str">
        <f>IF(Table46[[#This Row],[HomeIce Differential]]&gt;0,Table46[[#This Row],[Home]],Table46[[#This Row],[Visitor]])</f>
        <v>Anaheim Ducks</v>
      </c>
      <c r="L75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0.5380098520269645</v>
      </c>
      <c r="M753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753" t="str">
        <f>IF(OR((NHL2025_26Results[[#This Row],[Winning Team]]="")),"-",IF(Table46[[#This Row],[Predicted Winner]]=NHL2025_26Results[[#This Row],[Winning Team]],"YES","NO"))</f>
        <v>-</v>
      </c>
      <c r="O753" t="str">
        <f>IF(OR((NHL2025_26Results[[#This Row],[Winning Team]]="")),"-",IF(Table46[[#This Row],[Prob Winner]]=NHL2025_26Results[[#This Row],[Winning Team]],"YES","NO"))</f>
        <v>-</v>
      </c>
      <c r="P753" t="str">
        <f>IF(Table46[[#This Row],[Locked Prediction]]&lt;&gt;Table46[[#This Row],[Prob Winner]], "Changed", "Same")</f>
        <v>Changed</v>
      </c>
      <c r="Q75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54" spans="4:17" x14ac:dyDescent="0.2">
      <c r="D754" s="1">
        <v>46038</v>
      </c>
      <c r="E754" s="2">
        <v>0.83333333333333337</v>
      </c>
      <c r="F754" t="s">
        <v>35</v>
      </c>
      <c r="G754">
        <f>VLOOKUP(Table46[[#This Row],[Home]],'NHL Model'!$A$6:$B$38,2,FALSE)</f>
        <v>-1.6211574240381006</v>
      </c>
      <c r="H754" t="s">
        <v>37</v>
      </c>
      <c r="I754">
        <f>VLOOKUP(Table46[[#This Row],[Visitor]],'NHL Model'!$A$6:$B$38,2,FALSE)</f>
        <v>-0.11309445867623392</v>
      </c>
      <c r="J754">
        <f>($B$1+Table46[[#This Row],[Home Differential]])-Table46[[#This Row],[Away Differential]]</f>
        <v>-1.3454906556995483</v>
      </c>
      <c r="K754" t="str">
        <f>IF(Table46[[#This Row],[HomeIce Differential]]&gt;0,Table46[[#This Row],[Home]],Table46[[#This Row],[Visitor]])</f>
        <v>Tampa Bay Lightning</v>
      </c>
      <c r="L75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0.68594067236240641</v>
      </c>
      <c r="M754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754" t="str">
        <f>IF(OR((NHL2025_26Results[[#This Row],[Winning Team]]="")),"-",IF(Table46[[#This Row],[Predicted Winner]]=NHL2025_26Results[[#This Row],[Winning Team]],"YES","NO"))</f>
        <v>-</v>
      </c>
      <c r="O754" t="str">
        <f>IF(OR((NHL2025_26Results[[#This Row],[Winning Team]]="")),"-",IF(Table46[[#This Row],[Prob Winner]]=NHL2025_26Results[[#This Row],[Winning Team]],"YES","NO"))</f>
        <v>-</v>
      </c>
      <c r="P754" t="str">
        <f>IF(Table46[[#This Row],[Locked Prediction]]&lt;&gt;Table46[[#This Row],[Prob Winner]], "Changed", "Same")</f>
        <v>Changed</v>
      </c>
      <c r="Q75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55" spans="4:17" x14ac:dyDescent="0.2">
      <c r="D755" s="1">
        <v>46039</v>
      </c>
      <c r="E755" s="2">
        <v>0.91666666666666663</v>
      </c>
      <c r="F755" t="s">
        <v>31</v>
      </c>
      <c r="G755">
        <f>VLOOKUP(Table46[[#This Row],[Home]],'NHL Model'!$A$6:$B$38,2,FALSE)</f>
        <v>0.51775546328552802</v>
      </c>
      <c r="H755" t="s">
        <v>13</v>
      </c>
      <c r="I755">
        <f>VLOOKUP(Table46[[#This Row],[Visitor]],'NHL Model'!$A$6:$B$38,2,FALSE)</f>
        <v>-7.5459708298993802E-2</v>
      </c>
      <c r="J755">
        <f>($B$1+Table46[[#This Row],[Home Differential]])-Table46[[#This Row],[Away Differential]]</f>
        <v>0.75578748124684025</v>
      </c>
      <c r="K755" t="str">
        <f>IF(Table46[[#This Row],[HomeIce Differential]]&gt;0,Table46[[#This Row],[Home]],Table46[[#This Row],[Visitor]])</f>
        <v>Anaheim Ducks</v>
      </c>
      <c r="L75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0.62677431042137899</v>
      </c>
      <c r="M755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755" t="str">
        <f>IF(OR((NHL2025_26Results[[#This Row],[Winning Team]]="")),"-",IF(Table46[[#This Row],[Predicted Winner]]=NHL2025_26Results[[#This Row],[Winning Team]],"YES","NO"))</f>
        <v>-</v>
      </c>
      <c r="O755" t="str">
        <f>IF(OR((NHL2025_26Results[[#This Row],[Winning Team]]="")),"-",IF(Table46[[#This Row],[Prob Winner]]=NHL2025_26Results[[#This Row],[Winning Team]],"YES","NO"))</f>
        <v>-</v>
      </c>
      <c r="P755" t="str">
        <f>IF(Table46[[#This Row],[Locked Prediction]]&lt;&gt;Table46[[#This Row],[Prob Winner]], "Changed", "Same")</f>
        <v>Changed</v>
      </c>
      <c r="Q75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56" spans="4:17" x14ac:dyDescent="0.2">
      <c r="D756" s="1">
        <v>46039</v>
      </c>
      <c r="E756" s="2">
        <v>0.52083333333333337</v>
      </c>
      <c r="F756" t="s">
        <v>23</v>
      </c>
      <c r="G756">
        <f>VLOOKUP(Table46[[#This Row],[Home]],'NHL Model'!$A$6:$B$38,2,FALSE)</f>
        <v>-0.8683412362501769</v>
      </c>
      <c r="H756" t="s">
        <v>34</v>
      </c>
      <c r="I756">
        <f>VLOOKUP(Table46[[#This Row],[Visitor]],'NHL Model'!$A$6:$B$38,2,FALSE)</f>
        <v>-0.53650300840565446</v>
      </c>
      <c r="J756">
        <f>($B$1+Table46[[#This Row],[Home Differential]])-Table46[[#This Row],[Away Differential]]</f>
        <v>-0.16926591818220404</v>
      </c>
      <c r="K756" t="str">
        <f>IF(Table46[[#This Row],[HomeIce Differential]]&gt;0,Table46[[#This Row],[Home]],Table46[[#This Row],[Visitor]])</f>
        <v>Minnesota Wild</v>
      </c>
      <c r="L75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0.48249865763770727</v>
      </c>
      <c r="M756" s="11" t="str">
        <f>IF(Table46[[#This Row],[Strength of Win]]&gt; 0.5,Table46[[#This Row],[Predicted Winner]], IF(Table46[[#This Row],[Home]]=Table46[[#This Row],[Predicted Winner]],Table46[[#This Row],[Visitor]],Table46[[#This Row],[Home]]))</f>
        <v>Buffalo Sabres</v>
      </c>
      <c r="N756" t="str">
        <f>IF(OR((NHL2025_26Results[[#This Row],[Winning Team]]="")),"-",IF(Table46[[#This Row],[Predicted Winner]]=NHL2025_26Results[[#This Row],[Winning Team]],"YES","NO"))</f>
        <v>-</v>
      </c>
      <c r="O756" t="str">
        <f>IF(OR((NHL2025_26Results[[#This Row],[Winning Team]]="")),"-",IF(Table46[[#This Row],[Prob Winner]]=NHL2025_26Results[[#This Row],[Winning Team]],"YES","NO"))</f>
        <v>-</v>
      </c>
      <c r="P756" t="str">
        <f>IF(Table46[[#This Row],[Locked Prediction]]&lt;&gt;Table46[[#This Row],[Prob Winner]], "Changed", "Same")</f>
        <v>Changed</v>
      </c>
      <c r="Q75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57" spans="4:17" x14ac:dyDescent="0.2">
      <c r="D757" s="1">
        <v>46039</v>
      </c>
      <c r="E757" s="2">
        <v>0.625</v>
      </c>
      <c r="F757" t="s">
        <v>16</v>
      </c>
      <c r="G757">
        <f>VLOOKUP(Table46[[#This Row],[Home]],'NHL Model'!$A$6:$B$38,2,FALSE)</f>
        <v>-1.3903684122795328</v>
      </c>
      <c r="H757" t="s">
        <v>30</v>
      </c>
      <c r="I757">
        <f>VLOOKUP(Table46[[#This Row],[Visitor]],'NHL Model'!$A$6:$B$38,2,FALSE)</f>
        <v>-6.4729560818359025E-2</v>
      </c>
      <c r="J757">
        <f>($B$1+Table46[[#This Row],[Home Differential]])-Table46[[#This Row],[Away Differential]]</f>
        <v>-1.1630665417988553</v>
      </c>
      <c r="K757" t="str">
        <f>IF(Table46[[#This Row],[HomeIce Differential]]&gt;0,Table46[[#This Row],[Home]],Table46[[#This Row],[Visitor]])</f>
        <v>New York Islanders</v>
      </c>
      <c r="L75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0.65710621175902206</v>
      </c>
      <c r="M757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757" t="str">
        <f>IF(OR((NHL2025_26Results[[#This Row],[Winning Team]]="")),"-",IF(Table46[[#This Row],[Predicted Winner]]=NHL2025_26Results[[#This Row],[Winning Team]],"YES","NO"))</f>
        <v>-</v>
      </c>
      <c r="O757" t="str">
        <f>IF(OR((NHL2025_26Results[[#This Row],[Winning Team]]="")),"-",IF(Table46[[#This Row],[Prob Winner]]=NHL2025_26Results[[#This Row],[Winning Team]],"YES","NO"))</f>
        <v>-</v>
      </c>
      <c r="P757" t="str">
        <f>IF(Table46[[#This Row],[Locked Prediction]]&lt;&gt;Table46[[#This Row],[Prob Winner]], "Changed", "Same")</f>
        <v>Changed</v>
      </c>
      <c r="Q75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58" spans="4:17" x14ac:dyDescent="0.2">
      <c r="D758" s="1">
        <v>46039</v>
      </c>
      <c r="E758" s="2">
        <v>0.83333333333333337</v>
      </c>
      <c r="F758" t="s">
        <v>10</v>
      </c>
      <c r="G758">
        <f>VLOOKUP(Table46[[#This Row],[Home]],'NHL Model'!$A$6:$B$38,2,FALSE)</f>
        <v>0.30570968833820172</v>
      </c>
      <c r="H758" t="s">
        <v>21</v>
      </c>
      <c r="I758">
        <f>VLOOKUP(Table46[[#This Row],[Visitor]],'NHL Model'!$A$6:$B$38,2,FALSE)</f>
        <v>4.029141914856392E-2</v>
      </c>
      <c r="J758">
        <f>($B$1+Table46[[#This Row],[Home Differential]])-Table46[[#This Row],[Away Differential]]</f>
        <v>0.42799057885195618</v>
      </c>
      <c r="K758" t="str">
        <f>IF(Table46[[#This Row],[HomeIce Differential]]&gt;0,Table46[[#This Row],[Home]],Table46[[#This Row],[Visitor]])</f>
        <v>Chicago Blackhawks</v>
      </c>
      <c r="L75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0.59688808242772817</v>
      </c>
      <c r="M758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758" t="str">
        <f>IF(OR((NHL2025_26Results[[#This Row],[Winning Team]]="")),"-",IF(Table46[[#This Row],[Predicted Winner]]=NHL2025_26Results[[#This Row],[Winning Team]],"YES","NO"))</f>
        <v>-</v>
      </c>
      <c r="O758" t="str">
        <f>IF(OR((NHL2025_26Results[[#This Row],[Winning Team]]="")),"-",IF(Table46[[#This Row],[Prob Winner]]=NHL2025_26Results[[#This Row],[Winning Team]],"YES","NO"))</f>
        <v>-</v>
      </c>
      <c r="P758" t="str">
        <f>IF(Table46[[#This Row],[Locked Prediction]]&lt;&gt;Table46[[#This Row],[Prob Winner]], "Changed", "Same")</f>
        <v>Changed</v>
      </c>
      <c r="Q75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59" spans="4:17" x14ac:dyDescent="0.2">
      <c r="D759" s="1">
        <v>46039</v>
      </c>
      <c r="E759" s="2">
        <v>0.79166666666666663</v>
      </c>
      <c r="F759" t="s">
        <v>24</v>
      </c>
      <c r="G759">
        <f>VLOOKUP(Table46[[#This Row],[Home]],'NHL Model'!$A$6:$B$38,2,FALSE)</f>
        <v>0.559441163373953</v>
      </c>
      <c r="H759" t="s">
        <v>25</v>
      </c>
      <c r="I759">
        <f>VLOOKUP(Table46[[#This Row],[Visitor]],'NHL Model'!$A$6:$B$38,2,FALSE)</f>
        <v>0.67193921242367816</v>
      </c>
      <c r="J759">
        <f>($B$1+Table46[[#This Row],[Home Differential]])-Table46[[#This Row],[Away Differential]]</f>
        <v>5.0074260612593235E-2</v>
      </c>
      <c r="K759" t="str">
        <f>IF(Table46[[#This Row],[HomeIce Differential]]&gt;0,Table46[[#This Row],[Home]],Table46[[#This Row],[Visitor]])</f>
        <v>New Jersey Devils</v>
      </c>
      <c r="L75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0.57422338852717358</v>
      </c>
      <c r="M759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759" t="str">
        <f>IF(OR((NHL2025_26Results[[#This Row],[Winning Team]]="")),"-",IF(Table46[[#This Row],[Predicted Winner]]=NHL2025_26Results[[#This Row],[Winning Team]],"YES","NO"))</f>
        <v>-</v>
      </c>
      <c r="O759" t="str">
        <f>IF(OR((NHL2025_26Results[[#This Row],[Winning Team]]="")),"-",IF(Table46[[#This Row],[Prob Winner]]=NHL2025_26Results[[#This Row],[Winning Team]],"YES","NO"))</f>
        <v>-</v>
      </c>
      <c r="P759" t="str">
        <f>IF(Table46[[#This Row],[Locked Prediction]]&lt;&gt;Table46[[#This Row],[Prob Winner]], "Changed", "Same")</f>
        <v>Changed</v>
      </c>
      <c r="Q75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60" spans="4:17" x14ac:dyDescent="0.2">
      <c r="D760" s="1">
        <v>46039</v>
      </c>
      <c r="E760" s="2">
        <v>0.79166666666666663</v>
      </c>
      <c r="F760" t="s">
        <v>36</v>
      </c>
      <c r="G760">
        <f>VLOOKUP(Table46[[#This Row],[Home]],'NHL Model'!$A$6:$B$38,2,FALSE)</f>
        <v>-0.40651947573390851</v>
      </c>
      <c r="H760" t="s">
        <v>18</v>
      </c>
      <c r="I760">
        <f>VLOOKUP(Table46[[#This Row],[Visitor]],'NHL Model'!$A$6:$B$38,2,FALSE)</f>
        <v>-0.52437726201848234</v>
      </c>
      <c r="J760">
        <f>($B$1+Table46[[#This Row],[Home Differential]])-Table46[[#This Row],[Away Differential]]</f>
        <v>0.28043009594689222</v>
      </c>
      <c r="K760" t="str">
        <f>IF(Table46[[#This Row],[HomeIce Differential]]&gt;0,Table46[[#This Row],[Home]],Table46[[#This Row],[Visitor]])</f>
        <v>Ottawa Senators</v>
      </c>
      <c r="L76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0.50329390715313005</v>
      </c>
      <c r="M760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760" t="str">
        <f>IF(OR((NHL2025_26Results[[#This Row],[Winning Team]]="")),"-",IF(Table46[[#This Row],[Predicted Winner]]=NHL2025_26Results[[#This Row],[Winning Team]],"YES","NO"))</f>
        <v>-</v>
      </c>
      <c r="O760" t="str">
        <f>IF(OR((NHL2025_26Results[[#This Row],[Winning Team]]="")),"-",IF(Table46[[#This Row],[Prob Winner]]=NHL2025_26Results[[#This Row],[Winning Team]],"YES","NO"))</f>
        <v>-</v>
      </c>
      <c r="P760" t="str">
        <f>IF(Table46[[#This Row],[Locked Prediction]]&lt;&gt;Table46[[#This Row],[Prob Winner]], "Changed", "Same")</f>
        <v>Changed</v>
      </c>
      <c r="Q76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61" spans="4:17" x14ac:dyDescent="0.2">
      <c r="D761" s="1">
        <v>46039</v>
      </c>
      <c r="E761" s="2">
        <v>0.54166666666666663</v>
      </c>
      <c r="F761" t="s">
        <v>27</v>
      </c>
      <c r="G761">
        <f>VLOOKUP(Table46[[#This Row],[Home]],'NHL Model'!$A$6:$B$38,2,FALSE)</f>
        <v>-0.51358590497437617</v>
      </c>
      <c r="H761" t="s">
        <v>15</v>
      </c>
      <c r="I761">
        <f>VLOOKUP(Table46[[#This Row],[Visitor]],'NHL Model'!$A$6:$B$38,2,FALSE)</f>
        <v>-0.30719665303039001</v>
      </c>
      <c r="J761">
        <f>($B$1+Table46[[#This Row],[Home Differential]])-Table46[[#This Row],[Away Differential]]</f>
        <v>-4.381694228166777E-2</v>
      </c>
      <c r="K761" t="str">
        <f>IF(Table46[[#This Row],[HomeIce Differential]]&gt;0,Table46[[#This Row],[Home]],Table46[[#This Row],[Visitor]])</f>
        <v>New York Rangers</v>
      </c>
      <c r="L76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0.60582410442523482</v>
      </c>
      <c r="M761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761" t="str">
        <f>IF(OR((NHL2025_26Results[[#This Row],[Winning Team]]="")),"-",IF(Table46[[#This Row],[Predicted Winner]]=NHL2025_26Results[[#This Row],[Winning Team]],"YES","NO"))</f>
        <v>-</v>
      </c>
      <c r="O761" t="str">
        <f>IF(OR((NHL2025_26Results[[#This Row],[Winning Team]]="")),"-",IF(Table46[[#This Row],[Prob Winner]]=NHL2025_26Results[[#This Row],[Winning Team]],"YES","NO"))</f>
        <v>-</v>
      </c>
      <c r="P761" t="str">
        <f>IF(Table46[[#This Row],[Locked Prediction]]&lt;&gt;Table46[[#This Row],[Prob Winner]], "Changed", "Same")</f>
        <v>Changed</v>
      </c>
      <c r="Q76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62" spans="4:17" x14ac:dyDescent="0.2">
      <c r="D762" s="1">
        <v>46039</v>
      </c>
      <c r="E762" s="2">
        <v>0.79166666666666663</v>
      </c>
      <c r="F762" t="s">
        <v>14</v>
      </c>
      <c r="G762">
        <f>VLOOKUP(Table46[[#This Row],[Home]],'NHL Model'!$A$6:$B$38,2,FALSE)</f>
        <v>0.26289091192875702</v>
      </c>
      <c r="H762" t="s">
        <v>28</v>
      </c>
      <c r="I762">
        <f>VLOOKUP(Table46[[#This Row],[Visitor]],'NHL Model'!$A$6:$B$38,2,FALSE)</f>
        <v>-0.40822279081308277</v>
      </c>
      <c r="J762">
        <f>($B$1+Table46[[#This Row],[Home Differential]])-Table46[[#This Row],[Away Differential]]</f>
        <v>0.83368601240415818</v>
      </c>
      <c r="K762" t="str">
        <f>IF(Table46[[#This Row],[HomeIce Differential]]&gt;0,Table46[[#This Row],[Home]],Table46[[#This Row],[Visitor]])</f>
        <v>Pittsburgh Penguins</v>
      </c>
      <c r="L76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0.66636827185344605</v>
      </c>
      <c r="M762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762" t="str">
        <f>IF(OR((NHL2025_26Results[[#This Row],[Winning Team]]="")),"-",IF(Table46[[#This Row],[Predicted Winner]]=NHL2025_26Results[[#This Row],[Winning Team]],"YES","NO"))</f>
        <v>-</v>
      </c>
      <c r="O762" t="str">
        <f>IF(OR((NHL2025_26Results[[#This Row],[Winning Team]]="")),"-",IF(Table46[[#This Row],[Prob Winner]]=NHL2025_26Results[[#This Row],[Winning Team]],"YES","NO"))</f>
        <v>-</v>
      </c>
      <c r="P762" t="str">
        <f>IF(Table46[[#This Row],[Locked Prediction]]&lt;&gt;Table46[[#This Row],[Prob Winner]], "Changed", "Same")</f>
        <v>Changed</v>
      </c>
      <c r="Q76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63" spans="4:17" x14ac:dyDescent="0.2">
      <c r="D763" s="1">
        <v>46039</v>
      </c>
      <c r="E763" s="2">
        <v>0.70833333333333337</v>
      </c>
      <c r="F763" t="s">
        <v>55</v>
      </c>
      <c r="G763">
        <f>VLOOKUP(Table46[[#This Row],[Home]],'NHL Model'!$A$6:$B$38,2,FALSE)</f>
        <v>-0.12212311954851815</v>
      </c>
      <c r="H763" t="s">
        <v>32</v>
      </c>
      <c r="I763">
        <f>VLOOKUP(Table46[[#This Row],[Visitor]],'NHL Model'!$A$6:$B$38,2,FALSE)</f>
        <v>-0.361361309178443</v>
      </c>
      <c r="J763">
        <f>($B$1+Table46[[#This Row],[Home Differential]])-Table46[[#This Row],[Away Differential]]</f>
        <v>0.40181049929224322</v>
      </c>
      <c r="K763" t="str">
        <f>IF(Table46[[#This Row],[HomeIce Differential]]&gt;0,Table46[[#This Row],[Home]],Table46[[#This Row],[Visitor]])</f>
        <v>Utah Mammoth</v>
      </c>
      <c r="L76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0.66168075835168549</v>
      </c>
      <c r="M763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763" t="str">
        <f>IF(OR((NHL2025_26Results[[#This Row],[Winning Team]]="")),"-",IF(Table46[[#This Row],[Predicted Winner]]=NHL2025_26Results[[#This Row],[Winning Team]],"YES","NO"))</f>
        <v>-</v>
      </c>
      <c r="O763" t="str">
        <f>IF(OR((NHL2025_26Results[[#This Row],[Winning Team]]="")),"-",IF(Table46[[#This Row],[Prob Winner]]=NHL2025_26Results[[#This Row],[Winning Team]],"YES","NO"))</f>
        <v>-</v>
      </c>
      <c r="P763" t="str">
        <f>IF(Table46[[#This Row],[Locked Prediction]]&lt;&gt;Table46[[#This Row],[Prob Winner]], "Changed", "Same")</f>
        <v>Changed</v>
      </c>
      <c r="Q76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64" spans="4:17" x14ac:dyDescent="0.2">
      <c r="D764" s="1">
        <v>46039</v>
      </c>
      <c r="E764" s="2">
        <v>0.91666666666666663</v>
      </c>
      <c r="F764" t="s">
        <v>38</v>
      </c>
      <c r="G764">
        <f>VLOOKUP(Table46[[#This Row],[Home]],'NHL Model'!$A$6:$B$38,2,FALSE)</f>
        <v>-0.6902088310934803</v>
      </c>
      <c r="H764" t="s">
        <v>17</v>
      </c>
      <c r="I764">
        <f>VLOOKUP(Table46[[#This Row],[Visitor]],'NHL Model'!$A$6:$B$38,2,FALSE)</f>
        <v>-0.61980804137564283</v>
      </c>
      <c r="J764">
        <f>($B$1+Table46[[#This Row],[Home Differential]])-Table46[[#This Row],[Away Differential]]</f>
        <v>9.2171519944480917E-2</v>
      </c>
      <c r="K764" t="str">
        <f>IF(Table46[[#This Row],[HomeIce Differential]]&gt;0,Table46[[#This Row],[Home]],Table46[[#This Row],[Visitor]])</f>
        <v>Vancouver Canucks</v>
      </c>
      <c r="L76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0.55225134683608157</v>
      </c>
      <c r="M764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764" t="str">
        <f>IF(OR((NHL2025_26Results[[#This Row],[Winning Team]]="")),"-",IF(Table46[[#This Row],[Predicted Winner]]=NHL2025_26Results[[#This Row],[Winning Team]],"YES","NO"))</f>
        <v>-</v>
      </c>
      <c r="O764" t="str">
        <f>IF(OR((NHL2025_26Results[[#This Row],[Winning Team]]="")),"-",IF(Table46[[#This Row],[Prob Winner]]=NHL2025_26Results[[#This Row],[Winning Team]],"YES","NO"))</f>
        <v>-</v>
      </c>
      <c r="P764" t="str">
        <f>IF(Table46[[#This Row],[Locked Prediction]]&lt;&gt;Table46[[#This Row],[Prob Winner]], "Changed", "Same")</f>
        <v>Changed</v>
      </c>
      <c r="Q76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65" spans="4:17" x14ac:dyDescent="0.2">
      <c r="D765" s="1">
        <v>46039</v>
      </c>
      <c r="E765" s="2">
        <v>0.91666666666666663</v>
      </c>
      <c r="F765" t="s">
        <v>20</v>
      </c>
      <c r="G765">
        <f>VLOOKUP(Table46[[#This Row],[Home]],'NHL Model'!$A$6:$B$38,2,FALSE)</f>
        <v>-6.3745791019188943E-4</v>
      </c>
      <c r="H765" t="s">
        <v>29</v>
      </c>
      <c r="I765">
        <f>VLOOKUP(Table46[[#This Row],[Visitor]],'NHL Model'!$A$6:$B$38,2,FALSE)</f>
        <v>-1.3516250707060606</v>
      </c>
      <c r="J765">
        <f>($B$1+Table46[[#This Row],[Home Differential]])-Table46[[#This Row],[Away Differential]]</f>
        <v>1.513559922458187</v>
      </c>
      <c r="K765" t="str">
        <f>IF(Table46[[#This Row],[HomeIce Differential]]&gt;0,Table46[[#This Row],[Home]],Table46[[#This Row],[Visitor]])</f>
        <v>Vegas Golden Knights</v>
      </c>
      <c r="L76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0.74118088080132893</v>
      </c>
      <c r="M765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765" t="str">
        <f>IF(OR((NHL2025_26Results[[#This Row],[Winning Team]]="")),"-",IF(Table46[[#This Row],[Predicted Winner]]=NHL2025_26Results[[#This Row],[Winning Team]],"YES","NO"))</f>
        <v>-</v>
      </c>
      <c r="O765" t="str">
        <f>IF(OR((NHL2025_26Results[[#This Row],[Winning Team]]="")),"-",IF(Table46[[#This Row],[Prob Winner]]=NHL2025_26Results[[#This Row],[Winning Team]],"YES","NO"))</f>
        <v>-</v>
      </c>
      <c r="P765" t="str">
        <f>IF(Table46[[#This Row],[Locked Prediction]]&lt;&gt;Table46[[#This Row],[Prob Winner]], "Changed", "Same")</f>
        <v>Changed</v>
      </c>
      <c r="Q76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66" spans="4:17" x14ac:dyDescent="0.2">
      <c r="D766" s="1">
        <v>46039</v>
      </c>
      <c r="E766" s="2">
        <v>0.79166666666666663</v>
      </c>
      <c r="F766" t="s">
        <v>40</v>
      </c>
      <c r="G766">
        <f>VLOOKUP(Table46[[#This Row],[Home]],'NHL Model'!$A$6:$B$38,2,FALSE)</f>
        <v>0.105105258369765</v>
      </c>
      <c r="H766" t="s">
        <v>19</v>
      </c>
      <c r="I766">
        <f>VLOOKUP(Table46[[#This Row],[Visitor]],'NHL Model'!$A$6:$B$38,2,FALSE)</f>
        <v>-0.635565543477981</v>
      </c>
      <c r="J766">
        <f>($B$1+Table46[[#This Row],[Home Differential]])-Table46[[#This Row],[Away Differential]]</f>
        <v>0.90324311151006442</v>
      </c>
      <c r="K766" t="str">
        <f>IF(Table46[[#This Row],[HomeIce Differential]]&gt;0,Table46[[#This Row],[Home]],Table46[[#This Row],[Visitor]])</f>
        <v>Winnipeg Jets</v>
      </c>
      <c r="L76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0.69609504314851156</v>
      </c>
      <c r="M766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766" t="str">
        <f>IF(OR((NHL2025_26Results[[#This Row],[Winning Team]]="")),"-",IF(Table46[[#This Row],[Predicted Winner]]=NHL2025_26Results[[#This Row],[Winning Team]],"YES","NO"))</f>
        <v>-</v>
      </c>
      <c r="O766" t="str">
        <f>IF(OR((NHL2025_26Results[[#This Row],[Winning Team]]="")),"-",IF(Table46[[#This Row],[Prob Winner]]=NHL2025_26Results[[#This Row],[Winning Team]],"YES","NO"))</f>
        <v>-</v>
      </c>
      <c r="P766" t="str">
        <f>IF(Table46[[#This Row],[Locked Prediction]]&lt;&gt;Table46[[#This Row],[Prob Winner]], "Changed", "Same")</f>
        <v>Changed</v>
      </c>
      <c r="Q76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67" spans="4:17" x14ac:dyDescent="0.2">
      <c r="D767" s="1">
        <v>46039</v>
      </c>
      <c r="E767" s="2">
        <v>0.79166666666666663</v>
      </c>
      <c r="F767" t="s">
        <v>22</v>
      </c>
      <c r="G767">
        <f>VLOOKUP(Table46[[#This Row],[Home]],'NHL Model'!$A$6:$B$38,2,FALSE)</f>
        <v>-6.1308839486784707E-2</v>
      </c>
      <c r="H767" t="s">
        <v>11</v>
      </c>
      <c r="I767">
        <f>VLOOKUP(Table46[[#This Row],[Visitor]],'NHL Model'!$A$6:$B$38,2,FALSE)</f>
        <v>-0.28105923893144158</v>
      </c>
      <c r="J767">
        <f>($B$1+Table46[[#This Row],[Home Differential]])-Table46[[#This Row],[Away Differential]]</f>
        <v>0.3823227091069753</v>
      </c>
      <c r="K767" t="str">
        <f>IF(Table46[[#This Row],[HomeIce Differential]]&gt;0,Table46[[#This Row],[Home]],Table46[[#This Row],[Visitor]])</f>
        <v>Washington Capitals</v>
      </c>
      <c r="L76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0.59081795456341868</v>
      </c>
      <c r="M767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767" t="str">
        <f>IF(OR((NHL2025_26Results[[#This Row],[Winning Team]]="")),"-",IF(Table46[[#This Row],[Predicted Winner]]=NHL2025_26Results[[#This Row],[Winning Team]],"YES","NO"))</f>
        <v>-</v>
      </c>
      <c r="O767" t="str">
        <f>IF(OR((NHL2025_26Results[[#This Row],[Winning Team]]="")),"-",IF(Table46[[#This Row],[Prob Winner]]=NHL2025_26Results[[#This Row],[Winning Team]],"YES","NO"))</f>
        <v>-</v>
      </c>
      <c r="P767" t="str">
        <f>IF(Table46[[#This Row],[Locked Prediction]]&lt;&gt;Table46[[#This Row],[Prob Winner]], "Changed", "Same")</f>
        <v>Changed</v>
      </c>
      <c r="Q76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68" spans="4:17" x14ac:dyDescent="0.2">
      <c r="D768" s="1">
        <v>46040</v>
      </c>
      <c r="E768" s="2">
        <v>0.58333333333333337</v>
      </c>
      <c r="F768" t="s">
        <v>39</v>
      </c>
      <c r="G768">
        <f>VLOOKUP(Table46[[#This Row],[Home]],'NHL Model'!$A$6:$B$38,2,FALSE)</f>
        <v>0.19809534061227302</v>
      </c>
      <c r="H768" t="s">
        <v>37</v>
      </c>
      <c r="I768">
        <f>VLOOKUP(Table46[[#This Row],[Visitor]],'NHL Model'!$A$6:$B$38,2,FALSE)</f>
        <v>-0.11309445867623392</v>
      </c>
      <c r="J768">
        <f>($B$1+Table46[[#This Row],[Home Differential]])-Table46[[#This Row],[Away Differential]]</f>
        <v>0.47376210895082532</v>
      </c>
      <c r="K768" t="str">
        <f>IF(Table46[[#This Row],[HomeIce Differential]]&gt;0,Table46[[#This Row],[Home]],Table46[[#This Row],[Visitor]])</f>
        <v>Dallas Stars</v>
      </c>
      <c r="L76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0.58220275795403387</v>
      </c>
      <c r="M768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768" t="str">
        <f>IF(OR((NHL2025_26Results[[#This Row],[Winning Team]]="")),"-",IF(Table46[[#This Row],[Predicted Winner]]=NHL2025_26Results[[#This Row],[Winning Team]],"YES","NO"))</f>
        <v>-</v>
      </c>
      <c r="O768" t="str">
        <f>IF(OR((NHL2025_26Results[[#This Row],[Winning Team]]="")),"-",IF(Table46[[#This Row],[Prob Winner]]=NHL2025_26Results[[#This Row],[Winning Team]],"YES","NO"))</f>
        <v>-</v>
      </c>
      <c r="P768" t="str">
        <f>IF(Table46[[#This Row],[Locked Prediction]]&lt;&gt;Table46[[#This Row],[Prob Winner]], "Changed", "Same")</f>
        <v>Changed</v>
      </c>
      <c r="Q76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69" spans="4:17" x14ac:dyDescent="0.2">
      <c r="D769" s="1">
        <v>46040</v>
      </c>
      <c r="E769" s="2">
        <v>0.70833333333333337</v>
      </c>
      <c r="F769" t="s">
        <v>26</v>
      </c>
      <c r="G769">
        <f>VLOOKUP(Table46[[#This Row],[Home]],'NHL Model'!$A$6:$B$38,2,FALSE)</f>
        <v>-0.513643833119658</v>
      </c>
      <c r="H769" t="s">
        <v>36</v>
      </c>
      <c r="I769">
        <f>VLOOKUP(Table46[[#This Row],[Visitor]],'NHL Model'!$A$6:$B$38,2,FALSE)</f>
        <v>-0.40651947573390851</v>
      </c>
      <c r="J769">
        <f>($B$1+Table46[[#This Row],[Home Differential]])-Table46[[#This Row],[Away Differential]]</f>
        <v>5.5447952276568901E-2</v>
      </c>
      <c r="K769" t="str">
        <f>IF(Table46[[#This Row],[HomeIce Differential]]&gt;0,Table46[[#This Row],[Home]],Table46[[#This Row],[Visitor]])</f>
        <v>Detroit Red Wings</v>
      </c>
      <c r="L76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0.5734078225645618</v>
      </c>
      <c r="M769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769" t="str">
        <f>IF(OR((NHL2025_26Results[[#This Row],[Winning Team]]="")),"-",IF(Table46[[#This Row],[Predicted Winner]]=NHL2025_26Results[[#This Row],[Winning Team]],"YES","NO"))</f>
        <v>-</v>
      </c>
      <c r="O769" t="str">
        <f>IF(OR((NHL2025_26Results[[#This Row],[Winning Team]]="")),"-",IF(Table46[[#This Row],[Prob Winner]]=NHL2025_26Results[[#This Row],[Winning Team]],"YES","NO"))</f>
        <v>-</v>
      </c>
      <c r="P769" t="str">
        <f>IF(Table46[[#This Row],[Locked Prediction]]&lt;&gt;Table46[[#This Row],[Prob Winner]], "Changed", "Same")</f>
        <v>Changed</v>
      </c>
      <c r="Q76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70" spans="4:17" x14ac:dyDescent="0.2">
      <c r="D770" s="1">
        <v>46040</v>
      </c>
      <c r="E770" s="2">
        <v>0.83333333333333337</v>
      </c>
      <c r="F770" t="s">
        <v>17</v>
      </c>
      <c r="G770">
        <f>VLOOKUP(Table46[[#This Row],[Home]],'NHL Model'!$A$6:$B$38,2,FALSE)</f>
        <v>-0.61980804137564283</v>
      </c>
      <c r="H770" t="s">
        <v>35</v>
      </c>
      <c r="I770">
        <f>VLOOKUP(Table46[[#This Row],[Visitor]],'NHL Model'!$A$6:$B$38,2,FALSE)</f>
        <v>-1.6211574240381006</v>
      </c>
      <c r="J770">
        <f>($B$1+Table46[[#This Row],[Home Differential]])-Table46[[#This Row],[Away Differential]]</f>
        <v>1.1639216923247762</v>
      </c>
      <c r="K770" t="str">
        <f>IF(Table46[[#This Row],[HomeIce Differential]]&gt;0,Table46[[#This Row],[Home]],Table46[[#This Row],[Visitor]])</f>
        <v>Edmonton Oilers</v>
      </c>
      <c r="L77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0.73074418106250305</v>
      </c>
      <c r="M770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770" t="str">
        <f>IF(OR((NHL2025_26Results[[#This Row],[Winning Team]]="")),"-",IF(Table46[[#This Row],[Predicted Winner]]=NHL2025_26Results[[#This Row],[Winning Team]],"YES","NO"))</f>
        <v>-</v>
      </c>
      <c r="O770" t="str">
        <f>IF(OR((NHL2025_26Results[[#This Row],[Winning Team]]="")),"-",IF(Table46[[#This Row],[Prob Winner]]=NHL2025_26Results[[#This Row],[Winning Team]],"YES","NO"))</f>
        <v>-</v>
      </c>
      <c r="P770" t="str">
        <f>IF(Table46[[#This Row],[Locked Prediction]]&lt;&gt;Table46[[#This Row],[Prob Winner]], "Changed", "Same")</f>
        <v>Changed</v>
      </c>
      <c r="Q77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71" spans="4:17" x14ac:dyDescent="0.2">
      <c r="D771" s="1">
        <v>46041</v>
      </c>
      <c r="E771" s="2">
        <v>0.91666666666666663</v>
      </c>
      <c r="F771" t="s">
        <v>31</v>
      </c>
      <c r="G771">
        <f>VLOOKUP(Table46[[#This Row],[Home]],'NHL Model'!$A$6:$B$38,2,FALSE)</f>
        <v>0.51775546328552802</v>
      </c>
      <c r="H771" t="s">
        <v>15</v>
      </c>
      <c r="I771">
        <f>VLOOKUP(Table46[[#This Row],[Visitor]],'NHL Model'!$A$6:$B$38,2,FALSE)</f>
        <v>-0.30719665303039001</v>
      </c>
      <c r="J771">
        <f>($B$1+Table46[[#This Row],[Home Differential]])-Table46[[#This Row],[Away Differential]]</f>
        <v>0.98752442597823642</v>
      </c>
      <c r="K771" t="str">
        <f>IF(Table46[[#This Row],[HomeIce Differential]]&gt;0,Table46[[#This Row],[Home]],Table46[[#This Row],[Visitor]])</f>
        <v>Anaheim Ducks</v>
      </c>
      <c r="L77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0.63584792131738588</v>
      </c>
      <c r="M771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771" t="str">
        <f>IF(OR((NHL2025_26Results[[#This Row],[Winning Team]]="")),"-",IF(Table46[[#This Row],[Predicted Winner]]=NHL2025_26Results[[#This Row],[Winning Team]],"YES","NO"))</f>
        <v>-</v>
      </c>
      <c r="O771" t="str">
        <f>IF(OR((NHL2025_26Results[[#This Row],[Winning Team]]="")),"-",IF(Table46[[#This Row],[Prob Winner]]=NHL2025_26Results[[#This Row],[Winning Team]],"YES","NO"))</f>
        <v>-</v>
      </c>
      <c r="P771" t="str">
        <f>IF(Table46[[#This Row],[Locked Prediction]]&lt;&gt;Table46[[#This Row],[Prob Winner]], "Changed", "Same")</f>
        <v>Changed</v>
      </c>
      <c r="Q77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72" spans="4:17" x14ac:dyDescent="0.2">
      <c r="D772" s="1">
        <v>46041</v>
      </c>
      <c r="E772" s="2">
        <v>0.5625</v>
      </c>
      <c r="F772" t="s">
        <v>25</v>
      </c>
      <c r="G772">
        <f>VLOOKUP(Table46[[#This Row],[Home]],'NHL Model'!$A$6:$B$38,2,FALSE)</f>
        <v>0.67193921242367816</v>
      </c>
      <c r="H772" t="s">
        <v>23</v>
      </c>
      <c r="I772">
        <f>VLOOKUP(Table46[[#This Row],[Visitor]],'NHL Model'!$A$6:$B$38,2,FALSE)</f>
        <v>-0.8683412362501769</v>
      </c>
      <c r="J772">
        <f>($B$1+Table46[[#This Row],[Home Differential]])-Table46[[#This Row],[Away Differential]]</f>
        <v>1.7028527583361734</v>
      </c>
      <c r="K772" t="str">
        <f>IF(Table46[[#This Row],[HomeIce Differential]]&gt;0,Table46[[#This Row],[Home]],Table46[[#This Row],[Visitor]])</f>
        <v>Carolina Hurricanes</v>
      </c>
      <c r="L77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0.81805747276888163</v>
      </c>
      <c r="M772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772" t="str">
        <f>IF(OR((NHL2025_26Results[[#This Row],[Winning Team]]="")),"-",IF(Table46[[#This Row],[Predicted Winner]]=NHL2025_26Results[[#This Row],[Winning Team]],"YES","NO"))</f>
        <v>-</v>
      </c>
      <c r="O772" t="str">
        <f>IF(OR((NHL2025_26Results[[#This Row],[Winning Team]]="")),"-",IF(Table46[[#This Row],[Prob Winner]]=NHL2025_26Results[[#This Row],[Winning Team]],"YES","NO"))</f>
        <v>-</v>
      </c>
      <c r="P772" t="str">
        <f>IF(Table46[[#This Row],[Locked Prediction]]&lt;&gt;Table46[[#This Row],[Prob Winner]], "Changed", "Same")</f>
        <v>Changed</v>
      </c>
      <c r="Q77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73" spans="4:17" x14ac:dyDescent="0.2">
      <c r="D773" s="1">
        <v>46041</v>
      </c>
      <c r="E773" s="2">
        <v>0.875</v>
      </c>
      <c r="F773" t="s">
        <v>16</v>
      </c>
      <c r="G773">
        <f>VLOOKUP(Table46[[#This Row],[Home]],'NHL Model'!$A$6:$B$38,2,FALSE)</f>
        <v>-1.3903684122795328</v>
      </c>
      <c r="H773" t="s">
        <v>24</v>
      </c>
      <c r="I773">
        <f>VLOOKUP(Table46[[#This Row],[Visitor]],'NHL Model'!$A$6:$B$38,2,FALSE)</f>
        <v>0.559441163373953</v>
      </c>
      <c r="J773">
        <f>($B$1+Table46[[#This Row],[Home Differential]])-Table46[[#This Row],[Away Differential]]</f>
        <v>-1.7872372659911675</v>
      </c>
      <c r="K773" t="str">
        <f>IF(Table46[[#This Row],[HomeIce Differential]]&gt;0,Table46[[#This Row],[Home]],Table46[[#This Row],[Visitor]])</f>
        <v>New Jersey Devils</v>
      </c>
      <c r="L77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0.76387359081206829</v>
      </c>
      <c r="M773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773" t="str">
        <f>IF(OR((NHL2025_26Results[[#This Row],[Winning Team]]="")),"-",IF(Table46[[#This Row],[Predicted Winner]]=NHL2025_26Results[[#This Row],[Winning Team]],"YES","NO"))</f>
        <v>-</v>
      </c>
      <c r="O773" t="str">
        <f>IF(OR((NHL2025_26Results[[#This Row],[Winning Team]]="")),"-",IF(Table46[[#This Row],[Prob Winner]]=NHL2025_26Results[[#This Row],[Winning Team]],"YES","NO"))</f>
        <v>-</v>
      </c>
      <c r="P773" t="str">
        <f>IF(Table46[[#This Row],[Locked Prediction]]&lt;&gt;Table46[[#This Row],[Prob Winner]], "Changed", "Same")</f>
        <v>Changed</v>
      </c>
      <c r="Q77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74" spans="4:17" x14ac:dyDescent="0.2">
      <c r="D774" s="1">
        <v>46041</v>
      </c>
      <c r="E774" s="2">
        <v>0.85416666666666663</v>
      </c>
      <c r="F774" t="s">
        <v>10</v>
      </c>
      <c r="G774">
        <f>VLOOKUP(Table46[[#This Row],[Home]],'NHL Model'!$A$6:$B$38,2,FALSE)</f>
        <v>0.30570968833820172</v>
      </c>
      <c r="H774" t="s">
        <v>40</v>
      </c>
      <c r="I774">
        <f>VLOOKUP(Table46[[#This Row],[Visitor]],'NHL Model'!$A$6:$B$38,2,FALSE)</f>
        <v>0.105105258369765</v>
      </c>
      <c r="J774">
        <f>($B$1+Table46[[#This Row],[Home Differential]])-Table46[[#This Row],[Away Differential]]</f>
        <v>0.36317673963075514</v>
      </c>
      <c r="K774" t="str">
        <f>IF(Table46[[#This Row],[HomeIce Differential]]&gt;0,Table46[[#This Row],[Home]],Table46[[#This Row],[Visitor]])</f>
        <v>Chicago Blackhawks</v>
      </c>
      <c r="L77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0.52195730185315659</v>
      </c>
      <c r="M774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774" t="str">
        <f>IF(OR((NHL2025_26Results[[#This Row],[Winning Team]]="")),"-",IF(Table46[[#This Row],[Predicted Winner]]=NHL2025_26Results[[#This Row],[Winning Team]],"YES","NO"))</f>
        <v>-</v>
      </c>
      <c r="O774" t="str">
        <f>IF(OR((NHL2025_26Results[[#This Row],[Winning Team]]="")),"-",IF(Table46[[#This Row],[Prob Winner]]=NHL2025_26Results[[#This Row],[Winning Team]],"YES","NO"))</f>
        <v>-</v>
      </c>
      <c r="P774" t="str">
        <f>IF(Table46[[#This Row],[Locked Prediction]]&lt;&gt;Table46[[#This Row],[Prob Winner]], "Changed", "Same")</f>
        <v>Changed</v>
      </c>
      <c r="Q77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75" spans="4:17" x14ac:dyDescent="0.2">
      <c r="D775" s="1">
        <v>46041</v>
      </c>
      <c r="E775" s="2">
        <v>0.66666666666666663</v>
      </c>
      <c r="F775" t="s">
        <v>12</v>
      </c>
      <c r="G775">
        <f>VLOOKUP(Table46[[#This Row],[Home]],'NHL Model'!$A$6:$B$38,2,FALSE)</f>
        <v>1.5475013591489768</v>
      </c>
      <c r="H775" t="s">
        <v>22</v>
      </c>
      <c r="I775">
        <f>VLOOKUP(Table46[[#This Row],[Visitor]],'NHL Model'!$A$6:$B$38,2,FALSE)</f>
        <v>-6.1308839486784707E-2</v>
      </c>
      <c r="J775">
        <f>($B$1+Table46[[#This Row],[Home Differential]])-Table46[[#This Row],[Away Differential]]</f>
        <v>1.7713825082980799</v>
      </c>
      <c r="K775" t="str">
        <f>IF(Table46[[#This Row],[HomeIce Differential]]&gt;0,Table46[[#This Row],[Home]],Table46[[#This Row],[Visitor]])</f>
        <v>Colorado Avalanche</v>
      </c>
      <c r="L77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0.86381665045723155</v>
      </c>
      <c r="M775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775" t="str">
        <f>IF(OR((NHL2025_26Results[[#This Row],[Winning Team]]="")),"-",IF(Table46[[#This Row],[Predicted Winner]]=NHL2025_26Results[[#This Row],[Winning Team]],"YES","NO"))</f>
        <v>-</v>
      </c>
      <c r="O775" t="str">
        <f>IF(OR((NHL2025_26Results[[#This Row],[Winning Team]]="")),"-",IF(Table46[[#This Row],[Prob Winner]]=NHL2025_26Results[[#This Row],[Winning Team]],"YES","NO"))</f>
        <v>-</v>
      </c>
      <c r="P775" t="str">
        <f>IF(Table46[[#This Row],[Locked Prediction]]&lt;&gt;Table46[[#This Row],[Prob Winner]], "Changed", "Same")</f>
        <v>Changed</v>
      </c>
      <c r="Q77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76" spans="4:17" x14ac:dyDescent="0.2">
      <c r="D776" s="1">
        <v>46041</v>
      </c>
      <c r="E776" s="2">
        <v>0.79166666666666663</v>
      </c>
      <c r="F776" t="s">
        <v>11</v>
      </c>
      <c r="G776">
        <f>VLOOKUP(Table46[[#This Row],[Home]],'NHL Model'!$A$6:$B$38,2,FALSE)</f>
        <v>-0.28105923893144158</v>
      </c>
      <c r="H776" t="s">
        <v>33</v>
      </c>
      <c r="I776">
        <f>VLOOKUP(Table46[[#This Row],[Visitor]],'NHL Model'!$A$6:$B$38,2,FALSE)</f>
        <v>-0.39418177254008485</v>
      </c>
      <c r="J776">
        <f>($B$1+Table46[[#This Row],[Home Differential]])-Table46[[#This Row],[Away Differential]]</f>
        <v>0.27569484327096166</v>
      </c>
      <c r="K776" t="str">
        <f>IF(Table46[[#This Row],[HomeIce Differential]]&gt;0,Table46[[#This Row],[Home]],Table46[[#This Row],[Visitor]])</f>
        <v>Florida Panthers</v>
      </c>
      <c r="L77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0.62836106092870925</v>
      </c>
      <c r="M776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776" t="str">
        <f>IF(OR((NHL2025_26Results[[#This Row],[Winning Team]]="")),"-",IF(Table46[[#This Row],[Predicted Winner]]=NHL2025_26Results[[#This Row],[Winning Team]],"YES","NO"))</f>
        <v>-</v>
      </c>
      <c r="O776" t="str">
        <f>IF(OR((NHL2025_26Results[[#This Row],[Winning Team]]="")),"-",IF(Table46[[#This Row],[Prob Winner]]=NHL2025_26Results[[#This Row],[Winning Team]],"YES","NO"))</f>
        <v>-</v>
      </c>
      <c r="P776" t="str">
        <f>IF(Table46[[#This Row],[Locked Prediction]]&lt;&gt;Table46[[#This Row],[Prob Winner]], "Changed", "Same")</f>
        <v>Changed</v>
      </c>
      <c r="Q77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77" spans="4:17" x14ac:dyDescent="0.2">
      <c r="D777" s="1">
        <v>46041</v>
      </c>
      <c r="E777" s="2">
        <v>0.70833333333333337</v>
      </c>
      <c r="F777" t="s">
        <v>32</v>
      </c>
      <c r="G777">
        <f>VLOOKUP(Table46[[#This Row],[Home]],'NHL Model'!$A$6:$B$38,2,FALSE)</f>
        <v>-0.361361309178443</v>
      </c>
      <c r="H777" t="s">
        <v>14</v>
      </c>
      <c r="I777">
        <f>VLOOKUP(Table46[[#This Row],[Visitor]],'NHL Model'!$A$6:$B$38,2,FALSE)</f>
        <v>0.26289091192875702</v>
      </c>
      <c r="J777">
        <f>($B$1+Table46[[#This Row],[Home Differential]])-Table46[[#This Row],[Away Differential]]</f>
        <v>-0.46167991144488163</v>
      </c>
      <c r="K777" t="str">
        <f>IF(Table46[[#This Row],[HomeIce Differential]]&gt;0,Table46[[#This Row],[Home]],Table46[[#This Row],[Visitor]])</f>
        <v>Pittsburgh Penguins</v>
      </c>
      <c r="L77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0.49532829918833499</v>
      </c>
      <c r="M777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777" t="str">
        <f>IF(OR((NHL2025_26Results[[#This Row],[Winning Team]]="")),"-",IF(Table46[[#This Row],[Predicted Winner]]=NHL2025_26Results[[#This Row],[Winning Team]],"YES","NO"))</f>
        <v>-</v>
      </c>
      <c r="O777" t="str">
        <f>IF(OR((NHL2025_26Results[[#This Row],[Winning Team]]="")),"-",IF(Table46[[#This Row],[Prob Winner]]=NHL2025_26Results[[#This Row],[Winning Team]],"YES","NO"))</f>
        <v>-</v>
      </c>
      <c r="P777" t="str">
        <f>IF(Table46[[#This Row],[Locked Prediction]]&lt;&gt;Table46[[#This Row],[Prob Winner]], "Changed", "Same")</f>
        <v>Changed</v>
      </c>
      <c r="Q77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78" spans="4:17" x14ac:dyDescent="0.2">
      <c r="D778" s="1">
        <v>46041</v>
      </c>
      <c r="E778" s="2">
        <v>0.8125</v>
      </c>
      <c r="F778" t="s">
        <v>19</v>
      </c>
      <c r="G778">
        <f>VLOOKUP(Table46[[#This Row],[Home]],'NHL Model'!$A$6:$B$38,2,FALSE)</f>
        <v>-0.635565543477981</v>
      </c>
      <c r="H778" t="s">
        <v>34</v>
      </c>
      <c r="I778">
        <f>VLOOKUP(Table46[[#This Row],[Visitor]],'NHL Model'!$A$6:$B$38,2,FALSE)</f>
        <v>-0.53650300840565446</v>
      </c>
      <c r="J778">
        <f>($B$1+Table46[[#This Row],[Home Differential]])-Table46[[#This Row],[Away Differential]]</f>
        <v>6.3509774589991852E-2</v>
      </c>
      <c r="K778" t="str">
        <f>IF(Table46[[#This Row],[HomeIce Differential]]&gt;0,Table46[[#This Row],[Home]],Table46[[#This Row],[Visitor]])</f>
        <v>Toronto Maple Leafs</v>
      </c>
      <c r="L77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0.54844165612601403</v>
      </c>
      <c r="M778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778" t="str">
        <f>IF(OR((NHL2025_26Results[[#This Row],[Winning Team]]="")),"-",IF(Table46[[#This Row],[Predicted Winner]]=NHL2025_26Results[[#This Row],[Winning Team]],"YES","NO"))</f>
        <v>-</v>
      </c>
      <c r="O778" t="str">
        <f>IF(OR((NHL2025_26Results[[#This Row],[Winning Team]]="")),"-",IF(Table46[[#This Row],[Prob Winner]]=NHL2025_26Results[[#This Row],[Winning Team]],"YES","NO"))</f>
        <v>-</v>
      </c>
      <c r="P778" t="str">
        <f>IF(Table46[[#This Row],[Locked Prediction]]&lt;&gt;Table46[[#This Row],[Prob Winner]], "Changed", "Same")</f>
        <v>Changed</v>
      </c>
      <c r="Q77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79" spans="4:17" x14ac:dyDescent="0.2">
      <c r="D779" s="1">
        <v>46041</v>
      </c>
      <c r="E779" s="2">
        <v>0.91666666666666663</v>
      </c>
      <c r="F779" t="s">
        <v>38</v>
      </c>
      <c r="G779">
        <f>VLOOKUP(Table46[[#This Row],[Home]],'NHL Model'!$A$6:$B$38,2,FALSE)</f>
        <v>-0.6902088310934803</v>
      </c>
      <c r="H779" t="s">
        <v>30</v>
      </c>
      <c r="I779">
        <f>VLOOKUP(Table46[[#This Row],[Visitor]],'NHL Model'!$A$6:$B$38,2,FALSE)</f>
        <v>-6.4729560818359025E-2</v>
      </c>
      <c r="J779">
        <f>($B$1+Table46[[#This Row],[Home Differential]])-Table46[[#This Row],[Away Differential]]</f>
        <v>-0.4629069606128029</v>
      </c>
      <c r="K779" t="str">
        <f>IF(Table46[[#This Row],[HomeIce Differential]]&gt;0,Table46[[#This Row],[Home]],Table46[[#This Row],[Visitor]])</f>
        <v>New York Islanders</v>
      </c>
      <c r="L77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0.56404169600748866</v>
      </c>
      <c r="M779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779" t="str">
        <f>IF(OR((NHL2025_26Results[[#This Row],[Winning Team]]="")),"-",IF(Table46[[#This Row],[Predicted Winner]]=NHL2025_26Results[[#This Row],[Winning Team]],"YES","NO"))</f>
        <v>-</v>
      </c>
      <c r="O779" t="str">
        <f>IF(OR((NHL2025_26Results[[#This Row],[Winning Team]]="")),"-",IF(Table46[[#This Row],[Prob Winner]]=NHL2025_26Results[[#This Row],[Winning Team]],"YES","NO"))</f>
        <v>-</v>
      </c>
      <c r="P779" t="str">
        <f>IF(Table46[[#This Row],[Locked Prediction]]&lt;&gt;Table46[[#This Row],[Prob Winner]], "Changed", "Same")</f>
        <v>Changed</v>
      </c>
      <c r="Q77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80" spans="4:17" x14ac:dyDescent="0.2">
      <c r="D780" s="1">
        <v>46041</v>
      </c>
      <c r="E780" s="2">
        <v>0.83333333333333337</v>
      </c>
      <c r="F780" t="s">
        <v>20</v>
      </c>
      <c r="G780">
        <f>VLOOKUP(Table46[[#This Row],[Home]],'NHL Model'!$A$6:$B$38,2,FALSE)</f>
        <v>-6.3745791019188943E-4</v>
      </c>
      <c r="H780" t="s">
        <v>27</v>
      </c>
      <c r="I780">
        <f>VLOOKUP(Table46[[#This Row],[Visitor]],'NHL Model'!$A$6:$B$38,2,FALSE)</f>
        <v>-0.51358590497437617</v>
      </c>
      <c r="J780">
        <f>($B$1+Table46[[#This Row],[Home Differential]])-Table46[[#This Row],[Away Differential]]</f>
        <v>0.67552075672650269</v>
      </c>
      <c r="K780" t="str">
        <f>IF(Table46[[#This Row],[HomeIce Differential]]&gt;0,Table46[[#This Row],[Home]],Table46[[#This Row],[Visitor]])</f>
        <v>Vegas Golden Knights</v>
      </c>
      <c r="L78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0.62978954768906581</v>
      </c>
      <c r="M780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780" t="str">
        <f>IF(OR((NHL2025_26Results[[#This Row],[Winning Team]]="")),"-",IF(Table46[[#This Row],[Predicted Winner]]=NHL2025_26Results[[#This Row],[Winning Team]],"YES","NO"))</f>
        <v>-</v>
      </c>
      <c r="O780" t="str">
        <f>IF(OR((NHL2025_26Results[[#This Row],[Winning Team]]="")),"-",IF(Table46[[#This Row],[Prob Winner]]=NHL2025_26Results[[#This Row],[Winning Team]],"YES","NO"))</f>
        <v>-</v>
      </c>
      <c r="P780" t="str">
        <f>IF(Table46[[#This Row],[Locked Prediction]]&lt;&gt;Table46[[#This Row],[Prob Winner]], "Changed", "Same")</f>
        <v>Changed</v>
      </c>
      <c r="Q78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81" spans="4:17" x14ac:dyDescent="0.2">
      <c r="D781" s="1">
        <v>46042</v>
      </c>
      <c r="E781" s="2">
        <v>0.79166666666666663</v>
      </c>
      <c r="F781" t="s">
        <v>28</v>
      </c>
      <c r="G781">
        <f>VLOOKUP(Table46[[#This Row],[Home]],'NHL Model'!$A$6:$B$38,2,FALSE)</f>
        <v>-0.40822279081308277</v>
      </c>
      <c r="H781" t="s">
        <v>36</v>
      </c>
      <c r="I781">
        <f>VLOOKUP(Table46[[#This Row],[Visitor]],'NHL Model'!$A$6:$B$38,2,FALSE)</f>
        <v>-0.40651947573390851</v>
      </c>
      <c r="J781">
        <f>($B$1+Table46[[#This Row],[Home Differential]])-Table46[[#This Row],[Away Differential]]</f>
        <v>0.16086899458314413</v>
      </c>
      <c r="K781" t="str">
        <f>IF(Table46[[#This Row],[HomeIce Differential]]&gt;0,Table46[[#This Row],[Home]],Table46[[#This Row],[Visitor]])</f>
        <v>Columbus Blue Jackets</v>
      </c>
      <c r="L78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0.5613825468973167</v>
      </c>
      <c r="M781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781" t="str">
        <f>IF(OR((NHL2025_26Results[[#This Row],[Winning Team]]="")),"-",IF(Table46[[#This Row],[Predicted Winner]]=NHL2025_26Results[[#This Row],[Winning Team]],"YES","NO"))</f>
        <v>-</v>
      </c>
      <c r="O781" t="str">
        <f>IF(OR((NHL2025_26Results[[#This Row],[Winning Team]]="")),"-",IF(Table46[[#This Row],[Prob Winner]]=NHL2025_26Results[[#This Row],[Winning Team]],"YES","NO"))</f>
        <v>-</v>
      </c>
      <c r="P781" t="str">
        <f>IF(Table46[[#This Row],[Locked Prediction]]&lt;&gt;Table46[[#This Row],[Prob Winner]], "Changed", "Same")</f>
        <v>Changed</v>
      </c>
      <c r="Q78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82" spans="4:17" x14ac:dyDescent="0.2">
      <c r="D782" s="1">
        <v>46042</v>
      </c>
      <c r="E782" s="2">
        <v>0.8125</v>
      </c>
      <c r="F782" t="s">
        <v>39</v>
      </c>
      <c r="G782">
        <f>VLOOKUP(Table46[[#This Row],[Home]],'NHL Model'!$A$6:$B$38,2,FALSE)</f>
        <v>0.19809534061227302</v>
      </c>
      <c r="H782" t="s">
        <v>21</v>
      </c>
      <c r="I782">
        <f>VLOOKUP(Table46[[#This Row],[Visitor]],'NHL Model'!$A$6:$B$38,2,FALSE)</f>
        <v>4.029141914856392E-2</v>
      </c>
      <c r="J782">
        <f>($B$1+Table46[[#This Row],[Home Differential]])-Table46[[#This Row],[Away Differential]]</f>
        <v>0.32037623112602748</v>
      </c>
      <c r="K782" t="str">
        <f>IF(Table46[[#This Row],[HomeIce Differential]]&gt;0,Table46[[#This Row],[Home]],Table46[[#This Row],[Visitor]])</f>
        <v>Dallas Stars</v>
      </c>
      <c r="L78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0.60862182611821791</v>
      </c>
      <c r="M782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782" t="str">
        <f>IF(OR((NHL2025_26Results[[#This Row],[Winning Team]]="")),"-",IF(Table46[[#This Row],[Predicted Winner]]=NHL2025_26Results[[#This Row],[Winning Team]],"YES","NO"))</f>
        <v>-</v>
      </c>
      <c r="O782" t="str">
        <f>IF(OR((NHL2025_26Results[[#This Row],[Winning Team]]="")),"-",IF(Table46[[#This Row],[Prob Winner]]=NHL2025_26Results[[#This Row],[Winning Team]],"YES","NO"))</f>
        <v>-</v>
      </c>
      <c r="P782" t="str">
        <f>IF(Table46[[#This Row],[Locked Prediction]]&lt;&gt;Table46[[#This Row],[Prob Winner]], "Changed", "Same")</f>
        <v>Changed</v>
      </c>
      <c r="Q78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83" spans="4:17" x14ac:dyDescent="0.2">
      <c r="D783" s="1">
        <v>46042</v>
      </c>
      <c r="E783" s="2">
        <v>0.91666666666666663</v>
      </c>
      <c r="F783" t="s">
        <v>17</v>
      </c>
      <c r="G783">
        <f>VLOOKUP(Table46[[#This Row],[Home]],'NHL Model'!$A$6:$B$38,2,FALSE)</f>
        <v>-0.61980804137564283</v>
      </c>
      <c r="H783" t="s">
        <v>24</v>
      </c>
      <c r="I783">
        <f>VLOOKUP(Table46[[#This Row],[Visitor]],'NHL Model'!$A$6:$B$38,2,FALSE)</f>
        <v>0.559441163373953</v>
      </c>
      <c r="J783">
        <f>($B$1+Table46[[#This Row],[Home Differential]])-Table46[[#This Row],[Away Differential]]</f>
        <v>-1.0166768950872775</v>
      </c>
      <c r="K783" t="str">
        <f>IF(Table46[[#This Row],[HomeIce Differential]]&gt;0,Table46[[#This Row],[Home]],Table46[[#This Row],[Visitor]])</f>
        <v>New Jersey Devils</v>
      </c>
      <c r="L78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0.62493160094529854</v>
      </c>
      <c r="M783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783" t="str">
        <f>IF(OR((NHL2025_26Results[[#This Row],[Winning Team]]="")),"-",IF(Table46[[#This Row],[Predicted Winner]]=NHL2025_26Results[[#This Row],[Winning Team]],"YES","NO"))</f>
        <v>-</v>
      </c>
      <c r="O783" t="str">
        <f>IF(OR((NHL2025_26Results[[#This Row],[Winning Team]]="")),"-",IF(Table46[[#This Row],[Prob Winner]]=NHL2025_26Results[[#This Row],[Winning Team]],"YES","NO"))</f>
        <v>-</v>
      </c>
      <c r="P783" t="str">
        <f>IF(Table46[[#This Row],[Locked Prediction]]&lt;&gt;Table46[[#This Row],[Prob Winner]], "Changed", "Same")</f>
        <v>Changed</v>
      </c>
      <c r="Q78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84" spans="4:17" x14ac:dyDescent="0.2">
      <c r="D784" s="1">
        <v>46042</v>
      </c>
      <c r="E784" s="2">
        <v>0.91666666666666663</v>
      </c>
      <c r="F784" t="s">
        <v>13</v>
      </c>
      <c r="G784">
        <f>VLOOKUP(Table46[[#This Row],[Home]],'NHL Model'!$A$6:$B$38,2,FALSE)</f>
        <v>-7.5459708298993802E-2</v>
      </c>
      <c r="H784" t="s">
        <v>15</v>
      </c>
      <c r="I784">
        <f>VLOOKUP(Table46[[#This Row],[Visitor]],'NHL Model'!$A$6:$B$38,2,FALSE)</f>
        <v>-0.30719665303039001</v>
      </c>
      <c r="J784">
        <f>($B$1+Table46[[#This Row],[Home Differential]])-Table46[[#This Row],[Away Differential]]</f>
        <v>0.39430925439371461</v>
      </c>
      <c r="K784" t="str">
        <f>IF(Table46[[#This Row],[HomeIce Differential]]&gt;0,Table46[[#This Row],[Home]],Table46[[#This Row],[Visitor]])</f>
        <v>Los Angeles Kings</v>
      </c>
      <c r="L78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0.45000155569715189</v>
      </c>
      <c r="M784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784" t="str">
        <f>IF(OR((NHL2025_26Results[[#This Row],[Winning Team]]="")),"-",IF(Table46[[#This Row],[Predicted Winner]]=NHL2025_26Results[[#This Row],[Winning Team]],"YES","NO"))</f>
        <v>-</v>
      </c>
      <c r="O784" t="str">
        <f>IF(OR((NHL2025_26Results[[#This Row],[Winning Team]]="")),"-",IF(Table46[[#This Row],[Prob Winner]]=NHL2025_26Results[[#This Row],[Winning Team]],"YES","NO"))</f>
        <v>-</v>
      </c>
      <c r="P784" t="str">
        <f>IF(Table46[[#This Row],[Locked Prediction]]&lt;&gt;Table46[[#This Row],[Prob Winner]], "Changed", "Same")</f>
        <v>Changed</v>
      </c>
      <c r="Q78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85" spans="4:17" x14ac:dyDescent="0.2">
      <c r="D785" s="1">
        <v>46042</v>
      </c>
      <c r="E785" s="2">
        <v>0.79166666666666663</v>
      </c>
      <c r="F785" t="s">
        <v>18</v>
      </c>
      <c r="G785">
        <f>VLOOKUP(Table46[[#This Row],[Home]],'NHL Model'!$A$6:$B$38,2,FALSE)</f>
        <v>-0.52437726201848234</v>
      </c>
      <c r="H785" t="s">
        <v>34</v>
      </c>
      <c r="I785">
        <f>VLOOKUP(Table46[[#This Row],[Visitor]],'NHL Model'!$A$6:$B$38,2,FALSE)</f>
        <v>-0.53650300840565446</v>
      </c>
      <c r="J785">
        <f>($B$1+Table46[[#This Row],[Home Differential]])-Table46[[#This Row],[Away Differential]]</f>
        <v>0.17469805604949051</v>
      </c>
      <c r="K785" t="str">
        <f>IF(Table46[[#This Row],[HomeIce Differential]]&gt;0,Table46[[#This Row],[Home]],Table46[[#This Row],[Visitor]])</f>
        <v>Montreal Canadiens</v>
      </c>
      <c r="L78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0.56322069200487002</v>
      </c>
      <c r="M785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785" t="str">
        <f>IF(OR((NHL2025_26Results[[#This Row],[Winning Team]]="")),"-",IF(Table46[[#This Row],[Predicted Winner]]=NHL2025_26Results[[#This Row],[Winning Team]],"YES","NO"))</f>
        <v>-</v>
      </c>
      <c r="O785" t="str">
        <f>IF(OR((NHL2025_26Results[[#This Row],[Winning Team]]="")),"-",IF(Table46[[#This Row],[Prob Winner]]=NHL2025_26Results[[#This Row],[Winning Team]],"YES","NO"))</f>
        <v>-</v>
      </c>
      <c r="P785" t="str">
        <f>IF(Table46[[#This Row],[Locked Prediction]]&lt;&gt;Table46[[#This Row],[Prob Winner]], "Changed", "Same")</f>
        <v>Changed</v>
      </c>
      <c r="Q78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86" spans="4:17" x14ac:dyDescent="0.2">
      <c r="D786" s="1">
        <v>46042</v>
      </c>
      <c r="E786" s="2">
        <v>0.83333333333333337</v>
      </c>
      <c r="F786" t="s">
        <v>29</v>
      </c>
      <c r="G786">
        <f>VLOOKUP(Table46[[#This Row],[Home]],'NHL Model'!$A$6:$B$38,2,FALSE)</f>
        <v>-1.3516250707060606</v>
      </c>
      <c r="H786" t="s">
        <v>23</v>
      </c>
      <c r="I786">
        <f>VLOOKUP(Table46[[#This Row],[Visitor]],'NHL Model'!$A$6:$B$38,2,FALSE)</f>
        <v>-0.8683412362501769</v>
      </c>
      <c r="J786">
        <f>($B$1+Table46[[#This Row],[Home Differential]])-Table46[[#This Row],[Away Differential]]</f>
        <v>-0.32071152479356535</v>
      </c>
      <c r="K786" t="str">
        <f>IF(Table46[[#This Row],[HomeIce Differential]]&gt;0,Table46[[#This Row],[Home]],Table46[[#This Row],[Visitor]])</f>
        <v>Buffalo Sabres</v>
      </c>
      <c r="L78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0.50262865717025429</v>
      </c>
      <c r="M786" s="11" t="str">
        <f>IF(Table46[[#This Row],[Strength of Win]]&gt; 0.5,Table46[[#This Row],[Predicted Winner]], IF(Table46[[#This Row],[Home]]=Table46[[#This Row],[Predicted Winner]],Table46[[#This Row],[Visitor]],Table46[[#This Row],[Home]]))</f>
        <v>Buffalo Sabres</v>
      </c>
      <c r="N786" t="str">
        <f>IF(OR((NHL2025_26Results[[#This Row],[Winning Team]]="")),"-",IF(Table46[[#This Row],[Predicted Winner]]=NHL2025_26Results[[#This Row],[Winning Team]],"YES","NO"))</f>
        <v>-</v>
      </c>
      <c r="O786" t="str">
        <f>IF(OR((NHL2025_26Results[[#This Row],[Winning Team]]="")),"-",IF(Table46[[#This Row],[Prob Winner]]=NHL2025_26Results[[#This Row],[Winning Team]],"YES","NO"))</f>
        <v>-</v>
      </c>
      <c r="P786" t="str">
        <f>IF(Table46[[#This Row],[Locked Prediction]]&lt;&gt;Table46[[#This Row],[Prob Winner]], "Changed", "Same")</f>
        <v>Changed</v>
      </c>
      <c r="Q78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87" spans="4:17" x14ac:dyDescent="0.2">
      <c r="D787" s="1">
        <v>46042</v>
      </c>
      <c r="E787" s="2">
        <v>0.79166666666666663</v>
      </c>
      <c r="F787" t="s">
        <v>37</v>
      </c>
      <c r="G787">
        <f>VLOOKUP(Table46[[#This Row],[Home]],'NHL Model'!$A$6:$B$38,2,FALSE)</f>
        <v>-0.11309445867623392</v>
      </c>
      <c r="H787" t="s">
        <v>33</v>
      </c>
      <c r="I787">
        <f>VLOOKUP(Table46[[#This Row],[Visitor]],'NHL Model'!$A$6:$B$38,2,FALSE)</f>
        <v>-0.39418177254008485</v>
      </c>
      <c r="J787">
        <f>($B$1+Table46[[#This Row],[Home Differential]])-Table46[[#This Row],[Away Differential]]</f>
        <v>0.44365962352616933</v>
      </c>
      <c r="K787" t="str">
        <f>IF(Table46[[#This Row],[HomeIce Differential]]&gt;0,Table46[[#This Row],[Home]],Table46[[#This Row],[Visitor]])</f>
        <v>Tampa Bay Lightning</v>
      </c>
      <c r="L78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0.59897079627479799</v>
      </c>
      <c r="M787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787" t="str">
        <f>IF(OR((NHL2025_26Results[[#This Row],[Winning Team]]="")),"-",IF(Table46[[#This Row],[Predicted Winner]]=NHL2025_26Results[[#This Row],[Winning Team]],"YES","NO"))</f>
        <v>-</v>
      </c>
      <c r="O787" t="str">
        <f>IF(OR((NHL2025_26Results[[#This Row],[Winning Team]]="")),"-",IF(Table46[[#This Row],[Prob Winner]]=NHL2025_26Results[[#This Row],[Winning Team]],"YES","NO"))</f>
        <v>-</v>
      </c>
      <c r="P787" t="str">
        <f>IF(Table46[[#This Row],[Locked Prediction]]&lt;&gt;Table46[[#This Row],[Prob Winner]], "Changed", "Same")</f>
        <v>Changed</v>
      </c>
      <c r="Q78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88" spans="4:17" x14ac:dyDescent="0.2">
      <c r="D788" s="1">
        <v>46042</v>
      </c>
      <c r="E788" s="2">
        <v>0.83333333333333337</v>
      </c>
      <c r="F788" t="s">
        <v>40</v>
      </c>
      <c r="G788">
        <f>VLOOKUP(Table46[[#This Row],[Home]],'NHL Model'!$A$6:$B$38,2,FALSE)</f>
        <v>0.105105258369765</v>
      </c>
      <c r="H788" t="s">
        <v>35</v>
      </c>
      <c r="I788">
        <f>VLOOKUP(Table46[[#This Row],[Visitor]],'NHL Model'!$A$6:$B$38,2,FALSE)</f>
        <v>-1.6211574240381006</v>
      </c>
      <c r="J788">
        <f>($B$1+Table46[[#This Row],[Home Differential]])-Table46[[#This Row],[Away Differential]]</f>
        <v>1.8888349920701839</v>
      </c>
      <c r="K788" t="str">
        <f>IF(Table46[[#This Row],[HomeIce Differential]]&gt;0,Table46[[#This Row],[Home]],Table46[[#This Row],[Visitor]])</f>
        <v>Winnipeg Jets</v>
      </c>
      <c r="L78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0.82709893648607491</v>
      </c>
      <c r="M788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788" t="str">
        <f>IF(OR((NHL2025_26Results[[#This Row],[Winning Team]]="")),"-",IF(Table46[[#This Row],[Predicted Winner]]=NHL2025_26Results[[#This Row],[Winning Team]],"YES","NO"))</f>
        <v>-</v>
      </c>
      <c r="O788" t="str">
        <f>IF(OR((NHL2025_26Results[[#This Row],[Winning Team]]="")),"-",IF(Table46[[#This Row],[Prob Winner]]=NHL2025_26Results[[#This Row],[Winning Team]],"YES","NO"))</f>
        <v>-</v>
      </c>
      <c r="P788" t="str">
        <f>IF(Table46[[#This Row],[Locked Prediction]]&lt;&gt;Table46[[#This Row],[Prob Winner]], "Changed", "Same")</f>
        <v>Changed</v>
      </c>
      <c r="Q78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89" spans="4:17" x14ac:dyDescent="0.2">
      <c r="D789" s="1">
        <v>46043</v>
      </c>
      <c r="E789" s="2">
        <v>0.89583333333333337</v>
      </c>
      <c r="F789" t="s">
        <v>16</v>
      </c>
      <c r="G789">
        <f>VLOOKUP(Table46[[#This Row],[Home]],'NHL Model'!$A$6:$B$38,2,FALSE)</f>
        <v>-1.3903684122795328</v>
      </c>
      <c r="H789" t="s">
        <v>14</v>
      </c>
      <c r="I789">
        <f>VLOOKUP(Table46[[#This Row],[Visitor]],'NHL Model'!$A$6:$B$38,2,FALSE)</f>
        <v>0.26289091192875702</v>
      </c>
      <c r="J789">
        <f>($B$1+Table46[[#This Row],[Home Differential]])-Table46[[#This Row],[Away Differential]]</f>
        <v>-1.4906870145459714</v>
      </c>
      <c r="K789" t="str">
        <f>IF(Table46[[#This Row],[HomeIce Differential]]&gt;0,Table46[[#This Row],[Home]],Table46[[#This Row],[Visitor]])</f>
        <v>Pittsburgh Penguins</v>
      </c>
      <c r="L78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0.65814063661146316</v>
      </c>
      <c r="M789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789" t="str">
        <f>IF(OR((NHL2025_26Results[[#This Row],[Winning Team]]="")),"-",IF(Table46[[#This Row],[Predicted Winner]]=NHL2025_26Results[[#This Row],[Winning Team]],"YES","NO"))</f>
        <v>-</v>
      </c>
      <c r="O789" t="str">
        <f>IF(OR((NHL2025_26Results[[#This Row],[Winning Team]]="")),"-",IF(Table46[[#This Row],[Prob Winner]]=NHL2025_26Results[[#This Row],[Winning Team]],"YES","NO"))</f>
        <v>-</v>
      </c>
      <c r="P789" t="str">
        <f>IF(Table46[[#This Row],[Locked Prediction]]&lt;&gt;Table46[[#This Row],[Prob Winner]], "Changed", "Same")</f>
        <v>Changed</v>
      </c>
      <c r="Q78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90" spans="4:17" x14ac:dyDescent="0.2">
      <c r="D790" s="1">
        <v>46043</v>
      </c>
      <c r="E790" s="2">
        <v>0.875</v>
      </c>
      <c r="F790" t="s">
        <v>12</v>
      </c>
      <c r="G790">
        <f>VLOOKUP(Table46[[#This Row],[Home]],'NHL Model'!$A$6:$B$38,2,FALSE)</f>
        <v>1.5475013591489768</v>
      </c>
      <c r="H790" t="s">
        <v>31</v>
      </c>
      <c r="I790">
        <f>VLOOKUP(Table46[[#This Row],[Visitor]],'NHL Model'!$A$6:$B$38,2,FALSE)</f>
        <v>0.51775546328552802</v>
      </c>
      <c r="J790">
        <f>($B$1+Table46[[#This Row],[Home Differential]])-Table46[[#This Row],[Away Differential]]</f>
        <v>1.1923182055257673</v>
      </c>
      <c r="K790" t="str">
        <f>IF(Table46[[#This Row],[HomeIce Differential]]&gt;0,Table46[[#This Row],[Home]],Table46[[#This Row],[Visitor]])</f>
        <v>Colorado Avalanche</v>
      </c>
      <c r="L79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0.76717740319276673</v>
      </c>
      <c r="M790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790" t="str">
        <f>IF(OR((NHL2025_26Results[[#This Row],[Winning Team]]="")),"-",IF(Table46[[#This Row],[Predicted Winner]]=NHL2025_26Results[[#This Row],[Winning Team]],"YES","NO"))</f>
        <v>-</v>
      </c>
      <c r="O790" t="str">
        <f>IF(OR((NHL2025_26Results[[#This Row],[Winning Team]]="")),"-",IF(Table46[[#This Row],[Prob Winner]]=NHL2025_26Results[[#This Row],[Winning Team]],"YES","NO"))</f>
        <v>-</v>
      </c>
      <c r="P790" t="str">
        <f>IF(Table46[[#This Row],[Locked Prediction]]&lt;&gt;Table46[[#This Row],[Prob Winner]], "Changed", "Same")</f>
        <v>Changed</v>
      </c>
      <c r="Q79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91" spans="4:17" x14ac:dyDescent="0.2">
      <c r="D791" s="1">
        <v>46043</v>
      </c>
      <c r="E791" s="2">
        <v>0.89583333333333337</v>
      </c>
      <c r="F791" t="s">
        <v>32</v>
      </c>
      <c r="G791">
        <f>VLOOKUP(Table46[[#This Row],[Home]],'NHL Model'!$A$6:$B$38,2,FALSE)</f>
        <v>-0.361361309178443</v>
      </c>
      <c r="H791" t="s">
        <v>30</v>
      </c>
      <c r="I791">
        <f>VLOOKUP(Table46[[#This Row],[Visitor]],'NHL Model'!$A$6:$B$38,2,FALSE)</f>
        <v>-6.4729560818359025E-2</v>
      </c>
      <c r="J791">
        <f>($B$1+Table46[[#This Row],[Home Differential]])-Table46[[#This Row],[Away Differential]]</f>
        <v>-0.1340594386977656</v>
      </c>
      <c r="K791" t="str">
        <f>IF(Table46[[#This Row],[HomeIce Differential]]&gt;0,Table46[[#This Row],[Home]],Table46[[#This Row],[Visitor]])</f>
        <v>New York Islanders</v>
      </c>
      <c r="L79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0.49400952356135636</v>
      </c>
      <c r="M791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791" t="str">
        <f>IF(OR((NHL2025_26Results[[#This Row],[Winning Team]]="")),"-",IF(Table46[[#This Row],[Predicted Winner]]=NHL2025_26Results[[#This Row],[Winning Team]],"YES","NO"))</f>
        <v>-</v>
      </c>
      <c r="O791" t="str">
        <f>IF(OR((NHL2025_26Results[[#This Row],[Winning Team]]="")),"-",IF(Table46[[#This Row],[Prob Winner]]=NHL2025_26Results[[#This Row],[Winning Team]],"YES","NO"))</f>
        <v>-</v>
      </c>
      <c r="P791" t="str">
        <f>IF(Table46[[#This Row],[Locked Prediction]]&lt;&gt;Table46[[#This Row],[Prob Winner]], "Changed", "Same")</f>
        <v>Changed</v>
      </c>
      <c r="Q79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92" spans="4:17" x14ac:dyDescent="0.2">
      <c r="D792" s="1">
        <v>46043</v>
      </c>
      <c r="E792" s="2">
        <v>0.79166666666666663</v>
      </c>
      <c r="F792" t="s">
        <v>19</v>
      </c>
      <c r="G792">
        <f>VLOOKUP(Table46[[#This Row],[Home]],'NHL Model'!$A$6:$B$38,2,FALSE)</f>
        <v>-0.635565543477981</v>
      </c>
      <c r="H792" t="s">
        <v>26</v>
      </c>
      <c r="I792">
        <f>VLOOKUP(Table46[[#This Row],[Visitor]],'NHL Model'!$A$6:$B$38,2,FALSE)</f>
        <v>-0.513643833119658</v>
      </c>
      <c r="J792">
        <f>($B$1+Table46[[#This Row],[Home Differential]])-Table46[[#This Row],[Away Differential]]</f>
        <v>4.0650599303995394E-2</v>
      </c>
      <c r="K792" t="str">
        <f>IF(Table46[[#This Row],[HomeIce Differential]]&gt;0,Table46[[#This Row],[Home]],Table46[[#This Row],[Visitor]])</f>
        <v>Toronto Maple Leafs</v>
      </c>
      <c r="L79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0.4983038457824483</v>
      </c>
      <c r="M792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792" t="str">
        <f>IF(OR((NHL2025_26Results[[#This Row],[Winning Team]]="")),"-",IF(Table46[[#This Row],[Predicted Winner]]=NHL2025_26Results[[#This Row],[Winning Team]],"YES","NO"))</f>
        <v>-</v>
      </c>
      <c r="O792" t="str">
        <f>IF(OR((NHL2025_26Results[[#This Row],[Winning Team]]="")),"-",IF(Table46[[#This Row],[Prob Winner]]=NHL2025_26Results[[#This Row],[Winning Team]],"YES","NO"))</f>
        <v>-</v>
      </c>
      <c r="P792" t="str">
        <f>IF(Table46[[#This Row],[Locked Prediction]]&lt;&gt;Table46[[#This Row],[Prob Winner]], "Changed", "Same")</f>
        <v>Changed</v>
      </c>
      <c r="Q79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93" spans="4:17" x14ac:dyDescent="0.2">
      <c r="D793" s="1">
        <v>46043</v>
      </c>
      <c r="E793" s="2">
        <v>0.875</v>
      </c>
      <c r="F793" t="s">
        <v>55</v>
      </c>
      <c r="G793">
        <f>VLOOKUP(Table46[[#This Row],[Home]],'NHL Model'!$A$6:$B$38,2,FALSE)</f>
        <v>-0.12212311954851815</v>
      </c>
      <c r="H793" t="s">
        <v>27</v>
      </c>
      <c r="I793">
        <f>VLOOKUP(Table46[[#This Row],[Visitor]],'NHL Model'!$A$6:$B$38,2,FALSE)</f>
        <v>-0.51358590497437617</v>
      </c>
      <c r="J793">
        <f>($B$1+Table46[[#This Row],[Home Differential]])-Table46[[#This Row],[Away Differential]]</f>
        <v>0.55403509508817639</v>
      </c>
      <c r="K793" t="str">
        <f>IF(Table46[[#This Row],[HomeIce Differential]]&gt;0,Table46[[#This Row],[Home]],Table46[[#This Row],[Visitor]])</f>
        <v>Utah Mammoth</v>
      </c>
      <c r="L79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0.68191430035252965</v>
      </c>
      <c r="M793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793" t="str">
        <f>IF(OR((NHL2025_26Results[[#This Row],[Winning Team]]="")),"-",IF(Table46[[#This Row],[Predicted Winner]]=NHL2025_26Results[[#This Row],[Winning Team]],"YES","NO"))</f>
        <v>-</v>
      </c>
      <c r="O793" t="str">
        <f>IF(OR((NHL2025_26Results[[#This Row],[Winning Team]]="")),"-",IF(Table46[[#This Row],[Prob Winner]]=NHL2025_26Results[[#This Row],[Winning Team]],"YES","NO"))</f>
        <v>-</v>
      </c>
      <c r="P793" t="str">
        <f>IF(Table46[[#This Row],[Locked Prediction]]&lt;&gt;Table46[[#This Row],[Prob Winner]], "Changed", "Same")</f>
        <v>Changed</v>
      </c>
      <c r="Q79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94" spans="4:17" x14ac:dyDescent="0.2">
      <c r="D794" s="1">
        <v>46043</v>
      </c>
      <c r="E794" s="2">
        <v>0.91666666666666663</v>
      </c>
      <c r="F794" t="s">
        <v>38</v>
      </c>
      <c r="G794">
        <f>VLOOKUP(Table46[[#This Row],[Home]],'NHL Model'!$A$6:$B$38,2,FALSE)</f>
        <v>-0.6902088310934803</v>
      </c>
      <c r="H794" t="s">
        <v>22</v>
      </c>
      <c r="I794">
        <f>VLOOKUP(Table46[[#This Row],[Visitor]],'NHL Model'!$A$6:$B$38,2,FALSE)</f>
        <v>-6.1308839486784707E-2</v>
      </c>
      <c r="J794">
        <f>($B$1+Table46[[#This Row],[Home Differential]])-Table46[[#This Row],[Away Differential]]</f>
        <v>-0.46632768194437718</v>
      </c>
      <c r="K794" t="str">
        <f>IF(Table46[[#This Row],[HomeIce Differential]]&gt;0,Table46[[#This Row],[Home]],Table46[[#This Row],[Visitor]])</f>
        <v>Washington Capitals</v>
      </c>
      <c r="L79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0.52198381207348832</v>
      </c>
      <c r="M794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794" t="str">
        <f>IF(OR((NHL2025_26Results[[#This Row],[Winning Team]]="")),"-",IF(Table46[[#This Row],[Predicted Winner]]=NHL2025_26Results[[#This Row],[Winning Team]],"YES","NO"))</f>
        <v>-</v>
      </c>
      <c r="O794" t="str">
        <f>IF(OR((NHL2025_26Results[[#This Row],[Winning Team]]="")),"-",IF(Table46[[#This Row],[Prob Winner]]=NHL2025_26Results[[#This Row],[Winning Team]],"YES","NO"))</f>
        <v>-</v>
      </c>
      <c r="P794" t="str">
        <f>IF(Table46[[#This Row],[Locked Prediction]]&lt;&gt;Table46[[#This Row],[Prob Winner]], "Changed", "Same")</f>
        <v>Changed</v>
      </c>
      <c r="Q79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95" spans="4:17" x14ac:dyDescent="0.2">
      <c r="D795" s="1">
        <v>46044</v>
      </c>
      <c r="E795" s="2">
        <v>0.79166666666666663</v>
      </c>
      <c r="F795" t="s">
        <v>21</v>
      </c>
      <c r="G795">
        <f>VLOOKUP(Table46[[#This Row],[Home]],'NHL Model'!$A$6:$B$38,2,FALSE)</f>
        <v>4.029141914856392E-2</v>
      </c>
      <c r="H795" t="s">
        <v>20</v>
      </c>
      <c r="I795">
        <f>VLOOKUP(Table46[[#This Row],[Visitor]],'NHL Model'!$A$6:$B$38,2,FALSE)</f>
        <v>-6.3745791019188943E-4</v>
      </c>
      <c r="J795">
        <f>($B$1+Table46[[#This Row],[Home Differential]])-Table46[[#This Row],[Away Differential]]</f>
        <v>0.20350118672107423</v>
      </c>
      <c r="K795" t="str">
        <f>IF(Table46[[#This Row],[HomeIce Differential]]&gt;0,Table46[[#This Row],[Home]],Table46[[#This Row],[Visitor]])</f>
        <v>Boston Bruins</v>
      </c>
      <c r="L79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0.61964176810337745</v>
      </c>
      <c r="M795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795" t="str">
        <f>IF(OR((NHL2025_26Results[[#This Row],[Winning Team]]="")),"-",IF(Table46[[#This Row],[Predicted Winner]]=NHL2025_26Results[[#This Row],[Winning Team]],"YES","NO"))</f>
        <v>-</v>
      </c>
      <c r="O795" t="str">
        <f>IF(OR((NHL2025_26Results[[#This Row],[Winning Team]]="")),"-",IF(Table46[[#This Row],[Prob Winner]]=NHL2025_26Results[[#This Row],[Winning Team]],"YES","NO"))</f>
        <v>-</v>
      </c>
      <c r="P795" t="str">
        <f>IF(Table46[[#This Row],[Locked Prediction]]&lt;&gt;Table46[[#This Row],[Prob Winner]], "Changed", "Same")</f>
        <v>Changed</v>
      </c>
      <c r="Q79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96" spans="4:17" x14ac:dyDescent="0.2">
      <c r="D796" s="1">
        <v>46044</v>
      </c>
      <c r="E796" s="2">
        <v>0.79166666666666663</v>
      </c>
      <c r="F796" t="s">
        <v>25</v>
      </c>
      <c r="G796">
        <f>VLOOKUP(Table46[[#This Row],[Home]],'NHL Model'!$A$6:$B$38,2,FALSE)</f>
        <v>0.67193921242367816</v>
      </c>
      <c r="H796" t="s">
        <v>10</v>
      </c>
      <c r="I796">
        <f>VLOOKUP(Table46[[#This Row],[Visitor]],'NHL Model'!$A$6:$B$38,2,FALSE)</f>
        <v>0.30570968833820172</v>
      </c>
      <c r="J796">
        <f>($B$1+Table46[[#This Row],[Home Differential]])-Table46[[#This Row],[Away Differential]]</f>
        <v>0.52880183374779488</v>
      </c>
      <c r="K796" t="str">
        <f>IF(Table46[[#This Row],[HomeIce Differential]]&gt;0,Table46[[#This Row],[Home]],Table46[[#This Row],[Visitor]])</f>
        <v>Carolina Hurricanes</v>
      </c>
      <c r="L79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0.64171638567642675</v>
      </c>
      <c r="M796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796" t="str">
        <f>IF(OR((NHL2025_26Results[[#This Row],[Winning Team]]="")),"-",IF(Table46[[#This Row],[Predicted Winner]]=NHL2025_26Results[[#This Row],[Winning Team]],"YES","NO"))</f>
        <v>-</v>
      </c>
      <c r="O796" t="str">
        <f>IF(OR((NHL2025_26Results[[#This Row],[Winning Team]]="")),"-",IF(Table46[[#This Row],[Prob Winner]]=NHL2025_26Results[[#This Row],[Winning Team]],"YES","NO"))</f>
        <v>-</v>
      </c>
      <c r="P796" t="str">
        <f>IF(Table46[[#This Row],[Locked Prediction]]&lt;&gt;Table46[[#This Row],[Prob Winner]], "Changed", "Same")</f>
        <v>Changed</v>
      </c>
      <c r="Q79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97" spans="4:17" x14ac:dyDescent="0.2">
      <c r="D797" s="1">
        <v>46044</v>
      </c>
      <c r="E797" s="2">
        <v>0.79166666666666663</v>
      </c>
      <c r="F797" t="s">
        <v>28</v>
      </c>
      <c r="G797">
        <f>VLOOKUP(Table46[[#This Row],[Home]],'NHL Model'!$A$6:$B$38,2,FALSE)</f>
        <v>-0.40822279081308277</v>
      </c>
      <c r="H797" t="s">
        <v>39</v>
      </c>
      <c r="I797">
        <f>VLOOKUP(Table46[[#This Row],[Visitor]],'NHL Model'!$A$6:$B$38,2,FALSE)</f>
        <v>0.19809534061227302</v>
      </c>
      <c r="J797">
        <f>($B$1+Table46[[#This Row],[Home Differential]])-Table46[[#This Row],[Away Differential]]</f>
        <v>-0.4437458217630374</v>
      </c>
      <c r="K797" t="str">
        <f>IF(Table46[[#This Row],[HomeIce Differential]]&gt;0,Table46[[#This Row],[Home]],Table46[[#This Row],[Visitor]])</f>
        <v>Dallas Stars</v>
      </c>
      <c r="L79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0.6114684415040873</v>
      </c>
      <c r="M797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797" t="str">
        <f>IF(OR((NHL2025_26Results[[#This Row],[Winning Team]]="")),"-",IF(Table46[[#This Row],[Predicted Winner]]=NHL2025_26Results[[#This Row],[Winning Team]],"YES","NO"))</f>
        <v>-</v>
      </c>
      <c r="O797" t="str">
        <f>IF(OR((NHL2025_26Results[[#This Row],[Winning Team]]="")),"-",IF(Table46[[#This Row],[Prob Winner]]=NHL2025_26Results[[#This Row],[Winning Team]],"YES","NO"))</f>
        <v>-</v>
      </c>
      <c r="P797" t="str">
        <f>IF(Table46[[#This Row],[Locked Prediction]]&lt;&gt;Table46[[#This Row],[Prob Winner]], "Changed", "Same")</f>
        <v>Changed</v>
      </c>
      <c r="Q79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98" spans="4:17" x14ac:dyDescent="0.2">
      <c r="D798" s="1">
        <v>46044</v>
      </c>
      <c r="E798" s="2">
        <v>0.875</v>
      </c>
      <c r="F798" t="s">
        <v>17</v>
      </c>
      <c r="G798">
        <f>VLOOKUP(Table46[[#This Row],[Home]],'NHL Model'!$A$6:$B$38,2,FALSE)</f>
        <v>-0.61980804137564283</v>
      </c>
      <c r="H798" t="s">
        <v>14</v>
      </c>
      <c r="I798">
        <f>VLOOKUP(Table46[[#This Row],[Visitor]],'NHL Model'!$A$6:$B$38,2,FALSE)</f>
        <v>0.26289091192875702</v>
      </c>
      <c r="J798">
        <f>($B$1+Table46[[#This Row],[Home Differential]])-Table46[[#This Row],[Away Differential]]</f>
        <v>-0.72012664364208145</v>
      </c>
      <c r="K798" t="str">
        <f>IF(Table46[[#This Row],[HomeIce Differential]]&gt;0,Table46[[#This Row],[Home]],Table46[[#This Row],[Visitor]])</f>
        <v>Pittsburgh Penguins</v>
      </c>
      <c r="L79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0.51968165149158374</v>
      </c>
      <c r="M798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798" t="str">
        <f>IF(OR((NHL2025_26Results[[#This Row],[Winning Team]]="")),"-",IF(Table46[[#This Row],[Predicted Winner]]=NHL2025_26Results[[#This Row],[Winning Team]],"YES","NO"))</f>
        <v>-</v>
      </c>
      <c r="O798" t="str">
        <f>IF(OR((NHL2025_26Results[[#This Row],[Winning Team]]="")),"-",IF(Table46[[#This Row],[Prob Winner]]=NHL2025_26Results[[#This Row],[Winning Team]],"YES","NO"))</f>
        <v>-</v>
      </c>
      <c r="P798" t="str">
        <f>IF(Table46[[#This Row],[Locked Prediction]]&lt;&gt;Table46[[#This Row],[Prob Winner]], "Changed", "Same")</f>
        <v>Changed</v>
      </c>
      <c r="Q79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799" spans="4:17" x14ac:dyDescent="0.2">
      <c r="D799" s="1">
        <v>46044</v>
      </c>
      <c r="E799" s="2">
        <v>0.89583333333333337</v>
      </c>
      <c r="F799" t="s">
        <v>34</v>
      </c>
      <c r="G799">
        <f>VLOOKUP(Table46[[#This Row],[Home]],'NHL Model'!$A$6:$B$38,2,FALSE)</f>
        <v>-0.53650300840565446</v>
      </c>
      <c r="H799" t="s">
        <v>26</v>
      </c>
      <c r="I799">
        <f>VLOOKUP(Table46[[#This Row],[Visitor]],'NHL Model'!$A$6:$B$38,2,FALSE)</f>
        <v>-0.513643833119658</v>
      </c>
      <c r="J799">
        <f>($B$1+Table46[[#This Row],[Home Differential]])-Table46[[#This Row],[Away Differential]]</f>
        <v>0.13971313437632193</v>
      </c>
      <c r="K799" t="str">
        <f>IF(Table46[[#This Row],[HomeIce Differential]]&gt;0,Table46[[#This Row],[Home]],Table46[[#This Row],[Visitor]])</f>
        <v>Minnesota Wild</v>
      </c>
      <c r="L79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0.51147113950141487</v>
      </c>
      <c r="M799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799" t="str">
        <f>IF(OR((NHL2025_26Results[[#This Row],[Winning Team]]="")),"-",IF(Table46[[#This Row],[Predicted Winner]]=NHL2025_26Results[[#This Row],[Winning Team]],"YES","NO"))</f>
        <v>-</v>
      </c>
      <c r="O799" t="str">
        <f>IF(OR((NHL2025_26Results[[#This Row],[Winning Team]]="")),"-",IF(Table46[[#This Row],[Prob Winner]]=NHL2025_26Results[[#This Row],[Winning Team]],"YES","NO"))</f>
        <v>-</v>
      </c>
      <c r="P799" t="str">
        <f>IF(Table46[[#This Row],[Locked Prediction]]&lt;&gt;Table46[[#This Row],[Prob Winner]], "Changed", "Same")</f>
        <v>Changed</v>
      </c>
      <c r="Q79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00" spans="4:17" x14ac:dyDescent="0.2">
      <c r="D800" s="1">
        <v>46044</v>
      </c>
      <c r="E800" s="2">
        <v>0.79166666666666663</v>
      </c>
      <c r="F800" t="s">
        <v>18</v>
      </c>
      <c r="G800">
        <f>VLOOKUP(Table46[[#This Row],[Home]],'NHL Model'!$A$6:$B$38,2,FALSE)</f>
        <v>-0.52437726201848234</v>
      </c>
      <c r="H800" t="s">
        <v>23</v>
      </c>
      <c r="I800">
        <f>VLOOKUP(Table46[[#This Row],[Visitor]],'NHL Model'!$A$6:$B$38,2,FALSE)</f>
        <v>-0.8683412362501769</v>
      </c>
      <c r="J800">
        <f>($B$1+Table46[[#This Row],[Home Differential]])-Table46[[#This Row],[Away Differential]]</f>
        <v>0.50653628389401295</v>
      </c>
      <c r="K800" t="str">
        <f>IF(Table46[[#This Row],[HomeIce Differential]]&gt;0,Table46[[#This Row],[Home]],Table46[[#This Row],[Visitor]])</f>
        <v>Montreal Canadiens</v>
      </c>
      <c r="L80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0.60732829948755784</v>
      </c>
      <c r="M800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800" t="str">
        <f>IF(OR((NHL2025_26Results[[#This Row],[Winning Team]]="")),"-",IF(Table46[[#This Row],[Predicted Winner]]=NHL2025_26Results[[#This Row],[Winning Team]],"YES","NO"))</f>
        <v>-</v>
      </c>
      <c r="O800" t="str">
        <f>IF(OR((NHL2025_26Results[[#This Row],[Winning Team]]="")),"-",IF(Table46[[#This Row],[Prob Winner]]=NHL2025_26Results[[#This Row],[Winning Team]],"YES","NO"))</f>
        <v>-</v>
      </c>
      <c r="P800" t="str">
        <f>IF(Table46[[#This Row],[Locked Prediction]]&lt;&gt;Table46[[#This Row],[Prob Winner]], "Changed", "Same")</f>
        <v>Changed</v>
      </c>
      <c r="Q80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01" spans="4:17" x14ac:dyDescent="0.2">
      <c r="D801" s="1">
        <v>46044</v>
      </c>
      <c r="E801" s="2">
        <v>0.83333333333333337</v>
      </c>
      <c r="F801" t="s">
        <v>29</v>
      </c>
      <c r="G801">
        <f>VLOOKUP(Table46[[#This Row],[Home]],'NHL Model'!$A$6:$B$38,2,FALSE)</f>
        <v>-1.3516250707060606</v>
      </c>
      <c r="H801" t="s">
        <v>36</v>
      </c>
      <c r="I801">
        <f>VLOOKUP(Table46[[#This Row],[Visitor]],'NHL Model'!$A$6:$B$38,2,FALSE)</f>
        <v>-0.40651947573390851</v>
      </c>
      <c r="J801">
        <f>($B$1+Table46[[#This Row],[Home Differential]])-Table46[[#This Row],[Away Differential]]</f>
        <v>-0.78253328530983368</v>
      </c>
      <c r="K801" t="str">
        <f>IF(Table46[[#This Row],[HomeIce Differential]]&gt;0,Table46[[#This Row],[Home]],Table46[[#This Row],[Visitor]])</f>
        <v>Ottawa Senators</v>
      </c>
      <c r="L80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0.56401354664525294</v>
      </c>
      <c r="M801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801" t="str">
        <f>IF(OR((NHL2025_26Results[[#This Row],[Winning Team]]="")),"-",IF(Table46[[#This Row],[Predicted Winner]]=NHL2025_26Results[[#This Row],[Winning Team]],"YES","NO"))</f>
        <v>-</v>
      </c>
      <c r="O801" t="str">
        <f>IF(OR((NHL2025_26Results[[#This Row],[Winning Team]]="")),"-",IF(Table46[[#This Row],[Prob Winner]]=NHL2025_26Results[[#This Row],[Winning Team]],"YES","NO"))</f>
        <v>-</v>
      </c>
      <c r="P801" t="str">
        <f>IF(Table46[[#This Row],[Locked Prediction]]&lt;&gt;Table46[[#This Row],[Prob Winner]], "Changed", "Same")</f>
        <v>Changed</v>
      </c>
      <c r="Q80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02" spans="4:17" x14ac:dyDescent="0.2">
      <c r="D802" s="1">
        <v>46044</v>
      </c>
      <c r="E802" s="2">
        <v>0.83333333333333337</v>
      </c>
      <c r="F802" t="s">
        <v>40</v>
      </c>
      <c r="G802">
        <f>VLOOKUP(Table46[[#This Row],[Home]],'NHL Model'!$A$6:$B$38,2,FALSE)</f>
        <v>0.105105258369765</v>
      </c>
      <c r="H802" t="s">
        <v>11</v>
      </c>
      <c r="I802">
        <f>VLOOKUP(Table46[[#This Row],[Visitor]],'NHL Model'!$A$6:$B$38,2,FALSE)</f>
        <v>-0.28105923893144158</v>
      </c>
      <c r="J802">
        <f>($B$1+Table46[[#This Row],[Home Differential]])-Table46[[#This Row],[Away Differential]]</f>
        <v>0.548736806963525</v>
      </c>
      <c r="K802" t="str">
        <f>IF(Table46[[#This Row],[HomeIce Differential]]&gt;0,Table46[[#This Row],[Home]],Table46[[#This Row],[Visitor]])</f>
        <v>Winnipeg Jets</v>
      </c>
      <c r="L80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0.64897441743686768</v>
      </c>
      <c r="M802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802" t="str">
        <f>IF(OR((NHL2025_26Results[[#This Row],[Winning Team]]="")),"-",IF(Table46[[#This Row],[Predicted Winner]]=NHL2025_26Results[[#This Row],[Winning Team]],"YES","NO"))</f>
        <v>-</v>
      </c>
      <c r="O802" t="str">
        <f>IF(OR((NHL2025_26Results[[#This Row],[Winning Team]]="")),"-",IF(Table46[[#This Row],[Prob Winner]]=NHL2025_26Results[[#This Row],[Winning Team]],"YES","NO"))</f>
        <v>-</v>
      </c>
      <c r="P802" t="str">
        <f>IF(Table46[[#This Row],[Locked Prediction]]&lt;&gt;Table46[[#This Row],[Prob Winner]], "Changed", "Same")</f>
        <v>Changed</v>
      </c>
      <c r="Q80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03" spans="4:17" x14ac:dyDescent="0.2">
      <c r="D803" s="1">
        <v>46045</v>
      </c>
      <c r="E803" s="2">
        <v>0.875</v>
      </c>
      <c r="F803" t="s">
        <v>16</v>
      </c>
      <c r="G803">
        <f>VLOOKUP(Table46[[#This Row],[Home]],'NHL Model'!$A$6:$B$38,2,FALSE)</f>
        <v>-1.3903684122795328</v>
      </c>
      <c r="H803" t="s">
        <v>22</v>
      </c>
      <c r="I803">
        <f>VLOOKUP(Table46[[#This Row],[Visitor]],'NHL Model'!$A$6:$B$38,2,FALSE)</f>
        <v>-6.1308839486784707E-2</v>
      </c>
      <c r="J803">
        <f>($B$1+Table46[[#This Row],[Home Differential]])-Table46[[#This Row],[Away Differential]]</f>
        <v>-1.1664872631304297</v>
      </c>
      <c r="K803" t="str">
        <f>IF(Table46[[#This Row],[HomeIce Differential]]&gt;0,Table46[[#This Row],[Home]],Table46[[#This Row],[Visitor]])</f>
        <v>Washington Capitals</v>
      </c>
      <c r="L80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0.61504832782502172</v>
      </c>
      <c r="M803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803" t="str">
        <f>IF(OR((NHL2025_26Results[[#This Row],[Winning Team]]="")),"-",IF(Table46[[#This Row],[Predicted Winner]]=NHL2025_26Results[[#This Row],[Winning Team]],"YES","NO"))</f>
        <v>-</v>
      </c>
      <c r="O803" t="str">
        <f>IF(OR((NHL2025_26Results[[#This Row],[Winning Team]]="")),"-",IF(Table46[[#This Row],[Prob Winner]]=NHL2025_26Results[[#This Row],[Winning Team]],"YES","NO"))</f>
        <v>-</v>
      </c>
      <c r="P803" t="str">
        <f>IF(Table46[[#This Row],[Locked Prediction]]&lt;&gt;Table46[[#This Row],[Prob Winner]], "Changed", "Same")</f>
        <v>Changed</v>
      </c>
      <c r="Q80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04" spans="4:17" x14ac:dyDescent="0.2">
      <c r="D804" s="1">
        <v>46045</v>
      </c>
      <c r="E804" s="2">
        <v>0.79166666666666663</v>
      </c>
      <c r="F804" t="s">
        <v>10</v>
      </c>
      <c r="G804">
        <f>VLOOKUP(Table46[[#This Row],[Home]],'NHL Model'!$A$6:$B$38,2,FALSE)</f>
        <v>0.30570968833820172</v>
      </c>
      <c r="H804" t="s">
        <v>37</v>
      </c>
      <c r="I804">
        <f>VLOOKUP(Table46[[#This Row],[Visitor]],'NHL Model'!$A$6:$B$38,2,FALSE)</f>
        <v>-0.11309445867623392</v>
      </c>
      <c r="J804">
        <f>($B$1+Table46[[#This Row],[Home Differential]])-Table46[[#This Row],[Away Differential]]</f>
        <v>0.58137645667675408</v>
      </c>
      <c r="K804" t="str">
        <f>IF(Table46[[#This Row],[HomeIce Differential]]&gt;0,Table46[[#This Row],[Home]],Table46[[#This Row],[Visitor]])</f>
        <v>Chicago Blackhawks</v>
      </c>
      <c r="L80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0.57017658940110116</v>
      </c>
      <c r="M804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804" t="str">
        <f>IF(OR((NHL2025_26Results[[#This Row],[Winning Team]]="")),"-",IF(Table46[[#This Row],[Predicted Winner]]=NHL2025_26Results[[#This Row],[Winning Team]],"YES","NO"))</f>
        <v>-</v>
      </c>
      <c r="O804" t="str">
        <f>IF(OR((NHL2025_26Results[[#This Row],[Winning Team]]="")),"-",IF(Table46[[#This Row],[Prob Winner]]=NHL2025_26Results[[#This Row],[Winning Team]],"YES","NO"))</f>
        <v>-</v>
      </c>
      <c r="P804" t="str">
        <f>IF(Table46[[#This Row],[Locked Prediction]]&lt;&gt;Table46[[#This Row],[Prob Winner]], "Changed", "Same")</f>
        <v>Changed</v>
      </c>
      <c r="Q80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05" spans="4:17" x14ac:dyDescent="0.2">
      <c r="D805" s="1">
        <v>46045</v>
      </c>
      <c r="E805" s="2">
        <v>0.875</v>
      </c>
      <c r="F805" t="s">
        <v>12</v>
      </c>
      <c r="G805">
        <f>VLOOKUP(Table46[[#This Row],[Home]],'NHL Model'!$A$6:$B$38,2,FALSE)</f>
        <v>1.5475013591489768</v>
      </c>
      <c r="H805" t="s">
        <v>27</v>
      </c>
      <c r="I805">
        <f>VLOOKUP(Table46[[#This Row],[Visitor]],'NHL Model'!$A$6:$B$38,2,FALSE)</f>
        <v>-0.51358590497437617</v>
      </c>
      <c r="J805">
        <f>($B$1+Table46[[#This Row],[Home Differential]])-Table46[[#This Row],[Away Differential]]</f>
        <v>2.2236595737856715</v>
      </c>
      <c r="K805" t="str">
        <f>IF(Table46[[#This Row],[HomeIce Differential]]&gt;0,Table46[[#This Row],[Home]],Table46[[#This Row],[Visitor]])</f>
        <v>Colorado Avalanche</v>
      </c>
      <c r="L80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0.92393286855400647</v>
      </c>
      <c r="M805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805" t="str">
        <f>IF(OR((NHL2025_26Results[[#This Row],[Winning Team]]="")),"-",IF(Table46[[#This Row],[Predicted Winner]]=NHL2025_26Results[[#This Row],[Winning Team]],"YES","NO"))</f>
        <v>-</v>
      </c>
      <c r="O805" t="str">
        <f>IF(OR((NHL2025_26Results[[#This Row],[Winning Team]]="")),"-",IF(Table46[[#This Row],[Prob Winner]]=NHL2025_26Results[[#This Row],[Winning Team]],"YES","NO"))</f>
        <v>-</v>
      </c>
      <c r="P805" t="str">
        <f>IF(Table46[[#This Row],[Locked Prediction]]&lt;&gt;Table46[[#This Row],[Prob Winner]], "Changed", "Same")</f>
        <v>Changed</v>
      </c>
      <c r="Q80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06" spans="4:17" x14ac:dyDescent="0.2">
      <c r="D806" s="1">
        <v>46045</v>
      </c>
      <c r="E806" s="2">
        <v>0.83333333333333337</v>
      </c>
      <c r="F806" t="s">
        <v>39</v>
      </c>
      <c r="G806">
        <f>VLOOKUP(Table46[[#This Row],[Home]],'NHL Model'!$A$6:$B$38,2,FALSE)</f>
        <v>0.19809534061227302</v>
      </c>
      <c r="H806" t="s">
        <v>35</v>
      </c>
      <c r="I806">
        <f>VLOOKUP(Table46[[#This Row],[Visitor]],'NHL Model'!$A$6:$B$38,2,FALSE)</f>
        <v>-1.6211574240381006</v>
      </c>
      <c r="J806">
        <f>($B$1+Table46[[#This Row],[Home Differential]])-Table46[[#This Row],[Away Differential]]</f>
        <v>1.9818250743126919</v>
      </c>
      <c r="K806" t="str">
        <f>IF(Table46[[#This Row],[HomeIce Differential]]&gt;0,Table46[[#This Row],[Home]],Table46[[#This Row],[Visitor]])</f>
        <v>Dallas Stars</v>
      </c>
      <c r="L80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0.82945995529897787</v>
      </c>
      <c r="M806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806" t="str">
        <f>IF(OR((NHL2025_26Results[[#This Row],[Winning Team]]="")),"-",IF(Table46[[#This Row],[Predicted Winner]]=NHL2025_26Results[[#This Row],[Winning Team]],"YES","NO"))</f>
        <v>-</v>
      </c>
      <c r="O806" t="str">
        <f>IF(OR((NHL2025_26Results[[#This Row],[Winning Team]]="")),"-",IF(Table46[[#This Row],[Prob Winner]]=NHL2025_26Results[[#This Row],[Winning Team]],"YES","NO"))</f>
        <v>-</v>
      </c>
      <c r="P806" t="str">
        <f>IF(Table46[[#This Row],[Locked Prediction]]&lt;&gt;Table46[[#This Row],[Prob Winner]], "Changed", "Same")</f>
        <v>Changed</v>
      </c>
      <c r="Q80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07" spans="4:17" x14ac:dyDescent="0.2">
      <c r="D807" s="1">
        <v>46045</v>
      </c>
      <c r="E807" s="2">
        <v>0.91666666666666663</v>
      </c>
      <c r="F807" t="s">
        <v>32</v>
      </c>
      <c r="G807">
        <f>VLOOKUP(Table46[[#This Row],[Home]],'NHL Model'!$A$6:$B$38,2,FALSE)</f>
        <v>-0.361361309178443</v>
      </c>
      <c r="H807" t="s">
        <v>31</v>
      </c>
      <c r="I807">
        <f>VLOOKUP(Table46[[#This Row],[Visitor]],'NHL Model'!$A$6:$B$38,2,FALSE)</f>
        <v>0.51775546328552802</v>
      </c>
      <c r="J807">
        <f>($B$1+Table46[[#This Row],[Home Differential]])-Table46[[#This Row],[Away Differential]]</f>
        <v>-0.71654446280165263</v>
      </c>
      <c r="K807" t="str">
        <f>IF(Table46[[#This Row],[HomeIce Differential]]&gt;0,Table46[[#This Row],[Home]],Table46[[#This Row],[Visitor]])</f>
        <v>Anaheim Ducks</v>
      </c>
      <c r="L80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0.54978783247894791</v>
      </c>
      <c r="M807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807" t="str">
        <f>IF(OR((NHL2025_26Results[[#This Row],[Winning Team]]="")),"-",IF(Table46[[#This Row],[Predicted Winner]]=NHL2025_26Results[[#This Row],[Winning Team]],"YES","NO"))</f>
        <v>-</v>
      </c>
      <c r="O807" t="str">
        <f>IF(OR((NHL2025_26Results[[#This Row],[Winning Team]]="")),"-",IF(Table46[[#This Row],[Prob Winner]]=NHL2025_26Results[[#This Row],[Winning Team]],"YES","NO"))</f>
        <v>-</v>
      </c>
      <c r="P807" t="str">
        <f>IF(Table46[[#This Row],[Locked Prediction]]&lt;&gt;Table46[[#This Row],[Prob Winner]], "Changed", "Same")</f>
        <v>Changed</v>
      </c>
      <c r="Q80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08" spans="4:17" x14ac:dyDescent="0.2">
      <c r="D808" s="1">
        <v>46045</v>
      </c>
      <c r="E808" s="2">
        <v>0.91666666666666663</v>
      </c>
      <c r="F808" t="s">
        <v>33</v>
      </c>
      <c r="G808">
        <f>VLOOKUP(Table46[[#This Row],[Home]],'NHL Model'!$A$6:$B$38,2,FALSE)</f>
        <v>-0.39418177254008485</v>
      </c>
      <c r="H808" t="s">
        <v>15</v>
      </c>
      <c r="I808">
        <f>VLOOKUP(Table46[[#This Row],[Visitor]],'NHL Model'!$A$6:$B$38,2,FALSE)</f>
        <v>-0.30719665303039001</v>
      </c>
      <c r="J808">
        <f>($B$1+Table46[[#This Row],[Home Differential]])-Table46[[#This Row],[Away Differential]]</f>
        <v>7.5587190152623551E-2</v>
      </c>
      <c r="K808" t="str">
        <f>IF(Table46[[#This Row],[HomeIce Differential]]&gt;0,Table46[[#This Row],[Home]],Table46[[#This Row],[Visitor]])</f>
        <v>San Jose Sharks</v>
      </c>
      <c r="L80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0.40763733564651705</v>
      </c>
      <c r="M808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808" t="str">
        <f>IF(OR((NHL2025_26Results[[#This Row],[Winning Team]]="")),"-",IF(Table46[[#This Row],[Predicted Winner]]=NHL2025_26Results[[#This Row],[Winning Team]],"YES","NO"))</f>
        <v>-</v>
      </c>
      <c r="O808" t="str">
        <f>IF(OR((NHL2025_26Results[[#This Row],[Winning Team]]="")),"-",IF(Table46[[#This Row],[Prob Winner]]=NHL2025_26Results[[#This Row],[Winning Team]],"YES","NO"))</f>
        <v>-</v>
      </c>
      <c r="P808" t="str">
        <f>IF(Table46[[#This Row],[Locked Prediction]]&lt;&gt;Table46[[#This Row],[Prob Winner]], "Changed", "Same")</f>
        <v>Changed</v>
      </c>
      <c r="Q80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09" spans="4:17" x14ac:dyDescent="0.2">
      <c r="D809" s="1">
        <v>46045</v>
      </c>
      <c r="E809" s="2">
        <v>0.79166666666666663</v>
      </c>
      <c r="F809" t="s">
        <v>19</v>
      </c>
      <c r="G809">
        <f>VLOOKUP(Table46[[#This Row],[Home]],'NHL Model'!$A$6:$B$38,2,FALSE)</f>
        <v>-0.635565543477981</v>
      </c>
      <c r="H809" t="s">
        <v>20</v>
      </c>
      <c r="I809">
        <f>VLOOKUP(Table46[[#This Row],[Visitor]],'NHL Model'!$A$6:$B$38,2,FALSE)</f>
        <v>-6.3745791019188943E-4</v>
      </c>
      <c r="J809">
        <f>($B$1+Table46[[#This Row],[Home Differential]])-Table46[[#This Row],[Away Differential]]</f>
        <v>-0.47235577590547073</v>
      </c>
      <c r="K809" t="str">
        <f>IF(Table46[[#This Row],[HomeIce Differential]]&gt;0,Table46[[#This Row],[Home]],Table46[[#This Row],[Visitor]])</f>
        <v>Vegas Golden Knights</v>
      </c>
      <c r="L80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0.54355429110164244</v>
      </c>
      <c r="M809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809" t="str">
        <f>IF(OR((NHL2025_26Results[[#This Row],[Winning Team]]="")),"-",IF(Table46[[#This Row],[Predicted Winner]]=NHL2025_26Results[[#This Row],[Winning Team]],"YES","NO"))</f>
        <v>-</v>
      </c>
      <c r="O809" t="str">
        <f>IF(OR((NHL2025_26Results[[#This Row],[Winning Team]]="")),"-",IF(Table46[[#This Row],[Prob Winner]]=NHL2025_26Results[[#This Row],[Winning Team]],"YES","NO"))</f>
        <v>-</v>
      </c>
      <c r="P809" t="str">
        <f>IF(Table46[[#This Row],[Locked Prediction]]&lt;&gt;Table46[[#This Row],[Prob Winner]], "Changed", "Same")</f>
        <v>Changed</v>
      </c>
      <c r="Q80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10" spans="4:17" x14ac:dyDescent="0.2">
      <c r="D810" s="1">
        <v>46045</v>
      </c>
      <c r="E810" s="2">
        <v>0.91666666666666663</v>
      </c>
      <c r="F810" t="s">
        <v>38</v>
      </c>
      <c r="G810">
        <f>VLOOKUP(Table46[[#This Row],[Home]],'NHL Model'!$A$6:$B$38,2,FALSE)</f>
        <v>-0.6902088310934803</v>
      </c>
      <c r="H810" t="s">
        <v>24</v>
      </c>
      <c r="I810">
        <f>VLOOKUP(Table46[[#This Row],[Visitor]],'NHL Model'!$A$6:$B$38,2,FALSE)</f>
        <v>0.559441163373953</v>
      </c>
      <c r="J810">
        <f>($B$1+Table46[[#This Row],[Home Differential]])-Table46[[#This Row],[Away Differential]]</f>
        <v>-1.0870776848051149</v>
      </c>
      <c r="K810" t="str">
        <f>IF(Table46[[#This Row],[HomeIce Differential]]&gt;0,Table46[[#This Row],[Home]],Table46[[#This Row],[Visitor]])</f>
        <v>New Jersey Devils</v>
      </c>
      <c r="L8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0.67080907506053489</v>
      </c>
      <c r="M810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810" t="str">
        <f>IF(OR((NHL2025_26Results[[#This Row],[Winning Team]]="")),"-",IF(Table46[[#This Row],[Predicted Winner]]=NHL2025_26Results[[#This Row],[Winning Team]],"YES","NO"))</f>
        <v>-</v>
      </c>
      <c r="O810" t="str">
        <f>IF(OR((NHL2025_26Results[[#This Row],[Winning Team]]="")),"-",IF(Table46[[#This Row],[Prob Winner]]=NHL2025_26Results[[#This Row],[Winning Team]],"YES","NO"))</f>
        <v>-</v>
      </c>
      <c r="P810" t="str">
        <f>IF(Table46[[#This Row],[Locked Prediction]]&lt;&gt;Table46[[#This Row],[Prob Winner]], "Changed", "Same")</f>
        <v>Changed</v>
      </c>
      <c r="Q81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11" spans="4:17" x14ac:dyDescent="0.2">
      <c r="D811" s="1">
        <v>46046</v>
      </c>
      <c r="E811" s="2">
        <v>0.79166666666666663</v>
      </c>
      <c r="F811" t="s">
        <v>21</v>
      </c>
      <c r="G811">
        <f>VLOOKUP(Table46[[#This Row],[Home]],'NHL Model'!$A$6:$B$38,2,FALSE)</f>
        <v>4.029141914856392E-2</v>
      </c>
      <c r="H811" t="s">
        <v>18</v>
      </c>
      <c r="I811">
        <f>VLOOKUP(Table46[[#This Row],[Visitor]],'NHL Model'!$A$6:$B$38,2,FALSE)</f>
        <v>-0.52437726201848234</v>
      </c>
      <c r="J811">
        <f>($B$1+Table46[[#This Row],[Home Differential]])-Table46[[#This Row],[Away Differential]]</f>
        <v>0.72724099082936466</v>
      </c>
      <c r="K811" t="str">
        <f>IF(Table46[[#This Row],[HomeIce Differential]]&gt;0,Table46[[#This Row],[Home]],Table46[[#This Row],[Visitor]])</f>
        <v>Boston Bruins</v>
      </c>
      <c r="L8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0.63447927585974129</v>
      </c>
      <c r="M811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811" t="str">
        <f>IF(OR((NHL2025_26Results[[#This Row],[Winning Team]]="")),"-",IF(Table46[[#This Row],[Predicted Winner]]=NHL2025_26Results[[#This Row],[Winning Team]],"YES","NO"))</f>
        <v>-</v>
      </c>
      <c r="O811" t="str">
        <f>IF(OR((NHL2025_26Results[[#This Row],[Winning Team]]="")),"-",IF(Table46[[#This Row],[Prob Winner]]=NHL2025_26Results[[#This Row],[Winning Team]],"YES","NO"))</f>
        <v>-</v>
      </c>
      <c r="P811" t="str">
        <f>IF(Table46[[#This Row],[Locked Prediction]]&lt;&gt;Table46[[#This Row],[Prob Winner]], "Changed", "Same")</f>
        <v>Changed</v>
      </c>
      <c r="Q81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12" spans="4:17" x14ac:dyDescent="0.2">
      <c r="D812" s="1">
        <v>46046</v>
      </c>
      <c r="E812" s="2">
        <v>0.79166666666666663</v>
      </c>
      <c r="F812" t="s">
        <v>28</v>
      </c>
      <c r="G812">
        <f>VLOOKUP(Table46[[#This Row],[Home]],'NHL Model'!$A$6:$B$38,2,FALSE)</f>
        <v>-0.40822279081308277</v>
      </c>
      <c r="H812" t="s">
        <v>37</v>
      </c>
      <c r="I812">
        <f>VLOOKUP(Table46[[#This Row],[Visitor]],'NHL Model'!$A$6:$B$38,2,FALSE)</f>
        <v>-0.11309445867623392</v>
      </c>
      <c r="J812">
        <f>($B$1+Table46[[#This Row],[Home Differential]])-Table46[[#This Row],[Away Differential]]</f>
        <v>-0.13255602247453047</v>
      </c>
      <c r="K812" t="str">
        <f>IF(Table46[[#This Row],[HomeIce Differential]]&gt;0,Table46[[#This Row],[Home]],Table46[[#This Row],[Visitor]])</f>
        <v>Tampa Bay Lightning</v>
      </c>
      <c r="L8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0.52471860626122968</v>
      </c>
      <c r="M812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812" t="str">
        <f>IF(OR((NHL2025_26Results[[#This Row],[Winning Team]]="")),"-",IF(Table46[[#This Row],[Predicted Winner]]=NHL2025_26Results[[#This Row],[Winning Team]],"YES","NO"))</f>
        <v>-</v>
      </c>
      <c r="O812" t="str">
        <f>IF(OR((NHL2025_26Results[[#This Row],[Winning Team]]="")),"-",IF(Table46[[#This Row],[Prob Winner]]=NHL2025_26Results[[#This Row],[Winning Team]],"YES","NO"))</f>
        <v>-</v>
      </c>
      <c r="P812" t="str">
        <f>IF(Table46[[#This Row],[Locked Prediction]]&lt;&gt;Table46[[#This Row],[Prob Winner]], "Changed", "Same")</f>
        <v>Changed</v>
      </c>
      <c r="Q81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13" spans="4:17" x14ac:dyDescent="0.2">
      <c r="D813" s="1">
        <v>46046</v>
      </c>
      <c r="E813" s="2">
        <v>0.91666666666666663</v>
      </c>
      <c r="F813" t="s">
        <v>17</v>
      </c>
      <c r="G813">
        <f>VLOOKUP(Table46[[#This Row],[Home]],'NHL Model'!$A$6:$B$38,2,FALSE)</f>
        <v>-0.61980804137564283</v>
      </c>
      <c r="H813" t="s">
        <v>22</v>
      </c>
      <c r="I813">
        <f>VLOOKUP(Table46[[#This Row],[Visitor]],'NHL Model'!$A$6:$B$38,2,FALSE)</f>
        <v>-6.1308839486784707E-2</v>
      </c>
      <c r="J813">
        <f>($B$1+Table46[[#This Row],[Home Differential]])-Table46[[#This Row],[Away Differential]]</f>
        <v>-0.39592689222653971</v>
      </c>
      <c r="K813" t="str">
        <f>IF(Table46[[#This Row],[HomeIce Differential]]&gt;0,Table46[[#This Row],[Home]],Table46[[#This Row],[Visitor]])</f>
        <v>Washington Capitals</v>
      </c>
      <c r="L8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0.4765893427051423</v>
      </c>
      <c r="M813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813" t="str">
        <f>IF(OR((NHL2025_26Results[[#This Row],[Winning Team]]="")),"-",IF(Table46[[#This Row],[Predicted Winner]]=NHL2025_26Results[[#This Row],[Winning Team]],"YES","NO"))</f>
        <v>-</v>
      </c>
      <c r="O813" t="str">
        <f>IF(OR((NHL2025_26Results[[#This Row],[Winning Team]]="")),"-",IF(Table46[[#This Row],[Prob Winner]]=NHL2025_26Results[[#This Row],[Winning Team]],"YES","NO"))</f>
        <v>-</v>
      </c>
      <c r="P813" t="str">
        <f>IF(Table46[[#This Row],[Locked Prediction]]&lt;&gt;Table46[[#This Row],[Prob Winner]], "Changed", "Same")</f>
        <v>Changed</v>
      </c>
      <c r="Q81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14" spans="4:17" x14ac:dyDescent="0.2">
      <c r="D814" s="1">
        <v>46046</v>
      </c>
      <c r="E814" s="2">
        <v>0.875</v>
      </c>
      <c r="F814" t="s">
        <v>34</v>
      </c>
      <c r="G814">
        <f>VLOOKUP(Table46[[#This Row],[Home]],'NHL Model'!$A$6:$B$38,2,FALSE)</f>
        <v>-0.53650300840565446</v>
      </c>
      <c r="H814" t="s">
        <v>11</v>
      </c>
      <c r="I814">
        <f>VLOOKUP(Table46[[#This Row],[Visitor]],'NHL Model'!$A$6:$B$38,2,FALSE)</f>
        <v>-0.28105923893144158</v>
      </c>
      <c r="J814">
        <f>($B$1+Table46[[#This Row],[Home Differential]])-Table46[[#This Row],[Away Differential]]</f>
        <v>-9.2871459811894486E-2</v>
      </c>
      <c r="K814" t="str">
        <f>IF(Table46[[#This Row],[HomeIce Differential]]&gt;0,Table46[[#This Row],[Home]],Table46[[#This Row],[Visitor]])</f>
        <v>Florida Panthers</v>
      </c>
      <c r="L81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0.47234438214769681</v>
      </c>
      <c r="M814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814" t="str">
        <f>IF(OR((NHL2025_26Results[[#This Row],[Winning Team]]="")),"-",IF(Table46[[#This Row],[Predicted Winner]]=NHL2025_26Results[[#This Row],[Winning Team]],"YES","NO"))</f>
        <v>-</v>
      </c>
      <c r="O814" t="str">
        <f>IF(OR((NHL2025_26Results[[#This Row],[Winning Team]]="")),"-",IF(Table46[[#This Row],[Prob Winner]]=NHL2025_26Results[[#This Row],[Winning Team]],"YES","NO"))</f>
        <v>-</v>
      </c>
      <c r="P814" t="str">
        <f>IF(Table46[[#This Row],[Locked Prediction]]&lt;&gt;Table46[[#This Row],[Prob Winner]], "Changed", "Same")</f>
        <v>Changed</v>
      </c>
      <c r="Q81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15" spans="4:17" x14ac:dyDescent="0.2">
      <c r="D815" s="1">
        <v>46046</v>
      </c>
      <c r="E815" s="2">
        <v>0.64583333333333337</v>
      </c>
      <c r="F815" t="s">
        <v>29</v>
      </c>
      <c r="G815">
        <f>VLOOKUP(Table46[[#This Row],[Home]],'NHL Model'!$A$6:$B$38,2,FALSE)</f>
        <v>-1.3516250707060606</v>
      </c>
      <c r="H815" t="s">
        <v>55</v>
      </c>
      <c r="I815">
        <f>VLOOKUP(Table46[[#This Row],[Visitor]],'NHL Model'!$A$6:$B$38,2,FALSE)</f>
        <v>-0.12212311954851815</v>
      </c>
      <c r="J815">
        <f>($B$1+Table46[[#This Row],[Home Differential]])-Table46[[#This Row],[Away Differential]]</f>
        <v>-1.0669296414952241</v>
      </c>
      <c r="K815" t="str">
        <f>IF(Table46[[#This Row],[HomeIce Differential]]&gt;0,Table46[[#This Row],[Home]],Table46[[#This Row],[Visitor]])</f>
        <v>Utah Mammoth</v>
      </c>
      <c r="L81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0.60181522769210682</v>
      </c>
      <c r="M815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815" t="str">
        <f>IF(OR((NHL2025_26Results[[#This Row],[Winning Team]]="")),"-",IF(Table46[[#This Row],[Predicted Winner]]=NHL2025_26Results[[#This Row],[Winning Team]],"YES","NO"))</f>
        <v>-</v>
      </c>
      <c r="O815" t="str">
        <f>IF(OR((NHL2025_26Results[[#This Row],[Winning Team]]="")),"-",IF(Table46[[#This Row],[Prob Winner]]=NHL2025_26Results[[#This Row],[Winning Team]],"YES","NO"))</f>
        <v>-</v>
      </c>
      <c r="P815" t="str">
        <f>IF(Table46[[#This Row],[Locked Prediction]]&lt;&gt;Table46[[#This Row],[Prob Winner]], "Changed", "Same")</f>
        <v>Changed</v>
      </c>
      <c r="Q81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16" spans="4:17" x14ac:dyDescent="0.2">
      <c r="D816" s="1">
        <v>46046</v>
      </c>
      <c r="E816" s="2">
        <v>0.54166666666666663</v>
      </c>
      <c r="F816" t="s">
        <v>30</v>
      </c>
      <c r="G816">
        <f>VLOOKUP(Table46[[#This Row],[Home]],'NHL Model'!$A$6:$B$38,2,FALSE)</f>
        <v>-6.4729560818359025E-2</v>
      </c>
      <c r="H816" t="s">
        <v>23</v>
      </c>
      <c r="I816">
        <f>VLOOKUP(Table46[[#This Row],[Visitor]],'NHL Model'!$A$6:$B$38,2,FALSE)</f>
        <v>-0.8683412362501769</v>
      </c>
      <c r="J816">
        <f>($B$1+Table46[[#This Row],[Home Differential]])-Table46[[#This Row],[Away Differential]]</f>
        <v>0.96618398509413628</v>
      </c>
      <c r="K816" t="str">
        <f>IF(Table46[[#This Row],[HomeIce Differential]]&gt;0,Table46[[#This Row],[Home]],Table46[[#This Row],[Visitor]])</f>
        <v>New York Islanders</v>
      </c>
      <c r="L81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0.66842421515871386</v>
      </c>
      <c r="M816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816" t="str">
        <f>IF(OR((NHL2025_26Results[[#This Row],[Winning Team]]="")),"-",IF(Table46[[#This Row],[Predicted Winner]]=NHL2025_26Results[[#This Row],[Winning Team]],"YES","NO"))</f>
        <v>-</v>
      </c>
      <c r="O816" t="str">
        <f>IF(OR((NHL2025_26Results[[#This Row],[Winning Team]]="")),"-",IF(Table46[[#This Row],[Prob Winner]]=NHL2025_26Results[[#This Row],[Winning Team]],"YES","NO"))</f>
        <v>-</v>
      </c>
      <c r="P816" t="str">
        <f>IF(Table46[[#This Row],[Locked Prediction]]&lt;&gt;Table46[[#This Row],[Prob Winner]], "Changed", "Same")</f>
        <v>Changed</v>
      </c>
      <c r="Q81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17" spans="4:17" x14ac:dyDescent="0.2">
      <c r="D817" s="1">
        <v>46046</v>
      </c>
      <c r="E817" s="2">
        <v>0.79166666666666663</v>
      </c>
      <c r="F817" t="s">
        <v>36</v>
      </c>
      <c r="G817">
        <f>VLOOKUP(Table46[[#This Row],[Home]],'NHL Model'!$A$6:$B$38,2,FALSE)</f>
        <v>-0.40651947573390851</v>
      </c>
      <c r="H817" t="s">
        <v>25</v>
      </c>
      <c r="I817">
        <f>VLOOKUP(Table46[[#This Row],[Visitor]],'NHL Model'!$A$6:$B$38,2,FALSE)</f>
        <v>0.67193921242367816</v>
      </c>
      <c r="J817">
        <f>($B$1+Table46[[#This Row],[Home Differential]])-Table46[[#This Row],[Away Differential]]</f>
        <v>-0.91588637849526822</v>
      </c>
      <c r="K817" t="str">
        <f>IF(Table46[[#This Row],[HomeIce Differential]]&gt;0,Table46[[#This Row],[Home]],Table46[[#This Row],[Visitor]])</f>
        <v>Carolina Hurricanes</v>
      </c>
      <c r="L81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0.67173870727256102</v>
      </c>
      <c r="M817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817" t="str">
        <f>IF(OR((NHL2025_26Results[[#This Row],[Winning Team]]="")),"-",IF(Table46[[#This Row],[Predicted Winner]]=NHL2025_26Results[[#This Row],[Winning Team]],"YES","NO"))</f>
        <v>-</v>
      </c>
      <c r="O817" t="str">
        <f>IF(OR((NHL2025_26Results[[#This Row],[Winning Team]]="")),"-",IF(Table46[[#This Row],[Prob Winner]]=NHL2025_26Results[[#This Row],[Winning Team]],"YES","NO"))</f>
        <v>-</v>
      </c>
      <c r="P817" t="str">
        <f>IF(Table46[[#This Row],[Locked Prediction]]&lt;&gt;Table46[[#This Row],[Prob Winner]], "Changed", "Same")</f>
        <v>Changed</v>
      </c>
      <c r="Q81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18" spans="4:17" x14ac:dyDescent="0.2">
      <c r="D818" s="1">
        <v>46046</v>
      </c>
      <c r="E818" s="2">
        <v>0.83333333333333337</v>
      </c>
      <c r="F818" t="s">
        <v>35</v>
      </c>
      <c r="G818">
        <f>VLOOKUP(Table46[[#This Row],[Home]],'NHL Model'!$A$6:$B$38,2,FALSE)</f>
        <v>-1.6211574240381006</v>
      </c>
      <c r="H818" t="s">
        <v>13</v>
      </c>
      <c r="I818">
        <f>VLOOKUP(Table46[[#This Row],[Visitor]],'NHL Model'!$A$6:$B$38,2,FALSE)</f>
        <v>-7.5459708298993802E-2</v>
      </c>
      <c r="J818">
        <f>($B$1+Table46[[#This Row],[Home Differential]])-Table46[[#This Row],[Away Differential]]</f>
        <v>-1.3831254060767884</v>
      </c>
      <c r="K818" t="str">
        <f>IF(Table46[[#This Row],[HomeIce Differential]]&gt;0,Table46[[#This Row],[Home]],Table46[[#This Row],[Visitor]])</f>
        <v>Los Angeles Kings</v>
      </c>
      <c r="L81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0.76523900333970296</v>
      </c>
      <c r="M818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818" t="str">
        <f>IF(OR((NHL2025_26Results[[#This Row],[Winning Team]]="")),"-",IF(Table46[[#This Row],[Predicted Winner]]=NHL2025_26Results[[#This Row],[Winning Team]],"YES","NO"))</f>
        <v>-</v>
      </c>
      <c r="O818" t="str">
        <f>IF(OR((NHL2025_26Results[[#This Row],[Winning Team]]="")),"-",IF(Table46[[#This Row],[Prob Winner]]=NHL2025_26Results[[#This Row],[Winning Team]],"YES","NO"))</f>
        <v>-</v>
      </c>
      <c r="P818" t="str">
        <f>IF(Table46[[#This Row],[Locked Prediction]]&lt;&gt;Table46[[#This Row],[Prob Winner]], "Changed", "Same")</f>
        <v>Changed</v>
      </c>
      <c r="Q81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19" spans="4:17" x14ac:dyDescent="0.2">
      <c r="D819" s="1">
        <v>46046</v>
      </c>
      <c r="E819" s="2">
        <v>0.79166666666666663</v>
      </c>
      <c r="F819" t="s">
        <v>40</v>
      </c>
      <c r="G819">
        <f>VLOOKUP(Table46[[#This Row],[Home]],'NHL Model'!$A$6:$B$38,2,FALSE)</f>
        <v>0.105105258369765</v>
      </c>
      <c r="H819" t="s">
        <v>26</v>
      </c>
      <c r="I819">
        <f>VLOOKUP(Table46[[#This Row],[Visitor]],'NHL Model'!$A$6:$B$38,2,FALSE)</f>
        <v>-0.513643833119658</v>
      </c>
      <c r="J819">
        <f>($B$1+Table46[[#This Row],[Home Differential]])-Table46[[#This Row],[Away Differential]]</f>
        <v>0.78132140115174142</v>
      </c>
      <c r="K819" t="str">
        <f>IF(Table46[[#This Row],[HomeIce Differential]]&gt;0,Table46[[#This Row],[Home]],Table46[[#This Row],[Visitor]])</f>
        <v>Winnipeg Jets</v>
      </c>
      <c r="L81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0.63326422891314482</v>
      </c>
      <c r="M819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819" t="str">
        <f>IF(OR((NHL2025_26Results[[#This Row],[Winning Team]]="")),"-",IF(Table46[[#This Row],[Predicted Winner]]=NHL2025_26Results[[#This Row],[Winning Team]],"YES","NO"))</f>
        <v>-</v>
      </c>
      <c r="O819" t="str">
        <f>IF(OR((NHL2025_26Results[[#This Row],[Winning Team]]="")),"-",IF(Table46[[#This Row],[Prob Winner]]=NHL2025_26Results[[#This Row],[Winning Team]],"YES","NO"))</f>
        <v>-</v>
      </c>
      <c r="P819" t="str">
        <f>IF(Table46[[#This Row],[Locked Prediction]]&lt;&gt;Table46[[#This Row],[Prob Winner]], "Changed", "Same")</f>
        <v>Changed</v>
      </c>
      <c r="Q81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20" spans="4:17" x14ac:dyDescent="0.2">
      <c r="D820" s="1">
        <v>46047</v>
      </c>
      <c r="E820" s="2">
        <v>0.83333333333333337</v>
      </c>
      <c r="F820" t="s">
        <v>16</v>
      </c>
      <c r="G820">
        <f>VLOOKUP(Table46[[#This Row],[Home]],'NHL Model'!$A$6:$B$38,2,FALSE)</f>
        <v>-1.3903684122795328</v>
      </c>
      <c r="H820" t="s">
        <v>31</v>
      </c>
      <c r="I820">
        <f>VLOOKUP(Table46[[#This Row],[Visitor]],'NHL Model'!$A$6:$B$38,2,FALSE)</f>
        <v>0.51775546328552802</v>
      </c>
      <c r="J820">
        <f>($B$1+Table46[[#This Row],[Home Differential]])-Table46[[#This Row],[Away Differential]]</f>
        <v>-1.7455515659027423</v>
      </c>
      <c r="K820" t="str">
        <f>IF(Table46[[#This Row],[HomeIce Differential]]&gt;0,Table46[[#This Row],[Home]],Table46[[#This Row],[Visitor]])</f>
        <v>Anaheim Ducks</v>
      </c>
      <c r="L82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0.71278621027679556</v>
      </c>
      <c r="M820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820" t="str">
        <f>IF(OR((NHL2025_26Results[[#This Row],[Winning Team]]="")),"-",IF(Table46[[#This Row],[Predicted Winner]]=NHL2025_26Results[[#This Row],[Winning Team]],"YES","NO"))</f>
        <v>-</v>
      </c>
      <c r="O820" t="str">
        <f>IF(OR((NHL2025_26Results[[#This Row],[Winning Team]]="")),"-",IF(Table46[[#This Row],[Prob Winner]]=NHL2025_26Results[[#This Row],[Winning Team]],"YES","NO"))</f>
        <v>-</v>
      </c>
      <c r="P820" t="str">
        <f>IF(Table46[[#This Row],[Locked Prediction]]&lt;&gt;Table46[[#This Row],[Prob Winner]], "Changed", "Same")</f>
        <v>Changed</v>
      </c>
      <c r="Q82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21" spans="4:17" x14ac:dyDescent="0.2">
      <c r="D821" s="1">
        <v>46047</v>
      </c>
      <c r="E821" s="2">
        <v>0.79166666666666663</v>
      </c>
      <c r="F821" t="s">
        <v>10</v>
      </c>
      <c r="G821">
        <f>VLOOKUP(Table46[[#This Row],[Home]],'NHL Model'!$A$6:$B$38,2,FALSE)</f>
        <v>0.30570968833820172</v>
      </c>
      <c r="H821" t="s">
        <v>11</v>
      </c>
      <c r="I821">
        <f>VLOOKUP(Table46[[#This Row],[Visitor]],'NHL Model'!$A$6:$B$38,2,FALSE)</f>
        <v>-0.28105923893144158</v>
      </c>
      <c r="J821">
        <f>($B$1+Table46[[#This Row],[Home Differential]])-Table46[[#This Row],[Away Differential]]</f>
        <v>0.74934123693196164</v>
      </c>
      <c r="K821" t="str">
        <f>IF(Table46[[#This Row],[HomeIce Differential]]&gt;0,Table46[[#This Row],[Home]],Table46[[#This Row],[Visitor]])</f>
        <v>Chicago Blackhawks</v>
      </c>
      <c r="L82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0.6396016925592809</v>
      </c>
      <c r="M821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821" t="str">
        <f>IF(OR((NHL2025_26Results[[#This Row],[Winning Team]]="")),"-",IF(Table46[[#This Row],[Predicted Winner]]=NHL2025_26Results[[#This Row],[Winning Team]],"YES","NO"))</f>
        <v>-</v>
      </c>
      <c r="O821" t="str">
        <f>IF(OR((NHL2025_26Results[[#This Row],[Winning Team]]="")),"-",IF(Table46[[#This Row],[Prob Winner]]=NHL2025_26Results[[#This Row],[Winning Team]],"YES","NO"))</f>
        <v>-</v>
      </c>
      <c r="P821" t="str">
        <f>IF(Table46[[#This Row],[Locked Prediction]]&lt;&gt;Table46[[#This Row],[Prob Winner]], "Changed", "Same")</f>
        <v>Changed</v>
      </c>
      <c r="Q82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22" spans="4:17" x14ac:dyDescent="0.2">
      <c r="D822" s="1">
        <v>46047</v>
      </c>
      <c r="E822" s="2">
        <v>0.70833333333333337</v>
      </c>
      <c r="F822" t="s">
        <v>36</v>
      </c>
      <c r="G822">
        <f>VLOOKUP(Table46[[#This Row],[Home]],'NHL Model'!$A$6:$B$38,2,FALSE)</f>
        <v>-0.40651947573390851</v>
      </c>
      <c r="H822" t="s">
        <v>20</v>
      </c>
      <c r="I822">
        <f>VLOOKUP(Table46[[#This Row],[Visitor]],'NHL Model'!$A$6:$B$38,2,FALSE)</f>
        <v>-6.3745791019188943E-4</v>
      </c>
      <c r="J822">
        <f>($B$1+Table46[[#This Row],[Home Differential]])-Table46[[#This Row],[Away Differential]]</f>
        <v>-0.24330970816139821</v>
      </c>
      <c r="K822" t="str">
        <f>IF(Table46[[#This Row],[HomeIce Differential]]&gt;0,Table46[[#This Row],[Home]],Table46[[#This Row],[Visitor]])</f>
        <v>Vegas Golden Knights</v>
      </c>
      <c r="L82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0.51060135418635177</v>
      </c>
      <c r="M822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822" t="str">
        <f>IF(OR((NHL2025_26Results[[#This Row],[Winning Team]]="")),"-",IF(Table46[[#This Row],[Predicted Winner]]=NHL2025_26Results[[#This Row],[Winning Team]],"YES","NO"))</f>
        <v>-</v>
      </c>
      <c r="O822" t="str">
        <f>IF(OR((NHL2025_26Results[[#This Row],[Winning Team]]="")),"-",IF(Table46[[#This Row],[Prob Winner]]=NHL2025_26Results[[#This Row],[Winning Team]],"YES","NO"))</f>
        <v>-</v>
      </c>
      <c r="P822" t="str">
        <f>IF(Table46[[#This Row],[Locked Prediction]]&lt;&gt;Table46[[#This Row],[Prob Winner]], "Changed", "Same")</f>
        <v>Changed</v>
      </c>
      <c r="Q82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23" spans="4:17" x14ac:dyDescent="0.2">
      <c r="D823" s="1">
        <v>46047</v>
      </c>
      <c r="E823" s="2">
        <v>0.66666666666666663</v>
      </c>
      <c r="F823" t="s">
        <v>32</v>
      </c>
      <c r="G823">
        <f>VLOOKUP(Table46[[#This Row],[Home]],'NHL Model'!$A$6:$B$38,2,FALSE)</f>
        <v>-0.361361309178443</v>
      </c>
      <c r="H823" t="s">
        <v>24</v>
      </c>
      <c r="I823">
        <f>VLOOKUP(Table46[[#This Row],[Visitor]],'NHL Model'!$A$6:$B$38,2,FALSE)</f>
        <v>0.559441163373953</v>
      </c>
      <c r="J823">
        <f>($B$1+Table46[[#This Row],[Home Differential]])-Table46[[#This Row],[Away Differential]]</f>
        <v>-0.75823016289007761</v>
      </c>
      <c r="K823" t="str">
        <f>IF(Table46[[#This Row],[HomeIce Differential]]&gt;0,Table46[[#This Row],[Home]],Table46[[#This Row],[Visitor]])</f>
        <v>New Jersey Devils</v>
      </c>
      <c r="L82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0.6007831997643126</v>
      </c>
      <c r="M823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823" t="str">
        <f>IF(OR((NHL2025_26Results[[#This Row],[Winning Team]]="")),"-",IF(Table46[[#This Row],[Predicted Winner]]=NHL2025_26Results[[#This Row],[Winning Team]],"YES","NO"))</f>
        <v>-</v>
      </c>
      <c r="O823" t="str">
        <f>IF(OR((NHL2025_26Results[[#This Row],[Winning Team]]="")),"-",IF(Table46[[#This Row],[Prob Winner]]=NHL2025_26Results[[#This Row],[Winning Team]],"YES","NO"))</f>
        <v>-</v>
      </c>
      <c r="P823" t="str">
        <f>IF(Table46[[#This Row],[Locked Prediction]]&lt;&gt;Table46[[#This Row],[Prob Winner]], "Changed", "Same")</f>
        <v>Changed</v>
      </c>
      <c r="Q82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24" spans="4:17" x14ac:dyDescent="0.2">
      <c r="D824" s="1">
        <v>46047</v>
      </c>
      <c r="E824" s="2">
        <v>0.5625</v>
      </c>
      <c r="F824" t="s">
        <v>19</v>
      </c>
      <c r="G824">
        <f>VLOOKUP(Table46[[#This Row],[Home]],'NHL Model'!$A$6:$B$38,2,FALSE)</f>
        <v>-0.635565543477981</v>
      </c>
      <c r="H824" t="s">
        <v>12</v>
      </c>
      <c r="I824">
        <f>VLOOKUP(Table46[[#This Row],[Visitor]],'NHL Model'!$A$6:$B$38,2,FALSE)</f>
        <v>1.5475013591489768</v>
      </c>
      <c r="J824">
        <f>($B$1+Table46[[#This Row],[Home Differential]])-Table46[[#This Row],[Away Differential]]</f>
        <v>-2.0204945929646394</v>
      </c>
      <c r="K824" t="str">
        <f>IF(Table46[[#This Row],[HomeIce Differential]]&gt;0,Table46[[#This Row],[Home]],Table46[[#This Row],[Visitor]])</f>
        <v>Colorado Avalanche</v>
      </c>
      <c r="L82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0.79487792291520187</v>
      </c>
      <c r="M824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824" t="str">
        <f>IF(OR((NHL2025_26Results[[#This Row],[Winning Team]]="")),"-",IF(Table46[[#This Row],[Predicted Winner]]=NHL2025_26Results[[#This Row],[Winning Team]],"YES","NO"))</f>
        <v>-</v>
      </c>
      <c r="O824" t="str">
        <f>IF(OR((NHL2025_26Results[[#This Row],[Winning Team]]="")),"-",IF(Table46[[#This Row],[Prob Winner]]=NHL2025_26Results[[#This Row],[Winning Team]],"YES","NO"))</f>
        <v>-</v>
      </c>
      <c r="P824" t="str">
        <f>IF(Table46[[#This Row],[Locked Prediction]]&lt;&gt;Table46[[#This Row],[Prob Winner]], "Changed", "Same")</f>
        <v>Changed</v>
      </c>
      <c r="Q82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25" spans="4:17" x14ac:dyDescent="0.2">
      <c r="D825" s="1">
        <v>46047</v>
      </c>
      <c r="E825" s="2">
        <v>0.75</v>
      </c>
      <c r="F825" t="s">
        <v>38</v>
      </c>
      <c r="G825">
        <f>VLOOKUP(Table46[[#This Row],[Home]],'NHL Model'!$A$6:$B$38,2,FALSE)</f>
        <v>-0.6902088310934803</v>
      </c>
      <c r="H825" t="s">
        <v>14</v>
      </c>
      <c r="I825">
        <f>VLOOKUP(Table46[[#This Row],[Visitor]],'NHL Model'!$A$6:$B$38,2,FALSE)</f>
        <v>0.26289091192875702</v>
      </c>
      <c r="J825">
        <f>($B$1+Table46[[#This Row],[Home Differential]])-Table46[[#This Row],[Away Differential]]</f>
        <v>-0.79052743335991893</v>
      </c>
      <c r="K825" t="str">
        <f>IF(Table46[[#This Row],[HomeIce Differential]]&gt;0,Table46[[#This Row],[Home]],Table46[[#This Row],[Visitor]])</f>
        <v>Pittsburgh Penguins</v>
      </c>
      <c r="L82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0.56507612085992975</v>
      </c>
      <c r="M825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825" t="str">
        <f>IF(OR((NHL2025_26Results[[#This Row],[Winning Team]]="")),"-",IF(Table46[[#This Row],[Predicted Winner]]=NHL2025_26Results[[#This Row],[Winning Team]],"YES","NO"))</f>
        <v>-</v>
      </c>
      <c r="O825" t="str">
        <f>IF(OR((NHL2025_26Results[[#This Row],[Winning Team]]="")),"-",IF(Table46[[#This Row],[Prob Winner]]=NHL2025_26Results[[#This Row],[Winning Team]],"YES","NO"))</f>
        <v>-</v>
      </c>
      <c r="P825" t="str">
        <f>IF(Table46[[#This Row],[Locked Prediction]]&lt;&gt;Table46[[#This Row],[Prob Winner]], "Changed", "Same")</f>
        <v>Changed</v>
      </c>
      <c r="Q82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26" spans="4:17" x14ac:dyDescent="0.2">
      <c r="D826" s="1">
        <v>46048</v>
      </c>
      <c r="E826" s="2">
        <v>0.79166666666666663</v>
      </c>
      <c r="F826" t="s">
        <v>28</v>
      </c>
      <c r="G826">
        <f>VLOOKUP(Table46[[#This Row],[Home]],'NHL Model'!$A$6:$B$38,2,FALSE)</f>
        <v>-0.40822279081308277</v>
      </c>
      <c r="H826" t="s">
        <v>13</v>
      </c>
      <c r="I826">
        <f>VLOOKUP(Table46[[#This Row],[Visitor]],'NHL Model'!$A$6:$B$38,2,FALSE)</f>
        <v>-7.5459708298993802E-2</v>
      </c>
      <c r="J826">
        <f>($B$1+Table46[[#This Row],[Home Differential]])-Table46[[#This Row],[Away Differential]]</f>
        <v>-0.17019077285177059</v>
      </c>
      <c r="K826" t="str">
        <f>IF(Table46[[#This Row],[HomeIce Differential]]&gt;0,Table46[[#This Row],[Home]],Table46[[#This Row],[Visitor]])</f>
        <v>Los Angeles Kings</v>
      </c>
      <c r="L82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0.60401693723852612</v>
      </c>
      <c r="M826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826" t="str">
        <f>IF(OR((NHL2025_26Results[[#This Row],[Winning Team]]="")),"-",IF(Table46[[#This Row],[Predicted Winner]]=NHL2025_26Results[[#This Row],[Winning Team]],"YES","NO"))</f>
        <v>-</v>
      </c>
      <c r="O826" t="str">
        <f>IF(OR((NHL2025_26Results[[#This Row],[Winning Team]]="")),"-",IF(Table46[[#This Row],[Prob Winner]]=NHL2025_26Results[[#This Row],[Winning Team]],"YES","NO"))</f>
        <v>-</v>
      </c>
      <c r="P826" t="str">
        <f>IF(Table46[[#This Row],[Locked Prediction]]&lt;&gt;Table46[[#This Row],[Prob Winner]], "Changed", "Same")</f>
        <v>Changed</v>
      </c>
      <c r="Q82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27" spans="4:17" x14ac:dyDescent="0.2">
      <c r="D827" s="1">
        <v>46048</v>
      </c>
      <c r="E827" s="2">
        <v>0.85416666666666663</v>
      </c>
      <c r="F827" t="s">
        <v>17</v>
      </c>
      <c r="G827">
        <f>VLOOKUP(Table46[[#This Row],[Home]],'NHL Model'!$A$6:$B$38,2,FALSE)</f>
        <v>-0.61980804137564283</v>
      </c>
      <c r="H827" t="s">
        <v>31</v>
      </c>
      <c r="I827">
        <f>VLOOKUP(Table46[[#This Row],[Visitor]],'NHL Model'!$A$6:$B$38,2,FALSE)</f>
        <v>0.51775546328552802</v>
      </c>
      <c r="J827">
        <f>($B$1+Table46[[#This Row],[Home Differential]])-Table46[[#This Row],[Away Differential]]</f>
        <v>-0.97499119499885245</v>
      </c>
      <c r="K827" t="str">
        <f>IF(Table46[[#This Row],[HomeIce Differential]]&gt;0,Table46[[#This Row],[Home]],Table46[[#This Row],[Visitor]])</f>
        <v>Anaheim Ducks</v>
      </c>
      <c r="L82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0.57403930519157687</v>
      </c>
      <c r="M827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827" t="str">
        <f>IF(OR((NHL2025_26Results[[#This Row],[Winning Team]]="")),"-",IF(Table46[[#This Row],[Predicted Winner]]=NHL2025_26Results[[#This Row],[Winning Team]],"YES","NO"))</f>
        <v>-</v>
      </c>
      <c r="O827" t="str">
        <f>IF(OR((NHL2025_26Results[[#This Row],[Winning Team]]="")),"-",IF(Table46[[#This Row],[Prob Winner]]=NHL2025_26Results[[#This Row],[Winning Team]],"YES","NO"))</f>
        <v>-</v>
      </c>
      <c r="P827" t="str">
        <f>IF(Table46[[#This Row],[Locked Prediction]]&lt;&gt;Table46[[#This Row],[Prob Winner]], "Changed", "Same")</f>
        <v>Changed</v>
      </c>
      <c r="Q82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28" spans="4:17" x14ac:dyDescent="0.2">
      <c r="D828" s="1">
        <v>46048</v>
      </c>
      <c r="E828" s="2">
        <v>0.79166666666666663</v>
      </c>
      <c r="F828" t="s">
        <v>15</v>
      </c>
      <c r="G828">
        <f>VLOOKUP(Table46[[#This Row],[Home]],'NHL Model'!$A$6:$B$38,2,FALSE)</f>
        <v>-0.30719665303039001</v>
      </c>
      <c r="H828" t="s">
        <v>21</v>
      </c>
      <c r="I828">
        <f>VLOOKUP(Table46[[#This Row],[Visitor]],'NHL Model'!$A$6:$B$38,2,FALSE)</f>
        <v>4.029141914856392E-2</v>
      </c>
      <c r="J828">
        <f>($B$1+Table46[[#This Row],[Home Differential]])-Table46[[#This Row],[Away Differential]]</f>
        <v>-0.18491576251663555</v>
      </c>
      <c r="K828" t="str">
        <f>IF(Table46[[#This Row],[HomeIce Differential]]&gt;0,Table46[[#This Row],[Home]],Table46[[#This Row],[Visitor]])</f>
        <v>Boston Bruins</v>
      </c>
      <c r="L82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0.48457881939469355</v>
      </c>
      <c r="M828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828" t="str">
        <f>IF(OR((NHL2025_26Results[[#This Row],[Winning Team]]="")),"-",IF(Table46[[#This Row],[Predicted Winner]]=NHL2025_26Results[[#This Row],[Winning Team]],"YES","NO"))</f>
        <v>-</v>
      </c>
      <c r="O828" t="str">
        <f>IF(OR((NHL2025_26Results[[#This Row],[Winning Team]]="")),"-",IF(Table46[[#This Row],[Prob Winner]]=NHL2025_26Results[[#This Row],[Winning Team]],"YES","NO"))</f>
        <v>-</v>
      </c>
      <c r="P828" t="str">
        <f>IF(Table46[[#This Row],[Locked Prediction]]&lt;&gt;Table46[[#This Row],[Prob Winner]], "Changed", "Same")</f>
        <v>Changed</v>
      </c>
      <c r="Q82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29" spans="4:17" x14ac:dyDescent="0.2">
      <c r="D829" s="1">
        <v>46048</v>
      </c>
      <c r="E829" s="2">
        <v>0.79166666666666663</v>
      </c>
      <c r="F829" t="s">
        <v>27</v>
      </c>
      <c r="G829">
        <f>VLOOKUP(Table46[[#This Row],[Home]],'NHL Model'!$A$6:$B$38,2,FALSE)</f>
        <v>-0.51358590497437617</v>
      </c>
      <c r="H829" t="s">
        <v>30</v>
      </c>
      <c r="I829">
        <f>VLOOKUP(Table46[[#This Row],[Visitor]],'NHL Model'!$A$6:$B$38,2,FALSE)</f>
        <v>-6.4729560818359025E-2</v>
      </c>
      <c r="J829">
        <f>($B$1+Table46[[#This Row],[Home Differential]])-Table46[[#This Row],[Away Differential]]</f>
        <v>-0.28628403449369877</v>
      </c>
      <c r="K829" t="str">
        <f>IF(Table46[[#This Row],[HomeIce Differential]]&gt;0,Table46[[#This Row],[Home]],Table46[[#This Row],[Visitor]])</f>
        <v>New York Islanders</v>
      </c>
      <c r="L82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0.5380525893717244</v>
      </c>
      <c r="M829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829" t="str">
        <f>IF(OR((NHL2025_26Results[[#This Row],[Winning Team]]="")),"-",IF(Table46[[#This Row],[Predicted Winner]]=NHL2025_26Results[[#This Row],[Winning Team]],"YES","NO"))</f>
        <v>-</v>
      </c>
      <c r="O829" t="str">
        <f>IF(OR((NHL2025_26Results[[#This Row],[Winning Team]]="")),"-",IF(Table46[[#This Row],[Prob Winner]]=NHL2025_26Results[[#This Row],[Winning Team]],"YES","NO"))</f>
        <v>-</v>
      </c>
      <c r="P829" t="str">
        <f>IF(Table46[[#This Row],[Locked Prediction]]&lt;&gt;Table46[[#This Row],[Prob Winner]], "Changed", "Same")</f>
        <v>Changed</v>
      </c>
      <c r="Q82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30" spans="4:17" x14ac:dyDescent="0.2">
      <c r="D830" s="1">
        <v>46048</v>
      </c>
      <c r="E830" s="2">
        <v>0.79166666666666663</v>
      </c>
      <c r="F830" t="s">
        <v>37</v>
      </c>
      <c r="G830">
        <f>VLOOKUP(Table46[[#This Row],[Home]],'NHL Model'!$A$6:$B$38,2,FALSE)</f>
        <v>-0.11309445867623392</v>
      </c>
      <c r="H830" t="s">
        <v>55</v>
      </c>
      <c r="I830">
        <f>VLOOKUP(Table46[[#This Row],[Visitor]],'NHL Model'!$A$6:$B$38,2,FALSE)</f>
        <v>-0.12212311954851815</v>
      </c>
      <c r="J830">
        <f>($B$1+Table46[[#This Row],[Home Differential]])-Table46[[#This Row],[Away Differential]]</f>
        <v>0.1716009705346026</v>
      </c>
      <c r="K830" t="str">
        <f>IF(Table46[[#This Row],[HomeIce Differential]]&gt;0,Table46[[#This Row],[Home]],Table46[[#This Row],[Visitor]])</f>
        <v>Tampa Bay Lightning</v>
      </c>
      <c r="L83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0.56280903047594277</v>
      </c>
      <c r="M830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830" t="str">
        <f>IF(OR((NHL2025_26Results[[#This Row],[Winning Team]]="")),"-",IF(Table46[[#This Row],[Predicted Winner]]=NHL2025_26Results[[#This Row],[Winning Team]],"YES","NO"))</f>
        <v>-</v>
      </c>
      <c r="O830" t="str">
        <f>IF(OR((NHL2025_26Results[[#This Row],[Winning Team]]="")),"-",IF(Table46[[#This Row],[Prob Winner]]=NHL2025_26Results[[#This Row],[Winning Team]],"YES","NO"))</f>
        <v>-</v>
      </c>
      <c r="P830" t="str">
        <f>IF(Table46[[#This Row],[Locked Prediction]]&lt;&gt;Table46[[#This Row],[Prob Winner]], "Changed", "Same")</f>
        <v>Changed</v>
      </c>
      <c r="Q83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31" spans="4:17" x14ac:dyDescent="0.2">
      <c r="D831" s="1">
        <v>46049</v>
      </c>
      <c r="E831" s="2">
        <v>0.79166666666666663</v>
      </c>
      <c r="F831" t="s">
        <v>21</v>
      </c>
      <c r="G831">
        <f>VLOOKUP(Table46[[#This Row],[Home]],'NHL Model'!$A$6:$B$38,2,FALSE)</f>
        <v>4.029141914856392E-2</v>
      </c>
      <c r="H831" t="s">
        <v>29</v>
      </c>
      <c r="I831">
        <f>VLOOKUP(Table46[[#This Row],[Visitor]],'NHL Model'!$A$6:$B$38,2,FALSE)</f>
        <v>-1.3516250707060606</v>
      </c>
      <c r="J831">
        <f>($B$1+Table46[[#This Row],[Home Differential]])-Table46[[#This Row],[Away Differential]]</f>
        <v>1.554488799516943</v>
      </c>
      <c r="K831" t="str">
        <f>IF(Table46[[#This Row],[HomeIce Differential]]&gt;0,Table46[[#This Row],[Home]],Table46[[#This Row],[Visitor]])</f>
        <v>Boston Bruins</v>
      </c>
      <c r="L83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0.81917853372593885</v>
      </c>
      <c r="M831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831" t="str">
        <f>IF(OR((NHL2025_26Results[[#This Row],[Winning Team]]="")),"-",IF(Table46[[#This Row],[Predicted Winner]]=NHL2025_26Results[[#This Row],[Winning Team]],"YES","NO"))</f>
        <v>-</v>
      </c>
      <c r="O831" t="str">
        <f>IF(OR((NHL2025_26Results[[#This Row],[Winning Team]]="")),"-",IF(Table46[[#This Row],[Prob Winner]]=NHL2025_26Results[[#This Row],[Winning Team]],"YES","NO"))</f>
        <v>-</v>
      </c>
      <c r="P831" t="str">
        <f>IF(Table46[[#This Row],[Locked Prediction]]&lt;&gt;Table46[[#This Row],[Prob Winner]], "Changed", "Same")</f>
        <v>Changed</v>
      </c>
      <c r="Q83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32" spans="4:17" x14ac:dyDescent="0.2">
      <c r="D832" s="1">
        <v>46049</v>
      </c>
      <c r="E832" s="2">
        <v>0.79166666666666663</v>
      </c>
      <c r="F832" t="s">
        <v>26</v>
      </c>
      <c r="G832">
        <f>VLOOKUP(Table46[[#This Row],[Home]],'NHL Model'!$A$6:$B$38,2,FALSE)</f>
        <v>-0.513643833119658</v>
      </c>
      <c r="H832" t="s">
        <v>13</v>
      </c>
      <c r="I832">
        <f>VLOOKUP(Table46[[#This Row],[Visitor]],'NHL Model'!$A$6:$B$38,2,FALSE)</f>
        <v>-7.5459708298993802E-2</v>
      </c>
      <c r="J832">
        <f>($B$1+Table46[[#This Row],[Home Differential]])-Table46[[#This Row],[Away Differential]]</f>
        <v>-0.27561181515834582</v>
      </c>
      <c r="K832" t="str">
        <f>IF(Table46[[#This Row],[HomeIce Differential]]&gt;0,Table46[[#This Row],[Home]],Table46[[#This Row],[Visitor]])</f>
        <v>Los Angeles Kings</v>
      </c>
      <c r="L83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0.59218960413868371</v>
      </c>
      <c r="M832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832" t="str">
        <f>IF(OR((NHL2025_26Results[[#This Row],[Winning Team]]="")),"-",IF(Table46[[#This Row],[Predicted Winner]]=NHL2025_26Results[[#This Row],[Winning Team]],"YES","NO"))</f>
        <v>-</v>
      </c>
      <c r="O832" t="str">
        <f>IF(OR((NHL2025_26Results[[#This Row],[Winning Team]]="")),"-",IF(Table46[[#This Row],[Prob Winner]]=NHL2025_26Results[[#This Row],[Winning Team]],"YES","NO"))</f>
        <v>-</v>
      </c>
      <c r="P832" t="str">
        <f>IF(Table46[[#This Row],[Locked Prediction]]&lt;&gt;Table46[[#This Row],[Prob Winner]], "Changed", "Same")</f>
        <v>Changed</v>
      </c>
      <c r="Q83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33" spans="4:17" x14ac:dyDescent="0.2">
      <c r="D833" s="1">
        <v>46049</v>
      </c>
      <c r="E833" s="2">
        <v>0.79166666666666663</v>
      </c>
      <c r="F833" t="s">
        <v>11</v>
      </c>
      <c r="G833">
        <f>VLOOKUP(Table46[[#This Row],[Home]],'NHL Model'!$A$6:$B$38,2,FALSE)</f>
        <v>-0.28105923893144158</v>
      </c>
      <c r="H833" t="s">
        <v>55</v>
      </c>
      <c r="I833">
        <f>VLOOKUP(Table46[[#This Row],[Visitor]],'NHL Model'!$A$6:$B$38,2,FALSE)</f>
        <v>-0.12212311954851815</v>
      </c>
      <c r="J833">
        <f>($B$1+Table46[[#This Row],[Home Differential]])-Table46[[#This Row],[Away Differential]]</f>
        <v>3.636190279394963E-3</v>
      </c>
      <c r="K833" t="str">
        <f>IF(Table46[[#This Row],[HomeIce Differential]]&gt;0,Table46[[#This Row],[Home]],Table46[[#This Row],[Visitor]])</f>
        <v>Florida Panthers</v>
      </c>
      <c r="L83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0.59219929512985403</v>
      </c>
      <c r="M833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833" t="str">
        <f>IF(OR((NHL2025_26Results[[#This Row],[Winning Team]]="")),"-",IF(Table46[[#This Row],[Predicted Winner]]=NHL2025_26Results[[#This Row],[Winning Team]],"YES","NO"))</f>
        <v>-</v>
      </c>
      <c r="O833" t="str">
        <f>IF(OR((NHL2025_26Results[[#This Row],[Winning Team]]="")),"-",IF(Table46[[#This Row],[Prob Winner]]=NHL2025_26Results[[#This Row],[Winning Team]],"YES","NO"))</f>
        <v>-</v>
      </c>
      <c r="P833" t="str">
        <f>IF(Table46[[#This Row],[Locked Prediction]]&lt;&gt;Table46[[#This Row],[Prob Winner]], "Changed", "Same")</f>
        <v>Changed</v>
      </c>
      <c r="Q83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34" spans="4:17" x14ac:dyDescent="0.2">
      <c r="D834" s="1">
        <v>46049</v>
      </c>
      <c r="E834" s="2">
        <v>0.83333333333333337</v>
      </c>
      <c r="F834" t="s">
        <v>34</v>
      </c>
      <c r="G834">
        <f>VLOOKUP(Table46[[#This Row],[Home]],'NHL Model'!$A$6:$B$38,2,FALSE)</f>
        <v>-0.53650300840565446</v>
      </c>
      <c r="H834" t="s">
        <v>10</v>
      </c>
      <c r="I834">
        <f>VLOOKUP(Table46[[#This Row],[Visitor]],'NHL Model'!$A$6:$B$38,2,FALSE)</f>
        <v>0.30570968833820172</v>
      </c>
      <c r="J834">
        <f>($B$1+Table46[[#This Row],[Home Differential]])-Table46[[#This Row],[Away Differential]]</f>
        <v>-0.67964038708153773</v>
      </c>
      <c r="K834" t="str">
        <f>IF(Table46[[#This Row],[HomeIce Differential]]&gt;0,Table46[[#This Row],[Home]],Table46[[#This Row],[Visitor]])</f>
        <v>Chicago Blackhawks</v>
      </c>
      <c r="L83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0.5711063556312278</v>
      </c>
      <c r="M834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834" t="str">
        <f>IF(OR((NHL2025_26Results[[#This Row],[Winning Team]]="")),"-",IF(Table46[[#This Row],[Predicted Winner]]=NHL2025_26Results[[#This Row],[Winning Team]],"YES","NO"))</f>
        <v>-</v>
      </c>
      <c r="O834" t="str">
        <f>IF(OR((NHL2025_26Results[[#This Row],[Winning Team]]="")),"-",IF(Table46[[#This Row],[Prob Winner]]=NHL2025_26Results[[#This Row],[Winning Team]],"YES","NO"))</f>
        <v>-</v>
      </c>
      <c r="P834" t="str">
        <f>IF(Table46[[#This Row],[Locked Prediction]]&lt;&gt;Table46[[#This Row],[Prob Winner]], "Changed", "Same")</f>
        <v>Changed</v>
      </c>
      <c r="Q83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35" spans="4:17" x14ac:dyDescent="0.2">
      <c r="D835" s="1">
        <v>46049</v>
      </c>
      <c r="E835" s="2">
        <v>0.79166666666666663</v>
      </c>
      <c r="F835" t="s">
        <v>18</v>
      </c>
      <c r="G835">
        <f>VLOOKUP(Table46[[#This Row],[Home]],'NHL Model'!$A$6:$B$38,2,FALSE)</f>
        <v>-0.52437726201848234</v>
      </c>
      <c r="H835" t="s">
        <v>20</v>
      </c>
      <c r="I835">
        <f>VLOOKUP(Table46[[#This Row],[Visitor]],'NHL Model'!$A$6:$B$38,2,FALSE)</f>
        <v>-6.3745791019188943E-4</v>
      </c>
      <c r="J835">
        <f>($B$1+Table46[[#This Row],[Home Differential]])-Table46[[#This Row],[Away Differential]]</f>
        <v>-0.36116749444597207</v>
      </c>
      <c r="K835" t="str">
        <f>IF(Table46[[#This Row],[HomeIce Differential]]&gt;0,Table46[[#This Row],[Home]],Table46[[#This Row],[Visitor]])</f>
        <v>Vegas Golden Knights</v>
      </c>
      <c r="L83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0.52877525522278657</v>
      </c>
      <c r="M835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835" t="str">
        <f>IF(OR((NHL2025_26Results[[#This Row],[Winning Team]]="")),"-",IF(Table46[[#This Row],[Predicted Winner]]=NHL2025_26Results[[#This Row],[Winning Team]],"YES","NO"))</f>
        <v>-</v>
      </c>
      <c r="O835" t="str">
        <f>IF(OR((NHL2025_26Results[[#This Row],[Winning Team]]="")),"-",IF(Table46[[#This Row],[Prob Winner]]=NHL2025_26Results[[#This Row],[Winning Team]],"YES","NO"))</f>
        <v>-</v>
      </c>
      <c r="P835" t="str">
        <f>IF(Table46[[#This Row],[Locked Prediction]]&lt;&gt;Table46[[#This Row],[Prob Winner]], "Changed", "Same")</f>
        <v>Changed</v>
      </c>
      <c r="Q83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36" spans="4:17" x14ac:dyDescent="0.2">
      <c r="D836" s="1">
        <v>46049</v>
      </c>
      <c r="E836" s="2">
        <v>0.79166666666666663</v>
      </c>
      <c r="F836" t="s">
        <v>24</v>
      </c>
      <c r="G836">
        <f>VLOOKUP(Table46[[#This Row],[Home]],'NHL Model'!$A$6:$B$38,2,FALSE)</f>
        <v>0.559441163373953</v>
      </c>
      <c r="H836" t="s">
        <v>40</v>
      </c>
      <c r="I836">
        <f>VLOOKUP(Table46[[#This Row],[Visitor]],'NHL Model'!$A$6:$B$38,2,FALSE)</f>
        <v>0.105105258369765</v>
      </c>
      <c r="J836">
        <f>($B$1+Table46[[#This Row],[Home Differential]])-Table46[[#This Row],[Away Differential]]</f>
        <v>0.61690821466650636</v>
      </c>
      <c r="K836" t="str">
        <f>IF(Table46[[#This Row],[HomeIce Differential]]&gt;0,Table46[[#This Row],[Home]],Table46[[#This Row],[Visitor]])</f>
        <v>New Jersey Devils</v>
      </c>
      <c r="L83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0.67521916582739183</v>
      </c>
      <c r="M836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836" t="str">
        <f>IF(OR((NHL2025_26Results[[#This Row],[Winning Team]]="")),"-",IF(Table46[[#This Row],[Predicted Winner]]=NHL2025_26Results[[#This Row],[Winning Team]],"YES","NO"))</f>
        <v>-</v>
      </c>
      <c r="O836" t="str">
        <f>IF(OR((NHL2025_26Results[[#This Row],[Winning Team]]="")),"-",IF(Table46[[#This Row],[Prob Winner]]=NHL2025_26Results[[#This Row],[Winning Team]],"YES","NO"))</f>
        <v>-</v>
      </c>
      <c r="P836" t="str">
        <f>IF(Table46[[#This Row],[Locked Prediction]]&lt;&gt;Table46[[#This Row],[Prob Winner]], "Changed", "Same")</f>
        <v>Changed</v>
      </c>
      <c r="Q83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37" spans="4:17" x14ac:dyDescent="0.2">
      <c r="D837" s="1">
        <v>46049</v>
      </c>
      <c r="E837" s="2">
        <v>0.91666666666666663</v>
      </c>
      <c r="F837" t="s">
        <v>32</v>
      </c>
      <c r="G837">
        <f>VLOOKUP(Table46[[#This Row],[Home]],'NHL Model'!$A$6:$B$38,2,FALSE)</f>
        <v>-0.361361309178443</v>
      </c>
      <c r="H837" t="s">
        <v>22</v>
      </c>
      <c r="I837">
        <f>VLOOKUP(Table46[[#This Row],[Visitor]],'NHL Model'!$A$6:$B$38,2,FALSE)</f>
        <v>-6.1308839486784707E-2</v>
      </c>
      <c r="J837">
        <f>($B$1+Table46[[#This Row],[Home Differential]])-Table46[[#This Row],[Away Differential]]</f>
        <v>-0.13748016002933991</v>
      </c>
      <c r="K837" t="str">
        <f>IF(Table46[[#This Row],[HomeIce Differential]]&gt;0,Table46[[#This Row],[Home]],Table46[[#This Row],[Visitor]])</f>
        <v>Washington Capitals</v>
      </c>
      <c r="L83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0.45223599040189355</v>
      </c>
      <c r="M837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837" t="str">
        <f>IF(OR((NHL2025_26Results[[#This Row],[Winning Team]]="")),"-",IF(Table46[[#This Row],[Predicted Winner]]=NHL2025_26Results[[#This Row],[Winning Team]],"YES","NO"))</f>
        <v>-</v>
      </c>
      <c r="O837" t="str">
        <f>IF(OR((NHL2025_26Results[[#This Row],[Winning Team]]="")),"-",IF(Table46[[#This Row],[Prob Winner]]=NHL2025_26Results[[#This Row],[Winning Team]],"YES","NO"))</f>
        <v>-</v>
      </c>
      <c r="P837" t="str">
        <f>IF(Table46[[#This Row],[Locked Prediction]]&lt;&gt;Table46[[#This Row],[Prob Winner]], "Changed", "Same")</f>
        <v>Changed</v>
      </c>
      <c r="Q83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38" spans="4:17" x14ac:dyDescent="0.2">
      <c r="D838" s="1">
        <v>46049</v>
      </c>
      <c r="E838" s="2">
        <v>0.83333333333333337</v>
      </c>
      <c r="F838" t="s">
        <v>35</v>
      </c>
      <c r="G838">
        <f>VLOOKUP(Table46[[#This Row],[Home]],'NHL Model'!$A$6:$B$38,2,FALSE)</f>
        <v>-1.6211574240381006</v>
      </c>
      <c r="H838" t="s">
        <v>39</v>
      </c>
      <c r="I838">
        <f>VLOOKUP(Table46[[#This Row],[Visitor]],'NHL Model'!$A$6:$B$38,2,FALSE)</f>
        <v>0.19809534061227302</v>
      </c>
      <c r="J838">
        <f>($B$1+Table46[[#This Row],[Home Differential]])-Table46[[#This Row],[Away Differential]]</f>
        <v>-1.6566804549880552</v>
      </c>
      <c r="K838" t="str">
        <f>IF(Table46[[#This Row],[HomeIce Differential]]&gt;0,Table46[[#This Row],[Home]],Table46[[#This Row],[Visitor]])</f>
        <v>Dallas Stars</v>
      </c>
      <c r="L83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0.77269050760526414</v>
      </c>
      <c r="M838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838" t="str">
        <f>IF(OR((NHL2025_26Results[[#This Row],[Winning Team]]="")),"-",IF(Table46[[#This Row],[Predicted Winner]]=NHL2025_26Results[[#This Row],[Winning Team]],"YES","NO"))</f>
        <v>-</v>
      </c>
      <c r="O838" t="str">
        <f>IF(OR((NHL2025_26Results[[#This Row],[Winning Team]]="")),"-",IF(Table46[[#This Row],[Prob Winner]]=NHL2025_26Results[[#This Row],[Winning Team]],"YES","NO"))</f>
        <v>-</v>
      </c>
      <c r="P838" t="str">
        <f>IF(Table46[[#This Row],[Locked Prediction]]&lt;&gt;Table46[[#This Row],[Prob Winner]], "Changed", "Same")</f>
        <v>Changed</v>
      </c>
      <c r="Q83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39" spans="4:17" x14ac:dyDescent="0.2">
      <c r="D839" s="1">
        <v>46049</v>
      </c>
      <c r="E839" s="2">
        <v>0.79166666666666663</v>
      </c>
      <c r="F839" t="s">
        <v>19</v>
      </c>
      <c r="G839">
        <f>VLOOKUP(Table46[[#This Row],[Home]],'NHL Model'!$A$6:$B$38,2,FALSE)</f>
        <v>-0.635565543477981</v>
      </c>
      <c r="H839" t="s">
        <v>23</v>
      </c>
      <c r="I839">
        <f>VLOOKUP(Table46[[#This Row],[Visitor]],'NHL Model'!$A$6:$B$38,2,FALSE)</f>
        <v>-0.8683412362501769</v>
      </c>
      <c r="J839">
        <f>($B$1+Table46[[#This Row],[Home Differential]])-Table46[[#This Row],[Away Differential]]</f>
        <v>0.39534800243451429</v>
      </c>
      <c r="K839" t="str">
        <f>IF(Table46[[#This Row],[HomeIce Differential]]&gt;0,Table46[[#This Row],[Home]],Table46[[#This Row],[Visitor]])</f>
        <v>Toronto Maple Leafs</v>
      </c>
      <c r="L83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0.59254926360870186</v>
      </c>
      <c r="M839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839" t="str">
        <f>IF(OR((NHL2025_26Results[[#This Row],[Winning Team]]="")),"-",IF(Table46[[#This Row],[Predicted Winner]]=NHL2025_26Results[[#This Row],[Winning Team]],"YES","NO"))</f>
        <v>-</v>
      </c>
      <c r="O839" t="str">
        <f>IF(OR((NHL2025_26Results[[#This Row],[Winning Team]]="")),"-",IF(Table46[[#This Row],[Prob Winner]]=NHL2025_26Results[[#This Row],[Winning Team]],"YES","NO"))</f>
        <v>-</v>
      </c>
      <c r="P839" t="str">
        <f>IF(Table46[[#This Row],[Locked Prediction]]&lt;&gt;Table46[[#This Row],[Prob Winner]], "Changed", "Same")</f>
        <v>Changed</v>
      </c>
      <c r="Q83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40" spans="4:17" x14ac:dyDescent="0.2">
      <c r="D840" s="1">
        <v>46049</v>
      </c>
      <c r="E840" s="2">
        <v>0.91666666666666663</v>
      </c>
      <c r="F840" t="s">
        <v>38</v>
      </c>
      <c r="G840">
        <f>VLOOKUP(Table46[[#This Row],[Home]],'NHL Model'!$A$6:$B$38,2,FALSE)</f>
        <v>-0.6902088310934803</v>
      </c>
      <c r="H840" t="s">
        <v>33</v>
      </c>
      <c r="I840">
        <f>VLOOKUP(Table46[[#This Row],[Visitor]],'NHL Model'!$A$6:$B$38,2,FALSE)</f>
        <v>-0.39418177254008485</v>
      </c>
      <c r="J840">
        <f>($B$1+Table46[[#This Row],[Home Differential]])-Table46[[#This Row],[Away Differential]]</f>
        <v>-0.13345474889107706</v>
      </c>
      <c r="K840" t="str">
        <f>IF(Table46[[#This Row],[HomeIce Differential]]&gt;0,Table46[[#This Row],[Home]],Table46[[#This Row],[Visitor]])</f>
        <v>San Jose Sharks</v>
      </c>
      <c r="L84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0.47773867260268238</v>
      </c>
      <c r="M840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840" t="str">
        <f>IF(OR((NHL2025_26Results[[#This Row],[Winning Team]]="")),"-",IF(Table46[[#This Row],[Predicted Winner]]=NHL2025_26Results[[#This Row],[Winning Team]],"YES","NO"))</f>
        <v>-</v>
      </c>
      <c r="O840" t="str">
        <f>IF(OR((NHL2025_26Results[[#This Row],[Winning Team]]="")),"-",IF(Table46[[#This Row],[Prob Winner]]=NHL2025_26Results[[#This Row],[Winning Team]],"YES","NO"))</f>
        <v>-</v>
      </c>
      <c r="P840" t="str">
        <f>IF(Table46[[#This Row],[Locked Prediction]]&lt;&gt;Table46[[#This Row],[Prob Winner]], "Changed", "Same")</f>
        <v>Changed</v>
      </c>
      <c r="Q84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41" spans="4:17" x14ac:dyDescent="0.2">
      <c r="D841" s="1">
        <v>46050</v>
      </c>
      <c r="E841" s="2">
        <v>0.79166666666666663</v>
      </c>
      <c r="F841" t="s">
        <v>28</v>
      </c>
      <c r="G841">
        <f>VLOOKUP(Table46[[#This Row],[Home]],'NHL Model'!$A$6:$B$38,2,FALSE)</f>
        <v>-0.40822279081308277</v>
      </c>
      <c r="H841" t="s">
        <v>27</v>
      </c>
      <c r="I841">
        <f>VLOOKUP(Table46[[#This Row],[Visitor]],'NHL Model'!$A$6:$B$38,2,FALSE)</f>
        <v>-0.51358590497437617</v>
      </c>
      <c r="J841">
        <f>($B$1+Table46[[#This Row],[Home Differential]])-Table46[[#This Row],[Away Differential]]</f>
        <v>0.2679354238236118</v>
      </c>
      <c r="K841" t="str">
        <f>IF(Table46[[#This Row],[HomeIce Differential]]&gt;0,Table46[[#This Row],[Home]],Table46[[#This Row],[Visitor]])</f>
        <v>Columbus Blue Jackets</v>
      </c>
      <c r="L84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0.57561371027528696</v>
      </c>
      <c r="M841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841" t="str">
        <f>IF(OR((NHL2025_26Results[[#This Row],[Winning Team]]="")),"-",IF(Table46[[#This Row],[Predicted Winner]]=NHL2025_26Results[[#This Row],[Winning Team]],"YES","NO"))</f>
        <v>-</v>
      </c>
      <c r="O841" t="str">
        <f>IF(OR((NHL2025_26Results[[#This Row],[Winning Team]]="")),"-",IF(Table46[[#This Row],[Prob Winner]]=NHL2025_26Results[[#This Row],[Winning Team]],"YES","NO"))</f>
        <v>-</v>
      </c>
      <c r="P841" t="str">
        <f>IF(Table46[[#This Row],[Locked Prediction]]&lt;&gt;Table46[[#This Row],[Prob Winner]], "Changed", "Same")</f>
        <v>Changed</v>
      </c>
      <c r="Q84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42" spans="4:17" x14ac:dyDescent="0.2">
      <c r="D842" s="1">
        <v>46050</v>
      </c>
      <c r="E842" s="2">
        <v>0.8125</v>
      </c>
      <c r="F842" t="s">
        <v>30</v>
      </c>
      <c r="G842">
        <f>VLOOKUP(Table46[[#This Row],[Home]],'NHL Model'!$A$6:$B$38,2,FALSE)</f>
        <v>-6.4729560818359025E-2</v>
      </c>
      <c r="H842" t="s">
        <v>15</v>
      </c>
      <c r="I842">
        <f>VLOOKUP(Table46[[#This Row],[Visitor]],'NHL Model'!$A$6:$B$38,2,FALSE)</f>
        <v>-0.30719665303039001</v>
      </c>
      <c r="J842">
        <f>($B$1+Table46[[#This Row],[Home Differential]])-Table46[[#This Row],[Away Differential]]</f>
        <v>0.40503940187434939</v>
      </c>
      <c r="K842" t="str">
        <f>IF(Table46[[#This Row],[HomeIce Differential]]&gt;0,Table46[[#This Row],[Home]],Table46[[#This Row],[Visitor]])</f>
        <v>New York Islanders</v>
      </c>
      <c r="L84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0.4514277962372531</v>
      </c>
      <c r="M842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842" t="str">
        <f>IF(OR((NHL2025_26Results[[#This Row],[Winning Team]]="")),"-",IF(Table46[[#This Row],[Predicted Winner]]=NHL2025_26Results[[#This Row],[Winning Team]],"YES","NO"))</f>
        <v>-</v>
      </c>
      <c r="O842" t="str">
        <f>IF(OR((NHL2025_26Results[[#This Row],[Winning Team]]="")),"-",IF(Table46[[#This Row],[Prob Winner]]=NHL2025_26Results[[#This Row],[Winning Team]],"YES","NO"))</f>
        <v>-</v>
      </c>
      <c r="P842" t="str">
        <f>IF(Table46[[#This Row],[Locked Prediction]]&lt;&gt;Table46[[#This Row],[Prob Winner]], "Changed", "Same")</f>
        <v>Changed</v>
      </c>
      <c r="Q84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43" spans="4:17" x14ac:dyDescent="0.2">
      <c r="D843" s="1">
        <v>46050</v>
      </c>
      <c r="E843" s="2">
        <v>0.8125</v>
      </c>
      <c r="F843" t="s">
        <v>36</v>
      </c>
      <c r="G843">
        <f>VLOOKUP(Table46[[#This Row],[Home]],'NHL Model'!$A$6:$B$38,2,FALSE)</f>
        <v>-0.40651947573390851</v>
      </c>
      <c r="H843" t="s">
        <v>12</v>
      </c>
      <c r="I843">
        <f>VLOOKUP(Table46[[#This Row],[Visitor]],'NHL Model'!$A$6:$B$38,2,FALSE)</f>
        <v>1.5475013591489768</v>
      </c>
      <c r="J843">
        <f>($B$1+Table46[[#This Row],[Home Differential]])-Table46[[#This Row],[Away Differential]]</f>
        <v>-1.791448525220567</v>
      </c>
      <c r="K843" t="str">
        <f>IF(Table46[[#This Row],[HomeIce Differential]]&gt;0,Table46[[#This Row],[Home]],Table46[[#This Row],[Visitor]])</f>
        <v>Colorado Avalanche</v>
      </c>
      <c r="L84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0.76192708153976407</v>
      </c>
      <c r="M843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843" t="str">
        <f>IF(OR((NHL2025_26Results[[#This Row],[Winning Team]]="")),"-",IF(Table46[[#This Row],[Predicted Winner]]=NHL2025_26Results[[#This Row],[Winning Team]],"YES","NO"))</f>
        <v>-</v>
      </c>
      <c r="O843" t="str">
        <f>IF(OR((NHL2025_26Results[[#This Row],[Winning Team]]="")),"-",IF(Table46[[#This Row],[Prob Winner]]=NHL2025_26Results[[#This Row],[Winning Team]],"YES","NO"))</f>
        <v>-</v>
      </c>
      <c r="P843" t="str">
        <f>IF(Table46[[#This Row],[Locked Prediction]]&lt;&gt;Table46[[#This Row],[Prob Winner]], "Changed", "Same")</f>
        <v>Changed</v>
      </c>
      <c r="Q84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44" spans="4:17" x14ac:dyDescent="0.2">
      <c r="D844" s="1">
        <v>46051</v>
      </c>
      <c r="E844" s="2">
        <v>0.79166666666666663</v>
      </c>
      <c r="F844" t="s">
        <v>21</v>
      </c>
      <c r="G844">
        <f>VLOOKUP(Table46[[#This Row],[Home]],'NHL Model'!$A$6:$B$38,2,FALSE)</f>
        <v>4.029141914856392E-2</v>
      </c>
      <c r="H844" t="s">
        <v>27</v>
      </c>
      <c r="I844">
        <f>VLOOKUP(Table46[[#This Row],[Visitor]],'NHL Model'!$A$6:$B$38,2,FALSE)</f>
        <v>-0.51358590497437617</v>
      </c>
      <c r="J844">
        <f>($B$1+Table46[[#This Row],[Home Differential]])-Table46[[#This Row],[Away Differential]]</f>
        <v>0.7164496337852585</v>
      </c>
      <c r="K844" t="str">
        <f>IF(Table46[[#This Row],[HomeIce Differential]]&gt;0,Table46[[#This Row],[Home]],Table46[[#This Row],[Visitor]])</f>
        <v>Boston Bruins</v>
      </c>
      <c r="L84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0.70778720061367562</v>
      </c>
      <c r="M844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844" t="str">
        <f>IF(OR((NHL2025_26Results[[#This Row],[Winning Team]]="")),"-",IF(Table46[[#This Row],[Predicted Winner]]=NHL2025_26Results[[#This Row],[Winning Team]],"YES","NO"))</f>
        <v>-</v>
      </c>
      <c r="O844" t="str">
        <f>IF(OR((NHL2025_26Results[[#This Row],[Winning Team]]="")),"-",IF(Table46[[#This Row],[Prob Winner]]=NHL2025_26Results[[#This Row],[Winning Team]],"YES","NO"))</f>
        <v>-</v>
      </c>
      <c r="P844" t="str">
        <f>IF(Table46[[#This Row],[Locked Prediction]]&lt;&gt;Table46[[#This Row],[Prob Winner]], "Changed", "Same")</f>
        <v>Changed</v>
      </c>
      <c r="Q84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45" spans="4:17" x14ac:dyDescent="0.2">
      <c r="D845" s="1">
        <v>46051</v>
      </c>
      <c r="E845" s="2">
        <v>0.79166666666666663</v>
      </c>
      <c r="F845" t="s">
        <v>23</v>
      </c>
      <c r="G845">
        <f>VLOOKUP(Table46[[#This Row],[Home]],'NHL Model'!$A$6:$B$38,2,FALSE)</f>
        <v>-0.8683412362501769</v>
      </c>
      <c r="H845" t="s">
        <v>13</v>
      </c>
      <c r="I845">
        <f>VLOOKUP(Table46[[#This Row],[Visitor]],'NHL Model'!$A$6:$B$38,2,FALSE)</f>
        <v>-7.5459708298993802E-2</v>
      </c>
      <c r="J845">
        <f>($B$1+Table46[[#This Row],[Home Differential]])-Table46[[#This Row],[Away Differential]]</f>
        <v>-0.63030921828886466</v>
      </c>
      <c r="K845" t="str">
        <f>IF(Table46[[#This Row],[HomeIce Differential]]&gt;0,Table46[[#This Row],[Home]],Table46[[#This Row],[Visitor]])</f>
        <v>Los Angeles Kings</v>
      </c>
      <c r="L84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0.66517542376586081</v>
      </c>
      <c r="M845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845" t="str">
        <f>IF(OR((NHL2025_26Results[[#This Row],[Winning Team]]="")),"-",IF(Table46[[#This Row],[Predicted Winner]]=NHL2025_26Results[[#This Row],[Winning Team]],"YES","NO"))</f>
        <v>-</v>
      </c>
      <c r="O845" t="str">
        <f>IF(OR((NHL2025_26Results[[#This Row],[Winning Team]]="")),"-",IF(Table46[[#This Row],[Prob Winner]]=NHL2025_26Results[[#This Row],[Winning Team]],"YES","NO"))</f>
        <v>-</v>
      </c>
      <c r="P845" t="str">
        <f>IF(Table46[[#This Row],[Locked Prediction]]&lt;&gt;Table46[[#This Row],[Prob Winner]], "Changed", "Same")</f>
        <v>Changed</v>
      </c>
      <c r="Q84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46" spans="4:17" x14ac:dyDescent="0.2">
      <c r="D846" s="1">
        <v>46051</v>
      </c>
      <c r="E846" s="2">
        <v>0.79166666666666663</v>
      </c>
      <c r="F846" t="s">
        <v>25</v>
      </c>
      <c r="G846">
        <f>VLOOKUP(Table46[[#This Row],[Home]],'NHL Model'!$A$6:$B$38,2,FALSE)</f>
        <v>0.67193921242367816</v>
      </c>
      <c r="H846" t="s">
        <v>55</v>
      </c>
      <c r="I846">
        <f>VLOOKUP(Table46[[#This Row],[Visitor]],'NHL Model'!$A$6:$B$38,2,FALSE)</f>
        <v>-0.12212311954851815</v>
      </c>
      <c r="J846">
        <f>($B$1+Table46[[#This Row],[Home Differential]])-Table46[[#This Row],[Away Differential]]</f>
        <v>0.95663464163451473</v>
      </c>
      <c r="K846" t="str">
        <f>IF(Table46[[#This Row],[HomeIce Differential]]&gt;0,Table46[[#This Row],[Home]],Table46[[#This Row],[Visitor]])</f>
        <v>Carolina Hurricanes</v>
      </c>
      <c r="L84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0.7188709022470291</v>
      </c>
      <c r="M846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846" t="str">
        <f>IF(OR((NHL2025_26Results[[#This Row],[Winning Team]]="")),"-",IF(Table46[[#This Row],[Predicted Winner]]=NHL2025_26Results[[#This Row],[Winning Team]],"YES","NO"))</f>
        <v>-</v>
      </c>
      <c r="O846" t="str">
        <f>IF(OR((NHL2025_26Results[[#This Row],[Winning Team]]="")),"-",IF(Table46[[#This Row],[Prob Winner]]=NHL2025_26Results[[#This Row],[Winning Team]],"YES","NO"))</f>
        <v>-</v>
      </c>
      <c r="P846" t="str">
        <f>IF(Table46[[#This Row],[Locked Prediction]]&lt;&gt;Table46[[#This Row],[Prob Winner]], "Changed", "Same")</f>
        <v>Changed</v>
      </c>
      <c r="Q84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47" spans="4:17" x14ac:dyDescent="0.2">
      <c r="D847" s="1">
        <v>46051</v>
      </c>
      <c r="E847" s="2">
        <v>0.8125</v>
      </c>
      <c r="F847" t="s">
        <v>26</v>
      </c>
      <c r="G847">
        <f>VLOOKUP(Table46[[#This Row],[Home]],'NHL Model'!$A$6:$B$38,2,FALSE)</f>
        <v>-0.513643833119658</v>
      </c>
      <c r="H847" t="s">
        <v>22</v>
      </c>
      <c r="I847">
        <f>VLOOKUP(Table46[[#This Row],[Visitor]],'NHL Model'!$A$6:$B$38,2,FALSE)</f>
        <v>-6.1308839486784707E-2</v>
      </c>
      <c r="J847">
        <f>($B$1+Table46[[#This Row],[Home Differential]])-Table46[[#This Row],[Away Differential]]</f>
        <v>-0.28976268397055488</v>
      </c>
      <c r="K847" t="str">
        <f>IF(Table46[[#This Row],[HomeIce Differential]]&gt;0,Table46[[#This Row],[Home]],Table46[[#This Row],[Visitor]])</f>
        <v>Washington Capitals</v>
      </c>
      <c r="L84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0.47247723215424275</v>
      </c>
      <c r="M847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847" t="str">
        <f>IF(OR((NHL2025_26Results[[#This Row],[Winning Team]]="")),"-",IF(Table46[[#This Row],[Predicted Winner]]=NHL2025_26Results[[#This Row],[Winning Team]],"YES","NO"))</f>
        <v>-</v>
      </c>
      <c r="O847" t="str">
        <f>IF(OR((NHL2025_26Results[[#This Row],[Winning Team]]="")),"-",IF(Table46[[#This Row],[Prob Winner]]=NHL2025_26Results[[#This Row],[Winning Team]],"YES","NO"))</f>
        <v>-</v>
      </c>
      <c r="P847" t="str">
        <f>IF(Table46[[#This Row],[Locked Prediction]]&lt;&gt;Table46[[#This Row],[Prob Winner]], "Changed", "Same")</f>
        <v>Changed</v>
      </c>
      <c r="Q84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48" spans="4:17" x14ac:dyDescent="0.2">
      <c r="D848" s="1">
        <v>46051</v>
      </c>
      <c r="E848" s="2">
        <v>0.875</v>
      </c>
      <c r="F848" t="s">
        <v>17</v>
      </c>
      <c r="G848">
        <f>VLOOKUP(Table46[[#This Row],[Home]],'NHL Model'!$A$6:$B$38,2,FALSE)</f>
        <v>-0.61980804137564283</v>
      </c>
      <c r="H848" t="s">
        <v>33</v>
      </c>
      <c r="I848">
        <f>VLOOKUP(Table46[[#This Row],[Visitor]],'NHL Model'!$A$6:$B$38,2,FALSE)</f>
        <v>-0.39418177254008485</v>
      </c>
      <c r="J848">
        <f>($B$1+Table46[[#This Row],[Home Differential]])-Table46[[#This Row],[Away Differential]]</f>
        <v>-6.3053959173239582E-2</v>
      </c>
      <c r="K848" t="str">
        <f>IF(Table46[[#This Row],[HomeIce Differential]]&gt;0,Table46[[#This Row],[Home]],Table46[[#This Row],[Visitor]])</f>
        <v>San Jose Sharks</v>
      </c>
      <c r="L84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0.43234420323433637</v>
      </c>
      <c r="M848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848" t="str">
        <f>IF(OR((NHL2025_26Results[[#This Row],[Winning Team]]="")),"-",IF(Table46[[#This Row],[Predicted Winner]]=NHL2025_26Results[[#This Row],[Winning Team]],"YES","NO"))</f>
        <v>-</v>
      </c>
      <c r="O848" t="str">
        <f>IF(OR((NHL2025_26Results[[#This Row],[Winning Team]]="")),"-",IF(Table46[[#This Row],[Prob Winner]]=NHL2025_26Results[[#This Row],[Winning Team]],"YES","NO"))</f>
        <v>-</v>
      </c>
      <c r="P848" t="str">
        <f>IF(Table46[[#This Row],[Locked Prediction]]&lt;&gt;Table46[[#This Row],[Prob Winner]], "Changed", "Same")</f>
        <v>Changed</v>
      </c>
      <c r="Q84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49" spans="4:17" x14ac:dyDescent="0.2">
      <c r="D849" s="1">
        <v>46051</v>
      </c>
      <c r="E849" s="2">
        <v>0.83333333333333337</v>
      </c>
      <c r="F849" t="s">
        <v>34</v>
      </c>
      <c r="G849">
        <f>VLOOKUP(Table46[[#This Row],[Home]],'NHL Model'!$A$6:$B$38,2,FALSE)</f>
        <v>-0.53650300840565446</v>
      </c>
      <c r="H849" t="s">
        <v>16</v>
      </c>
      <c r="I849">
        <f>VLOOKUP(Table46[[#This Row],[Visitor]],'NHL Model'!$A$6:$B$38,2,FALSE)</f>
        <v>-1.3903684122795328</v>
      </c>
      <c r="J849">
        <f>($B$1+Table46[[#This Row],[Home Differential]])-Table46[[#This Row],[Away Differential]]</f>
        <v>1.0164377135361966</v>
      </c>
      <c r="K849" t="str">
        <f>IF(Table46[[#This Row],[HomeIce Differential]]&gt;0,Table46[[#This Row],[Home]],Table46[[#This Row],[Visitor]])</f>
        <v>Minnesota Wild</v>
      </c>
      <c r="L84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0.67510389080386735</v>
      </c>
      <c r="M849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849" t="str">
        <f>IF(OR((NHL2025_26Results[[#This Row],[Winning Team]]="")),"-",IF(Table46[[#This Row],[Predicted Winner]]=NHL2025_26Results[[#This Row],[Winning Team]],"YES","NO"))</f>
        <v>-</v>
      </c>
      <c r="O849" t="str">
        <f>IF(OR((NHL2025_26Results[[#This Row],[Winning Team]]="")),"-",IF(Table46[[#This Row],[Prob Winner]]=NHL2025_26Results[[#This Row],[Winning Team]],"YES","NO"))</f>
        <v>-</v>
      </c>
      <c r="P849" t="str">
        <f>IF(Table46[[#This Row],[Locked Prediction]]&lt;&gt;Table46[[#This Row],[Prob Winner]], "Changed", "Same")</f>
        <v>Changed</v>
      </c>
      <c r="Q84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50" spans="4:17" x14ac:dyDescent="0.2">
      <c r="D850" s="1">
        <v>46051</v>
      </c>
      <c r="E850" s="2">
        <v>0.79166666666666663</v>
      </c>
      <c r="F850" t="s">
        <v>18</v>
      </c>
      <c r="G850">
        <f>VLOOKUP(Table46[[#This Row],[Home]],'NHL Model'!$A$6:$B$38,2,FALSE)</f>
        <v>-0.52437726201848234</v>
      </c>
      <c r="H850" t="s">
        <v>12</v>
      </c>
      <c r="I850">
        <f>VLOOKUP(Table46[[#This Row],[Visitor]],'NHL Model'!$A$6:$B$38,2,FALSE)</f>
        <v>1.5475013591489768</v>
      </c>
      <c r="J850">
        <f>($B$1+Table46[[#This Row],[Home Differential]])-Table46[[#This Row],[Away Differential]]</f>
        <v>-1.9093063115051407</v>
      </c>
      <c r="K850" t="str">
        <f>IF(Table46[[#This Row],[HomeIce Differential]]&gt;0,Table46[[#This Row],[Home]],Table46[[#This Row],[Visitor]])</f>
        <v>Colorado Avalanche</v>
      </c>
      <c r="L85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0.78009888703634589</v>
      </c>
      <c r="M850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850" t="str">
        <f>IF(OR((NHL2025_26Results[[#This Row],[Winning Team]]="")),"-",IF(Table46[[#This Row],[Predicted Winner]]=NHL2025_26Results[[#This Row],[Winning Team]],"YES","NO"))</f>
        <v>-</v>
      </c>
      <c r="O850" t="str">
        <f>IF(OR((NHL2025_26Results[[#This Row],[Winning Team]]="")),"-",IF(Table46[[#This Row],[Prob Winner]]=NHL2025_26Results[[#This Row],[Winning Team]],"YES","NO"))</f>
        <v>-</v>
      </c>
      <c r="P850" t="str">
        <f>IF(Table46[[#This Row],[Locked Prediction]]&lt;&gt;Table46[[#This Row],[Prob Winner]], "Changed", "Same")</f>
        <v>Changed</v>
      </c>
      <c r="Q85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51" spans="4:17" x14ac:dyDescent="0.2">
      <c r="D851" s="1">
        <v>46051</v>
      </c>
      <c r="E851" s="2">
        <v>0.79166666666666663</v>
      </c>
      <c r="F851" t="s">
        <v>24</v>
      </c>
      <c r="G851">
        <f>VLOOKUP(Table46[[#This Row],[Home]],'NHL Model'!$A$6:$B$38,2,FALSE)</f>
        <v>0.559441163373953</v>
      </c>
      <c r="H851" t="s">
        <v>29</v>
      </c>
      <c r="I851">
        <f>VLOOKUP(Table46[[#This Row],[Visitor]],'NHL Model'!$A$6:$B$38,2,FALSE)</f>
        <v>-1.3516250707060606</v>
      </c>
      <c r="J851">
        <f>($B$1+Table46[[#This Row],[Home Differential]])-Table46[[#This Row],[Away Differential]]</f>
        <v>2.0736385437423319</v>
      </c>
      <c r="K851" t="str">
        <f>IF(Table46[[#This Row],[HomeIce Differential]]&gt;0,Table46[[#This Row],[Home]],Table46[[#This Row],[Visitor]])</f>
        <v>New Jersey Devils</v>
      </c>
      <c r="L85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0.93105668617786796</v>
      </c>
      <c r="M851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851" t="str">
        <f>IF(OR((NHL2025_26Results[[#This Row],[Winning Team]]="")),"-",IF(Table46[[#This Row],[Predicted Winner]]=NHL2025_26Results[[#This Row],[Winning Team]],"YES","NO"))</f>
        <v>-</v>
      </c>
      <c r="O851" t="str">
        <f>IF(OR((NHL2025_26Results[[#This Row],[Winning Team]]="")),"-",IF(Table46[[#This Row],[Prob Winner]]=NHL2025_26Results[[#This Row],[Winning Team]],"YES","NO"))</f>
        <v>-</v>
      </c>
      <c r="P851" t="str">
        <f>IF(Table46[[#This Row],[Locked Prediction]]&lt;&gt;Table46[[#This Row],[Prob Winner]], "Changed", "Same")</f>
        <v>Changed</v>
      </c>
      <c r="Q85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52" spans="4:17" x14ac:dyDescent="0.2">
      <c r="D852" s="1">
        <v>46051</v>
      </c>
      <c r="E852" s="2">
        <v>0.79166666666666663</v>
      </c>
      <c r="F852" t="s">
        <v>15</v>
      </c>
      <c r="G852">
        <f>VLOOKUP(Table46[[#This Row],[Home]],'NHL Model'!$A$6:$B$38,2,FALSE)</f>
        <v>-0.30719665303039001</v>
      </c>
      <c r="H852" t="s">
        <v>30</v>
      </c>
      <c r="I852">
        <f>VLOOKUP(Table46[[#This Row],[Visitor]],'NHL Model'!$A$6:$B$38,2,FALSE)</f>
        <v>-6.4729560818359025E-2</v>
      </c>
      <c r="J852">
        <f>($B$1+Table46[[#This Row],[Home Differential]])-Table46[[#This Row],[Away Differential]]</f>
        <v>-7.9894782549712592E-2</v>
      </c>
      <c r="K852" t="str">
        <f>IF(Table46[[#This Row],[HomeIce Differential]]&gt;0,Table46[[#This Row],[Home]],Table46[[#This Row],[Visitor]])</f>
        <v>New York Islanders</v>
      </c>
      <c r="L85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0.51313209791557923</v>
      </c>
      <c r="M852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852" t="str">
        <f>IF(OR((NHL2025_26Results[[#This Row],[Winning Team]]="")),"-",IF(Table46[[#This Row],[Predicted Winner]]=NHL2025_26Results[[#This Row],[Winning Team]],"YES","NO"))</f>
        <v>-</v>
      </c>
      <c r="O852" t="str">
        <f>IF(OR((NHL2025_26Results[[#This Row],[Winning Team]]="")),"-",IF(Table46[[#This Row],[Prob Winner]]=NHL2025_26Results[[#This Row],[Winning Team]],"YES","NO"))</f>
        <v>-</v>
      </c>
      <c r="P852" t="str">
        <f>IF(Table46[[#This Row],[Locked Prediction]]&lt;&gt;Table46[[#This Row],[Prob Winner]], "Changed", "Same")</f>
        <v>Changed</v>
      </c>
      <c r="Q85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53" spans="4:17" x14ac:dyDescent="0.2">
      <c r="D853" s="1">
        <v>46051</v>
      </c>
      <c r="E853" s="2">
        <v>0.79166666666666663</v>
      </c>
      <c r="F853" t="s">
        <v>14</v>
      </c>
      <c r="G853">
        <f>VLOOKUP(Table46[[#This Row],[Home]],'NHL Model'!$A$6:$B$38,2,FALSE)</f>
        <v>0.26289091192875702</v>
      </c>
      <c r="H853" t="s">
        <v>10</v>
      </c>
      <c r="I853">
        <f>VLOOKUP(Table46[[#This Row],[Visitor]],'NHL Model'!$A$6:$B$38,2,FALSE)</f>
        <v>0.30570968833820172</v>
      </c>
      <c r="J853">
        <f>($B$1+Table46[[#This Row],[Home Differential]])-Table46[[#This Row],[Away Differential]]</f>
        <v>0.11975353325287369</v>
      </c>
      <c r="K853" t="str">
        <f>IF(Table46[[#This Row],[HomeIce Differential]]&gt;0,Table46[[#This Row],[Home]],Table46[[#This Row],[Visitor]])</f>
        <v>Pittsburgh Penguins</v>
      </c>
      <c r="L85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0.57147307619111531</v>
      </c>
      <c r="M853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853" t="str">
        <f>IF(OR((NHL2025_26Results[[#This Row],[Winning Team]]="")),"-",IF(Table46[[#This Row],[Predicted Winner]]=NHL2025_26Results[[#This Row],[Winning Team]],"YES","NO"))</f>
        <v>-</v>
      </c>
      <c r="O853" t="str">
        <f>IF(OR((NHL2025_26Results[[#This Row],[Winning Team]]="")),"-",IF(Table46[[#This Row],[Prob Winner]]=NHL2025_26Results[[#This Row],[Winning Team]],"YES","NO"))</f>
        <v>-</v>
      </c>
      <c r="P853" t="str">
        <f>IF(Table46[[#This Row],[Locked Prediction]]&lt;&gt;Table46[[#This Row],[Prob Winner]], "Changed", "Same")</f>
        <v>Changed</v>
      </c>
      <c r="Q85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54" spans="4:17" x14ac:dyDescent="0.2">
      <c r="D854" s="1">
        <v>46051</v>
      </c>
      <c r="E854" s="2">
        <v>0.91666666666666663</v>
      </c>
      <c r="F854" t="s">
        <v>32</v>
      </c>
      <c r="G854">
        <f>VLOOKUP(Table46[[#This Row],[Home]],'NHL Model'!$A$6:$B$38,2,FALSE)</f>
        <v>-0.361361309178443</v>
      </c>
      <c r="H854" t="s">
        <v>19</v>
      </c>
      <c r="I854">
        <f>VLOOKUP(Table46[[#This Row],[Visitor]],'NHL Model'!$A$6:$B$38,2,FALSE)</f>
        <v>-0.635565543477981</v>
      </c>
      <c r="J854">
        <f>($B$1+Table46[[#This Row],[Home Differential]])-Table46[[#This Row],[Away Differential]]</f>
        <v>0.43677654396185639</v>
      </c>
      <c r="K854" t="str">
        <f>IF(Table46[[#This Row],[HomeIce Differential]]&gt;0,Table46[[#This Row],[Home]],Table46[[#This Row],[Visitor]])</f>
        <v>Seattle Kraken</v>
      </c>
      <c r="L85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0.62409364002818835</v>
      </c>
      <c r="M854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854" t="str">
        <f>IF(OR((NHL2025_26Results[[#This Row],[Winning Team]]="")),"-",IF(Table46[[#This Row],[Predicted Winner]]=NHL2025_26Results[[#This Row],[Winning Team]],"YES","NO"))</f>
        <v>-</v>
      </c>
      <c r="O854" t="str">
        <f>IF(OR((NHL2025_26Results[[#This Row],[Winning Team]]="")),"-",IF(Table46[[#This Row],[Prob Winner]]=NHL2025_26Results[[#This Row],[Winning Team]],"YES","NO"))</f>
        <v>-</v>
      </c>
      <c r="P854" t="str">
        <f>IF(Table46[[#This Row],[Locked Prediction]]&lt;&gt;Table46[[#This Row],[Prob Winner]], "Changed", "Same")</f>
        <v>Changed</v>
      </c>
      <c r="Q85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55" spans="4:17" x14ac:dyDescent="0.2">
      <c r="D855" s="1">
        <v>46051</v>
      </c>
      <c r="E855" s="2">
        <v>0.83333333333333337</v>
      </c>
      <c r="F855" t="s">
        <v>35</v>
      </c>
      <c r="G855">
        <f>VLOOKUP(Table46[[#This Row],[Home]],'NHL Model'!$A$6:$B$38,2,FALSE)</f>
        <v>-1.6211574240381006</v>
      </c>
      <c r="H855" t="s">
        <v>11</v>
      </c>
      <c r="I855">
        <f>VLOOKUP(Table46[[#This Row],[Visitor]],'NHL Model'!$A$6:$B$38,2,FALSE)</f>
        <v>-0.28105923893144158</v>
      </c>
      <c r="J855">
        <f>($B$1+Table46[[#This Row],[Home Differential]])-Table46[[#This Row],[Away Differential]]</f>
        <v>-1.1775258754443407</v>
      </c>
      <c r="K855" t="str">
        <f>IF(Table46[[#This Row],[HomeIce Differential]]&gt;0,Table46[[#This Row],[Home]],Table46[[#This Row],[Visitor]])</f>
        <v>Florida Panthers</v>
      </c>
      <c r="L85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0.61651556920422679</v>
      </c>
      <c r="M855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855" t="str">
        <f>IF(OR((NHL2025_26Results[[#This Row],[Winning Team]]="")),"-",IF(Table46[[#This Row],[Predicted Winner]]=NHL2025_26Results[[#This Row],[Winning Team]],"YES","NO"))</f>
        <v>-</v>
      </c>
      <c r="O855" t="str">
        <f>IF(OR((NHL2025_26Results[[#This Row],[Winning Team]]="")),"-",IF(Table46[[#This Row],[Prob Winner]]=NHL2025_26Results[[#This Row],[Winning Team]],"YES","NO"))</f>
        <v>-</v>
      </c>
      <c r="P855" t="str">
        <f>IF(Table46[[#This Row],[Locked Prediction]]&lt;&gt;Table46[[#This Row],[Prob Winner]], "Changed", "Same")</f>
        <v>Changed</v>
      </c>
      <c r="Q85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56" spans="4:17" x14ac:dyDescent="0.2">
      <c r="D856" s="1">
        <v>46051</v>
      </c>
      <c r="E856" s="2">
        <v>0.79166666666666663</v>
      </c>
      <c r="F856" t="s">
        <v>37</v>
      </c>
      <c r="G856">
        <f>VLOOKUP(Table46[[#This Row],[Home]],'NHL Model'!$A$6:$B$38,2,FALSE)</f>
        <v>-0.11309445867623392</v>
      </c>
      <c r="H856" t="s">
        <v>40</v>
      </c>
      <c r="I856">
        <f>VLOOKUP(Table46[[#This Row],[Visitor]],'NHL Model'!$A$6:$B$38,2,FALSE)</f>
        <v>0.105105258369765</v>
      </c>
      <c r="J856">
        <f>($B$1+Table46[[#This Row],[Home Differential]])-Table46[[#This Row],[Away Differential]]</f>
        <v>-5.5627407383680536E-2</v>
      </c>
      <c r="K856" t="str">
        <f>IF(Table46[[#This Row],[HomeIce Differential]]&gt;0,Table46[[#This Row],[Home]],Table46[[#This Row],[Visitor]])</f>
        <v>Winnipeg Jets</v>
      </c>
      <c r="L85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0.53370972918369419</v>
      </c>
      <c r="M856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856" t="str">
        <f>IF(OR((NHL2025_26Results[[#This Row],[Winning Team]]="")),"-",IF(Table46[[#This Row],[Predicted Winner]]=NHL2025_26Results[[#This Row],[Winning Team]],"YES","NO"))</f>
        <v>-</v>
      </c>
      <c r="O856" t="str">
        <f>IF(OR((NHL2025_26Results[[#This Row],[Winning Team]]="")),"-",IF(Table46[[#This Row],[Prob Winner]]=NHL2025_26Results[[#This Row],[Winning Team]],"YES","NO"))</f>
        <v>-</v>
      </c>
      <c r="P856" t="str">
        <f>IF(Table46[[#This Row],[Locked Prediction]]&lt;&gt;Table46[[#This Row],[Prob Winner]], "Changed", "Same")</f>
        <v>Changed</v>
      </c>
      <c r="Q85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57" spans="4:17" x14ac:dyDescent="0.2">
      <c r="D857" s="1">
        <v>46051</v>
      </c>
      <c r="E857" s="2">
        <v>0.91666666666666663</v>
      </c>
      <c r="F857" t="s">
        <v>38</v>
      </c>
      <c r="G857">
        <f>VLOOKUP(Table46[[#This Row],[Home]],'NHL Model'!$A$6:$B$38,2,FALSE)</f>
        <v>-0.6902088310934803</v>
      </c>
      <c r="H857" t="s">
        <v>31</v>
      </c>
      <c r="I857">
        <f>VLOOKUP(Table46[[#This Row],[Visitor]],'NHL Model'!$A$6:$B$38,2,FALSE)</f>
        <v>0.51775546328552802</v>
      </c>
      <c r="J857">
        <f>($B$1+Table46[[#This Row],[Home Differential]])-Table46[[#This Row],[Away Differential]]</f>
        <v>-1.0453919847166899</v>
      </c>
      <c r="K857" t="str">
        <f>IF(Table46[[#This Row],[HomeIce Differential]]&gt;0,Table46[[#This Row],[Home]],Table46[[#This Row],[Visitor]])</f>
        <v>Anaheim Ducks</v>
      </c>
      <c r="L85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0.61972169452526216</v>
      </c>
      <c r="M857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857" t="str">
        <f>IF(OR((NHL2025_26Results[[#This Row],[Winning Team]]="")),"-",IF(Table46[[#This Row],[Predicted Winner]]=NHL2025_26Results[[#This Row],[Winning Team]],"YES","NO"))</f>
        <v>-</v>
      </c>
      <c r="O857" t="str">
        <f>IF(OR((NHL2025_26Results[[#This Row],[Winning Team]]="")),"-",IF(Table46[[#This Row],[Prob Winner]]=NHL2025_26Results[[#This Row],[Winning Team]],"YES","NO"))</f>
        <v>-</v>
      </c>
      <c r="P857" t="str">
        <f>IF(Table46[[#This Row],[Locked Prediction]]&lt;&gt;Table46[[#This Row],[Prob Winner]], "Changed", "Same")</f>
        <v>Changed</v>
      </c>
      <c r="Q85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58" spans="4:17" x14ac:dyDescent="0.2">
      <c r="D858" s="1">
        <v>46051</v>
      </c>
      <c r="E858" s="2">
        <v>0.91666666666666663</v>
      </c>
      <c r="F858" t="s">
        <v>20</v>
      </c>
      <c r="G858">
        <f>VLOOKUP(Table46[[#This Row],[Home]],'NHL Model'!$A$6:$B$38,2,FALSE)</f>
        <v>-6.3745791019188943E-4</v>
      </c>
      <c r="H858" t="s">
        <v>39</v>
      </c>
      <c r="I858">
        <f>VLOOKUP(Table46[[#This Row],[Visitor]],'NHL Model'!$A$6:$B$38,2,FALSE)</f>
        <v>0.19809534061227302</v>
      </c>
      <c r="J858">
        <f>($B$1+Table46[[#This Row],[Home Differential]])-Table46[[#This Row],[Away Differential]]</f>
        <v>-3.6160488860146528E-2</v>
      </c>
      <c r="K858" t="str">
        <f>IF(Table46[[#This Row],[HomeIce Differential]]&gt;0,Table46[[#This Row],[Home]],Table46[[#This Row],[Visitor]])</f>
        <v>Dallas Stars</v>
      </c>
      <c r="L85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0.55729260409030845</v>
      </c>
      <c r="M858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858" t="str">
        <f>IF(OR((NHL2025_26Results[[#This Row],[Winning Team]]="")),"-",IF(Table46[[#This Row],[Predicted Winner]]=NHL2025_26Results[[#This Row],[Winning Team]],"YES","NO"))</f>
        <v>-</v>
      </c>
      <c r="O858" t="str">
        <f>IF(OR((NHL2025_26Results[[#This Row],[Winning Team]]="")),"-",IF(Table46[[#This Row],[Prob Winner]]=NHL2025_26Results[[#This Row],[Winning Team]],"YES","NO"))</f>
        <v>-</v>
      </c>
      <c r="P858" t="str">
        <f>IF(Table46[[#This Row],[Locked Prediction]]&lt;&gt;Table46[[#This Row],[Prob Winner]], "Changed", "Same")</f>
        <v>Changed</v>
      </c>
      <c r="Q85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59" spans="4:17" x14ac:dyDescent="0.2">
      <c r="D859" s="1">
        <v>46052</v>
      </c>
      <c r="E859" s="2">
        <v>0.85416666666666663</v>
      </c>
      <c r="F859" t="s">
        <v>10</v>
      </c>
      <c r="G859">
        <f>VLOOKUP(Table46[[#This Row],[Home]],'NHL Model'!$A$6:$B$38,2,FALSE)</f>
        <v>0.30570968833820172</v>
      </c>
      <c r="H859" t="s">
        <v>28</v>
      </c>
      <c r="I859">
        <f>VLOOKUP(Table46[[#This Row],[Visitor]],'NHL Model'!$A$6:$B$38,2,FALSE)</f>
        <v>-0.40822279081308277</v>
      </c>
      <c r="J859">
        <f>($B$1+Table46[[#This Row],[Home Differential]])-Table46[[#This Row],[Away Differential]]</f>
        <v>0.87650478881360283</v>
      </c>
      <c r="K859" t="str">
        <f>IF(Table46[[#This Row],[HomeIce Differential]]&gt;0,Table46[[#This Row],[Home]],Table46[[#This Row],[Visitor]])</f>
        <v>Chicago Blackhawks</v>
      </c>
      <c r="L85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0.63573491473808053</v>
      </c>
      <c r="M859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859" t="str">
        <f>IF(OR((NHL2025_26Results[[#This Row],[Winning Team]]="")),"-",IF(Table46[[#This Row],[Predicted Winner]]=NHL2025_26Results[[#This Row],[Winning Team]],"YES","NO"))</f>
        <v>-</v>
      </c>
      <c r="O859" t="str">
        <f>IF(OR((NHL2025_26Results[[#This Row],[Winning Team]]="")),"-",IF(Table46[[#This Row],[Prob Winner]]=NHL2025_26Results[[#This Row],[Winning Team]],"YES","NO"))</f>
        <v>-</v>
      </c>
      <c r="P859" t="str">
        <f>IF(Table46[[#This Row],[Locked Prediction]]&lt;&gt;Table46[[#This Row],[Prob Winner]], "Changed", "Same")</f>
        <v>Changed</v>
      </c>
      <c r="Q85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60" spans="4:17" x14ac:dyDescent="0.2">
      <c r="D860" s="1">
        <v>46053</v>
      </c>
      <c r="E860" s="2">
        <v>0.79166666666666663</v>
      </c>
      <c r="F860" t="s">
        <v>23</v>
      </c>
      <c r="G860">
        <f>VLOOKUP(Table46[[#This Row],[Home]],'NHL Model'!$A$6:$B$38,2,FALSE)</f>
        <v>-0.8683412362501769</v>
      </c>
      <c r="H860" t="s">
        <v>18</v>
      </c>
      <c r="I860">
        <f>VLOOKUP(Table46[[#This Row],[Visitor]],'NHL Model'!$A$6:$B$38,2,FALSE)</f>
        <v>-0.52437726201848234</v>
      </c>
      <c r="J860">
        <f>($B$1+Table46[[#This Row],[Home Differential]])-Table46[[#This Row],[Away Differential]]</f>
        <v>-0.18139166456937617</v>
      </c>
      <c r="K860" t="str">
        <f>IF(Table46[[#This Row],[HomeIce Differential]]&gt;0,Table46[[#This Row],[Home]],Table46[[#This Row],[Visitor]])</f>
        <v>Montreal Canadiens</v>
      </c>
      <c r="L86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0.56059108649287559</v>
      </c>
      <c r="M860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860" t="str">
        <f>IF(OR((NHL2025_26Results[[#This Row],[Winning Team]]="")),"-",IF(Table46[[#This Row],[Predicted Winner]]=NHL2025_26Results[[#This Row],[Winning Team]],"YES","NO"))</f>
        <v>-</v>
      </c>
      <c r="O860" t="str">
        <f>IF(OR((NHL2025_26Results[[#This Row],[Winning Team]]="")),"-",IF(Table46[[#This Row],[Prob Winner]]=NHL2025_26Results[[#This Row],[Winning Team]],"YES","NO"))</f>
        <v>-</v>
      </c>
      <c r="P860" t="str">
        <f>IF(Table46[[#This Row],[Locked Prediction]]&lt;&gt;Table46[[#This Row],[Prob Winner]], "Changed", "Same")</f>
        <v>Changed</v>
      </c>
      <c r="Q86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61" spans="4:17" x14ac:dyDescent="0.2">
      <c r="D861" s="1">
        <v>46053</v>
      </c>
      <c r="E861" s="2">
        <v>0.66666666666666663</v>
      </c>
      <c r="F861" t="s">
        <v>16</v>
      </c>
      <c r="G861">
        <f>VLOOKUP(Table46[[#This Row],[Home]],'NHL Model'!$A$6:$B$38,2,FALSE)</f>
        <v>-1.3903684122795328</v>
      </c>
      <c r="H861" t="s">
        <v>33</v>
      </c>
      <c r="I861">
        <f>VLOOKUP(Table46[[#This Row],[Visitor]],'NHL Model'!$A$6:$B$38,2,FALSE)</f>
        <v>-0.39418177254008485</v>
      </c>
      <c r="J861">
        <f>($B$1+Table46[[#This Row],[Home Differential]])-Table46[[#This Row],[Away Differential]]</f>
        <v>-0.83361433007712948</v>
      </c>
      <c r="K861" t="str">
        <f>IF(Table46[[#This Row],[HomeIce Differential]]&gt;0,Table46[[#This Row],[Home]],Table46[[#This Row],[Visitor]])</f>
        <v>San Jose Sharks</v>
      </c>
      <c r="L86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0.57080318835421573</v>
      </c>
      <c r="M861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861" t="str">
        <f>IF(OR((NHL2025_26Results[[#This Row],[Winning Team]]="")),"-",IF(Table46[[#This Row],[Predicted Winner]]=NHL2025_26Results[[#This Row],[Winning Team]],"YES","NO"))</f>
        <v>-</v>
      </c>
      <c r="O861" t="str">
        <f>IF(OR((NHL2025_26Results[[#This Row],[Winning Team]]="")),"-",IF(Table46[[#This Row],[Prob Winner]]=NHL2025_26Results[[#This Row],[Winning Team]],"YES","NO"))</f>
        <v>-</v>
      </c>
      <c r="P861" t="str">
        <f>IF(Table46[[#This Row],[Locked Prediction]]&lt;&gt;Table46[[#This Row],[Prob Winner]], "Changed", "Same")</f>
        <v>Changed</v>
      </c>
      <c r="Q86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62" spans="4:17" x14ac:dyDescent="0.2">
      <c r="D862" s="1">
        <v>46053</v>
      </c>
      <c r="E862" s="2">
        <v>0.54166666666666663</v>
      </c>
      <c r="F862" t="s">
        <v>26</v>
      </c>
      <c r="G862">
        <f>VLOOKUP(Table46[[#This Row],[Home]],'NHL Model'!$A$6:$B$38,2,FALSE)</f>
        <v>-0.513643833119658</v>
      </c>
      <c r="H862" t="s">
        <v>12</v>
      </c>
      <c r="I862">
        <f>VLOOKUP(Table46[[#This Row],[Visitor]],'NHL Model'!$A$6:$B$38,2,FALSE)</f>
        <v>1.5475013591489768</v>
      </c>
      <c r="J862">
        <f>($B$1+Table46[[#This Row],[Home Differential]])-Table46[[#This Row],[Away Differential]]</f>
        <v>-1.8985728826063164</v>
      </c>
      <c r="K862" t="str">
        <f>IF(Table46[[#This Row],[HomeIce Differential]]&gt;0,Table46[[#This Row],[Home]],Table46[[#This Row],[Visitor]])</f>
        <v>Colorado Avalanche</v>
      </c>
      <c r="L86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0.75235642085971555</v>
      </c>
      <c r="M862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862" t="str">
        <f>IF(OR((NHL2025_26Results[[#This Row],[Winning Team]]="")),"-",IF(Table46[[#This Row],[Predicted Winner]]=NHL2025_26Results[[#This Row],[Winning Team]],"YES","NO"))</f>
        <v>-</v>
      </c>
      <c r="O862" t="str">
        <f>IF(OR((NHL2025_26Results[[#This Row],[Winning Team]]="")),"-",IF(Table46[[#This Row],[Prob Winner]]=NHL2025_26Results[[#This Row],[Winning Team]],"YES","NO"))</f>
        <v>-</v>
      </c>
      <c r="P862" t="str">
        <f>IF(Table46[[#This Row],[Locked Prediction]]&lt;&gt;Table46[[#This Row],[Prob Winner]], "Changed", "Same")</f>
        <v>Changed</v>
      </c>
      <c r="Q86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63" spans="4:17" x14ac:dyDescent="0.2">
      <c r="D863" s="1">
        <v>46053</v>
      </c>
      <c r="E863" s="2">
        <v>0.91666666666666663</v>
      </c>
      <c r="F863" t="s">
        <v>17</v>
      </c>
      <c r="G863">
        <f>VLOOKUP(Table46[[#This Row],[Home]],'NHL Model'!$A$6:$B$38,2,FALSE)</f>
        <v>-0.61980804137564283</v>
      </c>
      <c r="H863" t="s">
        <v>34</v>
      </c>
      <c r="I863">
        <f>VLOOKUP(Table46[[#This Row],[Visitor]],'NHL Model'!$A$6:$B$38,2,FALSE)</f>
        <v>-0.53650300840565446</v>
      </c>
      <c r="J863">
        <f>($B$1+Table46[[#This Row],[Home Differential]])-Table46[[#This Row],[Away Differential]]</f>
        <v>7.9267276692330024E-2</v>
      </c>
      <c r="K863" t="str">
        <f>IF(Table46[[#This Row],[HomeIce Differential]]&gt;0,Table46[[#This Row],[Home]],Table46[[#This Row],[Visitor]])</f>
        <v>Edmonton Oilers</v>
      </c>
      <c r="L86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0.58657299400597318</v>
      </c>
      <c r="M863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863" t="str">
        <f>IF(OR((NHL2025_26Results[[#This Row],[Winning Team]]="")),"-",IF(Table46[[#This Row],[Predicted Winner]]=NHL2025_26Results[[#This Row],[Winning Team]],"YES","NO"))</f>
        <v>-</v>
      </c>
      <c r="O863" t="str">
        <f>IF(OR((NHL2025_26Results[[#This Row],[Winning Team]]="")),"-",IF(Table46[[#This Row],[Prob Winner]]=NHL2025_26Results[[#This Row],[Winning Team]],"YES","NO"))</f>
        <v>-</v>
      </c>
      <c r="P863" t="str">
        <f>IF(Table46[[#This Row],[Locked Prediction]]&lt;&gt;Table46[[#This Row],[Prob Winner]], "Changed", "Same")</f>
        <v>Changed</v>
      </c>
      <c r="Q86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64" spans="4:17" x14ac:dyDescent="0.2">
      <c r="D864" s="1">
        <v>46053</v>
      </c>
      <c r="E864" s="2">
        <v>0.66666666666666663</v>
      </c>
      <c r="F864" t="s">
        <v>11</v>
      </c>
      <c r="G864">
        <f>VLOOKUP(Table46[[#This Row],[Home]],'NHL Model'!$A$6:$B$38,2,FALSE)</f>
        <v>-0.28105923893144158</v>
      </c>
      <c r="H864" t="s">
        <v>40</v>
      </c>
      <c r="I864">
        <f>VLOOKUP(Table46[[#This Row],[Visitor]],'NHL Model'!$A$6:$B$38,2,FALSE)</f>
        <v>0.105105258369765</v>
      </c>
      <c r="J864">
        <f>($B$1+Table46[[#This Row],[Home Differential]])-Table46[[#This Row],[Away Differential]]</f>
        <v>-0.22359218763888819</v>
      </c>
      <c r="K864" t="str">
        <f>IF(Table46[[#This Row],[HomeIce Differential]]&gt;0,Table46[[#This Row],[Home]],Table46[[#This Row],[Visitor]])</f>
        <v>Winnipeg Jets</v>
      </c>
      <c r="L86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0.50340386191377529</v>
      </c>
      <c r="M864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864" t="str">
        <f>IF(OR((NHL2025_26Results[[#This Row],[Winning Team]]="")),"-",IF(Table46[[#This Row],[Predicted Winner]]=NHL2025_26Results[[#This Row],[Winning Team]],"YES","NO"))</f>
        <v>-</v>
      </c>
      <c r="O864" t="str">
        <f>IF(OR((NHL2025_26Results[[#This Row],[Winning Team]]="")),"-",IF(Table46[[#This Row],[Prob Winner]]=NHL2025_26Results[[#This Row],[Winning Team]],"YES","NO"))</f>
        <v>-</v>
      </c>
      <c r="P864" t="str">
        <f>IF(Table46[[#This Row],[Locked Prediction]]&lt;&gt;Table46[[#This Row],[Prob Winner]], "Changed", "Same")</f>
        <v>Changed</v>
      </c>
      <c r="Q86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65" spans="4:17" x14ac:dyDescent="0.2">
      <c r="D865" s="1">
        <v>46053</v>
      </c>
      <c r="E865" s="2">
        <v>0.79166666666666663</v>
      </c>
      <c r="F865" t="s">
        <v>30</v>
      </c>
      <c r="G865">
        <f>VLOOKUP(Table46[[#This Row],[Home]],'NHL Model'!$A$6:$B$38,2,FALSE)</f>
        <v>-6.4729560818359025E-2</v>
      </c>
      <c r="H865" t="s">
        <v>29</v>
      </c>
      <c r="I865">
        <f>VLOOKUP(Table46[[#This Row],[Visitor]],'NHL Model'!$A$6:$B$38,2,FALSE)</f>
        <v>-1.3516250707060606</v>
      </c>
      <c r="J865">
        <f>($B$1+Table46[[#This Row],[Home Differential]])-Table46[[#This Row],[Away Differential]]</f>
        <v>1.4494678195500199</v>
      </c>
      <c r="K865" t="str">
        <f>IF(Table46[[#This Row],[HomeIce Differential]]&gt;0,Table46[[#This Row],[Home]],Table46[[#This Row],[Visitor]])</f>
        <v>New York Islanders</v>
      </c>
      <c r="L86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0.73266182217394871</v>
      </c>
      <c r="M865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865" t="str">
        <f>IF(OR((NHL2025_26Results[[#This Row],[Winning Team]]="")),"-",IF(Table46[[#This Row],[Predicted Winner]]=NHL2025_26Results[[#This Row],[Winning Team]],"YES","NO"))</f>
        <v>-</v>
      </c>
      <c r="O865" t="str">
        <f>IF(OR((NHL2025_26Results[[#This Row],[Winning Team]]="")),"-",IF(Table46[[#This Row],[Prob Winner]]=NHL2025_26Results[[#This Row],[Winning Team]],"YES","NO"))</f>
        <v>-</v>
      </c>
      <c r="P865" t="str">
        <f>IF(Table46[[#This Row],[Locked Prediction]]&lt;&gt;Table46[[#This Row],[Prob Winner]], "Changed", "Same")</f>
        <v>Changed</v>
      </c>
      <c r="Q86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66" spans="4:17" x14ac:dyDescent="0.2">
      <c r="D866" s="1">
        <v>46053</v>
      </c>
      <c r="E866" s="2">
        <v>0.79166666666666663</v>
      </c>
      <c r="F866" t="s">
        <v>36</v>
      </c>
      <c r="G866">
        <f>VLOOKUP(Table46[[#This Row],[Home]],'NHL Model'!$A$6:$B$38,2,FALSE)</f>
        <v>-0.40651947573390851</v>
      </c>
      <c r="H866" t="s">
        <v>24</v>
      </c>
      <c r="I866">
        <f>VLOOKUP(Table46[[#This Row],[Visitor]],'NHL Model'!$A$6:$B$38,2,FALSE)</f>
        <v>0.559441163373953</v>
      </c>
      <c r="J866">
        <f>($B$1+Table46[[#This Row],[Home Differential]])-Table46[[#This Row],[Away Differential]]</f>
        <v>-0.80338832944554306</v>
      </c>
      <c r="K866" t="str">
        <f>IF(Table46[[#This Row],[HomeIce Differential]]&gt;0,Table46[[#This Row],[Home]],Table46[[#This Row],[Visitor]])</f>
        <v>New Jersey Devils</v>
      </c>
      <c r="L86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0.63059510219671022</v>
      </c>
      <c r="M866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866" t="str">
        <f>IF(OR((NHL2025_26Results[[#This Row],[Winning Team]]="")),"-",IF(Table46[[#This Row],[Predicted Winner]]=NHL2025_26Results[[#This Row],[Winning Team]],"YES","NO"))</f>
        <v>-</v>
      </c>
      <c r="O866" t="str">
        <f>IF(OR((NHL2025_26Results[[#This Row],[Winning Team]]="")),"-",IF(Table46[[#This Row],[Prob Winner]]=NHL2025_26Results[[#This Row],[Winning Team]],"YES","NO"))</f>
        <v>-</v>
      </c>
      <c r="P866" t="str">
        <f>IF(Table46[[#This Row],[Locked Prediction]]&lt;&gt;Table46[[#This Row],[Prob Winner]], "Changed", "Same")</f>
        <v>Changed</v>
      </c>
      <c r="Q86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67" spans="4:17" x14ac:dyDescent="0.2">
      <c r="D867" s="1">
        <v>46053</v>
      </c>
      <c r="E867" s="2">
        <v>0.52083333333333337</v>
      </c>
      <c r="F867" t="s">
        <v>27</v>
      </c>
      <c r="G867">
        <f>VLOOKUP(Table46[[#This Row],[Home]],'NHL Model'!$A$6:$B$38,2,FALSE)</f>
        <v>-0.51358590497437617</v>
      </c>
      <c r="H867" t="s">
        <v>13</v>
      </c>
      <c r="I867">
        <f>VLOOKUP(Table46[[#This Row],[Visitor]],'NHL Model'!$A$6:$B$38,2,FALSE)</f>
        <v>-7.5459708298993802E-2</v>
      </c>
      <c r="J867">
        <f>($B$1+Table46[[#This Row],[Home Differential]])-Table46[[#This Row],[Away Differential]]</f>
        <v>-0.27555388701306399</v>
      </c>
      <c r="K867" t="str">
        <f>IF(Table46[[#This Row],[HomeIce Differential]]&gt;0,Table46[[#This Row],[Home]],Table46[[#This Row],[Visitor]])</f>
        <v>Los Angeles Kings</v>
      </c>
      <c r="L86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0.61557371725267584</v>
      </c>
      <c r="M867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867" t="str">
        <f>IF(OR((NHL2025_26Results[[#This Row],[Winning Team]]="")),"-",IF(Table46[[#This Row],[Predicted Winner]]=NHL2025_26Results[[#This Row],[Winning Team]],"YES","NO"))</f>
        <v>-</v>
      </c>
      <c r="O867" t="str">
        <f>IF(OR((NHL2025_26Results[[#This Row],[Winning Team]]="")),"-",IF(Table46[[#This Row],[Prob Winner]]=NHL2025_26Results[[#This Row],[Winning Team]],"YES","NO"))</f>
        <v>-</v>
      </c>
      <c r="P867" t="str">
        <f>IF(Table46[[#This Row],[Locked Prediction]]&lt;&gt;Table46[[#This Row],[Prob Winner]], "Changed", "Same")</f>
        <v>Changed</v>
      </c>
      <c r="Q86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68" spans="4:17" x14ac:dyDescent="0.2">
      <c r="D868" s="1">
        <v>46053</v>
      </c>
      <c r="E868" s="2">
        <v>0.64583333333333337</v>
      </c>
      <c r="F868" t="s">
        <v>14</v>
      </c>
      <c r="G868">
        <f>VLOOKUP(Table46[[#This Row],[Home]],'NHL Model'!$A$6:$B$38,2,FALSE)</f>
        <v>0.26289091192875702</v>
      </c>
      <c r="H868" t="s">
        <v>15</v>
      </c>
      <c r="I868">
        <f>VLOOKUP(Table46[[#This Row],[Visitor]],'NHL Model'!$A$6:$B$38,2,FALSE)</f>
        <v>-0.30719665303039001</v>
      </c>
      <c r="J868">
        <f>($B$1+Table46[[#This Row],[Home Differential]])-Table46[[#This Row],[Away Differential]]</f>
        <v>0.73265987462146542</v>
      </c>
      <c r="K868" t="str">
        <f>IF(Table46[[#This Row],[HomeIce Differential]]&gt;0,Table46[[#This Row],[Home]],Table46[[#This Row],[Visitor]])</f>
        <v>Pittsburgh Penguins</v>
      </c>
      <c r="L86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0.53045528859971358</v>
      </c>
      <c r="M868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868" t="str">
        <f>IF(OR((NHL2025_26Results[[#This Row],[Winning Team]]="")),"-",IF(Table46[[#This Row],[Predicted Winner]]=NHL2025_26Results[[#This Row],[Winning Team]],"YES","NO"))</f>
        <v>-</v>
      </c>
      <c r="O868" t="str">
        <f>IF(OR((NHL2025_26Results[[#This Row],[Winning Team]]="")),"-",IF(Table46[[#This Row],[Prob Winner]]=NHL2025_26Results[[#This Row],[Winning Team]],"YES","NO"))</f>
        <v>-</v>
      </c>
      <c r="P868" t="str">
        <f>IF(Table46[[#This Row],[Locked Prediction]]&lt;&gt;Table46[[#This Row],[Prob Winner]], "Changed", "Same")</f>
        <v>Changed</v>
      </c>
      <c r="Q86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69" spans="4:17" x14ac:dyDescent="0.2">
      <c r="D869" s="1">
        <v>46053</v>
      </c>
      <c r="E869" s="2">
        <v>0.79166666666666663</v>
      </c>
      <c r="F869" t="s">
        <v>35</v>
      </c>
      <c r="G869">
        <f>VLOOKUP(Table46[[#This Row],[Home]],'NHL Model'!$A$6:$B$38,2,FALSE)</f>
        <v>-1.6211574240381006</v>
      </c>
      <c r="H869" t="s">
        <v>28</v>
      </c>
      <c r="I869">
        <f>VLOOKUP(Table46[[#This Row],[Visitor]],'NHL Model'!$A$6:$B$38,2,FALSE)</f>
        <v>-0.40822279081308277</v>
      </c>
      <c r="J869">
        <f>($B$1+Table46[[#This Row],[Home Differential]])-Table46[[#This Row],[Away Differential]]</f>
        <v>-1.0503623235626995</v>
      </c>
      <c r="K869" t="str">
        <f>IF(Table46[[#This Row],[HomeIce Differential]]&gt;0,Table46[[#This Row],[Home]],Table46[[#This Row],[Visitor]])</f>
        <v>Columbus Blue Jackets</v>
      </c>
      <c r="L86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0.62038234702542705</v>
      </c>
      <c r="M869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869" t="str">
        <f>IF(OR((NHL2025_26Results[[#This Row],[Winning Team]]="")),"-",IF(Table46[[#This Row],[Predicted Winner]]=NHL2025_26Results[[#This Row],[Winning Team]],"YES","NO"))</f>
        <v>-</v>
      </c>
      <c r="O869" t="str">
        <f>IF(OR((NHL2025_26Results[[#This Row],[Winning Team]]="")),"-",IF(Table46[[#This Row],[Prob Winner]]=NHL2025_26Results[[#This Row],[Winning Team]],"YES","NO"))</f>
        <v>-</v>
      </c>
      <c r="P869" t="str">
        <f>IF(Table46[[#This Row],[Locked Prediction]]&lt;&gt;Table46[[#This Row],[Prob Winner]], "Changed", "Same")</f>
        <v>Changed</v>
      </c>
      <c r="Q86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70" spans="4:17" x14ac:dyDescent="0.2">
      <c r="D870" s="1">
        <v>46053</v>
      </c>
      <c r="E870" s="2">
        <v>0.875</v>
      </c>
      <c r="F870" t="s">
        <v>55</v>
      </c>
      <c r="G870">
        <f>VLOOKUP(Table46[[#This Row],[Home]],'NHL Model'!$A$6:$B$38,2,FALSE)</f>
        <v>-0.12212311954851815</v>
      </c>
      <c r="H870" t="s">
        <v>39</v>
      </c>
      <c r="I870">
        <f>VLOOKUP(Table46[[#This Row],[Visitor]],'NHL Model'!$A$6:$B$38,2,FALSE)</f>
        <v>0.19809534061227302</v>
      </c>
      <c r="J870">
        <f>($B$1+Table46[[#This Row],[Home Differential]])-Table46[[#This Row],[Away Differential]]</f>
        <v>-0.15764615049847278</v>
      </c>
      <c r="K870" t="str">
        <f>IF(Table46[[#This Row],[HomeIce Differential]]&gt;0,Table46[[#This Row],[Home]],Table46[[#This Row],[Visitor]])</f>
        <v>Dallas Stars</v>
      </c>
      <c r="L87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0.5037127903539208</v>
      </c>
      <c r="M870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870" t="str">
        <f>IF(OR((NHL2025_26Results[[#This Row],[Winning Team]]="")),"-",IF(Table46[[#This Row],[Predicted Winner]]=NHL2025_26Results[[#This Row],[Winning Team]],"YES","NO"))</f>
        <v>-</v>
      </c>
      <c r="O870" t="str">
        <f>IF(OR((NHL2025_26Results[[#This Row],[Winning Team]]="")),"-",IF(Table46[[#This Row],[Prob Winner]]=NHL2025_26Results[[#This Row],[Winning Team]],"YES","NO"))</f>
        <v>-</v>
      </c>
      <c r="P870" t="str">
        <f>IF(Table46[[#This Row],[Locked Prediction]]&lt;&gt;Table46[[#This Row],[Prob Winner]], "Changed", "Same")</f>
        <v>Changed</v>
      </c>
      <c r="Q87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71" spans="4:17" x14ac:dyDescent="0.2">
      <c r="D871" s="1">
        <v>46053</v>
      </c>
      <c r="E871" s="2">
        <v>0.79166666666666663</v>
      </c>
      <c r="F871" t="s">
        <v>38</v>
      </c>
      <c r="G871">
        <f>VLOOKUP(Table46[[#This Row],[Home]],'NHL Model'!$A$6:$B$38,2,FALSE)</f>
        <v>-0.6902088310934803</v>
      </c>
      <c r="H871" t="s">
        <v>19</v>
      </c>
      <c r="I871">
        <f>VLOOKUP(Table46[[#This Row],[Visitor]],'NHL Model'!$A$6:$B$38,2,FALSE)</f>
        <v>-0.635565543477981</v>
      </c>
      <c r="J871">
        <f>($B$1+Table46[[#This Row],[Home Differential]])-Table46[[#This Row],[Away Differential]]</f>
        <v>0.10792902204681909</v>
      </c>
      <c r="K871" t="str">
        <f>IF(Table46[[#This Row],[HomeIce Differential]]&gt;0,Table46[[#This Row],[Home]],Table46[[#This Row],[Visitor]])</f>
        <v>Vancouver Canucks</v>
      </c>
      <c r="L87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0.55434581835659369</v>
      </c>
      <c r="M871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871" t="str">
        <f>IF(OR((NHL2025_26Results[[#This Row],[Winning Team]]="")),"-",IF(Table46[[#This Row],[Predicted Winner]]=NHL2025_26Results[[#This Row],[Winning Team]],"YES","NO"))</f>
        <v>-</v>
      </c>
      <c r="O871" t="str">
        <f>IF(OR((NHL2025_26Results[[#This Row],[Winning Team]]="")),"-",IF(Table46[[#This Row],[Prob Winner]]=NHL2025_26Results[[#This Row],[Winning Team]],"YES","NO"))</f>
        <v>-</v>
      </c>
      <c r="P871" t="str">
        <f>IF(Table46[[#This Row],[Locked Prediction]]&lt;&gt;Table46[[#This Row],[Prob Winner]], "Changed", "Same")</f>
        <v>Changed</v>
      </c>
      <c r="Q87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72" spans="4:17" x14ac:dyDescent="0.2">
      <c r="D872" s="1">
        <v>46053</v>
      </c>
      <c r="E872" s="2">
        <v>0.91666666666666663</v>
      </c>
      <c r="F872" t="s">
        <v>20</v>
      </c>
      <c r="G872">
        <f>VLOOKUP(Table46[[#This Row],[Home]],'NHL Model'!$A$6:$B$38,2,FALSE)</f>
        <v>-6.3745791019188943E-4</v>
      </c>
      <c r="H872" t="s">
        <v>32</v>
      </c>
      <c r="I872">
        <f>VLOOKUP(Table46[[#This Row],[Visitor]],'NHL Model'!$A$6:$B$38,2,FALSE)</f>
        <v>-0.361361309178443</v>
      </c>
      <c r="J872">
        <f>($B$1+Table46[[#This Row],[Home Differential]])-Table46[[#This Row],[Away Differential]]</f>
        <v>0.52329616093056952</v>
      </c>
      <c r="K872" t="str">
        <f>IF(Table46[[#This Row],[HomeIce Differential]]&gt;0,Table46[[#This Row],[Home]],Table46[[#This Row],[Visitor]])</f>
        <v>Vegas Golden Knights</v>
      </c>
      <c r="L87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0.60955600568822166</v>
      </c>
      <c r="M872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872" t="str">
        <f>IF(OR((NHL2025_26Results[[#This Row],[Winning Team]]="")),"-",IF(Table46[[#This Row],[Predicted Winner]]=NHL2025_26Results[[#This Row],[Winning Team]],"YES","NO"))</f>
        <v>-</v>
      </c>
      <c r="O872" t="str">
        <f>IF(OR((NHL2025_26Results[[#This Row],[Winning Team]]="")),"-",IF(Table46[[#This Row],[Prob Winner]]=NHL2025_26Results[[#This Row],[Winning Team]],"YES","NO"))</f>
        <v>-</v>
      </c>
      <c r="P872" t="str">
        <f>IF(Table46[[#This Row],[Locked Prediction]]&lt;&gt;Table46[[#This Row],[Prob Winner]], "Changed", "Same")</f>
        <v>Changed</v>
      </c>
      <c r="Q87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73" spans="4:17" x14ac:dyDescent="0.2">
      <c r="D873" s="1">
        <v>46053</v>
      </c>
      <c r="E873" s="2">
        <v>0.70833333333333337</v>
      </c>
      <c r="F873" t="s">
        <v>22</v>
      </c>
      <c r="G873">
        <f>VLOOKUP(Table46[[#This Row],[Home]],'NHL Model'!$A$6:$B$38,2,FALSE)</f>
        <v>-6.1308839486784707E-2</v>
      </c>
      <c r="H873" t="s">
        <v>25</v>
      </c>
      <c r="I873">
        <f>VLOOKUP(Table46[[#This Row],[Visitor]],'NHL Model'!$A$6:$B$38,2,FALSE)</f>
        <v>0.67193921242367816</v>
      </c>
      <c r="J873">
        <f>($B$1+Table46[[#This Row],[Home Differential]])-Table46[[#This Row],[Away Differential]]</f>
        <v>-0.57067574224814444</v>
      </c>
      <c r="K873" t="str">
        <f>IF(Table46[[#This Row],[HomeIce Differential]]&gt;0,Table46[[#This Row],[Home]],Table46[[#This Row],[Visitor]])</f>
        <v>Carolina Hurricanes</v>
      </c>
      <c r="L87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0.62833984039906032</v>
      </c>
      <c r="M873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873" t="str">
        <f>IF(OR((NHL2025_26Results[[#This Row],[Winning Team]]="")),"-",IF(Table46[[#This Row],[Predicted Winner]]=NHL2025_26Results[[#This Row],[Winning Team]],"YES","NO"))</f>
        <v>-</v>
      </c>
      <c r="O873" t="str">
        <f>IF(OR((NHL2025_26Results[[#This Row],[Winning Team]]="")),"-",IF(Table46[[#This Row],[Prob Winner]]=NHL2025_26Results[[#This Row],[Winning Team]],"YES","NO"))</f>
        <v>-</v>
      </c>
      <c r="P873" t="str">
        <f>IF(Table46[[#This Row],[Locked Prediction]]&lt;&gt;Table46[[#This Row],[Prob Winner]], "Changed", "Same")</f>
        <v>Changed</v>
      </c>
      <c r="Q87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74" spans="4:17" x14ac:dyDescent="0.2">
      <c r="D874" s="1">
        <v>46054</v>
      </c>
      <c r="E874" s="2">
        <v>0.89583333333333337</v>
      </c>
      <c r="F874" t="s">
        <v>31</v>
      </c>
      <c r="G874">
        <f>VLOOKUP(Table46[[#This Row],[Home]],'NHL Model'!$A$6:$B$38,2,FALSE)</f>
        <v>0.51775546328552802</v>
      </c>
      <c r="H874" t="s">
        <v>20</v>
      </c>
      <c r="I874">
        <f>VLOOKUP(Table46[[#This Row],[Visitor]],'NHL Model'!$A$6:$B$38,2,FALSE)</f>
        <v>-6.3745791019188943E-4</v>
      </c>
      <c r="J874">
        <f>($B$1+Table46[[#This Row],[Home Differential]])-Table46[[#This Row],[Away Differential]]</f>
        <v>0.68096523085803828</v>
      </c>
      <c r="K874" t="str">
        <f>IF(Table46[[#This Row],[HomeIce Differential]]&gt;0,Table46[[#This Row],[Home]],Table46[[#This Row],[Visitor]])</f>
        <v>Anaheim Ducks</v>
      </c>
      <c r="L87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0.71551322178021337</v>
      </c>
      <c r="M874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874" t="str">
        <f>IF(OR((NHL2025_26Results[[#This Row],[Winning Team]]="")),"-",IF(Table46[[#This Row],[Predicted Winner]]=NHL2025_26Results[[#This Row],[Winning Team]],"YES","NO"))</f>
        <v>-</v>
      </c>
      <c r="O874" t="str">
        <f>IF(OR((NHL2025_26Results[[#This Row],[Winning Team]]="")),"-",IF(Table46[[#This Row],[Prob Winner]]=NHL2025_26Results[[#This Row],[Winning Team]],"YES","NO"))</f>
        <v>-</v>
      </c>
      <c r="P874" t="str">
        <f>IF(Table46[[#This Row],[Locked Prediction]]&lt;&gt;Table46[[#This Row],[Prob Winner]], "Changed", "Same")</f>
        <v>Changed</v>
      </c>
      <c r="Q87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75" spans="4:17" x14ac:dyDescent="0.2">
      <c r="D875" s="1">
        <v>46054</v>
      </c>
      <c r="E875" s="2">
        <v>0.625</v>
      </c>
      <c r="F875" t="s">
        <v>25</v>
      </c>
      <c r="G875">
        <f>VLOOKUP(Table46[[#This Row],[Home]],'NHL Model'!$A$6:$B$38,2,FALSE)</f>
        <v>0.67193921242367816</v>
      </c>
      <c r="H875" t="s">
        <v>13</v>
      </c>
      <c r="I875">
        <f>VLOOKUP(Table46[[#This Row],[Visitor]],'NHL Model'!$A$6:$B$38,2,FALSE)</f>
        <v>-7.5459708298993802E-2</v>
      </c>
      <c r="J875">
        <f>($B$1+Table46[[#This Row],[Home Differential]])-Table46[[#This Row],[Away Differential]]</f>
        <v>0.90997123038499039</v>
      </c>
      <c r="K875" t="str">
        <f>IF(Table46[[#This Row],[HomeIce Differential]]&gt;0,Table46[[#This Row],[Home]],Table46[[#This Row],[Visitor]])</f>
        <v>Carolina Hurricanes</v>
      </c>
      <c r="L87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0.59154070695800631</v>
      </c>
      <c r="M875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875" t="str">
        <f>IF(OR((NHL2025_26Results[[#This Row],[Winning Team]]="")),"-",IF(Table46[[#This Row],[Predicted Winner]]=NHL2025_26Results[[#This Row],[Winning Team]],"YES","NO"))</f>
        <v>-</v>
      </c>
      <c r="O875" t="str">
        <f>IF(OR((NHL2025_26Results[[#This Row],[Winning Team]]="")),"-",IF(Table46[[#This Row],[Prob Winner]]=NHL2025_26Results[[#This Row],[Winning Team]],"YES","NO"))</f>
        <v>-</v>
      </c>
      <c r="P875" t="str">
        <f>IF(Table46[[#This Row],[Locked Prediction]]&lt;&gt;Table46[[#This Row],[Prob Winner]], "Changed", "Same")</f>
        <v>Changed</v>
      </c>
      <c r="Q87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76" spans="4:17" x14ac:dyDescent="0.2">
      <c r="D876" s="1">
        <v>46054</v>
      </c>
      <c r="E876" s="2">
        <v>0.54166666666666663</v>
      </c>
      <c r="F876" t="s">
        <v>37</v>
      </c>
      <c r="G876">
        <f>VLOOKUP(Table46[[#This Row],[Home]],'NHL Model'!$A$6:$B$38,2,FALSE)</f>
        <v>-0.11309445867623392</v>
      </c>
      <c r="H876" t="s">
        <v>21</v>
      </c>
      <c r="I876">
        <f>VLOOKUP(Table46[[#This Row],[Visitor]],'NHL Model'!$A$6:$B$38,2,FALSE)</f>
        <v>4.029141914856392E-2</v>
      </c>
      <c r="J876">
        <f>($B$1+Table46[[#This Row],[Home Differential]])-Table46[[#This Row],[Away Differential]]</f>
        <v>9.1864318375205478E-3</v>
      </c>
      <c r="K876" t="str">
        <f>IF(Table46[[#This Row],[HomeIce Differential]]&gt;0,Table46[[#This Row],[Home]],Table46[[#This Row],[Visitor]])</f>
        <v>Tampa Bay Lightning</v>
      </c>
      <c r="L87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0.54122105139087739</v>
      </c>
      <c r="M876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876" t="str">
        <f>IF(OR((NHL2025_26Results[[#This Row],[Winning Team]]="")),"-",IF(Table46[[#This Row],[Predicted Winner]]=NHL2025_26Results[[#This Row],[Winning Team]],"YES","NO"))</f>
        <v>-</v>
      </c>
      <c r="O876" t="str">
        <f>IF(OR((NHL2025_26Results[[#This Row],[Winning Team]]="")),"-",IF(Table46[[#This Row],[Prob Winner]]=NHL2025_26Results[[#This Row],[Winning Team]],"YES","NO"))</f>
        <v>-</v>
      </c>
      <c r="P876" t="str">
        <f>IF(Table46[[#This Row],[Locked Prediction]]&lt;&gt;Table46[[#This Row],[Prob Winner]], "Changed", "Same")</f>
        <v>Changed</v>
      </c>
      <c r="Q87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77" spans="4:17" x14ac:dyDescent="0.2">
      <c r="D877" s="1">
        <v>46055</v>
      </c>
      <c r="E877" s="2">
        <v>0.91666666666666663</v>
      </c>
      <c r="F877" t="s">
        <v>16</v>
      </c>
      <c r="G877">
        <f>VLOOKUP(Table46[[#This Row],[Home]],'NHL Model'!$A$6:$B$38,2,FALSE)</f>
        <v>-1.3903684122795328</v>
      </c>
      <c r="H877" t="s">
        <v>19</v>
      </c>
      <c r="I877">
        <f>VLOOKUP(Table46[[#This Row],[Visitor]],'NHL Model'!$A$6:$B$38,2,FALSE)</f>
        <v>-0.635565543477981</v>
      </c>
      <c r="J877">
        <f>($B$1+Table46[[#This Row],[Home Differential]])-Table46[[#This Row],[Away Differential]]</f>
        <v>-0.59223055913923339</v>
      </c>
      <c r="K877" t="str">
        <f>IF(Table46[[#This Row],[HomeIce Differential]]&gt;0,Table46[[#This Row],[Home]],Table46[[#This Row],[Visitor]])</f>
        <v>Toronto Maple Leafs</v>
      </c>
      <c r="L87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0.53871869739493972</v>
      </c>
      <c r="M877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877" t="str">
        <f>IF(OR((NHL2025_26Results[[#This Row],[Winning Team]]="")),"-",IF(Table46[[#This Row],[Predicted Winner]]=NHL2025_26Results[[#This Row],[Winning Team]],"YES","NO"))</f>
        <v>-</v>
      </c>
      <c r="O877" t="str">
        <f>IF(OR((NHL2025_26Results[[#This Row],[Winning Team]]="")),"-",IF(Table46[[#This Row],[Prob Winner]]=NHL2025_26Results[[#This Row],[Winning Team]],"YES","NO"))</f>
        <v>-</v>
      </c>
      <c r="P877" t="str">
        <f>IF(Table46[[#This Row],[Locked Prediction]]&lt;&gt;Table46[[#This Row],[Prob Winner]], "Changed", "Same")</f>
        <v>Changed</v>
      </c>
      <c r="Q87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78" spans="4:17" x14ac:dyDescent="0.2">
      <c r="D878" s="1">
        <v>46055</v>
      </c>
      <c r="E878" s="2">
        <v>0.85416666666666663</v>
      </c>
      <c r="F878" t="s">
        <v>10</v>
      </c>
      <c r="G878">
        <f>VLOOKUP(Table46[[#This Row],[Home]],'NHL Model'!$A$6:$B$38,2,FALSE)</f>
        <v>0.30570968833820172</v>
      </c>
      <c r="H878" t="s">
        <v>33</v>
      </c>
      <c r="I878">
        <f>VLOOKUP(Table46[[#This Row],[Visitor]],'NHL Model'!$A$6:$B$38,2,FALSE)</f>
        <v>-0.39418177254008485</v>
      </c>
      <c r="J878">
        <f>($B$1+Table46[[#This Row],[Home Differential]])-Table46[[#This Row],[Away Differential]]</f>
        <v>0.86246377054060497</v>
      </c>
      <c r="K878" t="str">
        <f>IF(Table46[[#This Row],[HomeIce Differential]]&gt;0,Table46[[#This Row],[Home]],Table46[[#This Row],[Visitor]])</f>
        <v>Chicago Blackhawks</v>
      </c>
      <c r="L87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0.65463782731164877</v>
      </c>
      <c r="M878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878" t="str">
        <f>IF(OR((NHL2025_26Results[[#This Row],[Winning Team]]="")),"-",IF(Table46[[#This Row],[Predicted Winner]]=NHL2025_26Results[[#This Row],[Winning Team]],"YES","NO"))</f>
        <v>-</v>
      </c>
      <c r="O878" t="str">
        <f>IF(OR((NHL2025_26Results[[#This Row],[Winning Team]]="")),"-",IF(Table46[[#This Row],[Prob Winner]]=NHL2025_26Results[[#This Row],[Winning Team]],"YES","NO"))</f>
        <v>-</v>
      </c>
      <c r="P878" t="str">
        <f>IF(Table46[[#This Row],[Locked Prediction]]&lt;&gt;Table46[[#This Row],[Prob Winner]], "Changed", "Same")</f>
        <v>Changed</v>
      </c>
      <c r="Q87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79" spans="4:17" x14ac:dyDescent="0.2">
      <c r="D879" s="1">
        <v>46055</v>
      </c>
      <c r="E879" s="2">
        <v>0.875</v>
      </c>
      <c r="F879" t="s">
        <v>12</v>
      </c>
      <c r="G879">
        <f>VLOOKUP(Table46[[#This Row],[Home]],'NHL Model'!$A$6:$B$38,2,FALSE)</f>
        <v>1.5475013591489768</v>
      </c>
      <c r="H879" t="s">
        <v>26</v>
      </c>
      <c r="I879">
        <f>VLOOKUP(Table46[[#This Row],[Visitor]],'NHL Model'!$A$6:$B$38,2,FALSE)</f>
        <v>-0.513643833119658</v>
      </c>
      <c r="J879">
        <f>($B$1+Table46[[#This Row],[Home Differential]])-Table46[[#This Row],[Away Differential]]</f>
        <v>2.2237175019309534</v>
      </c>
      <c r="K879" t="str">
        <f>IF(Table46[[#This Row],[HomeIce Differential]]&gt;0,Table46[[#This Row],[Home]],Table46[[#This Row],[Visitor]])</f>
        <v>Colorado Avalanche</v>
      </c>
      <c r="L87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0.87890765388301006</v>
      </c>
      <c r="M879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879" t="str">
        <f>IF(OR((NHL2025_26Results[[#This Row],[Winning Team]]="")),"-",IF(Table46[[#This Row],[Predicted Winner]]=NHL2025_26Results[[#This Row],[Winning Team]],"YES","NO"))</f>
        <v>-</v>
      </c>
      <c r="O879" t="str">
        <f>IF(OR((NHL2025_26Results[[#This Row],[Winning Team]]="")),"-",IF(Table46[[#This Row],[Prob Winner]]=NHL2025_26Results[[#This Row],[Winning Team]],"YES","NO"))</f>
        <v>-</v>
      </c>
      <c r="P879" t="str">
        <f>IF(Table46[[#This Row],[Locked Prediction]]&lt;&gt;Table46[[#This Row],[Prob Winner]], "Changed", "Same")</f>
        <v>Changed</v>
      </c>
      <c r="Q87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80" spans="4:17" x14ac:dyDescent="0.2">
      <c r="D880" s="1">
        <v>46055</v>
      </c>
      <c r="E880" s="2">
        <v>0.85416666666666663</v>
      </c>
      <c r="F880" t="s">
        <v>39</v>
      </c>
      <c r="G880">
        <f>VLOOKUP(Table46[[#This Row],[Home]],'NHL Model'!$A$6:$B$38,2,FALSE)</f>
        <v>0.19809534061227302</v>
      </c>
      <c r="H880" t="s">
        <v>40</v>
      </c>
      <c r="I880">
        <f>VLOOKUP(Table46[[#This Row],[Visitor]],'NHL Model'!$A$6:$B$38,2,FALSE)</f>
        <v>0.105105258369765</v>
      </c>
      <c r="J880">
        <f>($B$1+Table46[[#This Row],[Home Differential]])-Table46[[#This Row],[Away Differential]]</f>
        <v>0.25556239190482644</v>
      </c>
      <c r="K880" t="str">
        <f>IF(Table46[[#This Row],[HomeIce Differential]]&gt;0,Table46[[#This Row],[Home]],Table46[[#This Row],[Visitor]])</f>
        <v>Dallas Stars</v>
      </c>
      <c r="L88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0.53396909916827406</v>
      </c>
      <c r="M880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880" t="str">
        <f>IF(OR((NHL2025_26Results[[#This Row],[Winning Team]]="")),"-",IF(Table46[[#This Row],[Predicted Winner]]=NHL2025_26Results[[#This Row],[Winning Team]],"YES","NO"))</f>
        <v>-</v>
      </c>
      <c r="O880" t="str">
        <f>IF(OR((NHL2025_26Results[[#This Row],[Winning Team]]="")),"-",IF(Table46[[#This Row],[Prob Winner]]=NHL2025_26Results[[#This Row],[Winning Team]],"YES","NO"))</f>
        <v>-</v>
      </c>
      <c r="P880" t="str">
        <f>IF(Table46[[#This Row],[Locked Prediction]]&lt;&gt;Table46[[#This Row],[Prob Winner]], "Changed", "Same")</f>
        <v>Changed</v>
      </c>
      <c r="Q88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81" spans="4:17" x14ac:dyDescent="0.2">
      <c r="D881" s="1">
        <v>46055</v>
      </c>
      <c r="E881" s="2">
        <v>0.79166666666666663</v>
      </c>
      <c r="F881" t="s">
        <v>11</v>
      </c>
      <c r="G881">
        <f>VLOOKUP(Table46[[#This Row],[Home]],'NHL Model'!$A$6:$B$38,2,FALSE)</f>
        <v>-0.28105923893144158</v>
      </c>
      <c r="H881" t="s">
        <v>23</v>
      </c>
      <c r="I881">
        <f>VLOOKUP(Table46[[#This Row],[Visitor]],'NHL Model'!$A$6:$B$38,2,FALSE)</f>
        <v>-0.8683412362501769</v>
      </c>
      <c r="J881">
        <f>($B$1+Table46[[#This Row],[Home Differential]])-Table46[[#This Row],[Away Differential]]</f>
        <v>0.74985430698105371</v>
      </c>
      <c r="K881" t="str">
        <f>IF(Table46[[#This Row],[HomeIce Differential]]&gt;0,Table46[[#This Row],[Home]],Table46[[#This Row],[Visitor]])</f>
        <v>Florida Panthers</v>
      </c>
      <c r="L88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0.69138586565170657</v>
      </c>
      <c r="M881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881" t="str">
        <f>IF(OR((NHL2025_26Results[[#This Row],[Winning Team]]="")),"-",IF(Table46[[#This Row],[Predicted Winner]]=NHL2025_26Results[[#This Row],[Winning Team]],"YES","NO"))</f>
        <v>-</v>
      </c>
      <c r="O881" t="str">
        <f>IF(OR((NHL2025_26Results[[#This Row],[Winning Team]]="")),"-",IF(Table46[[#This Row],[Prob Winner]]=NHL2025_26Results[[#This Row],[Winning Team]],"YES","NO"))</f>
        <v>-</v>
      </c>
      <c r="P881" t="str">
        <f>IF(Table46[[#This Row],[Locked Prediction]]&lt;&gt;Table46[[#This Row],[Prob Winner]], "Changed", "Same")</f>
        <v>Changed</v>
      </c>
      <c r="Q88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82" spans="4:17" x14ac:dyDescent="0.2">
      <c r="D882" s="1">
        <v>46055</v>
      </c>
      <c r="E882" s="2">
        <v>0.8125</v>
      </c>
      <c r="F882" t="s">
        <v>34</v>
      </c>
      <c r="G882">
        <f>VLOOKUP(Table46[[#This Row],[Home]],'NHL Model'!$A$6:$B$38,2,FALSE)</f>
        <v>-0.53650300840565446</v>
      </c>
      <c r="H882" t="s">
        <v>18</v>
      </c>
      <c r="I882">
        <f>VLOOKUP(Table46[[#This Row],[Visitor]],'NHL Model'!$A$6:$B$38,2,FALSE)</f>
        <v>-0.52437726201848234</v>
      </c>
      <c r="J882">
        <f>($B$1+Table46[[#This Row],[Home Differential]])-Table46[[#This Row],[Away Differential]]</f>
        <v>0.15044656327514627</v>
      </c>
      <c r="K882" t="str">
        <f>IF(Table46[[#This Row],[HomeIce Differential]]&gt;0,Table46[[#This Row],[Home]],Table46[[#This Row],[Visitor]])</f>
        <v>Minnesota Wild</v>
      </c>
      <c r="L88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0.48351652098981218</v>
      </c>
      <c r="M882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882" t="str">
        <f>IF(OR((NHL2025_26Results[[#This Row],[Winning Team]]="")),"-",IF(Table46[[#This Row],[Predicted Winner]]=NHL2025_26Results[[#This Row],[Winning Team]],"YES","NO"))</f>
        <v>-</v>
      </c>
      <c r="O882" t="str">
        <f>IF(OR((NHL2025_26Results[[#This Row],[Winning Team]]="")),"-",IF(Table46[[#This Row],[Prob Winner]]=NHL2025_26Results[[#This Row],[Winning Team]],"YES","NO"))</f>
        <v>-</v>
      </c>
      <c r="P882" t="str">
        <f>IF(Table46[[#This Row],[Locked Prediction]]&lt;&gt;Table46[[#This Row],[Prob Winner]], "Changed", "Same")</f>
        <v>Changed</v>
      </c>
      <c r="Q88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83" spans="4:17" x14ac:dyDescent="0.2">
      <c r="D883" s="1">
        <v>46055</v>
      </c>
      <c r="E883" s="2">
        <v>0.83333333333333337</v>
      </c>
      <c r="F883" t="s">
        <v>29</v>
      </c>
      <c r="G883">
        <f>VLOOKUP(Table46[[#This Row],[Home]],'NHL Model'!$A$6:$B$38,2,FALSE)</f>
        <v>-1.3516250707060606</v>
      </c>
      <c r="H883" t="s">
        <v>35</v>
      </c>
      <c r="I883">
        <f>VLOOKUP(Table46[[#This Row],[Visitor]],'NHL Model'!$A$6:$B$38,2,FALSE)</f>
        <v>-1.6211574240381006</v>
      </c>
      <c r="J883">
        <f>($B$1+Table46[[#This Row],[Home Differential]])-Table46[[#This Row],[Away Differential]]</f>
        <v>0.43210466299435835</v>
      </c>
      <c r="K883" t="str">
        <f>IF(Table46[[#This Row],[HomeIce Differential]]&gt;0,Table46[[#This Row],[Home]],Table46[[#This Row],[Visitor]])</f>
        <v>Nashville Predators</v>
      </c>
      <c r="L88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0.59743492240358786</v>
      </c>
      <c r="M883" s="11" t="str">
        <f>IF(Table46[[#This Row],[Strength of Win]]&gt; 0.5,Table46[[#This Row],[Predicted Winner]], IF(Table46[[#This Row],[Home]]=Table46[[#This Row],[Predicted Winner]],Table46[[#This Row],[Visitor]],Table46[[#This Row],[Home]]))</f>
        <v>Nashville Predators</v>
      </c>
      <c r="N883" t="str">
        <f>IF(OR((NHL2025_26Results[[#This Row],[Winning Team]]="")),"-",IF(Table46[[#This Row],[Predicted Winner]]=NHL2025_26Results[[#This Row],[Winning Team]],"YES","NO"))</f>
        <v>-</v>
      </c>
      <c r="O883" t="str">
        <f>IF(OR((NHL2025_26Results[[#This Row],[Winning Team]]="")),"-",IF(Table46[[#This Row],[Prob Winner]]=NHL2025_26Results[[#This Row],[Winning Team]],"YES","NO"))</f>
        <v>-</v>
      </c>
      <c r="P883" t="str">
        <f>IF(Table46[[#This Row],[Locked Prediction]]&lt;&gt;Table46[[#This Row],[Prob Winner]], "Changed", "Same")</f>
        <v>Changed</v>
      </c>
      <c r="Q88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84" spans="4:17" x14ac:dyDescent="0.2">
      <c r="D884" s="1">
        <v>46055</v>
      </c>
      <c r="E884" s="2">
        <v>0.79166666666666663</v>
      </c>
      <c r="F884" t="s">
        <v>14</v>
      </c>
      <c r="G884">
        <f>VLOOKUP(Table46[[#This Row],[Home]],'NHL Model'!$A$6:$B$38,2,FALSE)</f>
        <v>0.26289091192875702</v>
      </c>
      <c r="H884" t="s">
        <v>36</v>
      </c>
      <c r="I884">
        <f>VLOOKUP(Table46[[#This Row],[Visitor]],'NHL Model'!$A$6:$B$38,2,FALSE)</f>
        <v>-0.40651947573390851</v>
      </c>
      <c r="J884">
        <f>($B$1+Table46[[#This Row],[Home Differential]])-Table46[[#This Row],[Away Differential]]</f>
        <v>0.83198269732498398</v>
      </c>
      <c r="K884" t="str">
        <f>IF(Table46[[#This Row],[HomeIce Differential]]&gt;0,Table46[[#This Row],[Home]],Table46[[#This Row],[Visitor]])</f>
        <v>Pittsburgh Penguins</v>
      </c>
      <c r="L88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0.68662317970967368</v>
      </c>
      <c r="M884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884" t="str">
        <f>IF(OR((NHL2025_26Results[[#This Row],[Winning Team]]="")),"-",IF(Table46[[#This Row],[Predicted Winner]]=NHL2025_26Results[[#This Row],[Winning Team]],"YES","NO"))</f>
        <v>-</v>
      </c>
      <c r="O884" t="str">
        <f>IF(OR((NHL2025_26Results[[#This Row],[Winning Team]]="")),"-",IF(Table46[[#This Row],[Prob Winner]]=NHL2025_26Results[[#This Row],[Winning Team]],"YES","NO"))</f>
        <v>-</v>
      </c>
      <c r="P884" t="str">
        <f>IF(Table46[[#This Row],[Locked Prediction]]&lt;&gt;Table46[[#This Row],[Prob Winner]], "Changed", "Same")</f>
        <v>Changed</v>
      </c>
      <c r="Q88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85" spans="4:17" x14ac:dyDescent="0.2">
      <c r="D885" s="1">
        <v>46055</v>
      </c>
      <c r="E885" s="2">
        <v>0.89583333333333337</v>
      </c>
      <c r="F885" t="s">
        <v>55</v>
      </c>
      <c r="G885">
        <f>VLOOKUP(Table46[[#This Row],[Home]],'NHL Model'!$A$6:$B$38,2,FALSE)</f>
        <v>-0.12212311954851815</v>
      </c>
      <c r="H885" t="s">
        <v>38</v>
      </c>
      <c r="I885">
        <f>VLOOKUP(Table46[[#This Row],[Visitor]],'NHL Model'!$A$6:$B$38,2,FALSE)</f>
        <v>-0.6902088310934803</v>
      </c>
      <c r="J885">
        <f>($B$1+Table46[[#This Row],[Home Differential]])-Table46[[#This Row],[Away Differential]]</f>
        <v>0.73065802120728052</v>
      </c>
      <c r="K885" t="str">
        <f>IF(Table46[[#This Row],[HomeIce Differential]]&gt;0,Table46[[#This Row],[Home]],Table46[[#This Row],[Visitor]])</f>
        <v>Utah Mammoth</v>
      </c>
      <c r="L88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0.66412864736984922</v>
      </c>
      <c r="M885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885" t="str">
        <f>IF(OR((NHL2025_26Results[[#This Row],[Winning Team]]="")),"-",IF(Table46[[#This Row],[Predicted Winner]]=NHL2025_26Results[[#This Row],[Winning Team]],"YES","NO"))</f>
        <v>-</v>
      </c>
      <c r="O885" t="str">
        <f>IF(OR((NHL2025_26Results[[#This Row],[Winning Team]]="")),"-",IF(Table46[[#This Row],[Prob Winner]]=NHL2025_26Results[[#This Row],[Winning Team]],"YES","NO"))</f>
        <v>-</v>
      </c>
      <c r="P885" t="str">
        <f>IF(Table46[[#This Row],[Locked Prediction]]&lt;&gt;Table46[[#This Row],[Prob Winner]], "Changed", "Same")</f>
        <v>Changed</v>
      </c>
      <c r="Q88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86" spans="4:17" x14ac:dyDescent="0.2">
      <c r="D886" s="1">
        <v>46055</v>
      </c>
      <c r="E886" s="2">
        <v>0.79166666666666663</v>
      </c>
      <c r="F886" t="s">
        <v>22</v>
      </c>
      <c r="G886">
        <f>VLOOKUP(Table46[[#This Row],[Home]],'NHL Model'!$A$6:$B$38,2,FALSE)</f>
        <v>-6.1308839486784707E-2</v>
      </c>
      <c r="H886" t="s">
        <v>30</v>
      </c>
      <c r="I886">
        <f>VLOOKUP(Table46[[#This Row],[Visitor]],'NHL Model'!$A$6:$B$38,2,FALSE)</f>
        <v>-6.4729560818359025E-2</v>
      </c>
      <c r="J886">
        <f>($B$1+Table46[[#This Row],[Home Differential]])-Table46[[#This Row],[Away Differential]]</f>
        <v>0.16599303099389273</v>
      </c>
      <c r="K886" t="str">
        <f>IF(Table46[[#This Row],[HomeIce Differential]]&gt;0,Table46[[#This Row],[Home]],Table46[[#This Row],[Visitor]])</f>
        <v>Washington Capitals</v>
      </c>
      <c r="L88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0.51955106591098021</v>
      </c>
      <c r="M886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886" t="str">
        <f>IF(OR((NHL2025_26Results[[#This Row],[Winning Team]]="")),"-",IF(Table46[[#This Row],[Predicted Winner]]=NHL2025_26Results[[#This Row],[Winning Team]],"YES","NO"))</f>
        <v>-</v>
      </c>
      <c r="O886" t="str">
        <f>IF(OR((NHL2025_26Results[[#This Row],[Winning Team]]="")),"-",IF(Table46[[#This Row],[Prob Winner]]=NHL2025_26Results[[#This Row],[Winning Team]],"YES","NO"))</f>
        <v>-</v>
      </c>
      <c r="P886" t="str">
        <f>IF(Table46[[#This Row],[Locked Prediction]]&lt;&gt;Table46[[#This Row],[Prob Winner]], "Changed", "Same")</f>
        <v>Changed</v>
      </c>
      <c r="Q88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87" spans="4:17" x14ac:dyDescent="0.2">
      <c r="D887" s="1">
        <v>46056</v>
      </c>
      <c r="E887" s="2">
        <v>0.91666666666666663</v>
      </c>
      <c r="F887" t="s">
        <v>31</v>
      </c>
      <c r="G887">
        <f>VLOOKUP(Table46[[#This Row],[Home]],'NHL Model'!$A$6:$B$38,2,FALSE)</f>
        <v>0.51775546328552802</v>
      </c>
      <c r="H887" t="s">
        <v>32</v>
      </c>
      <c r="I887">
        <f>VLOOKUP(Table46[[#This Row],[Visitor]],'NHL Model'!$A$6:$B$38,2,FALSE)</f>
        <v>-0.361361309178443</v>
      </c>
      <c r="J887">
        <f>($B$1+Table46[[#This Row],[Home Differential]])-Table46[[#This Row],[Away Differential]]</f>
        <v>1.0416890821262894</v>
      </c>
      <c r="K887" t="str">
        <f>IF(Table46[[#This Row],[HomeIce Differential]]&gt;0,Table46[[#This Row],[Home]],Table46[[#This Row],[Visitor]])</f>
        <v>Anaheim Ducks</v>
      </c>
      <c r="L88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0.7827901745306709</v>
      </c>
      <c r="M887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887" t="str">
        <f>IF(OR((NHL2025_26Results[[#This Row],[Winning Team]]="")),"-",IF(Table46[[#This Row],[Predicted Winner]]=NHL2025_26Results[[#This Row],[Winning Team]],"YES","NO"))</f>
        <v>-</v>
      </c>
      <c r="O887" t="str">
        <f>IF(OR((NHL2025_26Results[[#This Row],[Winning Team]]="")),"-",IF(Table46[[#This Row],[Prob Winner]]=NHL2025_26Results[[#This Row],[Winning Team]],"YES","NO"))</f>
        <v>-</v>
      </c>
      <c r="P887" t="str">
        <f>IF(Table46[[#This Row],[Locked Prediction]]&lt;&gt;Table46[[#This Row],[Prob Winner]], "Changed", "Same")</f>
        <v>Changed</v>
      </c>
      <c r="Q88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88" spans="4:17" x14ac:dyDescent="0.2">
      <c r="D888" s="1">
        <v>46056</v>
      </c>
      <c r="E888" s="2">
        <v>0.79166666666666663</v>
      </c>
      <c r="F888" t="s">
        <v>25</v>
      </c>
      <c r="G888">
        <f>VLOOKUP(Table46[[#This Row],[Home]],'NHL Model'!$A$6:$B$38,2,FALSE)</f>
        <v>0.67193921242367816</v>
      </c>
      <c r="H888" t="s">
        <v>36</v>
      </c>
      <c r="I888">
        <f>VLOOKUP(Table46[[#This Row],[Visitor]],'NHL Model'!$A$6:$B$38,2,FALSE)</f>
        <v>-0.40651947573390851</v>
      </c>
      <c r="J888">
        <f>($B$1+Table46[[#This Row],[Home Differential]])-Table46[[#This Row],[Away Differential]]</f>
        <v>1.241030997819905</v>
      </c>
      <c r="K888" t="str">
        <f>IF(Table46[[#This Row],[HomeIce Differential]]&gt;0,Table46[[#This Row],[Home]],Table46[[#This Row],[Visitor]])</f>
        <v>Carolina Hurricanes</v>
      </c>
      <c r="L88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0.75667258329388298</v>
      </c>
      <c r="M888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888" t="str">
        <f>IF(OR((NHL2025_26Results[[#This Row],[Winning Team]]="")),"-",IF(Table46[[#This Row],[Predicted Winner]]=NHL2025_26Results[[#This Row],[Winning Team]],"YES","NO"))</f>
        <v>-</v>
      </c>
      <c r="O888" t="str">
        <f>IF(OR((NHL2025_26Results[[#This Row],[Winning Team]]="")),"-",IF(Table46[[#This Row],[Prob Winner]]=NHL2025_26Results[[#This Row],[Winning Team]],"YES","NO"))</f>
        <v>-</v>
      </c>
      <c r="P888" t="str">
        <f>IF(Table46[[#This Row],[Locked Prediction]]&lt;&gt;Table46[[#This Row],[Prob Winner]], "Changed", "Same")</f>
        <v>Changed</v>
      </c>
      <c r="Q88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89" spans="4:17" x14ac:dyDescent="0.2">
      <c r="D889" s="1">
        <v>46056</v>
      </c>
      <c r="E889" s="2">
        <v>0.85416666666666663</v>
      </c>
      <c r="F889" t="s">
        <v>17</v>
      </c>
      <c r="G889">
        <f>VLOOKUP(Table46[[#This Row],[Home]],'NHL Model'!$A$6:$B$38,2,FALSE)</f>
        <v>-0.61980804137564283</v>
      </c>
      <c r="H889" t="s">
        <v>19</v>
      </c>
      <c r="I889">
        <f>VLOOKUP(Table46[[#This Row],[Visitor]],'NHL Model'!$A$6:$B$38,2,FALSE)</f>
        <v>-0.635565543477981</v>
      </c>
      <c r="J889">
        <f>($B$1+Table46[[#This Row],[Home Differential]])-Table46[[#This Row],[Away Differential]]</f>
        <v>0.17832981176465657</v>
      </c>
      <c r="K889" t="str">
        <f>IF(Table46[[#This Row],[HomeIce Differential]]&gt;0,Table46[[#This Row],[Home]],Table46[[#This Row],[Visitor]])</f>
        <v>Edmonton Oilers</v>
      </c>
      <c r="L88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0.5997402877249397</v>
      </c>
      <c r="M889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889" t="str">
        <f>IF(OR((NHL2025_26Results[[#This Row],[Winning Team]]="")),"-",IF(Table46[[#This Row],[Predicted Winner]]=NHL2025_26Results[[#This Row],[Winning Team]],"YES","NO"))</f>
        <v>-</v>
      </c>
      <c r="O889" t="str">
        <f>IF(OR((NHL2025_26Results[[#This Row],[Winning Team]]="")),"-",IF(Table46[[#This Row],[Prob Winner]]=NHL2025_26Results[[#This Row],[Winning Team]],"YES","NO"))</f>
        <v>-</v>
      </c>
      <c r="P889" t="str">
        <f>IF(Table46[[#This Row],[Locked Prediction]]&lt;&gt;Table46[[#This Row],[Prob Winner]], "Changed", "Same")</f>
        <v>Changed</v>
      </c>
      <c r="Q88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90" spans="4:17" x14ac:dyDescent="0.2">
      <c r="D890" s="1">
        <v>46056</v>
      </c>
      <c r="E890" s="2">
        <v>0.79166666666666663</v>
      </c>
      <c r="F890" t="s">
        <v>24</v>
      </c>
      <c r="G890">
        <f>VLOOKUP(Table46[[#This Row],[Home]],'NHL Model'!$A$6:$B$38,2,FALSE)</f>
        <v>0.559441163373953</v>
      </c>
      <c r="H890" t="s">
        <v>28</v>
      </c>
      <c r="I890">
        <f>VLOOKUP(Table46[[#This Row],[Visitor]],'NHL Model'!$A$6:$B$38,2,FALSE)</f>
        <v>-0.40822279081308277</v>
      </c>
      <c r="J890">
        <f>($B$1+Table46[[#This Row],[Home Differential]])-Table46[[#This Row],[Away Differential]]</f>
        <v>1.1302362638493542</v>
      </c>
      <c r="K890" t="str">
        <f>IF(Table46[[#This Row],[HomeIce Differential]]&gt;0,Table46[[#This Row],[Home]],Table46[[#This Row],[Visitor]])</f>
        <v>New Jersey Devils</v>
      </c>
      <c r="L89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0.78659351738844774</v>
      </c>
      <c r="M890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890" t="str">
        <f>IF(OR((NHL2025_26Results[[#This Row],[Winning Team]]="")),"-",IF(Table46[[#This Row],[Predicted Winner]]=NHL2025_26Results[[#This Row],[Winning Team]],"YES","NO"))</f>
        <v>-</v>
      </c>
      <c r="O890" t="str">
        <f>IF(OR((NHL2025_26Results[[#This Row],[Winning Team]]="")),"-",IF(Table46[[#This Row],[Prob Winner]]=NHL2025_26Results[[#This Row],[Winning Team]],"YES","NO"))</f>
        <v>-</v>
      </c>
      <c r="P890" t="str">
        <f>IF(Table46[[#This Row],[Locked Prediction]]&lt;&gt;Table46[[#This Row],[Prob Winner]], "Changed", "Same")</f>
        <v>Changed</v>
      </c>
      <c r="Q89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91" spans="4:17" x14ac:dyDescent="0.2">
      <c r="D891" s="1">
        <v>46056</v>
      </c>
      <c r="E891" s="2">
        <v>0.8125</v>
      </c>
      <c r="F891" t="s">
        <v>30</v>
      </c>
      <c r="G891">
        <f>VLOOKUP(Table46[[#This Row],[Home]],'NHL Model'!$A$6:$B$38,2,FALSE)</f>
        <v>-6.4729560818359025E-2</v>
      </c>
      <c r="H891" t="s">
        <v>14</v>
      </c>
      <c r="I891">
        <f>VLOOKUP(Table46[[#This Row],[Visitor]],'NHL Model'!$A$6:$B$38,2,FALSE)</f>
        <v>0.26289091192875702</v>
      </c>
      <c r="J891">
        <f>($B$1+Table46[[#This Row],[Home Differential]])-Table46[[#This Row],[Away Differential]]</f>
        <v>-0.16504816308479764</v>
      </c>
      <c r="K891" t="str">
        <f>IF(Table46[[#This Row],[HomeIce Differential]]&gt;0,Table46[[#This Row],[Home]],Table46[[#This Row],[Visitor]])</f>
        <v>Pittsburgh Penguins</v>
      </c>
      <c r="L89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0.48193803782153083</v>
      </c>
      <c r="M891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891" t="str">
        <f>IF(OR((NHL2025_26Results[[#This Row],[Winning Team]]="")),"-",IF(Table46[[#This Row],[Predicted Winner]]=NHL2025_26Results[[#This Row],[Winning Team]],"YES","NO"))</f>
        <v>-</v>
      </c>
      <c r="O891" t="str">
        <f>IF(OR((NHL2025_26Results[[#This Row],[Winning Team]]="")),"-",IF(Table46[[#This Row],[Prob Winner]]=NHL2025_26Results[[#This Row],[Winning Team]],"YES","NO"))</f>
        <v>-</v>
      </c>
      <c r="P891" t="str">
        <f>IF(Table46[[#This Row],[Locked Prediction]]&lt;&gt;Table46[[#This Row],[Prob Winner]], "Changed", "Same")</f>
        <v>Changed</v>
      </c>
      <c r="Q89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92" spans="4:17" x14ac:dyDescent="0.2">
      <c r="D892" s="1">
        <v>46056</v>
      </c>
      <c r="E892" s="2">
        <v>0.79166666666666663</v>
      </c>
      <c r="F892" t="s">
        <v>27</v>
      </c>
      <c r="G892">
        <f>VLOOKUP(Table46[[#This Row],[Home]],'NHL Model'!$A$6:$B$38,2,FALSE)</f>
        <v>-0.51358590497437617</v>
      </c>
      <c r="H892" t="s">
        <v>22</v>
      </c>
      <c r="I892">
        <f>VLOOKUP(Table46[[#This Row],[Visitor]],'NHL Model'!$A$6:$B$38,2,FALSE)</f>
        <v>-6.1308839486784707E-2</v>
      </c>
      <c r="J892">
        <f>($B$1+Table46[[#This Row],[Home Differential]])-Table46[[#This Row],[Away Differential]]</f>
        <v>-0.28970475582527305</v>
      </c>
      <c r="K892" t="str">
        <f>IF(Table46[[#This Row],[HomeIce Differential]]&gt;0,Table46[[#This Row],[Home]],Table46[[#This Row],[Visitor]])</f>
        <v>Washington Capitals</v>
      </c>
      <c r="L89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0.49601178904745435</v>
      </c>
      <c r="M892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892" t="str">
        <f>IF(OR((NHL2025_26Results[[#This Row],[Winning Team]]="")),"-",IF(Table46[[#This Row],[Predicted Winner]]=NHL2025_26Results[[#This Row],[Winning Team]],"YES","NO"))</f>
        <v>-</v>
      </c>
      <c r="O892" t="str">
        <f>IF(OR((NHL2025_26Results[[#This Row],[Winning Team]]="")),"-",IF(Table46[[#This Row],[Prob Winner]]=NHL2025_26Results[[#This Row],[Winning Team]],"YES","NO"))</f>
        <v>-</v>
      </c>
      <c r="P892" t="str">
        <f>IF(Table46[[#This Row],[Locked Prediction]]&lt;&gt;Table46[[#This Row],[Prob Winner]], "Changed", "Same")</f>
        <v>Changed</v>
      </c>
      <c r="Q89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93" spans="4:17" x14ac:dyDescent="0.2">
      <c r="D893" s="1">
        <v>46056</v>
      </c>
      <c r="E893" s="2">
        <v>0.8125</v>
      </c>
      <c r="F893" t="s">
        <v>37</v>
      </c>
      <c r="G893">
        <f>VLOOKUP(Table46[[#This Row],[Home]],'NHL Model'!$A$6:$B$38,2,FALSE)</f>
        <v>-0.11309445867623392</v>
      </c>
      <c r="H893" t="s">
        <v>23</v>
      </c>
      <c r="I893">
        <f>VLOOKUP(Table46[[#This Row],[Visitor]],'NHL Model'!$A$6:$B$38,2,FALSE)</f>
        <v>-0.8683412362501769</v>
      </c>
      <c r="J893">
        <f>($B$1+Table46[[#This Row],[Home Differential]])-Table46[[#This Row],[Away Differential]]</f>
        <v>0.91781908723626138</v>
      </c>
      <c r="K893" t="str">
        <f>IF(Table46[[#This Row],[HomeIce Differential]]&gt;0,Table46[[#This Row],[Home]],Table46[[#This Row],[Visitor]])</f>
        <v>Tampa Bay Lightning</v>
      </c>
      <c r="L89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0.6619956009977952</v>
      </c>
      <c r="M893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893" t="str">
        <f>IF(OR((NHL2025_26Results[[#This Row],[Winning Team]]="")),"-",IF(Table46[[#This Row],[Predicted Winner]]=NHL2025_26Results[[#This Row],[Winning Team]],"YES","NO"))</f>
        <v>-</v>
      </c>
      <c r="O893" t="str">
        <f>IF(OR((NHL2025_26Results[[#This Row],[Winning Team]]="")),"-",IF(Table46[[#This Row],[Prob Winner]]=NHL2025_26Results[[#This Row],[Winning Team]],"YES","NO"))</f>
        <v>-</v>
      </c>
      <c r="P893" t="str">
        <f>IF(Table46[[#This Row],[Locked Prediction]]&lt;&gt;Table46[[#This Row],[Prob Winner]], "Changed", "Same")</f>
        <v>Changed</v>
      </c>
      <c r="Q89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94" spans="4:17" x14ac:dyDescent="0.2">
      <c r="D894" s="1">
        <v>46057</v>
      </c>
      <c r="E894" s="2">
        <v>0.79166666666666663</v>
      </c>
      <c r="F894" t="s">
        <v>28</v>
      </c>
      <c r="G894">
        <f>VLOOKUP(Table46[[#This Row],[Home]],'NHL Model'!$A$6:$B$38,2,FALSE)</f>
        <v>-0.40822279081308277</v>
      </c>
      <c r="H894" t="s">
        <v>10</v>
      </c>
      <c r="I894">
        <f>VLOOKUP(Table46[[#This Row],[Visitor]],'NHL Model'!$A$6:$B$38,2,FALSE)</f>
        <v>0.30570968833820172</v>
      </c>
      <c r="J894">
        <f>($B$1+Table46[[#This Row],[Home Differential]])-Table46[[#This Row],[Away Differential]]</f>
        <v>-0.55136016948896605</v>
      </c>
      <c r="K894" t="str">
        <f>IF(Table46[[#This Row],[HomeIce Differential]]&gt;0,Table46[[#This Row],[Home]],Table46[[#This Row],[Visitor]])</f>
        <v>Chicago Blackhawks</v>
      </c>
      <c r="L89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0.55405547658658094</v>
      </c>
      <c r="M894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894" t="str">
        <f>IF(OR((NHL2025_26Results[[#This Row],[Winning Team]]="")),"-",IF(Table46[[#This Row],[Predicted Winner]]=NHL2025_26Results[[#This Row],[Winning Team]],"YES","NO"))</f>
        <v>-</v>
      </c>
      <c r="O894" t="str">
        <f>IF(OR((NHL2025_26Results[[#This Row],[Winning Team]]="")),"-",IF(Table46[[#This Row],[Prob Winner]]=NHL2025_26Results[[#This Row],[Winning Team]],"YES","NO"))</f>
        <v>-</v>
      </c>
      <c r="P894" t="str">
        <f>IF(Table46[[#This Row],[Locked Prediction]]&lt;&gt;Table46[[#This Row],[Prob Winner]], "Changed", "Same")</f>
        <v>Changed</v>
      </c>
      <c r="Q89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95" spans="4:17" x14ac:dyDescent="0.2">
      <c r="D895" s="1">
        <v>46057</v>
      </c>
      <c r="E895" s="2">
        <v>0.91666666666666663</v>
      </c>
      <c r="F895" t="s">
        <v>16</v>
      </c>
      <c r="G895">
        <f>VLOOKUP(Table46[[#This Row],[Home]],'NHL Model'!$A$6:$B$38,2,FALSE)</f>
        <v>-1.3903684122795328</v>
      </c>
      <c r="H895" t="s">
        <v>17</v>
      </c>
      <c r="I895">
        <f>VLOOKUP(Table46[[#This Row],[Visitor]],'NHL Model'!$A$6:$B$38,2,FALSE)</f>
        <v>-0.61980804137564283</v>
      </c>
      <c r="J895">
        <f>($B$1+Table46[[#This Row],[Home Differential]])-Table46[[#This Row],[Away Differential]]</f>
        <v>-0.60798806124157156</v>
      </c>
      <c r="K895" t="str">
        <f>IF(Table46[[#This Row],[HomeIce Differential]]&gt;0,Table46[[#This Row],[Home]],Table46[[#This Row],[Visitor]])</f>
        <v>Edmonton Oilers</v>
      </c>
      <c r="L89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0.54081316891545184</v>
      </c>
      <c r="M895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895" t="str">
        <f>IF(OR((NHL2025_26Results[[#This Row],[Winning Team]]="")),"-",IF(Table46[[#This Row],[Predicted Winner]]=NHL2025_26Results[[#This Row],[Winning Team]],"YES","NO"))</f>
        <v>-</v>
      </c>
      <c r="O895" t="str">
        <f>IF(OR((NHL2025_26Results[[#This Row],[Winning Team]]="")),"-",IF(Table46[[#This Row],[Prob Winner]]=NHL2025_26Results[[#This Row],[Winning Team]],"YES","NO"))</f>
        <v>-</v>
      </c>
      <c r="P895" t="str">
        <f>IF(Table46[[#This Row],[Locked Prediction]]&lt;&gt;Table46[[#This Row],[Prob Winner]], "Changed", "Same")</f>
        <v>Changed</v>
      </c>
      <c r="Q89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96" spans="4:17" x14ac:dyDescent="0.2">
      <c r="D896" s="1">
        <v>46057</v>
      </c>
      <c r="E896" s="2">
        <v>0.875</v>
      </c>
      <c r="F896" t="s">
        <v>12</v>
      </c>
      <c r="G896">
        <f>VLOOKUP(Table46[[#This Row],[Home]],'NHL Model'!$A$6:$B$38,2,FALSE)</f>
        <v>1.5475013591489768</v>
      </c>
      <c r="H896" t="s">
        <v>33</v>
      </c>
      <c r="I896">
        <f>VLOOKUP(Table46[[#This Row],[Visitor]],'NHL Model'!$A$6:$B$38,2,FALSE)</f>
        <v>-0.39418177254008485</v>
      </c>
      <c r="J896">
        <f>($B$1+Table46[[#This Row],[Home Differential]])-Table46[[#This Row],[Away Differential]]</f>
        <v>2.1042554413513801</v>
      </c>
      <c r="K896" t="str">
        <f>IF(Table46[[#This Row],[HomeIce Differential]]&gt;0,Table46[[#This Row],[Home]],Table46[[#This Row],[Visitor]])</f>
        <v>Colorado Avalanche</v>
      </c>
      <c r="L89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0.90806178992803765</v>
      </c>
      <c r="M896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896" t="str">
        <f>IF(OR((NHL2025_26Results[[#This Row],[Winning Team]]="")),"-",IF(Table46[[#This Row],[Predicted Winner]]=NHL2025_26Results[[#This Row],[Winning Team]],"YES","NO"))</f>
        <v>-</v>
      </c>
      <c r="O896" t="str">
        <f>IF(OR((NHL2025_26Results[[#This Row],[Winning Team]]="")),"-",IF(Table46[[#This Row],[Prob Winner]]=NHL2025_26Results[[#This Row],[Winning Team]],"YES","NO"))</f>
        <v>-</v>
      </c>
      <c r="P896" t="str">
        <f>IF(Table46[[#This Row],[Locked Prediction]]&lt;&gt;Table46[[#This Row],[Prob Winner]], "Changed", "Same")</f>
        <v>Changed</v>
      </c>
      <c r="Q89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97" spans="4:17" x14ac:dyDescent="0.2">
      <c r="D897" s="1">
        <v>46057</v>
      </c>
      <c r="E897" s="2">
        <v>0.89583333333333337</v>
      </c>
      <c r="F897" t="s">
        <v>39</v>
      </c>
      <c r="G897">
        <f>VLOOKUP(Table46[[#This Row],[Home]],'NHL Model'!$A$6:$B$38,2,FALSE)</f>
        <v>0.19809534061227302</v>
      </c>
      <c r="H897" t="s">
        <v>35</v>
      </c>
      <c r="I897">
        <f>VLOOKUP(Table46[[#This Row],[Visitor]],'NHL Model'!$A$6:$B$38,2,FALSE)</f>
        <v>-1.6211574240381006</v>
      </c>
      <c r="J897">
        <f>($B$1+Table46[[#This Row],[Home Differential]])-Table46[[#This Row],[Away Differential]]</f>
        <v>1.9818250743126919</v>
      </c>
      <c r="K897" t="str">
        <f>IF(Table46[[#This Row],[HomeIce Differential]]&gt;0,Table46[[#This Row],[Home]],Table46[[#This Row],[Visitor]])</f>
        <v>Dallas Stars</v>
      </c>
      <c r="L89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0.82945995529897787</v>
      </c>
      <c r="M897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897" t="str">
        <f>IF(OR((NHL2025_26Results[[#This Row],[Winning Team]]="")),"-",IF(Table46[[#This Row],[Predicted Winner]]=NHL2025_26Results[[#This Row],[Winning Team]],"YES","NO"))</f>
        <v>-</v>
      </c>
      <c r="O897" t="str">
        <f>IF(OR((NHL2025_26Results[[#This Row],[Winning Team]]="")),"-",IF(Table46[[#This Row],[Prob Winner]]=NHL2025_26Results[[#This Row],[Winning Team]],"YES","NO"))</f>
        <v>-</v>
      </c>
      <c r="P897" t="str">
        <f>IF(Table46[[#This Row],[Locked Prediction]]&lt;&gt;Table46[[#This Row],[Prob Winner]], "Changed", "Same")</f>
        <v>Changed</v>
      </c>
      <c r="Q89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98" spans="4:17" x14ac:dyDescent="0.2">
      <c r="D898" s="1">
        <v>46057</v>
      </c>
      <c r="E898" s="2">
        <v>0.79166666666666663</v>
      </c>
      <c r="F898" t="s">
        <v>11</v>
      </c>
      <c r="G898">
        <f>VLOOKUP(Table46[[#This Row],[Home]],'NHL Model'!$A$6:$B$38,2,FALSE)</f>
        <v>-0.28105923893144158</v>
      </c>
      <c r="H898" t="s">
        <v>21</v>
      </c>
      <c r="I898">
        <f>VLOOKUP(Table46[[#This Row],[Visitor]],'NHL Model'!$A$6:$B$38,2,FALSE)</f>
        <v>4.029141914856392E-2</v>
      </c>
      <c r="J898">
        <f>($B$1+Table46[[#This Row],[Home Differential]])-Table46[[#This Row],[Away Differential]]</f>
        <v>-0.15877834841768712</v>
      </c>
      <c r="K898" t="str">
        <f>IF(Table46[[#This Row],[HomeIce Differential]]&gt;0,Table46[[#This Row],[Home]],Table46[[#This Row],[Visitor]])</f>
        <v>Boston Bruins</v>
      </c>
      <c r="L89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0.42938868395521129</v>
      </c>
      <c r="M898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898" t="str">
        <f>IF(OR((NHL2025_26Results[[#This Row],[Winning Team]]="")),"-",IF(Table46[[#This Row],[Predicted Winner]]=NHL2025_26Results[[#This Row],[Winning Team]],"YES","NO"))</f>
        <v>-</v>
      </c>
      <c r="O898" t="str">
        <f>IF(OR((NHL2025_26Results[[#This Row],[Winning Team]]="")),"-",IF(Table46[[#This Row],[Prob Winner]]=NHL2025_26Results[[#This Row],[Winning Team]],"YES","NO"))</f>
        <v>-</v>
      </c>
      <c r="P898" t="str">
        <f>IF(Table46[[#This Row],[Locked Prediction]]&lt;&gt;Table46[[#This Row],[Prob Winner]], "Changed", "Same")</f>
        <v>Changed</v>
      </c>
      <c r="Q89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899" spans="4:17" x14ac:dyDescent="0.2">
      <c r="D899" s="1">
        <v>46057</v>
      </c>
      <c r="E899" s="2">
        <v>0.91666666666666663</v>
      </c>
      <c r="F899" t="s">
        <v>13</v>
      </c>
      <c r="G899">
        <f>VLOOKUP(Table46[[#This Row],[Home]],'NHL Model'!$A$6:$B$38,2,FALSE)</f>
        <v>-7.5459708298993802E-2</v>
      </c>
      <c r="H899" t="s">
        <v>32</v>
      </c>
      <c r="I899">
        <f>VLOOKUP(Table46[[#This Row],[Visitor]],'NHL Model'!$A$6:$B$38,2,FALSE)</f>
        <v>-0.361361309178443</v>
      </c>
      <c r="J899">
        <f>($B$1+Table46[[#This Row],[Home Differential]])-Table46[[#This Row],[Away Differential]]</f>
        <v>0.44847391054176761</v>
      </c>
      <c r="K899" t="str">
        <f>IF(Table46[[#This Row],[HomeIce Differential]]&gt;0,Table46[[#This Row],[Home]],Table46[[#This Row],[Visitor]])</f>
        <v>Los Angeles Kings</v>
      </c>
      <c r="L89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0.59961070652074022</v>
      </c>
      <c r="M899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899" t="str">
        <f>IF(OR((NHL2025_26Results[[#This Row],[Winning Team]]="")),"-",IF(Table46[[#This Row],[Predicted Winner]]=NHL2025_26Results[[#This Row],[Winning Team]],"YES","NO"))</f>
        <v>-</v>
      </c>
      <c r="O899" t="str">
        <f>IF(OR((NHL2025_26Results[[#This Row],[Winning Team]]="")),"-",IF(Table46[[#This Row],[Prob Winner]]=NHL2025_26Results[[#This Row],[Winning Team]],"YES","NO"))</f>
        <v>-</v>
      </c>
      <c r="P899" t="str">
        <f>IF(Table46[[#This Row],[Locked Prediction]]&lt;&gt;Table46[[#This Row],[Prob Winner]], "Changed", "Same")</f>
        <v>Changed</v>
      </c>
      <c r="Q89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00" spans="4:17" x14ac:dyDescent="0.2">
      <c r="D900" s="1">
        <v>46057</v>
      </c>
      <c r="E900" s="2">
        <v>0.83333333333333337</v>
      </c>
      <c r="F900" t="s">
        <v>29</v>
      </c>
      <c r="G900">
        <f>VLOOKUP(Table46[[#This Row],[Home]],'NHL Model'!$A$6:$B$38,2,FALSE)</f>
        <v>-1.3516250707060606</v>
      </c>
      <c r="H900" t="s">
        <v>34</v>
      </c>
      <c r="I900">
        <f>VLOOKUP(Table46[[#This Row],[Visitor]],'NHL Model'!$A$6:$B$38,2,FALSE)</f>
        <v>-0.53650300840565446</v>
      </c>
      <c r="J900">
        <f>($B$1+Table46[[#This Row],[Home Differential]])-Table46[[#This Row],[Away Differential]]</f>
        <v>-0.65254975263808779</v>
      </c>
      <c r="K900" t="str">
        <f>IF(Table46[[#This Row],[HomeIce Differential]]&gt;0,Table46[[#This Row],[Home]],Table46[[#This Row],[Visitor]])</f>
        <v>Minnesota Wild</v>
      </c>
      <c r="L90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0.54673626465294212</v>
      </c>
      <c r="M900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900" t="str">
        <f>IF(OR((NHL2025_26Results[[#This Row],[Winning Team]]="")),"-",IF(Table46[[#This Row],[Predicted Winner]]=NHL2025_26Results[[#This Row],[Winning Team]],"YES","NO"))</f>
        <v>-</v>
      </c>
      <c r="O900" t="str">
        <f>IF(OR((NHL2025_26Results[[#This Row],[Winning Team]]="")),"-",IF(Table46[[#This Row],[Prob Winner]]=NHL2025_26Results[[#This Row],[Winning Team]],"YES","NO"))</f>
        <v>-</v>
      </c>
      <c r="P900" t="str">
        <f>IF(Table46[[#This Row],[Locked Prediction]]&lt;&gt;Table46[[#This Row],[Prob Winner]], "Changed", "Same")</f>
        <v>Changed</v>
      </c>
      <c r="Q90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01" spans="4:17" x14ac:dyDescent="0.2">
      <c r="D901" s="1">
        <v>46057</v>
      </c>
      <c r="E901" s="2">
        <v>0.875</v>
      </c>
      <c r="F901" t="s">
        <v>55</v>
      </c>
      <c r="G901">
        <f>VLOOKUP(Table46[[#This Row],[Home]],'NHL Model'!$A$6:$B$38,2,FALSE)</f>
        <v>-0.12212311954851815</v>
      </c>
      <c r="H901" t="s">
        <v>26</v>
      </c>
      <c r="I901">
        <f>VLOOKUP(Table46[[#This Row],[Visitor]],'NHL Model'!$A$6:$B$38,2,FALSE)</f>
        <v>-0.513643833119658</v>
      </c>
      <c r="J901">
        <f>($B$1+Table46[[#This Row],[Home Differential]])-Table46[[#This Row],[Away Differential]]</f>
        <v>0.55409302323345822</v>
      </c>
      <c r="K901" t="str">
        <f>IF(Table46[[#This Row],[HomeIce Differential]]&gt;0,Table46[[#This Row],[Home]],Table46[[#This Row],[Visitor]])</f>
        <v>Utah Mammoth</v>
      </c>
      <c r="L90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0.63614949402130971</v>
      </c>
      <c r="M901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901" t="str">
        <f>IF(OR((NHL2025_26Results[[#This Row],[Winning Team]]="")),"-",IF(Table46[[#This Row],[Predicted Winner]]=NHL2025_26Results[[#This Row],[Winning Team]],"YES","NO"))</f>
        <v>-</v>
      </c>
      <c r="O901" t="str">
        <f>IF(OR((NHL2025_26Results[[#This Row],[Winning Team]]="")),"-",IF(Table46[[#This Row],[Prob Winner]]=NHL2025_26Results[[#This Row],[Winning Team]],"YES","NO"))</f>
        <v>-</v>
      </c>
      <c r="P901" t="str">
        <f>IF(Table46[[#This Row],[Locked Prediction]]&lt;&gt;Table46[[#This Row],[Prob Winner]], "Changed", "Same")</f>
        <v>Changed</v>
      </c>
      <c r="Q90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02" spans="4:17" x14ac:dyDescent="0.2">
      <c r="D902" s="1">
        <v>46057</v>
      </c>
      <c r="E902" s="2">
        <v>0.91666666666666663</v>
      </c>
      <c r="F902" t="s">
        <v>20</v>
      </c>
      <c r="G902">
        <f>VLOOKUP(Table46[[#This Row],[Home]],'NHL Model'!$A$6:$B$38,2,FALSE)</f>
        <v>-6.3745791019188943E-4</v>
      </c>
      <c r="H902" t="s">
        <v>38</v>
      </c>
      <c r="I902">
        <f>VLOOKUP(Table46[[#This Row],[Visitor]],'NHL Model'!$A$6:$B$38,2,FALSE)</f>
        <v>-0.6902088310934803</v>
      </c>
      <c r="J902">
        <f>($B$1+Table46[[#This Row],[Home Differential]])-Table46[[#This Row],[Away Differential]]</f>
        <v>0.85214368284560682</v>
      </c>
      <c r="K902" t="str">
        <f>IF(Table46[[#This Row],[HomeIce Differential]]&gt;0,Table46[[#This Row],[Home]],Table46[[#This Row],[Visitor]])</f>
        <v>Vegas Golden Knights</v>
      </c>
      <c r="L90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0.61075352869668942</v>
      </c>
      <c r="M902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902" t="str">
        <f>IF(OR((NHL2025_26Results[[#This Row],[Winning Team]]="")),"-",IF(Table46[[#This Row],[Predicted Winner]]=NHL2025_26Results[[#This Row],[Winning Team]],"YES","NO"))</f>
        <v>-</v>
      </c>
      <c r="O902" t="str">
        <f>IF(OR((NHL2025_26Results[[#This Row],[Winning Team]]="")),"-",IF(Table46[[#This Row],[Prob Winner]]=NHL2025_26Results[[#This Row],[Winning Team]],"YES","NO"))</f>
        <v>-</v>
      </c>
      <c r="P902" t="str">
        <f>IF(Table46[[#This Row],[Locked Prediction]]&lt;&gt;Table46[[#This Row],[Prob Winner]], "Changed", "Same")</f>
        <v>Changed</v>
      </c>
      <c r="Q90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03" spans="4:17" x14ac:dyDescent="0.2">
      <c r="D903" s="1">
        <v>46057</v>
      </c>
      <c r="E903" s="2">
        <v>0.79166666666666663</v>
      </c>
      <c r="F903" t="s">
        <v>40</v>
      </c>
      <c r="G903">
        <f>VLOOKUP(Table46[[#This Row],[Home]],'NHL Model'!$A$6:$B$38,2,FALSE)</f>
        <v>0.105105258369765</v>
      </c>
      <c r="H903" t="s">
        <v>18</v>
      </c>
      <c r="I903">
        <f>VLOOKUP(Table46[[#This Row],[Visitor]],'NHL Model'!$A$6:$B$38,2,FALSE)</f>
        <v>-0.52437726201848234</v>
      </c>
      <c r="J903">
        <f>($B$1+Table46[[#This Row],[Home Differential]])-Table46[[#This Row],[Away Differential]]</f>
        <v>0.79205483005056576</v>
      </c>
      <c r="K903" t="str">
        <f>IF(Table46[[#This Row],[HomeIce Differential]]&gt;0,Table46[[#This Row],[Home]],Table46[[#This Row],[Visitor]])</f>
        <v>Winnipeg Jets</v>
      </c>
      <c r="L90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0.60527914091020851</v>
      </c>
      <c r="M903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903" t="str">
        <f>IF(OR((NHL2025_26Results[[#This Row],[Winning Team]]="")),"-",IF(Table46[[#This Row],[Predicted Winner]]=NHL2025_26Results[[#This Row],[Winning Team]],"YES","NO"))</f>
        <v>-</v>
      </c>
      <c r="O903" t="str">
        <f>IF(OR((NHL2025_26Results[[#This Row],[Winning Team]]="")),"-",IF(Table46[[#This Row],[Prob Winner]]=NHL2025_26Results[[#This Row],[Winning Team]],"YES","NO"))</f>
        <v>-</v>
      </c>
      <c r="P903" t="str">
        <f>IF(Table46[[#This Row],[Locked Prediction]]&lt;&gt;Table46[[#This Row],[Prob Winner]], "Changed", "Same")</f>
        <v>Changed</v>
      </c>
      <c r="Q90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04" spans="4:17" x14ac:dyDescent="0.2">
      <c r="D904" s="1">
        <v>46058</v>
      </c>
      <c r="E904" s="2">
        <v>0.79166666666666663</v>
      </c>
      <c r="F904" t="s">
        <v>23</v>
      </c>
      <c r="G904">
        <f>VLOOKUP(Table46[[#This Row],[Home]],'NHL Model'!$A$6:$B$38,2,FALSE)</f>
        <v>-0.8683412362501769</v>
      </c>
      <c r="H904" t="s">
        <v>14</v>
      </c>
      <c r="I904">
        <f>VLOOKUP(Table46[[#This Row],[Visitor]],'NHL Model'!$A$6:$B$38,2,FALSE)</f>
        <v>0.26289091192875702</v>
      </c>
      <c r="J904">
        <f>($B$1+Table46[[#This Row],[Home Differential]])-Table46[[#This Row],[Away Differential]]</f>
        <v>-0.96865983851661552</v>
      </c>
      <c r="K904" t="str">
        <f>IF(Table46[[#This Row],[HomeIce Differential]]&gt;0,Table46[[#This Row],[Home]],Table46[[#This Row],[Visitor]])</f>
        <v>Pittsburgh Penguins</v>
      </c>
      <c r="L90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0.58875330313526408</v>
      </c>
      <c r="M904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904" t="str">
        <f>IF(OR((NHL2025_26Results[[#This Row],[Winning Team]]="")),"-",IF(Table46[[#This Row],[Predicted Winner]]=NHL2025_26Results[[#This Row],[Winning Team]],"YES","NO"))</f>
        <v>-</v>
      </c>
      <c r="O904" t="str">
        <f>IF(OR((NHL2025_26Results[[#This Row],[Winning Team]]="")),"-",IF(Table46[[#This Row],[Prob Winner]]=NHL2025_26Results[[#This Row],[Winning Team]],"YES","NO"))</f>
        <v>-</v>
      </c>
      <c r="P904" t="str">
        <f>IF(Table46[[#This Row],[Locked Prediction]]&lt;&gt;Table46[[#This Row],[Prob Winner]], "Changed", "Same")</f>
        <v>Changed</v>
      </c>
      <c r="Q90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05" spans="4:17" x14ac:dyDescent="0.2">
      <c r="D905" s="1">
        <v>46058</v>
      </c>
      <c r="E905" s="2">
        <v>0.79166666666666663</v>
      </c>
      <c r="F905" t="s">
        <v>24</v>
      </c>
      <c r="G905">
        <f>VLOOKUP(Table46[[#This Row],[Home]],'NHL Model'!$A$6:$B$38,2,FALSE)</f>
        <v>0.559441163373953</v>
      </c>
      <c r="H905" t="s">
        <v>30</v>
      </c>
      <c r="I905">
        <f>VLOOKUP(Table46[[#This Row],[Visitor]],'NHL Model'!$A$6:$B$38,2,FALSE)</f>
        <v>-6.4729560818359025E-2</v>
      </c>
      <c r="J905">
        <f>($B$1+Table46[[#This Row],[Home Differential]])-Table46[[#This Row],[Away Differential]]</f>
        <v>0.7867430338546304</v>
      </c>
      <c r="K905" t="str">
        <f>IF(Table46[[#This Row],[HomeIce Differential]]&gt;0,Table46[[#This Row],[Home]],Table46[[#This Row],[Visitor]])</f>
        <v>New Jersey Devils</v>
      </c>
      <c r="L90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0.72057310223841287</v>
      </c>
      <c r="M905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905" t="str">
        <f>IF(OR((NHL2025_26Results[[#This Row],[Winning Team]]="")),"-",IF(Table46[[#This Row],[Predicted Winner]]=NHL2025_26Results[[#This Row],[Winning Team]],"YES","NO"))</f>
        <v>-</v>
      </c>
      <c r="O905" t="str">
        <f>IF(OR((NHL2025_26Results[[#This Row],[Winning Team]]="")),"-",IF(Table46[[#This Row],[Prob Winner]]=NHL2025_26Results[[#This Row],[Winning Team]],"YES","NO"))</f>
        <v>-</v>
      </c>
      <c r="P905" t="str">
        <f>IF(Table46[[#This Row],[Locked Prediction]]&lt;&gt;Table46[[#This Row],[Prob Winner]], "Changed", "Same")</f>
        <v>Changed</v>
      </c>
      <c r="Q90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06" spans="4:17" x14ac:dyDescent="0.2">
      <c r="D906" s="1">
        <v>46058</v>
      </c>
      <c r="E906" s="2">
        <v>0.79166666666666663</v>
      </c>
      <c r="F906" t="s">
        <v>15</v>
      </c>
      <c r="G906">
        <f>VLOOKUP(Table46[[#This Row],[Home]],'NHL Model'!$A$6:$B$38,2,FALSE)</f>
        <v>-0.30719665303039001</v>
      </c>
      <c r="H906" t="s">
        <v>25</v>
      </c>
      <c r="I906">
        <f>VLOOKUP(Table46[[#This Row],[Visitor]],'NHL Model'!$A$6:$B$38,2,FALSE)</f>
        <v>0.67193921242367816</v>
      </c>
      <c r="J906">
        <f>($B$1+Table46[[#This Row],[Home Differential]])-Table46[[#This Row],[Away Differential]]</f>
        <v>-0.81656355579174977</v>
      </c>
      <c r="K906" t="str">
        <f>IF(Table46[[#This Row],[HomeIce Differential]]&gt;0,Table46[[#This Row],[Home]],Table46[[#This Row],[Visitor]])</f>
        <v>Carolina Hurricanes</v>
      </c>
      <c r="L90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0.66102300422561977</v>
      </c>
      <c r="M906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906" t="str">
        <f>IF(OR((NHL2025_26Results[[#This Row],[Winning Team]]="")),"-",IF(Table46[[#This Row],[Predicted Winner]]=NHL2025_26Results[[#This Row],[Winning Team]],"YES","NO"))</f>
        <v>-</v>
      </c>
      <c r="O906" t="str">
        <f>IF(OR((NHL2025_26Results[[#This Row],[Winning Team]]="")),"-",IF(Table46[[#This Row],[Prob Winner]]=NHL2025_26Results[[#This Row],[Winning Team]],"YES","NO"))</f>
        <v>-</v>
      </c>
      <c r="P906" t="str">
        <f>IF(Table46[[#This Row],[Locked Prediction]]&lt;&gt;Table46[[#This Row],[Prob Winner]], "Changed", "Same")</f>
        <v>Changed</v>
      </c>
      <c r="Q90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07" spans="4:17" x14ac:dyDescent="0.2">
      <c r="D907" s="1">
        <v>46058</v>
      </c>
      <c r="E907" s="2">
        <v>0.79166666666666663</v>
      </c>
      <c r="F907" t="s">
        <v>27</v>
      </c>
      <c r="G907">
        <f>VLOOKUP(Table46[[#This Row],[Home]],'NHL Model'!$A$6:$B$38,2,FALSE)</f>
        <v>-0.51358590497437617</v>
      </c>
      <c r="H907" t="s">
        <v>36</v>
      </c>
      <c r="I907">
        <f>VLOOKUP(Table46[[#This Row],[Visitor]],'NHL Model'!$A$6:$B$38,2,FALSE)</f>
        <v>-0.40651947573390851</v>
      </c>
      <c r="J907">
        <f>($B$1+Table46[[#This Row],[Home Differential]])-Table46[[#This Row],[Away Differential]]</f>
        <v>5.5505880421850728E-2</v>
      </c>
      <c r="K907" t="str">
        <f>IF(Table46[[#This Row],[HomeIce Differential]]&gt;0,Table46[[#This Row],[Home]],Table46[[#This Row],[Visitor]])</f>
        <v>Philadelphia Flyers</v>
      </c>
      <c r="L90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0.5498732656713502</v>
      </c>
      <c r="M907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907" t="str">
        <f>IF(OR((NHL2025_26Results[[#This Row],[Winning Team]]="")),"-",IF(Table46[[#This Row],[Predicted Winner]]=NHL2025_26Results[[#This Row],[Winning Team]],"YES","NO"))</f>
        <v>-</v>
      </c>
      <c r="O907" t="str">
        <f>IF(OR((NHL2025_26Results[[#This Row],[Winning Team]]="")),"-",IF(Table46[[#This Row],[Prob Winner]]=NHL2025_26Results[[#This Row],[Winning Team]],"YES","NO"))</f>
        <v>-</v>
      </c>
      <c r="P907" t="str">
        <f>IF(Table46[[#This Row],[Locked Prediction]]&lt;&gt;Table46[[#This Row],[Prob Winner]], "Changed", "Same")</f>
        <v>Changed</v>
      </c>
      <c r="Q90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08" spans="4:17" x14ac:dyDescent="0.2">
      <c r="D908" s="1">
        <v>46058</v>
      </c>
      <c r="E908" s="2">
        <v>0.8125</v>
      </c>
      <c r="F908" t="s">
        <v>37</v>
      </c>
      <c r="G908">
        <f>VLOOKUP(Table46[[#This Row],[Home]],'NHL Model'!$A$6:$B$38,2,FALSE)</f>
        <v>-0.11309445867623392</v>
      </c>
      <c r="H908" t="s">
        <v>11</v>
      </c>
      <c r="I908">
        <f>VLOOKUP(Table46[[#This Row],[Visitor]],'NHL Model'!$A$6:$B$38,2,FALSE)</f>
        <v>-0.28105923893144158</v>
      </c>
      <c r="J908">
        <f>($B$1+Table46[[#This Row],[Home Differential]])-Table46[[#This Row],[Away Differential]]</f>
        <v>0.33053708991752606</v>
      </c>
      <c r="K908" t="str">
        <f>IF(Table46[[#This Row],[HomeIce Differential]]&gt;0,Table46[[#This Row],[Home]],Table46[[#This Row],[Visitor]])</f>
        <v>Tampa Bay Lightning</v>
      </c>
      <c r="L90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0.58393466152243012</v>
      </c>
      <c r="M908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908" t="str">
        <f>IF(OR((NHL2025_26Results[[#This Row],[Winning Team]]="")),"-",IF(Table46[[#This Row],[Predicted Winner]]=NHL2025_26Results[[#This Row],[Winning Team]],"YES","NO"))</f>
        <v>-</v>
      </c>
      <c r="O908" t="str">
        <f>IF(OR((NHL2025_26Results[[#This Row],[Winning Team]]="")),"-",IF(Table46[[#This Row],[Prob Winner]]=NHL2025_26Results[[#This Row],[Winning Team]],"YES","NO"))</f>
        <v>-</v>
      </c>
      <c r="P908" t="str">
        <f>IF(Table46[[#This Row],[Locked Prediction]]&lt;&gt;Table46[[#This Row],[Prob Winner]], "Changed", "Same")</f>
        <v>Changed</v>
      </c>
      <c r="Q90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09" spans="4:17" x14ac:dyDescent="0.2">
      <c r="D909" s="1">
        <v>46058</v>
      </c>
      <c r="E909" s="2">
        <v>0.91666666666666663</v>
      </c>
      <c r="F909" t="s">
        <v>20</v>
      </c>
      <c r="G909">
        <f>VLOOKUP(Table46[[#This Row],[Home]],'NHL Model'!$A$6:$B$38,2,FALSE)</f>
        <v>-6.3745791019188943E-4</v>
      </c>
      <c r="H909" t="s">
        <v>13</v>
      </c>
      <c r="I909">
        <f>VLOOKUP(Table46[[#This Row],[Visitor]],'NHL Model'!$A$6:$B$38,2,FALSE)</f>
        <v>-7.5459708298993802E-2</v>
      </c>
      <c r="J909">
        <f>($B$1+Table46[[#This Row],[Home Differential]])-Table46[[#This Row],[Away Differential]]</f>
        <v>0.23739456005112031</v>
      </c>
      <c r="K909" t="str">
        <f>IF(Table46[[#This Row],[HomeIce Differential]]&gt;0,Table46[[#This Row],[Home]],Table46[[#This Row],[Visitor]])</f>
        <v>Vegas Golden Knights</v>
      </c>
      <c r="L90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0.45015890017525273</v>
      </c>
      <c r="M909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909" t="str">
        <f>IF(OR((NHL2025_26Results[[#This Row],[Winning Team]]="")),"-",IF(Table46[[#This Row],[Predicted Winner]]=NHL2025_26Results[[#This Row],[Winning Team]],"YES","NO"))</f>
        <v>-</v>
      </c>
      <c r="O909" t="str">
        <f>IF(OR((NHL2025_26Results[[#This Row],[Winning Team]]="")),"-",IF(Table46[[#This Row],[Prob Winner]]=NHL2025_26Results[[#This Row],[Winning Team]],"YES","NO"))</f>
        <v>-</v>
      </c>
      <c r="P909" t="str">
        <f>IF(Table46[[#This Row],[Locked Prediction]]&lt;&gt;Table46[[#This Row],[Prob Winner]], "Changed", "Same")</f>
        <v>Changed</v>
      </c>
      <c r="Q90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10" spans="4:17" x14ac:dyDescent="0.2">
      <c r="D910" s="1">
        <v>46058</v>
      </c>
      <c r="E910" s="2">
        <v>0.79166666666666663</v>
      </c>
      <c r="F910" t="s">
        <v>22</v>
      </c>
      <c r="G910">
        <f>VLOOKUP(Table46[[#This Row],[Home]],'NHL Model'!$A$6:$B$38,2,FALSE)</f>
        <v>-6.1308839486784707E-2</v>
      </c>
      <c r="H910" t="s">
        <v>29</v>
      </c>
      <c r="I910">
        <f>VLOOKUP(Table46[[#This Row],[Visitor]],'NHL Model'!$A$6:$B$38,2,FALSE)</f>
        <v>-1.3516250707060606</v>
      </c>
      <c r="J910">
        <f>($B$1+Table46[[#This Row],[Home Differential]])-Table46[[#This Row],[Away Differential]]</f>
        <v>1.4528885408815944</v>
      </c>
      <c r="K910" t="str">
        <f>IF(Table46[[#This Row],[HomeIce Differential]]&gt;0,Table46[[#This Row],[Home]],Table46[[#This Row],[Visitor]])</f>
        <v>Washington Capitals</v>
      </c>
      <c r="L9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0.7331165010540186</v>
      </c>
      <c r="M910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910" t="str">
        <f>IF(OR((NHL2025_26Results[[#This Row],[Winning Team]]="")),"-",IF(Table46[[#This Row],[Predicted Winner]]=NHL2025_26Results[[#This Row],[Winning Team]],"YES","NO"))</f>
        <v>-</v>
      </c>
      <c r="O910" t="str">
        <f>IF(OR((NHL2025_26Results[[#This Row],[Winning Team]]="")),"-",IF(Table46[[#This Row],[Prob Winner]]=NHL2025_26Results[[#This Row],[Winning Team]],"YES","NO"))</f>
        <v>-</v>
      </c>
      <c r="P910" t="str">
        <f>IF(Table46[[#This Row],[Locked Prediction]]&lt;&gt;Table46[[#This Row],[Prob Winner]], "Changed", "Same")</f>
        <v>Changed</v>
      </c>
      <c r="Q91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11" spans="4:17" x14ac:dyDescent="0.2">
      <c r="D911" s="1">
        <v>46078</v>
      </c>
      <c r="E911" s="2">
        <v>0.9375</v>
      </c>
      <c r="F911" t="s">
        <v>31</v>
      </c>
      <c r="G911">
        <f>VLOOKUP(Table46[[#This Row],[Home]],'NHL Model'!$A$6:$B$38,2,FALSE)</f>
        <v>0.51775546328552802</v>
      </c>
      <c r="H911" t="s">
        <v>17</v>
      </c>
      <c r="I911">
        <f>VLOOKUP(Table46[[#This Row],[Visitor]],'NHL Model'!$A$6:$B$38,2,FALSE)</f>
        <v>-0.61980804137564283</v>
      </c>
      <c r="J911">
        <f>($B$1+Table46[[#This Row],[Home Differential]])-Table46[[#This Row],[Away Differential]]</f>
        <v>1.3001358143234891</v>
      </c>
      <c r="K911" t="str">
        <f>IF(Table46[[#This Row],[HomeIce Differential]]&gt;0,Table46[[#This Row],[Home]],Table46[[#This Row],[Visitor]])</f>
        <v>Anaheim Ducks</v>
      </c>
      <c r="L9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0.81714265734431002</v>
      </c>
      <c r="M911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911" t="str">
        <f>IF(OR((NHL2025_26Results[[#This Row],[Winning Team]]="")),"-",IF(Table46[[#This Row],[Predicted Winner]]=NHL2025_26Results[[#This Row],[Winning Team]],"YES","NO"))</f>
        <v>-</v>
      </c>
      <c r="O911" t="str">
        <f>IF(OR((NHL2025_26Results[[#This Row],[Winning Team]]="")),"-",IF(Table46[[#This Row],[Prob Winner]]=NHL2025_26Results[[#This Row],[Winning Team]],"YES","NO"))</f>
        <v>-</v>
      </c>
      <c r="P911" t="str">
        <f>IF(Table46[[#This Row],[Locked Prediction]]&lt;&gt;Table46[[#This Row],[Prob Winner]], "Changed", "Same")</f>
        <v>Changed</v>
      </c>
      <c r="Q91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12" spans="4:17" x14ac:dyDescent="0.2">
      <c r="D912" s="1">
        <v>46078</v>
      </c>
      <c r="E912" s="2">
        <v>0.83333333333333337</v>
      </c>
      <c r="F912" t="s">
        <v>39</v>
      </c>
      <c r="G912">
        <f>VLOOKUP(Table46[[#This Row],[Home]],'NHL Model'!$A$6:$B$38,2,FALSE)</f>
        <v>0.19809534061227302</v>
      </c>
      <c r="H912" t="s">
        <v>32</v>
      </c>
      <c r="I912">
        <f>VLOOKUP(Table46[[#This Row],[Visitor]],'NHL Model'!$A$6:$B$38,2,FALSE)</f>
        <v>-0.361361309178443</v>
      </c>
      <c r="J912">
        <f>($B$1+Table46[[#This Row],[Home Differential]])-Table46[[#This Row],[Away Differential]]</f>
        <v>0.72202895945303447</v>
      </c>
      <c r="K912" t="str">
        <f>IF(Table46[[#This Row],[HomeIce Differential]]&gt;0,Table46[[#This Row],[Home]],Table46[[#This Row],[Visitor]])</f>
        <v>Dallas Stars</v>
      </c>
      <c r="L9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0.66200910762726339</v>
      </c>
      <c r="M912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912" t="str">
        <f>IF(OR((NHL2025_26Results[[#This Row],[Winning Team]]="")),"-",IF(Table46[[#This Row],[Predicted Winner]]=NHL2025_26Results[[#This Row],[Winning Team]],"YES","NO"))</f>
        <v>-</v>
      </c>
      <c r="O912" t="str">
        <f>IF(OR((NHL2025_26Results[[#This Row],[Winning Team]]="")),"-",IF(Table46[[#This Row],[Prob Winner]]=NHL2025_26Results[[#This Row],[Winning Team]],"YES","NO"))</f>
        <v>-</v>
      </c>
      <c r="P912" t="str">
        <f>IF(Table46[[#This Row],[Locked Prediction]]&lt;&gt;Table46[[#This Row],[Prob Winner]], "Changed", "Same")</f>
        <v>Changed</v>
      </c>
      <c r="Q91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13" spans="4:17" x14ac:dyDescent="0.2">
      <c r="D913" s="1">
        <v>46078</v>
      </c>
      <c r="E913" s="2">
        <v>0.91666666666666663</v>
      </c>
      <c r="F913" t="s">
        <v>13</v>
      </c>
      <c r="G913">
        <f>VLOOKUP(Table46[[#This Row],[Home]],'NHL Model'!$A$6:$B$38,2,FALSE)</f>
        <v>-7.5459708298993802E-2</v>
      </c>
      <c r="H913" t="s">
        <v>20</v>
      </c>
      <c r="I913">
        <f>VLOOKUP(Table46[[#This Row],[Visitor]],'NHL Model'!$A$6:$B$38,2,FALSE)</f>
        <v>-6.3745791019188943E-4</v>
      </c>
      <c r="J913">
        <f>($B$1+Table46[[#This Row],[Home Differential]])-Table46[[#This Row],[Away Differential]]</f>
        <v>8.7750059273516479E-2</v>
      </c>
      <c r="K913" t="str">
        <f>IF(Table46[[#This Row],[HomeIce Differential]]&gt;0,Table46[[#This Row],[Home]],Table46[[#This Row],[Visitor]])</f>
        <v>Los Angeles Kings</v>
      </c>
      <c r="L9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0.53089441990826836</v>
      </c>
      <c r="M913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913" t="str">
        <f>IF(OR((NHL2025_26Results[[#This Row],[Winning Team]]="")),"-",IF(Table46[[#This Row],[Predicted Winner]]=NHL2025_26Results[[#This Row],[Winning Team]],"YES","NO"))</f>
        <v>-</v>
      </c>
      <c r="O913" t="str">
        <f>IF(OR((NHL2025_26Results[[#This Row],[Winning Team]]="")),"-",IF(Table46[[#This Row],[Prob Winner]]=NHL2025_26Results[[#This Row],[Winning Team]],"YES","NO"))</f>
        <v>-</v>
      </c>
      <c r="P913" t="str">
        <f>IF(Table46[[#This Row],[Locked Prediction]]&lt;&gt;Table46[[#This Row],[Prob Winner]], "Changed", "Same")</f>
        <v>Changed</v>
      </c>
      <c r="Q91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14" spans="4:17" x14ac:dyDescent="0.2">
      <c r="D914" s="1">
        <v>46078</v>
      </c>
      <c r="E914" s="2">
        <v>0.79166666666666663</v>
      </c>
      <c r="F914" t="s">
        <v>24</v>
      </c>
      <c r="G914">
        <f>VLOOKUP(Table46[[#This Row],[Home]],'NHL Model'!$A$6:$B$38,2,FALSE)</f>
        <v>0.559441163373953</v>
      </c>
      <c r="H914" t="s">
        <v>23</v>
      </c>
      <c r="I914">
        <f>VLOOKUP(Table46[[#This Row],[Visitor]],'NHL Model'!$A$6:$B$38,2,FALSE)</f>
        <v>-0.8683412362501769</v>
      </c>
      <c r="J914">
        <f>($B$1+Table46[[#This Row],[Home Differential]])-Table46[[#This Row],[Away Differential]]</f>
        <v>1.5903547092864483</v>
      </c>
      <c r="K914" t="str">
        <f>IF(Table46[[#This Row],[HomeIce Differential]]&gt;0,Table46[[#This Row],[Home]],Table46[[#This Row],[Visitor]])</f>
        <v>New Jersey Devils</v>
      </c>
      <c r="L91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0.86681907916263312</v>
      </c>
      <c r="M914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914" t="str">
        <f>IF(OR((NHL2025_26Results[[#This Row],[Winning Team]]="")),"-",IF(Table46[[#This Row],[Predicted Winner]]=NHL2025_26Results[[#This Row],[Winning Team]],"YES","NO"))</f>
        <v>-</v>
      </c>
      <c r="O914" t="str">
        <f>IF(OR((NHL2025_26Results[[#This Row],[Winning Team]]="")),"-",IF(Table46[[#This Row],[Prob Winner]]=NHL2025_26Results[[#This Row],[Winning Team]],"YES","NO"))</f>
        <v>-</v>
      </c>
      <c r="P914" t="str">
        <f>IF(Table46[[#This Row],[Locked Prediction]]&lt;&gt;Table46[[#This Row],[Prob Winner]], "Changed", "Same")</f>
        <v>Changed</v>
      </c>
      <c r="Q91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15" spans="4:17" x14ac:dyDescent="0.2">
      <c r="D915" s="1">
        <v>46078</v>
      </c>
      <c r="E915" s="2">
        <v>0.8125</v>
      </c>
      <c r="F915" t="s">
        <v>37</v>
      </c>
      <c r="G915">
        <f>VLOOKUP(Table46[[#This Row],[Home]],'NHL Model'!$A$6:$B$38,2,FALSE)</f>
        <v>-0.11309445867623392</v>
      </c>
      <c r="H915" t="s">
        <v>19</v>
      </c>
      <c r="I915">
        <f>VLOOKUP(Table46[[#This Row],[Visitor]],'NHL Model'!$A$6:$B$38,2,FALSE)</f>
        <v>-0.635565543477981</v>
      </c>
      <c r="J915">
        <f>($B$1+Table46[[#This Row],[Home Differential]])-Table46[[#This Row],[Away Differential]]</f>
        <v>0.68504339446406548</v>
      </c>
      <c r="K915" t="str">
        <f>IF(Table46[[#This Row],[HomeIce Differential]]&gt;0,Table46[[#This Row],[Home]],Table46[[#This Row],[Visitor]])</f>
        <v>Tampa Bay Lightning</v>
      </c>
      <c r="L91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0.631055287234074</v>
      </c>
      <c r="M915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915" t="str">
        <f>IF(OR((NHL2025_26Results[[#This Row],[Winning Team]]="")),"-",IF(Table46[[#This Row],[Predicted Winner]]=NHL2025_26Results[[#This Row],[Winning Team]],"YES","NO"))</f>
        <v>-</v>
      </c>
      <c r="O915" t="str">
        <f>IF(OR((NHL2025_26Results[[#This Row],[Winning Team]]="")),"-",IF(Table46[[#This Row],[Prob Winner]]=NHL2025_26Results[[#This Row],[Winning Team]],"YES","NO"))</f>
        <v>-</v>
      </c>
      <c r="P915" t="str">
        <f>IF(Table46[[#This Row],[Locked Prediction]]&lt;&gt;Table46[[#This Row],[Prob Winner]], "Changed", "Same")</f>
        <v>Changed</v>
      </c>
      <c r="Q91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16" spans="4:17" x14ac:dyDescent="0.2">
      <c r="D916" s="1">
        <v>46078</v>
      </c>
      <c r="E916" s="2">
        <v>0.875</v>
      </c>
      <c r="F916" t="s">
        <v>55</v>
      </c>
      <c r="G916">
        <f>VLOOKUP(Table46[[#This Row],[Home]],'NHL Model'!$A$6:$B$38,2,FALSE)</f>
        <v>-0.12212311954851815</v>
      </c>
      <c r="H916" t="s">
        <v>12</v>
      </c>
      <c r="I916">
        <f>VLOOKUP(Table46[[#This Row],[Visitor]],'NHL Model'!$A$6:$B$38,2,FALSE)</f>
        <v>1.5475013591489768</v>
      </c>
      <c r="J916">
        <f>($B$1+Table46[[#This Row],[Home Differential]])-Table46[[#This Row],[Away Differential]]</f>
        <v>-1.5070521690351766</v>
      </c>
      <c r="K916" t="str">
        <f>IF(Table46[[#This Row],[HomeIce Differential]]&gt;0,Table46[[#This Row],[Home]],Table46[[#This Row],[Visitor]])</f>
        <v>Colorado Avalanche</v>
      </c>
      <c r="L91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0.65683761581382116</v>
      </c>
      <c r="M916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916" t="str">
        <f>IF(OR((NHL2025_26Results[[#This Row],[Winning Team]]="")),"-",IF(Table46[[#This Row],[Predicted Winner]]=NHL2025_26Results[[#This Row],[Winning Team]],"YES","NO"))</f>
        <v>-</v>
      </c>
      <c r="O916" t="str">
        <f>IF(OR((NHL2025_26Results[[#This Row],[Winning Team]]="")),"-",IF(Table46[[#This Row],[Prob Winner]]=NHL2025_26Results[[#This Row],[Winning Team]],"YES","NO"))</f>
        <v>-</v>
      </c>
      <c r="P916" t="str">
        <f>IF(Table46[[#This Row],[Locked Prediction]]&lt;&gt;Table46[[#This Row],[Prob Winner]], "Changed", "Same")</f>
        <v>Changed</v>
      </c>
      <c r="Q91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17" spans="4:17" x14ac:dyDescent="0.2">
      <c r="D917" s="1">
        <v>46078</v>
      </c>
      <c r="E917" s="2">
        <v>0.91666666666666663</v>
      </c>
      <c r="F917" t="s">
        <v>38</v>
      </c>
      <c r="G917">
        <f>VLOOKUP(Table46[[#This Row],[Home]],'NHL Model'!$A$6:$B$38,2,FALSE)</f>
        <v>-0.6902088310934803</v>
      </c>
      <c r="H917" t="s">
        <v>40</v>
      </c>
      <c r="I917">
        <f>VLOOKUP(Table46[[#This Row],[Visitor]],'NHL Model'!$A$6:$B$38,2,FALSE)</f>
        <v>0.105105258369765</v>
      </c>
      <c r="J917">
        <f>($B$1+Table46[[#This Row],[Home Differential]])-Table46[[#This Row],[Away Differential]]</f>
        <v>-0.63274177980092694</v>
      </c>
      <c r="K917" t="str">
        <f>IF(Table46[[#This Row],[HomeIce Differential]]&gt;0,Table46[[#This Row],[Home]],Table46[[#This Row],[Visitor]])</f>
        <v>Winnipeg Jets</v>
      </c>
      <c r="L91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0.6104191980611744</v>
      </c>
      <c r="M917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917" t="str">
        <f>IF(OR((NHL2025_26Results[[#This Row],[Winning Team]]="")),"-",IF(Table46[[#This Row],[Predicted Winner]]=NHL2025_26Results[[#This Row],[Winning Team]],"YES","NO"))</f>
        <v>-</v>
      </c>
      <c r="O917" t="str">
        <f>IF(OR((NHL2025_26Results[[#This Row],[Winning Team]]="")),"-",IF(Table46[[#This Row],[Prob Winner]]=NHL2025_26Results[[#This Row],[Winning Team]],"YES","NO"))</f>
        <v>-</v>
      </c>
      <c r="P917" t="str">
        <f>IF(Table46[[#This Row],[Locked Prediction]]&lt;&gt;Table46[[#This Row],[Prob Winner]], "Changed", "Same")</f>
        <v>Changed</v>
      </c>
      <c r="Q91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18" spans="4:17" x14ac:dyDescent="0.2">
      <c r="D918" s="1">
        <v>46078</v>
      </c>
      <c r="E918" s="2">
        <v>0.79166666666666663</v>
      </c>
      <c r="F918" t="s">
        <v>22</v>
      </c>
      <c r="G918">
        <f>VLOOKUP(Table46[[#This Row],[Home]],'NHL Model'!$A$6:$B$38,2,FALSE)</f>
        <v>-6.1308839486784707E-2</v>
      </c>
      <c r="H918" t="s">
        <v>27</v>
      </c>
      <c r="I918">
        <f>VLOOKUP(Table46[[#This Row],[Visitor]],'NHL Model'!$A$6:$B$38,2,FALSE)</f>
        <v>-0.51358590497437617</v>
      </c>
      <c r="J918">
        <f>($B$1+Table46[[#This Row],[Home Differential]])-Table46[[#This Row],[Away Differential]]</f>
        <v>0.61484937514990989</v>
      </c>
      <c r="K918" t="str">
        <f>IF(Table46[[#This Row],[HomeIce Differential]]&gt;0,Table46[[#This Row],[Home]],Table46[[#This Row],[Visitor]])</f>
        <v>Washington Capitals</v>
      </c>
      <c r="L91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0.62172516794175547</v>
      </c>
      <c r="M918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918" t="str">
        <f>IF(OR((NHL2025_26Results[[#This Row],[Winning Team]]="")),"-",IF(Table46[[#This Row],[Predicted Winner]]=NHL2025_26Results[[#This Row],[Winning Team]],"YES","NO"))</f>
        <v>-</v>
      </c>
      <c r="O918" t="str">
        <f>IF(OR((NHL2025_26Results[[#This Row],[Winning Team]]="")),"-",IF(Table46[[#This Row],[Prob Winner]]=NHL2025_26Results[[#This Row],[Winning Team]],"YES","NO"))</f>
        <v>-</v>
      </c>
      <c r="P918" t="str">
        <f>IF(Table46[[#This Row],[Locked Prediction]]&lt;&gt;Table46[[#This Row],[Prob Winner]], "Changed", "Same")</f>
        <v>Changed</v>
      </c>
      <c r="Q91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19" spans="4:17" x14ac:dyDescent="0.2">
      <c r="D919" s="1">
        <v>46079</v>
      </c>
      <c r="E919" s="2">
        <v>0.79166666666666663</v>
      </c>
      <c r="F919" t="s">
        <v>21</v>
      </c>
      <c r="G919">
        <f>VLOOKUP(Table46[[#This Row],[Home]],'NHL Model'!$A$6:$B$38,2,FALSE)</f>
        <v>4.029141914856392E-2</v>
      </c>
      <c r="H919" t="s">
        <v>28</v>
      </c>
      <c r="I919">
        <f>VLOOKUP(Table46[[#This Row],[Visitor]],'NHL Model'!$A$6:$B$38,2,FALSE)</f>
        <v>-0.40822279081308277</v>
      </c>
      <c r="J919">
        <f>($B$1+Table46[[#This Row],[Home Differential]])-Table46[[#This Row],[Away Differential]]</f>
        <v>0.6110865196239651</v>
      </c>
      <c r="K919" t="str">
        <f>IF(Table46[[#This Row],[HomeIce Differential]]&gt;0,Table46[[#This Row],[Home]],Table46[[#This Row],[Visitor]])</f>
        <v>Boston Bruins</v>
      </c>
      <c r="L91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0.6738176055171563</v>
      </c>
      <c r="M919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919" t="str">
        <f>IF(OR((NHL2025_26Results[[#This Row],[Winning Team]]="")),"-",IF(Table46[[#This Row],[Predicted Winner]]=NHL2025_26Results[[#This Row],[Winning Team]],"YES","NO"))</f>
        <v>-</v>
      </c>
      <c r="O919" t="str">
        <f>IF(OR((NHL2025_26Results[[#This Row],[Winning Team]]="")),"-",IF(Table46[[#This Row],[Prob Winner]]=NHL2025_26Results[[#This Row],[Winning Team]],"YES","NO"))</f>
        <v>-</v>
      </c>
      <c r="P919" t="str">
        <f>IF(Table46[[#This Row],[Locked Prediction]]&lt;&gt;Table46[[#This Row],[Prob Winner]], "Changed", "Same")</f>
        <v>Changed</v>
      </c>
      <c r="Q91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20" spans="4:17" x14ac:dyDescent="0.2">
      <c r="D920" s="1">
        <v>46079</v>
      </c>
      <c r="E920" s="2">
        <v>0.79166666666666663</v>
      </c>
      <c r="F920" t="s">
        <v>25</v>
      </c>
      <c r="G920">
        <f>VLOOKUP(Table46[[#This Row],[Home]],'NHL Model'!$A$6:$B$38,2,FALSE)</f>
        <v>0.67193921242367816</v>
      </c>
      <c r="H920" t="s">
        <v>37</v>
      </c>
      <c r="I920">
        <f>VLOOKUP(Table46[[#This Row],[Visitor]],'NHL Model'!$A$6:$B$38,2,FALSE)</f>
        <v>-0.11309445867623392</v>
      </c>
      <c r="J920">
        <f>($B$1+Table46[[#This Row],[Home Differential]])-Table46[[#This Row],[Away Differential]]</f>
        <v>0.94760598076223046</v>
      </c>
      <c r="K920" t="str">
        <f>IF(Table46[[#This Row],[HomeIce Differential]]&gt;0,Table46[[#This Row],[Home]],Table46[[#This Row],[Visitor]])</f>
        <v>Carolina Hurricanes</v>
      </c>
      <c r="L92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0.67140939073925154</v>
      </c>
      <c r="M920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920" t="str">
        <f>IF(OR((NHL2025_26Results[[#This Row],[Winning Team]]="")),"-",IF(Table46[[#This Row],[Predicted Winner]]=NHL2025_26Results[[#This Row],[Winning Team]],"YES","NO"))</f>
        <v>-</v>
      </c>
      <c r="O920" t="str">
        <f>IF(OR((NHL2025_26Results[[#This Row],[Winning Team]]="")),"-",IF(Table46[[#This Row],[Prob Winner]]=NHL2025_26Results[[#This Row],[Winning Team]],"YES","NO"))</f>
        <v>-</v>
      </c>
      <c r="P920" t="str">
        <f>IF(Table46[[#This Row],[Locked Prediction]]&lt;&gt;Table46[[#This Row],[Prob Winner]], "Changed", "Same")</f>
        <v>Changed</v>
      </c>
      <c r="Q92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21" spans="4:17" x14ac:dyDescent="0.2">
      <c r="D921" s="1">
        <v>46079</v>
      </c>
      <c r="E921" s="2">
        <v>0.875</v>
      </c>
      <c r="F921" t="s">
        <v>12</v>
      </c>
      <c r="G921">
        <f>VLOOKUP(Table46[[#This Row],[Home]],'NHL Model'!$A$6:$B$38,2,FALSE)</f>
        <v>1.5475013591489768</v>
      </c>
      <c r="H921" t="s">
        <v>34</v>
      </c>
      <c r="I921">
        <f>VLOOKUP(Table46[[#This Row],[Visitor]],'NHL Model'!$A$6:$B$38,2,FALSE)</f>
        <v>-0.53650300840565446</v>
      </c>
      <c r="J921">
        <f>($B$1+Table46[[#This Row],[Home Differential]])-Table46[[#This Row],[Away Differential]]</f>
        <v>2.2465766772169498</v>
      </c>
      <c r="K921" t="str">
        <f>IF(Table46[[#This Row],[HomeIce Differential]]&gt;0,Table46[[#This Row],[Home]],Table46[[#This Row],[Visitor]])</f>
        <v>Colorado Avalanche</v>
      </c>
      <c r="L92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0.92697898716834704</v>
      </c>
      <c r="M921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921" t="str">
        <f>IF(OR((NHL2025_26Results[[#This Row],[Winning Team]]="")),"-",IF(Table46[[#This Row],[Predicted Winner]]=NHL2025_26Results[[#This Row],[Winning Team]],"YES","NO"))</f>
        <v>-</v>
      </c>
      <c r="O921" t="str">
        <f>IF(OR((NHL2025_26Results[[#This Row],[Winning Team]]="")),"-",IF(Table46[[#This Row],[Prob Winner]]=NHL2025_26Results[[#This Row],[Winning Team]],"YES","NO"))</f>
        <v>-</v>
      </c>
      <c r="P921" t="str">
        <f>IF(Table46[[#This Row],[Locked Prediction]]&lt;&gt;Table46[[#This Row],[Prob Winner]], "Changed", "Same")</f>
        <v>Changed</v>
      </c>
      <c r="Q92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22" spans="4:17" x14ac:dyDescent="0.2">
      <c r="D922" s="1">
        <v>46079</v>
      </c>
      <c r="E922" s="2">
        <v>0.79166666666666663</v>
      </c>
      <c r="F922" t="s">
        <v>11</v>
      </c>
      <c r="G922">
        <f>VLOOKUP(Table46[[#This Row],[Home]],'NHL Model'!$A$6:$B$38,2,FALSE)</f>
        <v>-0.28105923893144158</v>
      </c>
      <c r="H922" t="s">
        <v>19</v>
      </c>
      <c r="I922">
        <f>VLOOKUP(Table46[[#This Row],[Visitor]],'NHL Model'!$A$6:$B$38,2,FALSE)</f>
        <v>-0.635565543477981</v>
      </c>
      <c r="J922">
        <f>($B$1+Table46[[#This Row],[Home Differential]])-Table46[[#This Row],[Away Differential]]</f>
        <v>0.51707861420885781</v>
      </c>
      <c r="K922" t="str">
        <f>IF(Table46[[#This Row],[HomeIce Differential]]&gt;0,Table46[[#This Row],[Home]],Table46[[#This Row],[Visitor]])</f>
        <v>Florida Panthers</v>
      </c>
      <c r="L92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0.66044555188798526</v>
      </c>
      <c r="M922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922" t="str">
        <f>IF(OR((NHL2025_26Results[[#This Row],[Winning Team]]="")),"-",IF(Table46[[#This Row],[Predicted Winner]]=NHL2025_26Results[[#This Row],[Winning Team]],"YES","NO"))</f>
        <v>-</v>
      </c>
      <c r="O922" t="str">
        <f>IF(OR((NHL2025_26Results[[#This Row],[Winning Team]]="")),"-",IF(Table46[[#This Row],[Prob Winner]]=NHL2025_26Results[[#This Row],[Winning Team]],"YES","NO"))</f>
        <v>-</v>
      </c>
      <c r="P922" t="str">
        <f>IF(Table46[[#This Row],[Locked Prediction]]&lt;&gt;Table46[[#This Row],[Prob Winner]], "Changed", "Same")</f>
        <v>Changed</v>
      </c>
      <c r="Q92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23" spans="4:17" x14ac:dyDescent="0.2">
      <c r="D923" s="1">
        <v>46079</v>
      </c>
      <c r="E923" s="2">
        <v>0.9375</v>
      </c>
      <c r="F923" t="s">
        <v>13</v>
      </c>
      <c r="G923">
        <f>VLOOKUP(Table46[[#This Row],[Home]],'NHL Model'!$A$6:$B$38,2,FALSE)</f>
        <v>-7.5459708298993802E-2</v>
      </c>
      <c r="H923" t="s">
        <v>17</v>
      </c>
      <c r="I923">
        <f>VLOOKUP(Table46[[#This Row],[Visitor]],'NHL Model'!$A$6:$B$38,2,FALSE)</f>
        <v>-0.61980804137564283</v>
      </c>
      <c r="J923">
        <f>($B$1+Table46[[#This Row],[Home Differential]])-Table46[[#This Row],[Away Differential]]</f>
        <v>0.70692064273896738</v>
      </c>
      <c r="K923" t="str">
        <f>IF(Table46[[#This Row],[HomeIce Differential]]&gt;0,Table46[[#This Row],[Home]],Table46[[#This Row],[Visitor]])</f>
        <v>Los Angeles Kings</v>
      </c>
      <c r="L92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0.63396318933437934</v>
      </c>
      <c r="M923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923" t="str">
        <f>IF(OR((NHL2025_26Results[[#This Row],[Winning Team]]="")),"-",IF(Table46[[#This Row],[Predicted Winner]]=NHL2025_26Results[[#This Row],[Winning Team]],"YES","NO"))</f>
        <v>-</v>
      </c>
      <c r="O923" t="str">
        <f>IF(OR((NHL2025_26Results[[#This Row],[Winning Team]]="")),"-",IF(Table46[[#This Row],[Prob Winner]]=NHL2025_26Results[[#This Row],[Winning Team]],"YES","NO"))</f>
        <v>-</v>
      </c>
      <c r="P923" t="str">
        <f>IF(Table46[[#This Row],[Locked Prediction]]&lt;&gt;Table46[[#This Row],[Prob Winner]], "Changed", "Same")</f>
        <v>Changed</v>
      </c>
      <c r="Q92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24" spans="4:17" x14ac:dyDescent="0.2">
      <c r="D924" s="1">
        <v>46079</v>
      </c>
      <c r="E924" s="2">
        <v>0.79166666666666663</v>
      </c>
      <c r="F924" t="s">
        <v>18</v>
      </c>
      <c r="G924">
        <f>VLOOKUP(Table46[[#This Row],[Home]],'NHL Model'!$A$6:$B$38,2,FALSE)</f>
        <v>-0.52437726201848234</v>
      </c>
      <c r="H924" t="s">
        <v>30</v>
      </c>
      <c r="I924">
        <f>VLOOKUP(Table46[[#This Row],[Visitor]],'NHL Model'!$A$6:$B$38,2,FALSE)</f>
        <v>-6.4729560818359025E-2</v>
      </c>
      <c r="J924">
        <f>($B$1+Table46[[#This Row],[Home Differential]])-Table46[[#This Row],[Away Differential]]</f>
        <v>-0.29707539153780493</v>
      </c>
      <c r="K924" t="str">
        <f>IF(Table46[[#This Row],[HomeIce Differential]]&gt;0,Table46[[#This Row],[Home]],Table46[[#This Row],[Visitor]])</f>
        <v>New York Islanders</v>
      </c>
      <c r="L92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0.54199952864024581</v>
      </c>
      <c r="M924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924" t="str">
        <f>IF(OR((NHL2025_26Results[[#This Row],[Winning Team]]="")),"-",IF(Table46[[#This Row],[Predicted Winner]]=NHL2025_26Results[[#This Row],[Winning Team]],"YES","NO"))</f>
        <v>-</v>
      </c>
      <c r="O924" t="str">
        <f>IF(OR((NHL2025_26Results[[#This Row],[Winning Team]]="")),"-",IF(Table46[[#This Row],[Prob Winner]]=NHL2025_26Results[[#This Row],[Winning Team]],"YES","NO"))</f>
        <v>-</v>
      </c>
      <c r="P924" t="str">
        <f>IF(Table46[[#This Row],[Locked Prediction]]&lt;&gt;Table46[[#This Row],[Prob Winner]], "Changed", "Same")</f>
        <v>Changed</v>
      </c>
      <c r="Q92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25" spans="4:17" x14ac:dyDescent="0.2">
      <c r="D925" s="1">
        <v>46079</v>
      </c>
      <c r="E925" s="2">
        <v>0.83333333333333337</v>
      </c>
      <c r="F925" t="s">
        <v>29</v>
      </c>
      <c r="G925">
        <f>VLOOKUP(Table46[[#This Row],[Home]],'NHL Model'!$A$6:$B$38,2,FALSE)</f>
        <v>-1.3516250707060606</v>
      </c>
      <c r="H925" t="s">
        <v>10</v>
      </c>
      <c r="I925">
        <f>VLOOKUP(Table46[[#This Row],[Visitor]],'NHL Model'!$A$6:$B$38,2,FALSE)</f>
        <v>0.30570968833820172</v>
      </c>
      <c r="J925">
        <f>($B$1+Table46[[#This Row],[Home Differential]])-Table46[[#This Row],[Away Differential]]</f>
        <v>-1.494762449381944</v>
      </c>
      <c r="K925" t="str">
        <f>IF(Table46[[#This Row],[HomeIce Differential]]&gt;0,Table46[[#This Row],[Home]],Table46[[#This Row],[Visitor]])</f>
        <v>Chicago Blackhawks</v>
      </c>
      <c r="L92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0.67945157012915047</v>
      </c>
      <c r="M925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925" t="str">
        <f>IF(OR((NHL2025_26Results[[#This Row],[Winning Team]]="")),"-",IF(Table46[[#This Row],[Predicted Winner]]=NHL2025_26Results[[#This Row],[Winning Team]],"YES","NO"))</f>
        <v>-</v>
      </c>
      <c r="O925" t="str">
        <f>IF(OR((NHL2025_26Results[[#This Row],[Winning Team]]="")),"-",IF(Table46[[#This Row],[Prob Winner]]=NHL2025_26Results[[#This Row],[Winning Team]],"YES","NO"))</f>
        <v>-</v>
      </c>
      <c r="P925" t="str">
        <f>IF(Table46[[#This Row],[Locked Prediction]]&lt;&gt;Table46[[#This Row],[Prob Winner]], "Changed", "Same")</f>
        <v>Changed</v>
      </c>
      <c r="Q92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26" spans="4:17" x14ac:dyDescent="0.2">
      <c r="D926" s="1">
        <v>46079</v>
      </c>
      <c r="E926" s="2">
        <v>0.83333333333333337</v>
      </c>
      <c r="F926" t="s">
        <v>15</v>
      </c>
      <c r="G926">
        <f>VLOOKUP(Table46[[#This Row],[Home]],'NHL Model'!$A$6:$B$38,2,FALSE)</f>
        <v>-0.30719665303039001</v>
      </c>
      <c r="H926" t="s">
        <v>27</v>
      </c>
      <c r="I926">
        <f>VLOOKUP(Table46[[#This Row],[Visitor]],'NHL Model'!$A$6:$B$38,2,FALSE)</f>
        <v>-0.51358590497437617</v>
      </c>
      <c r="J926">
        <f>($B$1+Table46[[#This Row],[Home Differential]])-Table46[[#This Row],[Away Differential]]</f>
        <v>0.36896156160630456</v>
      </c>
      <c r="K926" t="str">
        <f>IF(Table46[[#This Row],[HomeIce Differential]]&gt;0,Table46[[#This Row],[Home]],Table46[[#This Row],[Visitor]])</f>
        <v>New York Rangers</v>
      </c>
      <c r="L92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0.58904200411519603</v>
      </c>
      <c r="M926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926" t="str">
        <f>IF(OR((NHL2025_26Results[[#This Row],[Winning Team]]="")),"-",IF(Table46[[#This Row],[Predicted Winner]]=NHL2025_26Results[[#This Row],[Winning Team]],"YES","NO"))</f>
        <v>-</v>
      </c>
      <c r="O926" t="str">
        <f>IF(OR((NHL2025_26Results[[#This Row],[Winning Team]]="")),"-",IF(Table46[[#This Row],[Prob Winner]]=NHL2025_26Results[[#This Row],[Winning Team]],"YES","NO"))</f>
        <v>-</v>
      </c>
      <c r="P926" t="str">
        <f>IF(Table46[[#This Row],[Locked Prediction]]&lt;&gt;Table46[[#This Row],[Prob Winner]], "Changed", "Same")</f>
        <v>Changed</v>
      </c>
      <c r="Q92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27" spans="4:17" x14ac:dyDescent="0.2">
      <c r="D927" s="1">
        <v>46079</v>
      </c>
      <c r="E927" s="2">
        <v>0.79166666666666663</v>
      </c>
      <c r="F927" t="s">
        <v>36</v>
      </c>
      <c r="G927">
        <f>VLOOKUP(Table46[[#This Row],[Home]],'NHL Model'!$A$6:$B$38,2,FALSE)</f>
        <v>-0.40651947573390851</v>
      </c>
      <c r="H927" t="s">
        <v>26</v>
      </c>
      <c r="I927">
        <f>VLOOKUP(Table46[[#This Row],[Visitor]],'NHL Model'!$A$6:$B$38,2,FALSE)</f>
        <v>-0.513643833119658</v>
      </c>
      <c r="J927">
        <f>($B$1+Table46[[#This Row],[Home Differential]])-Table46[[#This Row],[Away Differential]]</f>
        <v>0.26969666704806788</v>
      </c>
      <c r="K927" t="str">
        <f>IF(Table46[[#This Row],[HomeIce Differential]]&gt;0,Table46[[#This Row],[Home]],Table46[[#This Row],[Visitor]])</f>
        <v>Ottawa Senators</v>
      </c>
      <c r="L92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0.5312606570111531</v>
      </c>
      <c r="M927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927" t="str">
        <f>IF(OR((NHL2025_26Results[[#This Row],[Winning Team]]="")),"-",IF(Table46[[#This Row],[Predicted Winner]]=NHL2025_26Results[[#This Row],[Winning Team]],"YES","NO"))</f>
        <v>-</v>
      </c>
      <c r="O927" t="str">
        <f>IF(OR((NHL2025_26Results[[#This Row],[Winning Team]]="")),"-",IF(Table46[[#This Row],[Prob Winner]]=NHL2025_26Results[[#This Row],[Winning Team]],"YES","NO"))</f>
        <v>-</v>
      </c>
      <c r="P927" t="str">
        <f>IF(Table46[[#This Row],[Locked Prediction]]&lt;&gt;Table46[[#This Row],[Prob Winner]], "Changed", "Same")</f>
        <v>Changed</v>
      </c>
      <c r="Q92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28" spans="4:17" x14ac:dyDescent="0.2">
      <c r="D928" s="1">
        <v>46079</v>
      </c>
      <c r="E928" s="2">
        <v>0.79166666666666663</v>
      </c>
      <c r="F928" t="s">
        <v>14</v>
      </c>
      <c r="G928">
        <f>VLOOKUP(Table46[[#This Row],[Home]],'NHL Model'!$A$6:$B$38,2,FALSE)</f>
        <v>0.26289091192875702</v>
      </c>
      <c r="H928" t="s">
        <v>24</v>
      </c>
      <c r="I928">
        <f>VLOOKUP(Table46[[#This Row],[Visitor]],'NHL Model'!$A$6:$B$38,2,FALSE)</f>
        <v>0.559441163373953</v>
      </c>
      <c r="J928">
        <f>($B$1+Table46[[#This Row],[Home Differential]])-Table46[[#This Row],[Away Differential]]</f>
        <v>-0.13397794178287759</v>
      </c>
      <c r="K928" t="str">
        <f>IF(Table46[[#This Row],[HomeIce Differential]]&gt;0,Table46[[#This Row],[Home]],Table46[[#This Row],[Visitor]])</f>
        <v>New Jersey Devils</v>
      </c>
      <c r="L92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0.50760413324928733</v>
      </c>
      <c r="M928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928" t="str">
        <f>IF(OR((NHL2025_26Results[[#This Row],[Winning Team]]="")),"-",IF(Table46[[#This Row],[Predicted Winner]]=NHL2025_26Results[[#This Row],[Winning Team]],"YES","NO"))</f>
        <v>-</v>
      </c>
      <c r="O928" t="str">
        <f>IF(OR((NHL2025_26Results[[#This Row],[Winning Team]]="")),"-",IF(Table46[[#This Row],[Prob Winner]]=NHL2025_26Results[[#This Row],[Winning Team]],"YES","NO"))</f>
        <v>-</v>
      </c>
      <c r="P928" t="str">
        <f>IF(Table46[[#This Row],[Locked Prediction]]&lt;&gt;Table46[[#This Row],[Prob Winner]], "Changed", "Same")</f>
        <v>Changed</v>
      </c>
      <c r="Q92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29" spans="4:17" x14ac:dyDescent="0.2">
      <c r="D929" s="1">
        <v>46079</v>
      </c>
      <c r="E929" s="2">
        <v>0.91666666666666663</v>
      </c>
      <c r="F929" t="s">
        <v>33</v>
      </c>
      <c r="G929">
        <f>VLOOKUP(Table46[[#This Row],[Home]],'NHL Model'!$A$6:$B$38,2,FALSE)</f>
        <v>-0.39418177254008485</v>
      </c>
      <c r="H929" t="s">
        <v>16</v>
      </c>
      <c r="I929">
        <f>VLOOKUP(Table46[[#This Row],[Visitor]],'NHL Model'!$A$6:$B$38,2,FALSE)</f>
        <v>-1.3903684122795328</v>
      </c>
      <c r="J929">
        <f>($B$1+Table46[[#This Row],[Home Differential]])-Table46[[#This Row],[Away Differential]]</f>
        <v>1.1587589494017663</v>
      </c>
      <c r="K929" t="str">
        <f>IF(Table46[[#This Row],[HomeIce Differential]]&gt;0,Table46[[#This Row],[Home]],Table46[[#This Row],[Visitor]])</f>
        <v>San Jose Sharks</v>
      </c>
      <c r="L92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0.69402108804417684</v>
      </c>
      <c r="M929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929" t="str">
        <f>IF(OR((NHL2025_26Results[[#This Row],[Winning Team]]="")),"-",IF(Table46[[#This Row],[Predicted Winner]]=NHL2025_26Results[[#This Row],[Winning Team]],"YES","NO"))</f>
        <v>-</v>
      </c>
      <c r="O929" t="str">
        <f>IF(OR((NHL2025_26Results[[#This Row],[Winning Team]]="")),"-",IF(Table46[[#This Row],[Prob Winner]]=NHL2025_26Results[[#This Row],[Winning Team]],"YES","NO"))</f>
        <v>-</v>
      </c>
      <c r="P929" t="str">
        <f>IF(Table46[[#This Row],[Locked Prediction]]&lt;&gt;Table46[[#This Row],[Prob Winner]], "Changed", "Same")</f>
        <v>Changed</v>
      </c>
      <c r="Q92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30" spans="4:17" x14ac:dyDescent="0.2">
      <c r="D930" s="1">
        <v>46079</v>
      </c>
      <c r="E930" s="2">
        <v>0.83333333333333337</v>
      </c>
      <c r="F930" t="s">
        <v>35</v>
      </c>
      <c r="G930">
        <f>VLOOKUP(Table46[[#This Row],[Home]],'NHL Model'!$A$6:$B$38,2,FALSE)</f>
        <v>-1.6211574240381006</v>
      </c>
      <c r="H930" t="s">
        <v>32</v>
      </c>
      <c r="I930">
        <f>VLOOKUP(Table46[[#This Row],[Visitor]],'NHL Model'!$A$6:$B$38,2,FALSE)</f>
        <v>-0.361361309178443</v>
      </c>
      <c r="J930">
        <f>($B$1+Table46[[#This Row],[Home Differential]])-Table46[[#This Row],[Away Differential]]</f>
        <v>-1.0972238051973391</v>
      </c>
      <c r="K930" t="str">
        <f>IF(Table46[[#This Row],[HomeIce Differential]]&gt;0,Table46[[#This Row],[Home]],Table46[[#This Row],[Visitor]])</f>
        <v>Seattle Kraken</v>
      </c>
      <c r="L93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0.60584189782673403</v>
      </c>
      <c r="M930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930" t="str">
        <f>IF(OR((NHL2025_26Results[[#This Row],[Winning Team]]="")),"-",IF(Table46[[#This Row],[Predicted Winner]]=NHL2025_26Results[[#This Row],[Winning Team]],"YES","NO"))</f>
        <v>-</v>
      </c>
      <c r="O930" t="str">
        <f>IF(OR((NHL2025_26Results[[#This Row],[Winning Team]]="")),"-",IF(Table46[[#This Row],[Prob Winner]]=NHL2025_26Results[[#This Row],[Winning Team]],"YES","NO"))</f>
        <v>-</v>
      </c>
      <c r="P930" t="str">
        <f>IF(Table46[[#This Row],[Locked Prediction]]&lt;&gt;Table46[[#This Row],[Prob Winner]], "Changed", "Same")</f>
        <v>Changed</v>
      </c>
      <c r="Q93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31" spans="4:17" x14ac:dyDescent="0.2">
      <c r="D931" s="1">
        <v>46080</v>
      </c>
      <c r="E931" s="2">
        <v>0.91666666666666663</v>
      </c>
      <c r="F931" t="s">
        <v>31</v>
      </c>
      <c r="G931">
        <f>VLOOKUP(Table46[[#This Row],[Home]],'NHL Model'!$A$6:$B$38,2,FALSE)</f>
        <v>0.51775546328552802</v>
      </c>
      <c r="H931" t="s">
        <v>40</v>
      </c>
      <c r="I931">
        <f>VLOOKUP(Table46[[#This Row],[Visitor]],'NHL Model'!$A$6:$B$38,2,FALSE)</f>
        <v>0.105105258369765</v>
      </c>
      <c r="J931">
        <f>($B$1+Table46[[#This Row],[Home Differential]])-Table46[[#This Row],[Away Differential]]</f>
        <v>0.57522251457808138</v>
      </c>
      <c r="K931" t="str">
        <f>IF(Table46[[#This Row],[HomeIce Differential]]&gt;0,Table46[[#This Row],[Home]],Table46[[#This Row],[Visitor]])</f>
        <v>Anaheim Ducks</v>
      </c>
      <c r="L93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0.65785335385073107</v>
      </c>
      <c r="M931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931" t="str">
        <f>IF(OR((NHL2025_26Results[[#This Row],[Winning Team]]="")),"-",IF(Table46[[#This Row],[Predicted Winner]]=NHL2025_26Results[[#This Row],[Winning Team]],"YES","NO"))</f>
        <v>-</v>
      </c>
      <c r="O931" t="str">
        <f>IF(OR((NHL2025_26Results[[#This Row],[Winning Team]]="")),"-",IF(Table46[[#This Row],[Prob Winner]]=NHL2025_26Results[[#This Row],[Winning Team]],"YES","NO"))</f>
        <v>-</v>
      </c>
      <c r="P931" t="str">
        <f>IF(Table46[[#This Row],[Locked Prediction]]&lt;&gt;Table46[[#This Row],[Prob Winner]], "Changed", "Same")</f>
        <v>Changed</v>
      </c>
      <c r="Q93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32" spans="4:17" x14ac:dyDescent="0.2">
      <c r="D932" s="1">
        <v>46080</v>
      </c>
      <c r="E932" s="2">
        <v>0.79166666666666663</v>
      </c>
      <c r="F932" t="s">
        <v>11</v>
      </c>
      <c r="G932">
        <f>VLOOKUP(Table46[[#This Row],[Home]],'NHL Model'!$A$6:$B$38,2,FALSE)</f>
        <v>-0.28105923893144158</v>
      </c>
      <c r="H932" t="s">
        <v>23</v>
      </c>
      <c r="I932">
        <f>VLOOKUP(Table46[[#This Row],[Visitor]],'NHL Model'!$A$6:$B$38,2,FALSE)</f>
        <v>-0.8683412362501769</v>
      </c>
      <c r="J932">
        <f>($B$1+Table46[[#This Row],[Home Differential]])-Table46[[#This Row],[Away Differential]]</f>
        <v>0.74985430698105371</v>
      </c>
      <c r="K932" t="str">
        <f>IF(Table46[[#This Row],[HomeIce Differential]]&gt;0,Table46[[#This Row],[Home]],Table46[[#This Row],[Visitor]])</f>
        <v>Florida Panthers</v>
      </c>
      <c r="L93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0.69138586565170657</v>
      </c>
      <c r="M932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932" t="str">
        <f>IF(OR((NHL2025_26Results[[#This Row],[Winning Team]]="")),"-",IF(Table46[[#This Row],[Predicted Winner]]=NHL2025_26Results[[#This Row],[Winning Team]],"YES","NO"))</f>
        <v>-</v>
      </c>
      <c r="O932" t="str">
        <f>IF(OR((NHL2025_26Results[[#This Row],[Winning Team]]="")),"-",IF(Table46[[#This Row],[Prob Winner]]=NHL2025_26Results[[#This Row],[Winning Team]],"YES","NO"))</f>
        <v>-</v>
      </c>
      <c r="P932" t="str">
        <f>IF(Table46[[#This Row],[Locked Prediction]]&lt;&gt;Table46[[#This Row],[Prob Winner]], "Changed", "Same")</f>
        <v>Changed</v>
      </c>
      <c r="Q93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33" spans="4:17" x14ac:dyDescent="0.2">
      <c r="D933" s="1">
        <v>46080</v>
      </c>
      <c r="E933" s="2">
        <v>0.875</v>
      </c>
      <c r="F933" t="s">
        <v>55</v>
      </c>
      <c r="G933">
        <f>VLOOKUP(Table46[[#This Row],[Home]],'NHL Model'!$A$6:$B$38,2,FALSE)</f>
        <v>-0.12212311954851815</v>
      </c>
      <c r="H933" t="s">
        <v>34</v>
      </c>
      <c r="I933">
        <f>VLOOKUP(Table46[[#This Row],[Visitor]],'NHL Model'!$A$6:$B$38,2,FALSE)</f>
        <v>-0.53650300840565446</v>
      </c>
      <c r="J933">
        <f>($B$1+Table46[[#This Row],[Home Differential]])-Table46[[#This Row],[Away Differential]]</f>
        <v>0.57695219851945467</v>
      </c>
      <c r="K933" t="str">
        <f>IF(Table46[[#This Row],[HomeIce Differential]]&gt;0,Table46[[#This Row],[Home]],Table46[[#This Row],[Visitor]])</f>
        <v>Utah Mammoth</v>
      </c>
      <c r="L93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0.68496041896687021</v>
      </c>
      <c r="M933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933" t="str">
        <f>IF(OR((NHL2025_26Results[[#This Row],[Winning Team]]="")),"-",IF(Table46[[#This Row],[Predicted Winner]]=NHL2025_26Results[[#This Row],[Winning Team]],"YES","NO"))</f>
        <v>-</v>
      </c>
      <c r="O933" t="str">
        <f>IF(OR((NHL2025_26Results[[#This Row],[Winning Team]]="")),"-",IF(Table46[[#This Row],[Prob Winner]]=NHL2025_26Results[[#This Row],[Winning Team]],"YES","NO"))</f>
        <v>-</v>
      </c>
      <c r="P933" t="str">
        <f>IF(Table46[[#This Row],[Locked Prediction]]&lt;&gt;Table46[[#This Row],[Prob Winner]], "Changed", "Same")</f>
        <v>Changed</v>
      </c>
      <c r="Q93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34" spans="4:17" x14ac:dyDescent="0.2">
      <c r="D934" s="1">
        <v>46080</v>
      </c>
      <c r="E934" s="2">
        <v>0.79166666666666663</v>
      </c>
      <c r="F934" t="s">
        <v>22</v>
      </c>
      <c r="G934">
        <f>VLOOKUP(Table46[[#This Row],[Home]],'NHL Model'!$A$6:$B$38,2,FALSE)</f>
        <v>-6.1308839486784707E-2</v>
      </c>
      <c r="H934" t="s">
        <v>20</v>
      </c>
      <c r="I934">
        <f>VLOOKUP(Table46[[#This Row],[Visitor]],'NHL Model'!$A$6:$B$38,2,FALSE)</f>
        <v>-6.3745791019188943E-4</v>
      </c>
      <c r="J934">
        <f>($B$1+Table46[[#This Row],[Home Differential]])-Table46[[#This Row],[Away Differential]]</f>
        <v>0.10190092808572558</v>
      </c>
      <c r="K934" t="str">
        <f>IF(Table46[[#This Row],[HomeIce Differential]]&gt;0,Table46[[#This Row],[Home]],Table46[[#This Row],[Visitor]])</f>
        <v>Washington Capitals</v>
      </c>
      <c r="L93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0.53277533932843946</v>
      </c>
      <c r="M934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934" t="str">
        <f>IF(OR((NHL2025_26Results[[#This Row],[Winning Team]]="")),"-",IF(Table46[[#This Row],[Predicted Winner]]=NHL2025_26Results[[#This Row],[Winning Team]],"YES","NO"))</f>
        <v>-</v>
      </c>
      <c r="O934" t="str">
        <f>IF(OR((NHL2025_26Results[[#This Row],[Winning Team]]="")),"-",IF(Table46[[#This Row],[Prob Winner]]=NHL2025_26Results[[#This Row],[Winning Team]],"YES","NO"))</f>
        <v>-</v>
      </c>
      <c r="P934" t="str">
        <f>IF(Table46[[#This Row],[Locked Prediction]]&lt;&gt;Table46[[#This Row],[Prob Winner]], "Changed", "Same")</f>
        <v>Changed</v>
      </c>
      <c r="Q93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35" spans="4:17" x14ac:dyDescent="0.2">
      <c r="D935" s="1">
        <v>46081</v>
      </c>
      <c r="E935" s="2">
        <v>0.79166666666666663</v>
      </c>
      <c r="F935" t="s">
        <v>25</v>
      </c>
      <c r="G935">
        <f>VLOOKUP(Table46[[#This Row],[Home]],'NHL Model'!$A$6:$B$38,2,FALSE)</f>
        <v>0.67193921242367816</v>
      </c>
      <c r="H935" t="s">
        <v>26</v>
      </c>
      <c r="I935">
        <f>VLOOKUP(Table46[[#This Row],[Visitor]],'NHL Model'!$A$6:$B$38,2,FALSE)</f>
        <v>-0.513643833119658</v>
      </c>
      <c r="J935">
        <f>($B$1+Table46[[#This Row],[Home Differential]])-Table46[[#This Row],[Away Differential]]</f>
        <v>1.3481553552056544</v>
      </c>
      <c r="K935" t="str">
        <f>IF(Table46[[#This Row],[HomeIce Differential]]&gt;0,Table46[[#This Row],[Home]],Table46[[#This Row],[Visitor]])</f>
        <v>Carolina Hurricanes</v>
      </c>
      <c r="L93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0.72465001554654285</v>
      </c>
      <c r="M935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935" t="str">
        <f>IF(OR((NHL2025_26Results[[#This Row],[Winning Team]]="")),"-",IF(Table46[[#This Row],[Predicted Winner]]=NHL2025_26Results[[#This Row],[Winning Team]],"YES","NO"))</f>
        <v>-</v>
      </c>
      <c r="O935" t="str">
        <f>IF(OR((NHL2025_26Results[[#This Row],[Winning Team]]="")),"-",IF(Table46[[#This Row],[Prob Winner]]=NHL2025_26Results[[#This Row],[Winning Team]],"YES","NO"))</f>
        <v>-</v>
      </c>
      <c r="P935" t="str">
        <f>IF(Table46[[#This Row],[Locked Prediction]]&lt;&gt;Table46[[#This Row],[Prob Winner]], "Changed", "Same")</f>
        <v>Changed</v>
      </c>
      <c r="Q93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36" spans="4:17" x14ac:dyDescent="0.2">
      <c r="D936" s="1">
        <v>46081</v>
      </c>
      <c r="E936" s="2">
        <v>0.75</v>
      </c>
      <c r="F936" t="s">
        <v>28</v>
      </c>
      <c r="G936">
        <f>VLOOKUP(Table46[[#This Row],[Home]],'NHL Model'!$A$6:$B$38,2,FALSE)</f>
        <v>-0.40822279081308277</v>
      </c>
      <c r="H936" t="s">
        <v>30</v>
      </c>
      <c r="I936">
        <f>VLOOKUP(Table46[[#This Row],[Visitor]],'NHL Model'!$A$6:$B$38,2,FALSE)</f>
        <v>-6.4729560818359025E-2</v>
      </c>
      <c r="J936">
        <f>($B$1+Table46[[#This Row],[Home Differential]])-Table46[[#This Row],[Away Differential]]</f>
        <v>-0.18092092033240537</v>
      </c>
      <c r="K936" t="str">
        <f>IF(Table46[[#This Row],[HomeIce Differential]]&gt;0,Table46[[#This Row],[Home]],Table46[[#This Row],[Visitor]])</f>
        <v>New York Islanders</v>
      </c>
      <c r="L93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0.5265603917554883</v>
      </c>
      <c r="M936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936" t="str">
        <f>IF(OR((NHL2025_26Results[[#This Row],[Winning Team]]="")),"-",IF(Table46[[#This Row],[Predicted Winner]]=NHL2025_26Results[[#This Row],[Winning Team]],"YES","NO"))</f>
        <v>-</v>
      </c>
      <c r="O936" t="str">
        <f>IF(OR((NHL2025_26Results[[#This Row],[Winning Team]]="")),"-",IF(Table46[[#This Row],[Prob Winner]]=NHL2025_26Results[[#This Row],[Winning Team]],"YES","NO"))</f>
        <v>-</v>
      </c>
      <c r="P936" t="str">
        <f>IF(Table46[[#This Row],[Locked Prediction]]&lt;&gt;Table46[[#This Row],[Prob Winner]], "Changed", "Same")</f>
        <v>Changed</v>
      </c>
      <c r="Q93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37" spans="4:17" x14ac:dyDescent="0.2">
      <c r="D937" s="1">
        <v>46081</v>
      </c>
      <c r="E937" s="2">
        <v>0.75</v>
      </c>
      <c r="F937" t="s">
        <v>12</v>
      </c>
      <c r="G937">
        <f>VLOOKUP(Table46[[#This Row],[Home]],'NHL Model'!$A$6:$B$38,2,FALSE)</f>
        <v>1.5475013591489768</v>
      </c>
      <c r="H937" t="s">
        <v>10</v>
      </c>
      <c r="I937">
        <f>VLOOKUP(Table46[[#This Row],[Visitor]],'NHL Model'!$A$6:$B$38,2,FALSE)</f>
        <v>0.30570968833820172</v>
      </c>
      <c r="J937">
        <f>($B$1+Table46[[#This Row],[Home Differential]])-Table46[[#This Row],[Away Differential]]</f>
        <v>1.4043639804730934</v>
      </c>
      <c r="K937" t="str">
        <f>IF(Table46[[#This Row],[HomeIce Differential]]&gt;0,Table46[[#This Row],[Home]],Table46[[#This Row],[Visitor]])</f>
        <v>Colorado Avalanche</v>
      </c>
      <c r="L93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0.79536231687944758</v>
      </c>
      <c r="M937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937" t="str">
        <f>IF(OR((NHL2025_26Results[[#This Row],[Winning Team]]="")),"-",IF(Table46[[#This Row],[Predicted Winner]]=NHL2025_26Results[[#This Row],[Winning Team]],"YES","NO"))</f>
        <v>-</v>
      </c>
      <c r="O937" t="str">
        <f>IF(OR((NHL2025_26Results[[#This Row],[Winning Team]]="")),"-",IF(Table46[[#This Row],[Prob Winner]]=NHL2025_26Results[[#This Row],[Winning Team]],"YES","NO"))</f>
        <v>-</v>
      </c>
      <c r="P937" t="str">
        <f>IF(Table46[[#This Row],[Locked Prediction]]&lt;&gt;Table46[[#This Row],[Prob Winner]], "Changed", "Same")</f>
        <v>Changed</v>
      </c>
      <c r="Q93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38" spans="4:17" x14ac:dyDescent="0.2">
      <c r="D938" s="1">
        <v>46081</v>
      </c>
      <c r="E938" s="2">
        <v>0.83333333333333337</v>
      </c>
      <c r="F938" t="s">
        <v>39</v>
      </c>
      <c r="G938">
        <f>VLOOKUP(Table46[[#This Row],[Home]],'NHL Model'!$A$6:$B$38,2,FALSE)</f>
        <v>0.19809534061227302</v>
      </c>
      <c r="H938" t="s">
        <v>29</v>
      </c>
      <c r="I938">
        <f>VLOOKUP(Table46[[#This Row],[Visitor]],'NHL Model'!$A$6:$B$38,2,FALSE)</f>
        <v>-1.3516250707060606</v>
      </c>
      <c r="J938">
        <f>($B$1+Table46[[#This Row],[Home Differential]])-Table46[[#This Row],[Away Differential]]</f>
        <v>1.712292720980652</v>
      </c>
      <c r="K938" t="str">
        <f>IF(Table46[[#This Row],[HomeIce Differential]]&gt;0,Table46[[#This Row],[Home]],Table46[[#This Row],[Visitor]])</f>
        <v>Dallas Stars</v>
      </c>
      <c r="L93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0.79363398274037067</v>
      </c>
      <c r="M938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938" t="str">
        <f>IF(OR((NHL2025_26Results[[#This Row],[Winning Team]]="")),"-",IF(Table46[[#This Row],[Predicted Winner]]=NHL2025_26Results[[#This Row],[Winning Team]],"YES","NO"))</f>
        <v>-</v>
      </c>
      <c r="O938" t="str">
        <f>IF(OR((NHL2025_26Results[[#This Row],[Winning Team]]="")),"-",IF(Table46[[#This Row],[Prob Winner]]=NHL2025_26Results[[#This Row],[Winning Team]],"YES","NO"))</f>
        <v>-</v>
      </c>
      <c r="P938" t="str">
        <f>IF(Table46[[#This Row],[Locked Prediction]]&lt;&gt;Table46[[#This Row],[Prob Winner]], "Changed", "Same")</f>
        <v>Changed</v>
      </c>
      <c r="Q93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39" spans="4:17" x14ac:dyDescent="0.2">
      <c r="D939" s="1">
        <v>46081</v>
      </c>
      <c r="E939" s="2">
        <v>0.79166666666666663</v>
      </c>
      <c r="F939" t="s">
        <v>13</v>
      </c>
      <c r="G939">
        <f>VLOOKUP(Table46[[#This Row],[Home]],'NHL Model'!$A$6:$B$38,2,FALSE)</f>
        <v>-7.5459708298993802E-2</v>
      </c>
      <c r="H939" t="s">
        <v>16</v>
      </c>
      <c r="I939">
        <f>VLOOKUP(Table46[[#This Row],[Visitor]],'NHL Model'!$A$6:$B$38,2,FALSE)</f>
        <v>-1.3903684122795328</v>
      </c>
      <c r="J939">
        <f>($B$1+Table46[[#This Row],[Home Differential]])-Table46[[#This Row],[Away Differential]]</f>
        <v>1.4774810136428573</v>
      </c>
      <c r="K939" t="str">
        <f>IF(Table46[[#This Row],[HomeIce Differential]]&gt;0,Table46[[#This Row],[Home]],Table46[[#This Row],[Visitor]])</f>
        <v>Los Angeles Kings</v>
      </c>
      <c r="L93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0.73638530809481173</v>
      </c>
      <c r="M939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939" t="str">
        <f>IF(OR((NHL2025_26Results[[#This Row],[Winning Team]]="")),"-",IF(Table46[[#This Row],[Predicted Winner]]=NHL2025_26Results[[#This Row],[Winning Team]],"YES","NO"))</f>
        <v>-</v>
      </c>
      <c r="O939" t="str">
        <f>IF(OR((NHL2025_26Results[[#This Row],[Winning Team]]="")),"-",IF(Table46[[#This Row],[Prob Winner]]=NHL2025_26Results[[#This Row],[Winning Team]],"YES","NO"))</f>
        <v>-</v>
      </c>
      <c r="P939" t="str">
        <f>IF(Table46[[#This Row],[Locked Prediction]]&lt;&gt;Table46[[#This Row],[Prob Winner]], "Changed", "Same")</f>
        <v>Changed</v>
      </c>
      <c r="Q93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40" spans="4:17" x14ac:dyDescent="0.2">
      <c r="D940" s="1">
        <v>46081</v>
      </c>
      <c r="E940" s="2">
        <v>0.79166666666666663</v>
      </c>
      <c r="F940" t="s">
        <v>18</v>
      </c>
      <c r="G940">
        <f>VLOOKUP(Table46[[#This Row],[Home]],'NHL Model'!$A$6:$B$38,2,FALSE)</f>
        <v>-0.52437726201848234</v>
      </c>
      <c r="H940" t="s">
        <v>22</v>
      </c>
      <c r="I940">
        <f>VLOOKUP(Table46[[#This Row],[Visitor]],'NHL Model'!$A$6:$B$38,2,FALSE)</f>
        <v>-6.1308839486784707E-2</v>
      </c>
      <c r="J940">
        <f>($B$1+Table46[[#This Row],[Home Differential]])-Table46[[#This Row],[Away Differential]]</f>
        <v>-0.30049611286937922</v>
      </c>
      <c r="K940" t="str">
        <f>IF(Table46[[#This Row],[HomeIce Differential]]&gt;0,Table46[[#This Row],[Home]],Table46[[#This Row],[Visitor]])</f>
        <v>Washington Capitals</v>
      </c>
      <c r="L94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0.49994164470624541</v>
      </c>
      <c r="M940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940" t="str">
        <f>IF(OR((NHL2025_26Results[[#This Row],[Winning Team]]="")),"-",IF(Table46[[#This Row],[Predicted Winner]]=NHL2025_26Results[[#This Row],[Winning Team]],"YES","NO"))</f>
        <v>-</v>
      </c>
      <c r="O940" t="str">
        <f>IF(OR((NHL2025_26Results[[#This Row],[Winning Team]]="")),"-",IF(Table46[[#This Row],[Prob Winner]]=NHL2025_26Results[[#This Row],[Winning Team]],"YES","NO"))</f>
        <v>-</v>
      </c>
      <c r="P940" t="str">
        <f>IF(Table46[[#This Row],[Locked Prediction]]&lt;&gt;Table46[[#This Row],[Prob Winner]], "Changed", "Same")</f>
        <v>Changed</v>
      </c>
      <c r="Q94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41" spans="4:17" x14ac:dyDescent="0.2">
      <c r="D941" s="1">
        <v>46081</v>
      </c>
      <c r="E941" s="2">
        <v>0.52083333333333337</v>
      </c>
      <c r="F941" t="s">
        <v>15</v>
      </c>
      <c r="G941">
        <f>VLOOKUP(Table46[[#This Row],[Home]],'NHL Model'!$A$6:$B$38,2,FALSE)</f>
        <v>-0.30719665303039001</v>
      </c>
      <c r="H941" t="s">
        <v>14</v>
      </c>
      <c r="I941">
        <f>VLOOKUP(Table46[[#This Row],[Visitor]],'NHL Model'!$A$6:$B$38,2,FALSE)</f>
        <v>0.26289091192875702</v>
      </c>
      <c r="J941">
        <f>($B$1+Table46[[#This Row],[Home Differential]])-Table46[[#This Row],[Away Differential]]</f>
        <v>-0.40751525529682864</v>
      </c>
      <c r="K941" t="str">
        <f>IF(Table46[[#This Row],[HomeIce Differential]]&gt;0,Table46[[#This Row],[Home]],Table46[[#This Row],[Visitor]])</f>
        <v>Pittsburgh Penguins</v>
      </c>
      <c r="L94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0.51416652276802033</v>
      </c>
      <c r="M941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941" t="str">
        <f>IF(OR((NHL2025_26Results[[#This Row],[Winning Team]]="")),"-",IF(Table46[[#This Row],[Predicted Winner]]=NHL2025_26Results[[#This Row],[Winning Team]],"YES","NO"))</f>
        <v>-</v>
      </c>
      <c r="O941" t="str">
        <f>IF(OR((NHL2025_26Results[[#This Row],[Winning Team]]="")),"-",IF(Table46[[#This Row],[Prob Winner]]=NHL2025_26Results[[#This Row],[Winning Team]],"YES","NO"))</f>
        <v>-</v>
      </c>
      <c r="P941" t="str">
        <f>IF(Table46[[#This Row],[Locked Prediction]]&lt;&gt;Table46[[#This Row],[Prob Winner]], "Changed", "Same")</f>
        <v>Changed</v>
      </c>
      <c r="Q94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42" spans="4:17" x14ac:dyDescent="0.2">
      <c r="D942" s="1">
        <v>46081</v>
      </c>
      <c r="E942" s="2">
        <v>0.625</v>
      </c>
      <c r="F942" t="s">
        <v>27</v>
      </c>
      <c r="G942">
        <f>VLOOKUP(Table46[[#This Row],[Home]],'NHL Model'!$A$6:$B$38,2,FALSE)</f>
        <v>-0.51358590497437617</v>
      </c>
      <c r="H942" t="s">
        <v>21</v>
      </c>
      <c r="I942">
        <f>VLOOKUP(Table46[[#This Row],[Visitor]],'NHL Model'!$A$6:$B$38,2,FALSE)</f>
        <v>4.029141914856392E-2</v>
      </c>
      <c r="J942">
        <f>($B$1+Table46[[#This Row],[Home Differential]])-Table46[[#This Row],[Away Differential]]</f>
        <v>-0.39130501446062171</v>
      </c>
      <c r="K942" t="str">
        <f>IF(Table46[[#This Row],[HomeIce Differential]]&gt;0,Table46[[#This Row],[Home]],Table46[[#This Row],[Visitor]])</f>
        <v>Boston Bruins</v>
      </c>
      <c r="L94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0.50951639446056907</v>
      </c>
      <c r="M942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942" t="str">
        <f>IF(OR((NHL2025_26Results[[#This Row],[Winning Team]]="")),"-",IF(Table46[[#This Row],[Predicted Winner]]=NHL2025_26Results[[#This Row],[Winning Team]],"YES","NO"))</f>
        <v>-</v>
      </c>
      <c r="O942" t="str">
        <f>IF(OR((NHL2025_26Results[[#This Row],[Winning Team]]="")),"-",IF(Table46[[#This Row],[Prob Winner]]=NHL2025_26Results[[#This Row],[Winning Team]],"YES","NO"))</f>
        <v>-</v>
      </c>
      <c r="P942" t="str">
        <f>IF(Table46[[#This Row],[Locked Prediction]]&lt;&gt;Table46[[#This Row],[Prob Winner]], "Changed", "Same")</f>
        <v>Changed</v>
      </c>
      <c r="Q94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43" spans="4:17" x14ac:dyDescent="0.2">
      <c r="D943" s="1">
        <v>46081</v>
      </c>
      <c r="E943" s="2">
        <v>0.91666666666666663</v>
      </c>
      <c r="F943" t="s">
        <v>32</v>
      </c>
      <c r="G943">
        <f>VLOOKUP(Table46[[#This Row],[Home]],'NHL Model'!$A$6:$B$38,2,FALSE)</f>
        <v>-0.361361309178443</v>
      </c>
      <c r="H943" t="s">
        <v>38</v>
      </c>
      <c r="I943">
        <f>VLOOKUP(Table46[[#This Row],[Visitor]],'NHL Model'!$A$6:$B$38,2,FALSE)</f>
        <v>-0.6902088310934803</v>
      </c>
      <c r="J943">
        <f>($B$1+Table46[[#This Row],[Home Differential]])-Table46[[#This Row],[Away Differential]]</f>
        <v>0.49141983157735569</v>
      </c>
      <c r="K943" t="str">
        <f>IF(Table46[[#This Row],[HomeIce Differential]]&gt;0,Table46[[#This Row],[Home]],Table46[[#This Row],[Visitor]])</f>
        <v>Seattle Kraken</v>
      </c>
      <c r="L94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0.58912855947704235</v>
      </c>
      <c r="M943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943" t="str">
        <f>IF(OR((NHL2025_26Results[[#This Row],[Winning Team]]="")),"-",IF(Table46[[#This Row],[Predicted Winner]]=NHL2025_26Results[[#This Row],[Winning Team]],"YES","NO"))</f>
        <v>-</v>
      </c>
      <c r="O943" t="str">
        <f>IF(OR((NHL2025_26Results[[#This Row],[Winning Team]]="")),"-",IF(Table46[[#This Row],[Prob Winner]]=NHL2025_26Results[[#This Row],[Winning Team]],"YES","NO"))</f>
        <v>-</v>
      </c>
      <c r="P943" t="str">
        <f>IF(Table46[[#This Row],[Locked Prediction]]&lt;&gt;Table46[[#This Row],[Prob Winner]], "Changed", "Same")</f>
        <v>Changed</v>
      </c>
      <c r="Q94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44" spans="4:17" x14ac:dyDescent="0.2">
      <c r="D944" s="1">
        <v>46081</v>
      </c>
      <c r="E944" s="2">
        <v>0.66666666666666663</v>
      </c>
      <c r="F944" t="s">
        <v>33</v>
      </c>
      <c r="G944">
        <f>VLOOKUP(Table46[[#This Row],[Home]],'NHL Model'!$A$6:$B$38,2,FALSE)</f>
        <v>-0.39418177254008485</v>
      </c>
      <c r="H944" t="s">
        <v>17</v>
      </c>
      <c r="I944">
        <f>VLOOKUP(Table46[[#This Row],[Visitor]],'NHL Model'!$A$6:$B$38,2,FALSE)</f>
        <v>-0.61980804137564283</v>
      </c>
      <c r="J944">
        <f>($B$1+Table46[[#This Row],[Home Differential]])-Table46[[#This Row],[Away Differential]]</f>
        <v>0.38819857849787637</v>
      </c>
      <c r="K944" t="str">
        <f>IF(Table46[[#This Row],[HomeIce Differential]]&gt;0,Table46[[#This Row],[Home]],Table46[[#This Row],[Visitor]])</f>
        <v>San Jose Sharks</v>
      </c>
      <c r="L94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0.59159896928374445</v>
      </c>
      <c r="M944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944" t="str">
        <f>IF(OR((NHL2025_26Results[[#This Row],[Winning Team]]="")),"-",IF(Table46[[#This Row],[Predicted Winner]]=NHL2025_26Results[[#This Row],[Winning Team]],"YES","NO"))</f>
        <v>-</v>
      </c>
      <c r="O944" t="str">
        <f>IF(OR((NHL2025_26Results[[#This Row],[Winning Team]]="")),"-",IF(Table46[[#This Row],[Prob Winner]]=NHL2025_26Results[[#This Row],[Winning Team]],"YES","NO"))</f>
        <v>-</v>
      </c>
      <c r="P944" t="str">
        <f>IF(Table46[[#This Row],[Locked Prediction]]&lt;&gt;Table46[[#This Row],[Prob Winner]], "Changed", "Same")</f>
        <v>Changed</v>
      </c>
      <c r="Q94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45" spans="4:17" x14ac:dyDescent="0.2">
      <c r="D945" s="1">
        <v>46081</v>
      </c>
      <c r="E945" s="2">
        <v>0.70833333333333337</v>
      </c>
      <c r="F945" t="s">
        <v>35</v>
      </c>
      <c r="G945">
        <f>VLOOKUP(Table46[[#This Row],[Home]],'NHL Model'!$A$6:$B$38,2,FALSE)</f>
        <v>-1.6211574240381006</v>
      </c>
      <c r="H945" t="s">
        <v>24</v>
      </c>
      <c r="I945">
        <f>VLOOKUP(Table46[[#This Row],[Visitor]],'NHL Model'!$A$6:$B$38,2,FALSE)</f>
        <v>0.559441163373953</v>
      </c>
      <c r="J945">
        <f>($B$1+Table46[[#This Row],[Home Differential]])-Table46[[#This Row],[Away Differential]]</f>
        <v>-2.0180262777497351</v>
      </c>
      <c r="K945" t="str">
        <f>IF(Table46[[#This Row],[HomeIce Differential]]&gt;0,Table46[[#This Row],[Home]],Table46[[#This Row],[Visitor]])</f>
        <v>New Jersey Devils</v>
      </c>
      <c r="L94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0.79454983690971137</v>
      </c>
      <c r="M945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945" t="str">
        <f>IF(OR((NHL2025_26Results[[#This Row],[Winning Team]]="")),"-",IF(Table46[[#This Row],[Predicted Winner]]=NHL2025_26Results[[#This Row],[Winning Team]],"YES","NO"))</f>
        <v>-</v>
      </c>
      <c r="O945" t="str">
        <f>IF(OR((NHL2025_26Results[[#This Row],[Winning Team]]="")),"-",IF(Table46[[#This Row],[Prob Winner]]=NHL2025_26Results[[#This Row],[Winning Team]],"YES","NO"))</f>
        <v>-</v>
      </c>
      <c r="P945" t="str">
        <f>IF(Table46[[#This Row],[Locked Prediction]]&lt;&gt;Table46[[#This Row],[Prob Winner]], "Changed", "Same")</f>
        <v>Changed</v>
      </c>
      <c r="Q94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46" spans="4:17" x14ac:dyDescent="0.2">
      <c r="D946" s="1">
        <v>46081</v>
      </c>
      <c r="E946" s="2">
        <v>0.79166666666666663</v>
      </c>
      <c r="F946" t="s">
        <v>37</v>
      </c>
      <c r="G946">
        <f>VLOOKUP(Table46[[#This Row],[Home]],'NHL Model'!$A$6:$B$38,2,FALSE)</f>
        <v>-0.11309445867623392</v>
      </c>
      <c r="H946" t="s">
        <v>23</v>
      </c>
      <c r="I946">
        <f>VLOOKUP(Table46[[#This Row],[Visitor]],'NHL Model'!$A$6:$B$38,2,FALSE)</f>
        <v>-0.8683412362501769</v>
      </c>
      <c r="J946">
        <f>($B$1+Table46[[#This Row],[Home Differential]])-Table46[[#This Row],[Away Differential]]</f>
        <v>0.91781908723626138</v>
      </c>
      <c r="K946" t="str">
        <f>IF(Table46[[#This Row],[HomeIce Differential]]&gt;0,Table46[[#This Row],[Home]],Table46[[#This Row],[Visitor]])</f>
        <v>Tampa Bay Lightning</v>
      </c>
      <c r="L94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0.6619956009977952</v>
      </c>
      <c r="M946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946" t="str">
        <f>IF(OR((NHL2025_26Results[[#This Row],[Winning Team]]="")),"-",IF(Table46[[#This Row],[Predicted Winner]]=NHL2025_26Results[[#This Row],[Winning Team]],"YES","NO"))</f>
        <v>-</v>
      </c>
      <c r="O946" t="str">
        <f>IF(OR((NHL2025_26Results[[#This Row],[Winning Team]]="")),"-",IF(Table46[[#This Row],[Prob Winner]]=NHL2025_26Results[[#This Row],[Winning Team]],"YES","NO"))</f>
        <v>-</v>
      </c>
      <c r="P946" t="str">
        <f>IF(Table46[[#This Row],[Locked Prediction]]&lt;&gt;Table46[[#This Row],[Prob Winner]], "Changed", "Same")</f>
        <v>Changed</v>
      </c>
      <c r="Q94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47" spans="4:17" x14ac:dyDescent="0.2">
      <c r="D947" s="1">
        <v>46081</v>
      </c>
      <c r="E947" s="2">
        <v>0.79166666666666663</v>
      </c>
      <c r="F947" t="s">
        <v>19</v>
      </c>
      <c r="G947">
        <f>VLOOKUP(Table46[[#This Row],[Home]],'NHL Model'!$A$6:$B$38,2,FALSE)</f>
        <v>-0.635565543477981</v>
      </c>
      <c r="H947" t="s">
        <v>36</v>
      </c>
      <c r="I947">
        <f>VLOOKUP(Table46[[#This Row],[Visitor]],'NHL Model'!$A$6:$B$38,2,FALSE)</f>
        <v>-0.40651947573390851</v>
      </c>
      <c r="J947">
        <f>($B$1+Table46[[#This Row],[Home Differential]])-Table46[[#This Row],[Away Differential]]</f>
        <v>-6.6473758081754097E-2</v>
      </c>
      <c r="K947" t="str">
        <f>IF(Table46[[#This Row],[HomeIce Differential]]&gt;0,Table46[[#This Row],[Home]],Table46[[#This Row],[Visitor]])</f>
        <v>Ottawa Senators</v>
      </c>
      <c r="L94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0.46883562586629685</v>
      </c>
      <c r="M947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947" t="str">
        <f>IF(OR((NHL2025_26Results[[#This Row],[Winning Team]]="")),"-",IF(Table46[[#This Row],[Predicted Winner]]=NHL2025_26Results[[#This Row],[Winning Team]],"YES","NO"))</f>
        <v>-</v>
      </c>
      <c r="O947" t="str">
        <f>IF(OR((NHL2025_26Results[[#This Row],[Winning Team]]="")),"-",IF(Table46[[#This Row],[Prob Winner]]=NHL2025_26Results[[#This Row],[Winning Team]],"YES","NO"))</f>
        <v>-</v>
      </c>
      <c r="P947" t="str">
        <f>IF(Table46[[#This Row],[Locked Prediction]]&lt;&gt;Table46[[#This Row],[Prob Winner]], "Changed", "Same")</f>
        <v>Changed</v>
      </c>
      <c r="Q94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48" spans="4:17" x14ac:dyDescent="0.2">
      <c r="D948" s="1">
        <v>46082</v>
      </c>
      <c r="E948" s="2">
        <v>0.83333333333333337</v>
      </c>
      <c r="F948" t="s">
        <v>31</v>
      </c>
      <c r="G948">
        <f>VLOOKUP(Table46[[#This Row],[Home]],'NHL Model'!$A$6:$B$38,2,FALSE)</f>
        <v>0.51775546328552802</v>
      </c>
      <c r="H948" t="s">
        <v>16</v>
      </c>
      <c r="I948">
        <f>VLOOKUP(Table46[[#This Row],[Visitor]],'NHL Model'!$A$6:$B$38,2,FALSE)</f>
        <v>-1.3903684122795328</v>
      </c>
      <c r="J948">
        <f>($B$1+Table46[[#This Row],[Home Differential]])-Table46[[#This Row],[Away Differential]]</f>
        <v>2.0706961852273791</v>
      </c>
      <c r="K948" t="str">
        <f>IF(Table46[[#This Row],[HomeIce Differential]]&gt;0,Table46[[#This Row],[Home]],Table46[[#This Row],[Visitor]])</f>
        <v>Anaheim Ducks</v>
      </c>
      <c r="L94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0.9195647761047423</v>
      </c>
      <c r="M948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948" t="str">
        <f>IF(OR((NHL2025_26Results[[#This Row],[Winning Team]]="")),"-",IF(Table46[[#This Row],[Predicted Winner]]=NHL2025_26Results[[#This Row],[Winning Team]],"YES","NO"))</f>
        <v>-</v>
      </c>
      <c r="O948" t="str">
        <f>IF(OR((NHL2025_26Results[[#This Row],[Winning Team]]="")),"-",IF(Table46[[#This Row],[Prob Winner]]=NHL2025_26Results[[#This Row],[Winning Team]],"YES","NO"))</f>
        <v>-</v>
      </c>
      <c r="P948" t="str">
        <f>IF(Table46[[#This Row],[Locked Prediction]]&lt;&gt;Table46[[#This Row],[Prob Winner]], "Changed", "Same")</f>
        <v>Changed</v>
      </c>
      <c r="Q94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49" spans="4:17" x14ac:dyDescent="0.2">
      <c r="D949" s="1">
        <v>46082</v>
      </c>
      <c r="E949" s="2">
        <v>0.70833333333333337</v>
      </c>
      <c r="F949" t="s">
        <v>34</v>
      </c>
      <c r="G949">
        <f>VLOOKUP(Table46[[#This Row],[Home]],'NHL Model'!$A$6:$B$38,2,FALSE)</f>
        <v>-0.53650300840565446</v>
      </c>
      <c r="H949" t="s">
        <v>35</v>
      </c>
      <c r="I949">
        <f>VLOOKUP(Table46[[#This Row],[Visitor]],'NHL Model'!$A$6:$B$38,2,FALSE)</f>
        <v>-1.6211574240381006</v>
      </c>
      <c r="J949">
        <f>($B$1+Table46[[#This Row],[Home Differential]])-Table46[[#This Row],[Away Differential]]</f>
        <v>1.2472267252947646</v>
      </c>
      <c r="K949" t="str">
        <f>IF(Table46[[#This Row],[HomeIce Differential]]&gt;0,Table46[[#This Row],[Home]],Table46[[#This Row],[Visitor]])</f>
        <v>Minnesota Wild</v>
      </c>
      <c r="L94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0.70578013690151054</v>
      </c>
      <c r="M949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949" t="str">
        <f>IF(OR((NHL2025_26Results[[#This Row],[Winning Team]]="")),"-",IF(Table46[[#This Row],[Predicted Winner]]=NHL2025_26Results[[#This Row],[Winning Team]],"YES","NO"))</f>
        <v>-</v>
      </c>
      <c r="O949" t="str">
        <f>IF(OR((NHL2025_26Results[[#This Row],[Winning Team]]="")),"-",IF(Table46[[#This Row],[Prob Winner]]=NHL2025_26Results[[#This Row],[Winning Team]],"YES","NO"))</f>
        <v>-</v>
      </c>
      <c r="P949" t="str">
        <f>IF(Table46[[#This Row],[Locked Prediction]]&lt;&gt;Table46[[#This Row],[Prob Winner]], "Changed", "Same")</f>
        <v>Changed</v>
      </c>
      <c r="Q94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50" spans="4:17" x14ac:dyDescent="0.2">
      <c r="D950" s="1">
        <v>46082</v>
      </c>
      <c r="E950" s="2">
        <v>0.77083333333333337</v>
      </c>
      <c r="F950" t="s">
        <v>30</v>
      </c>
      <c r="G950">
        <f>VLOOKUP(Table46[[#This Row],[Home]],'NHL Model'!$A$6:$B$38,2,FALSE)</f>
        <v>-6.4729560818359025E-2</v>
      </c>
      <c r="H950" t="s">
        <v>11</v>
      </c>
      <c r="I950">
        <f>VLOOKUP(Table46[[#This Row],[Visitor]],'NHL Model'!$A$6:$B$38,2,FALSE)</f>
        <v>-0.28105923893144158</v>
      </c>
      <c r="J950">
        <f>($B$1+Table46[[#This Row],[Home Differential]])-Table46[[#This Row],[Away Differential]]</f>
        <v>0.37890198777540096</v>
      </c>
      <c r="K950" t="str">
        <f>IF(Table46[[#This Row],[HomeIce Differential]]&gt;0,Table46[[#This Row],[Home]],Table46[[#This Row],[Visitor]])</f>
        <v>New York Islanders</v>
      </c>
      <c r="L95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0.59036327568334868</v>
      </c>
      <c r="M950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950" t="str">
        <f>IF(OR((NHL2025_26Results[[#This Row],[Winning Team]]="")),"-",IF(Table46[[#This Row],[Predicted Winner]]=NHL2025_26Results[[#This Row],[Winning Team]],"YES","NO"))</f>
        <v>-</v>
      </c>
      <c r="O950" t="str">
        <f>IF(OR((NHL2025_26Results[[#This Row],[Winning Team]]="")),"-",IF(Table46[[#This Row],[Prob Winner]]=NHL2025_26Results[[#This Row],[Winning Team]],"YES","NO"))</f>
        <v>-</v>
      </c>
      <c r="P950" t="str">
        <f>IF(Table46[[#This Row],[Locked Prediction]]&lt;&gt;Table46[[#This Row],[Prob Winner]], "Changed", "Same")</f>
        <v>Changed</v>
      </c>
      <c r="Q95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51" spans="4:17" x14ac:dyDescent="0.2">
      <c r="D951" s="1">
        <v>46082</v>
      </c>
      <c r="E951" s="2">
        <v>0.54166666666666663</v>
      </c>
      <c r="F951" t="s">
        <v>14</v>
      </c>
      <c r="G951">
        <f>VLOOKUP(Table46[[#This Row],[Home]],'NHL Model'!$A$6:$B$38,2,FALSE)</f>
        <v>0.26289091192875702</v>
      </c>
      <c r="H951" t="s">
        <v>20</v>
      </c>
      <c r="I951">
        <f>VLOOKUP(Table46[[#This Row],[Visitor]],'NHL Model'!$A$6:$B$38,2,FALSE)</f>
        <v>-6.3745791019188943E-4</v>
      </c>
      <c r="J951">
        <f>($B$1+Table46[[#This Row],[Home Differential]])-Table46[[#This Row],[Away Differential]]</f>
        <v>0.42610067950126729</v>
      </c>
      <c r="K951" t="str">
        <f>IF(Table46[[#This Row],[HomeIce Differential]]&gt;0,Table46[[#This Row],[Home]],Table46[[#This Row],[Visitor]])</f>
        <v>Pittsburgh Penguins</v>
      </c>
      <c r="L95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0.6121924344396672</v>
      </c>
      <c r="M951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951" t="str">
        <f>IF(OR((NHL2025_26Results[[#This Row],[Winning Team]]="")),"-",IF(Table46[[#This Row],[Predicted Winner]]=NHL2025_26Results[[#This Row],[Winning Team]],"YES","NO"))</f>
        <v>-</v>
      </c>
      <c r="O951" t="str">
        <f>IF(OR((NHL2025_26Results[[#This Row],[Winning Team]]="")),"-",IF(Table46[[#This Row],[Prob Winner]]=NHL2025_26Results[[#This Row],[Winning Team]],"YES","NO"))</f>
        <v>-</v>
      </c>
      <c r="P951" t="str">
        <f>IF(Table46[[#This Row],[Locked Prediction]]&lt;&gt;Table46[[#This Row],[Prob Winner]], "Changed", "Same")</f>
        <v>Changed</v>
      </c>
      <c r="Q95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52" spans="4:17" x14ac:dyDescent="0.2">
      <c r="D952" s="1">
        <v>46082</v>
      </c>
      <c r="E952" s="2">
        <v>0.66666666666666663</v>
      </c>
      <c r="F952" t="s">
        <v>33</v>
      </c>
      <c r="G952">
        <f>VLOOKUP(Table46[[#This Row],[Home]],'NHL Model'!$A$6:$B$38,2,FALSE)</f>
        <v>-0.39418177254008485</v>
      </c>
      <c r="H952" t="s">
        <v>40</v>
      </c>
      <c r="I952">
        <f>VLOOKUP(Table46[[#This Row],[Visitor]],'NHL Model'!$A$6:$B$38,2,FALSE)</f>
        <v>0.105105258369765</v>
      </c>
      <c r="J952">
        <f>($B$1+Table46[[#This Row],[Home Differential]])-Table46[[#This Row],[Away Differential]]</f>
        <v>-0.33671472124753143</v>
      </c>
      <c r="K952" t="str">
        <f>IF(Table46[[#This Row],[HomeIce Differential]]&gt;0,Table46[[#This Row],[Home]],Table46[[#This Row],[Visitor]])</f>
        <v>Winnipeg Jets</v>
      </c>
      <c r="L95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0.57107157561351152</v>
      </c>
      <c r="M952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952" t="str">
        <f>IF(OR((NHL2025_26Results[[#This Row],[Winning Team]]="")),"-",IF(Table46[[#This Row],[Predicted Winner]]=NHL2025_26Results[[#This Row],[Winning Team]],"YES","NO"))</f>
        <v>-</v>
      </c>
      <c r="O952" t="str">
        <f>IF(OR((NHL2025_26Results[[#This Row],[Winning Team]]="")),"-",IF(Table46[[#This Row],[Prob Winner]]=NHL2025_26Results[[#This Row],[Winning Team]],"YES","NO"))</f>
        <v>-</v>
      </c>
      <c r="P952" t="str">
        <f>IF(Table46[[#This Row],[Locked Prediction]]&lt;&gt;Table46[[#This Row],[Prob Winner]], "Changed", "Same")</f>
        <v>Changed</v>
      </c>
      <c r="Q95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53" spans="4:17" x14ac:dyDescent="0.2">
      <c r="D953" s="1">
        <v>46082</v>
      </c>
      <c r="E953" s="2">
        <v>0.66666666666666663</v>
      </c>
      <c r="F953" t="s">
        <v>55</v>
      </c>
      <c r="G953">
        <f>VLOOKUP(Table46[[#This Row],[Home]],'NHL Model'!$A$6:$B$38,2,FALSE)</f>
        <v>-0.12212311954851815</v>
      </c>
      <c r="H953" t="s">
        <v>10</v>
      </c>
      <c r="I953">
        <f>VLOOKUP(Table46[[#This Row],[Visitor]],'NHL Model'!$A$6:$B$38,2,FALSE)</f>
        <v>0.30570968833820172</v>
      </c>
      <c r="J953">
        <f>($B$1+Table46[[#This Row],[Home Differential]])-Table46[[#This Row],[Away Differential]]</f>
        <v>-0.26526049822440145</v>
      </c>
      <c r="K953" t="str">
        <f>IF(Table46[[#This Row],[HomeIce Differential]]&gt;0,Table46[[#This Row],[Home]],Table46[[#This Row],[Visitor]])</f>
        <v>Chicago Blackhawks</v>
      </c>
      <c r="L95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0.44702286770518534</v>
      </c>
      <c r="M953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953" t="str">
        <f>IF(OR((NHL2025_26Results[[#This Row],[Winning Team]]="")),"-",IF(Table46[[#This Row],[Predicted Winner]]=NHL2025_26Results[[#This Row],[Winning Team]],"YES","NO"))</f>
        <v>-</v>
      </c>
      <c r="O953" t="str">
        <f>IF(OR((NHL2025_26Results[[#This Row],[Winning Team]]="")),"-",IF(Table46[[#This Row],[Prob Winner]]=NHL2025_26Results[[#This Row],[Winning Team]],"YES","NO"))</f>
        <v>-</v>
      </c>
      <c r="P953" t="str">
        <f>IF(Table46[[#This Row],[Locked Prediction]]&lt;&gt;Table46[[#This Row],[Prob Winner]], "Changed", "Same")</f>
        <v>Changed</v>
      </c>
      <c r="Q95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54" spans="4:17" x14ac:dyDescent="0.2">
      <c r="D954" s="1">
        <v>46083</v>
      </c>
      <c r="E954" s="2">
        <v>0.9375</v>
      </c>
      <c r="F954" t="s">
        <v>13</v>
      </c>
      <c r="G954">
        <f>VLOOKUP(Table46[[#This Row],[Home]],'NHL Model'!$A$6:$B$38,2,FALSE)</f>
        <v>-7.5459708298993802E-2</v>
      </c>
      <c r="H954" t="s">
        <v>12</v>
      </c>
      <c r="I954">
        <f>VLOOKUP(Table46[[#This Row],[Visitor]],'NHL Model'!$A$6:$B$38,2,FALSE)</f>
        <v>1.5475013591489768</v>
      </c>
      <c r="J954">
        <f>($B$1+Table46[[#This Row],[Home Differential]])-Table46[[#This Row],[Away Differential]]</f>
        <v>-1.4603887577856522</v>
      </c>
      <c r="K954" t="str">
        <f>IF(Table46[[#This Row],[HomeIce Differential]]&gt;0,Table46[[#This Row],[Home]],Table46[[#This Row],[Visitor]])</f>
        <v>Colorado Avalanche</v>
      </c>
      <c r="L95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0.72042921190529097</v>
      </c>
      <c r="M954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954" t="str">
        <f>IF(OR((NHL2025_26Results[[#This Row],[Winning Team]]="")),"-",IF(Table46[[#This Row],[Predicted Winner]]=NHL2025_26Results[[#This Row],[Winning Team]],"YES","NO"))</f>
        <v>-</v>
      </c>
      <c r="O954" t="str">
        <f>IF(OR((NHL2025_26Results[[#This Row],[Winning Team]]="")),"-",IF(Table46[[#This Row],[Prob Winner]]=NHL2025_26Results[[#This Row],[Winning Team]],"YES","NO"))</f>
        <v>-</v>
      </c>
      <c r="P954" t="str">
        <f>IF(Table46[[#This Row],[Locked Prediction]]&lt;&gt;Table46[[#This Row],[Prob Winner]], "Changed", "Same")</f>
        <v>Changed</v>
      </c>
      <c r="Q95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55" spans="4:17" x14ac:dyDescent="0.2">
      <c r="D955" s="1">
        <v>46083</v>
      </c>
      <c r="E955" s="2">
        <v>0.83333333333333337</v>
      </c>
      <c r="F955" t="s">
        <v>29</v>
      </c>
      <c r="G955">
        <f>VLOOKUP(Table46[[#This Row],[Home]],'NHL Model'!$A$6:$B$38,2,FALSE)</f>
        <v>-1.3516250707060606</v>
      </c>
      <c r="H955" t="s">
        <v>26</v>
      </c>
      <c r="I955">
        <f>VLOOKUP(Table46[[#This Row],[Visitor]],'NHL Model'!$A$6:$B$38,2,FALSE)</f>
        <v>-0.513643833119658</v>
      </c>
      <c r="J955">
        <f>($B$1+Table46[[#This Row],[Home Differential]])-Table46[[#This Row],[Away Differential]]</f>
        <v>-0.67540892792408425</v>
      </c>
      <c r="K955" t="str">
        <f>IF(Table46[[#This Row],[HomeIce Differential]]&gt;0,Table46[[#This Row],[Home]],Table46[[#This Row],[Visitor]])</f>
        <v>Detroit Red Wings</v>
      </c>
      <c r="L95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0.5968740749965078</v>
      </c>
      <c r="M955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955" t="str">
        <f>IF(OR((NHL2025_26Results[[#This Row],[Winning Team]]="")),"-",IF(Table46[[#This Row],[Predicted Winner]]=NHL2025_26Results[[#This Row],[Winning Team]],"YES","NO"))</f>
        <v>-</v>
      </c>
      <c r="O955" t="str">
        <f>IF(OR((NHL2025_26Results[[#This Row],[Winning Team]]="")),"-",IF(Table46[[#This Row],[Prob Winner]]=NHL2025_26Results[[#This Row],[Winning Team]],"YES","NO"))</f>
        <v>-</v>
      </c>
      <c r="P955" t="str">
        <f>IF(Table46[[#This Row],[Locked Prediction]]&lt;&gt;Table46[[#This Row],[Prob Winner]], "Changed", "Same")</f>
        <v>Changed</v>
      </c>
      <c r="Q95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56" spans="4:17" x14ac:dyDescent="0.2">
      <c r="D956" s="1">
        <v>46083</v>
      </c>
      <c r="E956" s="2">
        <v>0.79166666666666663</v>
      </c>
      <c r="F956" t="s">
        <v>15</v>
      </c>
      <c r="G956">
        <f>VLOOKUP(Table46[[#This Row],[Home]],'NHL Model'!$A$6:$B$38,2,FALSE)</f>
        <v>-0.30719665303039001</v>
      </c>
      <c r="H956" t="s">
        <v>28</v>
      </c>
      <c r="I956">
        <f>VLOOKUP(Table46[[#This Row],[Visitor]],'NHL Model'!$A$6:$B$38,2,FALSE)</f>
        <v>-0.40822279081308277</v>
      </c>
      <c r="J956">
        <f>($B$1+Table46[[#This Row],[Home Differential]])-Table46[[#This Row],[Away Differential]]</f>
        <v>0.26359844744501115</v>
      </c>
      <c r="K956" t="str">
        <f>IF(Table46[[#This Row],[HomeIce Differential]]&gt;0,Table46[[#This Row],[Home]],Table46[[#This Row],[Visitor]])</f>
        <v>New York Rangers</v>
      </c>
      <c r="L95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0.55426801291565886</v>
      </c>
      <c r="M956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956" t="str">
        <f>IF(OR((NHL2025_26Results[[#This Row],[Winning Team]]="")),"-",IF(Table46[[#This Row],[Predicted Winner]]=NHL2025_26Results[[#This Row],[Winning Team]],"YES","NO"))</f>
        <v>-</v>
      </c>
      <c r="O956" t="str">
        <f>IF(OR((NHL2025_26Results[[#This Row],[Winning Team]]="")),"-",IF(Table46[[#This Row],[Prob Winner]]=NHL2025_26Results[[#This Row],[Winning Team]],"YES","NO"))</f>
        <v>-</v>
      </c>
      <c r="P956" t="str">
        <f>IF(Table46[[#This Row],[Locked Prediction]]&lt;&gt;Table46[[#This Row],[Prob Winner]], "Changed", "Same")</f>
        <v>Changed</v>
      </c>
      <c r="Q95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57" spans="4:17" x14ac:dyDescent="0.2">
      <c r="D957" s="1">
        <v>46083</v>
      </c>
      <c r="E957" s="2">
        <v>0.91666666666666663</v>
      </c>
      <c r="F957" t="s">
        <v>32</v>
      </c>
      <c r="G957">
        <f>VLOOKUP(Table46[[#This Row],[Home]],'NHL Model'!$A$6:$B$38,2,FALSE)</f>
        <v>-0.361361309178443</v>
      </c>
      <c r="H957" t="s">
        <v>25</v>
      </c>
      <c r="I957">
        <f>VLOOKUP(Table46[[#This Row],[Visitor]],'NHL Model'!$A$6:$B$38,2,FALSE)</f>
        <v>0.67193921242367816</v>
      </c>
      <c r="J957">
        <f>($B$1+Table46[[#This Row],[Home Differential]])-Table46[[#This Row],[Away Differential]]</f>
        <v>-0.87072821193980277</v>
      </c>
      <c r="K957" t="str">
        <f>IF(Table46[[#This Row],[HomeIce Differential]]&gt;0,Table46[[#This Row],[Home]],Table46[[#This Row],[Visitor]])</f>
        <v>Carolina Hurricanes</v>
      </c>
      <c r="L95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0.64205211812337137</v>
      </c>
      <c r="M957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957" t="str">
        <f>IF(OR((NHL2025_26Results[[#This Row],[Winning Team]]="")),"-",IF(Table46[[#This Row],[Predicted Winner]]=NHL2025_26Results[[#This Row],[Winning Team]],"YES","NO"))</f>
        <v>-</v>
      </c>
      <c r="O957" t="str">
        <f>IF(OR((NHL2025_26Results[[#This Row],[Winning Team]]="")),"-",IF(Table46[[#This Row],[Prob Winner]]=NHL2025_26Results[[#This Row],[Winning Team]],"YES","NO"))</f>
        <v>-</v>
      </c>
      <c r="P957" t="str">
        <f>IF(Table46[[#This Row],[Locked Prediction]]&lt;&gt;Table46[[#This Row],[Prob Winner]], "Changed", "Same")</f>
        <v>Changed</v>
      </c>
      <c r="Q95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58" spans="4:17" x14ac:dyDescent="0.2">
      <c r="D958" s="1">
        <v>46083</v>
      </c>
      <c r="E958" s="2">
        <v>0.8125</v>
      </c>
      <c r="F958" t="s">
        <v>19</v>
      </c>
      <c r="G958">
        <f>VLOOKUP(Table46[[#This Row],[Home]],'NHL Model'!$A$6:$B$38,2,FALSE)</f>
        <v>-0.635565543477981</v>
      </c>
      <c r="H958" t="s">
        <v>27</v>
      </c>
      <c r="I958">
        <f>VLOOKUP(Table46[[#This Row],[Visitor]],'NHL Model'!$A$6:$B$38,2,FALSE)</f>
        <v>-0.51358590497437617</v>
      </c>
      <c r="J958">
        <f>($B$1+Table46[[#This Row],[Home Differential]])-Table46[[#This Row],[Away Differential]]</f>
        <v>4.0592671158713567E-2</v>
      </c>
      <c r="K958" t="str">
        <f>IF(Table46[[#This Row],[HomeIce Differential]]&gt;0,Table46[[#This Row],[Home]],Table46[[#This Row],[Visitor]])</f>
        <v>Toronto Maple Leafs</v>
      </c>
      <c r="L95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0.54539553751167347</v>
      </c>
      <c r="M958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958" t="str">
        <f>IF(OR((NHL2025_26Results[[#This Row],[Winning Team]]="")),"-",IF(Table46[[#This Row],[Predicted Winner]]=NHL2025_26Results[[#This Row],[Winning Team]],"YES","NO"))</f>
        <v>-</v>
      </c>
      <c r="O958" t="str">
        <f>IF(OR((NHL2025_26Results[[#This Row],[Winning Team]]="")),"-",IF(Table46[[#This Row],[Prob Winner]]=NHL2025_26Results[[#This Row],[Winning Team]],"YES","NO"))</f>
        <v>-</v>
      </c>
      <c r="P958" t="str">
        <f>IF(Table46[[#This Row],[Locked Prediction]]&lt;&gt;Table46[[#This Row],[Prob Winner]], "Changed", "Same")</f>
        <v>Changed</v>
      </c>
      <c r="Q95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59" spans="4:17" x14ac:dyDescent="0.2">
      <c r="D959" s="1">
        <v>46083</v>
      </c>
      <c r="E959" s="2">
        <v>0.91666666666666663</v>
      </c>
      <c r="F959" t="s">
        <v>38</v>
      </c>
      <c r="G959">
        <f>VLOOKUP(Table46[[#This Row],[Home]],'NHL Model'!$A$6:$B$38,2,FALSE)</f>
        <v>-0.6902088310934803</v>
      </c>
      <c r="H959" t="s">
        <v>39</v>
      </c>
      <c r="I959">
        <f>VLOOKUP(Table46[[#This Row],[Visitor]],'NHL Model'!$A$6:$B$38,2,FALSE)</f>
        <v>0.19809534061227302</v>
      </c>
      <c r="J959">
        <f>($B$1+Table46[[#This Row],[Home Differential]])-Table46[[#This Row],[Away Differential]]</f>
        <v>-0.72573186204343498</v>
      </c>
      <c r="K959" t="str">
        <f>IF(Table46[[#This Row],[HomeIce Differential]]&gt;0,Table46[[#This Row],[Home]],Table46[[#This Row],[Visitor]])</f>
        <v>Dallas Stars</v>
      </c>
      <c r="L95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0.64894974575608777</v>
      </c>
      <c r="M959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959" t="str">
        <f>IF(OR((NHL2025_26Results[[#This Row],[Winning Team]]="")),"-",IF(Table46[[#This Row],[Predicted Winner]]=NHL2025_26Results[[#This Row],[Winning Team]],"YES","NO"))</f>
        <v>-</v>
      </c>
      <c r="O959" t="str">
        <f>IF(OR((NHL2025_26Results[[#This Row],[Winning Team]]="")),"-",IF(Table46[[#This Row],[Prob Winner]]=NHL2025_26Results[[#This Row],[Winning Team]],"YES","NO"))</f>
        <v>-</v>
      </c>
      <c r="P959" t="str">
        <f>IF(Table46[[#This Row],[Locked Prediction]]&lt;&gt;Table46[[#This Row],[Prob Winner]], "Changed", "Same")</f>
        <v>Changed</v>
      </c>
      <c r="Q95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60" spans="4:17" x14ac:dyDescent="0.2">
      <c r="D960" s="1">
        <v>46084</v>
      </c>
      <c r="E960" s="2">
        <v>0.91666666666666663</v>
      </c>
      <c r="F960" t="s">
        <v>31</v>
      </c>
      <c r="G960">
        <f>VLOOKUP(Table46[[#This Row],[Home]],'NHL Model'!$A$6:$B$38,2,FALSE)</f>
        <v>0.51775546328552802</v>
      </c>
      <c r="H960" t="s">
        <v>12</v>
      </c>
      <c r="I960">
        <f>VLOOKUP(Table46[[#This Row],[Visitor]],'NHL Model'!$A$6:$B$38,2,FALSE)</f>
        <v>1.5475013591489768</v>
      </c>
      <c r="J960">
        <f>($B$1+Table46[[#This Row],[Home Differential]])-Table46[[#This Row],[Away Differential]]</f>
        <v>-0.86717358620113039</v>
      </c>
      <c r="K960" t="str">
        <f>IF(Table46[[#This Row],[HomeIce Differential]]&gt;0,Table46[[#This Row],[Home]],Table46[[#This Row],[Visitor]])</f>
        <v>Colorado Avalanche</v>
      </c>
      <c r="L96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0.53386850249168316</v>
      </c>
      <c r="M960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960" t="str">
        <f>IF(OR((NHL2025_26Results[[#This Row],[Winning Team]]="")),"-",IF(Table46[[#This Row],[Predicted Winner]]=NHL2025_26Results[[#This Row],[Winning Team]],"YES","NO"))</f>
        <v>-</v>
      </c>
      <c r="O960" t="str">
        <f>IF(OR((NHL2025_26Results[[#This Row],[Winning Team]]="")),"-",IF(Table46[[#This Row],[Prob Winner]]=NHL2025_26Results[[#This Row],[Winning Team]],"YES","NO"))</f>
        <v>-</v>
      </c>
      <c r="P960" t="str">
        <f>IF(Table46[[#This Row],[Locked Prediction]]&lt;&gt;Table46[[#This Row],[Prob Winner]], "Changed", "Same")</f>
        <v>Changed</v>
      </c>
      <c r="Q96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61" spans="4:17" x14ac:dyDescent="0.2">
      <c r="D961" s="1">
        <v>46084</v>
      </c>
      <c r="E961" s="2">
        <v>0.79166666666666663</v>
      </c>
      <c r="F961" t="s">
        <v>21</v>
      </c>
      <c r="G961">
        <f>VLOOKUP(Table46[[#This Row],[Home]],'NHL Model'!$A$6:$B$38,2,FALSE)</f>
        <v>4.029141914856392E-2</v>
      </c>
      <c r="H961" t="s">
        <v>14</v>
      </c>
      <c r="I961">
        <f>VLOOKUP(Table46[[#This Row],[Visitor]],'NHL Model'!$A$6:$B$38,2,FALSE)</f>
        <v>0.26289091192875702</v>
      </c>
      <c r="J961">
        <f>($B$1+Table46[[#This Row],[Home Differential]])-Table46[[#This Row],[Away Differential]]</f>
        <v>-6.0027183117874694E-2</v>
      </c>
      <c r="K961" t="str">
        <f>IF(Table46[[#This Row],[HomeIce Differential]]&gt;0,Table46[[#This Row],[Home]],Table46[[#This Row],[Visitor]])</f>
        <v>Pittsburgh Penguins</v>
      </c>
      <c r="L96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0.39542132626954074</v>
      </c>
      <c r="M961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961" t="str">
        <f>IF(OR((NHL2025_26Results[[#This Row],[Winning Team]]="")),"-",IF(Table46[[#This Row],[Predicted Winner]]=NHL2025_26Results[[#This Row],[Winning Team]],"YES","NO"))</f>
        <v>-</v>
      </c>
      <c r="O961" t="str">
        <f>IF(OR((NHL2025_26Results[[#This Row],[Winning Team]]="")),"-",IF(Table46[[#This Row],[Prob Winner]]=NHL2025_26Results[[#This Row],[Winning Team]],"YES","NO"))</f>
        <v>-</v>
      </c>
      <c r="P961" t="str">
        <f>IF(Table46[[#This Row],[Locked Prediction]]&lt;&gt;Table46[[#This Row],[Prob Winner]], "Changed", "Same")</f>
        <v>Changed</v>
      </c>
      <c r="Q96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62" spans="4:17" x14ac:dyDescent="0.2">
      <c r="D962" s="1">
        <v>46084</v>
      </c>
      <c r="E962" s="2">
        <v>0.79166666666666663</v>
      </c>
      <c r="F962" t="s">
        <v>23</v>
      </c>
      <c r="G962">
        <f>VLOOKUP(Table46[[#This Row],[Home]],'NHL Model'!$A$6:$B$38,2,FALSE)</f>
        <v>-0.8683412362501769</v>
      </c>
      <c r="H962" t="s">
        <v>20</v>
      </c>
      <c r="I962">
        <f>VLOOKUP(Table46[[#This Row],[Visitor]],'NHL Model'!$A$6:$B$38,2,FALSE)</f>
        <v>-6.3745791019188943E-4</v>
      </c>
      <c r="J962">
        <f>($B$1+Table46[[#This Row],[Home Differential]])-Table46[[#This Row],[Away Differential]]</f>
        <v>-0.70513146867766663</v>
      </c>
      <c r="K962" t="str">
        <f>IF(Table46[[#This Row],[HomeIce Differential]]&gt;0,Table46[[#This Row],[Home]],Table46[[#This Row],[Visitor]])</f>
        <v>Vegas Golden Knights</v>
      </c>
      <c r="L96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0.57449460486536374</v>
      </c>
      <c r="M962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962" t="str">
        <f>IF(OR((NHL2025_26Results[[#This Row],[Winning Team]]="")),"-",IF(Table46[[#This Row],[Predicted Winner]]=NHL2025_26Results[[#This Row],[Winning Team]],"YES","NO"))</f>
        <v>-</v>
      </c>
      <c r="O962" t="str">
        <f>IF(OR((NHL2025_26Results[[#This Row],[Winning Team]]="")),"-",IF(Table46[[#This Row],[Prob Winner]]=NHL2025_26Results[[#This Row],[Winning Team]],"YES","NO"))</f>
        <v>-</v>
      </c>
      <c r="P962" t="str">
        <f>IF(Table46[[#This Row],[Locked Prediction]]&lt;&gt;Table46[[#This Row],[Prob Winner]], "Changed", "Same")</f>
        <v>Changed</v>
      </c>
      <c r="Q96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63" spans="4:17" x14ac:dyDescent="0.2">
      <c r="D963" s="1">
        <v>46084</v>
      </c>
      <c r="E963" s="2">
        <v>0.79166666666666663</v>
      </c>
      <c r="F963" t="s">
        <v>28</v>
      </c>
      <c r="G963">
        <f>VLOOKUP(Table46[[#This Row],[Home]],'NHL Model'!$A$6:$B$38,2,FALSE)</f>
        <v>-0.40822279081308277</v>
      </c>
      <c r="H963" t="s">
        <v>29</v>
      </c>
      <c r="I963">
        <f>VLOOKUP(Table46[[#This Row],[Visitor]],'NHL Model'!$A$6:$B$38,2,FALSE)</f>
        <v>-1.3516250707060606</v>
      </c>
      <c r="J963">
        <f>($B$1+Table46[[#This Row],[Home Differential]])-Table46[[#This Row],[Away Differential]]</f>
        <v>1.1059745895552964</v>
      </c>
      <c r="K963" t="str">
        <f>IF(Table46[[#This Row],[HomeIce Differential]]&gt;0,Table46[[#This Row],[Home]],Table46[[#This Row],[Visitor]])</f>
        <v>Columbus Blue Jackets</v>
      </c>
      <c r="L96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0.68700504338755009</v>
      </c>
      <c r="M963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963" t="str">
        <f>IF(OR((NHL2025_26Results[[#This Row],[Winning Team]]="")),"-",IF(Table46[[#This Row],[Predicted Winner]]=NHL2025_26Results[[#This Row],[Winning Team]],"YES","NO"))</f>
        <v>-</v>
      </c>
      <c r="O963" t="str">
        <f>IF(OR((NHL2025_26Results[[#This Row],[Winning Team]]="")),"-",IF(Table46[[#This Row],[Prob Winner]]=NHL2025_26Results[[#This Row],[Winning Team]],"YES","NO"))</f>
        <v>-</v>
      </c>
      <c r="P963" t="str">
        <f>IF(Table46[[#This Row],[Locked Prediction]]&lt;&gt;Table46[[#This Row],[Prob Winner]], "Changed", "Same")</f>
        <v>Changed</v>
      </c>
      <c r="Q96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64" spans="4:17" x14ac:dyDescent="0.2">
      <c r="D964" s="1">
        <v>46084</v>
      </c>
      <c r="E964" s="2">
        <v>0.875</v>
      </c>
      <c r="F964" t="s">
        <v>16</v>
      </c>
      <c r="G964">
        <f>VLOOKUP(Table46[[#This Row],[Home]],'NHL Model'!$A$6:$B$38,2,FALSE)</f>
        <v>-1.3903684122795328</v>
      </c>
      <c r="H964" t="s">
        <v>39</v>
      </c>
      <c r="I964">
        <f>VLOOKUP(Table46[[#This Row],[Visitor]],'NHL Model'!$A$6:$B$38,2,FALSE)</f>
        <v>0.19809534061227302</v>
      </c>
      <c r="J964">
        <f>($B$1+Table46[[#This Row],[Home Differential]])-Table46[[#This Row],[Away Differential]]</f>
        <v>-1.4258914432294874</v>
      </c>
      <c r="K964" t="str">
        <f>IF(Table46[[#This Row],[HomeIce Differential]]&gt;0,Table46[[#This Row],[Home]],Table46[[#This Row],[Visitor]])</f>
        <v>Dallas Stars</v>
      </c>
      <c r="L96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0.74201426150762106</v>
      </c>
      <c r="M964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964" t="str">
        <f>IF(OR((NHL2025_26Results[[#This Row],[Winning Team]]="")),"-",IF(Table46[[#This Row],[Predicted Winner]]=NHL2025_26Results[[#This Row],[Winning Team]],"YES","NO"))</f>
        <v>-</v>
      </c>
      <c r="O964" t="str">
        <f>IF(OR((NHL2025_26Results[[#This Row],[Winning Team]]="")),"-",IF(Table46[[#This Row],[Prob Winner]]=NHL2025_26Results[[#This Row],[Winning Team]],"YES","NO"))</f>
        <v>-</v>
      </c>
      <c r="P964" t="str">
        <f>IF(Table46[[#This Row],[Locked Prediction]]&lt;&gt;Table46[[#This Row],[Prob Winner]], "Changed", "Same")</f>
        <v>Changed</v>
      </c>
      <c r="Q96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65" spans="4:17" x14ac:dyDescent="0.2">
      <c r="D965" s="1">
        <v>46084</v>
      </c>
      <c r="E965" s="2">
        <v>0.875</v>
      </c>
      <c r="F965" t="s">
        <v>17</v>
      </c>
      <c r="G965">
        <f>VLOOKUP(Table46[[#This Row],[Home]],'NHL Model'!$A$6:$B$38,2,FALSE)</f>
        <v>-0.61980804137564283</v>
      </c>
      <c r="H965" t="s">
        <v>36</v>
      </c>
      <c r="I965">
        <f>VLOOKUP(Table46[[#This Row],[Visitor]],'NHL Model'!$A$6:$B$38,2,FALSE)</f>
        <v>-0.40651947573390851</v>
      </c>
      <c r="J965">
        <f>($B$1+Table46[[#This Row],[Home Differential]])-Table46[[#This Row],[Away Differential]]</f>
        <v>-5.0716255979415925E-2</v>
      </c>
      <c r="K965" t="str">
        <f>IF(Table46[[#This Row],[HomeIce Differential]]&gt;0,Table46[[#This Row],[Home]],Table46[[#This Row],[Visitor]])</f>
        <v>Ottawa Senators</v>
      </c>
      <c r="L96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0.43070428798633775</v>
      </c>
      <c r="M965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965" t="str">
        <f>IF(OR((NHL2025_26Results[[#This Row],[Winning Team]]="")),"-",IF(Table46[[#This Row],[Predicted Winner]]=NHL2025_26Results[[#This Row],[Winning Team]],"YES","NO"))</f>
        <v>-</v>
      </c>
      <c r="O965" t="str">
        <f>IF(OR((NHL2025_26Results[[#This Row],[Winning Team]]="")),"-",IF(Table46[[#This Row],[Prob Winner]]=NHL2025_26Results[[#This Row],[Winning Team]],"YES","NO"))</f>
        <v>-</v>
      </c>
      <c r="P965" t="str">
        <f>IF(Table46[[#This Row],[Locked Prediction]]&lt;&gt;Table46[[#This Row],[Prob Winner]], "Changed", "Same")</f>
        <v>Changed</v>
      </c>
      <c r="Q96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66" spans="4:17" x14ac:dyDescent="0.2">
      <c r="D966" s="1">
        <v>46084</v>
      </c>
      <c r="E966" s="2">
        <v>0.89583333333333337</v>
      </c>
      <c r="F966" t="s">
        <v>34</v>
      </c>
      <c r="G966">
        <f>VLOOKUP(Table46[[#This Row],[Home]],'NHL Model'!$A$6:$B$38,2,FALSE)</f>
        <v>-0.53650300840565446</v>
      </c>
      <c r="H966" t="s">
        <v>37</v>
      </c>
      <c r="I966">
        <f>VLOOKUP(Table46[[#This Row],[Visitor]],'NHL Model'!$A$6:$B$38,2,FALSE)</f>
        <v>-0.11309445867623392</v>
      </c>
      <c r="J966">
        <f>($B$1+Table46[[#This Row],[Home Differential]])-Table46[[#This Row],[Away Differential]]</f>
        <v>-0.26083624006710215</v>
      </c>
      <c r="K966" t="str">
        <f>IF(Table46[[#This Row],[HomeIce Differential]]&gt;0,Table46[[#This Row],[Home]],Table46[[#This Row],[Visitor]])</f>
        <v>Tampa Bay Lightning</v>
      </c>
      <c r="L96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0.54176948530587654</v>
      </c>
      <c r="M966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966" t="str">
        <f>IF(OR((NHL2025_26Results[[#This Row],[Winning Team]]="")),"-",IF(Table46[[#This Row],[Predicted Winner]]=NHL2025_26Results[[#This Row],[Winning Team]],"YES","NO"))</f>
        <v>-</v>
      </c>
      <c r="O966" t="str">
        <f>IF(OR((NHL2025_26Results[[#This Row],[Winning Team]]="")),"-",IF(Table46[[#This Row],[Prob Winner]]=NHL2025_26Results[[#This Row],[Winning Team]],"YES","NO"))</f>
        <v>-</v>
      </c>
      <c r="P966" t="str">
        <f>IF(Table46[[#This Row],[Locked Prediction]]&lt;&gt;Table46[[#This Row],[Prob Winner]], "Changed", "Same")</f>
        <v>Changed</v>
      </c>
      <c r="Q96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67" spans="4:17" x14ac:dyDescent="0.2">
      <c r="D967" s="1">
        <v>46084</v>
      </c>
      <c r="E967" s="2">
        <v>0.79166666666666663</v>
      </c>
      <c r="F967" t="s">
        <v>24</v>
      </c>
      <c r="G967">
        <f>VLOOKUP(Table46[[#This Row],[Home]],'NHL Model'!$A$6:$B$38,2,FALSE)</f>
        <v>0.559441163373953</v>
      </c>
      <c r="H967" t="s">
        <v>11</v>
      </c>
      <c r="I967">
        <f>VLOOKUP(Table46[[#This Row],[Visitor]],'NHL Model'!$A$6:$B$38,2,FALSE)</f>
        <v>-0.28105923893144158</v>
      </c>
      <c r="J967">
        <f>($B$1+Table46[[#This Row],[Home Differential]])-Table46[[#This Row],[Away Differential]]</f>
        <v>1.003072711967713</v>
      </c>
      <c r="K967" t="str">
        <f>IF(Table46[[#This Row],[HomeIce Differential]]&gt;0,Table46[[#This Row],[Home]],Table46[[#This Row],[Visitor]])</f>
        <v>New Jersey Devils</v>
      </c>
      <c r="L96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0.78875813968726793</v>
      </c>
      <c r="M967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967" t="str">
        <f>IF(OR((NHL2025_26Results[[#This Row],[Winning Team]]="")),"-",IF(Table46[[#This Row],[Predicted Winner]]=NHL2025_26Results[[#This Row],[Winning Team]],"YES","NO"))</f>
        <v>-</v>
      </c>
      <c r="O967" t="str">
        <f>IF(OR((NHL2025_26Results[[#This Row],[Winning Team]]="")),"-",IF(Table46[[#This Row],[Prob Winner]]=NHL2025_26Results[[#This Row],[Winning Team]],"YES","NO"))</f>
        <v>-</v>
      </c>
      <c r="P967" t="str">
        <f>IF(Table46[[#This Row],[Locked Prediction]]&lt;&gt;Table46[[#This Row],[Prob Winner]], "Changed", "Same")</f>
        <v>Changed</v>
      </c>
      <c r="Q96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68" spans="4:17" x14ac:dyDescent="0.2">
      <c r="D968" s="1">
        <v>46084</v>
      </c>
      <c r="E968" s="2">
        <v>0.91666666666666663</v>
      </c>
      <c r="F968" t="s">
        <v>33</v>
      </c>
      <c r="G968">
        <f>VLOOKUP(Table46[[#This Row],[Home]],'NHL Model'!$A$6:$B$38,2,FALSE)</f>
        <v>-0.39418177254008485</v>
      </c>
      <c r="H968" t="s">
        <v>18</v>
      </c>
      <c r="I968">
        <f>VLOOKUP(Table46[[#This Row],[Visitor]],'NHL Model'!$A$6:$B$38,2,FALSE)</f>
        <v>-0.52437726201848234</v>
      </c>
      <c r="J968">
        <f>($B$1+Table46[[#This Row],[Home Differential]])-Table46[[#This Row],[Away Differential]]</f>
        <v>0.29276779914071588</v>
      </c>
      <c r="K968" t="str">
        <f>IF(Table46[[#This Row],[HomeIce Differential]]&gt;0,Table46[[#This Row],[Home]],Table46[[#This Row],[Visitor]])</f>
        <v>San Jose Sharks</v>
      </c>
      <c r="L96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0.50243371823012162</v>
      </c>
      <c r="M968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968" t="str">
        <f>IF(OR((NHL2025_26Results[[#This Row],[Winning Team]]="")),"-",IF(Table46[[#This Row],[Predicted Winner]]=NHL2025_26Results[[#This Row],[Winning Team]],"YES","NO"))</f>
        <v>-</v>
      </c>
      <c r="O968" t="str">
        <f>IF(OR((NHL2025_26Results[[#This Row],[Winning Team]]="")),"-",IF(Table46[[#This Row],[Prob Winner]]=NHL2025_26Results[[#This Row],[Winning Team]],"YES","NO"))</f>
        <v>-</v>
      </c>
      <c r="P968" t="str">
        <f>IF(Table46[[#This Row],[Locked Prediction]]&lt;&gt;Table46[[#This Row],[Prob Winner]], "Changed", "Same")</f>
        <v>Changed</v>
      </c>
      <c r="Q96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69" spans="4:17" x14ac:dyDescent="0.2">
      <c r="D969" s="1">
        <v>46084</v>
      </c>
      <c r="E969" s="2">
        <v>0.83333333333333337</v>
      </c>
      <c r="F969" t="s">
        <v>40</v>
      </c>
      <c r="G969">
        <f>VLOOKUP(Table46[[#This Row],[Home]],'NHL Model'!$A$6:$B$38,2,FALSE)</f>
        <v>0.105105258369765</v>
      </c>
      <c r="H969" t="s">
        <v>10</v>
      </c>
      <c r="I969">
        <f>VLOOKUP(Table46[[#This Row],[Visitor]],'NHL Model'!$A$6:$B$38,2,FALSE)</f>
        <v>0.30570968833820172</v>
      </c>
      <c r="J969">
        <f>($B$1+Table46[[#This Row],[Home Differential]])-Table46[[#This Row],[Away Differential]]</f>
        <v>-3.80321203061183E-2</v>
      </c>
      <c r="K969" t="str">
        <f>IF(Table46[[#This Row],[HomeIce Differential]]&gt;0,Table46[[#This Row],[Home]],Table46[[#This Row],[Visitor]])</f>
        <v>Chicago Blackhawks</v>
      </c>
      <c r="L96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0.44949963608132415</v>
      </c>
      <c r="M969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969" t="str">
        <f>IF(OR((NHL2025_26Results[[#This Row],[Winning Team]]="")),"-",IF(Table46[[#This Row],[Predicted Winner]]=NHL2025_26Results[[#This Row],[Winning Team]],"YES","NO"))</f>
        <v>-</v>
      </c>
      <c r="O969" t="str">
        <f>IF(OR((NHL2025_26Results[[#This Row],[Winning Team]]="")),"-",IF(Table46[[#This Row],[Prob Winner]]=NHL2025_26Results[[#This Row],[Winning Team]],"YES","NO"))</f>
        <v>-</v>
      </c>
      <c r="P969" t="str">
        <f>IF(Table46[[#This Row],[Locked Prediction]]&lt;&gt;Table46[[#This Row],[Prob Winner]], "Changed", "Same")</f>
        <v>Changed</v>
      </c>
      <c r="Q96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70" spans="4:17" x14ac:dyDescent="0.2">
      <c r="D970" s="1">
        <v>46084</v>
      </c>
      <c r="E970" s="2">
        <v>0.79166666666666663</v>
      </c>
      <c r="F970" t="s">
        <v>22</v>
      </c>
      <c r="G970">
        <f>VLOOKUP(Table46[[#This Row],[Home]],'NHL Model'!$A$6:$B$38,2,FALSE)</f>
        <v>-6.1308839486784707E-2</v>
      </c>
      <c r="H970" t="s">
        <v>55</v>
      </c>
      <c r="I970">
        <f>VLOOKUP(Table46[[#This Row],[Visitor]],'NHL Model'!$A$6:$B$38,2,FALSE)</f>
        <v>-0.12212311954851815</v>
      </c>
      <c r="J970">
        <f>($B$1+Table46[[#This Row],[Home Differential]])-Table46[[#This Row],[Away Differential]]</f>
        <v>0.22338658972405184</v>
      </c>
      <c r="K970" t="str">
        <f>IF(Table46[[#This Row],[HomeIce Differential]]&gt;0,Table46[[#This Row],[Home]],Table46[[#This Row],[Visitor]])</f>
        <v>Washington Capitals</v>
      </c>
      <c r="L97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0.56969232351693122</v>
      </c>
      <c r="M970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970" t="str">
        <f>IF(OR((NHL2025_26Results[[#This Row],[Winning Team]]="")),"-",IF(Table46[[#This Row],[Predicted Winner]]=NHL2025_26Results[[#This Row],[Winning Team]],"YES","NO"))</f>
        <v>-</v>
      </c>
      <c r="O970" t="str">
        <f>IF(OR((NHL2025_26Results[[#This Row],[Winning Team]]="")),"-",IF(Table46[[#This Row],[Prob Winner]]=NHL2025_26Results[[#This Row],[Winning Team]],"YES","NO"))</f>
        <v>-</v>
      </c>
      <c r="P970" t="str">
        <f>IF(Table46[[#This Row],[Locked Prediction]]&lt;&gt;Table46[[#This Row],[Prob Winner]], "Changed", "Same")</f>
        <v>Changed</v>
      </c>
      <c r="Q97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71" spans="4:17" x14ac:dyDescent="0.2">
      <c r="D971" s="1">
        <v>46085</v>
      </c>
      <c r="E971" s="2">
        <v>0.91666666666666663</v>
      </c>
      <c r="F971" t="s">
        <v>31</v>
      </c>
      <c r="G971">
        <f>VLOOKUP(Table46[[#This Row],[Home]],'NHL Model'!$A$6:$B$38,2,FALSE)</f>
        <v>0.51775546328552802</v>
      </c>
      <c r="H971" t="s">
        <v>30</v>
      </c>
      <c r="I971">
        <f>VLOOKUP(Table46[[#This Row],[Visitor]],'NHL Model'!$A$6:$B$38,2,FALSE)</f>
        <v>-6.4729560818359025E-2</v>
      </c>
      <c r="J971">
        <f>($B$1+Table46[[#This Row],[Home Differential]])-Table46[[#This Row],[Away Differential]]</f>
        <v>0.74505733376620542</v>
      </c>
      <c r="K971" t="str">
        <f>IF(Table46[[#This Row],[HomeIce Differential]]&gt;0,Table46[[#This Row],[Home]],Table46[[#This Row],[Visitor]])</f>
        <v>Anaheim Ducks</v>
      </c>
      <c r="L97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0.70342788480319807</v>
      </c>
      <c r="M971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971" t="str">
        <f>IF(OR((NHL2025_26Results[[#This Row],[Winning Team]]="")),"-",IF(Table46[[#This Row],[Predicted Winner]]=NHL2025_26Results[[#This Row],[Winning Team]],"YES","NO"))</f>
        <v>-</v>
      </c>
      <c r="O971" t="str">
        <f>IF(OR((NHL2025_26Results[[#This Row],[Winning Team]]="")),"-",IF(Table46[[#This Row],[Prob Winner]]=NHL2025_26Results[[#This Row],[Winning Team]],"YES","NO"))</f>
        <v>-</v>
      </c>
      <c r="P971" t="str">
        <f>IF(Table46[[#This Row],[Locked Prediction]]&lt;&gt;Table46[[#This Row],[Prob Winner]], "Changed", "Same")</f>
        <v>Changed</v>
      </c>
      <c r="Q97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72" spans="4:17" x14ac:dyDescent="0.2">
      <c r="D972" s="1">
        <v>46085</v>
      </c>
      <c r="E972" s="2">
        <v>0.79166666666666663</v>
      </c>
      <c r="F972" t="s">
        <v>26</v>
      </c>
      <c r="G972">
        <f>VLOOKUP(Table46[[#This Row],[Home]],'NHL Model'!$A$6:$B$38,2,FALSE)</f>
        <v>-0.513643833119658</v>
      </c>
      <c r="H972" t="s">
        <v>20</v>
      </c>
      <c r="I972">
        <f>VLOOKUP(Table46[[#This Row],[Visitor]],'NHL Model'!$A$6:$B$38,2,FALSE)</f>
        <v>-6.3745791019188943E-4</v>
      </c>
      <c r="J972">
        <f>($B$1+Table46[[#This Row],[Home Differential]])-Table46[[#This Row],[Away Differential]]</f>
        <v>-0.35043406554714773</v>
      </c>
      <c r="K972" t="str">
        <f>IF(Table46[[#This Row],[HomeIce Differential]]&gt;0,Table46[[#This Row],[Home]],Table46[[#This Row],[Visitor]])</f>
        <v>Vegas Golden Knights</v>
      </c>
      <c r="L97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0.50112480229606426</v>
      </c>
      <c r="M972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972" t="str">
        <f>IF(OR((NHL2025_26Results[[#This Row],[Winning Team]]="")),"-",IF(Table46[[#This Row],[Predicted Winner]]=NHL2025_26Results[[#This Row],[Winning Team]],"YES","NO"))</f>
        <v>-</v>
      </c>
      <c r="O972" t="str">
        <f>IF(OR((NHL2025_26Results[[#This Row],[Winning Team]]="")),"-",IF(Table46[[#This Row],[Prob Winner]]=NHL2025_26Results[[#This Row],[Winning Team]],"YES","NO"))</f>
        <v>-</v>
      </c>
      <c r="P972" t="str">
        <f>IF(Table46[[#This Row],[Locked Prediction]]&lt;&gt;Table46[[#This Row],[Prob Winner]], "Changed", "Same")</f>
        <v>Changed</v>
      </c>
      <c r="Q97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73" spans="4:17" x14ac:dyDescent="0.2">
      <c r="D973" s="1">
        <v>46085</v>
      </c>
      <c r="E973" s="2">
        <v>0.79166666666666663</v>
      </c>
      <c r="F973" t="s">
        <v>24</v>
      </c>
      <c r="G973">
        <f>VLOOKUP(Table46[[#This Row],[Home]],'NHL Model'!$A$6:$B$38,2,FALSE)</f>
        <v>0.559441163373953</v>
      </c>
      <c r="H973" t="s">
        <v>19</v>
      </c>
      <c r="I973">
        <f>VLOOKUP(Table46[[#This Row],[Visitor]],'NHL Model'!$A$6:$B$38,2,FALSE)</f>
        <v>-0.635565543477981</v>
      </c>
      <c r="J973">
        <f>($B$1+Table46[[#This Row],[Home Differential]])-Table46[[#This Row],[Away Differential]]</f>
        <v>1.3575790165142525</v>
      </c>
      <c r="K973" t="str">
        <f>IF(Table46[[#This Row],[HomeIce Differential]]&gt;0,Table46[[#This Row],[Home]],Table46[[#This Row],[Visitor]])</f>
        <v>New Jersey Devils</v>
      </c>
      <c r="L97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0.83587876539891182</v>
      </c>
      <c r="M973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973" t="str">
        <f>IF(OR((NHL2025_26Results[[#This Row],[Winning Team]]="")),"-",IF(Table46[[#This Row],[Predicted Winner]]=NHL2025_26Results[[#This Row],[Winning Team]],"YES","NO"))</f>
        <v>-</v>
      </c>
      <c r="O973" t="str">
        <f>IF(OR((NHL2025_26Results[[#This Row],[Winning Team]]="")),"-",IF(Table46[[#This Row],[Prob Winner]]=NHL2025_26Results[[#This Row],[Winning Team]],"YES","NO"))</f>
        <v>-</v>
      </c>
      <c r="P973" t="str">
        <f>IF(Table46[[#This Row],[Locked Prediction]]&lt;&gt;Table46[[#This Row],[Prob Winner]], "Changed", "Same")</f>
        <v>Changed</v>
      </c>
      <c r="Q97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74" spans="4:17" x14ac:dyDescent="0.2">
      <c r="D974" s="1">
        <v>46085</v>
      </c>
      <c r="E974" s="2">
        <v>0.91666666666666663</v>
      </c>
      <c r="F974" t="s">
        <v>32</v>
      </c>
      <c r="G974">
        <f>VLOOKUP(Table46[[#This Row],[Home]],'NHL Model'!$A$6:$B$38,2,FALSE)</f>
        <v>-0.361361309178443</v>
      </c>
      <c r="H974" t="s">
        <v>35</v>
      </c>
      <c r="I974">
        <f>VLOOKUP(Table46[[#This Row],[Visitor]],'NHL Model'!$A$6:$B$38,2,FALSE)</f>
        <v>-1.6211574240381006</v>
      </c>
      <c r="J974">
        <f>($B$1+Table46[[#This Row],[Home Differential]])-Table46[[#This Row],[Away Differential]]</f>
        <v>1.4223684245219759</v>
      </c>
      <c r="K974" t="str">
        <f>IF(Table46[[#This Row],[HomeIce Differential]]&gt;0,Table46[[#This Row],[Home]],Table46[[#This Row],[Visitor]])</f>
        <v>Seattle Kraken</v>
      </c>
      <c r="L97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0.75509753336575169</v>
      </c>
      <c r="M974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974" t="str">
        <f>IF(OR((NHL2025_26Results[[#This Row],[Winning Team]]="")),"-",IF(Table46[[#This Row],[Predicted Winner]]=NHL2025_26Results[[#This Row],[Winning Team]],"YES","NO"))</f>
        <v>-</v>
      </c>
      <c r="O974" t="str">
        <f>IF(OR((NHL2025_26Results[[#This Row],[Winning Team]]="")),"-",IF(Table46[[#This Row],[Prob Winner]]=NHL2025_26Results[[#This Row],[Winning Team]],"YES","NO"))</f>
        <v>-</v>
      </c>
      <c r="P974" t="str">
        <f>IF(Table46[[#This Row],[Locked Prediction]]&lt;&gt;Table46[[#This Row],[Prob Winner]], "Changed", "Same")</f>
        <v>Changed</v>
      </c>
      <c r="Q97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75" spans="4:17" x14ac:dyDescent="0.2">
      <c r="D975" s="1">
        <v>46085</v>
      </c>
      <c r="E975" s="2">
        <v>0.91666666666666663</v>
      </c>
      <c r="F975" t="s">
        <v>38</v>
      </c>
      <c r="G975">
        <f>VLOOKUP(Table46[[#This Row],[Home]],'NHL Model'!$A$6:$B$38,2,FALSE)</f>
        <v>-0.6902088310934803</v>
      </c>
      <c r="H975" t="s">
        <v>25</v>
      </c>
      <c r="I975">
        <f>VLOOKUP(Table46[[#This Row],[Visitor]],'NHL Model'!$A$6:$B$38,2,FALSE)</f>
        <v>0.67193921242367816</v>
      </c>
      <c r="J975">
        <f>($B$1+Table46[[#This Row],[Home Differential]])-Table46[[#This Row],[Away Differential]]</f>
        <v>-1.1995757338548401</v>
      </c>
      <c r="K975" t="str">
        <f>IF(Table46[[#This Row],[HomeIce Differential]]&gt;0,Table46[[#This Row],[Home]],Table46[[#This Row],[Visitor]])</f>
        <v>Carolina Hurricanes</v>
      </c>
      <c r="L97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0.7119326023175292</v>
      </c>
      <c r="M975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975" t="str">
        <f>IF(OR((NHL2025_26Results[[#This Row],[Winning Team]]="")),"-",IF(Table46[[#This Row],[Predicted Winner]]=NHL2025_26Results[[#This Row],[Winning Team]],"YES","NO"))</f>
        <v>-</v>
      </c>
      <c r="O975" t="str">
        <f>IF(OR((NHL2025_26Results[[#This Row],[Winning Team]]="")),"-",IF(Table46[[#This Row],[Prob Winner]]=NHL2025_26Results[[#This Row],[Winning Team]],"YES","NO"))</f>
        <v>-</v>
      </c>
      <c r="P975" t="str">
        <f>IF(Table46[[#This Row],[Locked Prediction]]&lt;&gt;Table46[[#This Row],[Prob Winner]], "Changed", "Same")</f>
        <v>Changed</v>
      </c>
      <c r="Q97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76" spans="4:17" x14ac:dyDescent="0.2">
      <c r="D976" s="1">
        <v>46086</v>
      </c>
      <c r="E976" s="2">
        <v>0.79166666666666663</v>
      </c>
      <c r="F976" t="s">
        <v>28</v>
      </c>
      <c r="G976">
        <f>VLOOKUP(Table46[[#This Row],[Home]],'NHL Model'!$A$6:$B$38,2,FALSE)</f>
        <v>-0.40822279081308277</v>
      </c>
      <c r="H976" t="s">
        <v>11</v>
      </c>
      <c r="I976">
        <f>VLOOKUP(Table46[[#This Row],[Visitor]],'NHL Model'!$A$6:$B$38,2,FALSE)</f>
        <v>-0.28105923893144158</v>
      </c>
      <c r="J976">
        <f>($B$1+Table46[[#This Row],[Home Differential]])-Table46[[#This Row],[Away Differential]]</f>
        <v>3.5408757780677202E-2</v>
      </c>
      <c r="K976" t="str">
        <f>IF(Table46[[#This Row],[HomeIce Differential]]&gt;0,Table46[[#This Row],[Home]],Table46[[#This Row],[Visitor]])</f>
        <v>Columbus Blue Jackets</v>
      </c>
      <c r="L97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0.54470649689695017</v>
      </c>
      <c r="M976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976" t="str">
        <f>IF(OR((NHL2025_26Results[[#This Row],[Winning Team]]="")),"-",IF(Table46[[#This Row],[Predicted Winner]]=NHL2025_26Results[[#This Row],[Winning Team]],"YES","NO"))</f>
        <v>-</v>
      </c>
      <c r="O976" t="str">
        <f>IF(OR((NHL2025_26Results[[#This Row],[Winning Team]]="")),"-",IF(Table46[[#This Row],[Prob Winner]]=NHL2025_26Results[[#This Row],[Winning Team]],"YES","NO"))</f>
        <v>-</v>
      </c>
      <c r="P976" t="str">
        <f>IF(Table46[[#This Row],[Locked Prediction]]&lt;&gt;Table46[[#This Row],[Prob Winner]], "Changed", "Same")</f>
        <v>Changed</v>
      </c>
      <c r="Q97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77" spans="4:17" x14ac:dyDescent="0.2">
      <c r="D977" s="1">
        <v>46086</v>
      </c>
      <c r="E977" s="2">
        <v>0.875</v>
      </c>
      <c r="F977" t="s">
        <v>16</v>
      </c>
      <c r="G977">
        <f>VLOOKUP(Table46[[#This Row],[Home]],'NHL Model'!$A$6:$B$38,2,FALSE)</f>
        <v>-1.3903684122795328</v>
      </c>
      <c r="H977" t="s">
        <v>36</v>
      </c>
      <c r="I977">
        <f>VLOOKUP(Table46[[#This Row],[Visitor]],'NHL Model'!$A$6:$B$38,2,FALSE)</f>
        <v>-0.40651947573390851</v>
      </c>
      <c r="J977">
        <f>($B$1+Table46[[#This Row],[Home Differential]])-Table46[[#This Row],[Away Differential]]</f>
        <v>-0.82127662688330583</v>
      </c>
      <c r="K977" t="str">
        <f>IF(Table46[[#This Row],[HomeIce Differential]]&gt;0,Table46[[#This Row],[Home]],Table46[[#This Row],[Visitor]])</f>
        <v>Ottawa Senators</v>
      </c>
      <c r="L97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0.56916327310621706</v>
      </c>
      <c r="M977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977" t="str">
        <f>IF(OR((NHL2025_26Results[[#This Row],[Winning Team]]="")),"-",IF(Table46[[#This Row],[Predicted Winner]]=NHL2025_26Results[[#This Row],[Winning Team]],"YES","NO"))</f>
        <v>-</v>
      </c>
      <c r="O977" t="str">
        <f>IF(OR((NHL2025_26Results[[#This Row],[Winning Team]]="")),"-",IF(Table46[[#This Row],[Prob Winner]]=NHL2025_26Results[[#This Row],[Winning Team]],"YES","NO"))</f>
        <v>-</v>
      </c>
      <c r="P977" t="str">
        <f>IF(Table46[[#This Row],[Locked Prediction]]&lt;&gt;Table46[[#This Row],[Prob Winner]], "Changed", "Same")</f>
        <v>Changed</v>
      </c>
      <c r="Q97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78" spans="4:17" x14ac:dyDescent="0.2">
      <c r="D978" s="1">
        <v>46086</v>
      </c>
      <c r="E978" s="2">
        <v>0.89583333333333337</v>
      </c>
      <c r="F978" t="s">
        <v>13</v>
      </c>
      <c r="G978">
        <f>VLOOKUP(Table46[[#This Row],[Home]],'NHL Model'!$A$6:$B$38,2,FALSE)</f>
        <v>-7.5459708298993802E-2</v>
      </c>
      <c r="H978" t="s">
        <v>30</v>
      </c>
      <c r="I978">
        <f>VLOOKUP(Table46[[#This Row],[Visitor]],'NHL Model'!$A$6:$B$38,2,FALSE)</f>
        <v>-6.4729560818359025E-2</v>
      </c>
      <c r="J978">
        <f>($B$1+Table46[[#This Row],[Home Differential]])-Table46[[#This Row],[Away Differential]]</f>
        <v>0.15184216218168362</v>
      </c>
      <c r="K978" t="str">
        <f>IF(Table46[[#This Row],[HomeIce Differential]]&gt;0,Table46[[#This Row],[Home]],Table46[[#This Row],[Visitor]])</f>
        <v>Los Angeles Kings</v>
      </c>
      <c r="L97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0.51767014649080911</v>
      </c>
      <c r="M978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978" t="str">
        <f>IF(OR((NHL2025_26Results[[#This Row],[Winning Team]]="")),"-",IF(Table46[[#This Row],[Predicted Winner]]=NHL2025_26Results[[#This Row],[Winning Team]],"YES","NO"))</f>
        <v>-</v>
      </c>
      <c r="O978" t="str">
        <f>IF(OR((NHL2025_26Results[[#This Row],[Winning Team]]="")),"-",IF(Table46[[#This Row],[Prob Winner]]=NHL2025_26Results[[#This Row],[Winning Team]],"YES","NO"))</f>
        <v>-</v>
      </c>
      <c r="P978" t="str">
        <f>IF(Table46[[#This Row],[Locked Prediction]]&lt;&gt;Table46[[#This Row],[Prob Winner]], "Changed", "Same")</f>
        <v>Changed</v>
      </c>
      <c r="Q97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79" spans="4:17" x14ac:dyDescent="0.2">
      <c r="D979" s="1">
        <v>46086</v>
      </c>
      <c r="E979" s="2">
        <v>0.83333333333333337</v>
      </c>
      <c r="F979" t="s">
        <v>29</v>
      </c>
      <c r="G979">
        <f>VLOOKUP(Table46[[#This Row],[Home]],'NHL Model'!$A$6:$B$38,2,FALSE)</f>
        <v>-1.3516250707060606</v>
      </c>
      <c r="H979" t="s">
        <v>21</v>
      </c>
      <c r="I979">
        <f>VLOOKUP(Table46[[#This Row],[Visitor]],'NHL Model'!$A$6:$B$38,2,FALSE)</f>
        <v>4.029141914856392E-2</v>
      </c>
      <c r="J979">
        <f>($B$1+Table46[[#This Row],[Home Differential]])-Table46[[#This Row],[Away Differential]]</f>
        <v>-1.2293441801923062</v>
      </c>
      <c r="K979" t="str">
        <f>IF(Table46[[#This Row],[HomeIce Differential]]&gt;0,Table46[[#This Row],[Home]],Table46[[#This Row],[Visitor]])</f>
        <v>Boston Bruins</v>
      </c>
      <c r="L97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0.6234032067771722</v>
      </c>
      <c r="M979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979" t="str">
        <f>IF(OR((NHL2025_26Results[[#This Row],[Winning Team]]="")),"-",IF(Table46[[#This Row],[Predicted Winner]]=NHL2025_26Results[[#This Row],[Winning Team]],"YES","NO"))</f>
        <v>-</v>
      </c>
      <c r="O979" t="str">
        <f>IF(OR((NHL2025_26Results[[#This Row],[Winning Team]]="")),"-",IF(Table46[[#This Row],[Prob Winner]]=NHL2025_26Results[[#This Row],[Winning Team]],"YES","NO"))</f>
        <v>-</v>
      </c>
      <c r="P979" t="str">
        <f>IF(Table46[[#This Row],[Locked Prediction]]&lt;&gt;Table46[[#This Row],[Prob Winner]], "Changed", "Same")</f>
        <v>Changed</v>
      </c>
      <c r="Q97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80" spans="4:17" x14ac:dyDescent="0.2">
      <c r="D980" s="1">
        <v>46086</v>
      </c>
      <c r="E980" s="2">
        <v>0.79166666666666663</v>
      </c>
      <c r="F980" t="s">
        <v>15</v>
      </c>
      <c r="G980">
        <f>VLOOKUP(Table46[[#This Row],[Home]],'NHL Model'!$A$6:$B$38,2,FALSE)</f>
        <v>-0.30719665303039001</v>
      </c>
      <c r="H980" t="s">
        <v>19</v>
      </c>
      <c r="I980">
        <f>VLOOKUP(Table46[[#This Row],[Visitor]],'NHL Model'!$A$6:$B$38,2,FALSE)</f>
        <v>-0.635565543477981</v>
      </c>
      <c r="J980">
        <f>($B$1+Table46[[#This Row],[Home Differential]])-Table46[[#This Row],[Away Differential]]</f>
        <v>0.49094120010990938</v>
      </c>
      <c r="K980" t="str">
        <f>IF(Table46[[#This Row],[HomeIce Differential]]&gt;0,Table46[[#This Row],[Home]],Table46[[#This Row],[Visitor]])</f>
        <v>New York Rangers</v>
      </c>
      <c r="L98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0.60525541644850311</v>
      </c>
      <c r="M980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980" t="str">
        <f>IF(OR((NHL2025_26Results[[#This Row],[Winning Team]]="")),"-",IF(Table46[[#This Row],[Predicted Winner]]=NHL2025_26Results[[#This Row],[Winning Team]],"YES","NO"))</f>
        <v>-</v>
      </c>
      <c r="O980" t="str">
        <f>IF(OR((NHL2025_26Results[[#This Row],[Winning Team]]="")),"-",IF(Table46[[#This Row],[Prob Winner]]=NHL2025_26Results[[#This Row],[Winning Team]],"YES","NO"))</f>
        <v>-</v>
      </c>
      <c r="P980" t="str">
        <f>IF(Table46[[#This Row],[Locked Prediction]]&lt;&gt;Table46[[#This Row],[Prob Winner]], "Changed", "Same")</f>
        <v>Changed</v>
      </c>
      <c r="Q98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81" spans="4:17" x14ac:dyDescent="0.2">
      <c r="D981" s="1">
        <v>46086</v>
      </c>
      <c r="E981" s="2">
        <v>0.79166666666666663</v>
      </c>
      <c r="F981" t="s">
        <v>27</v>
      </c>
      <c r="G981">
        <f>VLOOKUP(Table46[[#This Row],[Home]],'NHL Model'!$A$6:$B$38,2,FALSE)</f>
        <v>-0.51358590497437617</v>
      </c>
      <c r="H981" t="s">
        <v>55</v>
      </c>
      <c r="I981">
        <f>VLOOKUP(Table46[[#This Row],[Visitor]],'NHL Model'!$A$6:$B$38,2,FALSE)</f>
        <v>-0.12212311954851815</v>
      </c>
      <c r="J981">
        <f>($B$1+Table46[[#This Row],[Home Differential]])-Table46[[#This Row],[Away Differential]]</f>
        <v>-0.22889047576353963</v>
      </c>
      <c r="K981" t="str">
        <f>IF(Table46[[#This Row],[HomeIce Differential]]&gt;0,Table46[[#This Row],[Home]],Table46[[#This Row],[Visitor]])</f>
        <v>Utah Mammoth</v>
      </c>
      <c r="L98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0.48792841537550369</v>
      </c>
      <c r="M981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981" t="str">
        <f>IF(OR((NHL2025_26Results[[#This Row],[Winning Team]]="")),"-",IF(Table46[[#This Row],[Predicted Winner]]=NHL2025_26Results[[#This Row],[Winning Team]],"YES","NO"))</f>
        <v>-</v>
      </c>
      <c r="O981" t="str">
        <f>IF(OR((NHL2025_26Results[[#This Row],[Winning Team]]="")),"-",IF(Table46[[#This Row],[Prob Winner]]=NHL2025_26Results[[#This Row],[Winning Team]],"YES","NO"))</f>
        <v>-</v>
      </c>
      <c r="P981" t="str">
        <f>IF(Table46[[#This Row],[Locked Prediction]]&lt;&gt;Table46[[#This Row],[Prob Winner]], "Changed", "Same")</f>
        <v>Changed</v>
      </c>
      <c r="Q98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82" spans="4:17" x14ac:dyDescent="0.2">
      <c r="D982" s="1">
        <v>46086</v>
      </c>
      <c r="E982" s="2">
        <v>0.79166666666666663</v>
      </c>
      <c r="F982" t="s">
        <v>14</v>
      </c>
      <c r="G982">
        <f>VLOOKUP(Table46[[#This Row],[Home]],'NHL Model'!$A$6:$B$38,2,FALSE)</f>
        <v>0.26289091192875702</v>
      </c>
      <c r="H982" t="s">
        <v>23</v>
      </c>
      <c r="I982">
        <f>VLOOKUP(Table46[[#This Row],[Visitor]],'NHL Model'!$A$6:$B$38,2,FALSE)</f>
        <v>-0.8683412362501769</v>
      </c>
      <c r="J982">
        <f>($B$1+Table46[[#This Row],[Home Differential]])-Table46[[#This Row],[Away Differential]]</f>
        <v>1.2938044578412522</v>
      </c>
      <c r="K982" t="str">
        <f>IF(Table46[[#This Row],[HomeIce Differential]]&gt;0,Table46[[#This Row],[Home]],Table46[[#This Row],[Visitor]])</f>
        <v>Pittsburgh Penguins</v>
      </c>
      <c r="L98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0.74800806918467222</v>
      </c>
      <c r="M982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982" t="str">
        <f>IF(OR((NHL2025_26Results[[#This Row],[Winning Team]]="")),"-",IF(Table46[[#This Row],[Predicted Winner]]=NHL2025_26Results[[#This Row],[Winning Team]],"YES","NO"))</f>
        <v>-</v>
      </c>
      <c r="O982" t="str">
        <f>IF(OR((NHL2025_26Results[[#This Row],[Winning Team]]="")),"-",IF(Table46[[#This Row],[Prob Winner]]=NHL2025_26Results[[#This Row],[Winning Team]],"YES","NO"))</f>
        <v>-</v>
      </c>
      <c r="P982" t="str">
        <f>IF(Table46[[#This Row],[Locked Prediction]]&lt;&gt;Table46[[#This Row],[Prob Winner]], "Changed", "Same")</f>
        <v>Changed</v>
      </c>
      <c r="Q98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83" spans="4:17" x14ac:dyDescent="0.2">
      <c r="D983" s="1">
        <v>46086</v>
      </c>
      <c r="E983" s="2">
        <v>0.83333333333333337</v>
      </c>
      <c r="F983" t="s">
        <v>40</v>
      </c>
      <c r="G983">
        <f>VLOOKUP(Table46[[#This Row],[Home]],'NHL Model'!$A$6:$B$38,2,FALSE)</f>
        <v>0.105105258369765</v>
      </c>
      <c r="H983" t="s">
        <v>37</v>
      </c>
      <c r="I983">
        <f>VLOOKUP(Table46[[#This Row],[Visitor]],'NHL Model'!$A$6:$B$38,2,FALSE)</f>
        <v>-0.11309445867623392</v>
      </c>
      <c r="J983">
        <f>($B$1+Table46[[#This Row],[Home Differential]])-Table46[[#This Row],[Away Differential]]</f>
        <v>0.38077202670831733</v>
      </c>
      <c r="K983" t="str">
        <f>IF(Table46[[#This Row],[HomeIce Differential]]&gt;0,Table46[[#This Row],[Home]],Table46[[#This Row],[Visitor]])</f>
        <v>Winnipeg Jets</v>
      </c>
      <c r="L98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0.58002360410585341</v>
      </c>
      <c r="M983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983" t="str">
        <f>IF(OR((NHL2025_26Results[[#This Row],[Winning Team]]="")),"-",IF(Table46[[#This Row],[Predicted Winner]]=NHL2025_26Results[[#This Row],[Winning Team]],"YES","NO"))</f>
        <v>-</v>
      </c>
      <c r="O983" t="str">
        <f>IF(OR((NHL2025_26Results[[#This Row],[Winning Team]]="")),"-",IF(Table46[[#This Row],[Prob Winner]]=NHL2025_26Results[[#This Row],[Winning Team]],"YES","NO"))</f>
        <v>-</v>
      </c>
      <c r="P983" t="str">
        <f>IF(Table46[[#This Row],[Locked Prediction]]&lt;&gt;Table46[[#This Row],[Prob Winner]], "Changed", "Same")</f>
        <v>Changed</v>
      </c>
      <c r="Q98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84" spans="4:17" x14ac:dyDescent="0.2">
      <c r="D984" s="1">
        <v>46087</v>
      </c>
      <c r="E984" s="2">
        <v>0.875</v>
      </c>
      <c r="F984" t="s">
        <v>31</v>
      </c>
      <c r="G984">
        <f>VLOOKUP(Table46[[#This Row],[Home]],'NHL Model'!$A$6:$B$38,2,FALSE)</f>
        <v>0.51775546328552802</v>
      </c>
      <c r="H984" t="s">
        <v>18</v>
      </c>
      <c r="I984">
        <f>VLOOKUP(Table46[[#This Row],[Visitor]],'NHL Model'!$A$6:$B$38,2,FALSE)</f>
        <v>-0.52437726201848234</v>
      </c>
      <c r="J984">
        <f>($B$1+Table46[[#This Row],[Home Differential]])-Table46[[#This Row],[Away Differential]]</f>
        <v>1.2047050349663286</v>
      </c>
      <c r="K984" t="str">
        <f>IF(Table46[[#This Row],[HomeIce Differential]]&gt;0,Table46[[#This Row],[Home]],Table46[[#This Row],[Visitor]])</f>
        <v>Anaheim Ducks</v>
      </c>
      <c r="L98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0.73155676750732113</v>
      </c>
      <c r="M984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984" t="str">
        <f>IF(OR((NHL2025_26Results[[#This Row],[Winning Team]]="")),"-",IF(Table46[[#This Row],[Predicted Winner]]=NHL2025_26Results[[#This Row],[Winning Team]],"YES","NO"))</f>
        <v>-</v>
      </c>
      <c r="O984" t="str">
        <f>IF(OR((NHL2025_26Results[[#This Row],[Winning Team]]="")),"-",IF(Table46[[#This Row],[Prob Winner]]=NHL2025_26Results[[#This Row],[Winning Team]],"YES","NO"))</f>
        <v>-</v>
      </c>
      <c r="P984" t="str">
        <f>IF(Table46[[#This Row],[Locked Prediction]]&lt;&gt;Table46[[#This Row],[Prob Winner]], "Changed", "Same")</f>
        <v>Changed</v>
      </c>
      <c r="Q98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85" spans="4:17" x14ac:dyDescent="0.2">
      <c r="D985" s="1">
        <v>46087</v>
      </c>
      <c r="E985" s="2">
        <v>0.85416666666666663</v>
      </c>
      <c r="F985" t="s">
        <v>10</v>
      </c>
      <c r="G985">
        <f>VLOOKUP(Table46[[#This Row],[Home]],'NHL Model'!$A$6:$B$38,2,FALSE)</f>
        <v>0.30570968833820172</v>
      </c>
      <c r="H985" t="s">
        <v>38</v>
      </c>
      <c r="I985">
        <f>VLOOKUP(Table46[[#This Row],[Visitor]],'NHL Model'!$A$6:$B$38,2,FALSE)</f>
        <v>-0.6902088310934803</v>
      </c>
      <c r="J985">
        <f>($B$1+Table46[[#This Row],[Home Differential]])-Table46[[#This Row],[Away Differential]]</f>
        <v>1.1584908290940004</v>
      </c>
      <c r="K985" t="str">
        <f>IF(Table46[[#This Row],[HomeIce Differential]]&gt;0,Table46[[#This Row],[Home]],Table46[[#This Row],[Visitor]])</f>
        <v>Chicago Blackhawks</v>
      </c>
      <c r="L98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0.6514728869452413</v>
      </c>
      <c r="M985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985" t="str">
        <f>IF(OR((NHL2025_26Results[[#This Row],[Winning Team]]="")),"-",IF(Table46[[#This Row],[Predicted Winner]]=NHL2025_26Results[[#This Row],[Winning Team]],"YES","NO"))</f>
        <v>-</v>
      </c>
      <c r="O985" t="str">
        <f>IF(OR((NHL2025_26Results[[#This Row],[Winning Team]]="")),"-",IF(Table46[[#This Row],[Prob Winner]]=NHL2025_26Results[[#This Row],[Winning Team]],"YES","NO"))</f>
        <v>-</v>
      </c>
      <c r="P985" t="str">
        <f>IF(Table46[[#This Row],[Locked Prediction]]&lt;&gt;Table46[[#This Row],[Prob Winner]], "Changed", "Same")</f>
        <v>Changed</v>
      </c>
      <c r="Q98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86" spans="4:17" x14ac:dyDescent="0.2">
      <c r="D986" s="1">
        <v>46087</v>
      </c>
      <c r="E986" s="2">
        <v>0.83333333333333337</v>
      </c>
      <c r="F986" t="s">
        <v>39</v>
      </c>
      <c r="G986">
        <f>VLOOKUP(Table46[[#This Row],[Home]],'NHL Model'!$A$6:$B$38,2,FALSE)</f>
        <v>0.19809534061227302</v>
      </c>
      <c r="H986" t="s">
        <v>12</v>
      </c>
      <c r="I986">
        <f>VLOOKUP(Table46[[#This Row],[Visitor]],'NHL Model'!$A$6:$B$38,2,FALSE)</f>
        <v>1.5475013591489768</v>
      </c>
      <c r="J986">
        <f>($B$1+Table46[[#This Row],[Home Differential]])-Table46[[#This Row],[Away Differential]]</f>
        <v>-1.1868337088743854</v>
      </c>
      <c r="K986" t="str">
        <f>IF(Table46[[#This Row],[HomeIce Differential]]&gt;0,Table46[[#This Row],[Home]],Table46[[#This Row],[Visitor]])</f>
        <v>Colorado Avalanche</v>
      </c>
      <c r="L98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0.65775275717414017</v>
      </c>
      <c r="M986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986" t="str">
        <f>IF(OR((NHL2025_26Results[[#This Row],[Winning Team]]="")),"-",IF(Table46[[#This Row],[Predicted Winner]]=NHL2025_26Results[[#This Row],[Winning Team]],"YES","NO"))</f>
        <v>-</v>
      </c>
      <c r="O986" t="str">
        <f>IF(OR((NHL2025_26Results[[#This Row],[Winning Team]]="")),"-",IF(Table46[[#This Row],[Prob Winner]]=NHL2025_26Results[[#This Row],[Winning Team]],"YES","NO"))</f>
        <v>-</v>
      </c>
      <c r="P986" t="str">
        <f>IF(Table46[[#This Row],[Locked Prediction]]&lt;&gt;Table46[[#This Row],[Prob Winner]], "Changed", "Same")</f>
        <v>Changed</v>
      </c>
      <c r="Q98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87" spans="4:17" x14ac:dyDescent="0.2">
      <c r="D987" s="1">
        <v>46087</v>
      </c>
      <c r="E987" s="2">
        <v>0.79166666666666663</v>
      </c>
      <c r="F987" t="s">
        <v>26</v>
      </c>
      <c r="G987">
        <f>VLOOKUP(Table46[[#This Row],[Home]],'NHL Model'!$A$6:$B$38,2,FALSE)</f>
        <v>-0.513643833119658</v>
      </c>
      <c r="H987" t="s">
        <v>11</v>
      </c>
      <c r="I987">
        <f>VLOOKUP(Table46[[#This Row],[Visitor]],'NHL Model'!$A$6:$B$38,2,FALSE)</f>
        <v>-0.28105923893144158</v>
      </c>
      <c r="J987">
        <f>($B$1+Table46[[#This Row],[Home Differential]])-Table46[[#This Row],[Away Differential]]</f>
        <v>-7.0012284525898028E-2</v>
      </c>
      <c r="K987" t="str">
        <f>IF(Table46[[#This Row],[HomeIce Differential]]&gt;0,Table46[[#This Row],[Home]],Table46[[#This Row],[Visitor]])</f>
        <v>Florida Panthers</v>
      </c>
      <c r="L98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0.44326822743580474</v>
      </c>
      <c r="M987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987" t="str">
        <f>IF(OR((NHL2025_26Results[[#This Row],[Winning Team]]="")),"-",IF(Table46[[#This Row],[Predicted Winner]]=NHL2025_26Results[[#This Row],[Winning Team]],"YES","NO"))</f>
        <v>-</v>
      </c>
      <c r="O987" t="str">
        <f>IF(OR((NHL2025_26Results[[#This Row],[Winning Team]]="")),"-",IF(Table46[[#This Row],[Prob Winner]]=NHL2025_26Results[[#This Row],[Winning Team]],"YES","NO"))</f>
        <v>-</v>
      </c>
      <c r="P987" t="str">
        <f>IF(Table46[[#This Row],[Locked Prediction]]&lt;&gt;Table46[[#This Row],[Prob Winner]], "Changed", "Same")</f>
        <v>Changed</v>
      </c>
      <c r="Q98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88" spans="4:17" x14ac:dyDescent="0.2">
      <c r="D988" s="1">
        <v>46087</v>
      </c>
      <c r="E988" s="2">
        <v>0.875</v>
      </c>
      <c r="F988" t="s">
        <v>17</v>
      </c>
      <c r="G988">
        <f>VLOOKUP(Table46[[#This Row],[Home]],'NHL Model'!$A$6:$B$38,2,FALSE)</f>
        <v>-0.61980804137564283</v>
      </c>
      <c r="H988" t="s">
        <v>25</v>
      </c>
      <c r="I988">
        <f>VLOOKUP(Table46[[#This Row],[Visitor]],'NHL Model'!$A$6:$B$38,2,FALSE)</f>
        <v>0.67193921242367816</v>
      </c>
      <c r="J988">
        <f>($B$1+Table46[[#This Row],[Home Differential]])-Table46[[#This Row],[Away Differential]]</f>
        <v>-1.1291749441370027</v>
      </c>
      <c r="K988" t="str">
        <f>IF(Table46[[#This Row],[HomeIce Differential]]&gt;0,Table46[[#This Row],[Home]],Table46[[#This Row],[Visitor]])</f>
        <v>Carolina Hurricanes</v>
      </c>
      <c r="L98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0.66621784372139081</v>
      </c>
      <c r="M988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988" t="str">
        <f>IF(OR((NHL2025_26Results[[#This Row],[Winning Team]]="")),"-",IF(Table46[[#This Row],[Predicted Winner]]=NHL2025_26Results[[#This Row],[Winning Team]],"YES","NO"))</f>
        <v>-</v>
      </c>
      <c r="O988" t="str">
        <f>IF(OR((NHL2025_26Results[[#This Row],[Winning Team]]="")),"-",IF(Table46[[#This Row],[Prob Winner]]=NHL2025_26Results[[#This Row],[Winning Team]],"YES","NO"))</f>
        <v>-</v>
      </c>
      <c r="P988" t="str">
        <f>IF(Table46[[#This Row],[Locked Prediction]]&lt;&gt;Table46[[#This Row],[Prob Winner]], "Changed", "Same")</f>
        <v>Changed</v>
      </c>
      <c r="Q98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89" spans="4:17" x14ac:dyDescent="0.2">
      <c r="D989" s="1">
        <v>46087</v>
      </c>
      <c r="E989" s="2">
        <v>0.91666666666666663</v>
      </c>
      <c r="F989" t="s">
        <v>33</v>
      </c>
      <c r="G989">
        <f>VLOOKUP(Table46[[#This Row],[Home]],'NHL Model'!$A$6:$B$38,2,FALSE)</f>
        <v>-0.39418177254008485</v>
      </c>
      <c r="H989" t="s">
        <v>35</v>
      </c>
      <c r="I989">
        <f>VLOOKUP(Table46[[#This Row],[Visitor]],'NHL Model'!$A$6:$B$38,2,FALSE)</f>
        <v>-1.6211574240381006</v>
      </c>
      <c r="J989">
        <f>($B$1+Table46[[#This Row],[Home Differential]])-Table46[[#This Row],[Away Differential]]</f>
        <v>1.3895479611603341</v>
      </c>
      <c r="K989" t="str">
        <f>IF(Table46[[#This Row],[HomeIce Differential]]&gt;0,Table46[[#This Row],[Home]],Table46[[#This Row],[Visitor]])</f>
        <v>San Jose Sharks</v>
      </c>
      <c r="L98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0.72469733414181992</v>
      </c>
      <c r="M989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989" t="str">
        <f>IF(OR((NHL2025_26Results[[#This Row],[Winning Team]]="")),"-",IF(Table46[[#This Row],[Predicted Winner]]=NHL2025_26Results[[#This Row],[Winning Team]],"YES","NO"))</f>
        <v>-</v>
      </c>
      <c r="O989" t="str">
        <f>IF(OR((NHL2025_26Results[[#This Row],[Winning Team]]="")),"-",IF(Table46[[#This Row],[Prob Winner]]=NHL2025_26Results[[#This Row],[Winning Team]],"YES","NO"))</f>
        <v>-</v>
      </c>
      <c r="P989" t="str">
        <f>IF(Table46[[#This Row],[Locked Prediction]]&lt;&gt;Table46[[#This Row],[Prob Winner]], "Changed", "Same")</f>
        <v>Changed</v>
      </c>
      <c r="Q98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90" spans="4:17" x14ac:dyDescent="0.2">
      <c r="D990" s="1">
        <v>46087</v>
      </c>
      <c r="E990" s="2">
        <v>0.91666666666666663</v>
      </c>
      <c r="F990" t="s">
        <v>20</v>
      </c>
      <c r="G990">
        <f>VLOOKUP(Table46[[#This Row],[Home]],'NHL Model'!$A$6:$B$38,2,FALSE)</f>
        <v>-6.3745791019188943E-4</v>
      </c>
      <c r="H990" t="s">
        <v>34</v>
      </c>
      <c r="I990">
        <f>VLOOKUP(Table46[[#This Row],[Visitor]],'NHL Model'!$A$6:$B$38,2,FALSE)</f>
        <v>-0.53650300840565446</v>
      </c>
      <c r="J990">
        <f>($B$1+Table46[[#This Row],[Home Differential]])-Table46[[#This Row],[Away Differential]]</f>
        <v>0.69843786015778098</v>
      </c>
      <c r="K990" t="str">
        <f>IF(Table46[[#This Row],[HomeIce Differential]]&gt;0,Table46[[#This Row],[Home]],Table46[[#This Row],[Visitor]])</f>
        <v>Vegas Golden Knights</v>
      </c>
      <c r="L99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0.63283566630340637</v>
      </c>
      <c r="M990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990" t="str">
        <f>IF(OR((NHL2025_26Results[[#This Row],[Winning Team]]="")),"-",IF(Table46[[#This Row],[Predicted Winner]]=NHL2025_26Results[[#This Row],[Winning Team]],"YES","NO"))</f>
        <v>-</v>
      </c>
      <c r="O990" t="str">
        <f>IF(OR((NHL2025_26Results[[#This Row],[Winning Team]]="")),"-",IF(Table46[[#This Row],[Prob Winner]]=NHL2025_26Results[[#This Row],[Winning Team]],"YES","NO"))</f>
        <v>-</v>
      </c>
      <c r="P990" t="str">
        <f>IF(Table46[[#This Row],[Locked Prediction]]&lt;&gt;Table46[[#This Row],[Prob Winner]], "Changed", "Same")</f>
        <v>Changed</v>
      </c>
      <c r="Q99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91" spans="4:17" x14ac:dyDescent="0.2">
      <c r="D991" s="1">
        <v>46088</v>
      </c>
      <c r="E991" s="2">
        <v>0.52083333333333337</v>
      </c>
      <c r="F991" t="s">
        <v>21</v>
      </c>
      <c r="G991">
        <f>VLOOKUP(Table46[[#This Row],[Home]],'NHL Model'!$A$6:$B$38,2,FALSE)</f>
        <v>4.029141914856392E-2</v>
      </c>
      <c r="H991" t="s">
        <v>22</v>
      </c>
      <c r="I991">
        <f>VLOOKUP(Table46[[#This Row],[Visitor]],'NHL Model'!$A$6:$B$38,2,FALSE)</f>
        <v>-6.1308839486784707E-2</v>
      </c>
      <c r="J991">
        <f>($B$1+Table46[[#This Row],[Home Differential]])-Table46[[#This Row],[Away Differential]]</f>
        <v>0.26417256829766705</v>
      </c>
      <c r="K991" t="str">
        <f>IF(Table46[[#This Row],[HomeIce Differential]]&gt;0,Table46[[#This Row],[Home]],Table46[[#This Row],[Visitor]])</f>
        <v>Boston Bruins</v>
      </c>
      <c r="L99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0.64767098251690081</v>
      </c>
      <c r="M991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991" t="str">
        <f>IF(OR((NHL2025_26Results[[#This Row],[Winning Team]]="")),"-",IF(Table46[[#This Row],[Predicted Winner]]=NHL2025_26Results[[#This Row],[Winning Team]],"YES","NO"))</f>
        <v>-</v>
      </c>
      <c r="O991" t="str">
        <f>IF(OR((NHL2025_26Results[[#This Row],[Winning Team]]="")),"-",IF(Table46[[#This Row],[Prob Winner]]=NHL2025_26Results[[#This Row],[Winning Team]],"YES","NO"))</f>
        <v>-</v>
      </c>
      <c r="P991" t="str">
        <f>IF(Table46[[#This Row],[Locked Prediction]]&lt;&gt;Table46[[#This Row],[Prob Winner]], "Changed", "Same")</f>
        <v>Changed</v>
      </c>
      <c r="Q99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92" spans="4:17" x14ac:dyDescent="0.2">
      <c r="D992" s="1">
        <v>46088</v>
      </c>
      <c r="E992" s="2">
        <v>0.72916666666666663</v>
      </c>
      <c r="F992" t="s">
        <v>23</v>
      </c>
      <c r="G992">
        <f>VLOOKUP(Table46[[#This Row],[Home]],'NHL Model'!$A$6:$B$38,2,FALSE)</f>
        <v>-0.8683412362501769</v>
      </c>
      <c r="H992" t="s">
        <v>29</v>
      </c>
      <c r="I992">
        <f>VLOOKUP(Table46[[#This Row],[Visitor]],'NHL Model'!$A$6:$B$38,2,FALSE)</f>
        <v>-1.3516250707060606</v>
      </c>
      <c r="J992">
        <f>($B$1+Table46[[#This Row],[Home Differential]])-Table46[[#This Row],[Away Differential]]</f>
        <v>0.64585614411820214</v>
      </c>
      <c r="K992" t="str">
        <f>IF(Table46[[#This Row],[HomeIce Differential]]&gt;0,Table46[[#This Row],[Home]],Table46[[#This Row],[Visitor]])</f>
        <v>Buffalo Sabres</v>
      </c>
      <c r="L99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0.6258465568602154</v>
      </c>
      <c r="M992" s="11" t="str">
        <f>IF(Table46[[#This Row],[Strength of Win]]&gt; 0.5,Table46[[#This Row],[Predicted Winner]], IF(Table46[[#This Row],[Home]]=Table46[[#This Row],[Predicted Winner]],Table46[[#This Row],[Visitor]],Table46[[#This Row],[Home]]))</f>
        <v>Buffalo Sabres</v>
      </c>
      <c r="N992" t="str">
        <f>IF(OR((NHL2025_26Results[[#This Row],[Winning Team]]="")),"-",IF(Table46[[#This Row],[Predicted Winner]]=NHL2025_26Results[[#This Row],[Winning Team]],"YES","NO"))</f>
        <v>-</v>
      </c>
      <c r="O992" t="str">
        <f>IF(OR((NHL2025_26Results[[#This Row],[Winning Team]]="")),"-",IF(Table46[[#This Row],[Prob Winner]]=NHL2025_26Results[[#This Row],[Winning Team]],"YES","NO"))</f>
        <v>-</v>
      </c>
      <c r="P992" t="str">
        <f>IF(Table46[[#This Row],[Locked Prediction]]&lt;&gt;Table46[[#This Row],[Prob Winner]], "Changed", "Same")</f>
        <v>Changed</v>
      </c>
      <c r="Q99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93" spans="4:17" x14ac:dyDescent="0.2">
      <c r="D993" s="1">
        <v>46088</v>
      </c>
      <c r="E993" s="2">
        <v>0.79166666666666663</v>
      </c>
      <c r="F993" t="s">
        <v>28</v>
      </c>
      <c r="G993">
        <f>VLOOKUP(Table46[[#This Row],[Home]],'NHL Model'!$A$6:$B$38,2,FALSE)</f>
        <v>-0.40822279081308277</v>
      </c>
      <c r="H993" t="s">
        <v>55</v>
      </c>
      <c r="I993">
        <f>VLOOKUP(Table46[[#This Row],[Visitor]],'NHL Model'!$A$6:$B$38,2,FALSE)</f>
        <v>-0.12212311954851815</v>
      </c>
      <c r="J993">
        <f>($B$1+Table46[[#This Row],[Home Differential]])-Table46[[#This Row],[Away Differential]]</f>
        <v>-0.12352736160224623</v>
      </c>
      <c r="K993" t="str">
        <f>IF(Table46[[#This Row],[HomeIce Differential]]&gt;0,Table46[[#This Row],[Home]],Table46[[#This Row],[Visitor]])</f>
        <v>Utah Mammoth</v>
      </c>
      <c r="L99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0.47641913414953724</v>
      </c>
      <c r="M993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993" t="str">
        <f>IF(OR((NHL2025_26Results[[#This Row],[Winning Team]]="")),"-",IF(Table46[[#This Row],[Predicted Winner]]=NHL2025_26Results[[#This Row],[Winning Team]],"YES","NO"))</f>
        <v>-</v>
      </c>
      <c r="O993" t="str">
        <f>IF(OR((NHL2025_26Results[[#This Row],[Winning Team]]="")),"-",IF(Table46[[#This Row],[Prob Winner]]=NHL2025_26Results[[#This Row],[Winning Team]],"YES","NO"))</f>
        <v>-</v>
      </c>
      <c r="P993" t="str">
        <f>IF(Table46[[#This Row],[Locked Prediction]]&lt;&gt;Table46[[#This Row],[Prob Winner]], "Changed", "Same")</f>
        <v>Changed</v>
      </c>
      <c r="Q99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94" spans="4:17" x14ac:dyDescent="0.2">
      <c r="D994" s="1">
        <v>46088</v>
      </c>
      <c r="E994" s="2">
        <v>0.91666666666666663</v>
      </c>
      <c r="F994" t="s">
        <v>16</v>
      </c>
      <c r="G994">
        <f>VLOOKUP(Table46[[#This Row],[Home]],'NHL Model'!$A$6:$B$38,2,FALSE)</f>
        <v>-1.3903684122795328</v>
      </c>
      <c r="H994" t="s">
        <v>25</v>
      </c>
      <c r="I994">
        <f>VLOOKUP(Table46[[#This Row],[Visitor]],'NHL Model'!$A$6:$B$38,2,FALSE)</f>
        <v>0.67193921242367816</v>
      </c>
      <c r="J994">
        <f>($B$1+Table46[[#This Row],[Home Differential]])-Table46[[#This Row],[Away Differential]]</f>
        <v>-1.8997353150408927</v>
      </c>
      <c r="K994" t="str">
        <f>IF(Table46[[#This Row],[HomeIce Differential]]&gt;0,Table46[[#This Row],[Home]],Table46[[#This Row],[Visitor]])</f>
        <v>Carolina Hurricanes</v>
      </c>
      <c r="L99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0.8049971180690626</v>
      </c>
      <c r="M994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994" t="str">
        <f>IF(OR((NHL2025_26Results[[#This Row],[Winning Team]]="")),"-",IF(Table46[[#This Row],[Predicted Winner]]=NHL2025_26Results[[#This Row],[Winning Team]],"YES","NO"))</f>
        <v>-</v>
      </c>
      <c r="O994" t="str">
        <f>IF(OR((NHL2025_26Results[[#This Row],[Winning Team]]="")),"-",IF(Table46[[#This Row],[Prob Winner]]=NHL2025_26Results[[#This Row],[Winning Team]],"YES","NO"))</f>
        <v>-</v>
      </c>
      <c r="P994" t="str">
        <f>IF(Table46[[#This Row],[Locked Prediction]]&lt;&gt;Table46[[#This Row],[Prob Winner]], "Changed", "Same")</f>
        <v>Changed</v>
      </c>
      <c r="Q99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95" spans="4:17" x14ac:dyDescent="0.2">
      <c r="D995" s="1">
        <v>46088</v>
      </c>
      <c r="E995" s="2">
        <v>0.79166666666666663</v>
      </c>
      <c r="F995" t="s">
        <v>13</v>
      </c>
      <c r="G995">
        <f>VLOOKUP(Table46[[#This Row],[Home]],'NHL Model'!$A$6:$B$38,2,FALSE)</f>
        <v>-7.5459708298993802E-2</v>
      </c>
      <c r="H995" t="s">
        <v>18</v>
      </c>
      <c r="I995">
        <f>VLOOKUP(Table46[[#This Row],[Visitor]],'NHL Model'!$A$6:$B$38,2,FALSE)</f>
        <v>-0.52437726201848234</v>
      </c>
      <c r="J995">
        <f>($B$1+Table46[[#This Row],[Home Differential]])-Table46[[#This Row],[Away Differential]]</f>
        <v>0.61148986338180689</v>
      </c>
      <c r="K995" t="str">
        <f>IF(Table46[[#This Row],[HomeIce Differential]]&gt;0,Table46[[#This Row],[Home]],Table46[[#This Row],[Visitor]])</f>
        <v>Los Angeles Kings</v>
      </c>
      <c r="L99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0.54479793828075651</v>
      </c>
      <c r="M995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995" t="str">
        <f>IF(OR((NHL2025_26Results[[#This Row],[Winning Team]]="")),"-",IF(Table46[[#This Row],[Predicted Winner]]=NHL2025_26Results[[#This Row],[Winning Team]],"YES","NO"))</f>
        <v>-</v>
      </c>
      <c r="O995" t="str">
        <f>IF(OR((NHL2025_26Results[[#This Row],[Winning Team]]="")),"-",IF(Table46[[#This Row],[Prob Winner]]=NHL2025_26Results[[#This Row],[Winning Team]],"YES","NO"))</f>
        <v>-</v>
      </c>
      <c r="P995" t="str">
        <f>IF(Table46[[#This Row],[Locked Prediction]]&lt;&gt;Table46[[#This Row],[Prob Winner]], "Changed", "Same")</f>
        <v>Changed</v>
      </c>
      <c r="Q99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96" spans="4:17" x14ac:dyDescent="0.2">
      <c r="D996" s="1">
        <v>46088</v>
      </c>
      <c r="E996" s="2">
        <v>0.625</v>
      </c>
      <c r="F996" t="s">
        <v>24</v>
      </c>
      <c r="G996">
        <f>VLOOKUP(Table46[[#This Row],[Home]],'NHL Model'!$A$6:$B$38,2,FALSE)</f>
        <v>0.559441163373953</v>
      </c>
      <c r="H996" t="s">
        <v>15</v>
      </c>
      <c r="I996">
        <f>VLOOKUP(Table46[[#This Row],[Visitor]],'NHL Model'!$A$6:$B$38,2,FALSE)</f>
        <v>-0.30719665303039001</v>
      </c>
      <c r="J996">
        <f>($B$1+Table46[[#This Row],[Home Differential]])-Table46[[#This Row],[Away Differential]]</f>
        <v>1.0292101260666615</v>
      </c>
      <c r="K996" t="str">
        <f>IF(Table46[[#This Row],[HomeIce Differential]]&gt;0,Table46[[#This Row],[Home]],Table46[[#This Row],[Visitor]])</f>
        <v>New Jersey Devils</v>
      </c>
      <c r="L99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0.65358011067483512</v>
      </c>
      <c r="M996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996" t="str">
        <f>IF(OR((NHL2025_26Results[[#This Row],[Winning Team]]="")),"-",IF(Table46[[#This Row],[Predicted Winner]]=NHL2025_26Results[[#This Row],[Winning Team]],"YES","NO"))</f>
        <v>-</v>
      </c>
      <c r="O996" t="str">
        <f>IF(OR((NHL2025_26Results[[#This Row],[Winning Team]]="")),"-",IF(Table46[[#This Row],[Prob Winner]]=NHL2025_26Results[[#This Row],[Winning Team]],"YES","NO"))</f>
        <v>-</v>
      </c>
      <c r="P996" t="str">
        <f>IF(Table46[[#This Row],[Locked Prediction]]&lt;&gt;Table46[[#This Row],[Prob Winner]], "Changed", "Same")</f>
        <v>Changed</v>
      </c>
      <c r="Q99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97" spans="4:17" x14ac:dyDescent="0.2">
      <c r="D997" s="1">
        <v>46088</v>
      </c>
      <c r="E997" s="2">
        <v>0.72916666666666663</v>
      </c>
      <c r="F997" t="s">
        <v>14</v>
      </c>
      <c r="G997">
        <f>VLOOKUP(Table46[[#This Row],[Home]],'NHL Model'!$A$6:$B$38,2,FALSE)</f>
        <v>0.26289091192875702</v>
      </c>
      <c r="H997" t="s">
        <v>27</v>
      </c>
      <c r="I997">
        <f>VLOOKUP(Table46[[#This Row],[Visitor]],'NHL Model'!$A$6:$B$38,2,FALSE)</f>
        <v>-0.51358590497437617</v>
      </c>
      <c r="J997">
        <f>($B$1+Table46[[#This Row],[Home Differential]])-Table46[[#This Row],[Away Differential]]</f>
        <v>0.93904912656545159</v>
      </c>
      <c r="K997" t="str">
        <f>IF(Table46[[#This Row],[HomeIce Differential]]&gt;0,Table46[[#This Row],[Home]],Table46[[#This Row],[Visitor]])</f>
        <v>Pittsburgh Penguins</v>
      </c>
      <c r="L99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0.70085434308764394</v>
      </c>
      <c r="M997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997" t="str">
        <f>IF(OR((NHL2025_26Results[[#This Row],[Winning Team]]="")),"-",IF(Table46[[#This Row],[Predicted Winner]]=NHL2025_26Results[[#This Row],[Winning Team]],"YES","NO"))</f>
        <v>-</v>
      </c>
      <c r="O997" t="str">
        <f>IF(OR((NHL2025_26Results[[#This Row],[Winning Team]]="")),"-",IF(Table46[[#This Row],[Prob Winner]]=NHL2025_26Results[[#This Row],[Winning Team]],"YES","NO"))</f>
        <v>-</v>
      </c>
      <c r="P997" t="str">
        <f>IF(Table46[[#This Row],[Locked Prediction]]&lt;&gt;Table46[[#This Row],[Prob Winner]], "Changed", "Same")</f>
        <v>Changed</v>
      </c>
      <c r="Q99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98" spans="4:17" x14ac:dyDescent="0.2">
      <c r="D998" s="1">
        <v>46088</v>
      </c>
      <c r="E998" s="2">
        <v>0.91666666666666663</v>
      </c>
      <c r="F998" t="s">
        <v>32</v>
      </c>
      <c r="G998">
        <f>VLOOKUP(Table46[[#This Row],[Home]],'NHL Model'!$A$6:$B$38,2,FALSE)</f>
        <v>-0.361361309178443</v>
      </c>
      <c r="H998" t="s">
        <v>36</v>
      </c>
      <c r="I998">
        <f>VLOOKUP(Table46[[#This Row],[Visitor]],'NHL Model'!$A$6:$B$38,2,FALSE)</f>
        <v>-0.40651947573390851</v>
      </c>
      <c r="J998">
        <f>($B$1+Table46[[#This Row],[Home Differential]])-Table46[[#This Row],[Away Differential]]</f>
        <v>0.2077304762177839</v>
      </c>
      <c r="K998" t="str">
        <f>IF(Table46[[#This Row],[HomeIce Differential]]&gt;0,Table46[[#This Row],[Home]],Table46[[#This Row],[Visitor]])</f>
        <v>Seattle Kraken</v>
      </c>
      <c r="L99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0.593649064316911</v>
      </c>
      <c r="M998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998" t="str">
        <f>IF(OR((NHL2025_26Results[[#This Row],[Winning Team]]="")),"-",IF(Table46[[#This Row],[Predicted Winner]]=NHL2025_26Results[[#This Row],[Winning Team]],"YES","NO"))</f>
        <v>-</v>
      </c>
      <c r="O998" t="str">
        <f>IF(OR((NHL2025_26Results[[#This Row],[Winning Team]]="")),"-",IF(Table46[[#This Row],[Prob Winner]]=NHL2025_26Results[[#This Row],[Winning Team]],"YES","NO"))</f>
        <v>-</v>
      </c>
      <c r="P998" t="str">
        <f>IF(Table46[[#This Row],[Locked Prediction]]&lt;&gt;Table46[[#This Row],[Prob Winner]], "Changed", "Same")</f>
        <v>Changed</v>
      </c>
      <c r="Q99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999" spans="4:17" x14ac:dyDescent="0.2">
      <c r="D999" s="1">
        <v>46088</v>
      </c>
      <c r="E999" s="2">
        <v>0.91666666666666663</v>
      </c>
      <c r="F999" t="s">
        <v>33</v>
      </c>
      <c r="G999">
        <f>VLOOKUP(Table46[[#This Row],[Home]],'NHL Model'!$A$6:$B$38,2,FALSE)</f>
        <v>-0.39418177254008485</v>
      </c>
      <c r="H999" t="s">
        <v>30</v>
      </c>
      <c r="I999">
        <f>VLOOKUP(Table46[[#This Row],[Visitor]],'NHL Model'!$A$6:$B$38,2,FALSE)</f>
        <v>-6.4729560818359025E-2</v>
      </c>
      <c r="J999">
        <f>($B$1+Table46[[#This Row],[Home Differential]])-Table46[[#This Row],[Away Differential]]</f>
        <v>-0.16687990205940745</v>
      </c>
      <c r="K999" t="str">
        <f>IF(Table46[[#This Row],[HomeIce Differential]]&gt;0,Table46[[#This Row],[Home]],Table46[[#This Row],[Visitor]])</f>
        <v>New York Islanders</v>
      </c>
      <c r="L99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0.52469407355982578</v>
      </c>
      <c r="M999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999" t="str">
        <f>IF(OR((NHL2025_26Results[[#This Row],[Winning Team]]="")),"-",IF(Table46[[#This Row],[Predicted Winner]]=NHL2025_26Results[[#This Row],[Winning Team]],"YES","NO"))</f>
        <v>-</v>
      </c>
      <c r="O999" t="str">
        <f>IF(OR((NHL2025_26Results[[#This Row],[Winning Team]]="")),"-",IF(Table46[[#This Row],[Prob Winner]]=NHL2025_26Results[[#This Row],[Winning Team]],"YES","NO"))</f>
        <v>-</v>
      </c>
      <c r="P999" t="str">
        <f>IF(Table46[[#This Row],[Locked Prediction]]&lt;&gt;Table46[[#This Row],[Prob Winner]], "Changed", "Same")</f>
        <v>Changed</v>
      </c>
      <c r="Q99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00" spans="4:17" x14ac:dyDescent="0.2">
      <c r="D1000" s="1">
        <v>46088</v>
      </c>
      <c r="E1000" s="2">
        <v>0.79166666666666663</v>
      </c>
      <c r="F1000" t="s">
        <v>19</v>
      </c>
      <c r="G1000">
        <f>VLOOKUP(Table46[[#This Row],[Home]],'NHL Model'!$A$6:$B$38,2,FALSE)</f>
        <v>-0.635565543477981</v>
      </c>
      <c r="H1000" t="s">
        <v>37</v>
      </c>
      <c r="I1000">
        <f>VLOOKUP(Table46[[#This Row],[Visitor]],'NHL Model'!$A$6:$B$38,2,FALSE)</f>
        <v>-0.11309445867623392</v>
      </c>
      <c r="J1000">
        <f>($B$1+Table46[[#This Row],[Home Differential]])-Table46[[#This Row],[Away Differential]]</f>
        <v>-0.35989877513942869</v>
      </c>
      <c r="K1000" t="str">
        <f>IF(Table46[[#This Row],[HomeIce Differential]]&gt;0,Table46[[#This Row],[Home]],Table46[[#This Row],[Visitor]])</f>
        <v>Tampa Bay Lightning</v>
      </c>
      <c r="L100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0.55493677902484306</v>
      </c>
      <c r="M1000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000" t="str">
        <f>IF(OR((NHL2025_26Results[[#This Row],[Winning Team]]="")),"-",IF(Table46[[#This Row],[Predicted Winner]]=NHL2025_26Results[[#This Row],[Winning Team]],"YES","NO"))</f>
        <v>-</v>
      </c>
      <c r="O1000" t="str">
        <f>IF(OR((NHL2025_26Results[[#This Row],[Winning Team]]="")),"-",IF(Table46[[#This Row],[Prob Winner]]=NHL2025_26Results[[#This Row],[Winning Team]],"YES","NO"))</f>
        <v>-</v>
      </c>
      <c r="P1000" t="str">
        <f>IF(Table46[[#This Row],[Locked Prediction]]&lt;&gt;Table46[[#This Row],[Prob Winner]], "Changed", "Same")</f>
        <v>Changed</v>
      </c>
      <c r="Q100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01" spans="4:17" x14ac:dyDescent="0.2">
      <c r="D1001" s="1">
        <v>46088</v>
      </c>
      <c r="E1001" s="2">
        <v>0.79166666666666663</v>
      </c>
      <c r="F1001" t="s">
        <v>40</v>
      </c>
      <c r="G1001">
        <f>VLOOKUP(Table46[[#This Row],[Home]],'NHL Model'!$A$6:$B$38,2,FALSE)</f>
        <v>0.105105258369765</v>
      </c>
      <c r="H1001" t="s">
        <v>38</v>
      </c>
      <c r="I1001">
        <f>VLOOKUP(Table46[[#This Row],[Visitor]],'NHL Model'!$A$6:$B$38,2,FALSE)</f>
        <v>-0.6902088310934803</v>
      </c>
      <c r="J1001">
        <f>($B$1+Table46[[#This Row],[Home Differential]])-Table46[[#This Row],[Away Differential]]</f>
        <v>0.95788639912556373</v>
      </c>
      <c r="K1001" t="str">
        <f>IF(Table46[[#This Row],[HomeIce Differential]]&gt;0,Table46[[#This Row],[Home]],Table46[[#This Row],[Visitor]])</f>
        <v>Winnipeg Jets</v>
      </c>
      <c r="L100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0.66130189080172319</v>
      </c>
      <c r="M1001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001" t="str">
        <f>IF(OR((NHL2025_26Results[[#This Row],[Winning Team]]="")),"-",IF(Table46[[#This Row],[Predicted Winner]]=NHL2025_26Results[[#This Row],[Winning Team]],"YES","NO"))</f>
        <v>-</v>
      </c>
      <c r="O1001" t="str">
        <f>IF(OR((NHL2025_26Results[[#This Row],[Winning Team]]="")),"-",IF(Table46[[#This Row],[Prob Winner]]=NHL2025_26Results[[#This Row],[Winning Team]],"YES","NO"))</f>
        <v>-</v>
      </c>
      <c r="P1001" t="str">
        <f>IF(Table46[[#This Row],[Locked Prediction]]&lt;&gt;Table46[[#This Row],[Prob Winner]], "Changed", "Same")</f>
        <v>Changed</v>
      </c>
      <c r="Q100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02" spans="4:17" x14ac:dyDescent="0.2">
      <c r="D1002" s="1">
        <v>46089</v>
      </c>
      <c r="E1002" s="2">
        <v>0.875</v>
      </c>
      <c r="F1002" t="s">
        <v>31</v>
      </c>
      <c r="G1002">
        <f>VLOOKUP(Table46[[#This Row],[Home]],'NHL Model'!$A$6:$B$38,2,FALSE)</f>
        <v>0.51775546328552802</v>
      </c>
      <c r="H1002" t="s">
        <v>35</v>
      </c>
      <c r="I1002">
        <f>VLOOKUP(Table46[[#This Row],[Visitor]],'NHL Model'!$A$6:$B$38,2,FALSE)</f>
        <v>-1.6211574240381006</v>
      </c>
      <c r="J1002">
        <f>($B$1+Table46[[#This Row],[Home Differential]])-Table46[[#This Row],[Away Differential]]</f>
        <v>2.3014851969859471</v>
      </c>
      <c r="K1002" t="str">
        <f>IF(Table46[[#This Row],[HomeIce Differential]]&gt;0,Table46[[#This Row],[Home]],Table46[[#This Row],[Visitor]])</f>
        <v>Anaheim Ducks</v>
      </c>
      <c r="L100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0.95024102220238549</v>
      </c>
      <c r="M1002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002" t="str">
        <f>IF(OR((NHL2025_26Results[[#This Row],[Winning Team]]="")),"-",IF(Table46[[#This Row],[Predicted Winner]]=NHL2025_26Results[[#This Row],[Winning Team]],"YES","NO"))</f>
        <v>-</v>
      </c>
      <c r="O1002" t="str">
        <f>IF(OR((NHL2025_26Results[[#This Row],[Winning Team]]="")),"-",IF(Table46[[#This Row],[Prob Winner]]=NHL2025_26Results[[#This Row],[Winning Team]],"YES","NO"))</f>
        <v>-</v>
      </c>
      <c r="P1002" t="str">
        <f>IF(Table46[[#This Row],[Locked Prediction]]&lt;&gt;Table46[[#This Row],[Prob Winner]], "Changed", "Same")</f>
        <v>Changed</v>
      </c>
      <c r="Q100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03" spans="4:17" x14ac:dyDescent="0.2">
      <c r="D1003" s="1">
        <v>46089</v>
      </c>
      <c r="E1003" s="2">
        <v>0.75</v>
      </c>
      <c r="F1003" t="s">
        <v>23</v>
      </c>
      <c r="G1003">
        <f>VLOOKUP(Table46[[#This Row],[Home]],'NHL Model'!$A$6:$B$38,2,FALSE)</f>
        <v>-0.8683412362501769</v>
      </c>
      <c r="H1003" t="s">
        <v>37</v>
      </c>
      <c r="I1003">
        <f>VLOOKUP(Table46[[#This Row],[Visitor]],'NHL Model'!$A$6:$B$38,2,FALSE)</f>
        <v>-0.11309445867623392</v>
      </c>
      <c r="J1003">
        <f>($B$1+Table46[[#This Row],[Home Differential]])-Table46[[#This Row],[Away Differential]]</f>
        <v>-0.59267446791162459</v>
      </c>
      <c r="K1003" t="str">
        <f>IF(Table46[[#This Row],[HomeIce Differential]]&gt;0,Table46[[#This Row],[Home]],Table46[[#This Row],[Visitor]])</f>
        <v>Tampa Bay Lightning</v>
      </c>
      <c r="L100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0.58587709278856437</v>
      </c>
      <c r="M1003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003" t="str">
        <f>IF(OR((NHL2025_26Results[[#This Row],[Winning Team]]="")),"-",IF(Table46[[#This Row],[Predicted Winner]]=NHL2025_26Results[[#This Row],[Winning Team]],"YES","NO"))</f>
        <v>-</v>
      </c>
      <c r="O1003" t="str">
        <f>IF(OR((NHL2025_26Results[[#This Row],[Winning Team]]="")),"-",IF(Table46[[#This Row],[Prob Winner]]=NHL2025_26Results[[#This Row],[Winning Team]],"YES","NO"))</f>
        <v>-</v>
      </c>
      <c r="P1003" t="str">
        <f>IF(Table46[[#This Row],[Locked Prediction]]&lt;&gt;Table46[[#This Row],[Prob Winner]], "Changed", "Same")</f>
        <v>Changed</v>
      </c>
      <c r="Q100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04" spans="4:17" x14ac:dyDescent="0.2">
      <c r="D1004" s="1">
        <v>46089</v>
      </c>
      <c r="E1004" s="2">
        <v>0.58333333333333337</v>
      </c>
      <c r="F1004" t="s">
        <v>12</v>
      </c>
      <c r="G1004">
        <f>VLOOKUP(Table46[[#This Row],[Home]],'NHL Model'!$A$6:$B$38,2,FALSE)</f>
        <v>1.5475013591489768</v>
      </c>
      <c r="H1004" t="s">
        <v>34</v>
      </c>
      <c r="I1004">
        <f>VLOOKUP(Table46[[#This Row],[Visitor]],'NHL Model'!$A$6:$B$38,2,FALSE)</f>
        <v>-0.53650300840565446</v>
      </c>
      <c r="J1004">
        <f>($B$1+Table46[[#This Row],[Home Differential]])-Table46[[#This Row],[Away Differential]]</f>
        <v>2.2465766772169498</v>
      </c>
      <c r="K1004" t="str">
        <f>IF(Table46[[#This Row],[HomeIce Differential]]&gt;0,Table46[[#This Row],[Home]],Table46[[#This Row],[Visitor]])</f>
        <v>Colorado Avalanche</v>
      </c>
      <c r="L100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0.92697898716834704</v>
      </c>
      <c r="M1004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004" t="str">
        <f>IF(OR((NHL2025_26Results[[#This Row],[Winning Team]]="")),"-",IF(Table46[[#This Row],[Predicted Winner]]=NHL2025_26Results[[#This Row],[Winning Team]],"YES","NO"))</f>
        <v>-</v>
      </c>
      <c r="O1004" t="str">
        <f>IF(OR((NHL2025_26Results[[#This Row],[Winning Team]]="")),"-",IF(Table46[[#This Row],[Prob Winner]]=NHL2025_26Results[[#This Row],[Winning Team]],"YES","NO"))</f>
        <v>-</v>
      </c>
      <c r="P1004" t="str">
        <f>IF(Table46[[#This Row],[Locked Prediction]]&lt;&gt;Table46[[#This Row],[Prob Winner]], "Changed", "Same")</f>
        <v>Changed</v>
      </c>
      <c r="Q100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05" spans="4:17" x14ac:dyDescent="0.2">
      <c r="D1005" s="1">
        <v>46089</v>
      </c>
      <c r="E1005" s="2">
        <v>0.75</v>
      </c>
      <c r="F1005" t="s">
        <v>39</v>
      </c>
      <c r="G1005">
        <f>VLOOKUP(Table46[[#This Row],[Home]],'NHL Model'!$A$6:$B$38,2,FALSE)</f>
        <v>0.19809534061227302</v>
      </c>
      <c r="H1005" t="s">
        <v>10</v>
      </c>
      <c r="I1005">
        <f>VLOOKUP(Table46[[#This Row],[Visitor]],'NHL Model'!$A$6:$B$38,2,FALSE)</f>
        <v>0.30570968833820172</v>
      </c>
      <c r="J1005">
        <f>($B$1+Table46[[#This Row],[Home Differential]])-Table46[[#This Row],[Away Differential]]</f>
        <v>5.4957961936389688E-2</v>
      </c>
      <c r="K1005" t="str">
        <f>IF(Table46[[#This Row],[HomeIce Differential]]&gt;0,Table46[[#This Row],[Home]],Table46[[#This Row],[Visitor]])</f>
        <v>Dallas Stars</v>
      </c>
      <c r="L100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0.55275950314095923</v>
      </c>
      <c r="M1005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005" t="str">
        <f>IF(OR((NHL2025_26Results[[#This Row],[Winning Team]]="")),"-",IF(Table46[[#This Row],[Predicted Winner]]=NHL2025_26Results[[#This Row],[Winning Team]],"YES","NO"))</f>
        <v>-</v>
      </c>
      <c r="O1005" t="str">
        <f>IF(OR((NHL2025_26Results[[#This Row],[Winning Team]]="")),"-",IF(Table46[[#This Row],[Prob Winner]]=NHL2025_26Results[[#This Row],[Winning Team]],"YES","NO"))</f>
        <v>-</v>
      </c>
      <c r="P1005" t="str">
        <f>IF(Table46[[#This Row],[Locked Prediction]]&lt;&gt;Table46[[#This Row],[Prob Winner]], "Changed", "Same")</f>
        <v>Changed</v>
      </c>
      <c r="Q100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06" spans="4:17" x14ac:dyDescent="0.2">
      <c r="D1006" s="1">
        <v>46089</v>
      </c>
      <c r="E1006" s="2">
        <v>0.79166666666666663</v>
      </c>
      <c r="F1006" t="s">
        <v>24</v>
      </c>
      <c r="G1006">
        <f>VLOOKUP(Table46[[#This Row],[Home]],'NHL Model'!$A$6:$B$38,2,FALSE)</f>
        <v>0.559441163373953</v>
      </c>
      <c r="H1006" t="s">
        <v>26</v>
      </c>
      <c r="I1006">
        <f>VLOOKUP(Table46[[#This Row],[Visitor]],'NHL Model'!$A$6:$B$38,2,FALSE)</f>
        <v>-0.513643833119658</v>
      </c>
      <c r="J1006">
        <f>($B$1+Table46[[#This Row],[Home Differential]])-Table46[[#This Row],[Away Differential]]</f>
        <v>1.2356573061559293</v>
      </c>
      <c r="K1006" t="str">
        <f>IF(Table46[[#This Row],[HomeIce Differential]]&gt;0,Table46[[#This Row],[Home]],Table46[[#This Row],[Visitor]])</f>
        <v>New Jersey Devils</v>
      </c>
      <c r="L100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0.775892826643516</v>
      </c>
      <c r="M1006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006" t="str">
        <f>IF(OR((NHL2025_26Results[[#This Row],[Winning Team]]="")),"-",IF(Table46[[#This Row],[Predicted Winner]]=NHL2025_26Results[[#This Row],[Winning Team]],"YES","NO"))</f>
        <v>-</v>
      </c>
      <c r="O1006" t="str">
        <f>IF(OR((NHL2025_26Results[[#This Row],[Winning Team]]="")),"-",IF(Table46[[#This Row],[Prob Winner]]=NHL2025_26Results[[#This Row],[Winning Team]],"YES","NO"))</f>
        <v>-</v>
      </c>
      <c r="P1006" t="str">
        <f>IF(Table46[[#This Row],[Locked Prediction]]&lt;&gt;Table46[[#This Row],[Prob Winner]], "Changed", "Same")</f>
        <v>Changed</v>
      </c>
      <c r="Q100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07" spans="4:17" x14ac:dyDescent="0.2">
      <c r="D1007" s="1">
        <v>46089</v>
      </c>
      <c r="E1007" s="2">
        <v>0.6875</v>
      </c>
      <c r="F1007" t="s">
        <v>14</v>
      </c>
      <c r="G1007">
        <f>VLOOKUP(Table46[[#This Row],[Home]],'NHL Model'!$A$6:$B$38,2,FALSE)</f>
        <v>0.26289091192875702</v>
      </c>
      <c r="H1007" t="s">
        <v>21</v>
      </c>
      <c r="I1007">
        <f>VLOOKUP(Table46[[#This Row],[Visitor]],'NHL Model'!$A$6:$B$38,2,FALSE)</f>
        <v>4.029141914856392E-2</v>
      </c>
      <c r="J1007">
        <f>($B$1+Table46[[#This Row],[Home Differential]])-Table46[[#This Row],[Away Differential]]</f>
        <v>0.38517180244251148</v>
      </c>
      <c r="K1007" t="str">
        <f>IF(Table46[[#This Row],[HomeIce Differential]]&gt;0,Table46[[#This Row],[Home]],Table46[[#This Row],[Visitor]])</f>
        <v>Pittsburgh Penguins</v>
      </c>
      <c r="L100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0.62723351957775442</v>
      </c>
      <c r="M1007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007" t="str">
        <f>IF(OR((NHL2025_26Results[[#This Row],[Winning Team]]="")),"-",IF(Table46[[#This Row],[Predicted Winner]]=NHL2025_26Results[[#This Row],[Winning Team]],"YES","NO"))</f>
        <v>-</v>
      </c>
      <c r="O1007" t="str">
        <f>IF(OR((NHL2025_26Results[[#This Row],[Winning Team]]="")),"-",IF(Table46[[#This Row],[Prob Winner]]=NHL2025_26Results[[#This Row],[Winning Team]],"YES","NO"))</f>
        <v>-</v>
      </c>
      <c r="P1007" t="str">
        <f>IF(Table46[[#This Row],[Locked Prediction]]&lt;&gt;Table46[[#This Row],[Prob Winner]], "Changed", "Same")</f>
        <v>Changed</v>
      </c>
      <c r="Q100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08" spans="4:17" x14ac:dyDescent="0.2">
      <c r="D1008" s="1">
        <v>46089</v>
      </c>
      <c r="E1008" s="2">
        <v>0.89583333333333337</v>
      </c>
      <c r="F1008" t="s">
        <v>20</v>
      </c>
      <c r="G1008">
        <f>VLOOKUP(Table46[[#This Row],[Home]],'NHL Model'!$A$6:$B$38,2,FALSE)</f>
        <v>-6.3745791019188943E-4</v>
      </c>
      <c r="H1008" t="s">
        <v>17</v>
      </c>
      <c r="I1008">
        <f>VLOOKUP(Table46[[#This Row],[Visitor]],'NHL Model'!$A$6:$B$38,2,FALSE)</f>
        <v>-0.61980804137564283</v>
      </c>
      <c r="J1008">
        <f>($B$1+Table46[[#This Row],[Home Differential]])-Table46[[#This Row],[Away Differential]]</f>
        <v>0.78174289312776934</v>
      </c>
      <c r="K1008" t="str">
        <f>IF(Table46[[#This Row],[HomeIce Differential]]&gt;0,Table46[[#This Row],[Home]],Table46[[#This Row],[Visitor]])</f>
        <v>Vegas Golden Knights</v>
      </c>
      <c r="L100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0.64390848850186078</v>
      </c>
      <c r="M1008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008" t="str">
        <f>IF(OR((NHL2025_26Results[[#This Row],[Winning Team]]="")),"-",IF(Table46[[#This Row],[Predicted Winner]]=NHL2025_26Results[[#This Row],[Winning Team]],"YES","NO"))</f>
        <v>-</v>
      </c>
      <c r="O1008" t="str">
        <f>IF(OR((NHL2025_26Results[[#This Row],[Winning Team]]="")),"-",IF(Table46[[#This Row],[Prob Winner]]=NHL2025_26Results[[#This Row],[Winning Team]],"YES","NO"))</f>
        <v>-</v>
      </c>
      <c r="P1008" t="str">
        <f>IF(Table46[[#This Row],[Locked Prediction]]&lt;&gt;Table46[[#This Row],[Prob Winner]], "Changed", "Same")</f>
        <v>Changed</v>
      </c>
      <c r="Q100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09" spans="4:17" x14ac:dyDescent="0.2">
      <c r="D1009" s="1">
        <v>46090</v>
      </c>
      <c r="E1009" s="2">
        <v>0.85416666666666663</v>
      </c>
      <c r="F1009" t="s">
        <v>10</v>
      </c>
      <c r="G1009">
        <f>VLOOKUP(Table46[[#This Row],[Home]],'NHL Model'!$A$6:$B$38,2,FALSE)</f>
        <v>0.30570968833820172</v>
      </c>
      <c r="H1009" t="s">
        <v>55</v>
      </c>
      <c r="I1009">
        <f>VLOOKUP(Table46[[#This Row],[Visitor]],'NHL Model'!$A$6:$B$38,2,FALSE)</f>
        <v>-0.12212311954851815</v>
      </c>
      <c r="J1009">
        <f>($B$1+Table46[[#This Row],[Home Differential]])-Table46[[#This Row],[Away Differential]]</f>
        <v>0.59040511754903824</v>
      </c>
      <c r="K1009" t="str">
        <f>IF(Table46[[#This Row],[HomeIce Differential]]&gt;0,Table46[[#This Row],[Home]],Table46[[#This Row],[Visitor]])</f>
        <v>Chicago Blackhawks</v>
      </c>
      <c r="L100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0.61847606151279355</v>
      </c>
      <c r="M1009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009" t="str">
        <f>IF(OR((NHL2025_26Results[[#This Row],[Winning Team]]="")),"-",IF(Table46[[#This Row],[Predicted Winner]]=NHL2025_26Results[[#This Row],[Winning Team]],"YES","NO"))</f>
        <v>-</v>
      </c>
      <c r="O1009" t="str">
        <f>IF(OR((NHL2025_26Results[[#This Row],[Winning Team]]="")),"-",IF(Table46[[#This Row],[Prob Winner]]=NHL2025_26Results[[#This Row],[Winning Team]],"YES","NO"))</f>
        <v>-</v>
      </c>
      <c r="P1009" t="str">
        <f>IF(Table46[[#This Row],[Locked Prediction]]&lt;&gt;Table46[[#This Row],[Prob Winner]], "Changed", "Same")</f>
        <v>Changed</v>
      </c>
      <c r="Q100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10" spans="4:17" x14ac:dyDescent="0.2">
      <c r="D1010" s="1">
        <v>46090</v>
      </c>
      <c r="E1010" s="2">
        <v>0.79166666666666663</v>
      </c>
      <c r="F1010" t="s">
        <v>27</v>
      </c>
      <c r="G1010">
        <f>VLOOKUP(Table46[[#This Row],[Home]],'NHL Model'!$A$6:$B$38,2,FALSE)</f>
        <v>-0.51358590497437617</v>
      </c>
      <c r="H1010" t="s">
        <v>15</v>
      </c>
      <c r="I1010">
        <f>VLOOKUP(Table46[[#This Row],[Visitor]],'NHL Model'!$A$6:$B$38,2,FALSE)</f>
        <v>-0.30719665303039001</v>
      </c>
      <c r="J1010">
        <f>($B$1+Table46[[#This Row],[Home Differential]])-Table46[[#This Row],[Away Differential]]</f>
        <v>-4.381694228166777E-2</v>
      </c>
      <c r="K1010" t="str">
        <f>IF(Table46[[#This Row],[HomeIce Differential]]&gt;0,Table46[[#This Row],[Home]],Table46[[#This Row],[Visitor]])</f>
        <v>New York Rangers</v>
      </c>
      <c r="L10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0.60582410442523482</v>
      </c>
      <c r="M1010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010" t="str">
        <f>IF(OR((NHL2025_26Results[[#This Row],[Winning Team]]="")),"-",IF(Table46[[#This Row],[Predicted Winner]]=NHL2025_26Results[[#This Row],[Winning Team]],"YES","NO"))</f>
        <v>-</v>
      </c>
      <c r="O1010" t="str">
        <f>IF(OR((NHL2025_26Results[[#This Row],[Winning Team]]="")),"-",IF(Table46[[#This Row],[Prob Winner]]=NHL2025_26Results[[#This Row],[Winning Team]],"YES","NO"))</f>
        <v>-</v>
      </c>
      <c r="P1010" t="str">
        <f>IF(Table46[[#This Row],[Locked Prediction]]&lt;&gt;Table46[[#This Row],[Prob Winner]], "Changed", "Same")</f>
        <v>Changed</v>
      </c>
      <c r="Q101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11" spans="4:17" x14ac:dyDescent="0.2">
      <c r="D1011" s="1">
        <v>46090</v>
      </c>
      <c r="E1011" s="2">
        <v>0.875</v>
      </c>
      <c r="F1011" t="s">
        <v>38</v>
      </c>
      <c r="G1011">
        <f>VLOOKUP(Table46[[#This Row],[Home]],'NHL Model'!$A$6:$B$38,2,FALSE)</f>
        <v>-0.6902088310934803</v>
      </c>
      <c r="H1011" t="s">
        <v>36</v>
      </c>
      <c r="I1011">
        <f>VLOOKUP(Table46[[#This Row],[Visitor]],'NHL Model'!$A$6:$B$38,2,FALSE)</f>
        <v>-0.40651947573390851</v>
      </c>
      <c r="J1011">
        <f>($B$1+Table46[[#This Row],[Home Differential]])-Table46[[#This Row],[Away Differential]]</f>
        <v>-0.1211170456972534</v>
      </c>
      <c r="K1011" t="str">
        <f>IF(Table46[[#This Row],[HomeIce Differential]]&gt;0,Table46[[#This Row],[Home]],Table46[[#This Row],[Visitor]])</f>
        <v>Ottawa Senators</v>
      </c>
      <c r="L10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0.47609875735468371</v>
      </c>
      <c r="M1011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1011" t="str">
        <f>IF(OR((NHL2025_26Results[[#This Row],[Winning Team]]="")),"-",IF(Table46[[#This Row],[Predicted Winner]]=NHL2025_26Results[[#This Row],[Winning Team]],"YES","NO"))</f>
        <v>-</v>
      </c>
      <c r="O1011" t="str">
        <f>IF(OR((NHL2025_26Results[[#This Row],[Winning Team]]="")),"-",IF(Table46[[#This Row],[Prob Winner]]=NHL2025_26Results[[#This Row],[Winning Team]],"YES","NO"))</f>
        <v>-</v>
      </c>
      <c r="P1011" t="str">
        <f>IF(Table46[[#This Row],[Locked Prediction]]&lt;&gt;Table46[[#This Row],[Prob Winner]], "Changed", "Same")</f>
        <v>Changed</v>
      </c>
      <c r="Q101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12" spans="4:17" x14ac:dyDescent="0.2">
      <c r="D1012" s="1">
        <v>46090</v>
      </c>
      <c r="E1012" s="2">
        <v>0.79166666666666663</v>
      </c>
      <c r="F1012" t="s">
        <v>22</v>
      </c>
      <c r="G1012">
        <f>VLOOKUP(Table46[[#This Row],[Home]],'NHL Model'!$A$6:$B$38,2,FALSE)</f>
        <v>-6.1308839486784707E-2</v>
      </c>
      <c r="H1012" t="s">
        <v>16</v>
      </c>
      <c r="I1012">
        <f>VLOOKUP(Table46[[#This Row],[Visitor]],'NHL Model'!$A$6:$B$38,2,FALSE)</f>
        <v>-1.3903684122795328</v>
      </c>
      <c r="J1012">
        <f>($B$1+Table46[[#This Row],[Home Differential]])-Table46[[#This Row],[Away Differential]]</f>
        <v>1.4916318824550665</v>
      </c>
      <c r="K1012" t="str">
        <f>IF(Table46[[#This Row],[HomeIce Differential]]&gt;0,Table46[[#This Row],[Home]],Table46[[#This Row],[Visitor]])</f>
        <v>Washington Capitals</v>
      </c>
      <c r="L10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0.73826622751498283</v>
      </c>
      <c r="M1012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1012" t="str">
        <f>IF(OR((NHL2025_26Results[[#This Row],[Winning Team]]="")),"-",IF(Table46[[#This Row],[Predicted Winner]]=NHL2025_26Results[[#This Row],[Winning Team]],"YES","NO"))</f>
        <v>-</v>
      </c>
      <c r="O1012" t="str">
        <f>IF(OR((NHL2025_26Results[[#This Row],[Winning Team]]="")),"-",IF(Table46[[#This Row],[Prob Winner]]=NHL2025_26Results[[#This Row],[Winning Team]],"YES","NO"))</f>
        <v>-</v>
      </c>
      <c r="P1012" t="str">
        <f>IF(Table46[[#This Row],[Locked Prediction]]&lt;&gt;Table46[[#This Row],[Prob Winner]], "Changed", "Same")</f>
        <v>Changed</v>
      </c>
      <c r="Q101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13" spans="4:17" x14ac:dyDescent="0.2">
      <c r="D1013" s="1">
        <v>46091</v>
      </c>
      <c r="E1013" s="2">
        <v>0.79166666666666663</v>
      </c>
      <c r="F1013" t="s">
        <v>21</v>
      </c>
      <c r="G1013">
        <f>VLOOKUP(Table46[[#This Row],[Home]],'NHL Model'!$A$6:$B$38,2,FALSE)</f>
        <v>4.029141914856392E-2</v>
      </c>
      <c r="H1013" t="s">
        <v>13</v>
      </c>
      <c r="I1013">
        <f>VLOOKUP(Table46[[#This Row],[Visitor]],'NHL Model'!$A$6:$B$38,2,FALSE)</f>
        <v>-7.5459708298993802E-2</v>
      </c>
      <c r="J1013">
        <f>($B$1+Table46[[#This Row],[Home Differential]])-Table46[[#This Row],[Away Differential]]</f>
        <v>0.27832343710987612</v>
      </c>
      <c r="K1013" t="str">
        <f>IF(Table46[[#This Row],[HomeIce Differential]]&gt;0,Table46[[#This Row],[Home]],Table46[[#This Row],[Visitor]])</f>
        <v>Boston Bruins</v>
      </c>
      <c r="L10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0.52930216698595867</v>
      </c>
      <c r="M1013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013" t="str">
        <f>IF(OR((NHL2025_26Results[[#This Row],[Winning Team]]="")),"-",IF(Table46[[#This Row],[Predicted Winner]]=NHL2025_26Results[[#This Row],[Winning Team]],"YES","NO"))</f>
        <v>-</v>
      </c>
      <c r="O1013" t="str">
        <f>IF(OR((NHL2025_26Results[[#This Row],[Winning Team]]="")),"-",IF(Table46[[#This Row],[Prob Winner]]=NHL2025_26Results[[#This Row],[Winning Team]],"YES","NO"))</f>
        <v>-</v>
      </c>
      <c r="P1013" t="str">
        <f>IF(Table46[[#This Row],[Locked Prediction]]&lt;&gt;Table46[[#This Row],[Prob Winner]], "Changed", "Same")</f>
        <v>Changed</v>
      </c>
      <c r="Q101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14" spans="4:17" x14ac:dyDescent="0.2">
      <c r="D1014" s="1">
        <v>46091</v>
      </c>
      <c r="E1014" s="2">
        <v>0.79166666666666663</v>
      </c>
      <c r="F1014" t="s">
        <v>23</v>
      </c>
      <c r="G1014">
        <f>VLOOKUP(Table46[[#This Row],[Home]],'NHL Model'!$A$6:$B$38,2,FALSE)</f>
        <v>-0.8683412362501769</v>
      </c>
      <c r="H1014" t="s">
        <v>33</v>
      </c>
      <c r="I1014">
        <f>VLOOKUP(Table46[[#This Row],[Visitor]],'NHL Model'!$A$6:$B$38,2,FALSE)</f>
        <v>-0.39418177254008485</v>
      </c>
      <c r="J1014">
        <f>($B$1+Table46[[#This Row],[Home Differential]])-Table46[[#This Row],[Away Differential]]</f>
        <v>-0.31158715404777365</v>
      </c>
      <c r="K1014" t="str">
        <f>IF(Table46[[#This Row],[HomeIce Differential]]&gt;0,Table46[[#This Row],[Home]],Table46[[#This Row],[Visitor]])</f>
        <v>San Jose Sharks</v>
      </c>
      <c r="L101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0.50141585487801676</v>
      </c>
      <c r="M1014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1014" t="str">
        <f>IF(OR((NHL2025_26Results[[#This Row],[Winning Team]]="")),"-",IF(Table46[[#This Row],[Predicted Winner]]=NHL2025_26Results[[#This Row],[Winning Team]],"YES","NO"))</f>
        <v>-</v>
      </c>
      <c r="O1014" t="str">
        <f>IF(OR((NHL2025_26Results[[#This Row],[Winning Team]]="")),"-",IF(Table46[[#This Row],[Prob Winner]]=NHL2025_26Results[[#This Row],[Winning Team]],"YES","NO"))</f>
        <v>-</v>
      </c>
      <c r="P1014" t="str">
        <f>IF(Table46[[#This Row],[Locked Prediction]]&lt;&gt;Table46[[#This Row],[Prob Winner]], "Changed", "Same")</f>
        <v>Changed</v>
      </c>
      <c r="Q101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15" spans="4:17" x14ac:dyDescent="0.2">
      <c r="D1015" s="1">
        <v>46091</v>
      </c>
      <c r="E1015" s="2">
        <v>0.79166666666666663</v>
      </c>
      <c r="F1015" t="s">
        <v>25</v>
      </c>
      <c r="G1015">
        <f>VLOOKUP(Table46[[#This Row],[Home]],'NHL Model'!$A$6:$B$38,2,FALSE)</f>
        <v>0.67193921242367816</v>
      </c>
      <c r="H1015" t="s">
        <v>14</v>
      </c>
      <c r="I1015">
        <f>VLOOKUP(Table46[[#This Row],[Visitor]],'NHL Model'!$A$6:$B$38,2,FALSE)</f>
        <v>0.26289091192875702</v>
      </c>
      <c r="J1015">
        <f>($B$1+Table46[[#This Row],[Home Differential]])-Table46[[#This Row],[Away Differential]]</f>
        <v>0.57162061015723953</v>
      </c>
      <c r="K1015" t="str">
        <f>IF(Table46[[#This Row],[HomeIce Differential]]&gt;0,Table46[[#This Row],[Home]],Table46[[#This Row],[Visitor]])</f>
        <v>Carolina Hurricanes</v>
      </c>
      <c r="L101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0.667695219788637</v>
      </c>
      <c r="M1015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015" t="str">
        <f>IF(OR((NHL2025_26Results[[#This Row],[Winning Team]]="")),"-",IF(Table46[[#This Row],[Predicted Winner]]=NHL2025_26Results[[#This Row],[Winning Team]],"YES","NO"))</f>
        <v>-</v>
      </c>
      <c r="O1015" t="str">
        <f>IF(OR((NHL2025_26Results[[#This Row],[Winning Team]]="")),"-",IF(Table46[[#This Row],[Prob Winner]]=NHL2025_26Results[[#This Row],[Winning Team]],"YES","NO"))</f>
        <v>-</v>
      </c>
      <c r="P1015" t="str">
        <f>IF(Table46[[#This Row],[Locked Prediction]]&lt;&gt;Table46[[#This Row],[Prob Winner]], "Changed", "Same")</f>
        <v>Changed</v>
      </c>
      <c r="Q101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16" spans="4:17" x14ac:dyDescent="0.2">
      <c r="D1016" s="1">
        <v>46091</v>
      </c>
      <c r="E1016" s="2">
        <v>0.91666666666666663</v>
      </c>
      <c r="F1016" t="s">
        <v>12</v>
      </c>
      <c r="G1016">
        <f>VLOOKUP(Table46[[#This Row],[Home]],'NHL Model'!$A$6:$B$38,2,FALSE)</f>
        <v>1.5475013591489768</v>
      </c>
      <c r="H1016" t="s">
        <v>17</v>
      </c>
      <c r="I1016">
        <f>VLOOKUP(Table46[[#This Row],[Visitor]],'NHL Model'!$A$6:$B$38,2,FALSE)</f>
        <v>-0.61980804137564283</v>
      </c>
      <c r="J1016">
        <f>($B$1+Table46[[#This Row],[Home Differential]])-Table46[[#This Row],[Away Differential]]</f>
        <v>2.329881710186938</v>
      </c>
      <c r="K1016" t="str">
        <f>IF(Table46[[#This Row],[HomeIce Differential]]&gt;0,Table46[[#This Row],[Home]],Table46[[#This Row],[Visitor]])</f>
        <v>Colorado Avalanche</v>
      </c>
      <c r="L101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0.93805180936680144</v>
      </c>
      <c r="M1016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016" t="str">
        <f>IF(OR((NHL2025_26Results[[#This Row],[Winning Team]]="")),"-",IF(Table46[[#This Row],[Predicted Winner]]=NHL2025_26Results[[#This Row],[Winning Team]],"YES","NO"))</f>
        <v>-</v>
      </c>
      <c r="O1016" t="str">
        <f>IF(OR((NHL2025_26Results[[#This Row],[Winning Team]]="")),"-",IF(Table46[[#This Row],[Prob Winner]]=NHL2025_26Results[[#This Row],[Winning Team]],"YES","NO"))</f>
        <v>-</v>
      </c>
      <c r="P1016" t="str">
        <f>IF(Table46[[#This Row],[Locked Prediction]]&lt;&gt;Table46[[#This Row],[Prob Winner]], "Changed", "Same")</f>
        <v>Changed</v>
      </c>
      <c r="Q101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17" spans="4:17" x14ac:dyDescent="0.2">
      <c r="D1017" s="1">
        <v>46091</v>
      </c>
      <c r="E1017" s="2">
        <v>0.83333333333333337</v>
      </c>
      <c r="F1017" t="s">
        <v>39</v>
      </c>
      <c r="G1017">
        <f>VLOOKUP(Table46[[#This Row],[Home]],'NHL Model'!$A$6:$B$38,2,FALSE)</f>
        <v>0.19809534061227302</v>
      </c>
      <c r="H1017" t="s">
        <v>20</v>
      </c>
      <c r="I1017">
        <f>VLOOKUP(Table46[[#This Row],[Visitor]],'NHL Model'!$A$6:$B$38,2,FALSE)</f>
        <v>-6.3745791019188943E-4</v>
      </c>
      <c r="J1017">
        <f>($B$1+Table46[[#This Row],[Home Differential]])-Table46[[#This Row],[Away Differential]]</f>
        <v>0.36130510818478329</v>
      </c>
      <c r="K1017" t="str">
        <f>IF(Table46[[#This Row],[HomeIce Differential]]&gt;0,Table46[[#This Row],[Home]],Table46[[#This Row],[Visitor]])</f>
        <v>Dallas Stars</v>
      </c>
      <c r="L101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0.59347886138951111</v>
      </c>
      <c r="M1017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017" t="str">
        <f>IF(OR((NHL2025_26Results[[#This Row],[Winning Team]]="")),"-",IF(Table46[[#This Row],[Predicted Winner]]=NHL2025_26Results[[#This Row],[Winning Team]],"YES","NO"))</f>
        <v>-</v>
      </c>
      <c r="O1017" t="str">
        <f>IF(OR((NHL2025_26Results[[#This Row],[Winning Team]]="")),"-",IF(Table46[[#This Row],[Prob Winner]]=NHL2025_26Results[[#This Row],[Winning Team]],"YES","NO"))</f>
        <v>-</v>
      </c>
      <c r="P1017" t="str">
        <f>IF(Table46[[#This Row],[Locked Prediction]]&lt;&gt;Table46[[#This Row],[Prob Winner]], "Changed", "Same")</f>
        <v>Changed</v>
      </c>
      <c r="Q101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18" spans="4:17" x14ac:dyDescent="0.2">
      <c r="D1018" s="1">
        <v>46091</v>
      </c>
      <c r="E1018" s="2">
        <v>0.79166666666666663</v>
      </c>
      <c r="F1018" t="s">
        <v>11</v>
      </c>
      <c r="G1018">
        <f>VLOOKUP(Table46[[#This Row],[Home]],'NHL Model'!$A$6:$B$38,2,FALSE)</f>
        <v>-0.28105923893144158</v>
      </c>
      <c r="H1018" t="s">
        <v>26</v>
      </c>
      <c r="I1018">
        <f>VLOOKUP(Table46[[#This Row],[Visitor]],'NHL Model'!$A$6:$B$38,2,FALSE)</f>
        <v>-0.513643833119658</v>
      </c>
      <c r="J1018">
        <f>($B$1+Table46[[#This Row],[Home Differential]])-Table46[[#This Row],[Away Differential]]</f>
        <v>0.39515690385053481</v>
      </c>
      <c r="K1018" t="str">
        <f>IF(Table46[[#This Row],[HomeIce Differential]]&gt;0,Table46[[#This Row],[Home]],Table46[[#This Row],[Visitor]])</f>
        <v>Florida Panthers</v>
      </c>
      <c r="L101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0.59797840842936778</v>
      </c>
      <c r="M1018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1018" t="str">
        <f>IF(OR((NHL2025_26Results[[#This Row],[Winning Team]]="")),"-",IF(Table46[[#This Row],[Predicted Winner]]=NHL2025_26Results[[#This Row],[Winning Team]],"YES","NO"))</f>
        <v>-</v>
      </c>
      <c r="O1018" t="str">
        <f>IF(OR((NHL2025_26Results[[#This Row],[Winning Team]]="")),"-",IF(Table46[[#This Row],[Prob Winner]]=NHL2025_26Results[[#This Row],[Winning Team]],"YES","NO"))</f>
        <v>-</v>
      </c>
      <c r="P1018" t="str">
        <f>IF(Table46[[#This Row],[Locked Prediction]]&lt;&gt;Table46[[#This Row],[Prob Winner]], "Changed", "Same")</f>
        <v>Changed</v>
      </c>
      <c r="Q101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19" spans="4:17" x14ac:dyDescent="0.2">
      <c r="D1019" s="1">
        <v>46091</v>
      </c>
      <c r="E1019" s="2">
        <v>0.83333333333333337</v>
      </c>
      <c r="F1019" t="s">
        <v>34</v>
      </c>
      <c r="G1019">
        <f>VLOOKUP(Table46[[#This Row],[Home]],'NHL Model'!$A$6:$B$38,2,FALSE)</f>
        <v>-0.53650300840565446</v>
      </c>
      <c r="H1019" t="s">
        <v>55</v>
      </c>
      <c r="I1019">
        <f>VLOOKUP(Table46[[#This Row],[Visitor]],'NHL Model'!$A$6:$B$38,2,FALSE)</f>
        <v>-0.12212311954851815</v>
      </c>
      <c r="J1019">
        <f>($B$1+Table46[[#This Row],[Home Differential]])-Table46[[#This Row],[Away Differential]]</f>
        <v>-0.25180757919481789</v>
      </c>
      <c r="K1019" t="str">
        <f>IF(Table46[[#This Row],[HomeIce Differential]]&gt;0,Table46[[#This Row],[Home]],Table46[[#This Row],[Visitor]])</f>
        <v>Utah Mammoth</v>
      </c>
      <c r="L101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0.49347001319418415</v>
      </c>
      <c r="M1019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1019" t="str">
        <f>IF(OR((NHL2025_26Results[[#This Row],[Winning Team]]="")),"-",IF(Table46[[#This Row],[Predicted Winner]]=NHL2025_26Results[[#This Row],[Winning Team]],"YES","NO"))</f>
        <v>-</v>
      </c>
      <c r="O1019" t="str">
        <f>IF(OR((NHL2025_26Results[[#This Row],[Winning Team]]="")),"-",IF(Table46[[#This Row],[Prob Winner]]=NHL2025_26Results[[#This Row],[Winning Team]],"YES","NO"))</f>
        <v>-</v>
      </c>
      <c r="P1019" t="str">
        <f>IF(Table46[[#This Row],[Locked Prediction]]&lt;&gt;Table46[[#This Row],[Prob Winner]], "Changed", "Same")</f>
        <v>Changed</v>
      </c>
      <c r="Q101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20" spans="4:17" x14ac:dyDescent="0.2">
      <c r="D1020" s="1">
        <v>46091</v>
      </c>
      <c r="E1020" s="2">
        <v>0.79166666666666663</v>
      </c>
      <c r="F1020" t="s">
        <v>18</v>
      </c>
      <c r="G1020">
        <f>VLOOKUP(Table46[[#This Row],[Home]],'NHL Model'!$A$6:$B$38,2,FALSE)</f>
        <v>-0.52437726201848234</v>
      </c>
      <c r="H1020" t="s">
        <v>19</v>
      </c>
      <c r="I1020">
        <f>VLOOKUP(Table46[[#This Row],[Visitor]],'NHL Model'!$A$6:$B$38,2,FALSE)</f>
        <v>-0.635565543477981</v>
      </c>
      <c r="J1020">
        <f>($B$1+Table46[[#This Row],[Home Differential]])-Table46[[#This Row],[Away Differential]]</f>
        <v>0.27376059112181705</v>
      </c>
      <c r="K1020" t="str">
        <f>IF(Table46[[#This Row],[HomeIce Differential]]&gt;0,Table46[[#This Row],[Home]],Table46[[#This Row],[Visitor]])</f>
        <v>Montreal Canadiens</v>
      </c>
      <c r="L102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0.57638798572383654</v>
      </c>
      <c r="M1020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1020" t="str">
        <f>IF(OR((NHL2025_26Results[[#This Row],[Winning Team]]="")),"-",IF(Table46[[#This Row],[Predicted Winner]]=NHL2025_26Results[[#This Row],[Winning Team]],"YES","NO"))</f>
        <v>-</v>
      </c>
      <c r="O1020" t="str">
        <f>IF(OR((NHL2025_26Results[[#This Row],[Winning Team]]="")),"-",IF(Table46[[#This Row],[Prob Winner]]=NHL2025_26Results[[#This Row],[Winning Team]],"YES","NO"))</f>
        <v>-</v>
      </c>
      <c r="P1020" t="str">
        <f>IF(Table46[[#This Row],[Locked Prediction]]&lt;&gt;Table46[[#This Row],[Prob Winner]], "Changed", "Same")</f>
        <v>Changed</v>
      </c>
      <c r="Q102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21" spans="4:17" x14ac:dyDescent="0.2">
      <c r="D1021" s="1">
        <v>46091</v>
      </c>
      <c r="E1021" s="2">
        <v>0.79166666666666663</v>
      </c>
      <c r="F1021" t="s">
        <v>15</v>
      </c>
      <c r="G1021">
        <f>VLOOKUP(Table46[[#This Row],[Home]],'NHL Model'!$A$6:$B$38,2,FALSE)</f>
        <v>-0.30719665303039001</v>
      </c>
      <c r="H1021" t="s">
        <v>16</v>
      </c>
      <c r="I1021">
        <f>VLOOKUP(Table46[[#This Row],[Visitor]],'NHL Model'!$A$6:$B$38,2,FALSE)</f>
        <v>-1.3903684122795328</v>
      </c>
      <c r="J1021">
        <f>($B$1+Table46[[#This Row],[Home Differential]])-Table46[[#This Row],[Away Differential]]</f>
        <v>1.2457440689114612</v>
      </c>
      <c r="K1021" t="str">
        <f>IF(Table46[[#This Row],[HomeIce Differential]]&gt;0,Table46[[#This Row],[Home]],Table46[[#This Row],[Visitor]])</f>
        <v>New York Rangers</v>
      </c>
      <c r="L102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0.70558306368842338</v>
      </c>
      <c r="M1021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021" t="str">
        <f>IF(OR((NHL2025_26Results[[#This Row],[Winning Team]]="")),"-",IF(Table46[[#This Row],[Predicted Winner]]=NHL2025_26Results[[#This Row],[Winning Team]],"YES","NO"))</f>
        <v>-</v>
      </c>
      <c r="O1021" t="str">
        <f>IF(OR((NHL2025_26Results[[#This Row],[Winning Team]]="")),"-",IF(Table46[[#This Row],[Prob Winner]]=NHL2025_26Results[[#This Row],[Winning Team]],"YES","NO"))</f>
        <v>-</v>
      </c>
      <c r="P1021" t="str">
        <f>IF(Table46[[#This Row],[Locked Prediction]]&lt;&gt;Table46[[#This Row],[Prob Winner]], "Changed", "Same")</f>
        <v>Changed</v>
      </c>
      <c r="Q102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22" spans="4:17" x14ac:dyDescent="0.2">
      <c r="D1022" s="1">
        <v>46091</v>
      </c>
      <c r="E1022" s="2">
        <v>0.91666666666666663</v>
      </c>
      <c r="F1022" t="s">
        <v>32</v>
      </c>
      <c r="G1022">
        <f>VLOOKUP(Table46[[#This Row],[Home]],'NHL Model'!$A$6:$B$38,2,FALSE)</f>
        <v>-0.361361309178443</v>
      </c>
      <c r="H1022" t="s">
        <v>29</v>
      </c>
      <c r="I1022">
        <f>VLOOKUP(Table46[[#This Row],[Visitor]],'NHL Model'!$A$6:$B$38,2,FALSE)</f>
        <v>-1.3516250707060606</v>
      </c>
      <c r="J1022">
        <f>($B$1+Table46[[#This Row],[Home Differential]])-Table46[[#This Row],[Away Differential]]</f>
        <v>1.1528360711899359</v>
      </c>
      <c r="K1022" t="str">
        <f>IF(Table46[[#This Row],[HomeIce Differential]]&gt;0,Table46[[#This Row],[Home]],Table46[[#This Row],[Visitor]])</f>
        <v>Seattle Kraken</v>
      </c>
      <c r="L102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0.71927156080714449</v>
      </c>
      <c r="M1022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1022" t="str">
        <f>IF(OR((NHL2025_26Results[[#This Row],[Winning Team]]="")),"-",IF(Table46[[#This Row],[Predicted Winner]]=NHL2025_26Results[[#This Row],[Winning Team]],"YES","NO"))</f>
        <v>-</v>
      </c>
      <c r="O1022" t="str">
        <f>IF(OR((NHL2025_26Results[[#This Row],[Winning Team]]="")),"-",IF(Table46[[#This Row],[Prob Winner]]=NHL2025_26Results[[#This Row],[Winning Team]],"YES","NO"))</f>
        <v>-</v>
      </c>
      <c r="P1022" t="str">
        <f>IF(Table46[[#This Row],[Locked Prediction]]&lt;&gt;Table46[[#This Row],[Prob Winner]], "Changed", "Same")</f>
        <v>Changed</v>
      </c>
      <c r="Q102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23" spans="4:17" x14ac:dyDescent="0.2">
      <c r="D1023" s="1">
        <v>46091</v>
      </c>
      <c r="E1023" s="2">
        <v>0.8125</v>
      </c>
      <c r="F1023" t="s">
        <v>35</v>
      </c>
      <c r="G1023">
        <f>VLOOKUP(Table46[[#This Row],[Home]],'NHL Model'!$A$6:$B$38,2,FALSE)</f>
        <v>-1.6211574240381006</v>
      </c>
      <c r="H1023" t="s">
        <v>30</v>
      </c>
      <c r="I1023">
        <f>VLOOKUP(Table46[[#This Row],[Visitor]],'NHL Model'!$A$6:$B$38,2,FALSE)</f>
        <v>-6.4729560818359025E-2</v>
      </c>
      <c r="J1023">
        <f>($B$1+Table46[[#This Row],[Home Differential]])-Table46[[#This Row],[Away Differential]]</f>
        <v>-1.3938555535574231</v>
      </c>
      <c r="K1023" t="str">
        <f>IF(Table46[[#This Row],[HomeIce Differential]]&gt;0,Table46[[#This Row],[Home]],Table46[[#This Row],[Visitor]])</f>
        <v>New York Islanders</v>
      </c>
      <c r="L102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0.68778245785666514</v>
      </c>
      <c r="M1023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023" t="str">
        <f>IF(OR((NHL2025_26Results[[#This Row],[Winning Team]]="")),"-",IF(Table46[[#This Row],[Predicted Winner]]=NHL2025_26Results[[#This Row],[Winning Team]],"YES","NO"))</f>
        <v>-</v>
      </c>
      <c r="O1023" t="str">
        <f>IF(OR((NHL2025_26Results[[#This Row],[Winning Team]]="")),"-",IF(Table46[[#This Row],[Prob Winner]]=NHL2025_26Results[[#This Row],[Winning Team]],"YES","NO"))</f>
        <v>-</v>
      </c>
      <c r="P1023" t="str">
        <f>IF(Table46[[#This Row],[Locked Prediction]]&lt;&gt;Table46[[#This Row],[Prob Winner]], "Changed", "Same")</f>
        <v>Changed</v>
      </c>
      <c r="Q102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24" spans="4:17" x14ac:dyDescent="0.2">
      <c r="D1024" s="1">
        <v>46091</v>
      </c>
      <c r="E1024" s="2">
        <v>0.79166666666666663</v>
      </c>
      <c r="F1024" t="s">
        <v>37</v>
      </c>
      <c r="G1024">
        <f>VLOOKUP(Table46[[#This Row],[Home]],'NHL Model'!$A$6:$B$38,2,FALSE)</f>
        <v>-0.11309445867623392</v>
      </c>
      <c r="H1024" t="s">
        <v>28</v>
      </c>
      <c r="I1024">
        <f>VLOOKUP(Table46[[#This Row],[Visitor]],'NHL Model'!$A$6:$B$38,2,FALSE)</f>
        <v>-0.40822279081308277</v>
      </c>
      <c r="J1024">
        <f>($B$1+Table46[[#This Row],[Home Differential]])-Table46[[#This Row],[Away Differential]]</f>
        <v>0.45770064179916725</v>
      </c>
      <c r="K1024" t="str">
        <f>IF(Table46[[#This Row],[HomeIce Differential]]&gt;0,Table46[[#This Row],[Home]],Table46[[#This Row],[Visitor]])</f>
        <v>Tampa Bay Lightning</v>
      </c>
      <c r="L102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0.58006788370122975</v>
      </c>
      <c r="M1024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024" t="str">
        <f>IF(OR((NHL2025_26Results[[#This Row],[Winning Team]]="")),"-",IF(Table46[[#This Row],[Predicted Winner]]=NHL2025_26Results[[#This Row],[Winning Team]],"YES","NO"))</f>
        <v>-</v>
      </c>
      <c r="O1024" t="str">
        <f>IF(OR((NHL2025_26Results[[#This Row],[Winning Team]]="")),"-",IF(Table46[[#This Row],[Prob Winner]]=NHL2025_26Results[[#This Row],[Winning Team]],"YES","NO"))</f>
        <v>-</v>
      </c>
      <c r="P1024" t="str">
        <f>IF(Table46[[#This Row],[Locked Prediction]]&lt;&gt;Table46[[#This Row],[Prob Winner]], "Changed", "Same")</f>
        <v>Changed</v>
      </c>
      <c r="Q102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25" spans="4:17" x14ac:dyDescent="0.2">
      <c r="D1025" s="1">
        <v>46091</v>
      </c>
      <c r="E1025" s="2">
        <v>0.85416666666666663</v>
      </c>
      <c r="F1025" t="s">
        <v>40</v>
      </c>
      <c r="G1025">
        <f>VLOOKUP(Table46[[#This Row],[Home]],'NHL Model'!$A$6:$B$38,2,FALSE)</f>
        <v>0.105105258369765</v>
      </c>
      <c r="H1025" t="s">
        <v>31</v>
      </c>
      <c r="I1025">
        <f>VLOOKUP(Table46[[#This Row],[Visitor]],'NHL Model'!$A$6:$B$38,2,FALSE)</f>
        <v>0.51775546328552802</v>
      </c>
      <c r="J1025">
        <f>($B$1+Table46[[#This Row],[Home Differential]])-Table46[[#This Row],[Away Differential]]</f>
        <v>-0.25007789525344459</v>
      </c>
      <c r="K1025" t="str">
        <f>IF(Table46[[#This Row],[HomeIce Differential]]&gt;0,Table46[[#This Row],[Home]],Table46[[#This Row],[Visitor]])</f>
        <v>Anaheim Ducks</v>
      </c>
      <c r="L102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0.47768454976800512</v>
      </c>
      <c r="M1025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025" t="str">
        <f>IF(OR((NHL2025_26Results[[#This Row],[Winning Team]]="")),"-",IF(Table46[[#This Row],[Predicted Winner]]=NHL2025_26Results[[#This Row],[Winning Team]],"YES","NO"))</f>
        <v>-</v>
      </c>
      <c r="O1025" t="str">
        <f>IF(OR((NHL2025_26Results[[#This Row],[Winning Team]]="")),"-",IF(Table46[[#This Row],[Prob Winner]]=NHL2025_26Results[[#This Row],[Winning Team]],"YES","NO"))</f>
        <v>-</v>
      </c>
      <c r="P1025" t="str">
        <f>IF(Table46[[#This Row],[Locked Prediction]]&lt;&gt;Table46[[#This Row],[Prob Winner]], "Changed", "Same")</f>
        <v>Changed</v>
      </c>
      <c r="Q102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26" spans="4:17" x14ac:dyDescent="0.2">
      <c r="D1026" s="1">
        <v>46092</v>
      </c>
      <c r="E1026" s="2">
        <v>0.8125</v>
      </c>
      <c r="F1026" t="s">
        <v>36</v>
      </c>
      <c r="G1026">
        <f>VLOOKUP(Table46[[#This Row],[Home]],'NHL Model'!$A$6:$B$38,2,FALSE)</f>
        <v>-0.40651947573390851</v>
      </c>
      <c r="H1026" t="s">
        <v>18</v>
      </c>
      <c r="I1026">
        <f>VLOOKUP(Table46[[#This Row],[Visitor]],'NHL Model'!$A$6:$B$38,2,FALSE)</f>
        <v>-0.52437726201848234</v>
      </c>
      <c r="J1026">
        <f>($B$1+Table46[[#This Row],[Home Differential]])-Table46[[#This Row],[Away Differential]]</f>
        <v>0.28043009594689222</v>
      </c>
      <c r="K1026" t="str">
        <f>IF(Table46[[#This Row],[HomeIce Differential]]&gt;0,Table46[[#This Row],[Home]],Table46[[#This Row],[Visitor]])</f>
        <v>Ottawa Senators</v>
      </c>
      <c r="L102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0.50329390715313005</v>
      </c>
      <c r="M1026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1026" t="str">
        <f>IF(OR((NHL2025_26Results[[#This Row],[Winning Team]]="")),"-",IF(Table46[[#This Row],[Predicted Winner]]=NHL2025_26Results[[#This Row],[Winning Team]],"YES","NO"))</f>
        <v>-</v>
      </c>
      <c r="O1026" t="str">
        <f>IF(OR((NHL2025_26Results[[#This Row],[Winning Team]]="")),"-",IF(Table46[[#This Row],[Prob Winner]]=NHL2025_26Results[[#This Row],[Winning Team]],"YES","NO"))</f>
        <v>-</v>
      </c>
      <c r="P1026" t="str">
        <f>IF(Table46[[#This Row],[Locked Prediction]]&lt;&gt;Table46[[#This Row],[Prob Winner]], "Changed", "Same")</f>
        <v>Changed</v>
      </c>
      <c r="Q102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27" spans="4:17" x14ac:dyDescent="0.2">
      <c r="D1027" s="1">
        <v>46092</v>
      </c>
      <c r="E1027" s="2">
        <v>0.8125</v>
      </c>
      <c r="F1027" t="s">
        <v>27</v>
      </c>
      <c r="G1027">
        <f>VLOOKUP(Table46[[#This Row],[Home]],'NHL Model'!$A$6:$B$38,2,FALSE)</f>
        <v>-0.51358590497437617</v>
      </c>
      <c r="H1027" t="s">
        <v>22</v>
      </c>
      <c r="I1027">
        <f>VLOOKUP(Table46[[#This Row],[Visitor]],'NHL Model'!$A$6:$B$38,2,FALSE)</f>
        <v>-6.1308839486784707E-2</v>
      </c>
      <c r="J1027">
        <f>($B$1+Table46[[#This Row],[Home Differential]])-Table46[[#This Row],[Away Differential]]</f>
        <v>-0.28970475582527305</v>
      </c>
      <c r="K1027" t="str">
        <f>IF(Table46[[#This Row],[HomeIce Differential]]&gt;0,Table46[[#This Row],[Home]],Table46[[#This Row],[Visitor]])</f>
        <v>Washington Capitals</v>
      </c>
      <c r="L102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0.49601178904745435</v>
      </c>
      <c r="M1027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1027" t="str">
        <f>IF(OR((NHL2025_26Results[[#This Row],[Winning Team]]="")),"-",IF(Table46[[#This Row],[Predicted Winner]]=NHL2025_26Results[[#This Row],[Winning Team]],"YES","NO"))</f>
        <v>-</v>
      </c>
      <c r="O1027" t="str">
        <f>IF(OR((NHL2025_26Results[[#This Row],[Winning Team]]="")),"-",IF(Table46[[#This Row],[Prob Winner]]=NHL2025_26Results[[#This Row],[Winning Team]],"YES","NO"))</f>
        <v>-</v>
      </c>
      <c r="P1027" t="str">
        <f>IF(Table46[[#This Row],[Locked Prediction]]&lt;&gt;Table46[[#This Row],[Prob Winner]], "Changed", "Same")</f>
        <v>Changed</v>
      </c>
      <c r="Q102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28" spans="4:17" x14ac:dyDescent="0.2">
      <c r="D1028" s="1">
        <v>46093</v>
      </c>
      <c r="E1028" s="2">
        <v>0.79166666666666663</v>
      </c>
      <c r="F1028" t="s">
        <v>21</v>
      </c>
      <c r="G1028">
        <f>VLOOKUP(Table46[[#This Row],[Home]],'NHL Model'!$A$6:$B$38,2,FALSE)</f>
        <v>4.029141914856392E-2</v>
      </c>
      <c r="H1028" t="s">
        <v>33</v>
      </c>
      <c r="I1028">
        <f>VLOOKUP(Table46[[#This Row],[Visitor]],'NHL Model'!$A$6:$B$38,2,FALSE)</f>
        <v>-0.39418177254008485</v>
      </c>
      <c r="J1028">
        <f>($B$1+Table46[[#This Row],[Home Differential]])-Table46[[#This Row],[Away Differential]]</f>
        <v>0.59704550135096723</v>
      </c>
      <c r="K1028" t="str">
        <f>IF(Table46[[#This Row],[HomeIce Differential]]&gt;0,Table46[[#This Row],[Home]],Table46[[#This Row],[Visitor]])</f>
        <v>Boston Bruins</v>
      </c>
      <c r="L102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0.6919161219877068</v>
      </c>
      <c r="M1028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028" t="str">
        <f>IF(OR((NHL2025_26Results[[#This Row],[Winning Team]]="")),"-",IF(Table46[[#This Row],[Predicted Winner]]=NHL2025_26Results[[#This Row],[Winning Team]],"YES","NO"))</f>
        <v>-</v>
      </c>
      <c r="O1028" t="str">
        <f>IF(OR((NHL2025_26Results[[#This Row],[Winning Team]]="")),"-",IF(Table46[[#This Row],[Prob Winner]]=NHL2025_26Results[[#This Row],[Winning Team]],"YES","NO"))</f>
        <v>-</v>
      </c>
      <c r="P1028" t="str">
        <f>IF(Table46[[#This Row],[Locked Prediction]]&lt;&gt;Table46[[#This Row],[Prob Winner]], "Changed", "Same")</f>
        <v>Changed</v>
      </c>
      <c r="Q102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29" spans="4:17" x14ac:dyDescent="0.2">
      <c r="D1029" s="1">
        <v>46093</v>
      </c>
      <c r="E1029" s="2">
        <v>0.79166666666666663</v>
      </c>
      <c r="F1029" t="s">
        <v>23</v>
      </c>
      <c r="G1029">
        <f>VLOOKUP(Table46[[#This Row],[Home]],'NHL Model'!$A$6:$B$38,2,FALSE)</f>
        <v>-0.8683412362501769</v>
      </c>
      <c r="H1029" t="s">
        <v>22</v>
      </c>
      <c r="I1029">
        <f>VLOOKUP(Table46[[#This Row],[Visitor]],'NHL Model'!$A$6:$B$38,2,FALSE)</f>
        <v>-6.1308839486784707E-2</v>
      </c>
      <c r="J1029">
        <f>($B$1+Table46[[#This Row],[Home Differential]])-Table46[[#This Row],[Away Differential]]</f>
        <v>-0.64446008710107383</v>
      </c>
      <c r="K1029" t="str">
        <f>IF(Table46[[#This Row],[HomeIce Differential]]&gt;0,Table46[[#This Row],[Home]],Table46[[#This Row],[Visitor]])</f>
        <v>Washington Capitals</v>
      </c>
      <c r="L102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0.54566099434882265</v>
      </c>
      <c r="M1029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1029" t="str">
        <f>IF(OR((NHL2025_26Results[[#This Row],[Winning Team]]="")),"-",IF(Table46[[#This Row],[Predicted Winner]]=NHL2025_26Results[[#This Row],[Winning Team]],"YES","NO"))</f>
        <v>-</v>
      </c>
      <c r="O1029" t="str">
        <f>IF(OR((NHL2025_26Results[[#This Row],[Winning Team]]="")),"-",IF(Table46[[#This Row],[Prob Winner]]=NHL2025_26Results[[#This Row],[Winning Team]],"YES","NO"))</f>
        <v>-</v>
      </c>
      <c r="P1029" t="str">
        <f>IF(Table46[[#This Row],[Locked Prediction]]&lt;&gt;Table46[[#This Row],[Prob Winner]], "Changed", "Same")</f>
        <v>Changed</v>
      </c>
      <c r="Q102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30" spans="4:17" x14ac:dyDescent="0.2">
      <c r="D1030" s="1">
        <v>46093</v>
      </c>
      <c r="E1030" s="2">
        <v>0.79166666666666663</v>
      </c>
      <c r="F1030" t="s">
        <v>25</v>
      </c>
      <c r="G1030">
        <f>VLOOKUP(Table46[[#This Row],[Home]],'NHL Model'!$A$6:$B$38,2,FALSE)</f>
        <v>0.67193921242367816</v>
      </c>
      <c r="H1030" t="s">
        <v>35</v>
      </c>
      <c r="I1030">
        <f>VLOOKUP(Table46[[#This Row],[Visitor]],'NHL Model'!$A$6:$B$38,2,FALSE)</f>
        <v>-1.6211574240381006</v>
      </c>
      <c r="J1030">
        <f>($B$1+Table46[[#This Row],[Home Differential]])-Table46[[#This Row],[Away Differential]]</f>
        <v>2.455668946124097</v>
      </c>
      <c r="K1030" t="str">
        <f>IF(Table46[[#This Row],[HomeIce Differential]]&gt;0,Table46[[#This Row],[Home]],Table46[[#This Row],[Visitor]])</f>
        <v>Carolina Hurricanes</v>
      </c>
      <c r="L103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0.91812105234272368</v>
      </c>
      <c r="M1030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030" t="str">
        <f>IF(OR((NHL2025_26Results[[#This Row],[Winning Team]]="")),"-",IF(Table46[[#This Row],[Predicted Winner]]=NHL2025_26Results[[#This Row],[Winning Team]],"YES","NO"))</f>
        <v>-</v>
      </c>
      <c r="O1030" t="str">
        <f>IF(OR((NHL2025_26Results[[#This Row],[Winning Team]]="")),"-",IF(Table46[[#This Row],[Prob Winner]]=NHL2025_26Results[[#This Row],[Winning Team]],"YES","NO"))</f>
        <v>-</v>
      </c>
      <c r="P1030" t="str">
        <f>IF(Table46[[#This Row],[Locked Prediction]]&lt;&gt;Table46[[#This Row],[Prob Winner]], "Changed", "Same")</f>
        <v>Changed</v>
      </c>
      <c r="Q103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31" spans="4:17" x14ac:dyDescent="0.2">
      <c r="D1031" s="1">
        <v>46093</v>
      </c>
      <c r="E1031" s="2">
        <v>0.83333333333333337</v>
      </c>
      <c r="F1031" t="s">
        <v>39</v>
      </c>
      <c r="G1031">
        <f>VLOOKUP(Table46[[#This Row],[Home]],'NHL Model'!$A$6:$B$38,2,FALSE)</f>
        <v>0.19809534061227302</v>
      </c>
      <c r="H1031" t="s">
        <v>17</v>
      </c>
      <c r="I1031">
        <f>VLOOKUP(Table46[[#This Row],[Visitor]],'NHL Model'!$A$6:$B$38,2,FALSE)</f>
        <v>-0.61980804137564283</v>
      </c>
      <c r="J1031">
        <f>($B$1+Table46[[#This Row],[Home Differential]])-Table46[[#This Row],[Away Differential]]</f>
        <v>0.98047569165023418</v>
      </c>
      <c r="K1031" t="str">
        <f>IF(Table46[[#This Row],[HomeIce Differential]]&gt;0,Table46[[#This Row],[Home]],Table46[[#This Row],[Visitor]])</f>
        <v>Dallas Stars</v>
      </c>
      <c r="L103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0.6963615904409024</v>
      </c>
      <c r="M1031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031" t="str">
        <f>IF(OR((NHL2025_26Results[[#This Row],[Winning Team]]="")),"-",IF(Table46[[#This Row],[Predicted Winner]]=NHL2025_26Results[[#This Row],[Winning Team]],"YES","NO"))</f>
        <v>-</v>
      </c>
      <c r="O1031" t="str">
        <f>IF(OR((NHL2025_26Results[[#This Row],[Winning Team]]="")),"-",IF(Table46[[#This Row],[Prob Winner]]=NHL2025_26Results[[#This Row],[Winning Team]],"YES","NO"))</f>
        <v>-</v>
      </c>
      <c r="P1031" t="str">
        <f>IF(Table46[[#This Row],[Locked Prediction]]&lt;&gt;Table46[[#This Row],[Prob Winner]], "Changed", "Same")</f>
        <v>Changed</v>
      </c>
      <c r="Q103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32" spans="4:17" x14ac:dyDescent="0.2">
      <c r="D1032" s="1">
        <v>46093</v>
      </c>
      <c r="E1032" s="2">
        <v>0.79166666666666663</v>
      </c>
      <c r="F1032" t="s">
        <v>11</v>
      </c>
      <c r="G1032">
        <f>VLOOKUP(Table46[[#This Row],[Home]],'NHL Model'!$A$6:$B$38,2,FALSE)</f>
        <v>-0.28105923893144158</v>
      </c>
      <c r="H1032" t="s">
        <v>28</v>
      </c>
      <c r="I1032">
        <f>VLOOKUP(Table46[[#This Row],[Visitor]],'NHL Model'!$A$6:$B$38,2,FALSE)</f>
        <v>-0.40822279081308277</v>
      </c>
      <c r="J1032">
        <f>($B$1+Table46[[#This Row],[Home Differential]])-Table46[[#This Row],[Away Differential]]</f>
        <v>0.28973586154395958</v>
      </c>
      <c r="K1032" t="str">
        <f>IF(Table46[[#This Row],[HomeIce Differential]]&gt;0,Table46[[#This Row],[Home]],Table46[[#This Row],[Visitor]])</f>
        <v>Florida Panthers</v>
      </c>
      <c r="L103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0.60993997422158241</v>
      </c>
      <c r="M1032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1032" t="str">
        <f>IF(OR((NHL2025_26Results[[#This Row],[Winning Team]]="")),"-",IF(Table46[[#This Row],[Predicted Winner]]=NHL2025_26Results[[#This Row],[Winning Team]],"YES","NO"))</f>
        <v>-</v>
      </c>
      <c r="O1032" t="str">
        <f>IF(OR((NHL2025_26Results[[#This Row],[Winning Team]]="")),"-",IF(Table46[[#This Row],[Prob Winner]]=NHL2025_26Results[[#This Row],[Winning Team]],"YES","NO"))</f>
        <v>-</v>
      </c>
      <c r="P1032" t="str">
        <f>IF(Table46[[#This Row],[Locked Prediction]]&lt;&gt;Table46[[#This Row],[Prob Winner]], "Changed", "Same")</f>
        <v>Changed</v>
      </c>
      <c r="Q103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33" spans="4:17" x14ac:dyDescent="0.2">
      <c r="D1033" s="1">
        <v>46093</v>
      </c>
      <c r="E1033" s="2">
        <v>0.83333333333333337</v>
      </c>
      <c r="F1033" t="s">
        <v>34</v>
      </c>
      <c r="G1033">
        <f>VLOOKUP(Table46[[#This Row],[Home]],'NHL Model'!$A$6:$B$38,2,FALSE)</f>
        <v>-0.53650300840565446</v>
      </c>
      <c r="H1033" t="s">
        <v>27</v>
      </c>
      <c r="I1033">
        <f>VLOOKUP(Table46[[#This Row],[Visitor]],'NHL Model'!$A$6:$B$38,2,FALSE)</f>
        <v>-0.51358590497437617</v>
      </c>
      <c r="J1033">
        <f>($B$1+Table46[[#This Row],[Home Differential]])-Table46[[#This Row],[Away Differential]]</f>
        <v>0.13965520623104011</v>
      </c>
      <c r="K1033" t="str">
        <f>IF(Table46[[#This Row],[HomeIce Differential]]&gt;0,Table46[[#This Row],[Home]],Table46[[#This Row],[Visitor]])</f>
        <v>Minnesota Wild</v>
      </c>
      <c r="L103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0.55856283123063999</v>
      </c>
      <c r="M1033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1033" t="str">
        <f>IF(OR((NHL2025_26Results[[#This Row],[Winning Team]]="")),"-",IF(Table46[[#This Row],[Predicted Winner]]=NHL2025_26Results[[#This Row],[Winning Team]],"YES","NO"))</f>
        <v>-</v>
      </c>
      <c r="O1033" t="str">
        <f>IF(OR((NHL2025_26Results[[#This Row],[Winning Team]]="")),"-",IF(Table46[[#This Row],[Prob Winner]]=NHL2025_26Results[[#This Row],[Winning Team]],"YES","NO"))</f>
        <v>-</v>
      </c>
      <c r="P1033" t="str">
        <f>IF(Table46[[#This Row],[Locked Prediction]]&lt;&gt;Table46[[#This Row],[Prob Winner]], "Changed", "Same")</f>
        <v>Changed</v>
      </c>
      <c r="Q103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34" spans="4:17" x14ac:dyDescent="0.2">
      <c r="D1034" s="1">
        <v>46093</v>
      </c>
      <c r="E1034" s="2">
        <v>0.79166666666666663</v>
      </c>
      <c r="F1034" t="s">
        <v>24</v>
      </c>
      <c r="G1034">
        <f>VLOOKUP(Table46[[#This Row],[Home]],'NHL Model'!$A$6:$B$38,2,FALSE)</f>
        <v>0.559441163373953</v>
      </c>
      <c r="H1034" t="s">
        <v>16</v>
      </c>
      <c r="I1034">
        <f>VLOOKUP(Table46[[#This Row],[Visitor]],'NHL Model'!$A$6:$B$38,2,FALSE)</f>
        <v>-1.3903684122795328</v>
      </c>
      <c r="J1034">
        <f>($B$1+Table46[[#This Row],[Home Differential]])-Table46[[#This Row],[Away Differential]]</f>
        <v>2.1123818853158043</v>
      </c>
      <c r="K1034" t="str">
        <f>IF(Table46[[#This Row],[HomeIce Differential]]&gt;0,Table46[[#This Row],[Home]],Table46[[#This Row],[Visitor]])</f>
        <v>New Jersey Devils</v>
      </c>
      <c r="L103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0.93620641263883209</v>
      </c>
      <c r="M1034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034" t="str">
        <f>IF(OR((NHL2025_26Results[[#This Row],[Winning Team]]="")),"-",IF(Table46[[#This Row],[Predicted Winner]]=NHL2025_26Results[[#This Row],[Winning Team]],"YES","NO"))</f>
        <v>-</v>
      </c>
      <c r="O1034" t="str">
        <f>IF(OR((NHL2025_26Results[[#This Row],[Winning Team]]="")),"-",IF(Table46[[#This Row],[Prob Winner]]=NHL2025_26Results[[#This Row],[Winning Team]],"YES","NO"))</f>
        <v>-</v>
      </c>
      <c r="P1034" t="str">
        <f>IF(Table46[[#This Row],[Locked Prediction]]&lt;&gt;Table46[[#This Row],[Prob Winner]], "Changed", "Same")</f>
        <v>Changed</v>
      </c>
      <c r="Q103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35" spans="4:17" x14ac:dyDescent="0.2">
      <c r="D1035" s="1">
        <v>46093</v>
      </c>
      <c r="E1035" s="2">
        <v>0.91666666666666663</v>
      </c>
      <c r="F1035" t="s">
        <v>32</v>
      </c>
      <c r="G1035">
        <f>VLOOKUP(Table46[[#This Row],[Home]],'NHL Model'!$A$6:$B$38,2,FALSE)</f>
        <v>-0.361361309178443</v>
      </c>
      <c r="H1035" t="s">
        <v>12</v>
      </c>
      <c r="I1035">
        <f>VLOOKUP(Table46[[#This Row],[Visitor]],'NHL Model'!$A$6:$B$38,2,FALSE)</f>
        <v>1.5475013591489768</v>
      </c>
      <c r="J1035">
        <f>($B$1+Table46[[#This Row],[Home Differential]])-Table46[[#This Row],[Away Differential]]</f>
        <v>-1.7462903586651013</v>
      </c>
      <c r="K1035" t="str">
        <f>IF(Table46[[#This Row],[HomeIce Differential]]&gt;0,Table46[[#This Row],[Home]],Table46[[#This Row],[Visitor]])</f>
        <v>Colorado Avalanche</v>
      </c>
      <c r="L103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0.73211517910736634</v>
      </c>
      <c r="M1035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035" t="str">
        <f>IF(OR((NHL2025_26Results[[#This Row],[Winning Team]]="")),"-",IF(Table46[[#This Row],[Predicted Winner]]=NHL2025_26Results[[#This Row],[Winning Team]],"YES","NO"))</f>
        <v>-</v>
      </c>
      <c r="O1035" t="str">
        <f>IF(OR((NHL2025_26Results[[#This Row],[Winning Team]]="")),"-",IF(Table46[[#This Row],[Prob Winner]]=NHL2025_26Results[[#This Row],[Winning Team]],"YES","NO"))</f>
        <v>-</v>
      </c>
      <c r="P1035" t="str">
        <f>IF(Table46[[#This Row],[Locked Prediction]]&lt;&gt;Table46[[#This Row],[Prob Winner]], "Changed", "Same")</f>
        <v>Changed</v>
      </c>
      <c r="Q103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36" spans="4:17" x14ac:dyDescent="0.2">
      <c r="D1036" s="1">
        <v>46093</v>
      </c>
      <c r="E1036" s="2">
        <v>0.79166666666666663</v>
      </c>
      <c r="F1036" t="s">
        <v>37</v>
      </c>
      <c r="G1036">
        <f>VLOOKUP(Table46[[#This Row],[Home]],'NHL Model'!$A$6:$B$38,2,FALSE)</f>
        <v>-0.11309445867623392</v>
      </c>
      <c r="H1036" t="s">
        <v>26</v>
      </c>
      <c r="I1036">
        <f>VLOOKUP(Table46[[#This Row],[Visitor]],'NHL Model'!$A$6:$B$38,2,FALSE)</f>
        <v>-0.513643833119658</v>
      </c>
      <c r="J1036">
        <f>($B$1+Table46[[#This Row],[Home Differential]])-Table46[[#This Row],[Away Differential]]</f>
        <v>0.56312168410574248</v>
      </c>
      <c r="K1036" t="str">
        <f>IF(Table46[[#This Row],[HomeIce Differential]]&gt;0,Table46[[#This Row],[Home]],Table46[[#This Row],[Visitor]])</f>
        <v>Tampa Bay Lightning</v>
      </c>
      <c r="L103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0.56775018317154169</v>
      </c>
      <c r="M1036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036" t="str">
        <f>IF(OR((NHL2025_26Results[[#This Row],[Winning Team]]="")),"-",IF(Table46[[#This Row],[Predicted Winner]]=NHL2025_26Results[[#This Row],[Winning Team]],"YES","NO"))</f>
        <v>-</v>
      </c>
      <c r="O1036" t="str">
        <f>IF(OR((NHL2025_26Results[[#This Row],[Winning Team]]="")),"-",IF(Table46[[#This Row],[Prob Winner]]=NHL2025_26Results[[#This Row],[Winning Team]],"YES","NO"))</f>
        <v>-</v>
      </c>
      <c r="P1036" t="str">
        <f>IF(Table46[[#This Row],[Locked Prediction]]&lt;&gt;Table46[[#This Row],[Prob Winner]], "Changed", "Same")</f>
        <v>Changed</v>
      </c>
      <c r="Q103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37" spans="4:17" x14ac:dyDescent="0.2">
      <c r="D1037" s="1">
        <v>46093</v>
      </c>
      <c r="E1037" s="2">
        <v>0.79166666666666663</v>
      </c>
      <c r="F1037" t="s">
        <v>19</v>
      </c>
      <c r="G1037">
        <f>VLOOKUP(Table46[[#This Row],[Home]],'NHL Model'!$A$6:$B$38,2,FALSE)</f>
        <v>-0.635565543477981</v>
      </c>
      <c r="H1037" t="s">
        <v>31</v>
      </c>
      <c r="I1037">
        <f>VLOOKUP(Table46[[#This Row],[Visitor]],'NHL Model'!$A$6:$B$38,2,FALSE)</f>
        <v>0.51775546328552802</v>
      </c>
      <c r="J1037">
        <f>($B$1+Table46[[#This Row],[Home Differential]])-Table46[[#This Row],[Away Differential]]</f>
        <v>-0.99074869710119062</v>
      </c>
      <c r="K1037" t="str">
        <f>IF(Table46[[#This Row],[HomeIce Differential]]&gt;0,Table46[[#This Row],[Home]],Table46[[#This Row],[Visitor]])</f>
        <v>Anaheim Ducks</v>
      </c>
      <c r="L103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0.61245856303687529</v>
      </c>
      <c r="M1037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037" t="str">
        <f>IF(OR((NHL2025_26Results[[#This Row],[Winning Team]]="")),"-",IF(Table46[[#This Row],[Predicted Winner]]=NHL2025_26Results[[#This Row],[Winning Team]],"YES","NO"))</f>
        <v>-</v>
      </c>
      <c r="O1037" t="str">
        <f>IF(OR((NHL2025_26Results[[#This Row],[Winning Team]]="")),"-",IF(Table46[[#This Row],[Prob Winner]]=NHL2025_26Results[[#This Row],[Winning Team]],"YES","NO"))</f>
        <v>-</v>
      </c>
      <c r="P1037" t="str">
        <f>IF(Table46[[#This Row],[Locked Prediction]]&lt;&gt;Table46[[#This Row],[Prob Winner]], "Changed", "Same")</f>
        <v>Changed</v>
      </c>
      <c r="Q103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38" spans="4:17" x14ac:dyDescent="0.2">
      <c r="D1038" s="1">
        <v>46093</v>
      </c>
      <c r="E1038" s="2">
        <v>0.875</v>
      </c>
      <c r="F1038" t="s">
        <v>55</v>
      </c>
      <c r="G1038">
        <f>VLOOKUP(Table46[[#This Row],[Home]],'NHL Model'!$A$6:$B$38,2,FALSE)</f>
        <v>-0.12212311954851815</v>
      </c>
      <c r="H1038" t="s">
        <v>10</v>
      </c>
      <c r="I1038">
        <f>VLOOKUP(Table46[[#This Row],[Visitor]],'NHL Model'!$A$6:$B$38,2,FALSE)</f>
        <v>0.30570968833820172</v>
      </c>
      <c r="J1038">
        <f>($B$1+Table46[[#This Row],[Home Differential]])-Table46[[#This Row],[Away Differential]]</f>
        <v>-0.26526049822440145</v>
      </c>
      <c r="K1038" t="str">
        <f>IF(Table46[[#This Row],[HomeIce Differential]]&gt;0,Table46[[#This Row],[Home]],Table46[[#This Row],[Visitor]])</f>
        <v>Chicago Blackhawks</v>
      </c>
      <c r="L103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0.44702286770518534</v>
      </c>
      <c r="M1038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038" t="str">
        <f>IF(OR((NHL2025_26Results[[#This Row],[Winning Team]]="")),"-",IF(Table46[[#This Row],[Predicted Winner]]=NHL2025_26Results[[#This Row],[Winning Team]],"YES","NO"))</f>
        <v>-</v>
      </c>
      <c r="O1038" t="str">
        <f>IF(OR((NHL2025_26Results[[#This Row],[Winning Team]]="")),"-",IF(Table46[[#This Row],[Prob Winner]]=NHL2025_26Results[[#This Row],[Winning Team]],"YES","NO"))</f>
        <v>-</v>
      </c>
      <c r="P1038" t="str">
        <f>IF(Table46[[#This Row],[Locked Prediction]]&lt;&gt;Table46[[#This Row],[Prob Winner]], "Changed", "Same")</f>
        <v>Changed</v>
      </c>
      <c r="Q103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39" spans="4:17" x14ac:dyDescent="0.2">
      <c r="D1039" s="1">
        <v>46093</v>
      </c>
      <c r="E1039" s="2">
        <v>0.91666666666666663</v>
      </c>
      <c r="F1039" t="s">
        <v>38</v>
      </c>
      <c r="G1039">
        <f>VLOOKUP(Table46[[#This Row],[Home]],'NHL Model'!$A$6:$B$38,2,FALSE)</f>
        <v>-0.6902088310934803</v>
      </c>
      <c r="H1039" t="s">
        <v>29</v>
      </c>
      <c r="I1039">
        <f>VLOOKUP(Table46[[#This Row],[Visitor]],'NHL Model'!$A$6:$B$38,2,FALSE)</f>
        <v>-1.3516250707060606</v>
      </c>
      <c r="J1039">
        <f>($B$1+Table46[[#This Row],[Home Differential]])-Table46[[#This Row],[Away Differential]]</f>
        <v>0.82398854927489873</v>
      </c>
      <c r="K1039" t="str">
        <f>IF(Table46[[#This Row],[HomeIce Differential]]&gt;0,Table46[[#This Row],[Home]],Table46[[#This Row],[Visitor]])</f>
        <v>Vancouver Canucks</v>
      </c>
      <c r="L103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0.64952373913554973</v>
      </c>
      <c r="M1039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1039" t="str">
        <f>IF(OR((NHL2025_26Results[[#This Row],[Winning Team]]="")),"-",IF(Table46[[#This Row],[Predicted Winner]]=NHL2025_26Results[[#This Row],[Winning Team]],"YES","NO"))</f>
        <v>-</v>
      </c>
      <c r="O1039" t="str">
        <f>IF(OR((NHL2025_26Results[[#This Row],[Winning Team]]="")),"-",IF(Table46[[#This Row],[Prob Winner]]=NHL2025_26Results[[#This Row],[Winning Team]],"YES","NO"))</f>
        <v>-</v>
      </c>
      <c r="P1039" t="str">
        <f>IF(Table46[[#This Row],[Locked Prediction]]&lt;&gt;Table46[[#This Row],[Prob Winner]], "Changed", "Same")</f>
        <v>Changed</v>
      </c>
      <c r="Q103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40" spans="4:17" x14ac:dyDescent="0.2">
      <c r="D1040" s="1">
        <v>46093</v>
      </c>
      <c r="E1040" s="2">
        <v>0.91666666666666663</v>
      </c>
      <c r="F1040" t="s">
        <v>20</v>
      </c>
      <c r="G1040">
        <f>VLOOKUP(Table46[[#This Row],[Home]],'NHL Model'!$A$6:$B$38,2,FALSE)</f>
        <v>-6.3745791019188943E-4</v>
      </c>
      <c r="H1040" t="s">
        <v>14</v>
      </c>
      <c r="I1040">
        <f>VLOOKUP(Table46[[#This Row],[Visitor]],'NHL Model'!$A$6:$B$38,2,FALSE)</f>
        <v>0.26289091192875702</v>
      </c>
      <c r="J1040">
        <f>($B$1+Table46[[#This Row],[Home Differential]])-Table46[[#This Row],[Away Differential]]</f>
        <v>-0.10095606017663053</v>
      </c>
      <c r="K1040" t="str">
        <f>IF(Table46[[#This Row],[HomeIce Differential]]&gt;0,Table46[[#This Row],[Home]],Table46[[#This Row],[Visitor]])</f>
        <v>Pittsburgh Penguins</v>
      </c>
      <c r="L104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0.47341897919415055</v>
      </c>
      <c r="M1040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040" t="str">
        <f>IF(OR((NHL2025_26Results[[#This Row],[Winning Team]]="")),"-",IF(Table46[[#This Row],[Predicted Winner]]=NHL2025_26Results[[#This Row],[Winning Team]],"YES","NO"))</f>
        <v>-</v>
      </c>
      <c r="O1040" t="str">
        <f>IF(OR((NHL2025_26Results[[#This Row],[Winning Team]]="")),"-",IF(Table46[[#This Row],[Prob Winner]]=NHL2025_26Results[[#This Row],[Winning Team]],"YES","NO"))</f>
        <v>-</v>
      </c>
      <c r="P1040" t="str">
        <f>IF(Table46[[#This Row],[Locked Prediction]]&lt;&gt;Table46[[#This Row],[Prob Winner]], "Changed", "Same")</f>
        <v>Changed</v>
      </c>
      <c r="Q104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41" spans="4:17" x14ac:dyDescent="0.2">
      <c r="D1041" s="1">
        <v>46093</v>
      </c>
      <c r="E1041" s="2">
        <v>0.83333333333333337</v>
      </c>
      <c r="F1041" t="s">
        <v>40</v>
      </c>
      <c r="G1041">
        <f>VLOOKUP(Table46[[#This Row],[Home]],'NHL Model'!$A$6:$B$38,2,FALSE)</f>
        <v>0.105105258369765</v>
      </c>
      <c r="H1041" t="s">
        <v>15</v>
      </c>
      <c r="I1041">
        <f>VLOOKUP(Table46[[#This Row],[Visitor]],'NHL Model'!$A$6:$B$38,2,FALSE)</f>
        <v>-0.30719665303039001</v>
      </c>
      <c r="J1041">
        <f>($B$1+Table46[[#This Row],[Home Differential]])-Table46[[#This Row],[Away Differential]]</f>
        <v>0.57487422106247343</v>
      </c>
      <c r="K1041" t="str">
        <f>IF(Table46[[#This Row],[HomeIce Differential]]&gt;0,Table46[[#This Row],[Home]],Table46[[#This Row],[Visitor]])</f>
        <v>Winnipeg Jets</v>
      </c>
      <c r="L104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0.50948257632727412</v>
      </c>
      <c r="M1041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041" t="str">
        <f>IF(OR((NHL2025_26Results[[#This Row],[Winning Team]]="")),"-",IF(Table46[[#This Row],[Predicted Winner]]=NHL2025_26Results[[#This Row],[Winning Team]],"YES","NO"))</f>
        <v>-</v>
      </c>
      <c r="O1041" t="str">
        <f>IF(OR((NHL2025_26Results[[#This Row],[Winning Team]]="")),"-",IF(Table46[[#This Row],[Prob Winner]]=NHL2025_26Results[[#This Row],[Winning Team]],"YES","NO"))</f>
        <v>-</v>
      </c>
      <c r="P1041" t="str">
        <f>IF(Table46[[#This Row],[Locked Prediction]]&lt;&gt;Table46[[#This Row],[Prob Winner]], "Changed", "Same")</f>
        <v>Changed</v>
      </c>
      <c r="Q104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42" spans="4:17" x14ac:dyDescent="0.2">
      <c r="D1042" s="1">
        <v>46094</v>
      </c>
      <c r="E1042" s="2">
        <v>0.79166666666666663</v>
      </c>
      <c r="F1042" t="s">
        <v>30</v>
      </c>
      <c r="G1042">
        <f>VLOOKUP(Table46[[#This Row],[Home]],'NHL Model'!$A$6:$B$38,2,FALSE)</f>
        <v>-6.4729560818359025E-2</v>
      </c>
      <c r="H1042" t="s">
        <v>13</v>
      </c>
      <c r="I1042">
        <f>VLOOKUP(Table46[[#This Row],[Visitor]],'NHL Model'!$A$6:$B$38,2,FALSE)</f>
        <v>-7.5459708298993802E-2</v>
      </c>
      <c r="J1042">
        <f>($B$1+Table46[[#This Row],[Home Differential]])-Table46[[#This Row],[Away Differential]]</f>
        <v>0.17330245714295317</v>
      </c>
      <c r="K1042" t="str">
        <f>IF(Table46[[#This Row],[HomeIce Differential]]&gt;0,Table46[[#This Row],[Home]],Table46[[#This Row],[Visitor]])</f>
        <v>New York Islanders</v>
      </c>
      <c r="L104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0.44163984154787245</v>
      </c>
      <c r="M1042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042" t="str">
        <f>IF(OR((NHL2025_26Results[[#This Row],[Winning Team]]="")),"-",IF(Table46[[#This Row],[Predicted Winner]]=NHL2025_26Results[[#This Row],[Winning Team]],"YES","NO"))</f>
        <v>-</v>
      </c>
      <c r="O1042" t="str">
        <f>IF(OR((NHL2025_26Results[[#This Row],[Winning Team]]="")),"-",IF(Table46[[#This Row],[Prob Winner]]=NHL2025_26Results[[#This Row],[Winning Team]],"YES","NO"))</f>
        <v>-</v>
      </c>
      <c r="P1042" t="str">
        <f>IF(Table46[[#This Row],[Locked Prediction]]&lt;&gt;Table46[[#This Row],[Prob Winner]], "Changed", "Same")</f>
        <v>Changed</v>
      </c>
      <c r="Q104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43" spans="4:17" x14ac:dyDescent="0.2">
      <c r="D1043" s="1">
        <v>46094</v>
      </c>
      <c r="E1043" s="2">
        <v>0.83333333333333337</v>
      </c>
      <c r="F1043" t="s">
        <v>35</v>
      </c>
      <c r="G1043">
        <f>VLOOKUP(Table46[[#This Row],[Home]],'NHL Model'!$A$6:$B$38,2,FALSE)</f>
        <v>-1.6211574240381006</v>
      </c>
      <c r="H1043" t="s">
        <v>17</v>
      </c>
      <c r="I1043">
        <f>VLOOKUP(Table46[[#This Row],[Visitor]],'NHL Model'!$A$6:$B$38,2,FALSE)</f>
        <v>-0.61980804137564283</v>
      </c>
      <c r="J1043">
        <f>($B$1+Table46[[#This Row],[Home Differential]])-Table46[[#This Row],[Away Differential]]</f>
        <v>-0.83877707300013937</v>
      </c>
      <c r="K1043" t="str">
        <f>IF(Table46[[#This Row],[HomeIce Differential]]&gt;0,Table46[[#This Row],[Home]],Table46[[#This Row],[Visitor]])</f>
        <v>Edmonton Oilers</v>
      </c>
      <c r="L104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0.57148941501309491</v>
      </c>
      <c r="M1043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1043" t="str">
        <f>IF(OR((NHL2025_26Results[[#This Row],[Winning Team]]="")),"-",IF(Table46[[#This Row],[Predicted Winner]]=NHL2025_26Results[[#This Row],[Winning Team]],"YES","NO"))</f>
        <v>-</v>
      </c>
      <c r="O1043" t="str">
        <f>IF(OR((NHL2025_26Results[[#This Row],[Winning Team]]="")),"-",IF(Table46[[#This Row],[Prob Winner]]=NHL2025_26Results[[#This Row],[Winning Team]],"YES","NO"))</f>
        <v>-</v>
      </c>
      <c r="P1043" t="str">
        <f>IF(Table46[[#This Row],[Locked Prediction]]&lt;&gt;Table46[[#This Row],[Prob Winner]], "Changed", "Same")</f>
        <v>Changed</v>
      </c>
      <c r="Q104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44" spans="4:17" x14ac:dyDescent="0.2">
      <c r="D1044" s="1">
        <v>46095</v>
      </c>
      <c r="E1044" s="2">
        <v>0.79166666666666663</v>
      </c>
      <c r="F1044" t="s">
        <v>23</v>
      </c>
      <c r="G1044">
        <f>VLOOKUP(Table46[[#This Row],[Home]],'NHL Model'!$A$6:$B$38,2,FALSE)</f>
        <v>-0.8683412362501769</v>
      </c>
      <c r="H1044" t="s">
        <v>19</v>
      </c>
      <c r="I1044">
        <f>VLOOKUP(Table46[[#This Row],[Visitor]],'NHL Model'!$A$6:$B$38,2,FALSE)</f>
        <v>-0.635565543477981</v>
      </c>
      <c r="J1044">
        <f>($B$1+Table46[[#This Row],[Home Differential]])-Table46[[#This Row],[Away Differential]]</f>
        <v>-7.0203383109877504E-2</v>
      </c>
      <c r="K1044" t="str">
        <f>IF(Table46[[#This Row],[HomeIce Differential]]&gt;0,Table46[[#This Row],[Home]],Table46[[#This Row],[Visitor]])</f>
        <v>Toronto Maple Leafs</v>
      </c>
      <c r="L104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0.4693313639187407</v>
      </c>
      <c r="M1044" s="11" t="str">
        <f>IF(Table46[[#This Row],[Strength of Win]]&gt; 0.5,Table46[[#This Row],[Predicted Winner]], IF(Table46[[#This Row],[Home]]=Table46[[#This Row],[Predicted Winner]],Table46[[#This Row],[Visitor]],Table46[[#This Row],[Home]]))</f>
        <v>Buffalo Sabres</v>
      </c>
      <c r="N1044" t="str">
        <f>IF(OR((NHL2025_26Results[[#This Row],[Winning Team]]="")),"-",IF(Table46[[#This Row],[Predicted Winner]]=NHL2025_26Results[[#This Row],[Winning Team]],"YES","NO"))</f>
        <v>-</v>
      </c>
      <c r="O1044" t="str">
        <f>IF(OR((NHL2025_26Results[[#This Row],[Winning Team]]="")),"-",IF(Table46[[#This Row],[Prob Winner]]=NHL2025_26Results[[#This Row],[Winning Team]],"YES","NO"))</f>
        <v>-</v>
      </c>
      <c r="P1044" t="str">
        <f>IF(Table46[[#This Row],[Locked Prediction]]&lt;&gt;Table46[[#This Row],[Prob Winner]], "Changed", "Same")</f>
        <v>Changed</v>
      </c>
      <c r="Q104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45" spans="4:17" x14ac:dyDescent="0.2">
      <c r="D1045" s="1">
        <v>46095</v>
      </c>
      <c r="E1045" s="2">
        <v>0.83333333333333337</v>
      </c>
      <c r="F1045" t="s">
        <v>39</v>
      </c>
      <c r="G1045">
        <f>VLOOKUP(Table46[[#This Row],[Home]],'NHL Model'!$A$6:$B$38,2,FALSE)</f>
        <v>0.19809534061227302</v>
      </c>
      <c r="H1045" t="s">
        <v>26</v>
      </c>
      <c r="I1045">
        <f>VLOOKUP(Table46[[#This Row],[Visitor]],'NHL Model'!$A$6:$B$38,2,FALSE)</f>
        <v>-0.513643833119658</v>
      </c>
      <c r="J1045">
        <f>($B$1+Table46[[#This Row],[Home Differential]])-Table46[[#This Row],[Away Differential]]</f>
        <v>0.87431148339424936</v>
      </c>
      <c r="K1045" t="str">
        <f>IF(Table46[[#This Row],[HomeIce Differential]]&gt;0,Table46[[#This Row],[Home]],Table46[[#This Row],[Visitor]])</f>
        <v>Dallas Stars</v>
      </c>
      <c r="L104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0.63544338276132528</v>
      </c>
      <c r="M1045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045" t="str">
        <f>IF(OR((NHL2025_26Results[[#This Row],[Winning Team]]="")),"-",IF(Table46[[#This Row],[Predicted Winner]]=NHL2025_26Results[[#This Row],[Winning Team]],"YES","NO"))</f>
        <v>-</v>
      </c>
      <c r="O1045" t="str">
        <f>IF(OR((NHL2025_26Results[[#This Row],[Winning Team]]="")),"-",IF(Table46[[#This Row],[Prob Winner]]=NHL2025_26Results[[#This Row],[Winning Team]],"YES","NO"))</f>
        <v>-</v>
      </c>
      <c r="P1045" t="str">
        <f>IF(Table46[[#This Row],[Locked Prediction]]&lt;&gt;Table46[[#This Row],[Prob Winner]], "Changed", "Same")</f>
        <v>Changed</v>
      </c>
      <c r="Q104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46" spans="4:17" x14ac:dyDescent="0.2">
      <c r="D1046" s="1">
        <v>46095</v>
      </c>
      <c r="E1046" s="2">
        <v>0.75</v>
      </c>
      <c r="F1046" t="s">
        <v>34</v>
      </c>
      <c r="G1046">
        <f>VLOOKUP(Table46[[#This Row],[Home]],'NHL Model'!$A$6:$B$38,2,FALSE)</f>
        <v>-0.53650300840565446</v>
      </c>
      <c r="H1046" t="s">
        <v>15</v>
      </c>
      <c r="I1046">
        <f>VLOOKUP(Table46[[#This Row],[Visitor]],'NHL Model'!$A$6:$B$38,2,FALSE)</f>
        <v>-0.30719665303039001</v>
      </c>
      <c r="J1046">
        <f>($B$1+Table46[[#This Row],[Home Differential]])-Table46[[#This Row],[Away Differential]]</f>
        <v>-6.6734045712946055E-2</v>
      </c>
      <c r="K1046" t="str">
        <f>IF(Table46[[#This Row],[HomeIce Differential]]&gt;0,Table46[[#This Row],[Home]],Table46[[#This Row],[Visitor]])</f>
        <v>New York Rangers</v>
      </c>
      <c r="L104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0.61127986159379222</v>
      </c>
      <c r="M1046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046" t="str">
        <f>IF(OR((NHL2025_26Results[[#This Row],[Winning Team]]="")),"-",IF(Table46[[#This Row],[Predicted Winner]]=NHL2025_26Results[[#This Row],[Winning Team]],"YES","NO"))</f>
        <v>-</v>
      </c>
      <c r="O1046" t="str">
        <f>IF(OR((NHL2025_26Results[[#This Row],[Winning Team]]="")),"-",IF(Table46[[#This Row],[Prob Winner]]=NHL2025_26Results[[#This Row],[Winning Team]],"YES","NO"))</f>
        <v>-</v>
      </c>
      <c r="P1046" t="str">
        <f>IF(Table46[[#This Row],[Locked Prediction]]&lt;&gt;Table46[[#This Row],[Prob Winner]], "Changed", "Same")</f>
        <v>Changed</v>
      </c>
      <c r="Q104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47" spans="4:17" x14ac:dyDescent="0.2">
      <c r="D1047" s="1">
        <v>46095</v>
      </c>
      <c r="E1047" s="2">
        <v>0.79166666666666663</v>
      </c>
      <c r="F1047" t="s">
        <v>18</v>
      </c>
      <c r="G1047">
        <f>VLOOKUP(Table46[[#This Row],[Home]],'NHL Model'!$A$6:$B$38,2,FALSE)</f>
        <v>-0.52437726201848234</v>
      </c>
      <c r="H1047" t="s">
        <v>33</v>
      </c>
      <c r="I1047">
        <f>VLOOKUP(Table46[[#This Row],[Visitor]],'NHL Model'!$A$6:$B$38,2,FALSE)</f>
        <v>-0.39418177254008485</v>
      </c>
      <c r="J1047">
        <f>($B$1+Table46[[#This Row],[Home Differential]])-Table46[[#This Row],[Away Differential]]</f>
        <v>3.2376820183920907E-2</v>
      </c>
      <c r="K1047" t="str">
        <f>IF(Table46[[#This Row],[HomeIce Differential]]&gt;0,Table46[[#This Row],[Home]],Table46[[#This Row],[Visitor]])</f>
        <v>Montreal Canadiens</v>
      </c>
      <c r="L104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0.54430349476456052</v>
      </c>
      <c r="M1047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1047" t="str">
        <f>IF(OR((NHL2025_26Results[[#This Row],[Winning Team]]="")),"-",IF(Table46[[#This Row],[Predicted Winner]]=NHL2025_26Results[[#This Row],[Winning Team]],"YES","NO"))</f>
        <v>-</v>
      </c>
      <c r="O1047" t="str">
        <f>IF(OR((NHL2025_26Results[[#This Row],[Winning Team]]="")),"-",IF(Table46[[#This Row],[Prob Winner]]=NHL2025_26Results[[#This Row],[Winning Team]],"YES","NO"))</f>
        <v>-</v>
      </c>
      <c r="P1047" t="str">
        <f>IF(Table46[[#This Row],[Locked Prediction]]&lt;&gt;Table46[[#This Row],[Prob Winner]], "Changed", "Same")</f>
        <v>Changed</v>
      </c>
      <c r="Q104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48" spans="4:17" x14ac:dyDescent="0.2">
      <c r="D1048" s="1">
        <v>46095</v>
      </c>
      <c r="E1048" s="2">
        <v>0.79166666666666663</v>
      </c>
      <c r="F1048" t="s">
        <v>24</v>
      </c>
      <c r="G1048">
        <f>VLOOKUP(Table46[[#This Row],[Home]],'NHL Model'!$A$6:$B$38,2,FALSE)</f>
        <v>0.559441163373953</v>
      </c>
      <c r="H1048" t="s">
        <v>13</v>
      </c>
      <c r="I1048">
        <f>VLOOKUP(Table46[[#This Row],[Visitor]],'NHL Model'!$A$6:$B$38,2,FALSE)</f>
        <v>-7.5459708298993802E-2</v>
      </c>
      <c r="J1048">
        <f>($B$1+Table46[[#This Row],[Home Differential]])-Table46[[#This Row],[Away Differential]]</f>
        <v>0.79747318133526524</v>
      </c>
      <c r="K1048" t="str">
        <f>IF(Table46[[#This Row],[HomeIce Differential]]&gt;0,Table46[[#This Row],[Home]],Table46[[#This Row],[Visitor]])</f>
        <v>New Jersey Devils</v>
      </c>
      <c r="L104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0.64446088124005252</v>
      </c>
      <c r="M1048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048" t="str">
        <f>IF(OR((NHL2025_26Results[[#This Row],[Winning Team]]="")),"-",IF(Table46[[#This Row],[Predicted Winner]]=NHL2025_26Results[[#This Row],[Winning Team]],"YES","NO"))</f>
        <v>-</v>
      </c>
      <c r="O1048" t="str">
        <f>IF(OR((NHL2025_26Results[[#This Row],[Winning Team]]="")),"-",IF(Table46[[#This Row],[Prob Winner]]=NHL2025_26Results[[#This Row],[Winning Team]],"YES","NO"))</f>
        <v>-</v>
      </c>
      <c r="P1048" t="str">
        <f>IF(Table46[[#This Row],[Locked Prediction]]&lt;&gt;Table46[[#This Row],[Prob Winner]], "Changed", "Same")</f>
        <v>Changed</v>
      </c>
      <c r="Q104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49" spans="4:17" x14ac:dyDescent="0.2">
      <c r="D1049" s="1">
        <v>46095</v>
      </c>
      <c r="E1049" s="2">
        <v>0.79166666666666663</v>
      </c>
      <c r="F1049" t="s">
        <v>30</v>
      </c>
      <c r="G1049">
        <f>VLOOKUP(Table46[[#This Row],[Home]],'NHL Model'!$A$6:$B$38,2,FALSE)</f>
        <v>-6.4729560818359025E-2</v>
      </c>
      <c r="H1049" t="s">
        <v>16</v>
      </c>
      <c r="I1049">
        <f>VLOOKUP(Table46[[#This Row],[Visitor]],'NHL Model'!$A$6:$B$38,2,FALSE)</f>
        <v>-1.3903684122795328</v>
      </c>
      <c r="J1049">
        <f>($B$1+Table46[[#This Row],[Home Differential]])-Table46[[#This Row],[Away Differential]]</f>
        <v>1.4882111611234921</v>
      </c>
      <c r="K1049" t="str">
        <f>IF(Table46[[#This Row],[HomeIce Differential]]&gt;0,Table46[[#This Row],[Home]],Table46[[#This Row],[Visitor]])</f>
        <v>New York Islanders</v>
      </c>
      <c r="L104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0.73781154863491283</v>
      </c>
      <c r="M1049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049" t="str">
        <f>IF(OR((NHL2025_26Results[[#This Row],[Winning Team]]="")),"-",IF(Table46[[#This Row],[Predicted Winner]]=NHL2025_26Results[[#This Row],[Winning Team]],"YES","NO"))</f>
        <v>-</v>
      </c>
      <c r="O1049" t="str">
        <f>IF(OR((NHL2025_26Results[[#This Row],[Winning Team]]="")),"-",IF(Table46[[#This Row],[Prob Winner]]=NHL2025_26Results[[#This Row],[Winning Team]],"YES","NO"))</f>
        <v>-</v>
      </c>
      <c r="P1049" t="str">
        <f>IF(Table46[[#This Row],[Locked Prediction]]&lt;&gt;Table46[[#This Row],[Prob Winner]], "Changed", "Same")</f>
        <v>Changed</v>
      </c>
      <c r="Q104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50" spans="4:17" x14ac:dyDescent="0.2">
      <c r="D1050" s="1">
        <v>46095</v>
      </c>
      <c r="E1050" s="2">
        <v>0.54166666666666663</v>
      </c>
      <c r="F1050" t="s">
        <v>36</v>
      </c>
      <c r="G1050">
        <f>VLOOKUP(Table46[[#This Row],[Home]],'NHL Model'!$A$6:$B$38,2,FALSE)</f>
        <v>-0.40651947573390851</v>
      </c>
      <c r="H1050" t="s">
        <v>31</v>
      </c>
      <c r="I1050">
        <f>VLOOKUP(Table46[[#This Row],[Visitor]],'NHL Model'!$A$6:$B$38,2,FALSE)</f>
        <v>0.51775546328552802</v>
      </c>
      <c r="J1050">
        <f>($B$1+Table46[[#This Row],[Home Differential]])-Table46[[#This Row],[Away Differential]]</f>
        <v>-0.76170262935711808</v>
      </c>
      <c r="K1050" t="str">
        <f>IF(Table46[[#This Row],[HomeIce Differential]]&gt;0,Table46[[#This Row],[Home]],Table46[[#This Row],[Visitor]])</f>
        <v>Anaheim Ducks</v>
      </c>
      <c r="L105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0.57950562612158463</v>
      </c>
      <c r="M1050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050" t="str">
        <f>IF(OR((NHL2025_26Results[[#This Row],[Winning Team]]="")),"-",IF(Table46[[#This Row],[Predicted Winner]]=NHL2025_26Results[[#This Row],[Winning Team]],"YES","NO"))</f>
        <v>-</v>
      </c>
      <c r="O1050" t="str">
        <f>IF(OR((NHL2025_26Results[[#This Row],[Winning Team]]="")),"-",IF(Table46[[#This Row],[Prob Winner]]=NHL2025_26Results[[#This Row],[Winning Team]],"YES","NO"))</f>
        <v>-</v>
      </c>
      <c r="P1050" t="str">
        <f>IF(Table46[[#This Row],[Locked Prediction]]&lt;&gt;Table46[[#This Row],[Prob Winner]], "Changed", "Same")</f>
        <v>Changed</v>
      </c>
      <c r="Q105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51" spans="4:17" x14ac:dyDescent="0.2">
      <c r="D1051" s="1">
        <v>46095</v>
      </c>
      <c r="E1051" s="2">
        <v>0.8125</v>
      </c>
      <c r="F1051" t="s">
        <v>27</v>
      </c>
      <c r="G1051">
        <f>VLOOKUP(Table46[[#This Row],[Home]],'NHL Model'!$A$6:$B$38,2,FALSE)</f>
        <v>-0.51358590497437617</v>
      </c>
      <c r="H1051" t="s">
        <v>28</v>
      </c>
      <c r="I1051">
        <f>VLOOKUP(Table46[[#This Row],[Visitor]],'NHL Model'!$A$6:$B$38,2,FALSE)</f>
        <v>-0.40822279081308277</v>
      </c>
      <c r="J1051">
        <f>($B$1+Table46[[#This Row],[Home Differential]])-Table46[[#This Row],[Away Differential]]</f>
        <v>5.720919550102499E-2</v>
      </c>
      <c r="K1051" t="str">
        <f>IF(Table46[[#This Row],[HomeIce Differential]]&gt;0,Table46[[#This Row],[Home]],Table46[[#This Row],[Visitor]])</f>
        <v>Philadelphia Flyers</v>
      </c>
      <c r="L105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0.52934331984945682</v>
      </c>
      <c r="M1051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1051" t="str">
        <f>IF(OR((NHL2025_26Results[[#This Row],[Winning Team]]="")),"-",IF(Table46[[#This Row],[Predicted Winner]]=NHL2025_26Results[[#This Row],[Winning Team]],"YES","NO"))</f>
        <v>-</v>
      </c>
      <c r="O1051" t="str">
        <f>IF(OR((NHL2025_26Results[[#This Row],[Winning Team]]="")),"-",IF(Table46[[#This Row],[Prob Winner]]=NHL2025_26Results[[#This Row],[Winning Team]],"YES","NO"))</f>
        <v>-</v>
      </c>
      <c r="P1051" t="str">
        <f>IF(Table46[[#This Row],[Locked Prediction]]&lt;&gt;Table46[[#This Row],[Prob Winner]], "Changed", "Same")</f>
        <v>Changed</v>
      </c>
      <c r="Q105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52" spans="4:17" x14ac:dyDescent="0.2">
      <c r="D1052" s="1">
        <v>46095</v>
      </c>
      <c r="E1052" s="2">
        <v>0.79166666666666663</v>
      </c>
      <c r="F1052" t="s">
        <v>37</v>
      </c>
      <c r="G1052">
        <f>VLOOKUP(Table46[[#This Row],[Home]],'NHL Model'!$A$6:$B$38,2,FALSE)</f>
        <v>-0.11309445867623392</v>
      </c>
      <c r="H1052" t="s">
        <v>25</v>
      </c>
      <c r="I1052">
        <f>VLOOKUP(Table46[[#This Row],[Visitor]],'NHL Model'!$A$6:$B$38,2,FALSE)</f>
        <v>0.67193921242367816</v>
      </c>
      <c r="J1052">
        <f>($B$1+Table46[[#This Row],[Home Differential]])-Table46[[#This Row],[Away Differential]]</f>
        <v>-0.62246136143759367</v>
      </c>
      <c r="K1052" t="str">
        <f>IF(Table46[[#This Row],[HomeIce Differential]]&gt;0,Table46[[#This Row],[Home]],Table46[[#This Row],[Visitor]])</f>
        <v>Carolina Hurricanes</v>
      </c>
      <c r="L105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0.63522313344004888</v>
      </c>
      <c r="M1052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052" t="str">
        <f>IF(OR((NHL2025_26Results[[#This Row],[Winning Team]]="")),"-",IF(Table46[[#This Row],[Predicted Winner]]=NHL2025_26Results[[#This Row],[Winning Team]],"YES","NO"))</f>
        <v>-</v>
      </c>
      <c r="O1052" t="str">
        <f>IF(OR((NHL2025_26Results[[#This Row],[Winning Team]]="")),"-",IF(Table46[[#This Row],[Prob Winner]]=NHL2025_26Results[[#This Row],[Winning Team]],"YES","NO"))</f>
        <v>-</v>
      </c>
      <c r="P1052" t="str">
        <f>IF(Table46[[#This Row],[Locked Prediction]]&lt;&gt;Table46[[#This Row],[Prob Winner]], "Changed", "Same")</f>
        <v>Changed</v>
      </c>
      <c r="Q105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53" spans="4:17" x14ac:dyDescent="0.2">
      <c r="D1053" s="1">
        <v>46095</v>
      </c>
      <c r="E1053" s="2">
        <v>0.875</v>
      </c>
      <c r="F1053" t="s">
        <v>55</v>
      </c>
      <c r="G1053">
        <f>VLOOKUP(Table46[[#This Row],[Home]],'NHL Model'!$A$6:$B$38,2,FALSE)</f>
        <v>-0.12212311954851815</v>
      </c>
      <c r="H1053" t="s">
        <v>14</v>
      </c>
      <c r="I1053">
        <f>VLOOKUP(Table46[[#This Row],[Visitor]],'NHL Model'!$A$6:$B$38,2,FALSE)</f>
        <v>0.26289091192875702</v>
      </c>
      <c r="J1053">
        <f>($B$1+Table46[[#This Row],[Home Differential]])-Table46[[#This Row],[Away Differential]]</f>
        <v>-0.22244172181495678</v>
      </c>
      <c r="K1053" t="str">
        <f>IF(Table46[[#This Row],[HomeIce Differential]]&gt;0,Table46[[#This Row],[Home]],Table46[[#This Row],[Visitor]])</f>
        <v>Pittsburgh Penguins</v>
      </c>
      <c r="L105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0.42129422653068649</v>
      </c>
      <c r="M1053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053" t="str">
        <f>IF(OR((NHL2025_26Results[[#This Row],[Winning Team]]="")),"-",IF(Table46[[#This Row],[Predicted Winner]]=NHL2025_26Results[[#This Row],[Winning Team]],"YES","NO"))</f>
        <v>-</v>
      </c>
      <c r="O1053" t="str">
        <f>IF(OR((NHL2025_26Results[[#This Row],[Winning Team]]="")),"-",IF(Table46[[#This Row],[Prob Winner]]=NHL2025_26Results[[#This Row],[Winning Team]],"YES","NO"))</f>
        <v>-</v>
      </c>
      <c r="P1053" t="str">
        <f>IF(Table46[[#This Row],[Locked Prediction]]&lt;&gt;Table46[[#This Row],[Prob Winner]], "Changed", "Same")</f>
        <v>Changed</v>
      </c>
      <c r="Q105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54" spans="4:17" x14ac:dyDescent="0.2">
      <c r="D1054" s="1">
        <v>46095</v>
      </c>
      <c r="E1054" s="2">
        <v>0.91666666666666663</v>
      </c>
      <c r="F1054" t="s">
        <v>38</v>
      </c>
      <c r="G1054">
        <f>VLOOKUP(Table46[[#This Row],[Home]],'NHL Model'!$A$6:$B$38,2,FALSE)</f>
        <v>-0.6902088310934803</v>
      </c>
      <c r="H1054" t="s">
        <v>32</v>
      </c>
      <c r="I1054">
        <f>VLOOKUP(Table46[[#This Row],[Visitor]],'NHL Model'!$A$6:$B$38,2,FALSE)</f>
        <v>-0.361361309178443</v>
      </c>
      <c r="J1054">
        <f>($B$1+Table46[[#This Row],[Home Differential]])-Table46[[#This Row],[Away Differential]]</f>
        <v>-0.16627521225271891</v>
      </c>
      <c r="K1054" t="str">
        <f>IF(Table46[[#This Row],[HomeIce Differential]]&gt;0,Table46[[#This Row],[Home]],Table46[[#This Row],[Visitor]])</f>
        <v>Seattle Kraken</v>
      </c>
      <c r="L105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0.4821011359775576</v>
      </c>
      <c r="M1054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1054" t="str">
        <f>IF(OR((NHL2025_26Results[[#This Row],[Winning Team]]="")),"-",IF(Table46[[#This Row],[Predicted Winner]]=NHL2025_26Results[[#This Row],[Winning Team]],"YES","NO"))</f>
        <v>-</v>
      </c>
      <c r="O1054" t="str">
        <f>IF(OR((NHL2025_26Results[[#This Row],[Winning Team]]="")),"-",IF(Table46[[#This Row],[Prob Winner]]=NHL2025_26Results[[#This Row],[Winning Team]],"YES","NO"))</f>
        <v>-</v>
      </c>
      <c r="P1054" t="str">
        <f>IF(Table46[[#This Row],[Locked Prediction]]&lt;&gt;Table46[[#This Row],[Prob Winner]], "Changed", "Same")</f>
        <v>Changed</v>
      </c>
      <c r="Q105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55" spans="4:17" x14ac:dyDescent="0.2">
      <c r="D1055" s="1">
        <v>46095</v>
      </c>
      <c r="E1055" s="2">
        <v>0.91666666666666663</v>
      </c>
      <c r="F1055" t="s">
        <v>20</v>
      </c>
      <c r="G1055">
        <f>VLOOKUP(Table46[[#This Row],[Home]],'NHL Model'!$A$6:$B$38,2,FALSE)</f>
        <v>-6.3745791019188943E-4</v>
      </c>
      <c r="H1055" t="s">
        <v>10</v>
      </c>
      <c r="I1055">
        <f>VLOOKUP(Table46[[#This Row],[Visitor]],'NHL Model'!$A$6:$B$38,2,FALSE)</f>
        <v>0.30570968833820172</v>
      </c>
      <c r="J1055">
        <f>($B$1+Table46[[#This Row],[Home Differential]])-Table46[[#This Row],[Away Differential]]</f>
        <v>-0.14377483658607523</v>
      </c>
      <c r="K1055" t="str">
        <f>IF(Table46[[#This Row],[HomeIce Differential]]&gt;0,Table46[[#This Row],[Home]],Table46[[#This Row],[Visitor]])</f>
        <v>Chicago Blackhawks</v>
      </c>
      <c r="L105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0.49987963917280209</v>
      </c>
      <c r="M1055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055" t="str">
        <f>IF(OR((NHL2025_26Results[[#This Row],[Winning Team]]="")),"-",IF(Table46[[#This Row],[Predicted Winner]]=NHL2025_26Results[[#This Row],[Winning Team]],"YES","NO"))</f>
        <v>-</v>
      </c>
      <c r="O1055" t="str">
        <f>IF(OR((NHL2025_26Results[[#This Row],[Winning Team]]="")),"-",IF(Table46[[#This Row],[Prob Winner]]=NHL2025_26Results[[#This Row],[Winning Team]],"YES","NO"))</f>
        <v>-</v>
      </c>
      <c r="P1055" t="str">
        <f>IF(Table46[[#This Row],[Locked Prediction]]&lt;&gt;Table46[[#This Row],[Prob Winner]], "Changed", "Same")</f>
        <v>Changed</v>
      </c>
      <c r="Q105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56" spans="4:17" x14ac:dyDescent="0.2">
      <c r="D1056" s="1">
        <v>46095</v>
      </c>
      <c r="E1056" s="2">
        <v>0.66666666666666663</v>
      </c>
      <c r="F1056" t="s">
        <v>40</v>
      </c>
      <c r="G1056">
        <f>VLOOKUP(Table46[[#This Row],[Home]],'NHL Model'!$A$6:$B$38,2,FALSE)</f>
        <v>0.105105258369765</v>
      </c>
      <c r="H1056" t="s">
        <v>12</v>
      </c>
      <c r="I1056">
        <f>VLOOKUP(Table46[[#This Row],[Visitor]],'NHL Model'!$A$6:$B$38,2,FALSE)</f>
        <v>1.5475013591489768</v>
      </c>
      <c r="J1056">
        <f>($B$1+Table46[[#This Row],[Home Differential]])-Table46[[#This Row],[Away Differential]]</f>
        <v>-1.2798237911168933</v>
      </c>
      <c r="K1056" t="str">
        <f>IF(Table46[[#This Row],[HomeIce Differential]]&gt;0,Table46[[#This Row],[Home]],Table46[[#This Row],[Visitor]])</f>
        <v>Colorado Avalanche</v>
      </c>
      <c r="L105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0.65990882486478064</v>
      </c>
      <c r="M1056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056" t="str">
        <f>IF(OR((NHL2025_26Results[[#This Row],[Winning Team]]="")),"-",IF(Table46[[#This Row],[Predicted Winner]]=NHL2025_26Results[[#This Row],[Winning Team]],"YES","NO"))</f>
        <v>-</v>
      </c>
      <c r="O1056" t="str">
        <f>IF(OR((NHL2025_26Results[[#This Row],[Winning Team]]="")),"-",IF(Table46[[#This Row],[Prob Winner]]=NHL2025_26Results[[#This Row],[Winning Team]],"YES","NO"))</f>
        <v>-</v>
      </c>
      <c r="P1056" t="str">
        <f>IF(Table46[[#This Row],[Locked Prediction]]&lt;&gt;Table46[[#This Row],[Prob Winner]], "Changed", "Same")</f>
        <v>Changed</v>
      </c>
      <c r="Q105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57" spans="4:17" x14ac:dyDescent="0.2">
      <c r="D1057" s="1">
        <v>46095</v>
      </c>
      <c r="E1057" s="2">
        <v>0.625</v>
      </c>
      <c r="F1057" t="s">
        <v>22</v>
      </c>
      <c r="G1057">
        <f>VLOOKUP(Table46[[#This Row],[Home]],'NHL Model'!$A$6:$B$38,2,FALSE)</f>
        <v>-6.1308839486784707E-2</v>
      </c>
      <c r="H1057" t="s">
        <v>21</v>
      </c>
      <c r="I1057">
        <f>VLOOKUP(Table46[[#This Row],[Visitor]],'NHL Model'!$A$6:$B$38,2,FALSE)</f>
        <v>4.029141914856392E-2</v>
      </c>
      <c r="J1057">
        <f>($B$1+Table46[[#This Row],[Home Differential]])-Table46[[#This Row],[Away Differential]]</f>
        <v>6.0972051026969773E-2</v>
      </c>
      <c r="K1057" t="str">
        <f>IF(Table46[[#This Row],[HomeIce Differential]]&gt;0,Table46[[#This Row],[Home]],Table46[[#This Row],[Visitor]])</f>
        <v>Washington Capitals</v>
      </c>
      <c r="L105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0.54810434443186595</v>
      </c>
      <c r="M1057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1057" t="str">
        <f>IF(OR((NHL2025_26Results[[#This Row],[Winning Team]]="")),"-",IF(Table46[[#This Row],[Predicted Winner]]=NHL2025_26Results[[#This Row],[Winning Team]],"YES","NO"))</f>
        <v>-</v>
      </c>
      <c r="O1057" t="str">
        <f>IF(OR((NHL2025_26Results[[#This Row],[Winning Team]]="")),"-",IF(Table46[[#This Row],[Prob Winner]]=NHL2025_26Results[[#This Row],[Winning Team]],"YES","NO"))</f>
        <v>-</v>
      </c>
      <c r="P1057" t="str">
        <f>IF(Table46[[#This Row],[Locked Prediction]]&lt;&gt;Table46[[#This Row],[Prob Winner]], "Changed", "Same")</f>
        <v>Changed</v>
      </c>
      <c r="Q105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58" spans="4:17" x14ac:dyDescent="0.2">
      <c r="D1058" s="1">
        <v>46096</v>
      </c>
      <c r="E1058" s="2">
        <v>0.83333333333333337</v>
      </c>
      <c r="F1058" t="s">
        <v>17</v>
      </c>
      <c r="G1058">
        <f>VLOOKUP(Table46[[#This Row],[Home]],'NHL Model'!$A$6:$B$38,2,FALSE)</f>
        <v>-0.61980804137564283</v>
      </c>
      <c r="H1058" t="s">
        <v>29</v>
      </c>
      <c r="I1058">
        <f>VLOOKUP(Table46[[#This Row],[Visitor]],'NHL Model'!$A$6:$B$38,2,FALSE)</f>
        <v>-1.3516250707060606</v>
      </c>
      <c r="J1058">
        <f>($B$1+Table46[[#This Row],[Home Differential]])-Table46[[#This Row],[Away Differential]]</f>
        <v>0.8943893389927362</v>
      </c>
      <c r="K1058" t="str">
        <f>IF(Table46[[#This Row],[HomeIce Differential]]&gt;0,Table46[[#This Row],[Home]],Table46[[#This Row],[Visitor]])</f>
        <v>Edmonton Oilers</v>
      </c>
      <c r="L105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0.69491820850389585</v>
      </c>
      <c r="M1058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1058" t="str">
        <f>IF(OR((NHL2025_26Results[[#This Row],[Winning Team]]="")),"-",IF(Table46[[#This Row],[Predicted Winner]]=NHL2025_26Results[[#This Row],[Winning Team]],"YES","NO"))</f>
        <v>-</v>
      </c>
      <c r="O1058" t="str">
        <f>IF(OR((NHL2025_26Results[[#This Row],[Winning Team]]="")),"-",IF(Table46[[#This Row],[Prob Winner]]=NHL2025_26Results[[#This Row],[Winning Team]],"YES","NO"))</f>
        <v>-</v>
      </c>
      <c r="P1058" t="str">
        <f>IF(Table46[[#This Row],[Locked Prediction]]&lt;&gt;Table46[[#This Row],[Prob Winner]], "Changed", "Same")</f>
        <v>Changed</v>
      </c>
      <c r="Q105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59" spans="4:17" x14ac:dyDescent="0.2">
      <c r="D1059" s="1">
        <v>46096</v>
      </c>
      <c r="E1059" s="2">
        <v>0.8125</v>
      </c>
      <c r="F1059" t="s">
        <v>34</v>
      </c>
      <c r="G1059">
        <f>VLOOKUP(Table46[[#This Row],[Home]],'NHL Model'!$A$6:$B$38,2,FALSE)</f>
        <v>-0.53650300840565446</v>
      </c>
      <c r="H1059" t="s">
        <v>19</v>
      </c>
      <c r="I1059">
        <f>VLOOKUP(Table46[[#This Row],[Visitor]],'NHL Model'!$A$6:$B$38,2,FALSE)</f>
        <v>-0.635565543477981</v>
      </c>
      <c r="J1059">
        <f>($B$1+Table46[[#This Row],[Home Differential]])-Table46[[#This Row],[Away Differential]]</f>
        <v>0.26163484473464493</v>
      </c>
      <c r="K1059" t="str">
        <f>IF(Table46[[#This Row],[HomeIce Differential]]&gt;0,Table46[[#This Row],[Home]],Table46[[#This Row],[Visitor]])</f>
        <v>Minnesota Wild</v>
      </c>
      <c r="L105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0.57477624356394719</v>
      </c>
      <c r="M1059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1059" t="str">
        <f>IF(OR((NHL2025_26Results[[#This Row],[Winning Team]]="")),"-",IF(Table46[[#This Row],[Predicted Winner]]=NHL2025_26Results[[#This Row],[Winning Team]],"YES","NO"))</f>
        <v>-</v>
      </c>
      <c r="O1059" t="str">
        <f>IF(OR((NHL2025_26Results[[#This Row],[Winning Team]]="")),"-",IF(Table46[[#This Row],[Prob Winner]]=NHL2025_26Results[[#This Row],[Winning Team]],"YES","NO"))</f>
        <v>-</v>
      </c>
      <c r="P1059" t="str">
        <f>IF(Table46[[#This Row],[Locked Prediction]]&lt;&gt;Table46[[#This Row],[Prob Winner]], "Changed", "Same")</f>
        <v>Changed</v>
      </c>
      <c r="Q105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60" spans="4:17" x14ac:dyDescent="0.2">
      <c r="D1060" s="1">
        <v>46096</v>
      </c>
      <c r="E1060" s="2">
        <v>0.79166666666666663</v>
      </c>
      <c r="F1060" t="s">
        <v>18</v>
      </c>
      <c r="G1060">
        <f>VLOOKUP(Table46[[#This Row],[Home]],'NHL Model'!$A$6:$B$38,2,FALSE)</f>
        <v>-0.52437726201848234</v>
      </c>
      <c r="H1060" t="s">
        <v>31</v>
      </c>
      <c r="I1060">
        <f>VLOOKUP(Table46[[#This Row],[Visitor]],'NHL Model'!$A$6:$B$38,2,FALSE)</f>
        <v>0.51775546328552802</v>
      </c>
      <c r="J1060">
        <f>($B$1+Table46[[#This Row],[Home Differential]])-Table46[[#This Row],[Away Differential]]</f>
        <v>-0.87956041564169196</v>
      </c>
      <c r="K1060" t="str">
        <f>IF(Table46[[#This Row],[HomeIce Differential]]&gt;0,Table46[[#This Row],[Home]],Table46[[#This Row],[Visitor]])</f>
        <v>Anaheim Ducks</v>
      </c>
      <c r="L106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0.59767952715801931</v>
      </c>
      <c r="M1060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060" t="str">
        <f>IF(OR((NHL2025_26Results[[#This Row],[Winning Team]]="")),"-",IF(Table46[[#This Row],[Predicted Winner]]=NHL2025_26Results[[#This Row],[Winning Team]],"YES","NO"))</f>
        <v>-</v>
      </c>
      <c r="O1060" t="str">
        <f>IF(OR((NHL2025_26Results[[#This Row],[Winning Team]]="")),"-",IF(Table46[[#This Row],[Prob Winner]]=NHL2025_26Results[[#This Row],[Winning Team]],"YES","NO"))</f>
        <v>-</v>
      </c>
      <c r="P1060" t="str">
        <f>IF(Table46[[#This Row],[Locked Prediction]]&lt;&gt;Table46[[#This Row],[Prob Winner]], "Changed", "Same")</f>
        <v>Changed</v>
      </c>
      <c r="Q106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61" spans="4:17" x14ac:dyDescent="0.2">
      <c r="D1061" s="1">
        <v>46096</v>
      </c>
      <c r="E1061" s="2">
        <v>0.70833333333333337</v>
      </c>
      <c r="F1061" t="s">
        <v>36</v>
      </c>
      <c r="G1061">
        <f>VLOOKUP(Table46[[#This Row],[Home]],'NHL Model'!$A$6:$B$38,2,FALSE)</f>
        <v>-0.40651947573390851</v>
      </c>
      <c r="H1061" t="s">
        <v>33</v>
      </c>
      <c r="I1061">
        <f>VLOOKUP(Table46[[#This Row],[Visitor]],'NHL Model'!$A$6:$B$38,2,FALSE)</f>
        <v>-0.39418177254008485</v>
      </c>
      <c r="J1061">
        <f>($B$1+Table46[[#This Row],[Home Differential]])-Table46[[#This Row],[Away Differential]]</f>
        <v>0.15023460646849474</v>
      </c>
      <c r="K1061" t="str">
        <f>IF(Table46[[#This Row],[HomeIce Differential]]&gt;0,Table46[[#This Row],[Home]],Table46[[#This Row],[Visitor]])</f>
        <v>Ottawa Senators</v>
      </c>
      <c r="L106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0.5624645138013219</v>
      </c>
      <c r="M1061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1061" t="str">
        <f>IF(OR((NHL2025_26Results[[#This Row],[Winning Team]]="")),"-",IF(Table46[[#This Row],[Predicted Winner]]=NHL2025_26Results[[#This Row],[Winning Team]],"YES","NO"))</f>
        <v>-</v>
      </c>
      <c r="O1061" t="str">
        <f>IF(OR((NHL2025_26Results[[#This Row],[Winning Team]]="")),"-",IF(Table46[[#This Row],[Prob Winner]]=NHL2025_26Results[[#This Row],[Winning Team]],"YES","NO"))</f>
        <v>-</v>
      </c>
      <c r="P1061" t="str">
        <f>IF(Table46[[#This Row],[Locked Prediction]]&lt;&gt;Table46[[#This Row],[Prob Winner]], "Changed", "Same")</f>
        <v>Changed</v>
      </c>
      <c r="Q106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62" spans="4:17" x14ac:dyDescent="0.2">
      <c r="D1062" s="1">
        <v>46096</v>
      </c>
      <c r="E1062" s="2">
        <v>0.83333333333333337</v>
      </c>
      <c r="F1062" t="s">
        <v>32</v>
      </c>
      <c r="G1062">
        <f>VLOOKUP(Table46[[#This Row],[Home]],'NHL Model'!$A$6:$B$38,2,FALSE)</f>
        <v>-0.361361309178443</v>
      </c>
      <c r="H1062" t="s">
        <v>11</v>
      </c>
      <c r="I1062">
        <f>VLOOKUP(Table46[[#This Row],[Visitor]],'NHL Model'!$A$6:$B$38,2,FALSE)</f>
        <v>-0.28105923893144158</v>
      </c>
      <c r="J1062">
        <f>($B$1+Table46[[#This Row],[Home Differential]])-Table46[[#This Row],[Away Differential]]</f>
        <v>8.227023941531697E-2</v>
      </c>
      <c r="K1062" t="str">
        <f>IF(Table46[[#This Row],[HomeIce Differential]]&gt;0,Table46[[#This Row],[Home]],Table46[[#This Row],[Visitor]])</f>
        <v>Seattle Kraken</v>
      </c>
      <c r="L106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0.57697301431654446</v>
      </c>
      <c r="M1062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1062" t="str">
        <f>IF(OR((NHL2025_26Results[[#This Row],[Winning Team]]="")),"-",IF(Table46[[#This Row],[Predicted Winner]]=NHL2025_26Results[[#This Row],[Winning Team]],"YES","NO"))</f>
        <v>-</v>
      </c>
      <c r="O1062" t="str">
        <f>IF(OR((NHL2025_26Results[[#This Row],[Winning Team]]="")),"-",IF(Table46[[#This Row],[Prob Winner]]=NHL2025_26Results[[#This Row],[Winning Team]],"YES","NO"))</f>
        <v>-</v>
      </c>
      <c r="P1062" t="str">
        <f>IF(Table46[[#This Row],[Locked Prediction]]&lt;&gt;Table46[[#This Row],[Prob Winner]], "Changed", "Same")</f>
        <v>Changed</v>
      </c>
      <c r="Q106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63" spans="4:17" x14ac:dyDescent="0.2">
      <c r="D1063" s="1">
        <v>46096</v>
      </c>
      <c r="E1063" s="2">
        <v>0.625</v>
      </c>
      <c r="F1063" t="s">
        <v>40</v>
      </c>
      <c r="G1063">
        <f>VLOOKUP(Table46[[#This Row],[Home]],'NHL Model'!$A$6:$B$38,2,FALSE)</f>
        <v>0.105105258369765</v>
      </c>
      <c r="H1063" t="s">
        <v>35</v>
      </c>
      <c r="I1063">
        <f>VLOOKUP(Table46[[#This Row],[Visitor]],'NHL Model'!$A$6:$B$38,2,FALSE)</f>
        <v>-1.6211574240381006</v>
      </c>
      <c r="J1063">
        <f>($B$1+Table46[[#This Row],[Home Differential]])-Table46[[#This Row],[Away Differential]]</f>
        <v>1.8888349920701839</v>
      </c>
      <c r="K1063" t="str">
        <f>IF(Table46[[#This Row],[HomeIce Differential]]&gt;0,Table46[[#This Row],[Home]],Table46[[#This Row],[Visitor]])</f>
        <v>Winnipeg Jets</v>
      </c>
      <c r="L106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0.82709893648607491</v>
      </c>
      <c r="M1063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063" t="str">
        <f>IF(OR((NHL2025_26Results[[#This Row],[Winning Team]]="")),"-",IF(Table46[[#This Row],[Predicted Winner]]=NHL2025_26Results[[#This Row],[Winning Team]],"YES","NO"))</f>
        <v>-</v>
      </c>
      <c r="O1063" t="str">
        <f>IF(OR((NHL2025_26Results[[#This Row],[Winning Team]]="")),"-",IF(Table46[[#This Row],[Prob Winner]]=NHL2025_26Results[[#This Row],[Winning Team]],"YES","NO"))</f>
        <v>-</v>
      </c>
      <c r="P1063" t="str">
        <f>IF(Table46[[#This Row],[Locked Prediction]]&lt;&gt;Table46[[#This Row],[Prob Winner]], "Changed", "Same")</f>
        <v>Changed</v>
      </c>
      <c r="Q106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64" spans="4:17" x14ac:dyDescent="0.2">
      <c r="D1064" s="1">
        <v>46097</v>
      </c>
      <c r="E1064" s="2">
        <v>0.89583333333333337</v>
      </c>
      <c r="F1064" t="s">
        <v>12</v>
      </c>
      <c r="G1064">
        <f>VLOOKUP(Table46[[#This Row],[Home]],'NHL Model'!$A$6:$B$38,2,FALSE)</f>
        <v>1.5475013591489768</v>
      </c>
      <c r="H1064" t="s">
        <v>14</v>
      </c>
      <c r="I1064">
        <f>VLOOKUP(Table46[[#This Row],[Visitor]],'NHL Model'!$A$6:$B$38,2,FALSE)</f>
        <v>0.26289091192875702</v>
      </c>
      <c r="J1064">
        <f>($B$1+Table46[[#This Row],[Home Differential]])-Table46[[#This Row],[Away Differential]]</f>
        <v>1.4471827568825382</v>
      </c>
      <c r="K1064" t="str">
        <f>IF(Table46[[#This Row],[HomeIce Differential]]&gt;0,Table46[[#This Row],[Home]],Table46[[#This Row],[Visitor]])</f>
        <v>Colorado Avalanche</v>
      </c>
      <c r="L106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0.82072434167079011</v>
      </c>
      <c r="M1064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064" t="str">
        <f>IF(OR((NHL2025_26Results[[#This Row],[Winning Team]]="")),"-",IF(Table46[[#This Row],[Predicted Winner]]=NHL2025_26Results[[#This Row],[Winning Team]],"YES","NO"))</f>
        <v>-</v>
      </c>
      <c r="O1064" t="str">
        <f>IF(OR((NHL2025_26Results[[#This Row],[Winning Team]]="")),"-",IF(Table46[[#This Row],[Prob Winner]]=NHL2025_26Results[[#This Row],[Winning Team]],"YES","NO"))</f>
        <v>-</v>
      </c>
      <c r="P1064" t="str">
        <f>IF(Table46[[#This Row],[Locked Prediction]]&lt;&gt;Table46[[#This Row],[Prob Winner]], "Changed", "Same")</f>
        <v>Changed</v>
      </c>
      <c r="Q106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65" spans="4:17" x14ac:dyDescent="0.2">
      <c r="D1065" s="1">
        <v>46097</v>
      </c>
      <c r="E1065" s="2">
        <v>0.83333333333333337</v>
      </c>
      <c r="F1065" t="s">
        <v>39</v>
      </c>
      <c r="G1065">
        <f>VLOOKUP(Table46[[#This Row],[Home]],'NHL Model'!$A$6:$B$38,2,FALSE)</f>
        <v>0.19809534061227302</v>
      </c>
      <c r="H1065" t="s">
        <v>55</v>
      </c>
      <c r="I1065">
        <f>VLOOKUP(Table46[[#This Row],[Visitor]],'NHL Model'!$A$6:$B$38,2,FALSE)</f>
        <v>-0.12212311954851815</v>
      </c>
      <c r="J1065">
        <f>($B$1+Table46[[#This Row],[Home Differential]])-Table46[[#This Row],[Away Differential]]</f>
        <v>0.48279076982310953</v>
      </c>
      <c r="K1065" t="str">
        <f>IF(Table46[[#This Row],[HomeIce Differential]]&gt;0,Table46[[#This Row],[Home]],Table46[[#This Row],[Visitor]])</f>
        <v>Dallas Stars</v>
      </c>
      <c r="L106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0.63020980520328329</v>
      </c>
      <c r="M1065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065" t="str">
        <f>IF(OR((NHL2025_26Results[[#This Row],[Winning Team]]="")),"-",IF(Table46[[#This Row],[Predicted Winner]]=NHL2025_26Results[[#This Row],[Winning Team]],"YES","NO"))</f>
        <v>-</v>
      </c>
      <c r="O1065" t="str">
        <f>IF(OR((NHL2025_26Results[[#This Row],[Winning Team]]="")),"-",IF(Table46[[#This Row],[Prob Winner]]=NHL2025_26Results[[#This Row],[Winning Team]],"YES","NO"))</f>
        <v>-</v>
      </c>
      <c r="P1065" t="str">
        <f>IF(Table46[[#This Row],[Locked Prediction]]&lt;&gt;Table46[[#This Row],[Prob Winner]], "Changed", "Same")</f>
        <v>Changed</v>
      </c>
      <c r="Q106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66" spans="4:17" x14ac:dyDescent="0.2">
      <c r="D1066" s="1">
        <v>46097</v>
      </c>
      <c r="E1066" s="2">
        <v>0.79166666666666663</v>
      </c>
      <c r="F1066" t="s">
        <v>26</v>
      </c>
      <c r="G1066">
        <f>VLOOKUP(Table46[[#This Row],[Home]],'NHL Model'!$A$6:$B$38,2,FALSE)</f>
        <v>-0.513643833119658</v>
      </c>
      <c r="H1066" t="s">
        <v>16</v>
      </c>
      <c r="I1066">
        <f>VLOOKUP(Table46[[#This Row],[Visitor]],'NHL Model'!$A$6:$B$38,2,FALSE)</f>
        <v>-1.3903684122795328</v>
      </c>
      <c r="J1066">
        <f>($B$1+Table46[[#This Row],[Home Differential]])-Table46[[#This Row],[Away Differential]]</f>
        <v>1.0392968888221932</v>
      </c>
      <c r="K1066" t="str">
        <f>IF(Table46[[#This Row],[HomeIce Differential]]&gt;0,Table46[[#This Row],[Home]],Table46[[#This Row],[Visitor]])</f>
        <v>Detroit Red Wings</v>
      </c>
      <c r="L106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0.70418004551575941</v>
      </c>
      <c r="M1066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1066" t="str">
        <f>IF(OR((NHL2025_26Results[[#This Row],[Winning Team]]="")),"-",IF(Table46[[#This Row],[Predicted Winner]]=NHL2025_26Results[[#This Row],[Winning Team]],"YES","NO"))</f>
        <v>-</v>
      </c>
      <c r="O1066" t="str">
        <f>IF(OR((NHL2025_26Results[[#This Row],[Winning Team]]="")),"-",IF(Table46[[#This Row],[Prob Winner]]=NHL2025_26Results[[#This Row],[Winning Team]],"YES","NO"))</f>
        <v>-</v>
      </c>
      <c r="P1066" t="str">
        <f>IF(Table46[[#This Row],[Locked Prediction]]&lt;&gt;Table46[[#This Row],[Prob Winner]], "Changed", "Same")</f>
        <v>Changed</v>
      </c>
      <c r="Q106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67" spans="4:17" x14ac:dyDescent="0.2">
      <c r="D1067" s="1">
        <v>46097</v>
      </c>
      <c r="E1067" s="2">
        <v>0.79166666666666663</v>
      </c>
      <c r="F1067" t="s">
        <v>24</v>
      </c>
      <c r="G1067">
        <f>VLOOKUP(Table46[[#This Row],[Home]],'NHL Model'!$A$6:$B$38,2,FALSE)</f>
        <v>0.559441163373953</v>
      </c>
      <c r="H1067" t="s">
        <v>21</v>
      </c>
      <c r="I1067">
        <f>VLOOKUP(Table46[[#This Row],[Visitor]],'NHL Model'!$A$6:$B$38,2,FALSE)</f>
        <v>4.029141914856392E-2</v>
      </c>
      <c r="J1067">
        <f>($B$1+Table46[[#This Row],[Home Differential]])-Table46[[#This Row],[Away Differential]]</f>
        <v>0.68172205388770746</v>
      </c>
      <c r="K1067" t="str">
        <f>IF(Table46[[#This Row],[HomeIce Differential]]&gt;0,Table46[[#This Row],[Home]],Table46[[#This Row],[Visitor]])</f>
        <v>New Jersey Devils</v>
      </c>
      <c r="L106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0.74604452955571521</v>
      </c>
      <c r="M1067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067" t="str">
        <f>IF(OR((NHL2025_26Results[[#This Row],[Winning Team]]="")),"-",IF(Table46[[#This Row],[Predicted Winner]]=NHL2025_26Results[[#This Row],[Winning Team]],"YES","NO"))</f>
        <v>-</v>
      </c>
      <c r="O1067" t="str">
        <f>IF(OR((NHL2025_26Results[[#This Row],[Winning Team]]="")),"-",IF(Table46[[#This Row],[Prob Winner]]=NHL2025_26Results[[#This Row],[Winning Team]],"YES","NO"))</f>
        <v>-</v>
      </c>
      <c r="P1067" t="str">
        <f>IF(Table46[[#This Row],[Locked Prediction]]&lt;&gt;Table46[[#This Row],[Prob Winner]], "Changed", "Same")</f>
        <v>Changed</v>
      </c>
      <c r="Q106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68" spans="4:17" x14ac:dyDescent="0.2">
      <c r="D1068" s="1">
        <v>46097</v>
      </c>
      <c r="E1068" s="2">
        <v>0.79166666666666663</v>
      </c>
      <c r="F1068" t="s">
        <v>15</v>
      </c>
      <c r="G1068">
        <f>VLOOKUP(Table46[[#This Row],[Home]],'NHL Model'!$A$6:$B$38,2,FALSE)</f>
        <v>-0.30719665303039001</v>
      </c>
      <c r="H1068" t="s">
        <v>13</v>
      </c>
      <c r="I1068">
        <f>VLOOKUP(Table46[[#This Row],[Visitor]],'NHL Model'!$A$6:$B$38,2,FALSE)</f>
        <v>-7.5459708298993802E-2</v>
      </c>
      <c r="J1068">
        <f>($B$1+Table46[[#This Row],[Home Differential]])-Table46[[#This Row],[Away Differential]]</f>
        <v>-6.9164635069077815E-2</v>
      </c>
      <c r="K1068" t="str">
        <f>IF(Table46[[#This Row],[HomeIce Differential]]&gt;0,Table46[[#This Row],[Home]],Table46[[#This Row],[Visitor]])</f>
        <v>Los Angeles Kings</v>
      </c>
      <c r="L106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0.59058864339861705</v>
      </c>
      <c r="M1068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068" t="str">
        <f>IF(OR((NHL2025_26Results[[#This Row],[Winning Team]]="")),"-",IF(Table46[[#This Row],[Predicted Winner]]=NHL2025_26Results[[#This Row],[Winning Team]],"YES","NO"))</f>
        <v>-</v>
      </c>
      <c r="O1068" t="str">
        <f>IF(OR((NHL2025_26Results[[#This Row],[Winning Team]]="")),"-",IF(Table46[[#This Row],[Prob Winner]]=NHL2025_26Results[[#This Row],[Winning Team]],"YES","NO"))</f>
        <v>-</v>
      </c>
      <c r="P1068" t="str">
        <f>IF(Table46[[#This Row],[Locked Prediction]]&lt;&gt;Table46[[#This Row],[Prob Winner]], "Changed", "Same")</f>
        <v>Changed</v>
      </c>
      <c r="Q106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69" spans="4:17" x14ac:dyDescent="0.2">
      <c r="D1069" s="1">
        <v>46098</v>
      </c>
      <c r="E1069" s="2">
        <v>0.79166666666666663</v>
      </c>
      <c r="F1069" t="s">
        <v>28</v>
      </c>
      <c r="G1069">
        <f>VLOOKUP(Table46[[#This Row],[Home]],'NHL Model'!$A$6:$B$38,2,FALSE)</f>
        <v>-0.40822279081308277</v>
      </c>
      <c r="H1069" t="s">
        <v>25</v>
      </c>
      <c r="I1069">
        <f>VLOOKUP(Table46[[#This Row],[Visitor]],'NHL Model'!$A$6:$B$38,2,FALSE)</f>
        <v>0.67193921242367816</v>
      </c>
      <c r="J1069">
        <f>($B$1+Table46[[#This Row],[Home Differential]])-Table46[[#This Row],[Away Differential]]</f>
        <v>-0.91758969357444253</v>
      </c>
      <c r="K1069" t="str">
        <f>IF(Table46[[#This Row],[HomeIce Differential]]&gt;0,Table46[[#This Row],[Home]],Table46[[#This Row],[Visitor]])</f>
        <v>Carolina Hurricanes</v>
      </c>
      <c r="L106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0.67445129806552884</v>
      </c>
      <c r="M1069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069" t="str">
        <f>IF(OR((NHL2025_26Results[[#This Row],[Winning Team]]="")),"-",IF(Table46[[#This Row],[Predicted Winner]]=NHL2025_26Results[[#This Row],[Winning Team]],"YES","NO"))</f>
        <v>-</v>
      </c>
      <c r="O1069" t="str">
        <f>IF(OR((NHL2025_26Results[[#This Row],[Winning Team]]="")),"-",IF(Table46[[#This Row],[Prob Winner]]=NHL2025_26Results[[#This Row],[Winning Team]],"YES","NO"))</f>
        <v>-</v>
      </c>
      <c r="P1069" t="str">
        <f>IF(Table46[[#This Row],[Locked Prediction]]&lt;&gt;Table46[[#This Row],[Prob Winner]], "Changed", "Same")</f>
        <v>Changed</v>
      </c>
      <c r="Q106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70" spans="4:17" x14ac:dyDescent="0.2">
      <c r="D1070" s="1">
        <v>46098</v>
      </c>
      <c r="E1070" s="2">
        <v>0.8125</v>
      </c>
      <c r="F1070" t="s">
        <v>10</v>
      </c>
      <c r="G1070">
        <f>VLOOKUP(Table46[[#This Row],[Home]],'NHL Model'!$A$6:$B$38,2,FALSE)</f>
        <v>0.30570968833820172</v>
      </c>
      <c r="H1070" t="s">
        <v>34</v>
      </c>
      <c r="I1070">
        <f>VLOOKUP(Table46[[#This Row],[Visitor]],'NHL Model'!$A$6:$B$38,2,FALSE)</f>
        <v>-0.53650300840565446</v>
      </c>
      <c r="J1070">
        <f>($B$1+Table46[[#This Row],[Home Differential]])-Table46[[#This Row],[Away Differential]]</f>
        <v>1.0047850064061745</v>
      </c>
      <c r="K1070" t="str">
        <f>IF(Table46[[#This Row],[HomeIce Differential]]&gt;0,Table46[[#This Row],[Home]],Table46[[#This Row],[Visitor]])</f>
        <v>Chicago Blackhawks</v>
      </c>
      <c r="L107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0.67355502455195826</v>
      </c>
      <c r="M1070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070" t="str">
        <f>IF(OR((NHL2025_26Results[[#This Row],[Winning Team]]="")),"-",IF(Table46[[#This Row],[Predicted Winner]]=NHL2025_26Results[[#This Row],[Winning Team]],"YES","NO"))</f>
        <v>-</v>
      </c>
      <c r="O1070" t="str">
        <f>IF(OR((NHL2025_26Results[[#This Row],[Winning Team]]="")),"-",IF(Table46[[#This Row],[Prob Winner]]=NHL2025_26Results[[#This Row],[Winning Team]],"YES","NO"))</f>
        <v>-</v>
      </c>
      <c r="P1070" t="str">
        <f>IF(Table46[[#This Row],[Locked Prediction]]&lt;&gt;Table46[[#This Row],[Prob Winner]], "Changed", "Same")</f>
        <v>Changed</v>
      </c>
      <c r="Q107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71" spans="4:17" x14ac:dyDescent="0.2">
      <c r="D1071" s="1">
        <v>46098</v>
      </c>
      <c r="E1071" s="2">
        <v>0.875</v>
      </c>
      <c r="F1071" t="s">
        <v>17</v>
      </c>
      <c r="G1071">
        <f>VLOOKUP(Table46[[#This Row],[Home]],'NHL Model'!$A$6:$B$38,2,FALSE)</f>
        <v>-0.61980804137564283</v>
      </c>
      <c r="H1071" t="s">
        <v>33</v>
      </c>
      <c r="I1071">
        <f>VLOOKUP(Table46[[#This Row],[Visitor]],'NHL Model'!$A$6:$B$38,2,FALSE)</f>
        <v>-0.39418177254008485</v>
      </c>
      <c r="J1071">
        <f>($B$1+Table46[[#This Row],[Home Differential]])-Table46[[#This Row],[Away Differential]]</f>
        <v>-6.3053959173239582E-2</v>
      </c>
      <c r="K1071" t="str">
        <f>IF(Table46[[#This Row],[HomeIce Differential]]&gt;0,Table46[[#This Row],[Home]],Table46[[#This Row],[Visitor]])</f>
        <v>San Jose Sharks</v>
      </c>
      <c r="L107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0.43234420323433637</v>
      </c>
      <c r="M1071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1071" t="str">
        <f>IF(OR((NHL2025_26Results[[#This Row],[Winning Team]]="")),"-",IF(Table46[[#This Row],[Predicted Winner]]=NHL2025_26Results[[#This Row],[Winning Team]],"YES","NO"))</f>
        <v>-</v>
      </c>
      <c r="O1071" t="str">
        <f>IF(OR((NHL2025_26Results[[#This Row],[Winning Team]]="")),"-",IF(Table46[[#This Row],[Prob Winner]]=NHL2025_26Results[[#This Row],[Winning Team]],"YES","NO"))</f>
        <v>-</v>
      </c>
      <c r="P1071" t="str">
        <f>IF(Table46[[#This Row],[Locked Prediction]]&lt;&gt;Table46[[#This Row],[Prob Winner]], "Changed", "Same")</f>
        <v>Changed</v>
      </c>
      <c r="Q107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72" spans="4:17" x14ac:dyDescent="0.2">
      <c r="D1072" s="1">
        <v>46098</v>
      </c>
      <c r="E1072" s="2">
        <v>0.79166666666666663</v>
      </c>
      <c r="F1072" t="s">
        <v>18</v>
      </c>
      <c r="G1072">
        <f>VLOOKUP(Table46[[#This Row],[Home]],'NHL Model'!$A$6:$B$38,2,FALSE)</f>
        <v>-0.52437726201848234</v>
      </c>
      <c r="H1072" t="s">
        <v>21</v>
      </c>
      <c r="I1072">
        <f>VLOOKUP(Table46[[#This Row],[Visitor]],'NHL Model'!$A$6:$B$38,2,FALSE)</f>
        <v>4.029141914856392E-2</v>
      </c>
      <c r="J1072">
        <f>($B$1+Table46[[#This Row],[Home Differential]])-Table46[[#This Row],[Away Differential]]</f>
        <v>-0.40209637150472788</v>
      </c>
      <c r="K1072" t="str">
        <f>IF(Table46[[#This Row],[HomeIce Differential]]&gt;0,Table46[[#This Row],[Home]],Table46[[#This Row],[Visitor]])</f>
        <v>Boston Bruins</v>
      </c>
      <c r="L107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0.51344625011936007</v>
      </c>
      <c r="M1072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072" t="str">
        <f>IF(OR((NHL2025_26Results[[#This Row],[Winning Team]]="")),"-",IF(Table46[[#This Row],[Predicted Winner]]=NHL2025_26Results[[#This Row],[Winning Team]],"YES","NO"))</f>
        <v>-</v>
      </c>
      <c r="O1072" t="str">
        <f>IF(OR((NHL2025_26Results[[#This Row],[Winning Team]]="")),"-",IF(Table46[[#This Row],[Prob Winner]]=NHL2025_26Results[[#This Row],[Winning Team]],"YES","NO"))</f>
        <v>-</v>
      </c>
      <c r="P1072" t="str">
        <f>IF(Table46[[#This Row],[Locked Prediction]]&lt;&gt;Table46[[#This Row],[Prob Winner]], "Changed", "Same")</f>
        <v>Changed</v>
      </c>
      <c r="Q107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73" spans="4:17" x14ac:dyDescent="0.2">
      <c r="D1073" s="1">
        <v>46098</v>
      </c>
      <c r="E1073" s="2">
        <v>0.91666666666666663</v>
      </c>
      <c r="F1073" t="s">
        <v>32</v>
      </c>
      <c r="G1073">
        <f>VLOOKUP(Table46[[#This Row],[Home]],'NHL Model'!$A$6:$B$38,2,FALSE)</f>
        <v>-0.361361309178443</v>
      </c>
      <c r="H1073" t="s">
        <v>37</v>
      </c>
      <c r="I1073">
        <f>VLOOKUP(Table46[[#This Row],[Visitor]],'NHL Model'!$A$6:$B$38,2,FALSE)</f>
        <v>-0.11309445867623392</v>
      </c>
      <c r="J1073">
        <f>($B$1+Table46[[#This Row],[Home Differential]])-Table46[[#This Row],[Away Differential]]</f>
        <v>-8.5694540839890684E-2</v>
      </c>
      <c r="K1073" t="str">
        <f>IF(Table46[[#This Row],[HomeIce Differential]]&gt;0,Table46[[#This Row],[Home]],Table46[[#This Row],[Visitor]])</f>
        <v>Tampa Bay Lightning</v>
      </c>
      <c r="L107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0.49215966397919247</v>
      </c>
      <c r="M1073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1073" t="str">
        <f>IF(OR((NHL2025_26Results[[#This Row],[Winning Team]]="")),"-",IF(Table46[[#This Row],[Predicted Winner]]=NHL2025_26Results[[#This Row],[Winning Team]],"YES","NO"))</f>
        <v>-</v>
      </c>
      <c r="O1073" t="str">
        <f>IF(OR((NHL2025_26Results[[#This Row],[Winning Team]]="")),"-",IF(Table46[[#This Row],[Prob Winner]]=NHL2025_26Results[[#This Row],[Winning Team]],"YES","NO"))</f>
        <v>-</v>
      </c>
      <c r="P1073" t="str">
        <f>IF(Table46[[#This Row],[Locked Prediction]]&lt;&gt;Table46[[#This Row],[Prob Winner]], "Changed", "Same")</f>
        <v>Changed</v>
      </c>
      <c r="Q107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74" spans="4:17" x14ac:dyDescent="0.2">
      <c r="D1074" s="1">
        <v>46098</v>
      </c>
      <c r="E1074" s="2">
        <v>0.79166666666666663</v>
      </c>
      <c r="F1074" t="s">
        <v>19</v>
      </c>
      <c r="G1074">
        <f>VLOOKUP(Table46[[#This Row],[Home]],'NHL Model'!$A$6:$B$38,2,FALSE)</f>
        <v>-0.635565543477981</v>
      </c>
      <c r="H1074" t="s">
        <v>30</v>
      </c>
      <c r="I1074">
        <f>VLOOKUP(Table46[[#This Row],[Visitor]],'NHL Model'!$A$6:$B$38,2,FALSE)</f>
        <v>-6.4729560818359025E-2</v>
      </c>
      <c r="J1074">
        <f>($B$1+Table46[[#This Row],[Home Differential]])-Table46[[#This Row],[Away Differential]]</f>
        <v>-0.40826367299730359</v>
      </c>
      <c r="K1074" t="str">
        <f>IF(Table46[[#This Row],[HomeIce Differential]]&gt;0,Table46[[#This Row],[Home]],Table46[[#This Row],[Visitor]])</f>
        <v>New York Islanders</v>
      </c>
      <c r="L107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0.55677856451910179</v>
      </c>
      <c r="M1074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074" t="str">
        <f>IF(OR((NHL2025_26Results[[#This Row],[Winning Team]]="")),"-",IF(Table46[[#This Row],[Predicted Winner]]=NHL2025_26Results[[#This Row],[Winning Team]],"YES","NO"))</f>
        <v>-</v>
      </c>
      <c r="O1074" t="str">
        <f>IF(OR((NHL2025_26Results[[#This Row],[Winning Team]]="")),"-",IF(Table46[[#This Row],[Prob Winner]]=NHL2025_26Results[[#This Row],[Winning Team]],"YES","NO"))</f>
        <v>-</v>
      </c>
      <c r="P1074" t="str">
        <f>IF(Table46[[#This Row],[Locked Prediction]]&lt;&gt;Table46[[#This Row],[Prob Winner]], "Changed", "Same")</f>
        <v>Changed</v>
      </c>
      <c r="Q107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75" spans="4:17" x14ac:dyDescent="0.2">
      <c r="D1075" s="1">
        <v>46098</v>
      </c>
      <c r="E1075" s="2">
        <v>0.91666666666666663</v>
      </c>
      <c r="F1075" t="s">
        <v>38</v>
      </c>
      <c r="G1075">
        <f>VLOOKUP(Table46[[#This Row],[Home]],'NHL Model'!$A$6:$B$38,2,FALSE)</f>
        <v>-0.6902088310934803</v>
      </c>
      <c r="H1075" t="s">
        <v>11</v>
      </c>
      <c r="I1075">
        <f>VLOOKUP(Table46[[#This Row],[Visitor]],'NHL Model'!$A$6:$B$38,2,FALSE)</f>
        <v>-0.28105923893144158</v>
      </c>
      <c r="J1075">
        <f>($B$1+Table46[[#This Row],[Home Differential]])-Table46[[#This Row],[Away Differential]]</f>
        <v>-0.24657728249972033</v>
      </c>
      <c r="K1075" t="str">
        <f>IF(Table46[[#This Row],[HomeIce Differential]]&gt;0,Table46[[#This Row],[Home]],Table46[[#This Row],[Visitor]])</f>
        <v>Florida Panthers</v>
      </c>
      <c r="L107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0.49277480735505025</v>
      </c>
      <c r="M1075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1075" t="str">
        <f>IF(OR((NHL2025_26Results[[#This Row],[Winning Team]]="")),"-",IF(Table46[[#This Row],[Predicted Winner]]=NHL2025_26Results[[#This Row],[Winning Team]],"YES","NO"))</f>
        <v>-</v>
      </c>
      <c r="O1075" t="str">
        <f>IF(OR((NHL2025_26Results[[#This Row],[Winning Team]]="")),"-",IF(Table46[[#This Row],[Prob Winner]]=NHL2025_26Results[[#This Row],[Winning Team]],"YES","NO"))</f>
        <v>-</v>
      </c>
      <c r="P1075" t="str">
        <f>IF(Table46[[#This Row],[Locked Prediction]]&lt;&gt;Table46[[#This Row],[Prob Winner]], "Changed", "Same")</f>
        <v>Changed</v>
      </c>
      <c r="Q107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76" spans="4:17" x14ac:dyDescent="0.2">
      <c r="D1076" s="1">
        <v>46098</v>
      </c>
      <c r="E1076" s="2">
        <v>0.91666666666666663</v>
      </c>
      <c r="F1076" t="s">
        <v>20</v>
      </c>
      <c r="G1076">
        <f>VLOOKUP(Table46[[#This Row],[Home]],'NHL Model'!$A$6:$B$38,2,FALSE)</f>
        <v>-6.3745791019188943E-4</v>
      </c>
      <c r="H1076" t="s">
        <v>23</v>
      </c>
      <c r="I1076">
        <f>VLOOKUP(Table46[[#This Row],[Visitor]],'NHL Model'!$A$6:$B$38,2,FALSE)</f>
        <v>-0.8683412362501769</v>
      </c>
      <c r="J1076">
        <f>($B$1+Table46[[#This Row],[Home Differential]])-Table46[[#This Row],[Away Differential]]</f>
        <v>1.0302760880023034</v>
      </c>
      <c r="K1076" t="str">
        <f>IF(Table46[[#This Row],[HomeIce Differential]]&gt;0,Table46[[#This Row],[Home]],Table46[[#This Row],[Visitor]])</f>
        <v>Vegas Golden Knights</v>
      </c>
      <c r="L107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0.67694327378609409</v>
      </c>
      <c r="M1076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076" t="str">
        <f>IF(OR((NHL2025_26Results[[#This Row],[Winning Team]]="")),"-",IF(Table46[[#This Row],[Predicted Winner]]=NHL2025_26Results[[#This Row],[Winning Team]],"YES","NO"))</f>
        <v>-</v>
      </c>
      <c r="O1076" t="str">
        <f>IF(OR((NHL2025_26Results[[#This Row],[Winning Team]]="")),"-",IF(Table46[[#This Row],[Prob Winner]]=NHL2025_26Results[[#This Row],[Winning Team]],"YES","NO"))</f>
        <v>-</v>
      </c>
      <c r="P1076" t="str">
        <f>IF(Table46[[#This Row],[Locked Prediction]]&lt;&gt;Table46[[#This Row],[Prob Winner]], "Changed", "Same")</f>
        <v>Changed</v>
      </c>
      <c r="Q107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77" spans="4:17" x14ac:dyDescent="0.2">
      <c r="D1077" s="1">
        <v>46098</v>
      </c>
      <c r="E1077" s="2">
        <v>0.83333333333333337</v>
      </c>
      <c r="F1077" t="s">
        <v>40</v>
      </c>
      <c r="G1077">
        <f>VLOOKUP(Table46[[#This Row],[Home]],'NHL Model'!$A$6:$B$38,2,FALSE)</f>
        <v>0.105105258369765</v>
      </c>
      <c r="H1077" t="s">
        <v>29</v>
      </c>
      <c r="I1077">
        <f>VLOOKUP(Table46[[#This Row],[Visitor]],'NHL Model'!$A$6:$B$38,2,FALSE)</f>
        <v>-1.3516250707060606</v>
      </c>
      <c r="J1077">
        <f>($B$1+Table46[[#This Row],[Home Differential]])-Table46[[#This Row],[Away Differential]]</f>
        <v>1.619302638738144</v>
      </c>
      <c r="K1077" t="str">
        <f>IF(Table46[[#This Row],[HomeIce Differential]]&gt;0,Table46[[#This Row],[Home]],Table46[[#This Row],[Visitor]])</f>
        <v>Winnipeg Jets</v>
      </c>
      <c r="L107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0.7912729639274676</v>
      </c>
      <c r="M1077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077" t="str">
        <f>IF(OR((NHL2025_26Results[[#This Row],[Winning Team]]="")),"-",IF(Table46[[#This Row],[Predicted Winner]]=NHL2025_26Results[[#This Row],[Winning Team]],"YES","NO"))</f>
        <v>-</v>
      </c>
      <c r="O1077" t="str">
        <f>IF(OR((NHL2025_26Results[[#This Row],[Winning Team]]="")),"-",IF(Table46[[#This Row],[Prob Winner]]=NHL2025_26Results[[#This Row],[Winning Team]],"YES","NO"))</f>
        <v>-</v>
      </c>
      <c r="P1077" t="str">
        <f>IF(Table46[[#This Row],[Locked Prediction]]&lt;&gt;Table46[[#This Row],[Prob Winner]], "Changed", "Same")</f>
        <v>Changed</v>
      </c>
      <c r="Q107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78" spans="4:17" x14ac:dyDescent="0.2">
      <c r="D1078" s="1">
        <v>46099</v>
      </c>
      <c r="E1078" s="2">
        <v>0.91666666666666663</v>
      </c>
      <c r="F1078" t="s">
        <v>31</v>
      </c>
      <c r="G1078">
        <f>VLOOKUP(Table46[[#This Row],[Home]],'NHL Model'!$A$6:$B$38,2,FALSE)</f>
        <v>0.51775546328552802</v>
      </c>
      <c r="H1078" t="s">
        <v>27</v>
      </c>
      <c r="I1078">
        <f>VLOOKUP(Table46[[#This Row],[Visitor]],'NHL Model'!$A$6:$B$38,2,FALSE)</f>
        <v>-0.51358590497437617</v>
      </c>
      <c r="J1078">
        <f>($B$1+Table46[[#This Row],[Home Differential]])-Table46[[#This Row],[Away Differential]]</f>
        <v>1.1939136779222226</v>
      </c>
      <c r="K1078" t="str">
        <f>IF(Table46[[#This Row],[HomeIce Differential]]&gt;0,Table46[[#This Row],[Home]],Table46[[#This Row],[Visitor]])</f>
        <v>Anaheim Ducks</v>
      </c>
      <c r="L107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0.80302371653151505</v>
      </c>
      <c r="M1078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078" t="str">
        <f>IF(OR((NHL2025_26Results[[#This Row],[Winning Team]]="")),"-",IF(Table46[[#This Row],[Predicted Winner]]=NHL2025_26Results[[#This Row],[Winning Team]],"YES","NO"))</f>
        <v>-</v>
      </c>
      <c r="O1078" t="str">
        <f>IF(OR((NHL2025_26Results[[#This Row],[Winning Team]]="")),"-",IF(Table46[[#This Row],[Prob Winner]]=NHL2025_26Results[[#This Row],[Winning Team]],"YES","NO"))</f>
        <v>-</v>
      </c>
      <c r="P1078" t="str">
        <f>IF(Table46[[#This Row],[Locked Prediction]]&lt;&gt;Table46[[#This Row],[Prob Winner]], "Changed", "Same")</f>
        <v>Changed</v>
      </c>
      <c r="Q107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79" spans="4:17" x14ac:dyDescent="0.2">
      <c r="D1079" s="1">
        <v>46099</v>
      </c>
      <c r="E1079" s="2">
        <v>0.79166666666666663</v>
      </c>
      <c r="F1079" t="s">
        <v>25</v>
      </c>
      <c r="G1079">
        <f>VLOOKUP(Table46[[#This Row],[Home]],'NHL Model'!$A$6:$B$38,2,FALSE)</f>
        <v>0.67193921242367816</v>
      </c>
      <c r="H1079" t="s">
        <v>14</v>
      </c>
      <c r="I1079">
        <f>VLOOKUP(Table46[[#This Row],[Visitor]],'NHL Model'!$A$6:$B$38,2,FALSE)</f>
        <v>0.26289091192875702</v>
      </c>
      <c r="J1079">
        <f>($B$1+Table46[[#This Row],[Home Differential]])-Table46[[#This Row],[Away Differential]]</f>
        <v>0.57162061015723953</v>
      </c>
      <c r="K1079" t="str">
        <f>IF(Table46[[#This Row],[HomeIce Differential]]&gt;0,Table46[[#This Row],[Home]],Table46[[#This Row],[Visitor]])</f>
        <v>Carolina Hurricanes</v>
      </c>
      <c r="L107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0.667695219788637</v>
      </c>
      <c r="M1079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079" t="str">
        <f>IF(OR((NHL2025_26Results[[#This Row],[Winning Team]]="")),"-",IF(Table46[[#This Row],[Predicted Winner]]=NHL2025_26Results[[#This Row],[Winning Team]],"YES","NO"))</f>
        <v>-</v>
      </c>
      <c r="O1079" t="str">
        <f>IF(OR((NHL2025_26Results[[#This Row],[Winning Team]]="")),"-",IF(Table46[[#This Row],[Prob Winner]]=NHL2025_26Results[[#This Row],[Winning Team]],"YES","NO"))</f>
        <v>-</v>
      </c>
      <c r="P1079" t="str">
        <f>IF(Table46[[#This Row],[Locked Prediction]]&lt;&gt;Table46[[#This Row],[Prob Winner]], "Changed", "Same")</f>
        <v>Changed</v>
      </c>
      <c r="Q107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80" spans="4:17" x14ac:dyDescent="0.2">
      <c r="D1080" s="1">
        <v>46099</v>
      </c>
      <c r="E1080" s="2">
        <v>0.89583333333333337</v>
      </c>
      <c r="F1080" t="s">
        <v>16</v>
      </c>
      <c r="G1080">
        <f>VLOOKUP(Table46[[#This Row],[Home]],'NHL Model'!$A$6:$B$38,2,FALSE)</f>
        <v>-1.3903684122795328</v>
      </c>
      <c r="H1080" t="s">
        <v>35</v>
      </c>
      <c r="I1080">
        <f>VLOOKUP(Table46[[#This Row],[Visitor]],'NHL Model'!$A$6:$B$38,2,FALSE)</f>
        <v>-1.6211574240381006</v>
      </c>
      <c r="J1080">
        <f>($B$1+Table46[[#This Row],[Home Differential]])-Table46[[#This Row],[Away Differential]]</f>
        <v>0.3933613214208862</v>
      </c>
      <c r="K1080" t="str">
        <f>IF(Table46[[#This Row],[HomeIce Differential]]&gt;0,Table46[[#This Row],[Home]],Table46[[#This Row],[Visitor]])</f>
        <v>Calgary Flames</v>
      </c>
      <c r="L108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0.59228519594262363</v>
      </c>
      <c r="M1080" s="11" t="str">
        <f>IF(Table46[[#This Row],[Strength of Win]]&gt; 0.5,Table46[[#This Row],[Predicted Winner]], IF(Table46[[#This Row],[Home]]=Table46[[#This Row],[Predicted Winner]],Table46[[#This Row],[Visitor]],Table46[[#This Row],[Home]]))</f>
        <v>Calgary Flames</v>
      </c>
      <c r="N1080" t="str">
        <f>IF(OR((NHL2025_26Results[[#This Row],[Winning Team]]="")),"-",IF(Table46[[#This Row],[Predicted Winner]]=NHL2025_26Results[[#This Row],[Winning Team]],"YES","NO"))</f>
        <v>-</v>
      </c>
      <c r="O1080" t="str">
        <f>IF(OR((NHL2025_26Results[[#This Row],[Winning Team]]="")),"-",IF(Table46[[#This Row],[Prob Winner]]=NHL2025_26Results[[#This Row],[Winning Team]],"YES","NO"))</f>
        <v>-</v>
      </c>
      <c r="P1080" t="str">
        <f>IF(Table46[[#This Row],[Locked Prediction]]&lt;&gt;Table46[[#This Row],[Prob Winner]], "Changed", "Same")</f>
        <v>Changed</v>
      </c>
      <c r="Q108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81" spans="4:17" x14ac:dyDescent="0.2">
      <c r="D1081" s="1">
        <v>46099</v>
      </c>
      <c r="E1081" s="2">
        <v>0.89583333333333337</v>
      </c>
      <c r="F1081" t="s">
        <v>12</v>
      </c>
      <c r="G1081">
        <f>VLOOKUP(Table46[[#This Row],[Home]],'NHL Model'!$A$6:$B$38,2,FALSE)</f>
        <v>1.5475013591489768</v>
      </c>
      <c r="H1081" t="s">
        <v>39</v>
      </c>
      <c r="I1081">
        <f>VLOOKUP(Table46[[#This Row],[Visitor]],'NHL Model'!$A$6:$B$38,2,FALSE)</f>
        <v>0.19809534061227302</v>
      </c>
      <c r="J1081">
        <f>($B$1+Table46[[#This Row],[Home Differential]])-Table46[[#This Row],[Away Differential]]</f>
        <v>1.5119783281990222</v>
      </c>
      <c r="K1081" t="str">
        <f>IF(Table46[[#This Row],[HomeIce Differential]]&gt;0,Table46[[#This Row],[Home]],Table46[[#This Row],[Visitor]])</f>
        <v>Colorado Avalanche</v>
      </c>
      <c r="L108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0.73943219532563975</v>
      </c>
      <c r="M1081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081" t="str">
        <f>IF(OR((NHL2025_26Results[[#This Row],[Winning Team]]="")),"-",IF(Table46[[#This Row],[Predicted Winner]]=NHL2025_26Results[[#This Row],[Winning Team]],"YES","NO"))</f>
        <v>-</v>
      </c>
      <c r="O1081" t="str">
        <f>IF(OR((NHL2025_26Results[[#This Row],[Winning Team]]="")),"-",IF(Table46[[#This Row],[Prob Winner]]=NHL2025_26Results[[#This Row],[Winning Team]],"YES","NO"))</f>
        <v>-</v>
      </c>
      <c r="P1081" t="str">
        <f>IF(Table46[[#This Row],[Locked Prediction]]&lt;&gt;Table46[[#This Row],[Prob Winner]], "Changed", "Same")</f>
        <v>Changed</v>
      </c>
      <c r="Q108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82" spans="4:17" x14ac:dyDescent="0.2">
      <c r="D1082" s="1">
        <v>46099</v>
      </c>
      <c r="E1082" s="2">
        <v>0.79166666666666663</v>
      </c>
      <c r="F1082" t="s">
        <v>15</v>
      </c>
      <c r="G1082">
        <f>VLOOKUP(Table46[[#This Row],[Home]],'NHL Model'!$A$6:$B$38,2,FALSE)</f>
        <v>-0.30719665303039001</v>
      </c>
      <c r="H1082" t="s">
        <v>24</v>
      </c>
      <c r="I1082">
        <f>VLOOKUP(Table46[[#This Row],[Visitor]],'NHL Model'!$A$6:$B$38,2,FALSE)</f>
        <v>0.559441163373953</v>
      </c>
      <c r="J1082">
        <f>($B$1+Table46[[#This Row],[Home Differential]])-Table46[[#This Row],[Away Differential]]</f>
        <v>-0.70406550674202462</v>
      </c>
      <c r="K1082" t="str">
        <f>IF(Table46[[#This Row],[HomeIce Differential]]&gt;0,Table46[[#This Row],[Home]],Table46[[#This Row],[Visitor]])</f>
        <v>New Jersey Devils</v>
      </c>
      <c r="L108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0.61989947696862546</v>
      </c>
      <c r="M1082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082" t="str">
        <f>IF(OR((NHL2025_26Results[[#This Row],[Winning Team]]="")),"-",IF(Table46[[#This Row],[Predicted Winner]]=NHL2025_26Results[[#This Row],[Winning Team]],"YES","NO"))</f>
        <v>-</v>
      </c>
      <c r="O1082" t="str">
        <f>IF(OR((NHL2025_26Results[[#This Row],[Winning Team]]="")),"-",IF(Table46[[#This Row],[Prob Winner]]=NHL2025_26Results[[#This Row],[Winning Team]],"YES","NO"))</f>
        <v>-</v>
      </c>
      <c r="P1082" t="str">
        <f>IF(Table46[[#This Row],[Locked Prediction]]&lt;&gt;Table46[[#This Row],[Prob Winner]], "Changed", "Same")</f>
        <v>Changed</v>
      </c>
      <c r="Q108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83" spans="4:17" x14ac:dyDescent="0.2">
      <c r="D1083" s="1">
        <v>46099</v>
      </c>
      <c r="E1083" s="2">
        <v>0.8125</v>
      </c>
      <c r="F1083" t="s">
        <v>22</v>
      </c>
      <c r="G1083">
        <f>VLOOKUP(Table46[[#This Row],[Home]],'NHL Model'!$A$6:$B$38,2,FALSE)</f>
        <v>-6.1308839486784707E-2</v>
      </c>
      <c r="H1083" t="s">
        <v>36</v>
      </c>
      <c r="I1083">
        <f>VLOOKUP(Table46[[#This Row],[Visitor]],'NHL Model'!$A$6:$B$38,2,FALSE)</f>
        <v>-0.40651947573390851</v>
      </c>
      <c r="J1083">
        <f>($B$1+Table46[[#This Row],[Home Differential]])-Table46[[#This Row],[Away Differential]]</f>
        <v>0.50778294590944217</v>
      </c>
      <c r="K1083" t="str">
        <f>IF(Table46[[#This Row],[HomeIce Differential]]&gt;0,Table46[[#This Row],[Home]],Table46[[#This Row],[Visitor]])</f>
        <v>Washington Capitals</v>
      </c>
      <c r="L108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0.60749400456378511</v>
      </c>
      <c r="M1083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1083" t="str">
        <f>IF(OR((NHL2025_26Results[[#This Row],[Winning Team]]="")),"-",IF(Table46[[#This Row],[Predicted Winner]]=NHL2025_26Results[[#This Row],[Winning Team]],"YES","NO"))</f>
        <v>-</v>
      </c>
      <c r="O1083" t="str">
        <f>IF(OR((NHL2025_26Results[[#This Row],[Winning Team]]="")),"-",IF(Table46[[#This Row],[Prob Winner]]=NHL2025_26Results[[#This Row],[Winning Team]],"YES","NO"))</f>
        <v>-</v>
      </c>
      <c r="P1083" t="str">
        <f>IF(Table46[[#This Row],[Locked Prediction]]&lt;&gt;Table46[[#This Row],[Prob Winner]], "Changed", "Same")</f>
        <v>Changed</v>
      </c>
      <c r="Q108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84" spans="4:17" x14ac:dyDescent="0.2">
      <c r="D1084" s="1">
        <v>46100</v>
      </c>
      <c r="E1084" s="2">
        <v>0.79166666666666663</v>
      </c>
      <c r="F1084" t="s">
        <v>21</v>
      </c>
      <c r="G1084">
        <f>VLOOKUP(Table46[[#This Row],[Home]],'NHL Model'!$A$6:$B$38,2,FALSE)</f>
        <v>4.029141914856392E-2</v>
      </c>
      <c r="H1084" t="s">
        <v>40</v>
      </c>
      <c r="I1084">
        <f>VLOOKUP(Table46[[#This Row],[Visitor]],'NHL Model'!$A$6:$B$38,2,FALSE)</f>
        <v>0.105105258369765</v>
      </c>
      <c r="J1084">
        <f>($B$1+Table46[[#This Row],[Home Differential]])-Table46[[#This Row],[Away Differential]]</f>
        <v>9.7758470441117323E-2</v>
      </c>
      <c r="K1084" t="str">
        <f>IF(Table46[[#This Row],[HomeIce Differential]]&gt;0,Table46[[#This Row],[Home]],Table46[[#This Row],[Visitor]])</f>
        <v>Boston Bruins</v>
      </c>
      <c r="L108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0.56093916422354539</v>
      </c>
      <c r="M1084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084" t="str">
        <f>IF(OR((NHL2025_26Results[[#This Row],[Winning Team]]="")),"-",IF(Table46[[#This Row],[Predicted Winner]]=NHL2025_26Results[[#This Row],[Winning Team]],"YES","NO"))</f>
        <v>-</v>
      </c>
      <c r="O1084" t="str">
        <f>IF(OR((NHL2025_26Results[[#This Row],[Winning Team]]="")),"-",IF(Table46[[#This Row],[Prob Winner]]=NHL2025_26Results[[#This Row],[Winning Team]],"YES","NO"))</f>
        <v>-</v>
      </c>
      <c r="P1084" t="str">
        <f>IF(Table46[[#This Row],[Locked Prediction]]&lt;&gt;Table46[[#This Row],[Prob Winner]], "Changed", "Same")</f>
        <v>Changed</v>
      </c>
      <c r="Q108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85" spans="4:17" x14ac:dyDescent="0.2">
      <c r="D1085" s="1">
        <v>46100</v>
      </c>
      <c r="E1085" s="2">
        <v>0.79166666666666663</v>
      </c>
      <c r="F1085" t="s">
        <v>28</v>
      </c>
      <c r="G1085">
        <f>VLOOKUP(Table46[[#This Row],[Home]],'NHL Model'!$A$6:$B$38,2,FALSE)</f>
        <v>-0.40822279081308277</v>
      </c>
      <c r="H1085" t="s">
        <v>15</v>
      </c>
      <c r="I1085">
        <f>VLOOKUP(Table46[[#This Row],[Visitor]],'NHL Model'!$A$6:$B$38,2,FALSE)</f>
        <v>-0.30719665303039001</v>
      </c>
      <c r="J1085">
        <f>($B$1+Table46[[#This Row],[Home Differential]])-Table46[[#This Row],[Away Differential]]</f>
        <v>6.1546171879625633E-2</v>
      </c>
      <c r="K1085" t="str">
        <f>IF(Table46[[#This Row],[HomeIce Differential]]&gt;0,Table46[[#This Row],[Home]],Table46[[#This Row],[Visitor]])</f>
        <v>Columbus Blue Jackets</v>
      </c>
      <c r="L108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0.40577101745085453</v>
      </c>
      <c r="M1085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085" t="str">
        <f>IF(OR((NHL2025_26Results[[#This Row],[Winning Team]]="")),"-",IF(Table46[[#This Row],[Predicted Winner]]=NHL2025_26Results[[#This Row],[Winning Team]],"YES","NO"))</f>
        <v>-</v>
      </c>
      <c r="O1085" t="str">
        <f>IF(OR((NHL2025_26Results[[#This Row],[Winning Team]]="")),"-",IF(Table46[[#This Row],[Prob Winner]]=NHL2025_26Results[[#This Row],[Winning Team]],"YES","NO"))</f>
        <v>-</v>
      </c>
      <c r="P1085" t="str">
        <f>IF(Table46[[#This Row],[Locked Prediction]]&lt;&gt;Table46[[#This Row],[Prob Winner]], "Changed", "Same")</f>
        <v>Changed</v>
      </c>
      <c r="Q108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86" spans="4:17" x14ac:dyDescent="0.2">
      <c r="D1086" s="1">
        <v>46100</v>
      </c>
      <c r="E1086" s="2">
        <v>0.79166666666666663</v>
      </c>
      <c r="F1086" t="s">
        <v>26</v>
      </c>
      <c r="G1086">
        <f>VLOOKUP(Table46[[#This Row],[Home]],'NHL Model'!$A$6:$B$38,2,FALSE)</f>
        <v>-0.513643833119658</v>
      </c>
      <c r="H1086" t="s">
        <v>18</v>
      </c>
      <c r="I1086">
        <f>VLOOKUP(Table46[[#This Row],[Visitor]],'NHL Model'!$A$6:$B$38,2,FALSE)</f>
        <v>-0.52437726201848234</v>
      </c>
      <c r="J1086">
        <f>($B$1+Table46[[#This Row],[Home Differential]])-Table46[[#This Row],[Away Differential]]</f>
        <v>0.17330573856114273</v>
      </c>
      <c r="K1086" t="str">
        <f>IF(Table46[[#This Row],[HomeIce Differential]]&gt;0,Table46[[#This Row],[Home]],Table46[[#This Row],[Visitor]])</f>
        <v>Detroit Red Wings</v>
      </c>
      <c r="L108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0.5128315449152735</v>
      </c>
      <c r="M1086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1086" t="str">
        <f>IF(OR((NHL2025_26Results[[#This Row],[Winning Team]]="")),"-",IF(Table46[[#This Row],[Predicted Winner]]=NHL2025_26Results[[#This Row],[Winning Team]],"YES","NO"))</f>
        <v>-</v>
      </c>
      <c r="O1086" t="str">
        <f>IF(OR((NHL2025_26Results[[#This Row],[Winning Team]]="")),"-",IF(Table46[[#This Row],[Prob Winner]]=NHL2025_26Results[[#This Row],[Winning Team]],"YES","NO"))</f>
        <v>-</v>
      </c>
      <c r="P1086" t="str">
        <f>IF(Table46[[#This Row],[Locked Prediction]]&lt;&gt;Table46[[#This Row],[Prob Winner]], "Changed", "Same")</f>
        <v>Changed</v>
      </c>
      <c r="Q108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87" spans="4:17" x14ac:dyDescent="0.2">
      <c r="D1087" s="1">
        <v>46100</v>
      </c>
      <c r="E1087" s="2">
        <v>0.875</v>
      </c>
      <c r="F1087" t="s">
        <v>17</v>
      </c>
      <c r="G1087">
        <f>VLOOKUP(Table46[[#This Row],[Home]],'NHL Model'!$A$6:$B$38,2,FALSE)</f>
        <v>-0.61980804137564283</v>
      </c>
      <c r="H1087" t="s">
        <v>11</v>
      </c>
      <c r="I1087">
        <f>VLOOKUP(Table46[[#This Row],[Visitor]],'NHL Model'!$A$6:$B$38,2,FALSE)</f>
        <v>-0.28105923893144158</v>
      </c>
      <c r="J1087">
        <f>($B$1+Table46[[#This Row],[Home Differential]])-Table46[[#This Row],[Away Differential]]</f>
        <v>-0.17617649278188285</v>
      </c>
      <c r="K1087" t="str">
        <f>IF(Table46[[#This Row],[HomeIce Differential]]&gt;0,Table46[[#This Row],[Home]],Table46[[#This Row],[Visitor]])</f>
        <v>Florida Panthers</v>
      </c>
      <c r="L108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0.44738033798670429</v>
      </c>
      <c r="M1087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1087" t="str">
        <f>IF(OR((NHL2025_26Results[[#This Row],[Winning Team]]="")),"-",IF(Table46[[#This Row],[Predicted Winner]]=NHL2025_26Results[[#This Row],[Winning Team]],"YES","NO"))</f>
        <v>-</v>
      </c>
      <c r="O1087" t="str">
        <f>IF(OR((NHL2025_26Results[[#This Row],[Winning Team]]="")),"-",IF(Table46[[#This Row],[Prob Winner]]=NHL2025_26Results[[#This Row],[Winning Team]],"YES","NO"))</f>
        <v>-</v>
      </c>
      <c r="P1087" t="str">
        <f>IF(Table46[[#This Row],[Locked Prediction]]&lt;&gt;Table46[[#This Row],[Prob Winner]], "Changed", "Same")</f>
        <v>Changed</v>
      </c>
      <c r="Q108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88" spans="4:17" x14ac:dyDescent="0.2">
      <c r="D1088" s="1">
        <v>46100</v>
      </c>
      <c r="E1088" s="2">
        <v>0.9375</v>
      </c>
      <c r="F1088" t="s">
        <v>13</v>
      </c>
      <c r="G1088">
        <f>VLOOKUP(Table46[[#This Row],[Home]],'NHL Model'!$A$6:$B$38,2,FALSE)</f>
        <v>-7.5459708298993802E-2</v>
      </c>
      <c r="H1088" t="s">
        <v>27</v>
      </c>
      <c r="I1088">
        <f>VLOOKUP(Table46[[#This Row],[Visitor]],'NHL Model'!$A$6:$B$38,2,FALSE)</f>
        <v>-0.51358590497437617</v>
      </c>
      <c r="J1088">
        <f>($B$1+Table46[[#This Row],[Home Differential]])-Table46[[#This Row],[Away Differential]]</f>
        <v>0.60069850633770072</v>
      </c>
      <c r="K1088" t="str">
        <f>IF(Table46[[#This Row],[HomeIce Differential]]&gt;0,Table46[[#This Row],[Home]],Table46[[#This Row],[Visitor]])</f>
        <v>Los Angeles Kings</v>
      </c>
      <c r="L108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0.61984424852158426</v>
      </c>
      <c r="M1088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088" t="str">
        <f>IF(OR((NHL2025_26Results[[#This Row],[Winning Team]]="")),"-",IF(Table46[[#This Row],[Predicted Winner]]=NHL2025_26Results[[#This Row],[Winning Team]],"YES","NO"))</f>
        <v>-</v>
      </c>
      <c r="O1088" t="str">
        <f>IF(OR((NHL2025_26Results[[#This Row],[Winning Team]]="")),"-",IF(Table46[[#This Row],[Prob Winner]]=NHL2025_26Results[[#This Row],[Winning Team]],"YES","NO"))</f>
        <v>-</v>
      </c>
      <c r="P1088" t="str">
        <f>IF(Table46[[#This Row],[Locked Prediction]]&lt;&gt;Table46[[#This Row],[Prob Winner]], "Changed", "Same")</f>
        <v>Changed</v>
      </c>
      <c r="Q108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89" spans="4:17" x14ac:dyDescent="0.2">
      <c r="D1089" s="1">
        <v>46100</v>
      </c>
      <c r="E1089" s="2">
        <v>0.8125</v>
      </c>
      <c r="F1089" t="s">
        <v>34</v>
      </c>
      <c r="G1089">
        <f>VLOOKUP(Table46[[#This Row],[Home]],'NHL Model'!$A$6:$B$38,2,FALSE)</f>
        <v>-0.53650300840565446</v>
      </c>
      <c r="H1089" t="s">
        <v>10</v>
      </c>
      <c r="I1089">
        <f>VLOOKUP(Table46[[#This Row],[Visitor]],'NHL Model'!$A$6:$B$38,2,FALSE)</f>
        <v>0.30570968833820172</v>
      </c>
      <c r="J1089">
        <f>($B$1+Table46[[#This Row],[Home Differential]])-Table46[[#This Row],[Away Differential]]</f>
        <v>-0.67964038708153773</v>
      </c>
      <c r="K1089" t="str">
        <f>IF(Table46[[#This Row],[HomeIce Differential]]&gt;0,Table46[[#This Row],[Home]],Table46[[#This Row],[Visitor]])</f>
        <v>Chicago Blackhawks</v>
      </c>
      <c r="L108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0.5711063556312278</v>
      </c>
      <c r="M1089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089" t="str">
        <f>IF(OR((NHL2025_26Results[[#This Row],[Winning Team]]="")),"-",IF(Table46[[#This Row],[Predicted Winner]]=NHL2025_26Results[[#This Row],[Winning Team]],"YES","NO"))</f>
        <v>-</v>
      </c>
      <c r="O1089" t="str">
        <f>IF(OR((NHL2025_26Results[[#This Row],[Winning Team]]="")),"-",IF(Table46[[#This Row],[Prob Winner]]=NHL2025_26Results[[#This Row],[Winning Team]],"YES","NO"))</f>
        <v>-</v>
      </c>
      <c r="P1089" t="str">
        <f>IF(Table46[[#This Row],[Locked Prediction]]&lt;&gt;Table46[[#This Row],[Prob Winner]], "Changed", "Same")</f>
        <v>Changed</v>
      </c>
      <c r="Q108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90" spans="4:17" x14ac:dyDescent="0.2">
      <c r="D1090" s="1">
        <v>46100</v>
      </c>
      <c r="E1090" s="2">
        <v>0.83333333333333337</v>
      </c>
      <c r="F1090" t="s">
        <v>29</v>
      </c>
      <c r="G1090">
        <f>VLOOKUP(Table46[[#This Row],[Home]],'NHL Model'!$A$6:$B$38,2,FALSE)</f>
        <v>-1.3516250707060606</v>
      </c>
      <c r="H1090" t="s">
        <v>32</v>
      </c>
      <c r="I1090">
        <f>VLOOKUP(Table46[[#This Row],[Visitor]],'NHL Model'!$A$6:$B$38,2,FALSE)</f>
        <v>-0.361361309178443</v>
      </c>
      <c r="J1090">
        <f>($B$1+Table46[[#This Row],[Home Differential]])-Table46[[#This Row],[Away Differential]]</f>
        <v>-0.82769145186529924</v>
      </c>
      <c r="K1090" t="str">
        <f>IF(Table46[[#This Row],[HomeIce Differential]]&gt;0,Table46[[#This Row],[Home]],Table46[[#This Row],[Visitor]])</f>
        <v>Seattle Kraken</v>
      </c>
      <c r="L109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0.57001592526812672</v>
      </c>
      <c r="M1090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1090" t="str">
        <f>IF(OR((NHL2025_26Results[[#This Row],[Winning Team]]="")),"-",IF(Table46[[#This Row],[Predicted Winner]]=NHL2025_26Results[[#This Row],[Winning Team]],"YES","NO"))</f>
        <v>-</v>
      </c>
      <c r="O1090" t="str">
        <f>IF(OR((NHL2025_26Results[[#This Row],[Winning Team]]="")),"-",IF(Table46[[#This Row],[Prob Winner]]=NHL2025_26Results[[#This Row],[Winning Team]],"YES","NO"))</f>
        <v>-</v>
      </c>
      <c r="P1090" t="str">
        <f>IF(Table46[[#This Row],[Locked Prediction]]&lt;&gt;Table46[[#This Row],[Prob Winner]], "Changed", "Same")</f>
        <v>Changed</v>
      </c>
      <c r="Q109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91" spans="4:17" x14ac:dyDescent="0.2">
      <c r="D1091" s="1">
        <v>46100</v>
      </c>
      <c r="E1091" s="2">
        <v>0.79166666666666663</v>
      </c>
      <c r="F1091" t="s">
        <v>36</v>
      </c>
      <c r="G1091">
        <f>VLOOKUP(Table46[[#This Row],[Home]],'NHL Model'!$A$6:$B$38,2,FALSE)</f>
        <v>-0.40651947573390851</v>
      </c>
      <c r="H1091" t="s">
        <v>30</v>
      </c>
      <c r="I1091">
        <f>VLOOKUP(Table46[[#This Row],[Visitor]],'NHL Model'!$A$6:$B$38,2,FALSE)</f>
        <v>-6.4729560818359025E-2</v>
      </c>
      <c r="J1091">
        <f>($B$1+Table46[[#This Row],[Home Differential]])-Table46[[#This Row],[Away Differential]]</f>
        <v>-0.1792176052532311</v>
      </c>
      <c r="K1091" t="str">
        <f>IF(Table46[[#This Row],[HomeIce Differential]]&gt;0,Table46[[#This Row],[Home]],Table46[[#This Row],[Visitor]])</f>
        <v>New York Islanders</v>
      </c>
      <c r="L109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0.52382142599375414</v>
      </c>
      <c r="M1091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091" t="str">
        <f>IF(OR((NHL2025_26Results[[#This Row],[Winning Team]]="")),"-",IF(Table46[[#This Row],[Predicted Winner]]=NHL2025_26Results[[#This Row],[Winning Team]],"YES","NO"))</f>
        <v>-</v>
      </c>
      <c r="O1091" t="str">
        <f>IF(OR((NHL2025_26Results[[#This Row],[Winning Team]]="")),"-",IF(Table46[[#This Row],[Prob Winner]]=NHL2025_26Results[[#This Row],[Winning Team]],"YES","NO"))</f>
        <v>-</v>
      </c>
      <c r="P1091" t="str">
        <f>IF(Table46[[#This Row],[Locked Prediction]]&lt;&gt;Table46[[#This Row],[Prob Winner]], "Changed", "Same")</f>
        <v>Changed</v>
      </c>
      <c r="Q109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92" spans="4:17" x14ac:dyDescent="0.2">
      <c r="D1092" s="1">
        <v>46100</v>
      </c>
      <c r="E1092" s="2">
        <v>0.91666666666666663</v>
      </c>
      <c r="F1092" t="s">
        <v>33</v>
      </c>
      <c r="G1092">
        <f>VLOOKUP(Table46[[#This Row],[Home]],'NHL Model'!$A$6:$B$38,2,FALSE)</f>
        <v>-0.39418177254008485</v>
      </c>
      <c r="H1092" t="s">
        <v>23</v>
      </c>
      <c r="I1092">
        <f>VLOOKUP(Table46[[#This Row],[Visitor]],'NHL Model'!$A$6:$B$38,2,FALSE)</f>
        <v>-0.8683412362501769</v>
      </c>
      <c r="J1092">
        <f>($B$1+Table46[[#This Row],[Home Differential]])-Table46[[#This Row],[Away Differential]]</f>
        <v>0.63673177337241049</v>
      </c>
      <c r="K1092" t="str">
        <f>IF(Table46[[#This Row],[HomeIce Differential]]&gt;0,Table46[[#This Row],[Home]],Table46[[#This Row],[Visitor]])</f>
        <v>San Jose Sharks</v>
      </c>
      <c r="L109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0.62463375456797787</v>
      </c>
      <c r="M1092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1092" t="str">
        <f>IF(OR((NHL2025_26Results[[#This Row],[Winning Team]]="")),"-",IF(Table46[[#This Row],[Predicted Winner]]=NHL2025_26Results[[#This Row],[Winning Team]],"YES","NO"))</f>
        <v>-</v>
      </c>
      <c r="O1092" t="str">
        <f>IF(OR((NHL2025_26Results[[#This Row],[Winning Team]]="")),"-",IF(Table46[[#This Row],[Prob Winner]]=NHL2025_26Results[[#This Row],[Winning Team]],"YES","NO"))</f>
        <v>-</v>
      </c>
      <c r="P1092" t="str">
        <f>IF(Table46[[#This Row],[Locked Prediction]]&lt;&gt;Table46[[#This Row],[Prob Winner]], "Changed", "Same")</f>
        <v>Changed</v>
      </c>
      <c r="Q109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93" spans="4:17" x14ac:dyDescent="0.2">
      <c r="D1093" s="1">
        <v>46100</v>
      </c>
      <c r="E1093" s="2">
        <v>0.91666666666666663</v>
      </c>
      <c r="F1093" t="s">
        <v>38</v>
      </c>
      <c r="G1093">
        <f>VLOOKUP(Table46[[#This Row],[Home]],'NHL Model'!$A$6:$B$38,2,FALSE)</f>
        <v>-0.6902088310934803</v>
      </c>
      <c r="H1093" t="s">
        <v>37</v>
      </c>
      <c r="I1093">
        <f>VLOOKUP(Table46[[#This Row],[Visitor]],'NHL Model'!$A$6:$B$38,2,FALSE)</f>
        <v>-0.11309445867623392</v>
      </c>
      <c r="J1093">
        <f>($B$1+Table46[[#This Row],[Home Differential]])-Table46[[#This Row],[Away Differential]]</f>
        <v>-0.414542062754928</v>
      </c>
      <c r="K1093" t="str">
        <f>IF(Table46[[#This Row],[HomeIce Differential]]&gt;0,Table46[[#This Row],[Home]],Table46[[#This Row],[Visitor]])</f>
        <v>Tampa Bay Lightning</v>
      </c>
      <c r="L109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0.56219991051323004</v>
      </c>
      <c r="M1093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093" t="str">
        <f>IF(OR((NHL2025_26Results[[#This Row],[Winning Team]]="")),"-",IF(Table46[[#This Row],[Predicted Winner]]=NHL2025_26Results[[#This Row],[Winning Team]],"YES","NO"))</f>
        <v>-</v>
      </c>
      <c r="O1093" t="str">
        <f>IF(OR((NHL2025_26Results[[#This Row],[Winning Team]]="")),"-",IF(Table46[[#This Row],[Prob Winner]]=NHL2025_26Results[[#This Row],[Winning Team]],"YES","NO"))</f>
        <v>-</v>
      </c>
      <c r="P1093" t="str">
        <f>IF(Table46[[#This Row],[Locked Prediction]]&lt;&gt;Table46[[#This Row],[Prob Winner]], "Changed", "Same")</f>
        <v>Changed</v>
      </c>
      <c r="Q109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94" spans="4:17" x14ac:dyDescent="0.2">
      <c r="D1094" s="1">
        <v>46100</v>
      </c>
      <c r="E1094" s="2">
        <v>0.91666666666666663</v>
      </c>
      <c r="F1094" t="s">
        <v>20</v>
      </c>
      <c r="G1094">
        <f>VLOOKUP(Table46[[#This Row],[Home]],'NHL Model'!$A$6:$B$38,2,FALSE)</f>
        <v>-6.3745791019188943E-4</v>
      </c>
      <c r="H1094" t="s">
        <v>55</v>
      </c>
      <c r="I1094">
        <f>VLOOKUP(Table46[[#This Row],[Visitor]],'NHL Model'!$A$6:$B$38,2,FALSE)</f>
        <v>-0.12212311954851815</v>
      </c>
      <c r="J1094">
        <f>($B$1+Table46[[#This Row],[Home Differential]])-Table46[[#This Row],[Away Differential]]</f>
        <v>0.28405797130064464</v>
      </c>
      <c r="K1094" t="str">
        <f>IF(Table46[[#This Row],[HomeIce Differential]]&gt;0,Table46[[#This Row],[Home]],Table46[[#This Row],[Visitor]])</f>
        <v>Vegas Golden Knights</v>
      </c>
      <c r="L109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0.57775670326424167</v>
      </c>
      <c r="M1094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094" t="str">
        <f>IF(OR((NHL2025_26Results[[#This Row],[Winning Team]]="")),"-",IF(Table46[[#This Row],[Predicted Winner]]=NHL2025_26Results[[#This Row],[Winning Team]],"YES","NO"))</f>
        <v>-</v>
      </c>
      <c r="O1094" t="str">
        <f>IF(OR((NHL2025_26Results[[#This Row],[Winning Team]]="")),"-",IF(Table46[[#This Row],[Prob Winner]]=NHL2025_26Results[[#This Row],[Winning Team]],"YES","NO"))</f>
        <v>-</v>
      </c>
      <c r="P1094" t="str">
        <f>IF(Table46[[#This Row],[Locked Prediction]]&lt;&gt;Table46[[#This Row],[Prob Winner]], "Changed", "Same")</f>
        <v>Changed</v>
      </c>
      <c r="Q109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95" spans="4:17" x14ac:dyDescent="0.2">
      <c r="D1095" s="1">
        <v>46101</v>
      </c>
      <c r="E1095" s="2">
        <v>0.875</v>
      </c>
      <c r="F1095" t="s">
        <v>16</v>
      </c>
      <c r="G1095">
        <f>VLOOKUP(Table46[[#This Row],[Home]],'NHL Model'!$A$6:$B$38,2,FALSE)</f>
        <v>-1.3903684122795328</v>
      </c>
      <c r="H1095" t="s">
        <v>11</v>
      </c>
      <c r="I1095">
        <f>VLOOKUP(Table46[[#This Row],[Visitor]],'NHL Model'!$A$6:$B$38,2,FALSE)</f>
        <v>-0.28105923893144158</v>
      </c>
      <c r="J1095">
        <f>($B$1+Table46[[#This Row],[Home Differential]])-Table46[[#This Row],[Away Differential]]</f>
        <v>-0.94673686368577281</v>
      </c>
      <c r="K1095" t="str">
        <f>IF(Table46[[#This Row],[HomeIce Differential]]&gt;0,Table46[[#This Row],[Home]],Table46[[#This Row],[Visitor]])</f>
        <v>Florida Panthers</v>
      </c>
      <c r="L109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0.5858393231065836</v>
      </c>
      <c r="M1095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1095" t="str">
        <f>IF(OR((NHL2025_26Results[[#This Row],[Winning Team]]="")),"-",IF(Table46[[#This Row],[Predicted Winner]]=NHL2025_26Results[[#This Row],[Winning Team]],"YES","NO"))</f>
        <v>-</v>
      </c>
      <c r="O1095" t="str">
        <f>IF(OR((NHL2025_26Results[[#This Row],[Winning Team]]="")),"-",IF(Table46[[#This Row],[Prob Winner]]=NHL2025_26Results[[#This Row],[Winning Team]],"YES","NO"))</f>
        <v>-</v>
      </c>
      <c r="P1095" t="str">
        <f>IF(Table46[[#This Row],[Locked Prediction]]&lt;&gt;Table46[[#This Row],[Prob Winner]], "Changed", "Same")</f>
        <v>Changed</v>
      </c>
      <c r="Q109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96" spans="4:17" x14ac:dyDescent="0.2">
      <c r="D1096" s="1">
        <v>46101</v>
      </c>
      <c r="E1096" s="2">
        <v>0.85416666666666663</v>
      </c>
      <c r="F1096" t="s">
        <v>10</v>
      </c>
      <c r="G1096">
        <f>VLOOKUP(Table46[[#This Row],[Home]],'NHL Model'!$A$6:$B$38,2,FALSE)</f>
        <v>0.30570968833820172</v>
      </c>
      <c r="H1096" t="s">
        <v>12</v>
      </c>
      <c r="I1096">
        <f>VLOOKUP(Table46[[#This Row],[Visitor]],'NHL Model'!$A$6:$B$38,2,FALSE)</f>
        <v>1.5475013591489768</v>
      </c>
      <c r="J1096">
        <f>($B$1+Table46[[#This Row],[Home Differential]])-Table46[[#This Row],[Away Differential]]</f>
        <v>-1.0792193611484566</v>
      </c>
      <c r="K1096" t="str">
        <f>IF(Table46[[#This Row],[HomeIce Differential]]&gt;0,Table46[[#This Row],[Home]],Table46[[#This Row],[Visitor]])</f>
        <v>Colorado Avalanche</v>
      </c>
      <c r="L109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0.66976455448925765</v>
      </c>
      <c r="M1096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096" t="str">
        <f>IF(OR((NHL2025_26Results[[#This Row],[Winning Team]]="")),"-",IF(Table46[[#This Row],[Predicted Winner]]=NHL2025_26Results[[#This Row],[Winning Team]],"YES","NO"))</f>
        <v>-</v>
      </c>
      <c r="O1096" t="str">
        <f>IF(OR((NHL2025_26Results[[#This Row],[Winning Team]]="")),"-",IF(Table46[[#This Row],[Prob Winner]]=NHL2025_26Results[[#This Row],[Winning Team]],"YES","NO"))</f>
        <v>-</v>
      </c>
      <c r="P1096" t="str">
        <f>IF(Table46[[#This Row],[Locked Prediction]]&lt;&gt;Table46[[#This Row],[Prob Winner]], "Changed", "Same")</f>
        <v>Changed</v>
      </c>
      <c r="Q109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97" spans="4:17" x14ac:dyDescent="0.2">
      <c r="D1097" s="1">
        <v>46101</v>
      </c>
      <c r="E1097" s="2">
        <v>0.79166666666666663</v>
      </c>
      <c r="F1097" t="s">
        <v>19</v>
      </c>
      <c r="G1097">
        <f>VLOOKUP(Table46[[#This Row],[Home]],'NHL Model'!$A$6:$B$38,2,FALSE)</f>
        <v>-0.635565543477981</v>
      </c>
      <c r="H1097" t="s">
        <v>25</v>
      </c>
      <c r="I1097">
        <f>VLOOKUP(Table46[[#This Row],[Visitor]],'NHL Model'!$A$6:$B$38,2,FALSE)</f>
        <v>0.67193921242367816</v>
      </c>
      <c r="J1097">
        <f>($B$1+Table46[[#This Row],[Home Differential]])-Table46[[#This Row],[Away Differential]]</f>
        <v>-1.1449324462393409</v>
      </c>
      <c r="K1097" t="str">
        <f>IF(Table46[[#This Row],[HomeIce Differential]]&gt;0,Table46[[#This Row],[Home]],Table46[[#This Row],[Visitor]])</f>
        <v>Carolina Hurricanes</v>
      </c>
      <c r="L109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0.70466947082914233</v>
      </c>
      <c r="M1097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097" t="str">
        <f>IF(OR((NHL2025_26Results[[#This Row],[Winning Team]]="")),"-",IF(Table46[[#This Row],[Predicted Winner]]=NHL2025_26Results[[#This Row],[Winning Team]],"YES","NO"))</f>
        <v>-</v>
      </c>
      <c r="O1097" t="str">
        <f>IF(OR((NHL2025_26Results[[#This Row],[Winning Team]]="")),"-",IF(Table46[[#This Row],[Prob Winner]]=NHL2025_26Results[[#This Row],[Winning Team]],"YES","NO"))</f>
        <v>-</v>
      </c>
      <c r="P1097" t="str">
        <f>IF(Table46[[#This Row],[Locked Prediction]]&lt;&gt;Table46[[#This Row],[Prob Winner]], "Changed", "Same")</f>
        <v>Changed</v>
      </c>
      <c r="Q109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98" spans="4:17" x14ac:dyDescent="0.2">
      <c r="D1098" s="1">
        <v>46101</v>
      </c>
      <c r="E1098" s="2">
        <v>0.91666666666666663</v>
      </c>
      <c r="F1098" t="s">
        <v>55</v>
      </c>
      <c r="G1098">
        <f>VLOOKUP(Table46[[#This Row],[Home]],'NHL Model'!$A$6:$B$38,2,FALSE)</f>
        <v>-0.12212311954851815</v>
      </c>
      <c r="H1098" t="s">
        <v>31</v>
      </c>
      <c r="I1098">
        <f>VLOOKUP(Table46[[#This Row],[Visitor]],'NHL Model'!$A$6:$B$38,2,FALSE)</f>
        <v>0.51775546328552802</v>
      </c>
      <c r="J1098">
        <f>($B$1+Table46[[#This Row],[Home Differential]])-Table46[[#This Row],[Away Differential]]</f>
        <v>-0.4773062731717278</v>
      </c>
      <c r="K1098" t="str">
        <f>IF(Table46[[#This Row],[HomeIce Differential]]&gt;0,Table46[[#This Row],[Home]],Table46[[#This Row],[Visitor]])</f>
        <v>Anaheim Ducks</v>
      </c>
      <c r="L109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0.47520778139186626</v>
      </c>
      <c r="M1098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098" t="str">
        <f>IF(OR((NHL2025_26Results[[#This Row],[Winning Team]]="")),"-",IF(Table46[[#This Row],[Predicted Winner]]=NHL2025_26Results[[#This Row],[Winning Team]],"YES","NO"))</f>
        <v>-</v>
      </c>
      <c r="O1098" t="str">
        <f>IF(OR((NHL2025_26Results[[#This Row],[Winning Team]]="")),"-",IF(Table46[[#This Row],[Prob Winner]]=NHL2025_26Results[[#This Row],[Winning Team]],"YES","NO"))</f>
        <v>-</v>
      </c>
      <c r="P1098" t="str">
        <f>IF(Table46[[#This Row],[Locked Prediction]]&lt;&gt;Table46[[#This Row],[Prob Winner]], "Changed", "Same")</f>
        <v>Changed</v>
      </c>
      <c r="Q109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099" spans="4:17" x14ac:dyDescent="0.2">
      <c r="D1099" s="1">
        <v>46101</v>
      </c>
      <c r="E1099" s="2">
        <v>0.79166666666666663</v>
      </c>
      <c r="F1099" t="s">
        <v>22</v>
      </c>
      <c r="G1099">
        <f>VLOOKUP(Table46[[#This Row],[Home]],'NHL Model'!$A$6:$B$38,2,FALSE)</f>
        <v>-6.1308839486784707E-2</v>
      </c>
      <c r="H1099" t="s">
        <v>24</v>
      </c>
      <c r="I1099">
        <f>VLOOKUP(Table46[[#This Row],[Visitor]],'NHL Model'!$A$6:$B$38,2,FALSE)</f>
        <v>0.559441163373953</v>
      </c>
      <c r="J1099">
        <f>($B$1+Table46[[#This Row],[Home Differential]])-Table46[[#This Row],[Away Differential]]</f>
        <v>-0.45817769319841928</v>
      </c>
      <c r="K1099" t="str">
        <f>IF(Table46[[#This Row],[HomeIce Differential]]&gt;0,Table46[[#This Row],[Home]],Table46[[#This Row],[Visitor]])</f>
        <v>New Jersey Devils</v>
      </c>
      <c r="L109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0.58721631314206602</v>
      </c>
      <c r="M1099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099" t="str">
        <f>IF(OR((NHL2025_26Results[[#This Row],[Winning Team]]="")),"-",IF(Table46[[#This Row],[Predicted Winner]]=NHL2025_26Results[[#This Row],[Winning Team]],"YES","NO"))</f>
        <v>-</v>
      </c>
      <c r="O1099" t="str">
        <f>IF(OR((NHL2025_26Results[[#This Row],[Winning Team]]="")),"-",IF(Table46[[#This Row],[Prob Winner]]=NHL2025_26Results[[#This Row],[Winning Team]],"YES","NO"))</f>
        <v>-</v>
      </c>
      <c r="P1099" t="str">
        <f>IF(Table46[[#This Row],[Locked Prediction]]&lt;&gt;Table46[[#This Row],[Prob Winner]], "Changed", "Same")</f>
        <v>Changed</v>
      </c>
      <c r="Q109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00" spans="4:17" x14ac:dyDescent="0.2">
      <c r="D1100" s="1">
        <v>46102</v>
      </c>
      <c r="E1100" s="2">
        <v>0.70833333333333337</v>
      </c>
      <c r="F1100" t="s">
        <v>28</v>
      </c>
      <c r="G1100">
        <f>VLOOKUP(Table46[[#This Row],[Home]],'NHL Model'!$A$6:$B$38,2,FALSE)</f>
        <v>-0.40822279081308277</v>
      </c>
      <c r="H1100" t="s">
        <v>32</v>
      </c>
      <c r="I1100">
        <f>VLOOKUP(Table46[[#This Row],[Visitor]],'NHL Model'!$A$6:$B$38,2,FALSE)</f>
        <v>-0.361361309178443</v>
      </c>
      <c r="J1100">
        <f>($B$1+Table46[[#This Row],[Home Differential]])-Table46[[#This Row],[Away Differential]]</f>
        <v>0.11571082802767862</v>
      </c>
      <c r="K1100" t="str">
        <f>IF(Table46[[#This Row],[HomeIce Differential]]&gt;0,Table46[[#This Row],[Home]],Table46[[#This Row],[Visitor]])</f>
        <v>Columbus Blue Jackets</v>
      </c>
      <c r="L110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0.55538016827444281</v>
      </c>
      <c r="M1100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1100" t="str">
        <f>IF(OR((NHL2025_26Results[[#This Row],[Winning Team]]="")),"-",IF(Table46[[#This Row],[Predicted Winner]]=NHL2025_26Results[[#This Row],[Winning Team]],"YES","NO"))</f>
        <v>-</v>
      </c>
      <c r="O1100" t="str">
        <f>IF(OR((NHL2025_26Results[[#This Row],[Winning Team]]="")),"-",IF(Table46[[#This Row],[Prob Winner]]=NHL2025_26Results[[#This Row],[Winning Team]],"YES","NO"))</f>
        <v>-</v>
      </c>
      <c r="P1100" t="str">
        <f>IF(Table46[[#This Row],[Locked Prediction]]&lt;&gt;Table46[[#This Row],[Prob Winner]], "Changed", "Same")</f>
        <v>Changed</v>
      </c>
      <c r="Q110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01" spans="4:17" x14ac:dyDescent="0.2">
      <c r="D1101" s="1">
        <v>46102</v>
      </c>
      <c r="E1101" s="2">
        <v>0.83333333333333337</v>
      </c>
      <c r="F1101" t="s">
        <v>26</v>
      </c>
      <c r="G1101">
        <f>VLOOKUP(Table46[[#This Row],[Home]],'NHL Model'!$A$6:$B$38,2,FALSE)</f>
        <v>-0.513643833119658</v>
      </c>
      <c r="H1101" t="s">
        <v>21</v>
      </c>
      <c r="I1101">
        <f>VLOOKUP(Table46[[#This Row],[Visitor]],'NHL Model'!$A$6:$B$38,2,FALSE)</f>
        <v>4.029141914856392E-2</v>
      </c>
      <c r="J1101">
        <f>($B$1+Table46[[#This Row],[Home Differential]])-Table46[[#This Row],[Away Differential]]</f>
        <v>-0.39136294260590354</v>
      </c>
      <c r="K1101" t="str">
        <f>IF(Table46[[#This Row],[HomeIce Differential]]&gt;0,Table46[[#This Row],[Home]],Table46[[#This Row],[Visitor]])</f>
        <v>Boston Bruins</v>
      </c>
      <c r="L110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0.48598183756735747</v>
      </c>
      <c r="M1101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1101" t="str">
        <f>IF(OR((NHL2025_26Results[[#This Row],[Winning Team]]="")),"-",IF(Table46[[#This Row],[Predicted Winner]]=NHL2025_26Results[[#This Row],[Winning Team]],"YES","NO"))</f>
        <v>-</v>
      </c>
      <c r="O1101" t="str">
        <f>IF(OR((NHL2025_26Results[[#This Row],[Winning Team]]="")),"-",IF(Table46[[#This Row],[Prob Winner]]=NHL2025_26Results[[#This Row],[Winning Team]],"YES","NO"))</f>
        <v>-</v>
      </c>
      <c r="P1101" t="str">
        <f>IF(Table46[[#This Row],[Locked Prediction]]&lt;&gt;Table46[[#This Row],[Prob Winner]], "Changed", "Same")</f>
        <v>Changed</v>
      </c>
      <c r="Q110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02" spans="4:17" x14ac:dyDescent="0.2">
      <c r="D1102" s="1">
        <v>46102</v>
      </c>
      <c r="E1102" s="2">
        <v>0.91666666666666663</v>
      </c>
      <c r="F1102" t="s">
        <v>17</v>
      </c>
      <c r="G1102">
        <f>VLOOKUP(Table46[[#This Row],[Home]],'NHL Model'!$A$6:$B$38,2,FALSE)</f>
        <v>-0.61980804137564283</v>
      </c>
      <c r="H1102" t="s">
        <v>37</v>
      </c>
      <c r="I1102">
        <f>VLOOKUP(Table46[[#This Row],[Visitor]],'NHL Model'!$A$6:$B$38,2,FALSE)</f>
        <v>-0.11309445867623392</v>
      </c>
      <c r="J1102">
        <f>($B$1+Table46[[#This Row],[Home Differential]])-Table46[[#This Row],[Away Differential]]</f>
        <v>-0.34414127303709052</v>
      </c>
      <c r="K1102" t="str">
        <f>IF(Table46[[#This Row],[HomeIce Differential]]&gt;0,Table46[[#This Row],[Home]],Table46[[#This Row],[Visitor]])</f>
        <v>Tampa Bay Lightning</v>
      </c>
      <c r="L110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0.51633115131771834</v>
      </c>
      <c r="M1102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102" t="str">
        <f>IF(OR((NHL2025_26Results[[#This Row],[Winning Team]]="")),"-",IF(Table46[[#This Row],[Predicted Winner]]=NHL2025_26Results[[#This Row],[Winning Team]],"YES","NO"))</f>
        <v>-</v>
      </c>
      <c r="O1102" t="str">
        <f>IF(OR((NHL2025_26Results[[#This Row],[Winning Team]]="")),"-",IF(Table46[[#This Row],[Prob Winner]]=NHL2025_26Results[[#This Row],[Winning Team]],"YES","NO"))</f>
        <v>-</v>
      </c>
      <c r="P1102" t="str">
        <f>IF(Table46[[#This Row],[Locked Prediction]]&lt;&gt;Table46[[#This Row],[Prob Winner]], "Changed", "Same")</f>
        <v>Changed</v>
      </c>
      <c r="Q110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03" spans="4:17" x14ac:dyDescent="0.2">
      <c r="D1103" s="1">
        <v>46102</v>
      </c>
      <c r="E1103" s="2">
        <v>0.66666666666666663</v>
      </c>
      <c r="F1103" t="s">
        <v>13</v>
      </c>
      <c r="G1103">
        <f>VLOOKUP(Table46[[#This Row],[Home]],'NHL Model'!$A$6:$B$38,2,FALSE)</f>
        <v>-7.5459708298993802E-2</v>
      </c>
      <c r="H1103" t="s">
        <v>23</v>
      </c>
      <c r="I1103">
        <f>VLOOKUP(Table46[[#This Row],[Visitor]],'NHL Model'!$A$6:$B$38,2,FALSE)</f>
        <v>-0.8683412362501769</v>
      </c>
      <c r="J1103">
        <f>($B$1+Table46[[#This Row],[Home Differential]])-Table46[[#This Row],[Away Differential]]</f>
        <v>0.95545383761350144</v>
      </c>
      <c r="K1103" t="str">
        <f>IF(Table46[[#This Row],[HomeIce Differential]]&gt;0,Table46[[#This Row],[Home]],Table46[[#This Row],[Visitor]])</f>
        <v>Los Angeles Kings</v>
      </c>
      <c r="L110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0.66699797461861265</v>
      </c>
      <c r="M1103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103" t="str">
        <f>IF(OR((NHL2025_26Results[[#This Row],[Winning Team]]="")),"-",IF(Table46[[#This Row],[Predicted Winner]]=NHL2025_26Results[[#This Row],[Winning Team]],"YES","NO"))</f>
        <v>-</v>
      </c>
      <c r="O1103" t="str">
        <f>IF(OR((NHL2025_26Results[[#This Row],[Winning Team]]="")),"-",IF(Table46[[#This Row],[Prob Winner]]=NHL2025_26Results[[#This Row],[Winning Team]],"YES","NO"))</f>
        <v>-</v>
      </c>
      <c r="P1103" t="str">
        <f>IF(Table46[[#This Row],[Locked Prediction]]&lt;&gt;Table46[[#This Row],[Prob Winner]], "Changed", "Same")</f>
        <v>Changed</v>
      </c>
      <c r="Q110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04" spans="4:17" x14ac:dyDescent="0.2">
      <c r="D1104" s="1">
        <v>46102</v>
      </c>
      <c r="E1104" s="2">
        <v>0.66666666666666663</v>
      </c>
      <c r="F1104" t="s">
        <v>34</v>
      </c>
      <c r="G1104">
        <f>VLOOKUP(Table46[[#This Row],[Home]],'NHL Model'!$A$6:$B$38,2,FALSE)</f>
        <v>-0.53650300840565446</v>
      </c>
      <c r="H1104" t="s">
        <v>39</v>
      </c>
      <c r="I1104">
        <f>VLOOKUP(Table46[[#This Row],[Visitor]],'NHL Model'!$A$6:$B$38,2,FALSE)</f>
        <v>0.19809534061227302</v>
      </c>
      <c r="J1104">
        <f>($B$1+Table46[[#This Row],[Home Differential]])-Table46[[#This Row],[Away Differential]]</f>
        <v>-0.57202603935560914</v>
      </c>
      <c r="K1104" t="str">
        <f>IF(Table46[[#This Row],[HomeIce Differential]]&gt;0,Table46[[#This Row],[Home]],Table46[[#This Row],[Visitor]])</f>
        <v>Dallas Stars</v>
      </c>
      <c r="L110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0.62851932054873427</v>
      </c>
      <c r="M1104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104" t="str">
        <f>IF(OR((NHL2025_26Results[[#This Row],[Winning Team]]="")),"-",IF(Table46[[#This Row],[Predicted Winner]]=NHL2025_26Results[[#This Row],[Winning Team]],"YES","NO"))</f>
        <v>-</v>
      </c>
      <c r="O1104" t="str">
        <f>IF(OR((NHL2025_26Results[[#This Row],[Winning Team]]="")),"-",IF(Table46[[#This Row],[Prob Winner]]=NHL2025_26Results[[#This Row],[Winning Team]],"YES","NO"))</f>
        <v>-</v>
      </c>
      <c r="P1104" t="str">
        <f>IF(Table46[[#This Row],[Locked Prediction]]&lt;&gt;Table46[[#This Row],[Prob Winner]], "Changed", "Same")</f>
        <v>Changed</v>
      </c>
      <c r="Q110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05" spans="4:17" x14ac:dyDescent="0.2">
      <c r="D1105" s="1">
        <v>46102</v>
      </c>
      <c r="E1105" s="2">
        <v>0.79166666666666663</v>
      </c>
      <c r="F1105" t="s">
        <v>18</v>
      </c>
      <c r="G1105">
        <f>VLOOKUP(Table46[[#This Row],[Home]],'NHL Model'!$A$6:$B$38,2,FALSE)</f>
        <v>-0.52437726201848234</v>
      </c>
      <c r="H1105" t="s">
        <v>30</v>
      </c>
      <c r="I1105">
        <f>VLOOKUP(Table46[[#This Row],[Visitor]],'NHL Model'!$A$6:$B$38,2,FALSE)</f>
        <v>-6.4729560818359025E-2</v>
      </c>
      <c r="J1105">
        <f>($B$1+Table46[[#This Row],[Home Differential]])-Table46[[#This Row],[Away Differential]]</f>
        <v>-0.29707539153780493</v>
      </c>
      <c r="K1105" t="str">
        <f>IF(Table46[[#This Row],[HomeIce Differential]]&gt;0,Table46[[#This Row],[Home]],Table46[[#This Row],[Visitor]])</f>
        <v>New York Islanders</v>
      </c>
      <c r="L110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0.54199952864024581</v>
      </c>
      <c r="M1105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105" t="str">
        <f>IF(OR((NHL2025_26Results[[#This Row],[Winning Team]]="")),"-",IF(Table46[[#This Row],[Predicted Winner]]=NHL2025_26Results[[#This Row],[Winning Team]],"YES","NO"))</f>
        <v>-</v>
      </c>
      <c r="O1105" t="str">
        <f>IF(OR((NHL2025_26Results[[#This Row],[Winning Team]]="")),"-",IF(Table46[[#This Row],[Prob Winner]]=NHL2025_26Results[[#This Row],[Winning Team]],"YES","NO"))</f>
        <v>-</v>
      </c>
      <c r="P1105" t="str">
        <f>IF(Table46[[#This Row],[Locked Prediction]]&lt;&gt;Table46[[#This Row],[Prob Winner]], "Changed", "Same")</f>
        <v>Changed</v>
      </c>
      <c r="Q110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06" spans="4:17" x14ac:dyDescent="0.2">
      <c r="D1106" s="1">
        <v>46102</v>
      </c>
      <c r="E1106" s="2">
        <v>0.58333333333333337</v>
      </c>
      <c r="F1106" t="s">
        <v>29</v>
      </c>
      <c r="G1106">
        <f>VLOOKUP(Table46[[#This Row],[Home]],'NHL Model'!$A$6:$B$38,2,FALSE)</f>
        <v>-1.3516250707060606</v>
      </c>
      <c r="H1106" t="s">
        <v>20</v>
      </c>
      <c r="I1106">
        <f>VLOOKUP(Table46[[#This Row],[Visitor]],'NHL Model'!$A$6:$B$38,2,FALSE)</f>
        <v>-6.3745791019188943E-4</v>
      </c>
      <c r="J1106">
        <f>($B$1+Table46[[#This Row],[Home Differential]])-Table46[[#This Row],[Away Differential]]</f>
        <v>-1.1884153031335503</v>
      </c>
      <c r="K1106" t="str">
        <f>IF(Table46[[#This Row],[HomeIce Differential]]&gt;0,Table46[[#This Row],[Home]],Table46[[#This Row],[Visitor]])</f>
        <v>Vegas Golden Knights</v>
      </c>
      <c r="L110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0.63873221188059859</v>
      </c>
      <c r="M1106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106" t="str">
        <f>IF(OR((NHL2025_26Results[[#This Row],[Winning Team]]="")),"-",IF(Table46[[#This Row],[Predicted Winner]]=NHL2025_26Results[[#This Row],[Winning Team]],"YES","NO"))</f>
        <v>-</v>
      </c>
      <c r="O1106" t="str">
        <f>IF(OR((NHL2025_26Results[[#This Row],[Winning Team]]="")),"-",IF(Table46[[#This Row],[Prob Winner]]=NHL2025_26Results[[#This Row],[Winning Team]],"YES","NO"))</f>
        <v>-</v>
      </c>
      <c r="P1106" t="str">
        <f>IF(Table46[[#This Row],[Locked Prediction]]&lt;&gt;Table46[[#This Row],[Prob Winner]], "Changed", "Same")</f>
        <v>Changed</v>
      </c>
      <c r="Q110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07" spans="4:17" x14ac:dyDescent="0.2">
      <c r="D1107" s="1">
        <v>46102</v>
      </c>
      <c r="E1107" s="2">
        <v>0.79166666666666663</v>
      </c>
      <c r="F1107" t="s">
        <v>36</v>
      </c>
      <c r="G1107">
        <f>VLOOKUP(Table46[[#This Row],[Home]],'NHL Model'!$A$6:$B$38,2,FALSE)</f>
        <v>-0.40651947573390851</v>
      </c>
      <c r="H1107" t="s">
        <v>19</v>
      </c>
      <c r="I1107">
        <f>VLOOKUP(Table46[[#This Row],[Visitor]],'NHL Model'!$A$6:$B$38,2,FALSE)</f>
        <v>-0.635565543477981</v>
      </c>
      <c r="J1107">
        <f>($B$1+Table46[[#This Row],[Home Differential]])-Table46[[#This Row],[Away Differential]]</f>
        <v>0.39161837740639088</v>
      </c>
      <c r="K1107" t="str">
        <f>IF(Table46[[#This Row],[HomeIce Differential]]&gt;0,Table46[[#This Row],[Home]],Table46[[#This Row],[Visitor]])</f>
        <v>Ottawa Senators</v>
      </c>
      <c r="L110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0.5945490047605978</v>
      </c>
      <c r="M1107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1107" t="str">
        <f>IF(OR((NHL2025_26Results[[#This Row],[Winning Team]]="")),"-",IF(Table46[[#This Row],[Predicted Winner]]=NHL2025_26Results[[#This Row],[Winning Team]],"YES","NO"))</f>
        <v>-</v>
      </c>
      <c r="O1107" t="str">
        <f>IF(OR((NHL2025_26Results[[#This Row],[Winning Team]]="")),"-",IF(Table46[[#This Row],[Prob Winner]]=NHL2025_26Results[[#This Row],[Winning Team]],"YES","NO"))</f>
        <v>-</v>
      </c>
      <c r="P1107" t="str">
        <f>IF(Table46[[#This Row],[Locked Prediction]]&lt;&gt;Table46[[#This Row],[Prob Winner]], "Changed", "Same")</f>
        <v>Changed</v>
      </c>
      <c r="Q110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08" spans="4:17" x14ac:dyDescent="0.2">
      <c r="D1108" s="1">
        <v>46102</v>
      </c>
      <c r="E1108" s="2">
        <v>0.54166666666666663</v>
      </c>
      <c r="F1108" t="s">
        <v>14</v>
      </c>
      <c r="G1108">
        <f>VLOOKUP(Table46[[#This Row],[Home]],'NHL Model'!$A$6:$B$38,2,FALSE)</f>
        <v>0.26289091192875702</v>
      </c>
      <c r="H1108" t="s">
        <v>40</v>
      </c>
      <c r="I1108">
        <f>VLOOKUP(Table46[[#This Row],[Visitor]],'NHL Model'!$A$6:$B$38,2,FALSE)</f>
        <v>0.105105258369765</v>
      </c>
      <c r="J1108">
        <f>($B$1+Table46[[#This Row],[Home Differential]])-Table46[[#This Row],[Away Differential]]</f>
        <v>0.32035796322131038</v>
      </c>
      <c r="K1108" t="str">
        <f>IF(Table46[[#This Row],[HomeIce Differential]]&gt;0,Table46[[#This Row],[Home]],Table46[[#This Row],[Visitor]])</f>
        <v>Pittsburgh Penguins</v>
      </c>
      <c r="L110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0.55278574375007306</v>
      </c>
      <c r="M1108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108" t="str">
        <f>IF(OR((NHL2025_26Results[[#This Row],[Winning Team]]="")),"-",IF(Table46[[#This Row],[Predicted Winner]]=NHL2025_26Results[[#This Row],[Winning Team]],"YES","NO"))</f>
        <v>-</v>
      </c>
      <c r="O1108" t="str">
        <f>IF(OR((NHL2025_26Results[[#This Row],[Winning Team]]="")),"-",IF(Table46[[#This Row],[Prob Winner]]=NHL2025_26Results[[#This Row],[Winning Team]],"YES","NO"))</f>
        <v>-</v>
      </c>
      <c r="P1108" t="str">
        <f>IF(Table46[[#This Row],[Locked Prediction]]&lt;&gt;Table46[[#This Row],[Prob Winner]], "Changed", "Same")</f>
        <v>Changed</v>
      </c>
      <c r="Q110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09" spans="4:17" x14ac:dyDescent="0.2">
      <c r="D1109" s="1">
        <v>46102</v>
      </c>
      <c r="E1109" s="2">
        <v>0.66666666666666663</v>
      </c>
      <c r="F1109" t="s">
        <v>33</v>
      </c>
      <c r="G1109">
        <f>VLOOKUP(Table46[[#This Row],[Home]],'NHL Model'!$A$6:$B$38,2,FALSE)</f>
        <v>-0.39418177254008485</v>
      </c>
      <c r="H1109" t="s">
        <v>27</v>
      </c>
      <c r="I1109">
        <f>VLOOKUP(Table46[[#This Row],[Visitor]],'NHL Model'!$A$6:$B$38,2,FALSE)</f>
        <v>-0.51358590497437617</v>
      </c>
      <c r="J1109">
        <f>($B$1+Table46[[#This Row],[Home Differential]])-Table46[[#This Row],[Away Differential]]</f>
        <v>0.28197644209660971</v>
      </c>
      <c r="K1109" t="str">
        <f>IF(Table46[[#This Row],[HomeIce Differential]]&gt;0,Table46[[#This Row],[Home]],Table46[[#This Row],[Visitor]])</f>
        <v>San Jose Sharks</v>
      </c>
      <c r="L110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0.57748002847094948</v>
      </c>
      <c r="M1109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1109" t="str">
        <f>IF(OR((NHL2025_26Results[[#This Row],[Winning Team]]="")),"-",IF(Table46[[#This Row],[Predicted Winner]]=NHL2025_26Results[[#This Row],[Winning Team]],"YES","NO"))</f>
        <v>-</v>
      </c>
      <c r="O1109" t="str">
        <f>IF(OR((NHL2025_26Results[[#This Row],[Winning Team]]="")),"-",IF(Table46[[#This Row],[Prob Winner]]=NHL2025_26Results[[#This Row],[Winning Team]],"YES","NO"))</f>
        <v>-</v>
      </c>
      <c r="P1109" t="str">
        <f>IF(Table46[[#This Row],[Locked Prediction]]&lt;&gt;Table46[[#This Row],[Prob Winner]], "Changed", "Same")</f>
        <v>Changed</v>
      </c>
      <c r="Q110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10" spans="4:17" x14ac:dyDescent="0.2">
      <c r="D1110" s="1">
        <v>46102</v>
      </c>
      <c r="E1110" s="2">
        <v>0.79166666666666663</v>
      </c>
      <c r="F1110" t="s">
        <v>38</v>
      </c>
      <c r="G1110">
        <f>VLOOKUP(Table46[[#This Row],[Home]],'NHL Model'!$A$6:$B$38,2,FALSE)</f>
        <v>-0.6902088310934803</v>
      </c>
      <c r="H1110" t="s">
        <v>35</v>
      </c>
      <c r="I1110">
        <f>VLOOKUP(Table46[[#This Row],[Visitor]],'NHL Model'!$A$6:$B$38,2,FALSE)</f>
        <v>-1.6211574240381006</v>
      </c>
      <c r="J1110">
        <f>($B$1+Table46[[#This Row],[Home Differential]])-Table46[[#This Row],[Away Differential]]</f>
        <v>1.0935209026069388</v>
      </c>
      <c r="K1110" t="str">
        <f>IF(Table46[[#This Row],[HomeIce Differential]]&gt;0,Table46[[#This Row],[Home]],Table46[[#This Row],[Visitor]])</f>
        <v>Vancouver Canucks</v>
      </c>
      <c r="L11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0.68534971169415704</v>
      </c>
      <c r="M1110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1110" t="str">
        <f>IF(OR((NHL2025_26Results[[#This Row],[Winning Team]]="")),"-",IF(Table46[[#This Row],[Predicted Winner]]=NHL2025_26Results[[#This Row],[Winning Team]],"YES","NO"))</f>
        <v>-</v>
      </c>
      <c r="O1110" t="str">
        <f>IF(OR((NHL2025_26Results[[#This Row],[Winning Team]]="")),"-",IF(Table46[[#This Row],[Prob Winner]]=NHL2025_26Results[[#This Row],[Winning Team]],"YES","NO"))</f>
        <v>-</v>
      </c>
      <c r="P1110" t="str">
        <f>IF(Table46[[#This Row],[Locked Prediction]]&lt;&gt;Table46[[#This Row],[Prob Winner]], "Changed", "Same")</f>
        <v>Changed</v>
      </c>
      <c r="Q111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11" spans="4:17" x14ac:dyDescent="0.2">
      <c r="D1111" s="1">
        <v>46103</v>
      </c>
      <c r="E1111" s="2">
        <v>0.83333333333333337</v>
      </c>
      <c r="F1111" t="s">
        <v>31</v>
      </c>
      <c r="G1111">
        <f>VLOOKUP(Table46[[#This Row],[Home]],'NHL Model'!$A$6:$B$38,2,FALSE)</f>
        <v>0.51775546328552802</v>
      </c>
      <c r="H1111" t="s">
        <v>23</v>
      </c>
      <c r="I1111">
        <f>VLOOKUP(Table46[[#This Row],[Visitor]],'NHL Model'!$A$6:$B$38,2,FALSE)</f>
        <v>-0.8683412362501769</v>
      </c>
      <c r="J1111">
        <f>($B$1+Table46[[#This Row],[Home Differential]])-Table46[[#This Row],[Away Differential]]</f>
        <v>1.5486690091980233</v>
      </c>
      <c r="K1111" t="str">
        <f>IF(Table46[[#This Row],[HomeIce Differential]]&gt;0,Table46[[#This Row],[Home]],Table46[[#This Row],[Visitor]])</f>
        <v>Anaheim Ducks</v>
      </c>
      <c r="L11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0.85017744262854333</v>
      </c>
      <c r="M1111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111" t="str">
        <f>IF(OR((NHL2025_26Results[[#This Row],[Winning Team]]="")),"-",IF(Table46[[#This Row],[Predicted Winner]]=NHL2025_26Results[[#This Row],[Winning Team]],"YES","NO"))</f>
        <v>-</v>
      </c>
      <c r="O1111" t="str">
        <f>IF(OR((NHL2025_26Results[[#This Row],[Winning Team]]="")),"-",IF(Table46[[#This Row],[Prob Winner]]=NHL2025_26Results[[#This Row],[Winning Team]],"YES","NO"))</f>
        <v>-</v>
      </c>
      <c r="P1111" t="str">
        <f>IF(Table46[[#This Row],[Locked Prediction]]&lt;&gt;Table46[[#This Row],[Prob Winner]], "Changed", "Same")</f>
        <v>Changed</v>
      </c>
      <c r="Q111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12" spans="4:17" x14ac:dyDescent="0.2">
      <c r="D1112" s="1">
        <v>46103</v>
      </c>
      <c r="E1112" s="2">
        <v>0.83333333333333337</v>
      </c>
      <c r="F1112" t="s">
        <v>16</v>
      </c>
      <c r="G1112">
        <f>VLOOKUP(Table46[[#This Row],[Home]],'NHL Model'!$A$6:$B$38,2,FALSE)</f>
        <v>-1.3903684122795328</v>
      </c>
      <c r="H1112" t="s">
        <v>37</v>
      </c>
      <c r="I1112">
        <f>VLOOKUP(Table46[[#This Row],[Visitor]],'NHL Model'!$A$6:$B$38,2,FALSE)</f>
        <v>-0.11309445867623392</v>
      </c>
      <c r="J1112">
        <f>($B$1+Table46[[#This Row],[Home Differential]])-Table46[[#This Row],[Away Differential]]</f>
        <v>-1.1147016439409805</v>
      </c>
      <c r="K1112" t="str">
        <f>IF(Table46[[#This Row],[HomeIce Differential]]&gt;0,Table46[[#This Row],[Home]],Table46[[#This Row],[Visitor]])</f>
        <v>Tampa Bay Lightning</v>
      </c>
      <c r="L11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0.65526442626476333</v>
      </c>
      <c r="M1112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112" t="str">
        <f>IF(OR((NHL2025_26Results[[#This Row],[Winning Team]]="")),"-",IF(Table46[[#This Row],[Predicted Winner]]=NHL2025_26Results[[#This Row],[Winning Team]],"YES","NO"))</f>
        <v>-</v>
      </c>
      <c r="O1112" t="str">
        <f>IF(OR((NHL2025_26Results[[#This Row],[Winning Team]]="")),"-",IF(Table46[[#This Row],[Prob Winner]]=NHL2025_26Results[[#This Row],[Winning Team]],"YES","NO"))</f>
        <v>-</v>
      </c>
      <c r="P1112" t="str">
        <f>IF(Table46[[#This Row],[Locked Prediction]]&lt;&gt;Table46[[#This Row],[Prob Winner]], "Changed", "Same")</f>
        <v>Changed</v>
      </c>
      <c r="Q111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13" spans="4:17" x14ac:dyDescent="0.2">
      <c r="D1113" s="1">
        <v>46103</v>
      </c>
      <c r="E1113" s="2">
        <v>0.625</v>
      </c>
      <c r="F1113" t="s">
        <v>10</v>
      </c>
      <c r="G1113">
        <f>VLOOKUP(Table46[[#This Row],[Home]],'NHL Model'!$A$6:$B$38,2,FALSE)</f>
        <v>0.30570968833820172</v>
      </c>
      <c r="H1113" t="s">
        <v>29</v>
      </c>
      <c r="I1113">
        <f>VLOOKUP(Table46[[#This Row],[Visitor]],'NHL Model'!$A$6:$B$38,2,FALSE)</f>
        <v>-1.3516250707060606</v>
      </c>
      <c r="J1113">
        <f>($B$1+Table46[[#This Row],[Home Differential]])-Table46[[#This Row],[Away Differential]]</f>
        <v>1.8199070687065808</v>
      </c>
      <c r="K1113" t="str">
        <f>IF(Table46[[#This Row],[HomeIce Differential]]&gt;0,Table46[[#This Row],[Home]],Table46[[#This Row],[Visitor]])</f>
        <v>Chicago Blackhawks</v>
      </c>
      <c r="L11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0.78190023904988082</v>
      </c>
      <c r="M1113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113" t="str">
        <f>IF(OR((NHL2025_26Results[[#This Row],[Winning Team]]="")),"-",IF(Table46[[#This Row],[Predicted Winner]]=NHL2025_26Results[[#This Row],[Winning Team]],"YES","NO"))</f>
        <v>-</v>
      </c>
      <c r="O1113" t="str">
        <f>IF(OR((NHL2025_26Results[[#This Row],[Winning Team]]="")),"-",IF(Table46[[#This Row],[Prob Winner]]=NHL2025_26Results[[#This Row],[Winning Team]],"YES","NO"))</f>
        <v>-</v>
      </c>
      <c r="P1113" t="str">
        <f>IF(Table46[[#This Row],[Locked Prediction]]&lt;&gt;Table46[[#This Row],[Prob Winner]], "Changed", "Same")</f>
        <v>Changed</v>
      </c>
      <c r="Q111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14" spans="4:17" x14ac:dyDescent="0.2">
      <c r="D1114" s="1">
        <v>46103</v>
      </c>
      <c r="E1114" s="2">
        <v>0.79166666666666663</v>
      </c>
      <c r="F1114" t="s">
        <v>39</v>
      </c>
      <c r="G1114">
        <f>VLOOKUP(Table46[[#This Row],[Home]],'NHL Model'!$A$6:$B$38,2,FALSE)</f>
        <v>0.19809534061227302</v>
      </c>
      <c r="H1114" t="s">
        <v>20</v>
      </c>
      <c r="I1114">
        <f>VLOOKUP(Table46[[#This Row],[Visitor]],'NHL Model'!$A$6:$B$38,2,FALSE)</f>
        <v>-6.3745791019188943E-4</v>
      </c>
      <c r="J1114">
        <f>($B$1+Table46[[#This Row],[Home Differential]])-Table46[[#This Row],[Away Differential]]</f>
        <v>0.36130510818478329</v>
      </c>
      <c r="K1114" t="str">
        <f>IF(Table46[[#This Row],[HomeIce Differential]]&gt;0,Table46[[#This Row],[Home]],Table46[[#This Row],[Visitor]])</f>
        <v>Dallas Stars</v>
      </c>
      <c r="L111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0.59347886138951111</v>
      </c>
      <c r="M1114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114" t="str">
        <f>IF(OR((NHL2025_26Results[[#This Row],[Winning Team]]="")),"-",IF(Table46[[#This Row],[Predicted Winner]]=NHL2025_26Results[[#This Row],[Winning Team]],"YES","NO"))</f>
        <v>-</v>
      </c>
      <c r="O1114" t="str">
        <f>IF(OR((NHL2025_26Results[[#This Row],[Winning Team]]="")),"-",IF(Table46[[#This Row],[Prob Winner]]=NHL2025_26Results[[#This Row],[Winning Team]],"YES","NO"))</f>
        <v>-</v>
      </c>
      <c r="P1114" t="str">
        <f>IF(Table46[[#This Row],[Locked Prediction]]&lt;&gt;Table46[[#This Row],[Prob Winner]], "Changed", "Same")</f>
        <v>Changed</v>
      </c>
      <c r="Q111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15" spans="4:17" x14ac:dyDescent="0.2">
      <c r="D1115" s="1">
        <v>46103</v>
      </c>
      <c r="E1115" s="2">
        <v>0.79166666666666663</v>
      </c>
      <c r="F1115" t="s">
        <v>30</v>
      </c>
      <c r="G1115">
        <f>VLOOKUP(Table46[[#This Row],[Home]],'NHL Model'!$A$6:$B$38,2,FALSE)</f>
        <v>-6.4729560818359025E-2</v>
      </c>
      <c r="H1115" t="s">
        <v>28</v>
      </c>
      <c r="I1115">
        <f>VLOOKUP(Table46[[#This Row],[Visitor]],'NHL Model'!$A$6:$B$38,2,FALSE)</f>
        <v>-0.40822279081308277</v>
      </c>
      <c r="J1115">
        <f>($B$1+Table46[[#This Row],[Home Differential]])-Table46[[#This Row],[Away Differential]]</f>
        <v>0.50606553965704215</v>
      </c>
      <c r="K1115" t="str">
        <f>IF(Table46[[#This Row],[HomeIce Differential]]&gt;0,Table46[[#This Row],[Home]],Table46[[#This Row],[Visitor]])</f>
        <v>New York Islanders</v>
      </c>
      <c r="L111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0.58649649786214841</v>
      </c>
      <c r="M1115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115" t="str">
        <f>IF(OR((NHL2025_26Results[[#This Row],[Winning Team]]="")),"-",IF(Table46[[#This Row],[Predicted Winner]]=NHL2025_26Results[[#This Row],[Winning Team]],"YES","NO"))</f>
        <v>-</v>
      </c>
      <c r="O1115" t="str">
        <f>IF(OR((NHL2025_26Results[[#This Row],[Winning Team]]="")),"-",IF(Table46[[#This Row],[Prob Winner]]=NHL2025_26Results[[#This Row],[Winning Team]],"YES","NO"))</f>
        <v>-</v>
      </c>
      <c r="P1115" t="str">
        <f>IF(Table46[[#This Row],[Locked Prediction]]&lt;&gt;Table46[[#This Row],[Prob Winner]], "Changed", "Same")</f>
        <v>Changed</v>
      </c>
      <c r="Q111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16" spans="4:17" x14ac:dyDescent="0.2">
      <c r="D1116" s="1">
        <v>46103</v>
      </c>
      <c r="E1116" s="2">
        <v>0.5</v>
      </c>
      <c r="F1116" t="s">
        <v>15</v>
      </c>
      <c r="G1116">
        <f>VLOOKUP(Table46[[#This Row],[Home]],'NHL Model'!$A$6:$B$38,2,FALSE)</f>
        <v>-0.30719665303039001</v>
      </c>
      <c r="H1116" t="s">
        <v>40</v>
      </c>
      <c r="I1116">
        <f>VLOOKUP(Table46[[#This Row],[Visitor]],'NHL Model'!$A$6:$B$38,2,FALSE)</f>
        <v>0.105105258369765</v>
      </c>
      <c r="J1116">
        <f>($B$1+Table46[[#This Row],[Home Differential]])-Table46[[#This Row],[Away Differential]]</f>
        <v>-0.24972960173783662</v>
      </c>
      <c r="K1116" t="str">
        <f>IF(Table46[[#This Row],[HomeIce Differential]]&gt;0,Table46[[#This Row],[Home]],Table46[[#This Row],[Visitor]])</f>
        <v>Winnipeg Jets</v>
      </c>
      <c r="L111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0.55950959996926497</v>
      </c>
      <c r="M1116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116" t="str">
        <f>IF(OR((NHL2025_26Results[[#This Row],[Winning Team]]="")),"-",IF(Table46[[#This Row],[Predicted Winner]]=NHL2025_26Results[[#This Row],[Winning Team]],"YES","NO"))</f>
        <v>-</v>
      </c>
      <c r="O1116" t="str">
        <f>IF(OR((NHL2025_26Results[[#This Row],[Winning Team]]="")),"-",IF(Table46[[#This Row],[Prob Winner]]=NHL2025_26Results[[#This Row],[Winning Team]],"YES","NO"))</f>
        <v>-</v>
      </c>
      <c r="P1116" t="str">
        <f>IF(Table46[[#This Row],[Locked Prediction]]&lt;&gt;Table46[[#This Row],[Prob Winner]], "Changed", "Same")</f>
        <v>Changed</v>
      </c>
      <c r="Q111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17" spans="4:17" x14ac:dyDescent="0.2">
      <c r="D1117" s="1">
        <v>46103</v>
      </c>
      <c r="E1117" s="2">
        <v>0.625</v>
      </c>
      <c r="F1117" t="s">
        <v>14</v>
      </c>
      <c r="G1117">
        <f>VLOOKUP(Table46[[#This Row],[Home]],'NHL Model'!$A$6:$B$38,2,FALSE)</f>
        <v>0.26289091192875702</v>
      </c>
      <c r="H1117" t="s">
        <v>25</v>
      </c>
      <c r="I1117">
        <f>VLOOKUP(Table46[[#This Row],[Visitor]],'NHL Model'!$A$6:$B$38,2,FALSE)</f>
        <v>0.67193921242367816</v>
      </c>
      <c r="J1117">
        <f>($B$1+Table46[[#This Row],[Home Differential]])-Table46[[#This Row],[Away Differential]]</f>
        <v>-0.24647599083260274</v>
      </c>
      <c r="K1117" t="str">
        <f>IF(Table46[[#This Row],[HomeIce Differential]]&gt;0,Table46[[#This Row],[Home]],Table46[[#This Row],[Visitor]])</f>
        <v>Carolina Hurricanes</v>
      </c>
      <c r="L111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0.54889037602537949</v>
      </c>
      <c r="M1117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117" t="str">
        <f>IF(OR((NHL2025_26Results[[#This Row],[Winning Team]]="")),"-",IF(Table46[[#This Row],[Predicted Winner]]=NHL2025_26Results[[#This Row],[Winning Team]],"YES","NO"))</f>
        <v>-</v>
      </c>
      <c r="O1117" t="str">
        <f>IF(OR((NHL2025_26Results[[#This Row],[Winning Team]]="")),"-",IF(Table46[[#This Row],[Prob Winner]]=NHL2025_26Results[[#This Row],[Winning Team]],"YES","NO"))</f>
        <v>-</v>
      </c>
      <c r="P1117" t="str">
        <f>IF(Table46[[#This Row],[Locked Prediction]]&lt;&gt;Table46[[#This Row],[Prob Winner]], "Changed", "Same")</f>
        <v>Changed</v>
      </c>
      <c r="Q111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18" spans="4:17" x14ac:dyDescent="0.2">
      <c r="D1118" s="1">
        <v>46103</v>
      </c>
      <c r="E1118" s="2">
        <v>0.875</v>
      </c>
      <c r="F1118" t="s">
        <v>55</v>
      </c>
      <c r="G1118">
        <f>VLOOKUP(Table46[[#This Row],[Home]],'NHL Model'!$A$6:$B$38,2,FALSE)</f>
        <v>-0.12212311954851815</v>
      </c>
      <c r="H1118" t="s">
        <v>13</v>
      </c>
      <c r="I1118">
        <f>VLOOKUP(Table46[[#This Row],[Visitor]],'NHL Model'!$A$6:$B$38,2,FALSE)</f>
        <v>-7.5459708298993802E-2</v>
      </c>
      <c r="J1118">
        <f>($B$1+Table46[[#This Row],[Home Differential]])-Table46[[#This Row],[Away Differential]]</f>
        <v>0.11590889841279405</v>
      </c>
      <c r="K1118" t="str">
        <f>IF(Table46[[#This Row],[HomeIce Differential]]&gt;0,Table46[[#This Row],[Home]],Table46[[#This Row],[Visitor]])</f>
        <v>Utah Mammoth</v>
      </c>
      <c r="L111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0.50321137364198143</v>
      </c>
      <c r="M1118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118" t="str">
        <f>IF(OR((NHL2025_26Results[[#This Row],[Winning Team]]="")),"-",IF(Table46[[#This Row],[Predicted Winner]]=NHL2025_26Results[[#This Row],[Winning Team]],"YES","NO"))</f>
        <v>-</v>
      </c>
      <c r="O1118" t="str">
        <f>IF(OR((NHL2025_26Results[[#This Row],[Winning Team]]="")),"-",IF(Table46[[#This Row],[Prob Winner]]=NHL2025_26Results[[#This Row],[Winning Team]],"YES","NO"))</f>
        <v>-</v>
      </c>
      <c r="P1118" t="str">
        <f>IF(Table46[[#This Row],[Locked Prediction]]&lt;&gt;Table46[[#This Row],[Prob Winner]], "Changed", "Same")</f>
        <v>Changed</v>
      </c>
      <c r="Q111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19" spans="4:17" x14ac:dyDescent="0.2">
      <c r="D1119" s="1">
        <v>46103</v>
      </c>
      <c r="E1119" s="2">
        <v>0.52083333333333337</v>
      </c>
      <c r="F1119" t="s">
        <v>22</v>
      </c>
      <c r="G1119">
        <f>VLOOKUP(Table46[[#This Row],[Home]],'NHL Model'!$A$6:$B$38,2,FALSE)</f>
        <v>-6.1308839486784707E-2</v>
      </c>
      <c r="H1119" t="s">
        <v>12</v>
      </c>
      <c r="I1119">
        <f>VLOOKUP(Table46[[#This Row],[Visitor]],'NHL Model'!$A$6:$B$38,2,FALSE)</f>
        <v>1.5475013591489768</v>
      </c>
      <c r="J1119">
        <f>($B$1+Table46[[#This Row],[Home Differential]])-Table46[[#This Row],[Away Differential]]</f>
        <v>-1.4462378889734431</v>
      </c>
      <c r="K1119" t="str">
        <f>IF(Table46[[#This Row],[HomeIce Differential]]&gt;0,Table46[[#This Row],[Home]],Table46[[#This Row],[Visitor]])</f>
        <v>Colorado Avalanche</v>
      </c>
      <c r="L111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0.71854829248511987</v>
      </c>
      <c r="M1119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119" t="str">
        <f>IF(OR((NHL2025_26Results[[#This Row],[Winning Team]]="")),"-",IF(Table46[[#This Row],[Predicted Winner]]=NHL2025_26Results[[#This Row],[Winning Team]],"YES","NO"))</f>
        <v>-</v>
      </c>
      <c r="O1119" t="str">
        <f>IF(OR((NHL2025_26Results[[#This Row],[Winning Team]]="")),"-",IF(Table46[[#This Row],[Prob Winner]]=NHL2025_26Results[[#This Row],[Winning Team]],"YES","NO"))</f>
        <v>-</v>
      </c>
      <c r="P1119" t="str">
        <f>IF(Table46[[#This Row],[Locked Prediction]]&lt;&gt;Table46[[#This Row],[Prob Winner]], "Changed", "Same")</f>
        <v>Changed</v>
      </c>
      <c r="Q111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20" spans="4:17" x14ac:dyDescent="0.2">
      <c r="D1120" s="1">
        <v>46104</v>
      </c>
      <c r="E1120" s="2">
        <v>0.8125</v>
      </c>
      <c r="F1120" t="s">
        <v>15</v>
      </c>
      <c r="G1120">
        <f>VLOOKUP(Table46[[#This Row],[Home]],'NHL Model'!$A$6:$B$38,2,FALSE)</f>
        <v>-0.30719665303039001</v>
      </c>
      <c r="H1120" t="s">
        <v>36</v>
      </c>
      <c r="I1120">
        <f>VLOOKUP(Table46[[#This Row],[Visitor]],'NHL Model'!$A$6:$B$38,2,FALSE)</f>
        <v>-0.40651947573390851</v>
      </c>
      <c r="J1120">
        <f>($B$1+Table46[[#This Row],[Home Differential]])-Table46[[#This Row],[Away Differential]]</f>
        <v>0.26189513236583689</v>
      </c>
      <c r="K1120" t="str">
        <f>IF(Table46[[#This Row],[HomeIce Differential]]&gt;0,Table46[[#This Row],[Home]],Table46[[#This Row],[Visitor]])</f>
        <v>New York Rangers</v>
      </c>
      <c r="L112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0.57481084073722577</v>
      </c>
      <c r="M1120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120" t="str">
        <f>IF(OR((NHL2025_26Results[[#This Row],[Winning Team]]="")),"-",IF(Table46[[#This Row],[Predicted Winner]]=NHL2025_26Results[[#This Row],[Winning Team]],"YES","NO"))</f>
        <v>-</v>
      </c>
      <c r="O1120" t="str">
        <f>IF(OR((NHL2025_26Results[[#This Row],[Winning Team]]="")),"-",IF(Table46[[#This Row],[Prob Winner]]=NHL2025_26Results[[#This Row],[Winning Team]],"YES","NO"))</f>
        <v>-</v>
      </c>
      <c r="P1120" t="str">
        <f>IF(Table46[[#This Row],[Locked Prediction]]&lt;&gt;Table46[[#This Row],[Prob Winner]], "Changed", "Same")</f>
        <v>Changed</v>
      </c>
      <c r="Q112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21" spans="4:17" x14ac:dyDescent="0.2">
      <c r="D1121" s="1">
        <v>46105</v>
      </c>
      <c r="E1121" s="2">
        <v>0.79166666666666663</v>
      </c>
      <c r="F1121" t="s">
        <v>21</v>
      </c>
      <c r="G1121">
        <f>VLOOKUP(Table46[[#This Row],[Home]],'NHL Model'!$A$6:$B$38,2,FALSE)</f>
        <v>4.029141914856392E-2</v>
      </c>
      <c r="H1121" t="s">
        <v>19</v>
      </c>
      <c r="I1121">
        <f>VLOOKUP(Table46[[#This Row],[Visitor]],'NHL Model'!$A$6:$B$38,2,FALSE)</f>
        <v>-0.635565543477981</v>
      </c>
      <c r="J1121">
        <f>($B$1+Table46[[#This Row],[Home Differential]])-Table46[[#This Row],[Away Differential]]</f>
        <v>0.83842927228886333</v>
      </c>
      <c r="K1121" t="str">
        <f>IF(Table46[[#This Row],[HomeIce Differential]]&gt;0,Table46[[#This Row],[Home]],Table46[[#This Row],[Visitor]])</f>
        <v>Boston Bruins</v>
      </c>
      <c r="L112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0.7240006129469827</v>
      </c>
      <c r="M1121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121" t="str">
        <f>IF(OR((NHL2025_26Results[[#This Row],[Winning Team]]="")),"-",IF(Table46[[#This Row],[Predicted Winner]]=NHL2025_26Results[[#This Row],[Winning Team]],"YES","NO"))</f>
        <v>-</v>
      </c>
      <c r="O1121" t="str">
        <f>IF(OR((NHL2025_26Results[[#This Row],[Winning Team]]="")),"-",IF(Table46[[#This Row],[Prob Winner]]=NHL2025_26Results[[#This Row],[Winning Team]],"YES","NO"))</f>
        <v>-</v>
      </c>
      <c r="P1121" t="str">
        <f>IF(Table46[[#This Row],[Locked Prediction]]&lt;&gt;Table46[[#This Row],[Prob Winner]], "Changed", "Same")</f>
        <v>Changed</v>
      </c>
      <c r="Q112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22" spans="4:17" x14ac:dyDescent="0.2">
      <c r="D1122" s="1">
        <v>46105</v>
      </c>
      <c r="E1122" s="2">
        <v>0.875</v>
      </c>
      <c r="F1122" t="s">
        <v>16</v>
      </c>
      <c r="G1122">
        <f>VLOOKUP(Table46[[#This Row],[Home]],'NHL Model'!$A$6:$B$38,2,FALSE)</f>
        <v>-1.3903684122795328</v>
      </c>
      <c r="H1122" t="s">
        <v>13</v>
      </c>
      <c r="I1122">
        <f>VLOOKUP(Table46[[#This Row],[Visitor]],'NHL Model'!$A$6:$B$38,2,FALSE)</f>
        <v>-7.5459708298993802E-2</v>
      </c>
      <c r="J1122">
        <f>($B$1+Table46[[#This Row],[Home Differential]])-Table46[[#This Row],[Away Differential]]</f>
        <v>-1.1523363943182205</v>
      </c>
      <c r="K1122" t="str">
        <f>IF(Table46[[#This Row],[HomeIce Differential]]&gt;0,Table46[[#This Row],[Home]],Table46[[#This Row],[Visitor]])</f>
        <v>Los Angeles Kings</v>
      </c>
      <c r="L112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0.73456275724205988</v>
      </c>
      <c r="M1122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122" t="str">
        <f>IF(OR((NHL2025_26Results[[#This Row],[Winning Team]]="")),"-",IF(Table46[[#This Row],[Predicted Winner]]=NHL2025_26Results[[#This Row],[Winning Team]],"YES","NO"))</f>
        <v>-</v>
      </c>
      <c r="O1122" t="str">
        <f>IF(OR((NHL2025_26Results[[#This Row],[Winning Team]]="")),"-",IF(Table46[[#This Row],[Prob Winner]]=NHL2025_26Results[[#This Row],[Winning Team]],"YES","NO"))</f>
        <v>-</v>
      </c>
      <c r="P1122" t="str">
        <f>IF(Table46[[#This Row],[Locked Prediction]]&lt;&gt;Table46[[#This Row],[Prob Winner]], "Changed", "Same")</f>
        <v>Changed</v>
      </c>
      <c r="Q112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23" spans="4:17" x14ac:dyDescent="0.2">
      <c r="D1123" s="1">
        <v>46105</v>
      </c>
      <c r="E1123" s="2">
        <v>0.83333333333333337</v>
      </c>
      <c r="F1123" t="s">
        <v>39</v>
      </c>
      <c r="G1123">
        <f>VLOOKUP(Table46[[#This Row],[Home]],'NHL Model'!$A$6:$B$38,2,FALSE)</f>
        <v>0.19809534061227302</v>
      </c>
      <c r="H1123" t="s">
        <v>24</v>
      </c>
      <c r="I1123">
        <f>VLOOKUP(Table46[[#This Row],[Visitor]],'NHL Model'!$A$6:$B$38,2,FALSE)</f>
        <v>0.559441163373953</v>
      </c>
      <c r="J1123">
        <f>($B$1+Table46[[#This Row],[Home Differential]])-Table46[[#This Row],[Away Differential]]</f>
        <v>-0.19877351309936159</v>
      </c>
      <c r="K1123" t="str">
        <f>IF(Table46[[#This Row],[HomeIce Differential]]&gt;0,Table46[[#This Row],[Home]],Table46[[#This Row],[Visitor]])</f>
        <v>New Jersey Devils</v>
      </c>
      <c r="L112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0.52642077783108632</v>
      </c>
      <c r="M1123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123" t="str">
        <f>IF(OR((NHL2025_26Results[[#This Row],[Winning Team]]="")),"-",IF(Table46[[#This Row],[Predicted Winner]]=NHL2025_26Results[[#This Row],[Winning Team]],"YES","NO"))</f>
        <v>-</v>
      </c>
      <c r="O1123" t="str">
        <f>IF(OR((NHL2025_26Results[[#This Row],[Winning Team]]="")),"-",IF(Table46[[#This Row],[Prob Winner]]=NHL2025_26Results[[#This Row],[Winning Team]],"YES","NO"))</f>
        <v>-</v>
      </c>
      <c r="P1123" t="str">
        <f>IF(Table46[[#This Row],[Locked Prediction]]&lt;&gt;Table46[[#This Row],[Prob Winner]], "Changed", "Same")</f>
        <v>Changed</v>
      </c>
      <c r="Q112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24" spans="4:17" x14ac:dyDescent="0.2">
      <c r="D1124" s="1">
        <v>46105</v>
      </c>
      <c r="E1124" s="2">
        <v>0.79166666666666663</v>
      </c>
      <c r="F1124" t="s">
        <v>26</v>
      </c>
      <c r="G1124">
        <f>VLOOKUP(Table46[[#This Row],[Home]],'NHL Model'!$A$6:$B$38,2,FALSE)</f>
        <v>-0.513643833119658</v>
      </c>
      <c r="H1124" t="s">
        <v>36</v>
      </c>
      <c r="I1124">
        <f>VLOOKUP(Table46[[#This Row],[Visitor]],'NHL Model'!$A$6:$B$38,2,FALSE)</f>
        <v>-0.40651947573390851</v>
      </c>
      <c r="J1124">
        <f>($B$1+Table46[[#This Row],[Home Differential]])-Table46[[#This Row],[Away Differential]]</f>
        <v>5.5447952276568901E-2</v>
      </c>
      <c r="K1124" t="str">
        <f>IF(Table46[[#This Row],[HomeIce Differential]]&gt;0,Table46[[#This Row],[Home]],Table46[[#This Row],[Visitor]])</f>
        <v>Detroit Red Wings</v>
      </c>
      <c r="L112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0.5734078225645618</v>
      </c>
      <c r="M1124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1124" t="str">
        <f>IF(OR((NHL2025_26Results[[#This Row],[Winning Team]]="")),"-",IF(Table46[[#This Row],[Predicted Winner]]=NHL2025_26Results[[#This Row],[Winning Team]],"YES","NO"))</f>
        <v>-</v>
      </c>
      <c r="O1124" t="str">
        <f>IF(OR((NHL2025_26Results[[#This Row],[Winning Team]]="")),"-",IF(Table46[[#This Row],[Prob Winner]]=NHL2025_26Results[[#This Row],[Winning Team]],"YES","NO"))</f>
        <v>-</v>
      </c>
      <c r="P1124" t="str">
        <f>IF(Table46[[#This Row],[Locked Prediction]]&lt;&gt;Table46[[#This Row],[Prob Winner]], "Changed", "Same")</f>
        <v>Changed</v>
      </c>
      <c r="Q112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25" spans="4:17" x14ac:dyDescent="0.2">
      <c r="D1125" s="1">
        <v>46105</v>
      </c>
      <c r="E1125" s="2">
        <v>0.79166666666666663</v>
      </c>
      <c r="F1125" t="s">
        <v>11</v>
      </c>
      <c r="G1125">
        <f>VLOOKUP(Table46[[#This Row],[Home]],'NHL Model'!$A$6:$B$38,2,FALSE)</f>
        <v>-0.28105923893144158</v>
      </c>
      <c r="H1125" t="s">
        <v>32</v>
      </c>
      <c r="I1125">
        <f>VLOOKUP(Table46[[#This Row],[Visitor]],'NHL Model'!$A$6:$B$38,2,FALSE)</f>
        <v>-0.361361309178443</v>
      </c>
      <c r="J1125">
        <f>($B$1+Table46[[#This Row],[Home Differential]])-Table46[[#This Row],[Away Differential]]</f>
        <v>0.24287437990931982</v>
      </c>
      <c r="K1125" t="str">
        <f>IF(Table46[[#This Row],[HomeIce Differential]]&gt;0,Table46[[#This Row],[Home]],Table46[[#This Row],[Visitor]])</f>
        <v>Florida Panthers</v>
      </c>
      <c r="L112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0.62399859755383402</v>
      </c>
      <c r="M1125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1125" t="str">
        <f>IF(OR((NHL2025_26Results[[#This Row],[Winning Team]]="")),"-",IF(Table46[[#This Row],[Predicted Winner]]=NHL2025_26Results[[#This Row],[Winning Team]],"YES","NO"))</f>
        <v>-</v>
      </c>
      <c r="O1125" t="str">
        <f>IF(OR((NHL2025_26Results[[#This Row],[Winning Team]]="")),"-",IF(Table46[[#This Row],[Prob Winner]]=NHL2025_26Results[[#This Row],[Winning Team]],"YES","NO"))</f>
        <v>-</v>
      </c>
      <c r="P1125" t="str">
        <f>IF(Table46[[#This Row],[Locked Prediction]]&lt;&gt;Table46[[#This Row],[Prob Winner]], "Changed", "Same")</f>
        <v>Changed</v>
      </c>
      <c r="Q112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26" spans="4:17" x14ac:dyDescent="0.2">
      <c r="D1126" s="1">
        <v>46105</v>
      </c>
      <c r="E1126" s="2">
        <v>0.79166666666666663</v>
      </c>
      <c r="F1126" t="s">
        <v>18</v>
      </c>
      <c r="G1126">
        <f>VLOOKUP(Table46[[#This Row],[Home]],'NHL Model'!$A$6:$B$38,2,FALSE)</f>
        <v>-0.52437726201848234</v>
      </c>
      <c r="H1126" t="s">
        <v>25</v>
      </c>
      <c r="I1126">
        <f>VLOOKUP(Table46[[#This Row],[Visitor]],'NHL Model'!$A$6:$B$38,2,FALSE)</f>
        <v>0.67193921242367816</v>
      </c>
      <c r="J1126">
        <f>($B$1+Table46[[#This Row],[Home Differential]])-Table46[[#This Row],[Away Differential]]</f>
        <v>-1.0337441647798422</v>
      </c>
      <c r="K1126" t="str">
        <f>IF(Table46[[#This Row],[HomeIce Differential]]&gt;0,Table46[[#This Row],[Home]],Table46[[#This Row],[Visitor]])</f>
        <v>Carolina Hurricanes</v>
      </c>
      <c r="L112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0.68989043495028635</v>
      </c>
      <c r="M1126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126" t="str">
        <f>IF(OR((NHL2025_26Results[[#This Row],[Winning Team]]="")),"-",IF(Table46[[#This Row],[Predicted Winner]]=NHL2025_26Results[[#This Row],[Winning Team]],"YES","NO"))</f>
        <v>-</v>
      </c>
      <c r="O1126" t="str">
        <f>IF(OR((NHL2025_26Results[[#This Row],[Winning Team]]="")),"-",IF(Table46[[#This Row],[Prob Winner]]=NHL2025_26Results[[#This Row],[Winning Team]],"YES","NO"))</f>
        <v>-</v>
      </c>
      <c r="P1126" t="str">
        <f>IF(Table46[[#This Row],[Locked Prediction]]&lt;&gt;Table46[[#This Row],[Prob Winner]], "Changed", "Same")</f>
        <v>Changed</v>
      </c>
      <c r="Q112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27" spans="4:17" x14ac:dyDescent="0.2">
      <c r="D1127" s="1">
        <v>46105</v>
      </c>
      <c r="E1127" s="2">
        <v>0.83333333333333337</v>
      </c>
      <c r="F1127" t="s">
        <v>29</v>
      </c>
      <c r="G1127">
        <f>VLOOKUP(Table46[[#This Row],[Home]],'NHL Model'!$A$6:$B$38,2,FALSE)</f>
        <v>-1.3516250707060606</v>
      </c>
      <c r="H1127" t="s">
        <v>33</v>
      </c>
      <c r="I1127">
        <f>VLOOKUP(Table46[[#This Row],[Visitor]],'NHL Model'!$A$6:$B$38,2,FALSE)</f>
        <v>-0.39418177254008485</v>
      </c>
      <c r="J1127">
        <f>($B$1+Table46[[#This Row],[Home Differential]])-Table46[[#This Row],[Away Differential]]</f>
        <v>-0.79487098850365734</v>
      </c>
      <c r="K1127" t="str">
        <f>IF(Table46[[#This Row],[HomeIce Differential]]&gt;0,Table46[[#This Row],[Home]],Table46[[#This Row],[Visitor]])</f>
        <v>San Jose Sharks</v>
      </c>
      <c r="L112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0.5656534618932515</v>
      </c>
      <c r="M1127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1127" t="str">
        <f>IF(OR((NHL2025_26Results[[#This Row],[Winning Team]]="")),"-",IF(Table46[[#This Row],[Predicted Winner]]=NHL2025_26Results[[#This Row],[Winning Team]],"YES","NO"))</f>
        <v>-</v>
      </c>
      <c r="O1127" t="str">
        <f>IF(OR((NHL2025_26Results[[#This Row],[Winning Team]]="")),"-",IF(Table46[[#This Row],[Prob Winner]]=NHL2025_26Results[[#This Row],[Winning Team]],"YES","NO"))</f>
        <v>-</v>
      </c>
      <c r="P1127" t="str">
        <f>IF(Table46[[#This Row],[Locked Prediction]]&lt;&gt;Table46[[#This Row],[Prob Winner]], "Changed", "Same")</f>
        <v>Changed</v>
      </c>
      <c r="Q112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28" spans="4:17" x14ac:dyDescent="0.2">
      <c r="D1128" s="1">
        <v>46105</v>
      </c>
      <c r="E1128" s="2">
        <v>0.79166666666666663</v>
      </c>
      <c r="F1128" t="s">
        <v>30</v>
      </c>
      <c r="G1128">
        <f>VLOOKUP(Table46[[#This Row],[Home]],'NHL Model'!$A$6:$B$38,2,FALSE)</f>
        <v>-6.4729560818359025E-2</v>
      </c>
      <c r="H1128" t="s">
        <v>10</v>
      </c>
      <c r="I1128">
        <f>VLOOKUP(Table46[[#This Row],[Visitor]],'NHL Model'!$A$6:$B$38,2,FALSE)</f>
        <v>0.30570968833820172</v>
      </c>
      <c r="J1128">
        <f>($B$1+Table46[[#This Row],[Home Differential]])-Table46[[#This Row],[Away Differential]]</f>
        <v>-0.20786693949424234</v>
      </c>
      <c r="K1128" t="str">
        <f>IF(Table46[[#This Row],[HomeIce Differential]]&gt;0,Table46[[#This Row],[Home]],Table46[[#This Row],[Visitor]])</f>
        <v>Chicago Blackhawks</v>
      </c>
      <c r="L112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0.50839869780018243</v>
      </c>
      <c r="M1128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128" t="str">
        <f>IF(OR((NHL2025_26Results[[#This Row],[Winning Team]]="")),"-",IF(Table46[[#This Row],[Predicted Winner]]=NHL2025_26Results[[#This Row],[Winning Team]],"YES","NO"))</f>
        <v>-</v>
      </c>
      <c r="O1128" t="str">
        <f>IF(OR((NHL2025_26Results[[#This Row],[Winning Team]]="")),"-",IF(Table46[[#This Row],[Prob Winner]]=NHL2025_26Results[[#This Row],[Winning Team]],"YES","NO"))</f>
        <v>-</v>
      </c>
      <c r="P1128" t="str">
        <f>IF(Table46[[#This Row],[Locked Prediction]]&lt;&gt;Table46[[#This Row],[Prob Winner]], "Changed", "Same")</f>
        <v>Changed</v>
      </c>
      <c r="Q112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29" spans="4:17" x14ac:dyDescent="0.2">
      <c r="D1129" s="1">
        <v>46105</v>
      </c>
      <c r="E1129" s="2">
        <v>0.79166666666666663</v>
      </c>
      <c r="F1129" t="s">
        <v>27</v>
      </c>
      <c r="G1129">
        <f>VLOOKUP(Table46[[#This Row],[Home]],'NHL Model'!$A$6:$B$38,2,FALSE)</f>
        <v>-0.51358590497437617</v>
      </c>
      <c r="H1129" t="s">
        <v>28</v>
      </c>
      <c r="I1129">
        <f>VLOOKUP(Table46[[#This Row],[Visitor]],'NHL Model'!$A$6:$B$38,2,FALSE)</f>
        <v>-0.40822279081308277</v>
      </c>
      <c r="J1129">
        <f>($B$1+Table46[[#This Row],[Home Differential]])-Table46[[#This Row],[Away Differential]]</f>
        <v>5.720919550102499E-2</v>
      </c>
      <c r="K1129" t="str">
        <f>IF(Table46[[#This Row],[HomeIce Differential]]&gt;0,Table46[[#This Row],[Home]],Table46[[#This Row],[Visitor]])</f>
        <v>Philadelphia Flyers</v>
      </c>
      <c r="L112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0.52934331984945682</v>
      </c>
      <c r="M1129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1129" t="str">
        <f>IF(OR((NHL2025_26Results[[#This Row],[Winning Team]]="")),"-",IF(Table46[[#This Row],[Predicted Winner]]=NHL2025_26Results[[#This Row],[Winning Team]],"YES","NO"))</f>
        <v>-</v>
      </c>
      <c r="O1129" t="str">
        <f>IF(OR((NHL2025_26Results[[#This Row],[Winning Team]]="")),"-",IF(Table46[[#This Row],[Prob Winner]]=NHL2025_26Results[[#This Row],[Winning Team]],"YES","NO"))</f>
        <v>-</v>
      </c>
      <c r="P1129" t="str">
        <f>IF(Table46[[#This Row],[Locked Prediction]]&lt;&gt;Table46[[#This Row],[Prob Winner]], "Changed", "Same")</f>
        <v>Changed</v>
      </c>
      <c r="Q112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30" spans="4:17" x14ac:dyDescent="0.2">
      <c r="D1130" s="1">
        <v>46105</v>
      </c>
      <c r="E1130" s="2">
        <v>0.79166666666666663</v>
      </c>
      <c r="F1130" t="s">
        <v>14</v>
      </c>
      <c r="G1130">
        <f>VLOOKUP(Table46[[#This Row],[Home]],'NHL Model'!$A$6:$B$38,2,FALSE)</f>
        <v>0.26289091192875702</v>
      </c>
      <c r="H1130" t="s">
        <v>12</v>
      </c>
      <c r="I1130">
        <f>VLOOKUP(Table46[[#This Row],[Visitor]],'NHL Model'!$A$6:$B$38,2,FALSE)</f>
        <v>1.5475013591489768</v>
      </c>
      <c r="J1130">
        <f>($B$1+Table46[[#This Row],[Home Differential]])-Table46[[#This Row],[Away Differential]]</f>
        <v>-1.1220381375579014</v>
      </c>
      <c r="K1130" t="str">
        <f>IF(Table46[[#This Row],[HomeIce Differential]]&gt;0,Table46[[#This Row],[Home]],Table46[[#This Row],[Visitor]])</f>
        <v>Colorado Avalanche</v>
      </c>
      <c r="L113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0.63893611259234118</v>
      </c>
      <c r="M1130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130" t="str">
        <f>IF(OR((NHL2025_26Results[[#This Row],[Winning Team]]="")),"-",IF(Table46[[#This Row],[Predicted Winner]]=NHL2025_26Results[[#This Row],[Winning Team]],"YES","NO"))</f>
        <v>-</v>
      </c>
      <c r="O1130" t="str">
        <f>IF(OR((NHL2025_26Results[[#This Row],[Winning Team]]="")),"-",IF(Table46[[#This Row],[Prob Winner]]=NHL2025_26Results[[#This Row],[Winning Team]],"YES","NO"))</f>
        <v>-</v>
      </c>
      <c r="P1130" t="str">
        <f>IF(Table46[[#This Row],[Locked Prediction]]&lt;&gt;Table46[[#This Row],[Prob Winner]], "Changed", "Same")</f>
        <v>Changed</v>
      </c>
      <c r="Q113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31" spans="4:17" x14ac:dyDescent="0.2">
      <c r="D1131" s="1">
        <v>46105</v>
      </c>
      <c r="E1131" s="2">
        <v>0.83333333333333337</v>
      </c>
      <c r="F1131" t="s">
        <v>35</v>
      </c>
      <c r="G1131">
        <f>VLOOKUP(Table46[[#This Row],[Home]],'NHL Model'!$A$6:$B$38,2,FALSE)</f>
        <v>-1.6211574240381006</v>
      </c>
      <c r="H1131" t="s">
        <v>22</v>
      </c>
      <c r="I1131">
        <f>VLOOKUP(Table46[[#This Row],[Visitor]],'NHL Model'!$A$6:$B$38,2,FALSE)</f>
        <v>-6.1308839486784707E-2</v>
      </c>
      <c r="J1131">
        <f>($B$1+Table46[[#This Row],[Home Differential]])-Table46[[#This Row],[Away Differential]]</f>
        <v>-1.3972762748889975</v>
      </c>
      <c r="K1131" t="str">
        <f>IF(Table46[[#This Row],[HomeIce Differential]]&gt;0,Table46[[#This Row],[Home]],Table46[[#This Row],[Visitor]])</f>
        <v>Washington Capitals</v>
      </c>
      <c r="L113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0.6457245739226648</v>
      </c>
      <c r="M1131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1131" t="str">
        <f>IF(OR((NHL2025_26Results[[#This Row],[Winning Team]]="")),"-",IF(Table46[[#This Row],[Predicted Winner]]=NHL2025_26Results[[#This Row],[Winning Team]],"YES","NO"))</f>
        <v>-</v>
      </c>
      <c r="O1131" t="str">
        <f>IF(OR((NHL2025_26Results[[#This Row],[Winning Team]]="")),"-",IF(Table46[[#This Row],[Prob Winner]]=NHL2025_26Results[[#This Row],[Winning Team]],"YES","NO"))</f>
        <v>-</v>
      </c>
      <c r="P1131" t="str">
        <f>IF(Table46[[#This Row],[Locked Prediction]]&lt;&gt;Table46[[#This Row],[Prob Winner]], "Changed", "Same")</f>
        <v>Changed</v>
      </c>
      <c r="Q113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32" spans="4:17" x14ac:dyDescent="0.2">
      <c r="D1132" s="1">
        <v>46105</v>
      </c>
      <c r="E1132" s="2">
        <v>0.8125</v>
      </c>
      <c r="F1132" t="s">
        <v>37</v>
      </c>
      <c r="G1132">
        <f>VLOOKUP(Table46[[#This Row],[Home]],'NHL Model'!$A$6:$B$38,2,FALSE)</f>
        <v>-0.11309445867623392</v>
      </c>
      <c r="H1132" t="s">
        <v>34</v>
      </c>
      <c r="I1132">
        <f>VLOOKUP(Table46[[#This Row],[Visitor]],'NHL Model'!$A$6:$B$38,2,FALSE)</f>
        <v>-0.53650300840565446</v>
      </c>
      <c r="J1132">
        <f>($B$1+Table46[[#This Row],[Home Differential]])-Table46[[#This Row],[Away Differential]]</f>
        <v>0.58598085939173894</v>
      </c>
      <c r="K1132" t="str">
        <f>IF(Table46[[#This Row],[HomeIce Differential]]&gt;0,Table46[[#This Row],[Home]],Table46[[#This Row],[Visitor]])</f>
        <v>Tampa Bay Lightning</v>
      </c>
      <c r="L113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0.61788799351510737</v>
      </c>
      <c r="M1132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132" t="str">
        <f>IF(OR((NHL2025_26Results[[#This Row],[Winning Team]]="")),"-",IF(Table46[[#This Row],[Predicted Winner]]=NHL2025_26Results[[#This Row],[Winning Team]],"YES","NO"))</f>
        <v>-</v>
      </c>
      <c r="O1132" t="str">
        <f>IF(OR((NHL2025_26Results[[#This Row],[Winning Team]]="")),"-",IF(Table46[[#This Row],[Prob Winner]]=NHL2025_26Results[[#This Row],[Winning Team]],"YES","NO"))</f>
        <v>-</v>
      </c>
      <c r="P1132" t="str">
        <f>IF(Table46[[#This Row],[Locked Prediction]]&lt;&gt;Table46[[#This Row],[Prob Winner]], "Changed", "Same")</f>
        <v>Changed</v>
      </c>
      <c r="Q113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33" spans="4:17" x14ac:dyDescent="0.2">
      <c r="D1133" s="1">
        <v>46105</v>
      </c>
      <c r="E1133" s="2">
        <v>0.89583333333333337</v>
      </c>
      <c r="F1133" t="s">
        <v>55</v>
      </c>
      <c r="G1133">
        <f>VLOOKUP(Table46[[#This Row],[Home]],'NHL Model'!$A$6:$B$38,2,FALSE)</f>
        <v>-0.12212311954851815</v>
      </c>
      <c r="H1133" t="s">
        <v>17</v>
      </c>
      <c r="I1133">
        <f>VLOOKUP(Table46[[#This Row],[Visitor]],'NHL Model'!$A$6:$B$38,2,FALSE)</f>
        <v>-0.61980804137564283</v>
      </c>
      <c r="J1133">
        <f>($B$1+Table46[[#This Row],[Home Differential]])-Table46[[#This Row],[Away Differential]]</f>
        <v>0.66025723148944304</v>
      </c>
      <c r="K1133" t="str">
        <f>IF(Table46[[#This Row],[HomeIce Differential]]&gt;0,Table46[[#This Row],[Home]],Table46[[#This Row],[Visitor]])</f>
        <v>Utah Mammoth</v>
      </c>
      <c r="L113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0.69603324116532472</v>
      </c>
      <c r="M1133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133" t="str">
        <f>IF(OR((NHL2025_26Results[[#This Row],[Winning Team]]="")),"-",IF(Table46[[#This Row],[Predicted Winner]]=NHL2025_26Results[[#This Row],[Winning Team]],"YES","NO"))</f>
        <v>-</v>
      </c>
      <c r="O1133" t="str">
        <f>IF(OR((NHL2025_26Results[[#This Row],[Winning Team]]="")),"-",IF(Table46[[#This Row],[Prob Winner]]=NHL2025_26Results[[#This Row],[Winning Team]],"YES","NO"))</f>
        <v>-</v>
      </c>
      <c r="P1133" t="str">
        <f>IF(Table46[[#This Row],[Locked Prediction]]&lt;&gt;Table46[[#This Row],[Prob Winner]], "Changed", "Same")</f>
        <v>Changed</v>
      </c>
      <c r="Q113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34" spans="4:17" x14ac:dyDescent="0.2">
      <c r="D1134" s="1">
        <v>46105</v>
      </c>
      <c r="E1134" s="2">
        <v>0.91666666666666663</v>
      </c>
      <c r="F1134" t="s">
        <v>38</v>
      </c>
      <c r="G1134">
        <f>VLOOKUP(Table46[[#This Row],[Home]],'NHL Model'!$A$6:$B$38,2,FALSE)</f>
        <v>-0.6902088310934803</v>
      </c>
      <c r="H1134" t="s">
        <v>31</v>
      </c>
      <c r="I1134">
        <f>VLOOKUP(Table46[[#This Row],[Visitor]],'NHL Model'!$A$6:$B$38,2,FALSE)</f>
        <v>0.51775546328552802</v>
      </c>
      <c r="J1134">
        <f>($B$1+Table46[[#This Row],[Home Differential]])-Table46[[#This Row],[Away Differential]]</f>
        <v>-1.0453919847166899</v>
      </c>
      <c r="K1134" t="str">
        <f>IF(Table46[[#This Row],[HomeIce Differential]]&gt;0,Table46[[#This Row],[Home]],Table46[[#This Row],[Visitor]])</f>
        <v>Anaheim Ducks</v>
      </c>
      <c r="L113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0.61972169452526216</v>
      </c>
      <c r="M1134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134" t="str">
        <f>IF(OR((NHL2025_26Results[[#This Row],[Winning Team]]="")),"-",IF(Table46[[#This Row],[Predicted Winner]]=NHL2025_26Results[[#This Row],[Winning Team]],"YES","NO"))</f>
        <v>-</v>
      </c>
      <c r="O1134" t="str">
        <f>IF(OR((NHL2025_26Results[[#This Row],[Winning Team]]="")),"-",IF(Table46[[#This Row],[Prob Winner]]=NHL2025_26Results[[#This Row],[Winning Team]],"YES","NO"))</f>
        <v>-</v>
      </c>
      <c r="P1134" t="str">
        <f>IF(Table46[[#This Row],[Locked Prediction]]&lt;&gt;Table46[[#This Row],[Prob Winner]], "Changed", "Same")</f>
        <v>Changed</v>
      </c>
      <c r="Q113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35" spans="4:17" x14ac:dyDescent="0.2">
      <c r="D1135" s="1">
        <v>46105</v>
      </c>
      <c r="E1135" s="2">
        <v>0.83333333333333337</v>
      </c>
      <c r="F1135" t="s">
        <v>40</v>
      </c>
      <c r="G1135">
        <f>VLOOKUP(Table46[[#This Row],[Home]],'NHL Model'!$A$6:$B$38,2,FALSE)</f>
        <v>0.105105258369765</v>
      </c>
      <c r="H1135" t="s">
        <v>20</v>
      </c>
      <c r="I1135">
        <f>VLOOKUP(Table46[[#This Row],[Visitor]],'NHL Model'!$A$6:$B$38,2,FALSE)</f>
        <v>-6.3745791019188943E-4</v>
      </c>
      <c r="J1135">
        <f>($B$1+Table46[[#This Row],[Home Differential]])-Table46[[#This Row],[Away Differential]]</f>
        <v>0.2683150259422753</v>
      </c>
      <c r="K1135" t="str">
        <f>IF(Table46[[#This Row],[HomeIce Differential]]&gt;0,Table46[[#This Row],[Home]],Table46[[#This Row],[Visitor]])</f>
        <v>Winnipeg Jets</v>
      </c>
      <c r="L113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0.59121972216722773</v>
      </c>
      <c r="M1135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135" t="str">
        <f>IF(OR((NHL2025_26Results[[#This Row],[Winning Team]]="")),"-",IF(Table46[[#This Row],[Predicted Winner]]=NHL2025_26Results[[#This Row],[Winning Team]],"YES","NO"))</f>
        <v>-</v>
      </c>
      <c r="O1135" t="str">
        <f>IF(OR((NHL2025_26Results[[#This Row],[Winning Team]]="")),"-",IF(Table46[[#This Row],[Prob Winner]]=NHL2025_26Results[[#This Row],[Winning Team]],"YES","NO"))</f>
        <v>-</v>
      </c>
      <c r="P1135" t="str">
        <f>IF(Table46[[#This Row],[Locked Prediction]]&lt;&gt;Table46[[#This Row],[Prob Winner]], "Changed", "Same")</f>
        <v>Changed</v>
      </c>
      <c r="Q113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36" spans="4:17" x14ac:dyDescent="0.2">
      <c r="D1136" s="1">
        <v>46106</v>
      </c>
      <c r="E1136" s="2">
        <v>0.79166666666666663</v>
      </c>
      <c r="F1136" t="s">
        <v>23</v>
      </c>
      <c r="G1136">
        <f>VLOOKUP(Table46[[#This Row],[Home]],'NHL Model'!$A$6:$B$38,2,FALSE)</f>
        <v>-0.8683412362501769</v>
      </c>
      <c r="H1136" t="s">
        <v>21</v>
      </c>
      <c r="I1136">
        <f>VLOOKUP(Table46[[#This Row],[Visitor]],'NHL Model'!$A$6:$B$38,2,FALSE)</f>
        <v>4.029141914856392E-2</v>
      </c>
      <c r="J1136">
        <f>($B$1+Table46[[#This Row],[Home Differential]])-Table46[[#This Row],[Away Differential]]</f>
        <v>-0.74606034573642244</v>
      </c>
      <c r="K1136" t="str">
        <f>IF(Table46[[#This Row],[HomeIce Differential]]&gt;0,Table46[[#This Row],[Home]],Table46[[#This Row],[Visitor]])</f>
        <v>Boston Bruins</v>
      </c>
      <c r="L113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0.55916559976193736</v>
      </c>
      <c r="M1136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136" t="str">
        <f>IF(OR((NHL2025_26Results[[#This Row],[Winning Team]]="")),"-",IF(Table46[[#This Row],[Predicted Winner]]=NHL2025_26Results[[#This Row],[Winning Team]],"YES","NO"))</f>
        <v>-</v>
      </c>
      <c r="O1136" t="str">
        <f>IF(OR((NHL2025_26Results[[#This Row],[Winning Team]]="")),"-",IF(Table46[[#This Row],[Prob Winner]]=NHL2025_26Results[[#This Row],[Winning Team]],"YES","NO"))</f>
        <v>-</v>
      </c>
      <c r="P1136" t="str">
        <f>IF(Table46[[#This Row],[Locked Prediction]]&lt;&gt;Table46[[#This Row],[Prob Winner]], "Changed", "Same")</f>
        <v>Changed</v>
      </c>
      <c r="Q113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37" spans="4:17" x14ac:dyDescent="0.2">
      <c r="D1137" s="1">
        <v>46106</v>
      </c>
      <c r="E1137" s="2">
        <v>0.8125</v>
      </c>
      <c r="F1137" t="s">
        <v>19</v>
      </c>
      <c r="G1137">
        <f>VLOOKUP(Table46[[#This Row],[Home]],'NHL Model'!$A$6:$B$38,2,FALSE)</f>
        <v>-0.635565543477981</v>
      </c>
      <c r="H1137" t="s">
        <v>15</v>
      </c>
      <c r="I1137">
        <f>VLOOKUP(Table46[[#This Row],[Visitor]],'NHL Model'!$A$6:$B$38,2,FALSE)</f>
        <v>-0.30719665303039001</v>
      </c>
      <c r="J1137">
        <f>($B$1+Table46[[#This Row],[Home Differential]])-Table46[[#This Row],[Away Differential]]</f>
        <v>-0.1657965807852726</v>
      </c>
      <c r="K1137" t="str">
        <f>IF(Table46[[#This Row],[HomeIce Differential]]&gt;0,Table46[[#This Row],[Home]],Table46[[#This Row],[Visitor]])</f>
        <v>New York Rangers</v>
      </c>
      <c r="L113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0.62444715531275885</v>
      </c>
      <c r="M1137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137" t="str">
        <f>IF(OR((NHL2025_26Results[[#This Row],[Winning Team]]="")),"-",IF(Table46[[#This Row],[Predicted Winner]]=NHL2025_26Results[[#This Row],[Winning Team]],"YES","NO"))</f>
        <v>-</v>
      </c>
      <c r="O1137" t="str">
        <f>IF(OR((NHL2025_26Results[[#This Row],[Winning Team]]="")),"-",IF(Table46[[#This Row],[Prob Winner]]=NHL2025_26Results[[#This Row],[Winning Team]],"YES","NO"))</f>
        <v>-</v>
      </c>
      <c r="P1137" t="str">
        <f>IF(Table46[[#This Row],[Locked Prediction]]&lt;&gt;Table46[[#This Row],[Prob Winner]], "Changed", "Same")</f>
        <v>Changed</v>
      </c>
      <c r="Q113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38" spans="4:17" x14ac:dyDescent="0.2">
      <c r="D1138" s="1">
        <v>46107</v>
      </c>
      <c r="E1138" s="2">
        <v>0.875</v>
      </c>
      <c r="F1138" t="s">
        <v>16</v>
      </c>
      <c r="G1138">
        <f>VLOOKUP(Table46[[#This Row],[Home]],'NHL Model'!$A$6:$B$38,2,FALSE)</f>
        <v>-1.3903684122795328</v>
      </c>
      <c r="H1138" t="s">
        <v>31</v>
      </c>
      <c r="I1138">
        <f>VLOOKUP(Table46[[#This Row],[Visitor]],'NHL Model'!$A$6:$B$38,2,FALSE)</f>
        <v>0.51775546328552802</v>
      </c>
      <c r="J1138">
        <f>($B$1+Table46[[#This Row],[Home Differential]])-Table46[[#This Row],[Away Differential]]</f>
        <v>-1.7455515659027423</v>
      </c>
      <c r="K1138" t="str">
        <f>IF(Table46[[#This Row],[HomeIce Differential]]&gt;0,Table46[[#This Row],[Home]],Table46[[#This Row],[Visitor]])</f>
        <v>Anaheim Ducks</v>
      </c>
      <c r="L113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0.71278621027679556</v>
      </c>
      <c r="M1138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138" t="str">
        <f>IF(OR((NHL2025_26Results[[#This Row],[Winning Team]]="")),"-",IF(Table46[[#This Row],[Predicted Winner]]=NHL2025_26Results[[#This Row],[Winning Team]],"YES","NO"))</f>
        <v>-</v>
      </c>
      <c r="O1138" t="str">
        <f>IF(OR((NHL2025_26Results[[#This Row],[Winning Team]]="")),"-",IF(Table46[[#This Row],[Prob Winner]]=NHL2025_26Results[[#This Row],[Winning Team]],"YES","NO"))</f>
        <v>-</v>
      </c>
      <c r="P1138" t="str">
        <f>IF(Table46[[#This Row],[Locked Prediction]]&lt;&gt;Table46[[#This Row],[Prob Winner]], "Changed", "Same")</f>
        <v>Changed</v>
      </c>
      <c r="Q113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39" spans="4:17" x14ac:dyDescent="0.2">
      <c r="D1139" s="1">
        <v>46107</v>
      </c>
      <c r="E1139" s="2">
        <v>0.79166666666666663</v>
      </c>
      <c r="F1139" t="s">
        <v>11</v>
      </c>
      <c r="G1139">
        <f>VLOOKUP(Table46[[#This Row],[Home]],'NHL Model'!$A$6:$B$38,2,FALSE)</f>
        <v>-0.28105923893144158</v>
      </c>
      <c r="H1139" t="s">
        <v>34</v>
      </c>
      <c r="I1139">
        <f>VLOOKUP(Table46[[#This Row],[Visitor]],'NHL Model'!$A$6:$B$38,2,FALSE)</f>
        <v>-0.53650300840565446</v>
      </c>
      <c r="J1139">
        <f>($B$1+Table46[[#This Row],[Home Differential]])-Table46[[#This Row],[Away Differential]]</f>
        <v>0.41801607913653127</v>
      </c>
      <c r="K1139" t="str">
        <f>IF(Table46[[#This Row],[HomeIce Differential]]&gt;0,Table46[[#This Row],[Home]],Table46[[#This Row],[Visitor]])</f>
        <v>Florida Panthers</v>
      </c>
      <c r="L113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0.64727825816901874</v>
      </c>
      <c r="M1139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1139" t="str">
        <f>IF(OR((NHL2025_26Results[[#This Row],[Winning Team]]="")),"-",IF(Table46[[#This Row],[Predicted Winner]]=NHL2025_26Results[[#This Row],[Winning Team]],"YES","NO"))</f>
        <v>-</v>
      </c>
      <c r="O1139" t="str">
        <f>IF(OR((NHL2025_26Results[[#This Row],[Winning Team]]="")),"-",IF(Table46[[#This Row],[Prob Winner]]=NHL2025_26Results[[#This Row],[Winning Team]],"YES","NO"))</f>
        <v>-</v>
      </c>
      <c r="P1139" t="str">
        <f>IF(Table46[[#This Row],[Locked Prediction]]&lt;&gt;Table46[[#This Row],[Prob Winner]], "Changed", "Same")</f>
        <v>Changed</v>
      </c>
      <c r="Q113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40" spans="4:17" x14ac:dyDescent="0.2">
      <c r="D1140" s="1">
        <v>46107</v>
      </c>
      <c r="E1140" s="2">
        <v>0.79166666666666663</v>
      </c>
      <c r="F1140" t="s">
        <v>18</v>
      </c>
      <c r="G1140">
        <f>VLOOKUP(Table46[[#This Row],[Home]],'NHL Model'!$A$6:$B$38,2,FALSE)</f>
        <v>-0.52437726201848234</v>
      </c>
      <c r="H1140" t="s">
        <v>28</v>
      </c>
      <c r="I1140">
        <f>VLOOKUP(Table46[[#This Row],[Visitor]],'NHL Model'!$A$6:$B$38,2,FALSE)</f>
        <v>-0.40822279081308277</v>
      </c>
      <c r="J1140">
        <f>($B$1+Table46[[#This Row],[Home Differential]])-Table46[[#This Row],[Away Differential]]</f>
        <v>4.6417838456918825E-2</v>
      </c>
      <c r="K1140" t="str">
        <f>IF(Table46[[#This Row],[HomeIce Differential]]&gt;0,Table46[[#This Row],[Home]],Table46[[#This Row],[Visitor]])</f>
        <v>Montreal Canadiens</v>
      </c>
      <c r="L114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0.52540058219099228</v>
      </c>
      <c r="M1140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1140" t="str">
        <f>IF(OR((NHL2025_26Results[[#This Row],[Winning Team]]="")),"-",IF(Table46[[#This Row],[Predicted Winner]]=NHL2025_26Results[[#This Row],[Winning Team]],"YES","NO"))</f>
        <v>-</v>
      </c>
      <c r="O1140" t="str">
        <f>IF(OR((NHL2025_26Results[[#This Row],[Winning Team]]="")),"-",IF(Table46[[#This Row],[Prob Winner]]=NHL2025_26Results[[#This Row],[Winning Team]],"YES","NO"))</f>
        <v>-</v>
      </c>
      <c r="P1140" t="str">
        <f>IF(Table46[[#This Row],[Locked Prediction]]&lt;&gt;Table46[[#This Row],[Prob Winner]], "Changed", "Same")</f>
        <v>Changed</v>
      </c>
      <c r="Q114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41" spans="4:17" x14ac:dyDescent="0.2">
      <c r="D1141" s="1">
        <v>46107</v>
      </c>
      <c r="E1141" s="2">
        <v>0.83333333333333337</v>
      </c>
      <c r="F1141" t="s">
        <v>29</v>
      </c>
      <c r="G1141">
        <f>VLOOKUP(Table46[[#This Row],[Home]],'NHL Model'!$A$6:$B$38,2,FALSE)</f>
        <v>-1.3516250707060606</v>
      </c>
      <c r="H1141" t="s">
        <v>24</v>
      </c>
      <c r="I1141">
        <f>VLOOKUP(Table46[[#This Row],[Visitor]],'NHL Model'!$A$6:$B$38,2,FALSE)</f>
        <v>0.559441163373953</v>
      </c>
      <c r="J1141">
        <f>($B$1+Table46[[#This Row],[Home Differential]])-Table46[[#This Row],[Away Differential]]</f>
        <v>-1.7484939244176951</v>
      </c>
      <c r="K1141" t="str">
        <f>IF(Table46[[#This Row],[HomeIce Differential]]&gt;0,Table46[[#This Row],[Home]],Table46[[#This Row],[Visitor]])</f>
        <v>New Jersey Devils</v>
      </c>
      <c r="L114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0.75872386435110406</v>
      </c>
      <c r="M1141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141" t="str">
        <f>IF(OR((NHL2025_26Results[[#This Row],[Winning Team]]="")),"-",IF(Table46[[#This Row],[Predicted Winner]]=NHL2025_26Results[[#This Row],[Winning Team]],"YES","NO"))</f>
        <v>-</v>
      </c>
      <c r="O1141" t="str">
        <f>IF(OR((NHL2025_26Results[[#This Row],[Winning Team]]="")),"-",IF(Table46[[#This Row],[Prob Winner]]=NHL2025_26Results[[#This Row],[Winning Team]],"YES","NO"))</f>
        <v>-</v>
      </c>
      <c r="P1141" t="str">
        <f>IF(Table46[[#This Row],[Locked Prediction]]&lt;&gt;Table46[[#This Row],[Prob Winner]], "Changed", "Same")</f>
        <v>Changed</v>
      </c>
      <c r="Q114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42" spans="4:17" x14ac:dyDescent="0.2">
      <c r="D1142" s="1">
        <v>46107</v>
      </c>
      <c r="E1142" s="2">
        <v>0.79166666666666663</v>
      </c>
      <c r="F1142" t="s">
        <v>30</v>
      </c>
      <c r="G1142">
        <f>VLOOKUP(Table46[[#This Row],[Home]],'NHL Model'!$A$6:$B$38,2,FALSE)</f>
        <v>-6.4729560818359025E-2</v>
      </c>
      <c r="H1142" t="s">
        <v>39</v>
      </c>
      <c r="I1142">
        <f>VLOOKUP(Table46[[#This Row],[Visitor]],'NHL Model'!$A$6:$B$38,2,FALSE)</f>
        <v>0.19809534061227302</v>
      </c>
      <c r="J1142">
        <f>($B$1+Table46[[#This Row],[Home Differential]])-Table46[[#This Row],[Away Differential]]</f>
        <v>-0.10025259176831365</v>
      </c>
      <c r="K1142" t="str">
        <f>IF(Table46[[#This Row],[HomeIce Differential]]&gt;0,Table46[[#This Row],[Home]],Table46[[#This Row],[Visitor]])</f>
        <v>Dallas Stars</v>
      </c>
      <c r="L114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0.56581166271768879</v>
      </c>
      <c r="M1142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142" t="str">
        <f>IF(OR((NHL2025_26Results[[#This Row],[Winning Team]]="")),"-",IF(Table46[[#This Row],[Predicted Winner]]=NHL2025_26Results[[#This Row],[Winning Team]],"YES","NO"))</f>
        <v>-</v>
      </c>
      <c r="O1142" t="str">
        <f>IF(OR((NHL2025_26Results[[#This Row],[Winning Team]]="")),"-",IF(Table46[[#This Row],[Prob Winner]]=NHL2025_26Results[[#This Row],[Winning Team]],"YES","NO"))</f>
        <v>-</v>
      </c>
      <c r="P1142" t="str">
        <f>IF(Table46[[#This Row],[Locked Prediction]]&lt;&gt;Table46[[#This Row],[Prob Winner]], "Changed", "Same")</f>
        <v>Changed</v>
      </c>
      <c r="Q114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43" spans="4:17" x14ac:dyDescent="0.2">
      <c r="D1143" s="1">
        <v>46107</v>
      </c>
      <c r="E1143" s="2">
        <v>0.79166666666666663</v>
      </c>
      <c r="F1143" t="s">
        <v>36</v>
      </c>
      <c r="G1143">
        <f>VLOOKUP(Table46[[#This Row],[Home]],'NHL Model'!$A$6:$B$38,2,FALSE)</f>
        <v>-0.40651947573390851</v>
      </c>
      <c r="H1143" t="s">
        <v>14</v>
      </c>
      <c r="I1143">
        <f>VLOOKUP(Table46[[#This Row],[Visitor]],'NHL Model'!$A$6:$B$38,2,FALSE)</f>
        <v>0.26289091192875702</v>
      </c>
      <c r="J1143">
        <f>($B$1+Table46[[#This Row],[Home Differential]])-Table46[[#This Row],[Away Differential]]</f>
        <v>-0.50683807800034719</v>
      </c>
      <c r="K1143" t="str">
        <f>IF(Table46[[#This Row],[HomeIce Differential]]&gt;0,Table46[[#This Row],[Home]],Table46[[#This Row],[Visitor]])</f>
        <v>Pittsburgh Penguins</v>
      </c>
      <c r="L114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0.52487293445592553</v>
      </c>
      <c r="M1143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143" t="str">
        <f>IF(OR((NHL2025_26Results[[#This Row],[Winning Team]]="")),"-",IF(Table46[[#This Row],[Predicted Winner]]=NHL2025_26Results[[#This Row],[Winning Team]],"YES","NO"))</f>
        <v>-</v>
      </c>
      <c r="O1143" t="str">
        <f>IF(OR((NHL2025_26Results[[#This Row],[Winning Team]]="")),"-",IF(Table46[[#This Row],[Prob Winner]]=NHL2025_26Results[[#This Row],[Winning Team]],"YES","NO"))</f>
        <v>-</v>
      </c>
      <c r="P1143" t="str">
        <f>IF(Table46[[#This Row],[Locked Prediction]]&lt;&gt;Table46[[#This Row],[Prob Winner]], "Changed", "Same")</f>
        <v>Changed</v>
      </c>
      <c r="Q114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44" spans="4:17" x14ac:dyDescent="0.2">
      <c r="D1144" s="1">
        <v>46107</v>
      </c>
      <c r="E1144" s="2">
        <v>0.79166666666666663</v>
      </c>
      <c r="F1144" t="s">
        <v>27</v>
      </c>
      <c r="G1144">
        <f>VLOOKUP(Table46[[#This Row],[Home]],'NHL Model'!$A$6:$B$38,2,FALSE)</f>
        <v>-0.51358590497437617</v>
      </c>
      <c r="H1144" t="s">
        <v>10</v>
      </c>
      <c r="I1144">
        <f>VLOOKUP(Table46[[#This Row],[Visitor]],'NHL Model'!$A$6:$B$38,2,FALSE)</f>
        <v>0.30570968833820172</v>
      </c>
      <c r="J1144">
        <f>($B$1+Table46[[#This Row],[Home Differential]])-Table46[[#This Row],[Away Differential]]</f>
        <v>-0.65672328365025945</v>
      </c>
      <c r="K1144" t="str">
        <f>IF(Table46[[#This Row],[HomeIce Differential]]&gt;0,Table46[[#This Row],[Home]],Table46[[#This Row],[Visitor]])</f>
        <v>Chicago Blackhawks</v>
      </c>
      <c r="L114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0.56555187581287392</v>
      </c>
      <c r="M1144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144" t="str">
        <f>IF(OR((NHL2025_26Results[[#This Row],[Winning Team]]="")),"-",IF(Table46[[#This Row],[Predicted Winner]]=NHL2025_26Results[[#This Row],[Winning Team]],"YES","NO"))</f>
        <v>-</v>
      </c>
      <c r="O1144" t="str">
        <f>IF(OR((NHL2025_26Results[[#This Row],[Winning Team]]="")),"-",IF(Table46[[#This Row],[Prob Winner]]=NHL2025_26Results[[#This Row],[Winning Team]],"YES","NO"))</f>
        <v>-</v>
      </c>
      <c r="P1144" t="str">
        <f>IF(Table46[[#This Row],[Locked Prediction]]&lt;&gt;Table46[[#This Row],[Prob Winner]], "Changed", "Same")</f>
        <v>Changed</v>
      </c>
      <c r="Q114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45" spans="4:17" x14ac:dyDescent="0.2">
      <c r="D1145" s="1">
        <v>46107</v>
      </c>
      <c r="E1145" s="2">
        <v>0.83333333333333337</v>
      </c>
      <c r="F1145" t="s">
        <v>35</v>
      </c>
      <c r="G1145">
        <f>VLOOKUP(Table46[[#This Row],[Home]],'NHL Model'!$A$6:$B$38,2,FALSE)</f>
        <v>-1.6211574240381006</v>
      </c>
      <c r="H1145" t="s">
        <v>33</v>
      </c>
      <c r="I1145">
        <f>VLOOKUP(Table46[[#This Row],[Visitor]],'NHL Model'!$A$6:$B$38,2,FALSE)</f>
        <v>-0.39418177254008485</v>
      </c>
      <c r="J1145">
        <f>($B$1+Table46[[#This Row],[Home Differential]])-Table46[[#This Row],[Away Differential]]</f>
        <v>-1.0644033418356973</v>
      </c>
      <c r="K1145" t="str">
        <f>IF(Table46[[#This Row],[HomeIce Differential]]&gt;0,Table46[[#This Row],[Home]],Table46[[#This Row],[Visitor]])</f>
        <v>San Jose Sharks</v>
      </c>
      <c r="L114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0.60147943445185881</v>
      </c>
      <c r="M1145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1145" t="str">
        <f>IF(OR((NHL2025_26Results[[#This Row],[Winning Team]]="")),"-",IF(Table46[[#This Row],[Predicted Winner]]=NHL2025_26Results[[#This Row],[Winning Team]],"YES","NO"))</f>
        <v>-</v>
      </c>
      <c r="O1145" t="str">
        <f>IF(OR((NHL2025_26Results[[#This Row],[Winning Team]]="")),"-",IF(Table46[[#This Row],[Prob Winner]]=NHL2025_26Results[[#This Row],[Winning Team]],"YES","NO"))</f>
        <v>-</v>
      </c>
      <c r="P1145" t="str">
        <f>IF(Table46[[#This Row],[Locked Prediction]]&lt;&gt;Table46[[#This Row],[Prob Winner]], "Changed", "Same")</f>
        <v>Changed</v>
      </c>
      <c r="Q114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46" spans="4:17" x14ac:dyDescent="0.2">
      <c r="D1146" s="1">
        <v>46107</v>
      </c>
      <c r="E1146" s="2">
        <v>0.79166666666666663</v>
      </c>
      <c r="F1146" t="s">
        <v>37</v>
      </c>
      <c r="G1146">
        <f>VLOOKUP(Table46[[#This Row],[Home]],'NHL Model'!$A$6:$B$38,2,FALSE)</f>
        <v>-0.11309445867623392</v>
      </c>
      <c r="H1146" t="s">
        <v>32</v>
      </c>
      <c r="I1146">
        <f>VLOOKUP(Table46[[#This Row],[Visitor]],'NHL Model'!$A$6:$B$38,2,FALSE)</f>
        <v>-0.361361309178443</v>
      </c>
      <c r="J1146">
        <f>($B$1+Table46[[#This Row],[Home Differential]])-Table46[[#This Row],[Away Differential]]</f>
        <v>0.41083916016452748</v>
      </c>
      <c r="K1146" t="str">
        <f>IF(Table46[[#This Row],[HomeIce Differential]]&gt;0,Table46[[#This Row],[Home]],Table46[[#This Row],[Visitor]])</f>
        <v>Tampa Bay Lightning</v>
      </c>
      <c r="L114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0.59460833289992276</v>
      </c>
      <c r="M1146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146" t="str">
        <f>IF(OR((NHL2025_26Results[[#This Row],[Winning Team]]="")),"-",IF(Table46[[#This Row],[Predicted Winner]]=NHL2025_26Results[[#This Row],[Winning Team]],"YES","NO"))</f>
        <v>-</v>
      </c>
      <c r="O1146" t="str">
        <f>IF(OR((NHL2025_26Results[[#This Row],[Winning Team]]="")),"-",IF(Table46[[#This Row],[Prob Winner]]=NHL2025_26Results[[#This Row],[Winning Team]],"YES","NO"))</f>
        <v>-</v>
      </c>
      <c r="P1146" t="str">
        <f>IF(Table46[[#This Row],[Locked Prediction]]&lt;&gt;Table46[[#This Row],[Prob Winner]], "Changed", "Same")</f>
        <v>Changed</v>
      </c>
      <c r="Q114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47" spans="4:17" x14ac:dyDescent="0.2">
      <c r="D1147" s="1">
        <v>46107</v>
      </c>
      <c r="E1147" s="2">
        <v>0.875</v>
      </c>
      <c r="F1147" t="s">
        <v>55</v>
      </c>
      <c r="G1147">
        <f>VLOOKUP(Table46[[#This Row],[Home]],'NHL Model'!$A$6:$B$38,2,FALSE)</f>
        <v>-0.12212311954851815</v>
      </c>
      <c r="H1147" t="s">
        <v>22</v>
      </c>
      <c r="I1147">
        <f>VLOOKUP(Table46[[#This Row],[Visitor]],'NHL Model'!$A$6:$B$38,2,FALSE)</f>
        <v>-6.1308839486784707E-2</v>
      </c>
      <c r="J1147">
        <f>($B$1+Table46[[#This Row],[Home Differential]])-Table46[[#This Row],[Away Differential]]</f>
        <v>0.10175802960058494</v>
      </c>
      <c r="K1147" t="str">
        <f>IF(Table46[[#This Row],[HomeIce Differential]]&gt;0,Table46[[#This Row],[Home]],Table46[[#This Row],[Visitor]])</f>
        <v>Utah Mammoth</v>
      </c>
      <c r="L114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0.62179808225575484</v>
      </c>
      <c r="M1147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147" t="str">
        <f>IF(OR((NHL2025_26Results[[#This Row],[Winning Team]]="")),"-",IF(Table46[[#This Row],[Predicted Winner]]=NHL2025_26Results[[#This Row],[Winning Team]],"YES","NO"))</f>
        <v>-</v>
      </c>
      <c r="O1147" t="str">
        <f>IF(OR((NHL2025_26Results[[#This Row],[Winning Team]]="")),"-",IF(Table46[[#This Row],[Prob Winner]]=NHL2025_26Results[[#This Row],[Winning Team]],"YES","NO"))</f>
        <v>-</v>
      </c>
      <c r="P1147" t="str">
        <f>IF(Table46[[#This Row],[Locked Prediction]]&lt;&gt;Table46[[#This Row],[Prob Winner]], "Changed", "Same")</f>
        <v>Changed</v>
      </c>
      <c r="Q114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48" spans="4:17" x14ac:dyDescent="0.2">
      <c r="D1148" s="1">
        <v>46107</v>
      </c>
      <c r="E1148" s="2">
        <v>0.91666666666666663</v>
      </c>
      <c r="F1148" t="s">
        <v>38</v>
      </c>
      <c r="G1148">
        <f>VLOOKUP(Table46[[#This Row],[Home]],'NHL Model'!$A$6:$B$38,2,FALSE)</f>
        <v>-0.6902088310934803</v>
      </c>
      <c r="H1148" t="s">
        <v>13</v>
      </c>
      <c r="I1148">
        <f>VLOOKUP(Table46[[#This Row],[Visitor]],'NHL Model'!$A$6:$B$38,2,FALSE)</f>
        <v>-7.5459708298993802E-2</v>
      </c>
      <c r="J1148">
        <f>($B$1+Table46[[#This Row],[Home Differential]])-Table46[[#This Row],[Away Differential]]</f>
        <v>-0.45217681313216812</v>
      </c>
      <c r="K1148" t="str">
        <f>IF(Table46[[#This Row],[HomeIce Differential]]&gt;0,Table46[[#This Row],[Home]],Table46[[#This Row],[Visitor]])</f>
        <v>Los Angeles Kings</v>
      </c>
      <c r="L114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0.64149824149052648</v>
      </c>
      <c r="M1148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148" t="str">
        <f>IF(OR((NHL2025_26Results[[#This Row],[Winning Team]]="")),"-",IF(Table46[[#This Row],[Predicted Winner]]=NHL2025_26Results[[#This Row],[Winning Team]],"YES","NO"))</f>
        <v>-</v>
      </c>
      <c r="O1148" t="str">
        <f>IF(OR((NHL2025_26Results[[#This Row],[Winning Team]]="")),"-",IF(Table46[[#This Row],[Prob Winner]]=NHL2025_26Results[[#This Row],[Winning Team]],"YES","NO"))</f>
        <v>-</v>
      </c>
      <c r="P1148" t="str">
        <f>IF(Table46[[#This Row],[Locked Prediction]]&lt;&gt;Table46[[#This Row],[Prob Winner]], "Changed", "Same")</f>
        <v>Changed</v>
      </c>
      <c r="Q114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49" spans="4:17" x14ac:dyDescent="0.2">
      <c r="D1149" s="1">
        <v>46107</v>
      </c>
      <c r="E1149" s="2">
        <v>0.89583333333333337</v>
      </c>
      <c r="F1149" t="s">
        <v>20</v>
      </c>
      <c r="G1149">
        <f>VLOOKUP(Table46[[#This Row],[Home]],'NHL Model'!$A$6:$B$38,2,FALSE)</f>
        <v>-6.3745791019188943E-4</v>
      </c>
      <c r="H1149" t="s">
        <v>17</v>
      </c>
      <c r="I1149">
        <f>VLOOKUP(Table46[[#This Row],[Visitor]],'NHL Model'!$A$6:$B$38,2,FALSE)</f>
        <v>-0.61980804137564283</v>
      </c>
      <c r="J1149">
        <f>($B$1+Table46[[#This Row],[Home Differential]])-Table46[[#This Row],[Away Differential]]</f>
        <v>0.78174289312776934</v>
      </c>
      <c r="K1149" t="str">
        <f>IF(Table46[[#This Row],[HomeIce Differential]]&gt;0,Table46[[#This Row],[Home]],Table46[[#This Row],[Visitor]])</f>
        <v>Vegas Golden Knights</v>
      </c>
      <c r="L114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0.64390848850186078</v>
      </c>
      <c r="M1149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149" t="str">
        <f>IF(OR((NHL2025_26Results[[#This Row],[Winning Team]]="")),"-",IF(Table46[[#This Row],[Predicted Winner]]=NHL2025_26Results[[#This Row],[Winning Team]],"YES","NO"))</f>
        <v>-</v>
      </c>
      <c r="O1149" t="str">
        <f>IF(OR((NHL2025_26Results[[#This Row],[Winning Team]]="")),"-",IF(Table46[[#This Row],[Prob Winner]]=NHL2025_26Results[[#This Row],[Winning Team]],"YES","NO"))</f>
        <v>-</v>
      </c>
      <c r="P1149" t="str">
        <f>IF(Table46[[#This Row],[Locked Prediction]]&lt;&gt;Table46[[#This Row],[Prob Winner]], "Changed", "Same")</f>
        <v>Changed</v>
      </c>
      <c r="Q114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50" spans="4:17" x14ac:dyDescent="0.2">
      <c r="D1150" s="1">
        <v>46107</v>
      </c>
      <c r="E1150" s="2">
        <v>0.83333333333333337</v>
      </c>
      <c r="F1150" t="s">
        <v>40</v>
      </c>
      <c r="G1150">
        <f>VLOOKUP(Table46[[#This Row],[Home]],'NHL Model'!$A$6:$B$38,2,FALSE)</f>
        <v>0.105105258369765</v>
      </c>
      <c r="H1150" t="s">
        <v>12</v>
      </c>
      <c r="I1150">
        <f>VLOOKUP(Table46[[#This Row],[Visitor]],'NHL Model'!$A$6:$B$38,2,FALSE)</f>
        <v>1.5475013591489768</v>
      </c>
      <c r="J1150">
        <f>($B$1+Table46[[#This Row],[Home Differential]])-Table46[[#This Row],[Away Differential]]</f>
        <v>-1.2798237911168933</v>
      </c>
      <c r="K1150" t="str">
        <f>IF(Table46[[#This Row],[HomeIce Differential]]&gt;0,Table46[[#This Row],[Home]],Table46[[#This Row],[Visitor]])</f>
        <v>Colorado Avalanche</v>
      </c>
      <c r="L115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0.65990882486478064</v>
      </c>
      <c r="M1150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150" t="str">
        <f>IF(OR((NHL2025_26Results[[#This Row],[Winning Team]]="")),"-",IF(Table46[[#This Row],[Predicted Winner]]=NHL2025_26Results[[#This Row],[Winning Team]],"YES","NO"))</f>
        <v>-</v>
      </c>
      <c r="O1150" t="str">
        <f>IF(OR((NHL2025_26Results[[#This Row],[Winning Team]]="")),"-",IF(Table46[[#This Row],[Prob Winner]]=NHL2025_26Results[[#This Row],[Winning Team]],"YES","NO"))</f>
        <v>-</v>
      </c>
      <c r="P1150" t="str">
        <f>IF(Table46[[#This Row],[Locked Prediction]]&lt;&gt;Table46[[#This Row],[Prob Winner]], "Changed", "Same")</f>
        <v>Changed</v>
      </c>
      <c r="Q115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51" spans="4:17" x14ac:dyDescent="0.2">
      <c r="D1151" s="1">
        <v>46108</v>
      </c>
      <c r="E1151" s="2">
        <v>0.79166666666666663</v>
      </c>
      <c r="F1151" t="s">
        <v>23</v>
      </c>
      <c r="G1151">
        <f>VLOOKUP(Table46[[#This Row],[Home]],'NHL Model'!$A$6:$B$38,2,FALSE)</f>
        <v>-0.8683412362501769</v>
      </c>
      <c r="H1151" t="s">
        <v>26</v>
      </c>
      <c r="I1151">
        <f>VLOOKUP(Table46[[#This Row],[Visitor]],'NHL Model'!$A$6:$B$38,2,FALSE)</f>
        <v>-0.513643833119658</v>
      </c>
      <c r="J1151">
        <f>($B$1+Table46[[#This Row],[Home Differential]])-Table46[[#This Row],[Away Differential]]</f>
        <v>-0.1921250934682005</v>
      </c>
      <c r="K1151" t="str">
        <f>IF(Table46[[#This Row],[HomeIce Differential]]&gt;0,Table46[[#This Row],[Home]],Table46[[#This Row],[Visitor]])</f>
        <v>Detroit Red Wings</v>
      </c>
      <c r="L115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0.53263646798127295</v>
      </c>
      <c r="M1151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1151" t="str">
        <f>IF(OR((NHL2025_26Results[[#This Row],[Winning Team]]="")),"-",IF(Table46[[#This Row],[Predicted Winner]]=NHL2025_26Results[[#This Row],[Winning Team]],"YES","NO"))</f>
        <v>-</v>
      </c>
      <c r="O1151" t="str">
        <f>IF(OR((NHL2025_26Results[[#This Row],[Winning Team]]="")),"-",IF(Table46[[#This Row],[Prob Winner]]=NHL2025_26Results[[#This Row],[Winning Team]],"YES","NO"))</f>
        <v>-</v>
      </c>
      <c r="P1151" t="str">
        <f>IF(Table46[[#This Row],[Locked Prediction]]&lt;&gt;Table46[[#This Row],[Prob Winner]], "Changed", "Same")</f>
        <v>Changed</v>
      </c>
      <c r="Q115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52" spans="4:17" x14ac:dyDescent="0.2">
      <c r="D1152" s="1">
        <v>46108</v>
      </c>
      <c r="E1152" s="2">
        <v>0.79166666666666663</v>
      </c>
      <c r="F1152" t="s">
        <v>15</v>
      </c>
      <c r="G1152">
        <f>VLOOKUP(Table46[[#This Row],[Home]],'NHL Model'!$A$6:$B$38,2,FALSE)</f>
        <v>-0.30719665303039001</v>
      </c>
      <c r="H1152" t="s">
        <v>10</v>
      </c>
      <c r="I1152">
        <f>VLOOKUP(Table46[[#This Row],[Visitor]],'NHL Model'!$A$6:$B$38,2,FALSE)</f>
        <v>0.30570968833820172</v>
      </c>
      <c r="J1152">
        <f>($B$1+Table46[[#This Row],[Home Differential]])-Table46[[#This Row],[Away Differential]]</f>
        <v>-0.45033403170627334</v>
      </c>
      <c r="K1152" t="str">
        <f>IF(Table46[[#This Row],[HomeIce Differential]]&gt;0,Table46[[#This Row],[Home]],Table46[[#This Row],[Visitor]])</f>
        <v>Chicago Blackhawks</v>
      </c>
      <c r="L115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0.54062718274667187</v>
      </c>
      <c r="M1152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152" t="str">
        <f>IF(OR((NHL2025_26Results[[#This Row],[Winning Team]]="")),"-",IF(Table46[[#This Row],[Predicted Winner]]=NHL2025_26Results[[#This Row],[Winning Team]],"YES","NO"))</f>
        <v>-</v>
      </c>
      <c r="O1152" t="str">
        <f>IF(OR((NHL2025_26Results[[#This Row],[Winning Team]]="")),"-",IF(Table46[[#This Row],[Prob Winner]]=NHL2025_26Results[[#This Row],[Winning Team]],"YES","NO"))</f>
        <v>-</v>
      </c>
      <c r="P1152" t="str">
        <f>IF(Table46[[#This Row],[Locked Prediction]]&lt;&gt;Table46[[#This Row],[Prob Winner]], "Changed", "Same")</f>
        <v>Changed</v>
      </c>
      <c r="Q115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53" spans="4:17" x14ac:dyDescent="0.2">
      <c r="D1153" s="1">
        <v>46109</v>
      </c>
      <c r="E1153" s="2">
        <v>0.70833333333333337</v>
      </c>
      <c r="F1153" t="s">
        <v>21</v>
      </c>
      <c r="G1153">
        <f>VLOOKUP(Table46[[#This Row],[Home]],'NHL Model'!$A$6:$B$38,2,FALSE)</f>
        <v>4.029141914856392E-2</v>
      </c>
      <c r="H1153" t="s">
        <v>34</v>
      </c>
      <c r="I1153">
        <f>VLOOKUP(Table46[[#This Row],[Visitor]],'NHL Model'!$A$6:$B$38,2,FALSE)</f>
        <v>-0.53650300840565446</v>
      </c>
      <c r="J1153">
        <f>($B$1+Table46[[#This Row],[Home Differential]])-Table46[[#This Row],[Away Differential]]</f>
        <v>0.73936673721653678</v>
      </c>
      <c r="K1153" t="str">
        <f>IF(Table46[[#This Row],[HomeIce Differential]]&gt;0,Table46[[#This Row],[Home]],Table46[[#This Row],[Visitor]])</f>
        <v>Boston Bruins</v>
      </c>
      <c r="L115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0.71083331922801618</v>
      </c>
      <c r="M1153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153" t="str">
        <f>IF(OR((NHL2025_26Results[[#This Row],[Winning Team]]="")),"-",IF(Table46[[#This Row],[Predicted Winner]]=NHL2025_26Results[[#This Row],[Winning Team]],"YES","NO"))</f>
        <v>-</v>
      </c>
      <c r="O1153" t="str">
        <f>IF(OR((NHL2025_26Results[[#This Row],[Winning Team]]="")),"-",IF(Table46[[#This Row],[Prob Winner]]=NHL2025_26Results[[#This Row],[Winning Team]],"YES","NO"))</f>
        <v>-</v>
      </c>
      <c r="P1153" t="str">
        <f>IF(Table46[[#This Row],[Locked Prediction]]&lt;&gt;Table46[[#This Row],[Prob Winner]], "Changed", "Same")</f>
        <v>Changed</v>
      </c>
      <c r="Q115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54" spans="4:17" x14ac:dyDescent="0.2">
      <c r="D1154" s="1">
        <v>46109</v>
      </c>
      <c r="E1154" s="2">
        <v>0.72916666666666663</v>
      </c>
      <c r="F1154" t="s">
        <v>23</v>
      </c>
      <c r="G1154">
        <f>VLOOKUP(Table46[[#This Row],[Home]],'NHL Model'!$A$6:$B$38,2,FALSE)</f>
        <v>-0.8683412362501769</v>
      </c>
      <c r="H1154" t="s">
        <v>32</v>
      </c>
      <c r="I1154">
        <f>VLOOKUP(Table46[[#This Row],[Visitor]],'NHL Model'!$A$6:$B$38,2,FALSE)</f>
        <v>-0.361361309178443</v>
      </c>
      <c r="J1154">
        <f>($B$1+Table46[[#This Row],[Home Differential]])-Table46[[#This Row],[Away Differential]]</f>
        <v>-0.3444076174094155</v>
      </c>
      <c r="K1154" t="str">
        <f>IF(Table46[[#This Row],[HomeIce Differential]]&gt;0,Table46[[#This Row],[Home]],Table46[[#This Row],[Visitor]])</f>
        <v>Seattle Kraken</v>
      </c>
      <c r="L115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0.50577831825289199</v>
      </c>
      <c r="M1154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1154" t="str">
        <f>IF(OR((NHL2025_26Results[[#This Row],[Winning Team]]="")),"-",IF(Table46[[#This Row],[Predicted Winner]]=NHL2025_26Results[[#This Row],[Winning Team]],"YES","NO"))</f>
        <v>-</v>
      </c>
      <c r="O1154" t="str">
        <f>IF(OR((NHL2025_26Results[[#This Row],[Winning Team]]="")),"-",IF(Table46[[#This Row],[Prob Winner]]=NHL2025_26Results[[#This Row],[Winning Team]],"YES","NO"))</f>
        <v>-</v>
      </c>
      <c r="P1154" t="str">
        <f>IF(Table46[[#This Row],[Locked Prediction]]&lt;&gt;Table46[[#This Row],[Prob Winner]], "Changed", "Same")</f>
        <v>Changed</v>
      </c>
      <c r="Q115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55" spans="4:17" x14ac:dyDescent="0.2">
      <c r="D1155" s="1">
        <v>46109</v>
      </c>
      <c r="E1155" s="2">
        <v>0.70833333333333337</v>
      </c>
      <c r="F1155" t="s">
        <v>25</v>
      </c>
      <c r="G1155">
        <f>VLOOKUP(Table46[[#This Row],[Home]],'NHL Model'!$A$6:$B$38,2,FALSE)</f>
        <v>0.67193921242367816</v>
      </c>
      <c r="H1155" t="s">
        <v>24</v>
      </c>
      <c r="I1155">
        <f>VLOOKUP(Table46[[#This Row],[Visitor]],'NHL Model'!$A$6:$B$38,2,FALSE)</f>
        <v>0.559441163373953</v>
      </c>
      <c r="J1155">
        <f>($B$1+Table46[[#This Row],[Home Differential]])-Table46[[#This Row],[Away Differential]]</f>
        <v>0.27507035871204355</v>
      </c>
      <c r="K1155" t="str">
        <f>IF(Table46[[#This Row],[HomeIce Differential]]&gt;0,Table46[[#This Row],[Home]],Table46[[#This Row],[Visitor]])</f>
        <v>Carolina Hurricanes</v>
      </c>
      <c r="L115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0.56287786820403929</v>
      </c>
      <c r="M1155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155" t="str">
        <f>IF(OR((NHL2025_26Results[[#This Row],[Winning Team]]="")),"-",IF(Table46[[#This Row],[Predicted Winner]]=NHL2025_26Results[[#This Row],[Winning Team]],"YES","NO"))</f>
        <v>-</v>
      </c>
      <c r="O1155" t="str">
        <f>IF(OR((NHL2025_26Results[[#This Row],[Winning Team]]="")),"-",IF(Table46[[#This Row],[Prob Winner]]=NHL2025_26Results[[#This Row],[Winning Team]],"YES","NO"))</f>
        <v>-</v>
      </c>
      <c r="P1155" t="str">
        <f>IF(Table46[[#This Row],[Locked Prediction]]&lt;&gt;Table46[[#This Row],[Prob Winner]], "Changed", "Same")</f>
        <v>Changed</v>
      </c>
      <c r="Q115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56" spans="4:17" x14ac:dyDescent="0.2">
      <c r="D1156" s="1">
        <v>46109</v>
      </c>
      <c r="E1156" s="2">
        <v>0.70833333333333337</v>
      </c>
      <c r="F1156" t="s">
        <v>28</v>
      </c>
      <c r="G1156">
        <f>VLOOKUP(Table46[[#This Row],[Home]],'NHL Model'!$A$6:$B$38,2,FALSE)</f>
        <v>-0.40822279081308277</v>
      </c>
      <c r="H1156" t="s">
        <v>33</v>
      </c>
      <c r="I1156">
        <f>VLOOKUP(Table46[[#This Row],[Visitor]],'NHL Model'!$A$6:$B$38,2,FALSE)</f>
        <v>-0.39418177254008485</v>
      </c>
      <c r="J1156">
        <f>($B$1+Table46[[#This Row],[Home Differential]])-Table46[[#This Row],[Away Differential]]</f>
        <v>0.14853129138932047</v>
      </c>
      <c r="K1156" t="str">
        <f>IF(Table46[[#This Row],[HomeIce Differential]]&gt;0,Table46[[#This Row],[Home]],Table46[[#This Row],[Visitor]])</f>
        <v>Columbus Blue Jackets</v>
      </c>
      <c r="L115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0.55974263164931803</v>
      </c>
      <c r="M1156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1156" t="str">
        <f>IF(OR((NHL2025_26Results[[#This Row],[Winning Team]]="")),"-",IF(Table46[[#This Row],[Predicted Winner]]=NHL2025_26Results[[#This Row],[Winning Team]],"YES","NO"))</f>
        <v>-</v>
      </c>
      <c r="O1156" t="str">
        <f>IF(OR((NHL2025_26Results[[#This Row],[Winning Team]]="")),"-",IF(Table46[[#This Row],[Prob Winner]]=NHL2025_26Results[[#This Row],[Winning Team]],"YES","NO"))</f>
        <v>-</v>
      </c>
      <c r="P1156" t="str">
        <f>IF(Table46[[#This Row],[Locked Prediction]]&lt;&gt;Table46[[#This Row],[Prob Winner]], "Changed", "Same")</f>
        <v>Changed</v>
      </c>
      <c r="Q115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57" spans="4:17" x14ac:dyDescent="0.2">
      <c r="D1157" s="1">
        <v>46109</v>
      </c>
      <c r="E1157" s="2">
        <v>0.91666666666666663</v>
      </c>
      <c r="F1157" t="s">
        <v>16</v>
      </c>
      <c r="G1157">
        <f>VLOOKUP(Table46[[#This Row],[Home]],'NHL Model'!$A$6:$B$38,2,FALSE)</f>
        <v>-1.3903684122795328</v>
      </c>
      <c r="H1157" t="s">
        <v>38</v>
      </c>
      <c r="I1157">
        <f>VLOOKUP(Table46[[#This Row],[Visitor]],'NHL Model'!$A$6:$B$38,2,FALSE)</f>
        <v>-0.6902088310934803</v>
      </c>
      <c r="J1157">
        <f>($B$1+Table46[[#This Row],[Home Differential]])-Table46[[#This Row],[Away Differential]]</f>
        <v>-0.53758727152373409</v>
      </c>
      <c r="K1157" t="str">
        <f>IF(Table46[[#This Row],[HomeIce Differential]]&gt;0,Table46[[#This Row],[Home]],Table46[[#This Row],[Visitor]])</f>
        <v>Vancouver Canucks</v>
      </c>
      <c r="L115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0.57396812872062319</v>
      </c>
      <c r="M1157" s="11" t="str">
        <f>IF(Table46[[#This Row],[Strength of Win]]&gt; 0.5,Table46[[#This Row],[Predicted Winner]], IF(Table46[[#This Row],[Home]]=Table46[[#This Row],[Predicted Winner]],Table46[[#This Row],[Visitor]],Table46[[#This Row],[Home]]))</f>
        <v>Vancouver Canucks</v>
      </c>
      <c r="N1157" t="str">
        <f>IF(OR((NHL2025_26Results[[#This Row],[Winning Team]]="")),"-",IF(Table46[[#This Row],[Predicted Winner]]=NHL2025_26Results[[#This Row],[Winning Team]],"YES","NO"))</f>
        <v>-</v>
      </c>
      <c r="O1157" t="str">
        <f>IF(OR((NHL2025_26Results[[#This Row],[Winning Team]]="")),"-",IF(Table46[[#This Row],[Prob Winner]]=NHL2025_26Results[[#This Row],[Winning Team]],"YES","NO"))</f>
        <v>-</v>
      </c>
      <c r="P1157" t="str">
        <f>IF(Table46[[#This Row],[Locked Prediction]]&lt;&gt;Table46[[#This Row],[Prob Winner]], "Changed", "Same")</f>
        <v>Changed</v>
      </c>
      <c r="Q115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58" spans="4:17" x14ac:dyDescent="0.2">
      <c r="D1158" s="1">
        <v>46109</v>
      </c>
      <c r="E1158" s="2">
        <v>0.79166666666666663</v>
      </c>
      <c r="F1158" t="s">
        <v>12</v>
      </c>
      <c r="G1158">
        <f>VLOOKUP(Table46[[#This Row],[Home]],'NHL Model'!$A$6:$B$38,2,FALSE)</f>
        <v>1.5475013591489768</v>
      </c>
      <c r="H1158" t="s">
        <v>40</v>
      </c>
      <c r="I1158">
        <f>VLOOKUP(Table46[[#This Row],[Visitor]],'NHL Model'!$A$6:$B$38,2,FALSE)</f>
        <v>0.105105258369765</v>
      </c>
      <c r="J1158">
        <f>($B$1+Table46[[#This Row],[Home Differential]])-Table46[[#This Row],[Away Differential]]</f>
        <v>1.6049684104415303</v>
      </c>
      <c r="K1158" t="str">
        <f>IF(Table46[[#This Row],[HomeIce Differential]]&gt;0,Table46[[#This Row],[Home]],Table46[[#This Row],[Visitor]])</f>
        <v>Colorado Avalanche</v>
      </c>
      <c r="L115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0.77784693521965298</v>
      </c>
      <c r="M1158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158" t="str">
        <f>IF(OR((NHL2025_26Results[[#This Row],[Winning Team]]="")),"-",IF(Table46[[#This Row],[Predicted Winner]]=NHL2025_26Results[[#This Row],[Winning Team]],"YES","NO"))</f>
        <v>-</v>
      </c>
      <c r="O1158" t="str">
        <f>IF(OR((NHL2025_26Results[[#This Row],[Winning Team]]="")),"-",IF(Table46[[#This Row],[Prob Winner]]=NHL2025_26Results[[#This Row],[Winning Team]],"YES","NO"))</f>
        <v>-</v>
      </c>
      <c r="P1158" t="str">
        <f>IF(Table46[[#This Row],[Locked Prediction]]&lt;&gt;Table46[[#This Row],[Prob Winner]], "Changed", "Same")</f>
        <v>Changed</v>
      </c>
      <c r="Q115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59" spans="4:17" x14ac:dyDescent="0.2">
      <c r="D1159" s="1">
        <v>46109</v>
      </c>
      <c r="E1159" s="2">
        <v>0.83333333333333337</v>
      </c>
      <c r="F1159" t="s">
        <v>26</v>
      </c>
      <c r="G1159">
        <f>VLOOKUP(Table46[[#This Row],[Home]],'NHL Model'!$A$6:$B$38,2,FALSE)</f>
        <v>-0.513643833119658</v>
      </c>
      <c r="H1159" t="s">
        <v>27</v>
      </c>
      <c r="I1159">
        <f>VLOOKUP(Table46[[#This Row],[Visitor]],'NHL Model'!$A$6:$B$38,2,FALSE)</f>
        <v>-0.51358590497437617</v>
      </c>
      <c r="J1159">
        <f>($B$1+Table46[[#This Row],[Home Differential]])-Table46[[#This Row],[Away Differential]]</f>
        <v>0.16251438151703657</v>
      </c>
      <c r="K1159" t="str">
        <f>IF(Table46[[#This Row],[HomeIce Differential]]&gt;0,Table46[[#This Row],[Home]],Table46[[#This Row],[Visitor]])</f>
        <v>Detroit Red Wings</v>
      </c>
      <c r="L115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0.58763898594253205</v>
      </c>
      <c r="M1159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1159" t="str">
        <f>IF(OR((NHL2025_26Results[[#This Row],[Winning Team]]="")),"-",IF(Table46[[#This Row],[Predicted Winner]]=NHL2025_26Results[[#This Row],[Winning Team]],"YES","NO"))</f>
        <v>-</v>
      </c>
      <c r="O1159" t="str">
        <f>IF(OR((NHL2025_26Results[[#This Row],[Winning Team]]="")),"-",IF(Table46[[#This Row],[Prob Winner]]=NHL2025_26Results[[#This Row],[Winning Team]],"YES","NO"))</f>
        <v>-</v>
      </c>
      <c r="P1159" t="str">
        <f>IF(Table46[[#This Row],[Locked Prediction]]&lt;&gt;Table46[[#This Row],[Prob Winner]], "Changed", "Same")</f>
        <v>Changed</v>
      </c>
      <c r="Q115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60" spans="4:17" x14ac:dyDescent="0.2">
      <c r="D1160" s="1">
        <v>46109</v>
      </c>
      <c r="E1160" s="2">
        <v>0.64583333333333337</v>
      </c>
      <c r="F1160" t="s">
        <v>17</v>
      </c>
      <c r="G1160">
        <f>VLOOKUP(Table46[[#This Row],[Home]],'NHL Model'!$A$6:$B$38,2,FALSE)</f>
        <v>-0.61980804137564283</v>
      </c>
      <c r="H1160" t="s">
        <v>31</v>
      </c>
      <c r="I1160">
        <f>VLOOKUP(Table46[[#This Row],[Visitor]],'NHL Model'!$A$6:$B$38,2,FALSE)</f>
        <v>0.51775546328552802</v>
      </c>
      <c r="J1160">
        <f>($B$1+Table46[[#This Row],[Home Differential]])-Table46[[#This Row],[Away Differential]]</f>
        <v>-0.97499119499885245</v>
      </c>
      <c r="K1160" t="str">
        <f>IF(Table46[[#This Row],[HomeIce Differential]]&gt;0,Table46[[#This Row],[Home]],Table46[[#This Row],[Visitor]])</f>
        <v>Anaheim Ducks</v>
      </c>
      <c r="L116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0.57403930519157687</v>
      </c>
      <c r="M1160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160" t="str">
        <f>IF(OR((NHL2025_26Results[[#This Row],[Winning Team]]="")),"-",IF(Table46[[#This Row],[Predicted Winner]]=NHL2025_26Results[[#This Row],[Winning Team]],"YES","NO"))</f>
        <v>-</v>
      </c>
      <c r="O1160" t="str">
        <f>IF(OR((NHL2025_26Results[[#This Row],[Winning Team]]="")),"-",IF(Table46[[#This Row],[Prob Winner]]=NHL2025_26Results[[#This Row],[Winning Team]],"YES","NO"))</f>
        <v>-</v>
      </c>
      <c r="P1160" t="str">
        <f>IF(Table46[[#This Row],[Locked Prediction]]&lt;&gt;Table46[[#This Row],[Prob Winner]], "Changed", "Same")</f>
        <v>Changed</v>
      </c>
      <c r="Q116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61" spans="4:17" x14ac:dyDescent="0.2">
      <c r="D1161" s="1">
        <v>46109</v>
      </c>
      <c r="E1161" s="2">
        <v>0.875</v>
      </c>
      <c r="F1161" t="s">
        <v>13</v>
      </c>
      <c r="G1161">
        <f>VLOOKUP(Table46[[#This Row],[Home]],'NHL Model'!$A$6:$B$38,2,FALSE)</f>
        <v>-7.5459708298993802E-2</v>
      </c>
      <c r="H1161" t="s">
        <v>55</v>
      </c>
      <c r="I1161">
        <f>VLOOKUP(Table46[[#This Row],[Visitor]],'NHL Model'!$A$6:$B$38,2,FALSE)</f>
        <v>-0.12212311954851815</v>
      </c>
      <c r="J1161">
        <f>($B$1+Table46[[#This Row],[Home Differential]])-Table46[[#This Row],[Away Differential]]</f>
        <v>0.20923572091184273</v>
      </c>
      <c r="K1161" t="str">
        <f>IF(Table46[[#This Row],[HomeIce Differential]]&gt;0,Table46[[#This Row],[Home]],Table46[[#This Row],[Visitor]])</f>
        <v>Los Angeles Kings</v>
      </c>
      <c r="L116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0.56781140409676012</v>
      </c>
      <c r="M1161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161" t="str">
        <f>IF(OR((NHL2025_26Results[[#This Row],[Winning Team]]="")),"-",IF(Table46[[#This Row],[Predicted Winner]]=NHL2025_26Results[[#This Row],[Winning Team]],"YES","NO"))</f>
        <v>-</v>
      </c>
      <c r="O1161" t="str">
        <f>IF(OR((NHL2025_26Results[[#This Row],[Winning Team]]="")),"-",IF(Table46[[#This Row],[Prob Winner]]=NHL2025_26Results[[#This Row],[Winning Team]],"YES","NO"))</f>
        <v>-</v>
      </c>
      <c r="P1161" t="str">
        <f>IF(Table46[[#This Row],[Locked Prediction]]&lt;&gt;Table46[[#This Row],[Prob Winner]], "Changed", "Same")</f>
        <v>Changed</v>
      </c>
      <c r="Q116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62" spans="4:17" x14ac:dyDescent="0.2">
      <c r="D1162" s="1">
        <v>46109</v>
      </c>
      <c r="E1162" s="2">
        <v>0.79166666666666663</v>
      </c>
      <c r="F1162" t="s">
        <v>29</v>
      </c>
      <c r="G1162">
        <f>VLOOKUP(Table46[[#This Row],[Home]],'NHL Model'!$A$6:$B$38,2,FALSE)</f>
        <v>-1.3516250707060606</v>
      </c>
      <c r="H1162" t="s">
        <v>18</v>
      </c>
      <c r="I1162">
        <f>VLOOKUP(Table46[[#This Row],[Visitor]],'NHL Model'!$A$6:$B$38,2,FALSE)</f>
        <v>-0.52437726201848234</v>
      </c>
      <c r="J1162">
        <f>($B$1+Table46[[#This Row],[Home Differential]])-Table46[[#This Row],[Away Differential]]</f>
        <v>-0.66467549902525991</v>
      </c>
      <c r="K1162" t="str">
        <f>IF(Table46[[#This Row],[HomeIce Differential]]&gt;0,Table46[[#This Row],[Home]],Table46[[#This Row],[Visitor]])</f>
        <v>Montreal Canadiens</v>
      </c>
      <c r="L116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0.62482869350811043</v>
      </c>
      <c r="M1162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1162" t="str">
        <f>IF(OR((NHL2025_26Results[[#This Row],[Winning Team]]="")),"-",IF(Table46[[#This Row],[Predicted Winner]]=NHL2025_26Results[[#This Row],[Winning Team]],"YES","NO"))</f>
        <v>-</v>
      </c>
      <c r="O1162" t="str">
        <f>IF(OR((NHL2025_26Results[[#This Row],[Winning Team]]="")),"-",IF(Table46[[#This Row],[Prob Winner]]=NHL2025_26Results[[#This Row],[Winning Team]],"YES","NO"))</f>
        <v>-</v>
      </c>
      <c r="P1162" t="str">
        <f>IF(Table46[[#This Row],[Locked Prediction]]&lt;&gt;Table46[[#This Row],[Prob Winner]], "Changed", "Same")</f>
        <v>Changed</v>
      </c>
      <c r="Q116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63" spans="4:17" x14ac:dyDescent="0.2">
      <c r="D1163" s="1">
        <v>46109</v>
      </c>
      <c r="E1163" s="2">
        <v>0.54166666666666663</v>
      </c>
      <c r="F1163" t="s">
        <v>30</v>
      </c>
      <c r="G1163">
        <f>VLOOKUP(Table46[[#This Row],[Home]],'NHL Model'!$A$6:$B$38,2,FALSE)</f>
        <v>-6.4729560818359025E-2</v>
      </c>
      <c r="H1163" t="s">
        <v>11</v>
      </c>
      <c r="I1163">
        <f>VLOOKUP(Table46[[#This Row],[Visitor]],'NHL Model'!$A$6:$B$38,2,FALSE)</f>
        <v>-0.28105923893144158</v>
      </c>
      <c r="J1163">
        <f>($B$1+Table46[[#This Row],[Home Differential]])-Table46[[#This Row],[Away Differential]]</f>
        <v>0.37890198777540096</v>
      </c>
      <c r="K1163" t="str">
        <f>IF(Table46[[#This Row],[HomeIce Differential]]&gt;0,Table46[[#This Row],[Home]],Table46[[#This Row],[Visitor]])</f>
        <v>New York Islanders</v>
      </c>
      <c r="L116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0.59036327568334868</v>
      </c>
      <c r="M1163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163" t="str">
        <f>IF(OR((NHL2025_26Results[[#This Row],[Winning Team]]="")),"-",IF(Table46[[#This Row],[Predicted Winner]]=NHL2025_26Results[[#This Row],[Winning Team]],"YES","NO"))</f>
        <v>-</v>
      </c>
      <c r="O1163" t="str">
        <f>IF(OR((NHL2025_26Results[[#This Row],[Winning Team]]="")),"-",IF(Table46[[#This Row],[Prob Winner]]=NHL2025_26Results[[#This Row],[Winning Team]],"YES","NO"))</f>
        <v>-</v>
      </c>
      <c r="P1163" t="str">
        <f>IF(Table46[[#This Row],[Locked Prediction]]&lt;&gt;Table46[[#This Row],[Prob Winner]], "Changed", "Same")</f>
        <v>Changed</v>
      </c>
      <c r="Q116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64" spans="4:17" x14ac:dyDescent="0.2">
      <c r="D1164" s="1">
        <v>46109</v>
      </c>
      <c r="E1164" s="2">
        <v>0.70833333333333337</v>
      </c>
      <c r="F1164" t="s">
        <v>14</v>
      </c>
      <c r="G1164">
        <f>VLOOKUP(Table46[[#This Row],[Home]],'NHL Model'!$A$6:$B$38,2,FALSE)</f>
        <v>0.26289091192875702</v>
      </c>
      <c r="H1164" t="s">
        <v>39</v>
      </c>
      <c r="I1164">
        <f>VLOOKUP(Table46[[#This Row],[Visitor]],'NHL Model'!$A$6:$B$38,2,FALSE)</f>
        <v>0.19809534061227302</v>
      </c>
      <c r="J1164">
        <f>($B$1+Table46[[#This Row],[Home Differential]])-Table46[[#This Row],[Away Differential]]</f>
        <v>0.22736788097880239</v>
      </c>
      <c r="K1164" t="str">
        <f>IF(Table46[[#This Row],[HomeIce Differential]]&gt;0,Table46[[#This Row],[Home]],Table46[[#This Row],[Visitor]])</f>
        <v>Pittsburgh Penguins</v>
      </c>
      <c r="L116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0.51409248053606205</v>
      </c>
      <c r="M1164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164" t="str">
        <f>IF(OR((NHL2025_26Results[[#This Row],[Winning Team]]="")),"-",IF(Table46[[#This Row],[Predicted Winner]]=NHL2025_26Results[[#This Row],[Winning Team]],"YES","NO"))</f>
        <v>-</v>
      </c>
      <c r="O1164" t="str">
        <f>IF(OR((NHL2025_26Results[[#This Row],[Winning Team]]="")),"-",IF(Table46[[#This Row],[Prob Winner]]=NHL2025_26Results[[#This Row],[Winning Team]],"YES","NO"))</f>
        <v>-</v>
      </c>
      <c r="P1164" t="str">
        <f>IF(Table46[[#This Row],[Locked Prediction]]&lt;&gt;Table46[[#This Row],[Prob Winner]], "Changed", "Same")</f>
        <v>Changed</v>
      </c>
      <c r="Q116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65" spans="4:17" x14ac:dyDescent="0.2">
      <c r="D1165" s="1">
        <v>46109</v>
      </c>
      <c r="E1165" s="2">
        <v>0.79166666666666663</v>
      </c>
      <c r="F1165" t="s">
        <v>35</v>
      </c>
      <c r="G1165">
        <f>VLOOKUP(Table46[[#This Row],[Home]],'NHL Model'!$A$6:$B$38,2,FALSE)</f>
        <v>-1.6211574240381006</v>
      </c>
      <c r="H1165" t="s">
        <v>19</v>
      </c>
      <c r="I1165">
        <f>VLOOKUP(Table46[[#This Row],[Visitor]],'NHL Model'!$A$6:$B$38,2,FALSE)</f>
        <v>-0.635565543477981</v>
      </c>
      <c r="J1165">
        <f>($B$1+Table46[[#This Row],[Home Differential]])-Table46[[#This Row],[Away Differential]]</f>
        <v>-0.8230195708978012</v>
      </c>
      <c r="K1165" t="str">
        <f>IF(Table46[[#This Row],[HomeIce Differential]]&gt;0,Table46[[#This Row],[Home]],Table46[[#This Row],[Visitor]])</f>
        <v>Toronto Maple Leafs</v>
      </c>
      <c r="L116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0.56939494349258291</v>
      </c>
      <c r="M1165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1165" t="str">
        <f>IF(OR((NHL2025_26Results[[#This Row],[Winning Team]]="")),"-",IF(Table46[[#This Row],[Predicted Winner]]=NHL2025_26Results[[#This Row],[Winning Team]],"YES","NO"))</f>
        <v>-</v>
      </c>
      <c r="O1165" t="str">
        <f>IF(OR((NHL2025_26Results[[#This Row],[Winning Team]]="")),"-",IF(Table46[[#This Row],[Prob Winner]]=NHL2025_26Results[[#This Row],[Winning Team]],"YES","NO"))</f>
        <v>-</v>
      </c>
      <c r="P1165" t="str">
        <f>IF(Table46[[#This Row],[Locked Prediction]]&lt;&gt;Table46[[#This Row],[Prob Winner]], "Changed", "Same")</f>
        <v>Changed</v>
      </c>
      <c r="Q116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66" spans="4:17" x14ac:dyDescent="0.2">
      <c r="D1166" s="1">
        <v>46109</v>
      </c>
      <c r="E1166" s="2">
        <v>0.54166666666666663</v>
      </c>
      <c r="F1166" t="s">
        <v>37</v>
      </c>
      <c r="G1166">
        <f>VLOOKUP(Table46[[#This Row],[Home]],'NHL Model'!$A$6:$B$38,2,FALSE)</f>
        <v>-0.11309445867623392</v>
      </c>
      <c r="H1166" t="s">
        <v>36</v>
      </c>
      <c r="I1166">
        <f>VLOOKUP(Table46[[#This Row],[Visitor]],'NHL Model'!$A$6:$B$38,2,FALSE)</f>
        <v>-0.40651947573390851</v>
      </c>
      <c r="J1166">
        <f>($B$1+Table46[[#This Row],[Home Differential]])-Table46[[#This Row],[Away Differential]]</f>
        <v>0.45599732671999299</v>
      </c>
      <c r="K1166" t="str">
        <f>IF(Table46[[#This Row],[HomeIce Differential]]&gt;0,Table46[[#This Row],[Home]],Table46[[#This Row],[Visitor]])</f>
        <v>Tampa Bay Lightning</v>
      </c>
      <c r="L116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0.60061071152279666</v>
      </c>
      <c r="M1166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166" t="str">
        <f>IF(OR((NHL2025_26Results[[#This Row],[Winning Team]]="")),"-",IF(Table46[[#This Row],[Predicted Winner]]=NHL2025_26Results[[#This Row],[Winning Team]],"YES","NO"))</f>
        <v>-</v>
      </c>
      <c r="O1166" t="str">
        <f>IF(OR((NHL2025_26Results[[#This Row],[Winning Team]]="")),"-",IF(Table46[[#This Row],[Prob Winner]]=NHL2025_26Results[[#This Row],[Winning Team]],"YES","NO"))</f>
        <v>-</v>
      </c>
      <c r="P1166" t="str">
        <f>IF(Table46[[#This Row],[Locked Prediction]]&lt;&gt;Table46[[#This Row],[Prob Winner]], "Changed", "Same")</f>
        <v>Changed</v>
      </c>
      <c r="Q116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67" spans="4:17" x14ac:dyDescent="0.2">
      <c r="D1167" s="1">
        <v>46109</v>
      </c>
      <c r="E1167" s="2">
        <v>0.9375</v>
      </c>
      <c r="F1167" t="s">
        <v>20</v>
      </c>
      <c r="G1167">
        <f>VLOOKUP(Table46[[#This Row],[Home]],'NHL Model'!$A$6:$B$38,2,FALSE)</f>
        <v>-6.3745791019188943E-4</v>
      </c>
      <c r="H1167" t="s">
        <v>22</v>
      </c>
      <c r="I1167">
        <f>VLOOKUP(Table46[[#This Row],[Visitor]],'NHL Model'!$A$6:$B$38,2,FALSE)</f>
        <v>-6.1308839486784707E-2</v>
      </c>
      <c r="J1167">
        <f>($B$1+Table46[[#This Row],[Home Differential]])-Table46[[#This Row],[Away Differential]]</f>
        <v>0.22324369123891119</v>
      </c>
      <c r="K1167" t="str">
        <f>IF(Table46[[#This Row],[HomeIce Differential]]&gt;0,Table46[[#This Row],[Home]],Table46[[#This Row],[Visitor]])</f>
        <v>Vegas Golden Knights</v>
      </c>
      <c r="L116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0.569673329592291</v>
      </c>
      <c r="M1167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167" t="str">
        <f>IF(OR((NHL2025_26Results[[#This Row],[Winning Team]]="")),"-",IF(Table46[[#This Row],[Predicted Winner]]=NHL2025_26Results[[#This Row],[Winning Team]],"YES","NO"))</f>
        <v>-</v>
      </c>
      <c r="O1167" t="str">
        <f>IF(OR((NHL2025_26Results[[#This Row],[Winning Team]]="")),"-",IF(Table46[[#This Row],[Prob Winner]]=NHL2025_26Results[[#This Row],[Winning Team]],"YES","NO"))</f>
        <v>-</v>
      </c>
      <c r="P1167" t="str">
        <f>IF(Table46[[#This Row],[Locked Prediction]]&lt;&gt;Table46[[#This Row],[Prob Winner]], "Changed", "Same")</f>
        <v>Changed</v>
      </c>
      <c r="Q116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68" spans="4:17" x14ac:dyDescent="0.2">
      <c r="D1168" s="1">
        <v>46110</v>
      </c>
      <c r="E1168" s="2">
        <v>0.70833333333333337</v>
      </c>
      <c r="F1168" t="s">
        <v>25</v>
      </c>
      <c r="G1168">
        <f>VLOOKUP(Table46[[#This Row],[Home]],'NHL Model'!$A$6:$B$38,2,FALSE)</f>
        <v>0.67193921242367816</v>
      </c>
      <c r="H1168" t="s">
        <v>18</v>
      </c>
      <c r="I1168">
        <f>VLOOKUP(Table46[[#This Row],[Visitor]],'NHL Model'!$A$6:$B$38,2,FALSE)</f>
        <v>-0.52437726201848234</v>
      </c>
      <c r="J1168">
        <f>($B$1+Table46[[#This Row],[Home Differential]])-Table46[[#This Row],[Away Differential]]</f>
        <v>1.358888784104479</v>
      </c>
      <c r="K1168" t="str">
        <f>IF(Table46[[#This Row],[HomeIce Differential]]&gt;0,Table46[[#This Row],[Home]],Table46[[#This Row],[Visitor]])</f>
        <v>Carolina Hurricanes</v>
      </c>
      <c r="L116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0.69675117905300799</v>
      </c>
      <c r="M1168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168" t="str">
        <f>IF(OR((NHL2025_26Results[[#This Row],[Winning Team]]="")),"-",IF(Table46[[#This Row],[Predicted Winner]]=NHL2025_26Results[[#This Row],[Winning Team]],"YES","NO"))</f>
        <v>-</v>
      </c>
      <c r="O1168" t="str">
        <f>IF(OR((NHL2025_26Results[[#This Row],[Winning Team]]="")),"-",IF(Table46[[#This Row],[Prob Winner]]=NHL2025_26Results[[#This Row],[Winning Team]],"YES","NO"))</f>
        <v>-</v>
      </c>
      <c r="P1168" t="str">
        <f>IF(Table46[[#This Row],[Locked Prediction]]&lt;&gt;Table46[[#This Row],[Prob Winner]], "Changed", "Same")</f>
        <v>Changed</v>
      </c>
      <c r="Q116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69" spans="4:17" x14ac:dyDescent="0.2">
      <c r="D1169" s="1">
        <v>46110</v>
      </c>
      <c r="E1169" s="2">
        <v>0.70833333333333337</v>
      </c>
      <c r="F1169" t="s">
        <v>28</v>
      </c>
      <c r="G1169">
        <f>VLOOKUP(Table46[[#This Row],[Home]],'NHL Model'!$A$6:$B$38,2,FALSE)</f>
        <v>-0.40822279081308277</v>
      </c>
      <c r="H1169" t="s">
        <v>21</v>
      </c>
      <c r="I1169">
        <f>VLOOKUP(Table46[[#This Row],[Visitor]],'NHL Model'!$A$6:$B$38,2,FALSE)</f>
        <v>4.029141914856392E-2</v>
      </c>
      <c r="J1169">
        <f>($B$1+Table46[[#This Row],[Home Differential]])-Table46[[#This Row],[Away Differential]]</f>
        <v>-0.28594190029932831</v>
      </c>
      <c r="K1169" t="str">
        <f>IF(Table46[[#This Row],[HomeIce Differential]]&gt;0,Table46[[#This Row],[Home]],Table46[[#This Row],[Visitor]])</f>
        <v>Boston Bruins</v>
      </c>
      <c r="L116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0.49800711323460262</v>
      </c>
      <c r="M1169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1169" t="str">
        <f>IF(OR((NHL2025_26Results[[#This Row],[Winning Team]]="")),"-",IF(Table46[[#This Row],[Predicted Winner]]=NHL2025_26Results[[#This Row],[Winning Team]],"YES","NO"))</f>
        <v>-</v>
      </c>
      <c r="O1169" t="str">
        <f>IF(OR((NHL2025_26Results[[#This Row],[Winning Team]]="")),"-",IF(Table46[[#This Row],[Prob Winner]]=NHL2025_26Results[[#This Row],[Winning Team]],"YES","NO"))</f>
        <v>-</v>
      </c>
      <c r="P1169" t="str">
        <f>IF(Table46[[#This Row],[Locked Prediction]]&lt;&gt;Table46[[#This Row],[Prob Winner]], "Changed", "Same")</f>
        <v>Changed</v>
      </c>
      <c r="Q116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70" spans="4:17" x14ac:dyDescent="0.2">
      <c r="D1170" s="1">
        <v>46110</v>
      </c>
      <c r="E1170" s="2">
        <v>0.79166666666666663</v>
      </c>
      <c r="F1170" t="s">
        <v>24</v>
      </c>
      <c r="G1170">
        <f>VLOOKUP(Table46[[#This Row],[Home]],'NHL Model'!$A$6:$B$38,2,FALSE)</f>
        <v>0.559441163373953</v>
      </c>
      <c r="H1170" t="s">
        <v>10</v>
      </c>
      <c r="I1170">
        <f>VLOOKUP(Table46[[#This Row],[Visitor]],'NHL Model'!$A$6:$B$38,2,FALSE)</f>
        <v>0.30570968833820172</v>
      </c>
      <c r="J1170">
        <f>($B$1+Table46[[#This Row],[Home Differential]])-Table46[[#This Row],[Away Differential]]</f>
        <v>0.41630378469806967</v>
      </c>
      <c r="K1170" t="str">
        <f>IF(Table46[[#This Row],[HomeIce Differential]]&gt;0,Table46[[#This Row],[Home]],Table46[[#This Row],[Visitor]])</f>
        <v>New Jersey Devils</v>
      </c>
      <c r="L117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0.691698321726117</v>
      </c>
      <c r="M1170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170" t="str">
        <f>IF(OR((NHL2025_26Results[[#This Row],[Winning Team]]="")),"-",IF(Table46[[#This Row],[Predicted Winner]]=NHL2025_26Results[[#This Row],[Winning Team]],"YES","NO"))</f>
        <v>-</v>
      </c>
      <c r="O1170" t="str">
        <f>IF(OR((NHL2025_26Results[[#This Row],[Winning Team]]="")),"-",IF(Table46[[#This Row],[Prob Winner]]=NHL2025_26Results[[#This Row],[Winning Team]],"YES","NO"))</f>
        <v>-</v>
      </c>
      <c r="P1170" t="str">
        <f>IF(Table46[[#This Row],[Locked Prediction]]&lt;&gt;Table46[[#This Row],[Prob Winner]], "Changed", "Same")</f>
        <v>Changed</v>
      </c>
      <c r="Q117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71" spans="4:17" x14ac:dyDescent="0.2">
      <c r="D1171" s="1">
        <v>46110</v>
      </c>
      <c r="E1171" s="2">
        <v>0.54166666666666663</v>
      </c>
      <c r="F1171" t="s">
        <v>15</v>
      </c>
      <c r="G1171">
        <f>VLOOKUP(Table46[[#This Row],[Home]],'NHL Model'!$A$6:$B$38,2,FALSE)</f>
        <v>-0.30719665303039001</v>
      </c>
      <c r="H1171" t="s">
        <v>11</v>
      </c>
      <c r="I1171">
        <f>VLOOKUP(Table46[[#This Row],[Visitor]],'NHL Model'!$A$6:$B$38,2,FALSE)</f>
        <v>-0.28105923893144158</v>
      </c>
      <c r="J1171">
        <f>($B$1+Table46[[#This Row],[Home Differential]])-Table46[[#This Row],[Away Differential]]</f>
        <v>0.13643489556336996</v>
      </c>
      <c r="K1171" t="str">
        <f>IF(Table46[[#This Row],[HomeIce Differential]]&gt;0,Table46[[#This Row],[Home]],Table46[[#This Row],[Visitor]])</f>
        <v>New York Rangers</v>
      </c>
      <c r="L117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0.55813479073685923</v>
      </c>
      <c r="M1171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171" t="str">
        <f>IF(OR((NHL2025_26Results[[#This Row],[Winning Team]]="")),"-",IF(Table46[[#This Row],[Predicted Winner]]=NHL2025_26Results[[#This Row],[Winning Team]],"YES","NO"))</f>
        <v>-</v>
      </c>
      <c r="O1171" t="str">
        <f>IF(OR((NHL2025_26Results[[#This Row],[Winning Team]]="")),"-",IF(Table46[[#This Row],[Prob Winner]]=NHL2025_26Results[[#This Row],[Winning Team]],"YES","NO"))</f>
        <v>-</v>
      </c>
      <c r="P1171" t="str">
        <f>IF(Table46[[#This Row],[Locked Prediction]]&lt;&gt;Table46[[#This Row],[Prob Winner]], "Changed", "Same")</f>
        <v>Changed</v>
      </c>
      <c r="Q117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72" spans="4:17" x14ac:dyDescent="0.2">
      <c r="D1172" s="1">
        <v>46110</v>
      </c>
      <c r="E1172" s="2">
        <v>0.79166666666666663</v>
      </c>
      <c r="F1172" t="s">
        <v>27</v>
      </c>
      <c r="G1172">
        <f>VLOOKUP(Table46[[#This Row],[Home]],'NHL Model'!$A$6:$B$38,2,FALSE)</f>
        <v>-0.51358590497437617</v>
      </c>
      <c r="H1172" t="s">
        <v>39</v>
      </c>
      <c r="I1172">
        <f>VLOOKUP(Table46[[#This Row],[Visitor]],'NHL Model'!$A$6:$B$38,2,FALSE)</f>
        <v>0.19809534061227302</v>
      </c>
      <c r="J1172">
        <f>($B$1+Table46[[#This Row],[Home Differential]])-Table46[[#This Row],[Away Differential]]</f>
        <v>-0.54910893592433085</v>
      </c>
      <c r="K1172" t="str">
        <f>IF(Table46[[#This Row],[HomeIce Differential]]&gt;0,Table46[[#This Row],[Home]],Table46[[#This Row],[Visitor]])</f>
        <v>Dallas Stars</v>
      </c>
      <c r="L117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0.62298701408908985</v>
      </c>
      <c r="M1172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172" t="str">
        <f>IF(OR((NHL2025_26Results[[#This Row],[Winning Team]]="")),"-",IF(Table46[[#This Row],[Predicted Winner]]=NHL2025_26Results[[#This Row],[Winning Team]],"YES","NO"))</f>
        <v>-</v>
      </c>
      <c r="O1172" t="str">
        <f>IF(OR((NHL2025_26Results[[#This Row],[Winning Team]]="")),"-",IF(Table46[[#This Row],[Prob Winner]]=NHL2025_26Results[[#This Row],[Winning Team]],"YES","NO"))</f>
        <v>-</v>
      </c>
      <c r="P1172" t="str">
        <f>IF(Table46[[#This Row],[Locked Prediction]]&lt;&gt;Table46[[#This Row],[Prob Winner]], "Changed", "Same")</f>
        <v>Changed</v>
      </c>
      <c r="Q117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73" spans="4:17" x14ac:dyDescent="0.2">
      <c r="D1173" s="1">
        <v>46110</v>
      </c>
      <c r="E1173" s="2">
        <v>0.70833333333333337</v>
      </c>
      <c r="F1173" t="s">
        <v>37</v>
      </c>
      <c r="G1173">
        <f>VLOOKUP(Table46[[#This Row],[Home]],'NHL Model'!$A$6:$B$38,2,FALSE)</f>
        <v>-0.11309445867623392</v>
      </c>
      <c r="H1173" t="s">
        <v>29</v>
      </c>
      <c r="I1173">
        <f>VLOOKUP(Table46[[#This Row],[Visitor]],'NHL Model'!$A$6:$B$38,2,FALSE)</f>
        <v>-1.3516250707060606</v>
      </c>
      <c r="J1173">
        <f>($B$1+Table46[[#This Row],[Home Differential]])-Table46[[#This Row],[Away Differential]]</f>
        <v>1.4011029216921451</v>
      </c>
      <c r="K1173" t="str">
        <f>IF(Table46[[#This Row],[HomeIce Differential]]&gt;0,Table46[[#This Row],[Home]],Table46[[#This Row],[Visitor]])</f>
        <v>Tampa Bay Lightning</v>
      </c>
      <c r="L117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0.72623320801303004</v>
      </c>
      <c r="M1173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173" t="str">
        <f>IF(OR((NHL2025_26Results[[#This Row],[Winning Team]]="")),"-",IF(Table46[[#This Row],[Predicted Winner]]=NHL2025_26Results[[#This Row],[Winning Team]],"YES","NO"))</f>
        <v>-</v>
      </c>
      <c r="O1173" t="str">
        <f>IF(OR((NHL2025_26Results[[#This Row],[Winning Team]]="")),"-",IF(Table46[[#This Row],[Prob Winner]]=NHL2025_26Results[[#This Row],[Winning Team]],"YES","NO"))</f>
        <v>-</v>
      </c>
      <c r="P1173" t="str">
        <f>IF(Table46[[#This Row],[Locked Prediction]]&lt;&gt;Table46[[#This Row],[Prob Winner]], "Changed", "Same")</f>
        <v>Changed</v>
      </c>
      <c r="Q117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74" spans="4:17" x14ac:dyDescent="0.2">
      <c r="D1174" s="1">
        <v>46111</v>
      </c>
      <c r="E1174" s="2">
        <v>0.91666666666666663</v>
      </c>
      <c r="F1174" t="s">
        <v>31</v>
      </c>
      <c r="G1174">
        <f>VLOOKUP(Table46[[#This Row],[Home]],'NHL Model'!$A$6:$B$38,2,FALSE)</f>
        <v>0.51775546328552802</v>
      </c>
      <c r="H1174" t="s">
        <v>19</v>
      </c>
      <c r="I1174">
        <f>VLOOKUP(Table46[[#This Row],[Visitor]],'NHL Model'!$A$6:$B$38,2,FALSE)</f>
        <v>-0.635565543477981</v>
      </c>
      <c r="J1174">
        <f>($B$1+Table46[[#This Row],[Home Differential]])-Table46[[#This Row],[Away Differential]]</f>
        <v>1.3158933164258273</v>
      </c>
      <c r="K1174" t="str">
        <f>IF(Table46[[#This Row],[HomeIce Differential]]&gt;0,Table46[[#This Row],[Home]],Table46[[#This Row],[Visitor]])</f>
        <v>Anaheim Ducks</v>
      </c>
      <c r="L117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0.81923712886482214</v>
      </c>
      <c r="M1174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174" t="str">
        <f>IF(OR((NHL2025_26Results[[#This Row],[Winning Team]]="")),"-",IF(Table46[[#This Row],[Predicted Winner]]=NHL2025_26Results[[#This Row],[Winning Team]],"YES","NO"))</f>
        <v>-</v>
      </c>
      <c r="O1174" t="str">
        <f>IF(OR((NHL2025_26Results[[#This Row],[Winning Team]]="")),"-",IF(Table46[[#This Row],[Prob Winner]]=NHL2025_26Results[[#This Row],[Winning Team]],"YES","NO"))</f>
        <v>-</v>
      </c>
      <c r="P1174" t="str">
        <f>IF(Table46[[#This Row],[Locked Prediction]]&lt;&gt;Table46[[#This Row],[Prob Winner]], "Changed", "Same")</f>
        <v>Changed</v>
      </c>
      <c r="Q117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75" spans="4:17" x14ac:dyDescent="0.2">
      <c r="D1175" s="1">
        <v>46111</v>
      </c>
      <c r="E1175" s="2">
        <v>0.85416666666666663</v>
      </c>
      <c r="F1175" t="s">
        <v>12</v>
      </c>
      <c r="G1175">
        <f>VLOOKUP(Table46[[#This Row],[Home]],'NHL Model'!$A$6:$B$38,2,FALSE)</f>
        <v>1.5475013591489768</v>
      </c>
      <c r="H1175" t="s">
        <v>16</v>
      </c>
      <c r="I1175">
        <f>VLOOKUP(Table46[[#This Row],[Visitor]],'NHL Model'!$A$6:$B$38,2,FALSE)</f>
        <v>-1.3903684122795328</v>
      </c>
      <c r="J1175">
        <f>($B$1+Table46[[#This Row],[Home Differential]])-Table46[[#This Row],[Away Differential]]</f>
        <v>3.100442081090828</v>
      </c>
      <c r="K1175" t="str">
        <f>IF(Table46[[#This Row],[HomeIce Differential]]&gt;0,Table46[[#This Row],[Home]],Table46[[#This Row],[Visitor]])</f>
        <v>Colorado Avalanche</v>
      </c>
      <c r="L117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1</v>
      </c>
      <c r="M1175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175" t="str">
        <f>IF(OR((NHL2025_26Results[[#This Row],[Winning Team]]="")),"-",IF(Table46[[#This Row],[Predicted Winner]]=NHL2025_26Results[[#This Row],[Winning Team]],"YES","NO"))</f>
        <v>-</v>
      </c>
      <c r="O1175" t="str">
        <f>IF(OR((NHL2025_26Results[[#This Row],[Winning Team]]="")),"-",IF(Table46[[#This Row],[Prob Winner]]=NHL2025_26Results[[#This Row],[Winning Team]],"YES","NO"))</f>
        <v>-</v>
      </c>
      <c r="P1175" t="str">
        <f>IF(Table46[[#This Row],[Locked Prediction]]&lt;&gt;Table46[[#This Row],[Prob Winner]], "Changed", "Same")</f>
        <v>Changed</v>
      </c>
      <c r="Q117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76" spans="4:17" x14ac:dyDescent="0.2">
      <c r="D1176" s="1">
        <v>46111</v>
      </c>
      <c r="E1176" s="2">
        <v>0.79166666666666663</v>
      </c>
      <c r="F1176" t="s">
        <v>30</v>
      </c>
      <c r="G1176">
        <f>VLOOKUP(Table46[[#This Row],[Home]],'NHL Model'!$A$6:$B$38,2,FALSE)</f>
        <v>-6.4729560818359025E-2</v>
      </c>
      <c r="H1176" t="s">
        <v>14</v>
      </c>
      <c r="I1176">
        <f>VLOOKUP(Table46[[#This Row],[Visitor]],'NHL Model'!$A$6:$B$38,2,FALSE)</f>
        <v>0.26289091192875702</v>
      </c>
      <c r="J1176">
        <f>($B$1+Table46[[#This Row],[Home Differential]])-Table46[[#This Row],[Away Differential]]</f>
        <v>-0.16504816308479764</v>
      </c>
      <c r="K1176" t="str">
        <f>IF(Table46[[#This Row],[HomeIce Differential]]&gt;0,Table46[[#This Row],[Home]],Table46[[#This Row],[Visitor]])</f>
        <v>Pittsburgh Penguins</v>
      </c>
      <c r="L117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0.48193803782153083</v>
      </c>
      <c r="M1176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176" t="str">
        <f>IF(OR((NHL2025_26Results[[#This Row],[Winning Team]]="")),"-",IF(Table46[[#This Row],[Predicted Winner]]=NHL2025_26Results[[#This Row],[Winning Team]],"YES","NO"))</f>
        <v>-</v>
      </c>
      <c r="O1176" t="str">
        <f>IF(OR((NHL2025_26Results[[#This Row],[Winning Team]]="")),"-",IF(Table46[[#This Row],[Prob Winner]]=NHL2025_26Results[[#This Row],[Winning Team]],"YES","NO"))</f>
        <v>-</v>
      </c>
      <c r="P1176" t="str">
        <f>IF(Table46[[#This Row],[Locked Prediction]]&lt;&gt;Table46[[#This Row],[Prob Winner]], "Changed", "Same")</f>
        <v>Changed</v>
      </c>
      <c r="Q117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77" spans="4:17" x14ac:dyDescent="0.2">
      <c r="D1177" s="1">
        <v>46111</v>
      </c>
      <c r="E1177" s="2">
        <v>0.91666666666666663</v>
      </c>
      <c r="F1177" t="s">
        <v>33</v>
      </c>
      <c r="G1177">
        <f>VLOOKUP(Table46[[#This Row],[Home]],'NHL Model'!$A$6:$B$38,2,FALSE)</f>
        <v>-0.39418177254008485</v>
      </c>
      <c r="H1177" t="s">
        <v>35</v>
      </c>
      <c r="I1177">
        <f>VLOOKUP(Table46[[#This Row],[Visitor]],'NHL Model'!$A$6:$B$38,2,FALSE)</f>
        <v>-1.6211574240381006</v>
      </c>
      <c r="J1177">
        <f>($B$1+Table46[[#This Row],[Home Differential]])-Table46[[#This Row],[Away Differential]]</f>
        <v>1.3895479611603341</v>
      </c>
      <c r="K1177" t="str">
        <f>IF(Table46[[#This Row],[HomeIce Differential]]&gt;0,Table46[[#This Row],[Home]],Table46[[#This Row],[Visitor]])</f>
        <v>San Jose Sharks</v>
      </c>
      <c r="L117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0.72469733414181992</v>
      </c>
      <c r="M1177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1177" t="str">
        <f>IF(OR((NHL2025_26Results[[#This Row],[Winning Team]]="")),"-",IF(Table46[[#This Row],[Predicted Winner]]=NHL2025_26Results[[#This Row],[Winning Team]],"YES","NO"))</f>
        <v>-</v>
      </c>
      <c r="O1177" t="str">
        <f>IF(OR((NHL2025_26Results[[#This Row],[Winning Team]]="")),"-",IF(Table46[[#This Row],[Prob Winner]]=NHL2025_26Results[[#This Row],[Winning Team]],"YES","NO"))</f>
        <v>-</v>
      </c>
      <c r="P1177" t="str">
        <f>IF(Table46[[#This Row],[Locked Prediction]]&lt;&gt;Table46[[#This Row],[Prob Winner]], "Changed", "Same")</f>
        <v>Changed</v>
      </c>
      <c r="Q117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78" spans="4:17" x14ac:dyDescent="0.2">
      <c r="D1178" s="1">
        <v>46111</v>
      </c>
      <c r="E1178" s="2">
        <v>0.91666666666666663</v>
      </c>
      <c r="F1178" t="s">
        <v>20</v>
      </c>
      <c r="G1178">
        <f>VLOOKUP(Table46[[#This Row],[Home]],'NHL Model'!$A$6:$B$38,2,FALSE)</f>
        <v>-6.3745791019188943E-4</v>
      </c>
      <c r="H1178" t="s">
        <v>38</v>
      </c>
      <c r="I1178">
        <f>VLOOKUP(Table46[[#This Row],[Visitor]],'NHL Model'!$A$6:$B$38,2,FALSE)</f>
        <v>-0.6902088310934803</v>
      </c>
      <c r="J1178">
        <f>($B$1+Table46[[#This Row],[Home Differential]])-Table46[[#This Row],[Away Differential]]</f>
        <v>0.85214368284560682</v>
      </c>
      <c r="K1178" t="str">
        <f>IF(Table46[[#This Row],[HomeIce Differential]]&gt;0,Table46[[#This Row],[Home]],Table46[[#This Row],[Visitor]])</f>
        <v>Vegas Golden Knights</v>
      </c>
      <c r="L117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0.61075352869668942</v>
      </c>
      <c r="M1178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178" t="str">
        <f>IF(OR((NHL2025_26Results[[#This Row],[Winning Team]]="")),"-",IF(Table46[[#This Row],[Predicted Winner]]=NHL2025_26Results[[#This Row],[Winning Team]],"YES","NO"))</f>
        <v>-</v>
      </c>
      <c r="O1178" t="str">
        <f>IF(OR((NHL2025_26Results[[#This Row],[Winning Team]]="")),"-",IF(Table46[[#This Row],[Prob Winner]]=NHL2025_26Results[[#This Row],[Winning Team]],"YES","NO"))</f>
        <v>-</v>
      </c>
      <c r="P1178" t="str">
        <f>IF(Table46[[#This Row],[Locked Prediction]]&lt;&gt;Table46[[#This Row],[Prob Winner]], "Changed", "Same")</f>
        <v>Changed</v>
      </c>
      <c r="Q117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79" spans="4:17" x14ac:dyDescent="0.2">
      <c r="D1179" s="1">
        <v>46112</v>
      </c>
      <c r="E1179" s="2">
        <v>0.79166666666666663</v>
      </c>
      <c r="F1179" t="s">
        <v>21</v>
      </c>
      <c r="G1179">
        <f>VLOOKUP(Table46[[#This Row],[Home]],'NHL Model'!$A$6:$B$38,2,FALSE)</f>
        <v>4.029141914856392E-2</v>
      </c>
      <c r="H1179" t="s">
        <v>39</v>
      </c>
      <c r="I1179">
        <f>VLOOKUP(Table46[[#This Row],[Visitor]],'NHL Model'!$A$6:$B$38,2,FALSE)</f>
        <v>0.19809534061227302</v>
      </c>
      <c r="J1179">
        <f>($B$1+Table46[[#This Row],[Home Differential]])-Table46[[#This Row],[Away Differential]]</f>
        <v>4.768388198609308E-3</v>
      </c>
      <c r="K1179" t="str">
        <f>IF(Table46[[#This Row],[HomeIce Differential]]&gt;0,Table46[[#This Row],[Home]],Table46[[#This Row],[Visitor]])</f>
        <v>Boston Bruins</v>
      </c>
      <c r="L117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0.52237293985558231</v>
      </c>
      <c r="M1179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179" t="str">
        <f>IF(OR((NHL2025_26Results[[#This Row],[Winning Team]]="")),"-",IF(Table46[[#This Row],[Predicted Winner]]=NHL2025_26Results[[#This Row],[Winning Team]],"YES","NO"))</f>
        <v>-</v>
      </c>
      <c r="O1179" t="str">
        <f>IF(OR((NHL2025_26Results[[#This Row],[Winning Team]]="")),"-",IF(Table46[[#This Row],[Prob Winner]]=NHL2025_26Results[[#This Row],[Winning Team]],"YES","NO"))</f>
        <v>-</v>
      </c>
      <c r="P1179" t="str">
        <f>IF(Table46[[#This Row],[Locked Prediction]]&lt;&gt;Table46[[#This Row],[Prob Winner]], "Changed", "Same")</f>
        <v>Changed</v>
      </c>
      <c r="Q117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80" spans="4:17" x14ac:dyDescent="0.2">
      <c r="D1180" s="1">
        <v>46112</v>
      </c>
      <c r="E1180" s="2">
        <v>0.79166666666666663</v>
      </c>
      <c r="F1180" t="s">
        <v>23</v>
      </c>
      <c r="G1180">
        <f>VLOOKUP(Table46[[#This Row],[Home]],'NHL Model'!$A$6:$B$38,2,FALSE)</f>
        <v>-0.8683412362501769</v>
      </c>
      <c r="H1180" t="s">
        <v>30</v>
      </c>
      <c r="I1180">
        <f>VLOOKUP(Table46[[#This Row],[Visitor]],'NHL Model'!$A$6:$B$38,2,FALSE)</f>
        <v>-6.4729560818359025E-2</v>
      </c>
      <c r="J1180">
        <f>($B$1+Table46[[#This Row],[Home Differential]])-Table46[[#This Row],[Away Differential]]</f>
        <v>-0.64103936576949949</v>
      </c>
      <c r="K1180" t="str">
        <f>IF(Table46[[#This Row],[HomeIce Differential]]&gt;0,Table46[[#This Row],[Home]],Table46[[#This Row],[Visitor]])</f>
        <v>New York Islanders</v>
      </c>
      <c r="L118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0.58771887828282299</v>
      </c>
      <c r="M1180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180" t="str">
        <f>IF(OR((NHL2025_26Results[[#This Row],[Winning Team]]="")),"-",IF(Table46[[#This Row],[Predicted Winner]]=NHL2025_26Results[[#This Row],[Winning Team]],"YES","NO"))</f>
        <v>-</v>
      </c>
      <c r="O1180" t="str">
        <f>IF(OR((NHL2025_26Results[[#This Row],[Winning Team]]="")),"-",IF(Table46[[#This Row],[Prob Winner]]=NHL2025_26Results[[#This Row],[Winning Team]],"YES","NO"))</f>
        <v>-</v>
      </c>
      <c r="P1180" t="str">
        <f>IF(Table46[[#This Row],[Locked Prediction]]&lt;&gt;Table46[[#This Row],[Prob Winner]], "Changed", "Same")</f>
        <v>Changed</v>
      </c>
      <c r="Q118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81" spans="4:17" x14ac:dyDescent="0.2">
      <c r="D1181" s="1">
        <v>46112</v>
      </c>
      <c r="E1181" s="2">
        <v>0.8125</v>
      </c>
      <c r="F1181" t="s">
        <v>28</v>
      </c>
      <c r="G1181">
        <f>VLOOKUP(Table46[[#This Row],[Home]],'NHL Model'!$A$6:$B$38,2,FALSE)</f>
        <v>-0.40822279081308277</v>
      </c>
      <c r="H1181" t="s">
        <v>25</v>
      </c>
      <c r="I1181">
        <f>VLOOKUP(Table46[[#This Row],[Visitor]],'NHL Model'!$A$6:$B$38,2,FALSE)</f>
        <v>0.67193921242367816</v>
      </c>
      <c r="J1181">
        <f>($B$1+Table46[[#This Row],[Home Differential]])-Table46[[#This Row],[Away Differential]]</f>
        <v>-0.91758969357444253</v>
      </c>
      <c r="K1181" t="str">
        <f>IF(Table46[[#This Row],[HomeIce Differential]]&gt;0,Table46[[#This Row],[Home]],Table46[[#This Row],[Visitor]])</f>
        <v>Carolina Hurricanes</v>
      </c>
      <c r="L118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0.67445129806552884</v>
      </c>
      <c r="M1181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181" t="str">
        <f>IF(OR((NHL2025_26Results[[#This Row],[Winning Team]]="")),"-",IF(Table46[[#This Row],[Predicted Winner]]=NHL2025_26Results[[#This Row],[Winning Team]],"YES","NO"))</f>
        <v>-</v>
      </c>
      <c r="O1181" t="str">
        <f>IF(OR((NHL2025_26Results[[#This Row],[Winning Team]]="")),"-",IF(Table46[[#This Row],[Prob Winner]]=NHL2025_26Results[[#This Row],[Winning Team]],"YES","NO"))</f>
        <v>-</v>
      </c>
      <c r="P1181" t="str">
        <f>IF(Table46[[#This Row],[Locked Prediction]]&lt;&gt;Table46[[#This Row],[Prob Winner]], "Changed", "Same")</f>
        <v>Changed</v>
      </c>
      <c r="Q118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82" spans="4:17" x14ac:dyDescent="0.2">
      <c r="D1182" s="1">
        <v>46112</v>
      </c>
      <c r="E1182" s="2">
        <v>0.85416666666666663</v>
      </c>
      <c r="F1182" t="s">
        <v>10</v>
      </c>
      <c r="G1182">
        <f>VLOOKUP(Table46[[#This Row],[Home]],'NHL Model'!$A$6:$B$38,2,FALSE)</f>
        <v>0.30570968833820172</v>
      </c>
      <c r="H1182" t="s">
        <v>40</v>
      </c>
      <c r="I1182">
        <f>VLOOKUP(Table46[[#This Row],[Visitor]],'NHL Model'!$A$6:$B$38,2,FALSE)</f>
        <v>0.105105258369765</v>
      </c>
      <c r="J1182">
        <f>($B$1+Table46[[#This Row],[Home Differential]])-Table46[[#This Row],[Away Differential]]</f>
        <v>0.36317673963075514</v>
      </c>
      <c r="K1182" t="str">
        <f>IF(Table46[[#This Row],[HomeIce Differential]]&gt;0,Table46[[#This Row],[Home]],Table46[[#This Row],[Visitor]])</f>
        <v>Chicago Blackhawks</v>
      </c>
      <c r="L118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0.52195730185315659</v>
      </c>
      <c r="M1182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182" t="str">
        <f>IF(OR((NHL2025_26Results[[#This Row],[Winning Team]]="")),"-",IF(Table46[[#This Row],[Predicted Winner]]=NHL2025_26Results[[#This Row],[Winning Team]],"YES","NO"))</f>
        <v>-</v>
      </c>
      <c r="O1182" t="str">
        <f>IF(OR((NHL2025_26Results[[#This Row],[Winning Team]]="")),"-",IF(Table46[[#This Row],[Prob Winner]]=NHL2025_26Results[[#This Row],[Winning Team]],"YES","NO"))</f>
        <v>-</v>
      </c>
      <c r="P1182" t="str">
        <f>IF(Table46[[#This Row],[Locked Prediction]]&lt;&gt;Table46[[#This Row],[Prob Winner]], "Changed", "Same")</f>
        <v>Changed</v>
      </c>
      <c r="Q118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83" spans="4:17" x14ac:dyDescent="0.2">
      <c r="D1183" s="1">
        <v>46112</v>
      </c>
      <c r="E1183" s="2">
        <v>0.875</v>
      </c>
      <c r="F1183" t="s">
        <v>17</v>
      </c>
      <c r="G1183">
        <f>VLOOKUP(Table46[[#This Row],[Home]],'NHL Model'!$A$6:$B$38,2,FALSE)</f>
        <v>-0.61980804137564283</v>
      </c>
      <c r="H1183" t="s">
        <v>32</v>
      </c>
      <c r="I1183">
        <f>VLOOKUP(Table46[[#This Row],[Visitor]],'NHL Model'!$A$6:$B$38,2,FALSE)</f>
        <v>-0.361361309178443</v>
      </c>
      <c r="J1183">
        <f>($B$1+Table46[[#This Row],[Home Differential]])-Table46[[#This Row],[Away Differential]]</f>
        <v>-9.5874422534881432E-2</v>
      </c>
      <c r="K1183" t="str">
        <f>IF(Table46[[#This Row],[HomeIce Differential]]&gt;0,Table46[[#This Row],[Home]],Table46[[#This Row],[Visitor]])</f>
        <v>Seattle Kraken</v>
      </c>
      <c r="L118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0.43670666660921165</v>
      </c>
      <c r="M1183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1183" t="str">
        <f>IF(OR((NHL2025_26Results[[#This Row],[Winning Team]]="")),"-",IF(Table46[[#This Row],[Predicted Winner]]=NHL2025_26Results[[#This Row],[Winning Team]],"YES","NO"))</f>
        <v>-</v>
      </c>
      <c r="O1183" t="str">
        <f>IF(OR((NHL2025_26Results[[#This Row],[Winning Team]]="")),"-",IF(Table46[[#This Row],[Prob Winner]]=NHL2025_26Results[[#This Row],[Winning Team]],"YES","NO"))</f>
        <v>-</v>
      </c>
      <c r="P1183" t="str">
        <f>IF(Table46[[#This Row],[Locked Prediction]]&lt;&gt;Table46[[#This Row],[Prob Winner]], "Changed", "Same")</f>
        <v>Changed</v>
      </c>
      <c r="Q118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84" spans="4:17" x14ac:dyDescent="0.2">
      <c r="D1184" s="1">
        <v>46112</v>
      </c>
      <c r="E1184" s="2">
        <v>0.79166666666666663</v>
      </c>
      <c r="F1184" t="s">
        <v>11</v>
      </c>
      <c r="G1184">
        <f>VLOOKUP(Table46[[#This Row],[Home]],'NHL Model'!$A$6:$B$38,2,FALSE)</f>
        <v>-0.28105923893144158</v>
      </c>
      <c r="H1184" t="s">
        <v>36</v>
      </c>
      <c r="I1184">
        <f>VLOOKUP(Table46[[#This Row],[Visitor]],'NHL Model'!$A$6:$B$38,2,FALSE)</f>
        <v>-0.40651947573390851</v>
      </c>
      <c r="J1184">
        <f>($B$1+Table46[[#This Row],[Home Differential]])-Table46[[#This Row],[Away Differential]]</f>
        <v>0.28803254646478532</v>
      </c>
      <c r="K1184" t="str">
        <f>IF(Table46[[#This Row],[HomeIce Differential]]&gt;0,Table46[[#This Row],[Home]],Table46[[#This Row],[Visitor]])</f>
        <v>Florida Panthers</v>
      </c>
      <c r="L118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0.63000097617670792</v>
      </c>
      <c r="M1184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1184" t="str">
        <f>IF(OR((NHL2025_26Results[[#This Row],[Winning Team]]="")),"-",IF(Table46[[#This Row],[Predicted Winner]]=NHL2025_26Results[[#This Row],[Winning Team]],"YES","NO"))</f>
        <v>-</v>
      </c>
      <c r="O1184" t="str">
        <f>IF(OR((NHL2025_26Results[[#This Row],[Winning Team]]="")),"-",IF(Table46[[#This Row],[Prob Winner]]=NHL2025_26Results[[#This Row],[Winning Team]],"YES","NO"))</f>
        <v>-</v>
      </c>
      <c r="P1184" t="str">
        <f>IF(Table46[[#This Row],[Locked Prediction]]&lt;&gt;Table46[[#This Row],[Prob Winner]], "Changed", "Same")</f>
        <v>Changed</v>
      </c>
      <c r="Q118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85" spans="4:17" x14ac:dyDescent="0.2">
      <c r="D1185" s="1">
        <v>46112</v>
      </c>
      <c r="E1185" s="2">
        <v>0.79166666666666663</v>
      </c>
      <c r="F1185" t="s">
        <v>15</v>
      </c>
      <c r="G1185">
        <f>VLOOKUP(Table46[[#This Row],[Home]],'NHL Model'!$A$6:$B$38,2,FALSE)</f>
        <v>-0.30719665303039001</v>
      </c>
      <c r="H1185" t="s">
        <v>24</v>
      </c>
      <c r="I1185">
        <f>VLOOKUP(Table46[[#This Row],[Visitor]],'NHL Model'!$A$6:$B$38,2,FALSE)</f>
        <v>0.559441163373953</v>
      </c>
      <c r="J1185">
        <f>($B$1+Table46[[#This Row],[Home Differential]])-Table46[[#This Row],[Away Differential]]</f>
        <v>-0.70406550674202462</v>
      </c>
      <c r="K1185" t="str">
        <f>IF(Table46[[#This Row],[HomeIce Differential]]&gt;0,Table46[[#This Row],[Home]],Table46[[#This Row],[Visitor]])</f>
        <v>New Jersey Devils</v>
      </c>
      <c r="L118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0.61989947696862546</v>
      </c>
      <c r="M1185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185" t="str">
        <f>IF(OR((NHL2025_26Results[[#This Row],[Winning Team]]="")),"-",IF(Table46[[#This Row],[Predicted Winner]]=NHL2025_26Results[[#This Row],[Winning Team]],"YES","NO"))</f>
        <v>-</v>
      </c>
      <c r="O1185" t="str">
        <f>IF(OR((NHL2025_26Results[[#This Row],[Winning Team]]="")),"-",IF(Table46[[#This Row],[Prob Winner]]=NHL2025_26Results[[#This Row],[Winning Team]],"YES","NO"))</f>
        <v>-</v>
      </c>
      <c r="P1185" t="str">
        <f>IF(Table46[[#This Row],[Locked Prediction]]&lt;&gt;Table46[[#This Row],[Prob Winner]], "Changed", "Same")</f>
        <v>Changed</v>
      </c>
      <c r="Q118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86" spans="4:17" x14ac:dyDescent="0.2">
      <c r="D1186" s="1">
        <v>46112</v>
      </c>
      <c r="E1186" s="2">
        <v>0.79166666666666663</v>
      </c>
      <c r="F1186" t="s">
        <v>14</v>
      </c>
      <c r="G1186">
        <f>VLOOKUP(Table46[[#This Row],[Home]],'NHL Model'!$A$6:$B$38,2,FALSE)</f>
        <v>0.26289091192875702</v>
      </c>
      <c r="H1186" t="s">
        <v>26</v>
      </c>
      <c r="I1186">
        <f>VLOOKUP(Table46[[#This Row],[Visitor]],'NHL Model'!$A$6:$B$38,2,FALSE)</f>
        <v>-0.513643833119658</v>
      </c>
      <c r="J1186">
        <f>($B$1+Table46[[#This Row],[Home Differential]])-Table46[[#This Row],[Away Differential]]</f>
        <v>0.93910705471073341</v>
      </c>
      <c r="K1186" t="str">
        <f>IF(Table46[[#This Row],[HomeIce Differential]]&gt;0,Table46[[#This Row],[Home]],Table46[[#This Row],[Visitor]])</f>
        <v>Pittsburgh Penguins</v>
      </c>
      <c r="L118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0.65423694118558429</v>
      </c>
      <c r="M1186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186" t="str">
        <f>IF(OR((NHL2025_26Results[[#This Row],[Winning Team]]="")),"-",IF(Table46[[#This Row],[Predicted Winner]]=NHL2025_26Results[[#This Row],[Winning Team]],"YES","NO"))</f>
        <v>-</v>
      </c>
      <c r="O1186" t="str">
        <f>IF(OR((NHL2025_26Results[[#This Row],[Winning Team]]="")),"-",IF(Table46[[#This Row],[Prob Winner]]=NHL2025_26Results[[#This Row],[Winning Team]],"YES","NO"))</f>
        <v>-</v>
      </c>
      <c r="P1186" t="str">
        <f>IF(Table46[[#This Row],[Locked Prediction]]&lt;&gt;Table46[[#This Row],[Prob Winner]], "Changed", "Same")</f>
        <v>Changed</v>
      </c>
      <c r="Q118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87" spans="4:17" x14ac:dyDescent="0.2">
      <c r="D1187" s="1">
        <v>46112</v>
      </c>
      <c r="E1187" s="2">
        <v>0.79166666666666663</v>
      </c>
      <c r="F1187" t="s">
        <v>37</v>
      </c>
      <c r="G1187">
        <f>VLOOKUP(Table46[[#This Row],[Home]],'NHL Model'!$A$6:$B$38,2,FALSE)</f>
        <v>-0.11309445867623392</v>
      </c>
      <c r="H1187" t="s">
        <v>18</v>
      </c>
      <c r="I1187">
        <f>VLOOKUP(Table46[[#This Row],[Visitor]],'NHL Model'!$A$6:$B$38,2,FALSE)</f>
        <v>-0.52437726201848234</v>
      </c>
      <c r="J1187">
        <f>($B$1+Table46[[#This Row],[Home Differential]])-Table46[[#This Row],[Away Differential]]</f>
        <v>0.57385511300456682</v>
      </c>
      <c r="K1187" t="str">
        <f>IF(Table46[[#This Row],[HomeIce Differential]]&gt;0,Table46[[#This Row],[Home]],Table46[[#This Row],[Visitor]])</f>
        <v>Tampa Bay Lightning</v>
      </c>
      <c r="L118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0.53979556465993905</v>
      </c>
      <c r="M1187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187" t="str">
        <f>IF(OR((NHL2025_26Results[[#This Row],[Winning Team]]="")),"-",IF(Table46[[#This Row],[Predicted Winner]]=NHL2025_26Results[[#This Row],[Winning Team]],"YES","NO"))</f>
        <v>-</v>
      </c>
      <c r="O1187" t="str">
        <f>IF(OR((NHL2025_26Results[[#This Row],[Winning Team]]="")),"-",IF(Table46[[#This Row],[Prob Winner]]=NHL2025_26Results[[#This Row],[Winning Team]],"YES","NO"))</f>
        <v>-</v>
      </c>
      <c r="P1187" t="str">
        <f>IF(Table46[[#This Row],[Locked Prediction]]&lt;&gt;Table46[[#This Row],[Prob Winner]], "Changed", "Same")</f>
        <v>Changed</v>
      </c>
      <c r="Q118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88" spans="4:17" x14ac:dyDescent="0.2">
      <c r="D1188" s="1">
        <v>46112</v>
      </c>
      <c r="E1188" s="2">
        <v>0.79166666666666663</v>
      </c>
      <c r="F1188" t="s">
        <v>22</v>
      </c>
      <c r="G1188">
        <f>VLOOKUP(Table46[[#This Row],[Home]],'NHL Model'!$A$6:$B$38,2,FALSE)</f>
        <v>-6.1308839486784707E-2</v>
      </c>
      <c r="H1188" t="s">
        <v>27</v>
      </c>
      <c r="I1188">
        <f>VLOOKUP(Table46[[#This Row],[Visitor]],'NHL Model'!$A$6:$B$38,2,FALSE)</f>
        <v>-0.51358590497437617</v>
      </c>
      <c r="J1188">
        <f>($B$1+Table46[[#This Row],[Home Differential]])-Table46[[#This Row],[Away Differential]]</f>
        <v>0.61484937514990989</v>
      </c>
      <c r="K1188" t="str">
        <f>IF(Table46[[#This Row],[HomeIce Differential]]&gt;0,Table46[[#This Row],[Home]],Table46[[#This Row],[Visitor]])</f>
        <v>Washington Capitals</v>
      </c>
      <c r="L118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0.62172516794175547</v>
      </c>
      <c r="M1188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1188" t="str">
        <f>IF(OR((NHL2025_26Results[[#This Row],[Winning Team]]="")),"-",IF(Table46[[#This Row],[Predicted Winner]]=NHL2025_26Results[[#This Row],[Winning Team]],"YES","NO"))</f>
        <v>-</v>
      </c>
      <c r="O1188" t="str">
        <f>IF(OR((NHL2025_26Results[[#This Row],[Winning Team]]="")),"-",IF(Table46[[#This Row],[Prob Winner]]=NHL2025_26Results[[#This Row],[Winning Team]],"YES","NO"))</f>
        <v>-</v>
      </c>
      <c r="P1188" t="str">
        <f>IF(Table46[[#This Row],[Locked Prediction]]&lt;&gt;Table46[[#This Row],[Prob Winner]], "Changed", "Same")</f>
        <v>Changed</v>
      </c>
      <c r="Q118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89" spans="4:17" x14ac:dyDescent="0.2">
      <c r="D1189" s="1">
        <v>46113</v>
      </c>
      <c r="E1189" s="2">
        <v>0.85416666666666663</v>
      </c>
      <c r="F1189" t="s">
        <v>12</v>
      </c>
      <c r="G1189">
        <f>VLOOKUP(Table46[[#This Row],[Home]],'NHL Model'!$A$6:$B$38,2,FALSE)</f>
        <v>1.5475013591489768</v>
      </c>
      <c r="H1189" t="s">
        <v>38</v>
      </c>
      <c r="I1189">
        <f>VLOOKUP(Table46[[#This Row],[Visitor]],'NHL Model'!$A$6:$B$38,2,FALSE)</f>
        <v>-0.6902088310934803</v>
      </c>
      <c r="J1189">
        <f>($B$1+Table46[[#This Row],[Home Differential]])-Table46[[#This Row],[Away Differential]]</f>
        <v>2.4002824999047756</v>
      </c>
      <c r="K1189" t="str">
        <f>IF(Table46[[#This Row],[HomeIce Differential]]&gt;0,Table46[[#This Row],[Home]],Table46[[#This Row],[Visitor]])</f>
        <v>Colorado Avalanche</v>
      </c>
      <c r="L118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0.90682942416185042</v>
      </c>
      <c r="M1189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189" t="str">
        <f>IF(OR((NHL2025_26Results[[#This Row],[Winning Team]]="")),"-",IF(Table46[[#This Row],[Predicted Winner]]=NHL2025_26Results[[#This Row],[Winning Team]],"YES","NO"))</f>
        <v>-</v>
      </c>
      <c r="O1189" t="str">
        <f>IF(OR((NHL2025_26Results[[#This Row],[Winning Team]]="")),"-",IF(Table46[[#This Row],[Prob Winner]]=NHL2025_26Results[[#This Row],[Winning Team]],"YES","NO"))</f>
        <v>-</v>
      </c>
      <c r="P1189" t="str">
        <f>IF(Table46[[#This Row],[Locked Prediction]]&lt;&gt;Table46[[#This Row],[Prob Winner]], "Changed", "Same")</f>
        <v>Changed</v>
      </c>
      <c r="Q118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90" spans="4:17" x14ac:dyDescent="0.2">
      <c r="D1190" s="1">
        <v>46113</v>
      </c>
      <c r="E1190" s="2">
        <v>0.875</v>
      </c>
      <c r="F1190" t="s">
        <v>13</v>
      </c>
      <c r="G1190">
        <f>VLOOKUP(Table46[[#This Row],[Home]],'NHL Model'!$A$6:$B$38,2,FALSE)</f>
        <v>-7.5459708298993802E-2</v>
      </c>
      <c r="H1190" t="s">
        <v>35</v>
      </c>
      <c r="I1190">
        <f>VLOOKUP(Table46[[#This Row],[Visitor]],'NHL Model'!$A$6:$B$38,2,FALSE)</f>
        <v>-1.6211574240381006</v>
      </c>
      <c r="J1190">
        <f>($B$1+Table46[[#This Row],[Home Differential]])-Table46[[#This Row],[Away Differential]]</f>
        <v>1.7082700254014251</v>
      </c>
      <c r="K1190" t="str">
        <f>IF(Table46[[#This Row],[HomeIce Differential]]&gt;0,Table46[[#This Row],[Home]],Table46[[#This Row],[Visitor]])</f>
        <v>Los Angeles Kings</v>
      </c>
      <c r="L119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0.76706155419245481</v>
      </c>
      <c r="M1190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190" t="str">
        <f>IF(OR((NHL2025_26Results[[#This Row],[Winning Team]]="")),"-",IF(Table46[[#This Row],[Predicted Winner]]=NHL2025_26Results[[#This Row],[Winning Team]],"YES","NO"))</f>
        <v>-</v>
      </c>
      <c r="O1190" t="str">
        <f>IF(OR((NHL2025_26Results[[#This Row],[Winning Team]]="")),"-",IF(Table46[[#This Row],[Prob Winner]]=NHL2025_26Results[[#This Row],[Winning Team]],"YES","NO"))</f>
        <v>-</v>
      </c>
      <c r="P1190" t="str">
        <f>IF(Table46[[#This Row],[Locked Prediction]]&lt;&gt;Table46[[#This Row],[Prob Winner]], "Changed", "Same")</f>
        <v>Changed</v>
      </c>
      <c r="Q119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91" spans="4:17" x14ac:dyDescent="0.2">
      <c r="D1191" s="1">
        <v>46113</v>
      </c>
      <c r="E1191" s="2">
        <v>0.91666666666666663</v>
      </c>
      <c r="F1191" t="s">
        <v>33</v>
      </c>
      <c r="G1191">
        <f>VLOOKUP(Table46[[#This Row],[Home]],'NHL Model'!$A$6:$B$38,2,FALSE)</f>
        <v>-0.39418177254008485</v>
      </c>
      <c r="H1191" t="s">
        <v>31</v>
      </c>
      <c r="I1191">
        <f>VLOOKUP(Table46[[#This Row],[Visitor]],'NHL Model'!$A$6:$B$38,2,FALSE)</f>
        <v>0.51775546328552802</v>
      </c>
      <c r="J1191">
        <f>($B$1+Table46[[#This Row],[Home Differential]])-Table46[[#This Row],[Away Differential]]</f>
        <v>-0.74936492616329442</v>
      </c>
      <c r="K1191" t="str">
        <f>IF(Table46[[#This Row],[HomeIce Differential]]&gt;0,Table46[[#This Row],[Home]],Table46[[#This Row],[Visitor]])</f>
        <v>Anaheim Ducks</v>
      </c>
      <c r="L119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0.58037407207759928</v>
      </c>
      <c r="M1191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191" t="str">
        <f>IF(OR((NHL2025_26Results[[#This Row],[Winning Team]]="")),"-",IF(Table46[[#This Row],[Predicted Winner]]=NHL2025_26Results[[#This Row],[Winning Team]],"YES","NO"))</f>
        <v>-</v>
      </c>
      <c r="O1191" t="str">
        <f>IF(OR((NHL2025_26Results[[#This Row],[Winning Team]]="")),"-",IF(Table46[[#This Row],[Prob Winner]]=NHL2025_26Results[[#This Row],[Winning Team]],"YES","NO"))</f>
        <v>-</v>
      </c>
      <c r="P1191" t="str">
        <f>IF(Table46[[#This Row],[Locked Prediction]]&lt;&gt;Table46[[#This Row],[Prob Winner]], "Changed", "Same")</f>
        <v>Changed</v>
      </c>
      <c r="Q119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92" spans="4:17" x14ac:dyDescent="0.2">
      <c r="D1192" s="1">
        <v>46114</v>
      </c>
      <c r="E1192" s="2">
        <v>0.79166666666666663</v>
      </c>
      <c r="F1192" t="s">
        <v>25</v>
      </c>
      <c r="G1192">
        <f>VLOOKUP(Table46[[#This Row],[Home]],'NHL Model'!$A$6:$B$38,2,FALSE)</f>
        <v>0.67193921242367816</v>
      </c>
      <c r="H1192" t="s">
        <v>28</v>
      </c>
      <c r="I1192">
        <f>VLOOKUP(Table46[[#This Row],[Visitor]],'NHL Model'!$A$6:$B$38,2,FALSE)</f>
        <v>-0.40822279081308277</v>
      </c>
      <c r="J1192">
        <f>($B$1+Table46[[#This Row],[Home Differential]])-Table46[[#This Row],[Away Differential]]</f>
        <v>1.2427343128990793</v>
      </c>
      <c r="K1192" t="str">
        <f>IF(Table46[[#This Row],[HomeIce Differential]]&gt;0,Table46[[#This Row],[Home]],Table46[[#This Row],[Visitor]])</f>
        <v>Carolina Hurricanes</v>
      </c>
      <c r="L119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0.73661158133875748</v>
      </c>
      <c r="M1192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192" t="str">
        <f>IF(OR((NHL2025_26Results[[#This Row],[Winning Team]]="")),"-",IF(Table46[[#This Row],[Predicted Winner]]=NHL2025_26Results[[#This Row],[Winning Team]],"YES","NO"))</f>
        <v>-</v>
      </c>
      <c r="O1192" t="str">
        <f>IF(OR((NHL2025_26Results[[#This Row],[Winning Team]]="")),"-",IF(Table46[[#This Row],[Prob Winner]]=NHL2025_26Results[[#This Row],[Winning Team]],"YES","NO"))</f>
        <v>-</v>
      </c>
      <c r="P1192" t="str">
        <f>IF(Table46[[#This Row],[Locked Prediction]]&lt;&gt;Table46[[#This Row],[Prob Winner]], "Changed", "Same")</f>
        <v>Changed</v>
      </c>
      <c r="Q119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93" spans="4:17" x14ac:dyDescent="0.2">
      <c r="D1193" s="1">
        <v>46114</v>
      </c>
      <c r="E1193" s="2">
        <v>0.83333333333333337</v>
      </c>
      <c r="F1193" t="s">
        <v>39</v>
      </c>
      <c r="G1193">
        <f>VLOOKUP(Table46[[#This Row],[Home]],'NHL Model'!$A$6:$B$38,2,FALSE)</f>
        <v>0.19809534061227302</v>
      </c>
      <c r="H1193" t="s">
        <v>40</v>
      </c>
      <c r="I1193">
        <f>VLOOKUP(Table46[[#This Row],[Visitor]],'NHL Model'!$A$6:$B$38,2,FALSE)</f>
        <v>0.105105258369765</v>
      </c>
      <c r="J1193">
        <f>($B$1+Table46[[#This Row],[Home Differential]])-Table46[[#This Row],[Away Differential]]</f>
        <v>0.25556239190482644</v>
      </c>
      <c r="K1193" t="str">
        <f>IF(Table46[[#This Row],[HomeIce Differential]]&gt;0,Table46[[#This Row],[Home]],Table46[[#This Row],[Visitor]])</f>
        <v>Dallas Stars</v>
      </c>
      <c r="L119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0.53396909916827406</v>
      </c>
      <c r="M1193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193" t="str">
        <f>IF(OR((NHL2025_26Results[[#This Row],[Winning Team]]="")),"-",IF(Table46[[#This Row],[Predicted Winner]]=NHL2025_26Results[[#This Row],[Winning Team]],"YES","NO"))</f>
        <v>-</v>
      </c>
      <c r="O1193" t="str">
        <f>IF(OR((NHL2025_26Results[[#This Row],[Winning Team]]="")),"-",IF(Table46[[#This Row],[Prob Winner]]=NHL2025_26Results[[#This Row],[Winning Team]],"YES","NO"))</f>
        <v>-</v>
      </c>
      <c r="P1193" t="str">
        <f>IF(Table46[[#This Row],[Locked Prediction]]&lt;&gt;Table46[[#This Row],[Prob Winner]], "Changed", "Same")</f>
        <v>Changed</v>
      </c>
      <c r="Q119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94" spans="4:17" x14ac:dyDescent="0.2">
      <c r="D1194" s="1">
        <v>46114</v>
      </c>
      <c r="E1194" s="2">
        <v>0.875</v>
      </c>
      <c r="F1194" t="s">
        <v>17</v>
      </c>
      <c r="G1194">
        <f>VLOOKUP(Table46[[#This Row],[Home]],'NHL Model'!$A$6:$B$38,2,FALSE)</f>
        <v>-0.61980804137564283</v>
      </c>
      <c r="H1194" t="s">
        <v>10</v>
      </c>
      <c r="I1194">
        <f>VLOOKUP(Table46[[#This Row],[Visitor]],'NHL Model'!$A$6:$B$38,2,FALSE)</f>
        <v>0.30570968833820172</v>
      </c>
      <c r="J1194">
        <f>($B$1+Table46[[#This Row],[Home Differential]])-Table46[[#This Row],[Away Differential]]</f>
        <v>-0.76294542005152621</v>
      </c>
      <c r="K1194" t="str">
        <f>IF(Table46[[#This Row],[HomeIce Differential]]&gt;0,Table46[[#This Row],[Home]],Table46[[#This Row],[Visitor]])</f>
        <v>Chicago Blackhawks</v>
      </c>
      <c r="L119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0.54585439150489601</v>
      </c>
      <c r="M1194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194" t="str">
        <f>IF(OR((NHL2025_26Results[[#This Row],[Winning Team]]="")),"-",IF(Table46[[#This Row],[Predicted Winner]]=NHL2025_26Results[[#This Row],[Winning Team]],"YES","NO"))</f>
        <v>-</v>
      </c>
      <c r="O1194" t="str">
        <f>IF(OR((NHL2025_26Results[[#This Row],[Winning Team]]="")),"-",IF(Table46[[#This Row],[Prob Winner]]=NHL2025_26Results[[#This Row],[Winning Team]],"YES","NO"))</f>
        <v>-</v>
      </c>
      <c r="P1194" t="str">
        <f>IF(Table46[[#This Row],[Locked Prediction]]&lt;&gt;Table46[[#This Row],[Prob Winner]], "Changed", "Same")</f>
        <v>Changed</v>
      </c>
      <c r="Q119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95" spans="4:17" x14ac:dyDescent="0.2">
      <c r="D1195" s="1">
        <v>46114</v>
      </c>
      <c r="E1195" s="2">
        <v>0.79166666666666663</v>
      </c>
      <c r="F1195" t="s">
        <v>11</v>
      </c>
      <c r="G1195">
        <f>VLOOKUP(Table46[[#This Row],[Home]],'NHL Model'!$A$6:$B$38,2,FALSE)</f>
        <v>-0.28105923893144158</v>
      </c>
      <c r="H1195" t="s">
        <v>21</v>
      </c>
      <c r="I1195">
        <f>VLOOKUP(Table46[[#This Row],[Visitor]],'NHL Model'!$A$6:$B$38,2,FALSE)</f>
        <v>4.029141914856392E-2</v>
      </c>
      <c r="J1195">
        <f>($B$1+Table46[[#This Row],[Home Differential]])-Table46[[#This Row],[Away Differential]]</f>
        <v>-0.15877834841768712</v>
      </c>
      <c r="K1195" t="str">
        <f>IF(Table46[[#This Row],[HomeIce Differential]]&gt;0,Table46[[#This Row],[Home]],Table46[[#This Row],[Visitor]])</f>
        <v>Boston Bruins</v>
      </c>
      <c r="L119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0.42938868395521129</v>
      </c>
      <c r="M1195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1195" t="str">
        <f>IF(OR((NHL2025_26Results[[#This Row],[Winning Team]]="")),"-",IF(Table46[[#This Row],[Predicted Winner]]=NHL2025_26Results[[#This Row],[Winning Team]],"YES","NO"))</f>
        <v>-</v>
      </c>
      <c r="O1195" t="str">
        <f>IF(OR((NHL2025_26Results[[#This Row],[Winning Team]]="")),"-",IF(Table46[[#This Row],[Prob Winner]]=NHL2025_26Results[[#This Row],[Winning Team]],"YES","NO"))</f>
        <v>-</v>
      </c>
      <c r="P1195" t="str">
        <f>IF(Table46[[#This Row],[Locked Prediction]]&lt;&gt;Table46[[#This Row],[Prob Winner]], "Changed", "Same")</f>
        <v>Changed</v>
      </c>
      <c r="Q119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96" spans="4:17" x14ac:dyDescent="0.2">
      <c r="D1196" s="1">
        <v>46114</v>
      </c>
      <c r="E1196" s="2">
        <v>0.9375</v>
      </c>
      <c r="F1196" t="s">
        <v>13</v>
      </c>
      <c r="G1196">
        <f>VLOOKUP(Table46[[#This Row],[Home]],'NHL Model'!$A$6:$B$38,2,FALSE)</f>
        <v>-7.5459708298993802E-2</v>
      </c>
      <c r="H1196" t="s">
        <v>29</v>
      </c>
      <c r="I1196">
        <f>VLOOKUP(Table46[[#This Row],[Visitor]],'NHL Model'!$A$6:$B$38,2,FALSE)</f>
        <v>-1.3516250707060606</v>
      </c>
      <c r="J1196">
        <f>($B$1+Table46[[#This Row],[Home Differential]])-Table46[[#This Row],[Away Differential]]</f>
        <v>1.4387376720693852</v>
      </c>
      <c r="K1196" t="str">
        <f>IF(Table46[[#This Row],[HomeIce Differential]]&gt;0,Table46[[#This Row],[Home]],Table46[[#This Row],[Visitor]])</f>
        <v>Los Angeles Kings</v>
      </c>
      <c r="L119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0.7312355816338475</v>
      </c>
      <c r="M1196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196" t="str">
        <f>IF(OR((NHL2025_26Results[[#This Row],[Winning Team]]="")),"-",IF(Table46[[#This Row],[Predicted Winner]]=NHL2025_26Results[[#This Row],[Winning Team]],"YES","NO"))</f>
        <v>-</v>
      </c>
      <c r="O1196" t="str">
        <f>IF(OR((NHL2025_26Results[[#This Row],[Winning Team]]="")),"-",IF(Table46[[#This Row],[Prob Winner]]=NHL2025_26Results[[#This Row],[Winning Team]],"YES","NO"))</f>
        <v>-</v>
      </c>
      <c r="P1196" t="str">
        <f>IF(Table46[[#This Row],[Locked Prediction]]&lt;&gt;Table46[[#This Row],[Prob Winner]], "Changed", "Same")</f>
        <v>Changed</v>
      </c>
      <c r="Q119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97" spans="4:17" x14ac:dyDescent="0.2">
      <c r="D1197" s="1">
        <v>46114</v>
      </c>
      <c r="E1197" s="2">
        <v>0.83333333333333337</v>
      </c>
      <c r="F1197" t="s">
        <v>34</v>
      </c>
      <c r="G1197">
        <f>VLOOKUP(Table46[[#This Row],[Home]],'NHL Model'!$A$6:$B$38,2,FALSE)</f>
        <v>-0.53650300840565446</v>
      </c>
      <c r="H1197" t="s">
        <v>38</v>
      </c>
      <c r="I1197">
        <f>VLOOKUP(Table46[[#This Row],[Visitor]],'NHL Model'!$A$6:$B$38,2,FALSE)</f>
        <v>-0.6902088310934803</v>
      </c>
      <c r="J1197">
        <f>($B$1+Table46[[#This Row],[Home Differential]])-Table46[[#This Row],[Away Differential]]</f>
        <v>0.31627813235014424</v>
      </c>
      <c r="K1197" t="str">
        <f>IF(Table46[[#This Row],[HomeIce Differential]]&gt;0,Table46[[#This Row],[Home]],Table46[[#This Row],[Visitor]])</f>
        <v>Minnesota Wild</v>
      </c>
      <c r="L119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0.53952681223826371</v>
      </c>
      <c r="M1197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1197" t="str">
        <f>IF(OR((NHL2025_26Results[[#This Row],[Winning Team]]="")),"-",IF(Table46[[#This Row],[Predicted Winner]]=NHL2025_26Results[[#This Row],[Winning Team]],"YES","NO"))</f>
        <v>-</v>
      </c>
      <c r="O1197" t="str">
        <f>IF(OR((NHL2025_26Results[[#This Row],[Winning Team]]="")),"-",IF(Table46[[#This Row],[Prob Winner]]=NHL2025_26Results[[#This Row],[Winning Team]],"YES","NO"))</f>
        <v>-</v>
      </c>
      <c r="P1197" t="str">
        <f>IF(Table46[[#This Row],[Locked Prediction]]&lt;&gt;Table46[[#This Row],[Prob Winner]], "Changed", "Same")</f>
        <v>Changed</v>
      </c>
      <c r="Q119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98" spans="4:17" x14ac:dyDescent="0.2">
      <c r="D1198" s="1">
        <v>46114</v>
      </c>
      <c r="E1198" s="2">
        <v>0.8125</v>
      </c>
      <c r="F1198" t="s">
        <v>24</v>
      </c>
      <c r="G1198">
        <f>VLOOKUP(Table46[[#This Row],[Home]],'NHL Model'!$A$6:$B$38,2,FALSE)</f>
        <v>0.559441163373953</v>
      </c>
      <c r="H1198" t="s">
        <v>22</v>
      </c>
      <c r="I1198">
        <f>VLOOKUP(Table46[[#This Row],[Visitor]],'NHL Model'!$A$6:$B$38,2,FALSE)</f>
        <v>-6.1308839486784707E-2</v>
      </c>
      <c r="J1198">
        <f>($B$1+Table46[[#This Row],[Home Differential]])-Table46[[#This Row],[Away Differential]]</f>
        <v>0.78332231252305606</v>
      </c>
      <c r="K1198" t="str">
        <f>IF(Table46[[#This Row],[HomeIce Differential]]&gt;0,Table46[[#This Row],[Home]],Table46[[#This Row],[Visitor]])</f>
        <v>New Jersey Devils</v>
      </c>
      <c r="L119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0.75954913496882992</v>
      </c>
      <c r="M1198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198" t="str">
        <f>IF(OR((NHL2025_26Results[[#This Row],[Winning Team]]="")),"-",IF(Table46[[#This Row],[Predicted Winner]]=NHL2025_26Results[[#This Row],[Winning Team]],"YES","NO"))</f>
        <v>-</v>
      </c>
      <c r="O1198" t="str">
        <f>IF(OR((NHL2025_26Results[[#This Row],[Winning Team]]="")),"-",IF(Table46[[#This Row],[Prob Winner]]=NHL2025_26Results[[#This Row],[Winning Team]],"YES","NO"))</f>
        <v>-</v>
      </c>
      <c r="P1198" t="str">
        <f>IF(Table46[[#This Row],[Locked Prediction]]&lt;&gt;Table46[[#This Row],[Prob Winner]], "Changed", "Same")</f>
        <v>Changed</v>
      </c>
      <c r="Q119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199" spans="4:17" x14ac:dyDescent="0.2">
      <c r="D1199" s="1">
        <v>46114</v>
      </c>
      <c r="E1199" s="2">
        <v>0.79166666666666663</v>
      </c>
      <c r="F1199" t="s">
        <v>15</v>
      </c>
      <c r="G1199">
        <f>VLOOKUP(Table46[[#This Row],[Home]],'NHL Model'!$A$6:$B$38,2,FALSE)</f>
        <v>-0.30719665303039001</v>
      </c>
      <c r="H1199" t="s">
        <v>18</v>
      </c>
      <c r="I1199">
        <f>VLOOKUP(Table46[[#This Row],[Visitor]],'NHL Model'!$A$6:$B$38,2,FALSE)</f>
        <v>-0.52437726201848234</v>
      </c>
      <c r="J1199">
        <f>($B$1+Table46[[#This Row],[Home Differential]])-Table46[[#This Row],[Away Differential]]</f>
        <v>0.37975291865041072</v>
      </c>
      <c r="K1199" t="str">
        <f>IF(Table46[[#This Row],[HomeIce Differential]]&gt;0,Table46[[#This Row],[Home]],Table46[[#This Row],[Visitor]])</f>
        <v>New York Rangers</v>
      </c>
      <c r="L119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0.51399569387436816</v>
      </c>
      <c r="M1199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199" t="str">
        <f>IF(OR((NHL2025_26Results[[#This Row],[Winning Team]]="")),"-",IF(Table46[[#This Row],[Predicted Winner]]=NHL2025_26Results[[#This Row],[Winning Team]],"YES","NO"))</f>
        <v>-</v>
      </c>
      <c r="O1199" t="str">
        <f>IF(OR((NHL2025_26Results[[#This Row],[Winning Team]]="")),"-",IF(Table46[[#This Row],[Prob Winner]]=NHL2025_26Results[[#This Row],[Winning Team]],"YES","NO"))</f>
        <v>-</v>
      </c>
      <c r="P1199" t="str">
        <f>IF(Table46[[#This Row],[Locked Prediction]]&lt;&gt;Table46[[#This Row],[Prob Winner]], "Changed", "Same")</f>
        <v>Changed</v>
      </c>
      <c r="Q119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00" spans="4:17" x14ac:dyDescent="0.2">
      <c r="D1200" s="1">
        <v>46114</v>
      </c>
      <c r="E1200" s="2">
        <v>0.79166666666666663</v>
      </c>
      <c r="F1200" t="s">
        <v>36</v>
      </c>
      <c r="G1200">
        <f>VLOOKUP(Table46[[#This Row],[Home]],'NHL Model'!$A$6:$B$38,2,FALSE)</f>
        <v>-0.40651947573390851</v>
      </c>
      <c r="H1200" t="s">
        <v>23</v>
      </c>
      <c r="I1200">
        <f>VLOOKUP(Table46[[#This Row],[Visitor]],'NHL Model'!$A$6:$B$38,2,FALSE)</f>
        <v>-0.8683412362501769</v>
      </c>
      <c r="J1200">
        <f>($B$1+Table46[[#This Row],[Home Differential]])-Table46[[#This Row],[Away Differential]]</f>
        <v>0.62439407017858684</v>
      </c>
      <c r="K1200" t="str">
        <f>IF(Table46[[#This Row],[HomeIce Differential]]&gt;0,Table46[[#This Row],[Home]],Table46[[#This Row],[Visitor]])</f>
        <v>Ottawa Senators</v>
      </c>
      <c r="L120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0.6254893185243191</v>
      </c>
      <c r="M1200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1200" t="str">
        <f>IF(OR((NHL2025_26Results[[#This Row],[Winning Team]]="")),"-",IF(Table46[[#This Row],[Predicted Winner]]=NHL2025_26Results[[#This Row],[Winning Team]],"YES","NO"))</f>
        <v>-</v>
      </c>
      <c r="O1200" t="str">
        <f>IF(OR((NHL2025_26Results[[#This Row],[Winning Team]]="")),"-",IF(Table46[[#This Row],[Prob Winner]]=NHL2025_26Results[[#This Row],[Winning Team]],"YES","NO"))</f>
        <v>-</v>
      </c>
      <c r="P1200" t="str">
        <f>IF(Table46[[#This Row],[Locked Prediction]]&lt;&gt;Table46[[#This Row],[Prob Winner]], "Changed", "Same")</f>
        <v>Changed</v>
      </c>
      <c r="Q120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01" spans="4:17" x14ac:dyDescent="0.2">
      <c r="D1201" s="1">
        <v>46114</v>
      </c>
      <c r="E1201" s="2">
        <v>0.79166666666666663</v>
      </c>
      <c r="F1201" t="s">
        <v>27</v>
      </c>
      <c r="G1201">
        <f>VLOOKUP(Table46[[#This Row],[Home]],'NHL Model'!$A$6:$B$38,2,FALSE)</f>
        <v>-0.51358590497437617</v>
      </c>
      <c r="H1201" t="s">
        <v>26</v>
      </c>
      <c r="I1201">
        <f>VLOOKUP(Table46[[#This Row],[Visitor]],'NHL Model'!$A$6:$B$38,2,FALSE)</f>
        <v>-0.513643833119658</v>
      </c>
      <c r="J1201">
        <f>($B$1+Table46[[#This Row],[Home Differential]])-Table46[[#This Row],[Away Differential]]</f>
        <v>0.16263023780760022</v>
      </c>
      <c r="K1201" t="str">
        <f>IF(Table46[[#This Row],[HomeIce Differential]]&gt;0,Table46[[#This Row],[Home]],Table46[[#This Row],[Visitor]])</f>
        <v>Philadelphia Flyers</v>
      </c>
      <c r="L120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0.51702949363318285</v>
      </c>
      <c r="M1201" s="11" t="str">
        <f>IF(Table46[[#This Row],[Strength of Win]]&gt; 0.5,Table46[[#This Row],[Predicted Winner]], IF(Table46[[#This Row],[Home]]=Table46[[#This Row],[Predicted Winner]],Table46[[#This Row],[Visitor]],Table46[[#This Row],[Home]]))</f>
        <v>Philadelphia Flyers</v>
      </c>
      <c r="N1201" t="str">
        <f>IF(OR((NHL2025_26Results[[#This Row],[Winning Team]]="")),"-",IF(Table46[[#This Row],[Predicted Winner]]=NHL2025_26Results[[#This Row],[Winning Team]],"YES","NO"))</f>
        <v>-</v>
      </c>
      <c r="O1201" t="str">
        <f>IF(OR((NHL2025_26Results[[#This Row],[Winning Team]]="")),"-",IF(Table46[[#This Row],[Prob Winner]]=NHL2025_26Results[[#This Row],[Winning Team]],"YES","NO"))</f>
        <v>-</v>
      </c>
      <c r="P1201" t="str">
        <f>IF(Table46[[#This Row],[Locked Prediction]]&lt;&gt;Table46[[#This Row],[Prob Winner]], "Changed", "Same")</f>
        <v>Changed</v>
      </c>
      <c r="Q120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02" spans="4:17" x14ac:dyDescent="0.2">
      <c r="D1202" s="1">
        <v>46114</v>
      </c>
      <c r="E1202" s="2">
        <v>0.91666666666666663</v>
      </c>
      <c r="F1202" t="s">
        <v>32</v>
      </c>
      <c r="G1202">
        <f>VLOOKUP(Table46[[#This Row],[Home]],'NHL Model'!$A$6:$B$38,2,FALSE)</f>
        <v>-0.361361309178443</v>
      </c>
      <c r="H1202" t="s">
        <v>55</v>
      </c>
      <c r="I1202">
        <f>VLOOKUP(Table46[[#This Row],[Visitor]],'NHL Model'!$A$6:$B$38,2,FALSE)</f>
        <v>-0.12212311954851815</v>
      </c>
      <c r="J1202">
        <f>($B$1+Table46[[#This Row],[Home Differential]])-Table46[[#This Row],[Away Differential]]</f>
        <v>-7.666587996760646E-2</v>
      </c>
      <c r="K1202" t="str">
        <f>IF(Table46[[#This Row],[HomeIce Differential]]&gt;0,Table46[[#This Row],[Home]],Table46[[#This Row],[Visitor]])</f>
        <v>Utah Mammoth</v>
      </c>
      <c r="L120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0.44415261672994288</v>
      </c>
      <c r="M1202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1202" t="str">
        <f>IF(OR((NHL2025_26Results[[#This Row],[Winning Team]]="")),"-",IF(Table46[[#This Row],[Predicted Winner]]=NHL2025_26Results[[#This Row],[Winning Team]],"YES","NO"))</f>
        <v>-</v>
      </c>
      <c r="O1202" t="str">
        <f>IF(OR((NHL2025_26Results[[#This Row],[Winning Team]]="")),"-",IF(Table46[[#This Row],[Prob Winner]]=NHL2025_26Results[[#This Row],[Winning Team]],"YES","NO"))</f>
        <v>-</v>
      </c>
      <c r="P1202" t="str">
        <f>IF(Table46[[#This Row],[Locked Prediction]]&lt;&gt;Table46[[#This Row],[Prob Winner]], "Changed", "Same")</f>
        <v>Changed</v>
      </c>
      <c r="Q120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03" spans="4:17" x14ac:dyDescent="0.2">
      <c r="D1203" s="1">
        <v>46114</v>
      </c>
      <c r="E1203" s="2">
        <v>0.91666666666666663</v>
      </c>
      <c r="F1203" t="s">
        <v>33</v>
      </c>
      <c r="G1203">
        <f>VLOOKUP(Table46[[#This Row],[Home]],'NHL Model'!$A$6:$B$38,2,FALSE)</f>
        <v>-0.39418177254008485</v>
      </c>
      <c r="H1203" t="s">
        <v>19</v>
      </c>
      <c r="I1203">
        <f>VLOOKUP(Table46[[#This Row],[Visitor]],'NHL Model'!$A$6:$B$38,2,FALSE)</f>
        <v>-0.635565543477981</v>
      </c>
      <c r="J1203">
        <f>($B$1+Table46[[#This Row],[Home Differential]])-Table46[[#This Row],[Away Differential]]</f>
        <v>0.40395608060021454</v>
      </c>
      <c r="K1203" t="str">
        <f>IF(Table46[[#This Row],[HomeIce Differential]]&gt;0,Table46[[#This Row],[Home]],Table46[[#This Row],[Visitor]])</f>
        <v>San Jose Sharks</v>
      </c>
      <c r="L120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0.59369344080425657</v>
      </c>
      <c r="M1203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1203" t="str">
        <f>IF(OR((NHL2025_26Results[[#This Row],[Winning Team]]="")),"-",IF(Table46[[#This Row],[Predicted Winner]]=NHL2025_26Results[[#This Row],[Winning Team]],"YES","NO"))</f>
        <v>-</v>
      </c>
      <c r="O1203" t="str">
        <f>IF(OR((NHL2025_26Results[[#This Row],[Winning Team]]="")),"-",IF(Table46[[#This Row],[Prob Winner]]=NHL2025_26Results[[#This Row],[Winning Team]],"YES","NO"))</f>
        <v>-</v>
      </c>
      <c r="P1203" t="str">
        <f>IF(Table46[[#This Row],[Locked Prediction]]&lt;&gt;Table46[[#This Row],[Prob Winner]], "Changed", "Same")</f>
        <v>Changed</v>
      </c>
      <c r="Q120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04" spans="4:17" x14ac:dyDescent="0.2">
      <c r="D1204" s="1">
        <v>46114</v>
      </c>
      <c r="E1204" s="2">
        <v>0.79166666666666663</v>
      </c>
      <c r="F1204" t="s">
        <v>37</v>
      </c>
      <c r="G1204">
        <f>VLOOKUP(Table46[[#This Row],[Home]],'NHL Model'!$A$6:$B$38,2,FALSE)</f>
        <v>-0.11309445867623392</v>
      </c>
      <c r="H1204" t="s">
        <v>14</v>
      </c>
      <c r="I1204">
        <f>VLOOKUP(Table46[[#This Row],[Visitor]],'NHL Model'!$A$6:$B$38,2,FALSE)</f>
        <v>0.26289091192875702</v>
      </c>
      <c r="J1204">
        <f>($B$1+Table46[[#This Row],[Home Differential]])-Table46[[#This Row],[Away Differential]]</f>
        <v>-0.21341306094267254</v>
      </c>
      <c r="K1204" t="str">
        <f>IF(Table46[[#This Row],[HomeIce Differential]]&gt;0,Table46[[#This Row],[Home]],Table46[[#This Row],[Visitor]])</f>
        <v>Pittsburgh Penguins</v>
      </c>
      <c r="L120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0.48836665198244944</v>
      </c>
      <c r="M1204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204" t="str">
        <f>IF(OR((NHL2025_26Results[[#This Row],[Winning Team]]="")),"-",IF(Table46[[#This Row],[Predicted Winner]]=NHL2025_26Results[[#This Row],[Winning Team]],"YES","NO"))</f>
        <v>-</v>
      </c>
      <c r="O1204" t="str">
        <f>IF(OR((NHL2025_26Results[[#This Row],[Winning Team]]="")),"-",IF(Table46[[#This Row],[Prob Winner]]=NHL2025_26Results[[#This Row],[Winning Team]],"YES","NO"))</f>
        <v>-</v>
      </c>
      <c r="P1204" t="str">
        <f>IF(Table46[[#This Row],[Locked Prediction]]&lt;&gt;Table46[[#This Row],[Prob Winner]], "Changed", "Same")</f>
        <v>Changed</v>
      </c>
      <c r="Q120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05" spans="4:17" x14ac:dyDescent="0.2">
      <c r="D1205" s="1">
        <v>46114</v>
      </c>
      <c r="E1205" s="2">
        <v>0.91666666666666663</v>
      </c>
      <c r="F1205" t="s">
        <v>20</v>
      </c>
      <c r="G1205">
        <f>VLOOKUP(Table46[[#This Row],[Home]],'NHL Model'!$A$6:$B$38,2,FALSE)</f>
        <v>-6.3745791019188943E-4</v>
      </c>
      <c r="H1205" t="s">
        <v>16</v>
      </c>
      <c r="I1205">
        <f>VLOOKUP(Table46[[#This Row],[Visitor]],'NHL Model'!$A$6:$B$38,2,FALSE)</f>
        <v>-1.3903684122795328</v>
      </c>
      <c r="J1205">
        <f>($B$1+Table46[[#This Row],[Home Differential]])-Table46[[#This Row],[Away Differential]]</f>
        <v>1.5523032640316592</v>
      </c>
      <c r="K1205" t="str">
        <f>IF(Table46[[#This Row],[HomeIce Differential]]&gt;0,Table46[[#This Row],[Home]],Table46[[#This Row],[Visitor]])</f>
        <v>Vegas Golden Knights</v>
      </c>
      <c r="L120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0.74633060726229317</v>
      </c>
      <c r="M1205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205" t="str">
        <f>IF(OR((NHL2025_26Results[[#This Row],[Winning Team]]="")),"-",IF(Table46[[#This Row],[Predicted Winner]]=NHL2025_26Results[[#This Row],[Winning Team]],"YES","NO"))</f>
        <v>-</v>
      </c>
      <c r="O1205" t="str">
        <f>IF(OR((NHL2025_26Results[[#This Row],[Winning Team]]="")),"-",IF(Table46[[#This Row],[Prob Winner]]=NHL2025_26Results[[#This Row],[Winning Team]],"YES","NO"))</f>
        <v>-</v>
      </c>
      <c r="P1205" t="str">
        <f>IF(Table46[[#This Row],[Locked Prediction]]&lt;&gt;Table46[[#This Row],[Prob Winner]], "Changed", "Same")</f>
        <v>Changed</v>
      </c>
      <c r="Q120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06" spans="4:17" x14ac:dyDescent="0.2">
      <c r="D1206" s="1">
        <v>46115</v>
      </c>
      <c r="E1206" s="2">
        <v>0.91666666666666663</v>
      </c>
      <c r="F1206" t="s">
        <v>31</v>
      </c>
      <c r="G1206">
        <f>VLOOKUP(Table46[[#This Row],[Home]],'NHL Model'!$A$6:$B$38,2,FALSE)</f>
        <v>0.51775546328552802</v>
      </c>
      <c r="H1206" t="s">
        <v>35</v>
      </c>
      <c r="I1206">
        <f>VLOOKUP(Table46[[#This Row],[Visitor]],'NHL Model'!$A$6:$B$38,2,FALSE)</f>
        <v>-1.6211574240381006</v>
      </c>
      <c r="J1206">
        <f>($B$1+Table46[[#This Row],[Home Differential]])-Table46[[#This Row],[Away Differential]]</f>
        <v>2.3014851969859471</v>
      </c>
      <c r="K1206" t="str">
        <f>IF(Table46[[#This Row],[HomeIce Differential]]&gt;0,Table46[[#This Row],[Home]],Table46[[#This Row],[Visitor]])</f>
        <v>Anaheim Ducks</v>
      </c>
      <c r="L120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0.95024102220238549</v>
      </c>
      <c r="M1206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206" t="str">
        <f>IF(OR((NHL2025_26Results[[#This Row],[Winning Team]]="")),"-",IF(Table46[[#This Row],[Predicted Winner]]=NHL2025_26Results[[#This Row],[Winning Team]],"YES","NO"))</f>
        <v>-</v>
      </c>
      <c r="O1206" t="str">
        <f>IF(OR((NHL2025_26Results[[#This Row],[Winning Team]]="")),"-",IF(Table46[[#This Row],[Prob Winner]]=NHL2025_26Results[[#This Row],[Winning Team]],"YES","NO"))</f>
        <v>-</v>
      </c>
      <c r="P1206" t="str">
        <f>IF(Table46[[#This Row],[Locked Prediction]]&lt;&gt;Table46[[#This Row],[Prob Winner]], "Changed", "Same")</f>
        <v>Changed</v>
      </c>
      <c r="Q120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07" spans="4:17" x14ac:dyDescent="0.2">
      <c r="D1207" s="1">
        <v>46115</v>
      </c>
      <c r="E1207" s="2">
        <v>0.79166666666666663</v>
      </c>
      <c r="F1207" t="s">
        <v>30</v>
      </c>
      <c r="G1207">
        <f>VLOOKUP(Table46[[#This Row],[Home]],'NHL Model'!$A$6:$B$38,2,FALSE)</f>
        <v>-6.4729560818359025E-2</v>
      </c>
      <c r="H1207" t="s">
        <v>27</v>
      </c>
      <c r="I1207">
        <f>VLOOKUP(Table46[[#This Row],[Visitor]],'NHL Model'!$A$6:$B$38,2,FALSE)</f>
        <v>-0.51358590497437617</v>
      </c>
      <c r="J1207">
        <f>($B$1+Table46[[#This Row],[Home Differential]])-Table46[[#This Row],[Away Differential]]</f>
        <v>0.61142865381833555</v>
      </c>
      <c r="K1207" t="str">
        <f>IF(Table46[[#This Row],[HomeIce Differential]]&gt;0,Table46[[#This Row],[Home]],Table46[[#This Row],[Visitor]])</f>
        <v>New York Islanders</v>
      </c>
      <c r="L120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0.62127048906168547</v>
      </c>
      <c r="M1207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207" t="str">
        <f>IF(OR((NHL2025_26Results[[#This Row],[Winning Team]]="")),"-",IF(Table46[[#This Row],[Predicted Winner]]=NHL2025_26Results[[#This Row],[Winning Team]],"YES","NO"))</f>
        <v>-</v>
      </c>
      <c r="O1207" t="str">
        <f>IF(OR((NHL2025_26Results[[#This Row],[Winning Team]]="")),"-",IF(Table46[[#This Row],[Prob Winner]]=NHL2025_26Results[[#This Row],[Winning Team]],"YES","NO"))</f>
        <v>-</v>
      </c>
      <c r="P1207" t="str">
        <f>IF(Table46[[#This Row],[Locked Prediction]]&lt;&gt;Table46[[#This Row],[Prob Winner]], "Changed", "Same")</f>
        <v>Changed</v>
      </c>
      <c r="Q120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08" spans="4:17" x14ac:dyDescent="0.2">
      <c r="D1208" s="1">
        <v>46116</v>
      </c>
      <c r="E1208" s="2">
        <v>0.91666666666666663</v>
      </c>
      <c r="F1208" t="s">
        <v>31</v>
      </c>
      <c r="G1208">
        <f>VLOOKUP(Table46[[#This Row],[Home]],'NHL Model'!$A$6:$B$38,2,FALSE)</f>
        <v>0.51775546328552802</v>
      </c>
      <c r="H1208" t="s">
        <v>16</v>
      </c>
      <c r="I1208">
        <f>VLOOKUP(Table46[[#This Row],[Visitor]],'NHL Model'!$A$6:$B$38,2,FALSE)</f>
        <v>-1.3903684122795328</v>
      </c>
      <c r="J1208">
        <f>($B$1+Table46[[#This Row],[Home Differential]])-Table46[[#This Row],[Away Differential]]</f>
        <v>2.0706961852273791</v>
      </c>
      <c r="K1208" t="str">
        <f>IF(Table46[[#This Row],[HomeIce Differential]]&gt;0,Table46[[#This Row],[Home]],Table46[[#This Row],[Visitor]])</f>
        <v>Anaheim Ducks</v>
      </c>
      <c r="L120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0.9195647761047423</v>
      </c>
      <c r="M1208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208" t="str">
        <f>IF(OR((NHL2025_26Results[[#This Row],[Winning Team]]="")),"-",IF(Table46[[#This Row],[Predicted Winner]]=NHL2025_26Results[[#This Row],[Winning Team]],"YES","NO"))</f>
        <v>-</v>
      </c>
      <c r="O1208" t="str">
        <f>IF(OR((NHL2025_26Results[[#This Row],[Winning Team]]="")),"-",IF(Table46[[#This Row],[Prob Winner]]=NHL2025_26Results[[#This Row],[Winning Team]],"YES","NO"))</f>
        <v>-</v>
      </c>
      <c r="P1208" t="str">
        <f>IF(Table46[[#This Row],[Locked Prediction]]&lt;&gt;Table46[[#This Row],[Prob Winner]], "Changed", "Same")</f>
        <v>Changed</v>
      </c>
      <c r="Q120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09" spans="4:17" x14ac:dyDescent="0.2">
      <c r="D1209" s="1">
        <v>46116</v>
      </c>
      <c r="E1209" s="2">
        <v>0.79166666666666663</v>
      </c>
      <c r="F1209" t="s">
        <v>25</v>
      </c>
      <c r="G1209">
        <f>VLOOKUP(Table46[[#This Row],[Home]],'NHL Model'!$A$6:$B$38,2,FALSE)</f>
        <v>0.67193921242367816</v>
      </c>
      <c r="H1209" t="s">
        <v>30</v>
      </c>
      <c r="I1209">
        <f>VLOOKUP(Table46[[#This Row],[Visitor]],'NHL Model'!$A$6:$B$38,2,FALSE)</f>
        <v>-6.4729560818359025E-2</v>
      </c>
      <c r="J1209">
        <f>($B$1+Table46[[#This Row],[Home Differential]])-Table46[[#This Row],[Away Differential]]</f>
        <v>0.89924108290435556</v>
      </c>
      <c r="K1209" t="str">
        <f>IF(Table46[[#This Row],[HomeIce Differential]]&gt;0,Table46[[#This Row],[Home]],Table46[[#This Row],[Visitor]])</f>
        <v>Carolina Hurricanes</v>
      </c>
      <c r="L120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0.66952623112378751</v>
      </c>
      <c r="M1209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209" t="str">
        <f>IF(OR((NHL2025_26Results[[#This Row],[Winning Team]]="")),"-",IF(Table46[[#This Row],[Predicted Winner]]=NHL2025_26Results[[#This Row],[Winning Team]],"YES","NO"))</f>
        <v>-</v>
      </c>
      <c r="O1209" t="str">
        <f>IF(OR((NHL2025_26Results[[#This Row],[Winning Team]]="")),"-",IF(Table46[[#This Row],[Prob Winner]]=NHL2025_26Results[[#This Row],[Winning Team]],"YES","NO"))</f>
        <v>-</v>
      </c>
      <c r="P1209" t="str">
        <f>IF(Table46[[#This Row],[Locked Prediction]]&lt;&gt;Table46[[#This Row],[Prob Winner]], "Changed", "Same")</f>
        <v>Changed</v>
      </c>
      <c r="Q120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10" spans="4:17" x14ac:dyDescent="0.2">
      <c r="D1210" s="1">
        <v>46116</v>
      </c>
      <c r="E1210" s="2">
        <v>0.79166666666666663</v>
      </c>
      <c r="F1210" t="s">
        <v>28</v>
      </c>
      <c r="G1210">
        <f>VLOOKUP(Table46[[#This Row],[Home]],'NHL Model'!$A$6:$B$38,2,FALSE)</f>
        <v>-0.40822279081308277</v>
      </c>
      <c r="H1210" t="s">
        <v>40</v>
      </c>
      <c r="I1210">
        <f>VLOOKUP(Table46[[#This Row],[Visitor]],'NHL Model'!$A$6:$B$38,2,FALSE)</f>
        <v>0.105105258369765</v>
      </c>
      <c r="J1210">
        <f>($B$1+Table46[[#This Row],[Home Differential]])-Table46[[#This Row],[Away Differential]]</f>
        <v>-0.35075573952052941</v>
      </c>
      <c r="K1210" t="str">
        <f>IF(Table46[[#This Row],[HomeIce Differential]]&gt;0,Table46[[#This Row],[Home]],Table46[[#This Row],[Visitor]])</f>
        <v>Winnipeg Jets</v>
      </c>
      <c r="L12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0.57293789380917404</v>
      </c>
      <c r="M1210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210" t="str">
        <f>IF(OR((NHL2025_26Results[[#This Row],[Winning Team]]="")),"-",IF(Table46[[#This Row],[Predicted Winner]]=NHL2025_26Results[[#This Row],[Winning Team]],"YES","NO"))</f>
        <v>-</v>
      </c>
      <c r="O1210" t="str">
        <f>IF(OR((NHL2025_26Results[[#This Row],[Winning Team]]="")),"-",IF(Table46[[#This Row],[Prob Winner]]=NHL2025_26Results[[#This Row],[Winning Team]],"YES","NO"))</f>
        <v>-</v>
      </c>
      <c r="P1210" t="str">
        <f>IF(Table46[[#This Row],[Locked Prediction]]&lt;&gt;Table46[[#This Row],[Prob Winner]], "Changed", "Same")</f>
        <v>Changed</v>
      </c>
      <c r="Q121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11" spans="4:17" x14ac:dyDescent="0.2">
      <c r="D1211" s="1">
        <v>46116</v>
      </c>
      <c r="E1211" s="2">
        <v>0.625</v>
      </c>
      <c r="F1211" t="s">
        <v>39</v>
      </c>
      <c r="G1211">
        <f>VLOOKUP(Table46[[#This Row],[Home]],'NHL Model'!$A$6:$B$38,2,FALSE)</f>
        <v>0.19809534061227302</v>
      </c>
      <c r="H1211" t="s">
        <v>12</v>
      </c>
      <c r="I1211">
        <f>VLOOKUP(Table46[[#This Row],[Visitor]],'NHL Model'!$A$6:$B$38,2,FALSE)</f>
        <v>1.5475013591489768</v>
      </c>
      <c r="J1211">
        <f>($B$1+Table46[[#This Row],[Home Differential]])-Table46[[#This Row],[Away Differential]]</f>
        <v>-1.1868337088743854</v>
      </c>
      <c r="K1211" t="str">
        <f>IF(Table46[[#This Row],[HomeIce Differential]]&gt;0,Table46[[#This Row],[Home]],Table46[[#This Row],[Visitor]])</f>
        <v>Colorado Avalanche</v>
      </c>
      <c r="L12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0.65775275717414017</v>
      </c>
      <c r="M1211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211" t="str">
        <f>IF(OR((NHL2025_26Results[[#This Row],[Winning Team]]="")),"-",IF(Table46[[#This Row],[Predicted Winner]]=NHL2025_26Results[[#This Row],[Winning Team]],"YES","NO"))</f>
        <v>-</v>
      </c>
      <c r="O1211" t="str">
        <f>IF(OR((NHL2025_26Results[[#This Row],[Winning Team]]="")),"-",IF(Table46[[#This Row],[Prob Winner]]=NHL2025_26Results[[#This Row],[Winning Team]],"YES","NO"))</f>
        <v>-</v>
      </c>
      <c r="P1211" t="str">
        <f>IF(Table46[[#This Row],[Locked Prediction]]&lt;&gt;Table46[[#This Row],[Prob Winner]], "Changed", "Same")</f>
        <v>Changed</v>
      </c>
      <c r="Q121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12" spans="4:17" x14ac:dyDescent="0.2">
      <c r="D1212" s="1">
        <v>46116</v>
      </c>
      <c r="E1212" s="2">
        <v>0.91666666666666663</v>
      </c>
      <c r="F1212" t="s">
        <v>17</v>
      </c>
      <c r="G1212">
        <f>VLOOKUP(Table46[[#This Row],[Home]],'NHL Model'!$A$6:$B$38,2,FALSE)</f>
        <v>-0.61980804137564283</v>
      </c>
      <c r="H1212" t="s">
        <v>20</v>
      </c>
      <c r="I1212">
        <f>VLOOKUP(Table46[[#This Row],[Visitor]],'NHL Model'!$A$6:$B$38,2,FALSE)</f>
        <v>-6.3745791019188943E-4</v>
      </c>
      <c r="J1212">
        <f>($B$1+Table46[[#This Row],[Home Differential]])-Table46[[#This Row],[Away Differential]]</f>
        <v>-0.45659827380313256</v>
      </c>
      <c r="K1212" t="str">
        <f>IF(Table46[[#This Row],[HomeIce Differential]]&gt;0,Table46[[#This Row],[Home]],Table46[[#This Row],[Visitor]])</f>
        <v>Vegas Golden Knights</v>
      </c>
      <c r="L12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0.50513503325634412</v>
      </c>
      <c r="M1212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212" t="str">
        <f>IF(OR((NHL2025_26Results[[#This Row],[Winning Team]]="")),"-",IF(Table46[[#This Row],[Predicted Winner]]=NHL2025_26Results[[#This Row],[Winning Team]],"YES","NO"))</f>
        <v>-</v>
      </c>
      <c r="O1212" t="str">
        <f>IF(OR((NHL2025_26Results[[#This Row],[Winning Team]]="")),"-",IF(Table46[[#This Row],[Prob Winner]]=NHL2025_26Results[[#This Row],[Winning Team]],"YES","NO"))</f>
        <v>-</v>
      </c>
      <c r="P1212" t="str">
        <f>IF(Table46[[#This Row],[Locked Prediction]]&lt;&gt;Table46[[#This Row],[Prob Winner]], "Changed", "Same")</f>
        <v>Changed</v>
      </c>
      <c r="Q121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13" spans="4:17" x14ac:dyDescent="0.2">
      <c r="D1213" s="1">
        <v>46116</v>
      </c>
      <c r="E1213" s="2">
        <v>0.79166666666666663</v>
      </c>
      <c r="F1213" t="s">
        <v>13</v>
      </c>
      <c r="G1213">
        <f>VLOOKUP(Table46[[#This Row],[Home]],'NHL Model'!$A$6:$B$38,2,FALSE)</f>
        <v>-7.5459708298993802E-2</v>
      </c>
      <c r="H1213" t="s">
        <v>19</v>
      </c>
      <c r="I1213">
        <f>VLOOKUP(Table46[[#This Row],[Visitor]],'NHL Model'!$A$6:$B$38,2,FALSE)</f>
        <v>-0.635565543477981</v>
      </c>
      <c r="J1213">
        <f>($B$1+Table46[[#This Row],[Home Differential]])-Table46[[#This Row],[Away Differential]]</f>
        <v>0.72267814484130555</v>
      </c>
      <c r="K1213" t="str">
        <f>IF(Table46[[#This Row],[HomeIce Differential]]&gt;0,Table46[[#This Row],[Home]],Table46[[#This Row],[Visitor]])</f>
        <v>Los Angeles Kings</v>
      </c>
      <c r="L12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0.63605766085489135</v>
      </c>
      <c r="M1213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213" t="str">
        <f>IF(OR((NHL2025_26Results[[#This Row],[Winning Team]]="")),"-",IF(Table46[[#This Row],[Predicted Winner]]=NHL2025_26Results[[#This Row],[Winning Team]],"YES","NO"))</f>
        <v>-</v>
      </c>
      <c r="O1213" t="str">
        <f>IF(OR((NHL2025_26Results[[#This Row],[Winning Team]]="")),"-",IF(Table46[[#This Row],[Prob Winner]]=NHL2025_26Results[[#This Row],[Winning Team]],"YES","NO"))</f>
        <v>-</v>
      </c>
      <c r="P1213" t="str">
        <f>IF(Table46[[#This Row],[Locked Prediction]]&lt;&gt;Table46[[#This Row],[Prob Winner]], "Changed", "Same")</f>
        <v>Changed</v>
      </c>
      <c r="Q121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14" spans="4:17" x14ac:dyDescent="0.2">
      <c r="D1214" s="1">
        <v>46116</v>
      </c>
      <c r="E1214" s="2">
        <v>0.79166666666666663</v>
      </c>
      <c r="F1214" t="s">
        <v>24</v>
      </c>
      <c r="G1214">
        <f>VLOOKUP(Table46[[#This Row],[Home]],'NHL Model'!$A$6:$B$38,2,FALSE)</f>
        <v>0.559441163373953</v>
      </c>
      <c r="H1214" t="s">
        <v>18</v>
      </c>
      <c r="I1214">
        <f>VLOOKUP(Table46[[#This Row],[Visitor]],'NHL Model'!$A$6:$B$38,2,FALSE)</f>
        <v>-0.52437726201848234</v>
      </c>
      <c r="J1214">
        <f>($B$1+Table46[[#This Row],[Home Differential]])-Table46[[#This Row],[Away Differential]]</f>
        <v>1.2463907350547538</v>
      </c>
      <c r="K1214" t="str">
        <f>IF(Table46[[#This Row],[HomeIce Differential]]&gt;0,Table46[[#This Row],[Home]],Table46[[#This Row],[Visitor]])</f>
        <v>New Jersey Devils</v>
      </c>
      <c r="L121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0.74900235124290226</v>
      </c>
      <c r="M1214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214" t="str">
        <f>IF(OR((NHL2025_26Results[[#This Row],[Winning Team]]="")),"-",IF(Table46[[#This Row],[Predicted Winner]]=NHL2025_26Results[[#This Row],[Winning Team]],"YES","NO"))</f>
        <v>-</v>
      </c>
      <c r="O1214" t="str">
        <f>IF(OR((NHL2025_26Results[[#This Row],[Winning Team]]="")),"-",IF(Table46[[#This Row],[Prob Winner]]=NHL2025_26Results[[#This Row],[Winning Team]],"YES","NO"))</f>
        <v>-</v>
      </c>
      <c r="P1214" t="str">
        <f>IF(Table46[[#This Row],[Locked Prediction]]&lt;&gt;Table46[[#This Row],[Prob Winner]], "Changed", "Same")</f>
        <v>Changed</v>
      </c>
      <c r="Q121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15" spans="4:17" x14ac:dyDescent="0.2">
      <c r="D1215" s="1">
        <v>46116</v>
      </c>
      <c r="E1215" s="2">
        <v>0.52083333333333337</v>
      </c>
      <c r="F1215" t="s">
        <v>15</v>
      </c>
      <c r="G1215">
        <f>VLOOKUP(Table46[[#This Row],[Home]],'NHL Model'!$A$6:$B$38,2,FALSE)</f>
        <v>-0.30719665303039001</v>
      </c>
      <c r="H1215" t="s">
        <v>26</v>
      </c>
      <c r="I1215">
        <f>VLOOKUP(Table46[[#This Row],[Visitor]],'NHL Model'!$A$6:$B$38,2,FALSE)</f>
        <v>-0.513643833119658</v>
      </c>
      <c r="J1215">
        <f>($B$1+Table46[[#This Row],[Home Differential]])-Table46[[#This Row],[Away Differential]]</f>
        <v>0.36901948975158638</v>
      </c>
      <c r="K1215" t="str">
        <f>IF(Table46[[#This Row],[HomeIce Differential]]&gt;0,Table46[[#This Row],[Home]],Table46[[#This Row],[Visitor]])</f>
        <v>New York Rangers</v>
      </c>
      <c r="L121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0.5419503123859708</v>
      </c>
      <c r="M1215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215" t="str">
        <f>IF(OR((NHL2025_26Results[[#This Row],[Winning Team]]="")),"-",IF(Table46[[#This Row],[Predicted Winner]]=NHL2025_26Results[[#This Row],[Winning Team]],"YES","NO"))</f>
        <v>-</v>
      </c>
      <c r="O1215" t="str">
        <f>IF(OR((NHL2025_26Results[[#This Row],[Winning Team]]="")),"-",IF(Table46[[#This Row],[Prob Winner]]=NHL2025_26Results[[#This Row],[Winning Team]],"YES","NO"))</f>
        <v>-</v>
      </c>
      <c r="P1215" t="str">
        <f>IF(Table46[[#This Row],[Locked Prediction]]&lt;&gt;Table46[[#This Row],[Prob Winner]], "Changed", "Same")</f>
        <v>Changed</v>
      </c>
      <c r="Q121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16" spans="4:17" x14ac:dyDescent="0.2">
      <c r="D1216" s="1">
        <v>46116</v>
      </c>
      <c r="E1216" s="2">
        <v>0.54166666666666663</v>
      </c>
      <c r="F1216" t="s">
        <v>36</v>
      </c>
      <c r="G1216">
        <f>VLOOKUP(Table46[[#This Row],[Home]],'NHL Model'!$A$6:$B$38,2,FALSE)</f>
        <v>-0.40651947573390851</v>
      </c>
      <c r="H1216" t="s">
        <v>34</v>
      </c>
      <c r="I1216">
        <f>VLOOKUP(Table46[[#This Row],[Visitor]],'NHL Model'!$A$6:$B$38,2,FALSE)</f>
        <v>-0.53650300840565446</v>
      </c>
      <c r="J1216">
        <f>($B$1+Table46[[#This Row],[Home Differential]])-Table46[[#This Row],[Away Differential]]</f>
        <v>0.29255584233406434</v>
      </c>
      <c r="K1216" t="str">
        <f>IF(Table46[[#This Row],[HomeIce Differential]]&gt;0,Table46[[#This Row],[Home]],Table46[[#This Row],[Visitor]])</f>
        <v>Ottawa Senators</v>
      </c>
      <c r="L121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0.58138171104163128</v>
      </c>
      <c r="M1216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1216" t="str">
        <f>IF(OR((NHL2025_26Results[[#This Row],[Winning Team]]="")),"-",IF(Table46[[#This Row],[Predicted Winner]]=NHL2025_26Results[[#This Row],[Winning Team]],"YES","NO"))</f>
        <v>-</v>
      </c>
      <c r="O1216" t="str">
        <f>IF(OR((NHL2025_26Results[[#This Row],[Winning Team]]="")),"-",IF(Table46[[#This Row],[Prob Winner]]=NHL2025_26Results[[#This Row],[Winning Team]],"YES","NO"))</f>
        <v>-</v>
      </c>
      <c r="P1216" t="str">
        <f>IF(Table46[[#This Row],[Locked Prediction]]&lt;&gt;Table46[[#This Row],[Prob Winner]], "Changed", "Same")</f>
        <v>Changed</v>
      </c>
      <c r="Q121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17" spans="4:17" x14ac:dyDescent="0.2">
      <c r="D1217" s="1">
        <v>46116</v>
      </c>
      <c r="E1217" s="2">
        <v>0.70833333333333337</v>
      </c>
      <c r="F1217" t="s">
        <v>14</v>
      </c>
      <c r="G1217">
        <f>VLOOKUP(Table46[[#This Row],[Home]],'NHL Model'!$A$6:$B$38,2,FALSE)</f>
        <v>0.26289091192875702</v>
      </c>
      <c r="H1217" t="s">
        <v>11</v>
      </c>
      <c r="I1217">
        <f>VLOOKUP(Table46[[#This Row],[Visitor]],'NHL Model'!$A$6:$B$38,2,FALSE)</f>
        <v>-0.28105923893144158</v>
      </c>
      <c r="J1217">
        <f>($B$1+Table46[[#This Row],[Home Differential]])-Table46[[#This Row],[Away Differential]]</f>
        <v>0.70652246052251699</v>
      </c>
      <c r="K1217" t="str">
        <f>IF(Table46[[#This Row],[HomeIce Differential]]&gt;0,Table46[[#This Row],[Home]],Table46[[#This Row],[Visitor]])</f>
        <v>Pittsburgh Penguins</v>
      </c>
      <c r="L121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0.66994712970930714</v>
      </c>
      <c r="M1217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217" t="str">
        <f>IF(OR((NHL2025_26Results[[#This Row],[Winning Team]]="")),"-",IF(Table46[[#This Row],[Predicted Winner]]=NHL2025_26Results[[#This Row],[Winning Team]],"YES","NO"))</f>
        <v>-</v>
      </c>
      <c r="O1217" t="str">
        <f>IF(OR((NHL2025_26Results[[#This Row],[Winning Team]]="")),"-",IF(Table46[[#This Row],[Prob Winner]]=NHL2025_26Results[[#This Row],[Winning Team]],"YES","NO"))</f>
        <v>-</v>
      </c>
      <c r="P1217" t="str">
        <f>IF(Table46[[#This Row],[Locked Prediction]]&lt;&gt;Table46[[#This Row],[Prob Winner]], "Changed", "Same")</f>
        <v>Changed</v>
      </c>
      <c r="Q121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18" spans="4:17" x14ac:dyDescent="0.2">
      <c r="D1218" s="1">
        <v>46116</v>
      </c>
      <c r="E1218" s="2">
        <v>0.91666666666666663</v>
      </c>
      <c r="F1218" t="s">
        <v>32</v>
      </c>
      <c r="G1218">
        <f>VLOOKUP(Table46[[#This Row],[Home]],'NHL Model'!$A$6:$B$38,2,FALSE)</f>
        <v>-0.361361309178443</v>
      </c>
      <c r="H1218" t="s">
        <v>10</v>
      </c>
      <c r="I1218">
        <f>VLOOKUP(Table46[[#This Row],[Visitor]],'NHL Model'!$A$6:$B$38,2,FALSE)</f>
        <v>0.30570968833820172</v>
      </c>
      <c r="J1218">
        <f>($B$1+Table46[[#This Row],[Home Differential]])-Table46[[#This Row],[Away Differential]]</f>
        <v>-0.50449868785432628</v>
      </c>
      <c r="K1218" t="str">
        <f>IF(Table46[[#This Row],[HomeIce Differential]]&gt;0,Table46[[#This Row],[Home]],Table46[[#This Row],[Visitor]])</f>
        <v>Chicago Blackhawks</v>
      </c>
      <c r="L121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0.52160291879226695</v>
      </c>
      <c r="M1218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218" t="str">
        <f>IF(OR((NHL2025_26Results[[#This Row],[Winning Team]]="")),"-",IF(Table46[[#This Row],[Predicted Winner]]=NHL2025_26Results[[#This Row],[Winning Team]],"YES","NO"))</f>
        <v>-</v>
      </c>
      <c r="O1218" t="str">
        <f>IF(OR((NHL2025_26Results[[#This Row],[Winning Team]]="")),"-",IF(Table46[[#This Row],[Prob Winner]]=NHL2025_26Results[[#This Row],[Winning Team]],"YES","NO"))</f>
        <v>-</v>
      </c>
      <c r="P1218" t="str">
        <f>IF(Table46[[#This Row],[Locked Prediction]]&lt;&gt;Table46[[#This Row],[Prob Winner]], "Changed", "Same")</f>
        <v>Changed</v>
      </c>
      <c r="Q121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19" spans="4:17" x14ac:dyDescent="0.2">
      <c r="D1219" s="1">
        <v>46116</v>
      </c>
      <c r="E1219" s="2">
        <v>0.91666666666666663</v>
      </c>
      <c r="F1219" t="s">
        <v>33</v>
      </c>
      <c r="G1219">
        <f>VLOOKUP(Table46[[#This Row],[Home]],'NHL Model'!$A$6:$B$38,2,FALSE)</f>
        <v>-0.39418177254008485</v>
      </c>
      <c r="H1219" t="s">
        <v>29</v>
      </c>
      <c r="I1219">
        <f>VLOOKUP(Table46[[#This Row],[Visitor]],'NHL Model'!$A$6:$B$38,2,FALSE)</f>
        <v>-1.3516250707060606</v>
      </c>
      <c r="J1219">
        <f>($B$1+Table46[[#This Row],[Home Differential]])-Table46[[#This Row],[Away Differential]]</f>
        <v>1.1200156078282941</v>
      </c>
      <c r="K1219" t="str">
        <f>IF(Table46[[#This Row],[HomeIce Differential]]&gt;0,Table46[[#This Row],[Home]],Table46[[#This Row],[Visitor]])</f>
        <v>San Jose Sharks</v>
      </c>
      <c r="L121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0.6888713615832126</v>
      </c>
      <c r="M1219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1219" t="str">
        <f>IF(OR((NHL2025_26Results[[#This Row],[Winning Team]]="")),"-",IF(Table46[[#This Row],[Predicted Winner]]=NHL2025_26Results[[#This Row],[Winning Team]],"YES","NO"))</f>
        <v>-</v>
      </c>
      <c r="O1219" t="str">
        <f>IF(OR((NHL2025_26Results[[#This Row],[Winning Team]]="")),"-",IF(Table46[[#This Row],[Prob Winner]]=NHL2025_26Results[[#This Row],[Winning Team]],"YES","NO"))</f>
        <v>-</v>
      </c>
      <c r="P1219" t="str">
        <f>IF(Table46[[#This Row],[Locked Prediction]]&lt;&gt;Table46[[#This Row],[Prob Winner]], "Changed", "Same")</f>
        <v>Changed</v>
      </c>
      <c r="Q121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20" spans="4:17" x14ac:dyDescent="0.2">
      <c r="D1220" s="1">
        <v>46116</v>
      </c>
      <c r="E1220" s="2">
        <v>0.70833333333333337</v>
      </c>
      <c r="F1220" t="s">
        <v>37</v>
      </c>
      <c r="G1220">
        <f>VLOOKUP(Table46[[#This Row],[Home]],'NHL Model'!$A$6:$B$38,2,FALSE)</f>
        <v>-0.11309445867623392</v>
      </c>
      <c r="H1220" t="s">
        <v>21</v>
      </c>
      <c r="I1220">
        <f>VLOOKUP(Table46[[#This Row],[Visitor]],'NHL Model'!$A$6:$B$38,2,FALSE)</f>
        <v>4.029141914856392E-2</v>
      </c>
      <c r="J1220">
        <f>($B$1+Table46[[#This Row],[Home Differential]])-Table46[[#This Row],[Away Differential]]</f>
        <v>9.1864318375205478E-3</v>
      </c>
      <c r="K1220" t="str">
        <f>IF(Table46[[#This Row],[HomeIce Differential]]&gt;0,Table46[[#This Row],[Home]],Table46[[#This Row],[Visitor]])</f>
        <v>Tampa Bay Lightning</v>
      </c>
      <c r="L122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0.54122105139087739</v>
      </c>
      <c r="M1220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220" t="str">
        <f>IF(OR((NHL2025_26Results[[#This Row],[Winning Team]]="")),"-",IF(Table46[[#This Row],[Predicted Winner]]=NHL2025_26Results[[#This Row],[Winning Team]],"YES","NO"))</f>
        <v>-</v>
      </c>
      <c r="O1220" t="str">
        <f>IF(OR((NHL2025_26Results[[#This Row],[Winning Team]]="")),"-",IF(Table46[[#This Row],[Prob Winner]]=NHL2025_26Results[[#This Row],[Winning Team]],"YES","NO"))</f>
        <v>-</v>
      </c>
      <c r="P1220" t="str">
        <f>IF(Table46[[#This Row],[Locked Prediction]]&lt;&gt;Table46[[#This Row],[Prob Winner]], "Changed", "Same")</f>
        <v>Changed</v>
      </c>
      <c r="Q122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21" spans="4:17" x14ac:dyDescent="0.2">
      <c r="D1221" s="1">
        <v>46116</v>
      </c>
      <c r="E1221" s="2">
        <v>0.79166666666666663</v>
      </c>
      <c r="F1221" t="s">
        <v>38</v>
      </c>
      <c r="G1221">
        <f>VLOOKUP(Table46[[#This Row],[Home]],'NHL Model'!$A$6:$B$38,2,FALSE)</f>
        <v>-0.6902088310934803</v>
      </c>
      <c r="H1221" t="s">
        <v>55</v>
      </c>
      <c r="I1221">
        <f>VLOOKUP(Table46[[#This Row],[Visitor]],'NHL Model'!$A$6:$B$38,2,FALSE)</f>
        <v>-0.12212311954851815</v>
      </c>
      <c r="J1221">
        <f>($B$1+Table46[[#This Row],[Home Differential]])-Table46[[#This Row],[Away Differential]]</f>
        <v>-0.40551340188264373</v>
      </c>
      <c r="K1221" t="str">
        <f>IF(Table46[[#This Row],[HomeIce Differential]]&gt;0,Table46[[#This Row],[Home]],Table46[[#This Row],[Visitor]])</f>
        <v>Utah Mammoth</v>
      </c>
      <c r="L122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0.51390043840153765</v>
      </c>
      <c r="M1221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221" t="str">
        <f>IF(OR((NHL2025_26Results[[#This Row],[Winning Team]]="")),"-",IF(Table46[[#This Row],[Predicted Winner]]=NHL2025_26Results[[#This Row],[Winning Team]],"YES","NO"))</f>
        <v>-</v>
      </c>
      <c r="O1221" t="str">
        <f>IF(OR((NHL2025_26Results[[#This Row],[Winning Team]]="")),"-",IF(Table46[[#This Row],[Prob Winner]]=NHL2025_26Results[[#This Row],[Winning Team]],"YES","NO"))</f>
        <v>-</v>
      </c>
      <c r="P1221" t="str">
        <f>IF(Table46[[#This Row],[Locked Prediction]]&lt;&gt;Table46[[#This Row],[Prob Winner]], "Changed", "Same")</f>
        <v>Changed</v>
      </c>
      <c r="Q122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22" spans="4:17" x14ac:dyDescent="0.2">
      <c r="D1222" s="1">
        <v>46116</v>
      </c>
      <c r="E1222" s="2">
        <v>0.79166666666666663</v>
      </c>
      <c r="F1222" t="s">
        <v>22</v>
      </c>
      <c r="G1222">
        <f>VLOOKUP(Table46[[#This Row],[Home]],'NHL Model'!$A$6:$B$38,2,FALSE)</f>
        <v>-6.1308839486784707E-2</v>
      </c>
      <c r="H1222" t="s">
        <v>23</v>
      </c>
      <c r="I1222">
        <f>VLOOKUP(Table46[[#This Row],[Visitor]],'NHL Model'!$A$6:$B$38,2,FALSE)</f>
        <v>-0.8683412362501769</v>
      </c>
      <c r="J1222">
        <f>($B$1+Table46[[#This Row],[Home Differential]])-Table46[[#This Row],[Away Differential]]</f>
        <v>0.96960470642571062</v>
      </c>
      <c r="K1222" t="str">
        <f>IF(Table46[[#This Row],[HomeIce Differential]]&gt;0,Table46[[#This Row],[Home]],Table46[[#This Row],[Visitor]])</f>
        <v>Washington Capitals</v>
      </c>
      <c r="L122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0.66887889403878376</v>
      </c>
      <c r="M1222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1222" t="str">
        <f>IF(OR((NHL2025_26Results[[#This Row],[Winning Team]]="")),"-",IF(Table46[[#This Row],[Predicted Winner]]=NHL2025_26Results[[#This Row],[Winning Team]],"YES","NO"))</f>
        <v>-</v>
      </c>
      <c r="O1222" t="str">
        <f>IF(OR((NHL2025_26Results[[#This Row],[Winning Team]]="")),"-",IF(Table46[[#This Row],[Prob Winner]]=NHL2025_26Results[[#This Row],[Winning Team]],"YES","NO"))</f>
        <v>-</v>
      </c>
      <c r="P1222" t="str">
        <f>IF(Table46[[#This Row],[Locked Prediction]]&lt;&gt;Table46[[#This Row],[Prob Winner]], "Changed", "Same")</f>
        <v>Changed</v>
      </c>
      <c r="Q122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23" spans="4:17" x14ac:dyDescent="0.2">
      <c r="D1223" s="1">
        <v>46117</v>
      </c>
      <c r="E1223" s="2">
        <v>0.89583333333333337</v>
      </c>
      <c r="F1223" t="s">
        <v>12</v>
      </c>
      <c r="G1223">
        <f>VLOOKUP(Table46[[#This Row],[Home]],'NHL Model'!$A$6:$B$38,2,FALSE)</f>
        <v>1.5475013591489768</v>
      </c>
      <c r="H1223" t="s">
        <v>35</v>
      </c>
      <c r="I1223">
        <f>VLOOKUP(Table46[[#This Row],[Visitor]],'NHL Model'!$A$6:$B$38,2,FALSE)</f>
        <v>-1.6211574240381006</v>
      </c>
      <c r="J1223">
        <f>($B$1+Table46[[#This Row],[Home Differential]])-Table46[[#This Row],[Away Differential]]</f>
        <v>3.3312310928493956</v>
      </c>
      <c r="K1223" t="str">
        <f>IF(Table46[[#This Row],[HomeIce Differential]]&gt;0,Table46[[#This Row],[Home]],Table46[[#This Row],[Visitor]])</f>
        <v>Colorado Avalanche</v>
      </c>
      <c r="L122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1</v>
      </c>
      <c r="M1223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223" t="str">
        <f>IF(OR((NHL2025_26Results[[#This Row],[Winning Team]]="")),"-",IF(Table46[[#This Row],[Predicted Winner]]=NHL2025_26Results[[#This Row],[Winning Team]],"YES","NO"))</f>
        <v>-</v>
      </c>
      <c r="O1223" t="str">
        <f>IF(OR((NHL2025_26Results[[#This Row],[Winning Team]]="")),"-",IF(Table46[[#This Row],[Prob Winner]]=NHL2025_26Results[[#This Row],[Winning Team]],"YES","NO"))</f>
        <v>-</v>
      </c>
      <c r="P1223" t="str">
        <f>IF(Table46[[#This Row],[Locked Prediction]]&lt;&gt;Table46[[#This Row],[Prob Winner]], "Changed", "Same")</f>
        <v>Changed</v>
      </c>
      <c r="Q122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24" spans="4:17" x14ac:dyDescent="0.2">
      <c r="D1224" s="1">
        <v>46117</v>
      </c>
      <c r="E1224" s="2">
        <v>0.54166666666666663</v>
      </c>
      <c r="F1224" t="s">
        <v>26</v>
      </c>
      <c r="G1224">
        <f>VLOOKUP(Table46[[#This Row],[Home]],'NHL Model'!$A$6:$B$38,2,FALSE)</f>
        <v>-0.513643833119658</v>
      </c>
      <c r="H1224" t="s">
        <v>34</v>
      </c>
      <c r="I1224">
        <f>VLOOKUP(Table46[[#This Row],[Visitor]],'NHL Model'!$A$6:$B$38,2,FALSE)</f>
        <v>-0.53650300840565446</v>
      </c>
      <c r="J1224">
        <f>($B$1+Table46[[#This Row],[Home Differential]])-Table46[[#This Row],[Away Differential]]</f>
        <v>0.18543148494831485</v>
      </c>
      <c r="K1224" t="str">
        <f>IF(Table46[[#This Row],[HomeIce Differential]]&gt;0,Table46[[#This Row],[Home]],Table46[[#This Row],[Visitor]])</f>
        <v>Detroit Red Wings</v>
      </c>
      <c r="L122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0.59068510455687262</v>
      </c>
      <c r="M1224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1224" t="str">
        <f>IF(OR((NHL2025_26Results[[#This Row],[Winning Team]]="")),"-",IF(Table46[[#This Row],[Predicted Winner]]=NHL2025_26Results[[#This Row],[Winning Team]],"YES","NO"))</f>
        <v>-</v>
      </c>
      <c r="O1224" t="str">
        <f>IF(OR((NHL2025_26Results[[#This Row],[Winning Team]]="")),"-",IF(Table46[[#This Row],[Prob Winner]]=NHL2025_26Results[[#This Row],[Winning Team]],"YES","NO"))</f>
        <v>-</v>
      </c>
      <c r="P1224" t="str">
        <f>IF(Table46[[#This Row],[Locked Prediction]]&lt;&gt;Table46[[#This Row],[Prob Winner]], "Changed", "Same")</f>
        <v>Changed</v>
      </c>
      <c r="Q122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25" spans="4:17" x14ac:dyDescent="0.2">
      <c r="D1225" s="1">
        <v>46117</v>
      </c>
      <c r="E1225" s="2">
        <v>0.79166666666666663</v>
      </c>
      <c r="F1225" t="s">
        <v>18</v>
      </c>
      <c r="G1225">
        <f>VLOOKUP(Table46[[#This Row],[Home]],'NHL Model'!$A$6:$B$38,2,FALSE)</f>
        <v>-0.52437726201848234</v>
      </c>
      <c r="H1225" t="s">
        <v>24</v>
      </c>
      <c r="I1225">
        <f>VLOOKUP(Table46[[#This Row],[Visitor]],'NHL Model'!$A$6:$B$38,2,FALSE)</f>
        <v>0.559441163373953</v>
      </c>
      <c r="J1225">
        <f>($B$1+Table46[[#This Row],[Home Differential]])-Table46[[#This Row],[Away Differential]]</f>
        <v>-0.92124611573011694</v>
      </c>
      <c r="K1225" t="str">
        <f>IF(Table46[[#This Row],[HomeIce Differential]]&gt;0,Table46[[#This Row],[Home]],Table46[[#This Row],[Visitor]])</f>
        <v>New Jersey Devils</v>
      </c>
      <c r="L122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0.64876690769329204</v>
      </c>
      <c r="M1225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225" t="str">
        <f>IF(OR((NHL2025_26Results[[#This Row],[Winning Team]]="")),"-",IF(Table46[[#This Row],[Predicted Winner]]=NHL2025_26Results[[#This Row],[Winning Team]],"YES","NO"))</f>
        <v>-</v>
      </c>
      <c r="O1225" t="str">
        <f>IF(OR((NHL2025_26Results[[#This Row],[Winning Team]]="")),"-",IF(Table46[[#This Row],[Prob Winner]]=NHL2025_26Results[[#This Row],[Winning Team]],"YES","NO"))</f>
        <v>-</v>
      </c>
      <c r="P1225" t="str">
        <f>IF(Table46[[#This Row],[Locked Prediction]]&lt;&gt;Table46[[#This Row],[Prob Winner]], "Changed", "Same")</f>
        <v>Changed</v>
      </c>
      <c r="Q122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26" spans="4:17" x14ac:dyDescent="0.2">
      <c r="D1226" s="1">
        <v>46117</v>
      </c>
      <c r="E1226" s="2">
        <v>0.79166666666666663</v>
      </c>
      <c r="F1226" t="s">
        <v>15</v>
      </c>
      <c r="G1226">
        <f>VLOOKUP(Table46[[#This Row],[Home]],'NHL Model'!$A$6:$B$38,2,FALSE)</f>
        <v>-0.30719665303039001</v>
      </c>
      <c r="H1226" t="s">
        <v>22</v>
      </c>
      <c r="I1226">
        <f>VLOOKUP(Table46[[#This Row],[Visitor]],'NHL Model'!$A$6:$B$38,2,FALSE)</f>
        <v>-6.1308839486784707E-2</v>
      </c>
      <c r="J1226">
        <f>($B$1+Table46[[#This Row],[Home Differential]])-Table46[[#This Row],[Away Differential]]</f>
        <v>-8.3315503881286918E-2</v>
      </c>
      <c r="K1226" t="str">
        <f>IF(Table46[[#This Row],[HomeIce Differential]]&gt;0,Table46[[#This Row],[Home]],Table46[[#This Row],[Visitor]])</f>
        <v>Washington Capitals</v>
      </c>
      <c r="L122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0.47107421398157884</v>
      </c>
      <c r="M1226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226" t="str">
        <f>IF(OR((NHL2025_26Results[[#This Row],[Winning Team]]="")),"-",IF(Table46[[#This Row],[Predicted Winner]]=NHL2025_26Results[[#This Row],[Winning Team]],"YES","NO"))</f>
        <v>-</v>
      </c>
      <c r="O1226" t="str">
        <f>IF(OR((NHL2025_26Results[[#This Row],[Winning Team]]="")),"-",IF(Table46[[#This Row],[Prob Winner]]=NHL2025_26Results[[#This Row],[Winning Team]],"YES","NO"))</f>
        <v>-</v>
      </c>
      <c r="P1226" t="str">
        <f>IF(Table46[[#This Row],[Locked Prediction]]&lt;&gt;Table46[[#This Row],[Prob Winner]], "Changed", "Same")</f>
        <v>Changed</v>
      </c>
      <c r="Q122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27" spans="4:17" x14ac:dyDescent="0.2">
      <c r="D1227" s="1">
        <v>46117</v>
      </c>
      <c r="E1227" s="2">
        <v>0.70833333333333337</v>
      </c>
      <c r="F1227" t="s">
        <v>36</v>
      </c>
      <c r="G1227">
        <f>VLOOKUP(Table46[[#This Row],[Home]],'NHL Model'!$A$6:$B$38,2,FALSE)</f>
        <v>-0.40651947573390851</v>
      </c>
      <c r="H1227" t="s">
        <v>25</v>
      </c>
      <c r="I1227">
        <f>VLOOKUP(Table46[[#This Row],[Visitor]],'NHL Model'!$A$6:$B$38,2,FALSE)</f>
        <v>0.67193921242367816</v>
      </c>
      <c r="J1227">
        <f>($B$1+Table46[[#This Row],[Home Differential]])-Table46[[#This Row],[Away Differential]]</f>
        <v>-0.91588637849526822</v>
      </c>
      <c r="K1227" t="str">
        <f>IF(Table46[[#This Row],[HomeIce Differential]]&gt;0,Table46[[#This Row],[Home]],Table46[[#This Row],[Visitor]])</f>
        <v>Carolina Hurricanes</v>
      </c>
      <c r="L122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0.67173870727256102</v>
      </c>
      <c r="M1227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227" t="str">
        <f>IF(OR((NHL2025_26Results[[#This Row],[Winning Team]]="")),"-",IF(Table46[[#This Row],[Predicted Winner]]=NHL2025_26Results[[#This Row],[Winning Team]],"YES","NO"))</f>
        <v>-</v>
      </c>
      <c r="O1227" t="str">
        <f>IF(OR((NHL2025_26Results[[#This Row],[Winning Team]]="")),"-",IF(Table46[[#This Row],[Prob Winner]]=NHL2025_26Results[[#This Row],[Winning Team]],"YES","NO"))</f>
        <v>-</v>
      </c>
      <c r="P1227" t="str">
        <f>IF(Table46[[#This Row],[Locked Prediction]]&lt;&gt;Table46[[#This Row],[Prob Winner]], "Changed", "Same")</f>
        <v>Changed</v>
      </c>
      <c r="Q122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28" spans="4:17" x14ac:dyDescent="0.2">
      <c r="D1228" s="1">
        <v>46117</v>
      </c>
      <c r="E1228" s="2">
        <v>0.64583333333333337</v>
      </c>
      <c r="F1228" t="s">
        <v>27</v>
      </c>
      <c r="G1228">
        <f>VLOOKUP(Table46[[#This Row],[Home]],'NHL Model'!$A$6:$B$38,2,FALSE)</f>
        <v>-0.51358590497437617</v>
      </c>
      <c r="H1228" t="s">
        <v>21</v>
      </c>
      <c r="I1228">
        <f>VLOOKUP(Table46[[#This Row],[Visitor]],'NHL Model'!$A$6:$B$38,2,FALSE)</f>
        <v>4.029141914856392E-2</v>
      </c>
      <c r="J1228">
        <f>($B$1+Table46[[#This Row],[Home Differential]])-Table46[[#This Row],[Away Differential]]</f>
        <v>-0.39130501446062171</v>
      </c>
      <c r="K1228" t="str">
        <f>IF(Table46[[#This Row],[HomeIce Differential]]&gt;0,Table46[[#This Row],[Home]],Table46[[#This Row],[Visitor]])</f>
        <v>Boston Bruins</v>
      </c>
      <c r="L122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0.50951639446056907</v>
      </c>
      <c r="M1228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228" t="str">
        <f>IF(OR((NHL2025_26Results[[#This Row],[Winning Team]]="")),"-",IF(Table46[[#This Row],[Predicted Winner]]=NHL2025_26Results[[#This Row],[Winning Team]],"YES","NO"))</f>
        <v>-</v>
      </c>
      <c r="O1228" t="str">
        <f>IF(OR((NHL2025_26Results[[#This Row],[Winning Team]]="")),"-",IF(Table46[[#This Row],[Prob Winner]]=NHL2025_26Results[[#This Row],[Winning Team]],"YES","NO"))</f>
        <v>-</v>
      </c>
      <c r="P1228" t="str">
        <f>IF(Table46[[#This Row],[Locked Prediction]]&lt;&gt;Table46[[#This Row],[Prob Winner]], "Changed", "Same")</f>
        <v>Changed</v>
      </c>
      <c r="Q122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29" spans="4:17" x14ac:dyDescent="0.2">
      <c r="D1229" s="1">
        <v>46117</v>
      </c>
      <c r="E1229" s="2">
        <v>0.625</v>
      </c>
      <c r="F1229" t="s">
        <v>14</v>
      </c>
      <c r="G1229">
        <f>VLOOKUP(Table46[[#This Row],[Home]],'NHL Model'!$A$6:$B$38,2,FALSE)</f>
        <v>0.26289091192875702</v>
      </c>
      <c r="H1229" t="s">
        <v>11</v>
      </c>
      <c r="I1229">
        <f>VLOOKUP(Table46[[#This Row],[Visitor]],'NHL Model'!$A$6:$B$38,2,FALSE)</f>
        <v>-0.28105923893144158</v>
      </c>
      <c r="J1229">
        <f>($B$1+Table46[[#This Row],[Home Differential]])-Table46[[#This Row],[Away Differential]]</f>
        <v>0.70652246052251699</v>
      </c>
      <c r="K1229" t="str">
        <f>IF(Table46[[#This Row],[HomeIce Differential]]&gt;0,Table46[[#This Row],[Home]],Table46[[#This Row],[Visitor]])</f>
        <v>Pittsburgh Penguins</v>
      </c>
      <c r="L122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0.66994712970930714</v>
      </c>
      <c r="M1229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229" t="str">
        <f>IF(OR((NHL2025_26Results[[#This Row],[Winning Team]]="")),"-",IF(Table46[[#This Row],[Predicted Winner]]=NHL2025_26Results[[#This Row],[Winning Team]],"YES","NO"))</f>
        <v>-</v>
      </c>
      <c r="O1229" t="str">
        <f>IF(OR((NHL2025_26Results[[#This Row],[Winning Team]]="")),"-",IF(Table46[[#This Row],[Prob Winner]]=NHL2025_26Results[[#This Row],[Winning Team]],"YES","NO"))</f>
        <v>-</v>
      </c>
      <c r="P1229" t="str">
        <f>IF(Table46[[#This Row],[Locked Prediction]]&lt;&gt;Table46[[#This Row],[Prob Winner]], "Changed", "Same")</f>
        <v>Changed</v>
      </c>
      <c r="Q122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30" spans="4:17" x14ac:dyDescent="0.2">
      <c r="D1230" s="1">
        <v>46118</v>
      </c>
      <c r="E1230" s="2">
        <v>0.79166666666666663</v>
      </c>
      <c r="F1230" t="s">
        <v>23</v>
      </c>
      <c r="G1230">
        <f>VLOOKUP(Table46[[#This Row],[Home]],'NHL Model'!$A$6:$B$38,2,FALSE)</f>
        <v>-0.8683412362501769</v>
      </c>
      <c r="H1230" t="s">
        <v>37</v>
      </c>
      <c r="I1230">
        <f>VLOOKUP(Table46[[#This Row],[Visitor]],'NHL Model'!$A$6:$B$38,2,FALSE)</f>
        <v>-0.11309445867623392</v>
      </c>
      <c r="J1230">
        <f>($B$1+Table46[[#This Row],[Home Differential]])-Table46[[#This Row],[Away Differential]]</f>
        <v>-0.59267446791162459</v>
      </c>
      <c r="K1230" t="str">
        <f>IF(Table46[[#This Row],[HomeIce Differential]]&gt;0,Table46[[#This Row],[Home]],Table46[[#This Row],[Visitor]])</f>
        <v>Tampa Bay Lightning</v>
      </c>
      <c r="L123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0.58587709278856437</v>
      </c>
      <c r="M1230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230" t="str">
        <f>IF(OR((NHL2025_26Results[[#This Row],[Winning Team]]="")),"-",IF(Table46[[#This Row],[Predicted Winner]]=NHL2025_26Results[[#This Row],[Winning Team]],"YES","NO"))</f>
        <v>-</v>
      </c>
      <c r="O1230" t="str">
        <f>IF(OR((NHL2025_26Results[[#This Row],[Winning Team]]="")),"-",IF(Table46[[#This Row],[Prob Winner]]=NHL2025_26Results[[#This Row],[Winning Team]],"YES","NO"))</f>
        <v>-</v>
      </c>
      <c r="P1230" t="str">
        <f>IF(Table46[[#This Row],[Locked Prediction]]&lt;&gt;Table46[[#This Row],[Prob Winner]], "Changed", "Same")</f>
        <v>Changed</v>
      </c>
      <c r="Q123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31" spans="4:17" x14ac:dyDescent="0.2">
      <c r="D1231" s="1">
        <v>46118</v>
      </c>
      <c r="E1231" s="2">
        <v>0.9375</v>
      </c>
      <c r="F1231" t="s">
        <v>13</v>
      </c>
      <c r="G1231">
        <f>VLOOKUP(Table46[[#This Row],[Home]],'NHL Model'!$A$6:$B$38,2,FALSE)</f>
        <v>-7.5459708298993802E-2</v>
      </c>
      <c r="H1231" t="s">
        <v>29</v>
      </c>
      <c r="I1231">
        <f>VLOOKUP(Table46[[#This Row],[Visitor]],'NHL Model'!$A$6:$B$38,2,FALSE)</f>
        <v>-1.3516250707060606</v>
      </c>
      <c r="J1231">
        <f>($B$1+Table46[[#This Row],[Home Differential]])-Table46[[#This Row],[Away Differential]]</f>
        <v>1.4387376720693852</v>
      </c>
      <c r="K1231" t="str">
        <f>IF(Table46[[#This Row],[HomeIce Differential]]&gt;0,Table46[[#This Row],[Home]],Table46[[#This Row],[Visitor]])</f>
        <v>Los Angeles Kings</v>
      </c>
      <c r="L123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0.7312355816338475</v>
      </c>
      <c r="M1231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231" t="str">
        <f>IF(OR((NHL2025_26Results[[#This Row],[Winning Team]]="")),"-",IF(Table46[[#This Row],[Predicted Winner]]=NHL2025_26Results[[#This Row],[Winning Team]],"YES","NO"))</f>
        <v>-</v>
      </c>
      <c r="O1231" t="str">
        <f>IF(OR((NHL2025_26Results[[#This Row],[Winning Team]]="")),"-",IF(Table46[[#This Row],[Prob Winner]]=NHL2025_26Results[[#This Row],[Winning Team]],"YES","NO"))</f>
        <v>-</v>
      </c>
      <c r="P1231" t="str">
        <f>IF(Table46[[#This Row],[Locked Prediction]]&lt;&gt;Table46[[#This Row],[Prob Winner]], "Changed", "Same")</f>
        <v>Changed</v>
      </c>
      <c r="Q123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32" spans="4:17" x14ac:dyDescent="0.2">
      <c r="D1232" s="1">
        <v>46118</v>
      </c>
      <c r="E1232" s="2">
        <v>0.91666666666666663</v>
      </c>
      <c r="F1232" t="s">
        <v>33</v>
      </c>
      <c r="G1232">
        <f>VLOOKUP(Table46[[#This Row],[Home]],'NHL Model'!$A$6:$B$38,2,FALSE)</f>
        <v>-0.39418177254008485</v>
      </c>
      <c r="H1232" t="s">
        <v>10</v>
      </c>
      <c r="I1232">
        <f>VLOOKUP(Table46[[#This Row],[Visitor]],'NHL Model'!$A$6:$B$38,2,FALSE)</f>
        <v>0.30570968833820172</v>
      </c>
      <c r="J1232">
        <f>($B$1+Table46[[#This Row],[Home Differential]])-Table46[[#This Row],[Away Differential]]</f>
        <v>-0.53731915121596818</v>
      </c>
      <c r="K1232" t="str">
        <f>IF(Table46[[#This Row],[HomeIce Differential]]&gt;0,Table46[[#This Row],[Home]],Table46[[#This Row],[Visitor]])</f>
        <v>Chicago Blackhawks</v>
      </c>
      <c r="L123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0.55218915839091842</v>
      </c>
      <c r="M1232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232" t="str">
        <f>IF(OR((NHL2025_26Results[[#This Row],[Winning Team]]="")),"-",IF(Table46[[#This Row],[Predicted Winner]]=NHL2025_26Results[[#This Row],[Winning Team]],"YES","NO"))</f>
        <v>-</v>
      </c>
      <c r="O1232" t="str">
        <f>IF(OR((NHL2025_26Results[[#This Row],[Winning Team]]="")),"-",IF(Table46[[#This Row],[Prob Winner]]=NHL2025_26Results[[#This Row],[Winning Team]],"YES","NO"))</f>
        <v>-</v>
      </c>
      <c r="P1232" t="str">
        <f>IF(Table46[[#This Row],[Locked Prediction]]&lt;&gt;Table46[[#This Row],[Prob Winner]], "Changed", "Same")</f>
        <v>Changed</v>
      </c>
      <c r="Q123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33" spans="4:17" x14ac:dyDescent="0.2">
      <c r="D1233" s="1">
        <v>46118</v>
      </c>
      <c r="E1233" s="2">
        <v>0.8125</v>
      </c>
      <c r="F1233" t="s">
        <v>40</v>
      </c>
      <c r="G1233">
        <f>VLOOKUP(Table46[[#This Row],[Home]],'NHL Model'!$A$6:$B$38,2,FALSE)</f>
        <v>0.105105258369765</v>
      </c>
      <c r="H1233" t="s">
        <v>32</v>
      </c>
      <c r="I1233">
        <f>VLOOKUP(Table46[[#This Row],[Visitor]],'NHL Model'!$A$6:$B$38,2,FALSE)</f>
        <v>-0.361361309178443</v>
      </c>
      <c r="J1233">
        <f>($B$1+Table46[[#This Row],[Home Differential]])-Table46[[#This Row],[Away Differential]]</f>
        <v>0.62903887721052643</v>
      </c>
      <c r="K1233" t="str">
        <f>IF(Table46[[#This Row],[HomeIce Differential]]&gt;0,Table46[[#This Row],[Home]],Table46[[#This Row],[Visitor]])</f>
        <v>Winnipeg Jets</v>
      </c>
      <c r="L123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0.65964808881436032</v>
      </c>
      <c r="M1233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233" t="str">
        <f>IF(OR((NHL2025_26Results[[#This Row],[Winning Team]]="")),"-",IF(Table46[[#This Row],[Predicted Winner]]=NHL2025_26Results[[#This Row],[Winning Team]],"YES","NO"))</f>
        <v>-</v>
      </c>
      <c r="O1233" t="str">
        <f>IF(OR((NHL2025_26Results[[#This Row],[Winning Team]]="")),"-",IF(Table46[[#This Row],[Prob Winner]]=NHL2025_26Results[[#This Row],[Winning Team]],"YES","NO"))</f>
        <v>-</v>
      </c>
      <c r="P1233" t="str">
        <f>IF(Table46[[#This Row],[Locked Prediction]]&lt;&gt;Table46[[#This Row],[Prob Winner]], "Changed", "Same")</f>
        <v>Changed</v>
      </c>
      <c r="Q123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34" spans="4:17" x14ac:dyDescent="0.2">
      <c r="D1234" s="1">
        <v>46119</v>
      </c>
      <c r="E1234" s="2">
        <v>0.91666666666666663</v>
      </c>
      <c r="F1234" t="s">
        <v>31</v>
      </c>
      <c r="G1234">
        <f>VLOOKUP(Table46[[#This Row],[Home]],'NHL Model'!$A$6:$B$38,2,FALSE)</f>
        <v>0.51775546328552802</v>
      </c>
      <c r="H1234" t="s">
        <v>29</v>
      </c>
      <c r="I1234">
        <f>VLOOKUP(Table46[[#This Row],[Visitor]],'NHL Model'!$A$6:$B$38,2,FALSE)</f>
        <v>-1.3516250707060606</v>
      </c>
      <c r="J1234">
        <f>($B$1+Table46[[#This Row],[Home Differential]])-Table46[[#This Row],[Away Differential]]</f>
        <v>2.0319528436539072</v>
      </c>
      <c r="K1234" t="str">
        <f>IF(Table46[[#This Row],[HomeIce Differential]]&gt;0,Table46[[#This Row],[Home]],Table46[[#This Row],[Visitor]])</f>
        <v>Anaheim Ducks</v>
      </c>
      <c r="L123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0.91441504964377818</v>
      </c>
      <c r="M1234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234" t="str">
        <f>IF(OR((NHL2025_26Results[[#This Row],[Winning Team]]="")),"-",IF(Table46[[#This Row],[Predicted Winner]]=NHL2025_26Results[[#This Row],[Winning Team]],"YES","NO"))</f>
        <v>-</v>
      </c>
      <c r="O1234" t="str">
        <f>IF(OR((NHL2025_26Results[[#This Row],[Winning Team]]="")),"-",IF(Table46[[#This Row],[Prob Winner]]=NHL2025_26Results[[#This Row],[Winning Team]],"YES","NO"))</f>
        <v>-</v>
      </c>
      <c r="P1234" t="str">
        <f>IF(Table46[[#This Row],[Locked Prediction]]&lt;&gt;Table46[[#This Row],[Prob Winner]], "Changed", "Same")</f>
        <v>Changed</v>
      </c>
      <c r="Q123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35" spans="4:17" x14ac:dyDescent="0.2">
      <c r="D1235" s="1">
        <v>46119</v>
      </c>
      <c r="E1235" s="2">
        <v>0.79166666666666663</v>
      </c>
      <c r="F1235" t="s">
        <v>25</v>
      </c>
      <c r="G1235">
        <f>VLOOKUP(Table46[[#This Row],[Home]],'NHL Model'!$A$6:$B$38,2,FALSE)</f>
        <v>0.67193921242367816</v>
      </c>
      <c r="H1235" t="s">
        <v>21</v>
      </c>
      <c r="I1235">
        <f>VLOOKUP(Table46[[#This Row],[Visitor]],'NHL Model'!$A$6:$B$38,2,FALSE)</f>
        <v>4.029141914856392E-2</v>
      </c>
      <c r="J1235">
        <f>($B$1+Table46[[#This Row],[Home Differential]])-Table46[[#This Row],[Away Differential]]</f>
        <v>0.79422010293743261</v>
      </c>
      <c r="K1235" t="str">
        <f>IF(Table46[[#This Row],[HomeIce Differential]]&gt;0,Table46[[#This Row],[Home]],Table46[[#This Row],[Visitor]])</f>
        <v>Carolina Hurricanes</v>
      </c>
      <c r="L123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0.69728292316196372</v>
      </c>
      <c r="M1235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235" t="str">
        <f>IF(OR((NHL2025_26Results[[#This Row],[Winning Team]]="")),"-",IF(Table46[[#This Row],[Predicted Winner]]=NHL2025_26Results[[#This Row],[Winning Team]],"YES","NO"))</f>
        <v>-</v>
      </c>
      <c r="O1235" t="str">
        <f>IF(OR((NHL2025_26Results[[#This Row],[Winning Team]]="")),"-",IF(Table46[[#This Row],[Prob Winner]]=NHL2025_26Results[[#This Row],[Winning Team]],"YES","NO"))</f>
        <v>-</v>
      </c>
      <c r="P1235" t="str">
        <f>IF(Table46[[#This Row],[Locked Prediction]]&lt;&gt;Table46[[#This Row],[Prob Winner]], "Changed", "Same")</f>
        <v>Changed</v>
      </c>
      <c r="Q123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36" spans="4:17" x14ac:dyDescent="0.2">
      <c r="D1236" s="1">
        <v>46119</v>
      </c>
      <c r="E1236" s="2">
        <v>0.83333333333333337</v>
      </c>
      <c r="F1236" t="s">
        <v>39</v>
      </c>
      <c r="G1236">
        <f>VLOOKUP(Table46[[#This Row],[Home]],'NHL Model'!$A$6:$B$38,2,FALSE)</f>
        <v>0.19809534061227302</v>
      </c>
      <c r="H1236" t="s">
        <v>16</v>
      </c>
      <c r="I1236">
        <f>VLOOKUP(Table46[[#This Row],[Visitor]],'NHL Model'!$A$6:$B$38,2,FALSE)</f>
        <v>-1.3903684122795328</v>
      </c>
      <c r="J1236">
        <f>($B$1+Table46[[#This Row],[Home Differential]])-Table46[[#This Row],[Away Differential]]</f>
        <v>1.7510360625541241</v>
      </c>
      <c r="K1236" t="str">
        <f>IF(Table46[[#This Row],[HomeIce Differential]]&gt;0,Table46[[#This Row],[Home]],Table46[[#This Row],[Visitor]])</f>
        <v>Dallas Stars</v>
      </c>
      <c r="L123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0.7987837092013349</v>
      </c>
      <c r="M1236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236" t="str">
        <f>IF(OR((NHL2025_26Results[[#This Row],[Winning Team]]="")),"-",IF(Table46[[#This Row],[Predicted Winner]]=NHL2025_26Results[[#This Row],[Winning Team]],"YES","NO"))</f>
        <v>-</v>
      </c>
      <c r="O1236" t="str">
        <f>IF(OR((NHL2025_26Results[[#This Row],[Winning Team]]="")),"-",IF(Table46[[#This Row],[Prob Winner]]=NHL2025_26Results[[#This Row],[Winning Team]],"YES","NO"))</f>
        <v>-</v>
      </c>
      <c r="P1236" t="str">
        <f>IF(Table46[[#This Row],[Locked Prediction]]&lt;&gt;Table46[[#This Row],[Prob Winner]], "Changed", "Same")</f>
        <v>Changed</v>
      </c>
      <c r="Q123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37" spans="4:17" x14ac:dyDescent="0.2">
      <c r="D1237" s="1">
        <v>46119</v>
      </c>
      <c r="E1237" s="2">
        <v>0.79166666666666663</v>
      </c>
      <c r="F1237" t="s">
        <v>26</v>
      </c>
      <c r="G1237">
        <f>VLOOKUP(Table46[[#This Row],[Home]],'NHL Model'!$A$6:$B$38,2,FALSE)</f>
        <v>-0.513643833119658</v>
      </c>
      <c r="H1237" t="s">
        <v>28</v>
      </c>
      <c r="I1237">
        <f>VLOOKUP(Table46[[#This Row],[Visitor]],'NHL Model'!$A$6:$B$38,2,FALSE)</f>
        <v>-0.40822279081308277</v>
      </c>
      <c r="J1237">
        <f>($B$1+Table46[[#This Row],[Home Differential]])-Table46[[#This Row],[Away Differential]]</f>
        <v>5.7151267355743163E-2</v>
      </c>
      <c r="K1237" t="str">
        <f>IF(Table46[[#This Row],[HomeIce Differential]]&gt;0,Table46[[#This Row],[Home]],Table46[[#This Row],[Visitor]])</f>
        <v>Detroit Red Wings</v>
      </c>
      <c r="L123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0.55305103511771447</v>
      </c>
      <c r="M1237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1237" t="str">
        <f>IF(OR((NHL2025_26Results[[#This Row],[Winning Team]]="")),"-",IF(Table46[[#This Row],[Predicted Winner]]=NHL2025_26Results[[#This Row],[Winning Team]],"YES","NO"))</f>
        <v>-</v>
      </c>
      <c r="O1237" t="str">
        <f>IF(OR((NHL2025_26Results[[#This Row],[Winning Team]]="")),"-",IF(Table46[[#This Row],[Prob Winner]]=NHL2025_26Results[[#This Row],[Winning Team]],"YES","NO"))</f>
        <v>-</v>
      </c>
      <c r="P1237" t="str">
        <f>IF(Table46[[#This Row],[Locked Prediction]]&lt;&gt;Table46[[#This Row],[Prob Winner]], "Changed", "Same")</f>
        <v>Changed</v>
      </c>
      <c r="Q123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38" spans="4:17" x14ac:dyDescent="0.2">
      <c r="D1238" s="1">
        <v>46119</v>
      </c>
      <c r="E1238" s="2">
        <v>0.83333333333333337</v>
      </c>
      <c r="F1238" t="s">
        <v>34</v>
      </c>
      <c r="G1238">
        <f>VLOOKUP(Table46[[#This Row],[Home]],'NHL Model'!$A$6:$B$38,2,FALSE)</f>
        <v>-0.53650300840565446</v>
      </c>
      <c r="H1238" t="s">
        <v>32</v>
      </c>
      <c r="I1238">
        <f>VLOOKUP(Table46[[#This Row],[Visitor]],'NHL Model'!$A$6:$B$38,2,FALSE)</f>
        <v>-0.361361309178443</v>
      </c>
      <c r="J1238">
        <f>($B$1+Table46[[#This Row],[Home Differential]])-Table46[[#This Row],[Away Differential]]</f>
        <v>-1.2569389564893063E-2</v>
      </c>
      <c r="K1238" t="str">
        <f>IF(Table46[[#This Row],[HomeIce Differential]]&gt;0,Table46[[#This Row],[Home]],Table46[[#This Row],[Visitor]])</f>
        <v>Seattle Kraken</v>
      </c>
      <c r="L123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0.46167071077020416</v>
      </c>
      <c r="M1238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1238" t="str">
        <f>IF(OR((NHL2025_26Results[[#This Row],[Winning Team]]="")),"-",IF(Table46[[#This Row],[Predicted Winner]]=NHL2025_26Results[[#This Row],[Winning Team]],"YES","NO"))</f>
        <v>-</v>
      </c>
      <c r="O1238" t="str">
        <f>IF(OR((NHL2025_26Results[[#This Row],[Winning Team]]="")),"-",IF(Table46[[#This Row],[Prob Winner]]=NHL2025_26Results[[#This Row],[Winning Team]],"YES","NO"))</f>
        <v>-</v>
      </c>
      <c r="P1238" t="str">
        <f>IF(Table46[[#This Row],[Locked Prediction]]&lt;&gt;Table46[[#This Row],[Prob Winner]], "Changed", "Same")</f>
        <v>Changed</v>
      </c>
      <c r="Q123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39" spans="4:17" x14ac:dyDescent="0.2">
      <c r="D1239" s="1">
        <v>46119</v>
      </c>
      <c r="E1239" s="2">
        <v>0.79166666666666663</v>
      </c>
      <c r="F1239" t="s">
        <v>18</v>
      </c>
      <c r="G1239">
        <f>VLOOKUP(Table46[[#This Row],[Home]],'NHL Model'!$A$6:$B$38,2,FALSE)</f>
        <v>-0.52437726201848234</v>
      </c>
      <c r="H1239" t="s">
        <v>11</v>
      </c>
      <c r="I1239">
        <f>VLOOKUP(Table46[[#This Row],[Visitor]],'NHL Model'!$A$6:$B$38,2,FALSE)</f>
        <v>-0.28105923893144158</v>
      </c>
      <c r="J1239">
        <f>($B$1+Table46[[#This Row],[Home Differential]])-Table46[[#This Row],[Away Differential]]</f>
        <v>-8.0745713424722365E-2</v>
      </c>
      <c r="K1239" t="str">
        <f>IF(Table46[[#This Row],[HomeIce Differential]]&gt;0,Table46[[#This Row],[Home]],Table46[[#This Row],[Visitor]])</f>
        <v>Florida Panthers</v>
      </c>
      <c r="L123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0.47073263998780734</v>
      </c>
      <c r="M1239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1239" t="str">
        <f>IF(OR((NHL2025_26Results[[#This Row],[Winning Team]]="")),"-",IF(Table46[[#This Row],[Predicted Winner]]=NHL2025_26Results[[#This Row],[Winning Team]],"YES","NO"))</f>
        <v>-</v>
      </c>
      <c r="O1239" t="str">
        <f>IF(OR((NHL2025_26Results[[#This Row],[Winning Team]]="")),"-",IF(Table46[[#This Row],[Prob Winner]]=NHL2025_26Results[[#This Row],[Winning Team]],"YES","NO"))</f>
        <v>-</v>
      </c>
      <c r="P1239" t="str">
        <f>IF(Table46[[#This Row],[Locked Prediction]]&lt;&gt;Table46[[#This Row],[Prob Winner]], "Changed", "Same")</f>
        <v>Changed</v>
      </c>
      <c r="Q123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40" spans="4:17" x14ac:dyDescent="0.2">
      <c r="D1240" s="1">
        <v>46119</v>
      </c>
      <c r="E1240" s="2">
        <v>0.79166666666666663</v>
      </c>
      <c r="F1240" t="s">
        <v>24</v>
      </c>
      <c r="G1240">
        <f>VLOOKUP(Table46[[#This Row],[Home]],'NHL Model'!$A$6:$B$38,2,FALSE)</f>
        <v>0.559441163373953</v>
      </c>
      <c r="H1240" t="s">
        <v>27</v>
      </c>
      <c r="I1240">
        <f>VLOOKUP(Table46[[#This Row],[Visitor]],'NHL Model'!$A$6:$B$38,2,FALSE)</f>
        <v>-0.51358590497437617</v>
      </c>
      <c r="J1240">
        <f>($B$1+Table46[[#This Row],[Home Differential]])-Table46[[#This Row],[Away Differential]]</f>
        <v>1.2355993780106476</v>
      </c>
      <c r="K1240" t="str">
        <f>IF(Table46[[#This Row],[HomeIce Differential]]&gt;0,Table46[[#This Row],[Home]],Table46[[#This Row],[Visitor]])</f>
        <v>New Jersey Devils</v>
      </c>
      <c r="L124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0.81966535306560473</v>
      </c>
      <c r="M1240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240" t="str">
        <f>IF(OR((NHL2025_26Results[[#This Row],[Winning Team]]="")),"-",IF(Table46[[#This Row],[Predicted Winner]]=NHL2025_26Results[[#This Row],[Winning Team]],"YES","NO"))</f>
        <v>-</v>
      </c>
      <c r="O1240" t="str">
        <f>IF(OR((NHL2025_26Results[[#This Row],[Winning Team]]="")),"-",IF(Table46[[#This Row],[Prob Winner]]=NHL2025_26Results[[#This Row],[Winning Team]],"YES","NO"))</f>
        <v>-</v>
      </c>
      <c r="P1240" t="str">
        <f>IF(Table46[[#This Row],[Locked Prediction]]&lt;&gt;Table46[[#This Row],[Prob Winner]], "Changed", "Same")</f>
        <v>Changed</v>
      </c>
      <c r="Q124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41" spans="4:17" x14ac:dyDescent="0.2">
      <c r="D1241" s="1">
        <v>46119</v>
      </c>
      <c r="E1241" s="2">
        <v>0.79166666666666663</v>
      </c>
      <c r="F1241" t="s">
        <v>36</v>
      </c>
      <c r="G1241">
        <f>VLOOKUP(Table46[[#This Row],[Home]],'NHL Model'!$A$6:$B$38,2,FALSE)</f>
        <v>-0.40651947573390851</v>
      </c>
      <c r="H1241" t="s">
        <v>37</v>
      </c>
      <c r="I1241">
        <f>VLOOKUP(Table46[[#This Row],[Visitor]],'NHL Model'!$A$6:$B$38,2,FALSE)</f>
        <v>-0.11309445867623392</v>
      </c>
      <c r="J1241">
        <f>($B$1+Table46[[#This Row],[Home Differential]])-Table46[[#This Row],[Away Differential]]</f>
        <v>-0.1308527073953562</v>
      </c>
      <c r="K1241" t="str">
        <f>IF(Table46[[#This Row],[HomeIce Differential]]&gt;0,Table46[[#This Row],[Home]],Table46[[#This Row],[Visitor]])</f>
        <v>Tampa Bay Lightning</v>
      </c>
      <c r="L124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0.52197996779613831</v>
      </c>
      <c r="M1241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241" t="str">
        <f>IF(OR((NHL2025_26Results[[#This Row],[Winning Team]]="")),"-",IF(Table46[[#This Row],[Predicted Winner]]=NHL2025_26Results[[#This Row],[Winning Team]],"YES","NO"))</f>
        <v>-</v>
      </c>
      <c r="O1241" t="str">
        <f>IF(OR((NHL2025_26Results[[#This Row],[Winning Team]]="")),"-",IF(Table46[[#This Row],[Prob Winner]]=NHL2025_26Results[[#This Row],[Winning Team]],"YES","NO"))</f>
        <v>-</v>
      </c>
      <c r="P1241" t="str">
        <f>IF(Table46[[#This Row],[Locked Prediction]]&lt;&gt;Table46[[#This Row],[Prob Winner]], "Changed", "Same")</f>
        <v>Changed</v>
      </c>
      <c r="Q124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42" spans="4:17" x14ac:dyDescent="0.2">
      <c r="D1242" s="1">
        <v>46119</v>
      </c>
      <c r="E1242" s="2">
        <v>0.83333333333333337</v>
      </c>
      <c r="F1242" t="s">
        <v>35</v>
      </c>
      <c r="G1242">
        <f>VLOOKUP(Table46[[#This Row],[Home]],'NHL Model'!$A$6:$B$38,2,FALSE)</f>
        <v>-1.6211574240381006</v>
      </c>
      <c r="H1242" t="s">
        <v>12</v>
      </c>
      <c r="I1242">
        <f>VLOOKUP(Table46[[#This Row],[Visitor]],'NHL Model'!$A$6:$B$38,2,FALSE)</f>
        <v>1.5475013591489768</v>
      </c>
      <c r="J1242">
        <f>($B$1+Table46[[#This Row],[Home Differential]])-Table46[[#This Row],[Away Differential]]</f>
        <v>-3.0060864735247588</v>
      </c>
      <c r="K1242" t="str">
        <f>IF(Table46[[#This Row],[HomeIce Differential]]&gt;0,Table46[[#This Row],[Home]],Table46[[#This Row],[Visitor]])</f>
        <v>Colorado Avalanche</v>
      </c>
      <c r="L124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0.92588181625276511</v>
      </c>
      <c r="M1242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242" t="str">
        <f>IF(OR((NHL2025_26Results[[#This Row],[Winning Team]]="")),"-",IF(Table46[[#This Row],[Predicted Winner]]=NHL2025_26Results[[#This Row],[Winning Team]],"YES","NO"))</f>
        <v>-</v>
      </c>
      <c r="O1242" t="str">
        <f>IF(OR((NHL2025_26Results[[#This Row],[Winning Team]]="")),"-",IF(Table46[[#This Row],[Prob Winner]]=NHL2025_26Results[[#This Row],[Winning Team]],"YES","NO"))</f>
        <v>-</v>
      </c>
      <c r="P1242" t="str">
        <f>IF(Table46[[#This Row],[Locked Prediction]]&lt;&gt;Table46[[#This Row],[Prob Winner]], "Changed", "Same")</f>
        <v>Changed</v>
      </c>
      <c r="Q124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43" spans="4:17" x14ac:dyDescent="0.2">
      <c r="D1243" s="1">
        <v>46119</v>
      </c>
      <c r="E1243" s="2">
        <v>0.89583333333333337</v>
      </c>
      <c r="F1243" t="s">
        <v>55</v>
      </c>
      <c r="G1243">
        <f>VLOOKUP(Table46[[#This Row],[Home]],'NHL Model'!$A$6:$B$38,2,FALSE)</f>
        <v>-0.12212311954851815</v>
      </c>
      <c r="H1243" t="s">
        <v>17</v>
      </c>
      <c r="I1243">
        <f>VLOOKUP(Table46[[#This Row],[Visitor]],'NHL Model'!$A$6:$B$38,2,FALSE)</f>
        <v>-0.61980804137564283</v>
      </c>
      <c r="J1243">
        <f>($B$1+Table46[[#This Row],[Home Differential]])-Table46[[#This Row],[Away Differential]]</f>
        <v>0.66025723148944304</v>
      </c>
      <c r="K1243" t="str">
        <f>IF(Table46[[#This Row],[HomeIce Differential]]&gt;0,Table46[[#This Row],[Home]],Table46[[#This Row],[Visitor]])</f>
        <v>Utah Mammoth</v>
      </c>
      <c r="L124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0.69603324116532472</v>
      </c>
      <c r="M1243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243" t="str">
        <f>IF(OR((NHL2025_26Results[[#This Row],[Winning Team]]="")),"-",IF(Table46[[#This Row],[Predicted Winner]]=NHL2025_26Results[[#This Row],[Winning Team]],"YES","NO"))</f>
        <v>-</v>
      </c>
      <c r="O1243" t="str">
        <f>IF(OR((NHL2025_26Results[[#This Row],[Winning Team]]="")),"-",IF(Table46[[#This Row],[Prob Winner]]=NHL2025_26Results[[#This Row],[Winning Team]],"YES","NO"))</f>
        <v>-</v>
      </c>
      <c r="P1243" t="str">
        <f>IF(Table46[[#This Row],[Locked Prediction]]&lt;&gt;Table46[[#This Row],[Prob Winner]], "Changed", "Same")</f>
        <v>Changed</v>
      </c>
      <c r="Q124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44" spans="4:17" x14ac:dyDescent="0.2">
      <c r="D1244" s="1">
        <v>46119</v>
      </c>
      <c r="E1244" s="2">
        <v>0.91666666666666663</v>
      </c>
      <c r="F1244" t="s">
        <v>38</v>
      </c>
      <c r="G1244">
        <f>VLOOKUP(Table46[[#This Row],[Home]],'NHL Model'!$A$6:$B$38,2,FALSE)</f>
        <v>-0.6902088310934803</v>
      </c>
      <c r="H1244" t="s">
        <v>20</v>
      </c>
      <c r="I1244">
        <f>VLOOKUP(Table46[[#This Row],[Visitor]],'NHL Model'!$A$6:$B$38,2,FALSE)</f>
        <v>-6.3745791019188943E-4</v>
      </c>
      <c r="J1244">
        <f>($B$1+Table46[[#This Row],[Home Differential]])-Table46[[#This Row],[Away Differential]]</f>
        <v>-0.52699906352097003</v>
      </c>
      <c r="K1244" t="str">
        <f>IF(Table46[[#This Row],[HomeIce Differential]]&gt;0,Table46[[#This Row],[Home]],Table46[[#This Row],[Visitor]])</f>
        <v>Vegas Golden Knights</v>
      </c>
      <c r="L124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0.55081742259002942</v>
      </c>
      <c r="M1244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244" t="str">
        <f>IF(OR((NHL2025_26Results[[#This Row],[Winning Team]]="")),"-",IF(Table46[[#This Row],[Predicted Winner]]=NHL2025_26Results[[#This Row],[Winning Team]],"YES","NO"))</f>
        <v>-</v>
      </c>
      <c r="O1244" t="str">
        <f>IF(OR((NHL2025_26Results[[#This Row],[Winning Team]]="")),"-",IF(Table46[[#This Row],[Prob Winner]]=NHL2025_26Results[[#This Row],[Winning Team]],"YES","NO"))</f>
        <v>-</v>
      </c>
      <c r="P1244" t="str">
        <f>IF(Table46[[#This Row],[Locked Prediction]]&lt;&gt;Table46[[#This Row],[Prob Winner]], "Changed", "Same")</f>
        <v>Changed</v>
      </c>
      <c r="Q124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45" spans="4:17" x14ac:dyDescent="0.2">
      <c r="D1245" s="1">
        <v>46120</v>
      </c>
      <c r="E1245" s="2">
        <v>0.79166666666666663</v>
      </c>
      <c r="F1245" t="s">
        <v>15</v>
      </c>
      <c r="G1245">
        <f>VLOOKUP(Table46[[#This Row],[Home]],'NHL Model'!$A$6:$B$38,2,FALSE)</f>
        <v>-0.30719665303039001</v>
      </c>
      <c r="H1245" t="s">
        <v>23</v>
      </c>
      <c r="I1245">
        <f>VLOOKUP(Table46[[#This Row],[Visitor]],'NHL Model'!$A$6:$B$38,2,FALSE)</f>
        <v>-0.8683412362501769</v>
      </c>
      <c r="J1245">
        <f>($B$1+Table46[[#This Row],[Home Differential]])-Table46[[#This Row],[Away Differential]]</f>
        <v>0.72371689288210528</v>
      </c>
      <c r="K1245" t="str">
        <f>IF(Table46[[#This Row],[HomeIce Differential]]&gt;0,Table46[[#This Row],[Home]],Table46[[#This Row],[Visitor]])</f>
        <v>New York Rangers</v>
      </c>
      <c r="L124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0.63619573021222442</v>
      </c>
      <c r="M1245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245" t="str">
        <f>IF(OR((NHL2025_26Results[[#This Row],[Winning Team]]="")),"-",IF(Table46[[#This Row],[Predicted Winner]]=NHL2025_26Results[[#This Row],[Winning Team]],"YES","NO"))</f>
        <v>-</v>
      </c>
      <c r="O1245" t="str">
        <f>IF(OR((NHL2025_26Results[[#This Row],[Winning Team]]="")),"-",IF(Table46[[#This Row],[Prob Winner]]=NHL2025_26Results[[#This Row],[Winning Team]],"YES","NO"))</f>
        <v>-</v>
      </c>
      <c r="P1245" t="str">
        <f>IF(Table46[[#This Row],[Locked Prediction]]&lt;&gt;Table46[[#This Row],[Prob Winner]], "Changed", "Same")</f>
        <v>Changed</v>
      </c>
      <c r="Q124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46" spans="4:17" x14ac:dyDescent="0.2">
      <c r="D1246" s="1">
        <v>46120</v>
      </c>
      <c r="E1246" s="2">
        <v>0.91666666666666663</v>
      </c>
      <c r="F1246" t="s">
        <v>33</v>
      </c>
      <c r="G1246">
        <f>VLOOKUP(Table46[[#This Row],[Home]],'NHL Model'!$A$6:$B$38,2,FALSE)</f>
        <v>-0.39418177254008485</v>
      </c>
      <c r="H1246" t="s">
        <v>17</v>
      </c>
      <c r="I1246">
        <f>VLOOKUP(Table46[[#This Row],[Visitor]],'NHL Model'!$A$6:$B$38,2,FALSE)</f>
        <v>-0.61980804137564283</v>
      </c>
      <c r="J1246">
        <f>($B$1+Table46[[#This Row],[Home Differential]])-Table46[[#This Row],[Away Differential]]</f>
        <v>0.38819857849787637</v>
      </c>
      <c r="K1246" t="str">
        <f>IF(Table46[[#This Row],[HomeIce Differential]]&gt;0,Table46[[#This Row],[Home]],Table46[[#This Row],[Visitor]])</f>
        <v>San Jose Sharks</v>
      </c>
      <c r="L124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0.59159896928374445</v>
      </c>
      <c r="M1246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1246" t="str">
        <f>IF(OR((NHL2025_26Results[[#This Row],[Winning Team]]="")),"-",IF(Table46[[#This Row],[Predicted Winner]]=NHL2025_26Results[[#This Row],[Winning Team]],"YES","NO"))</f>
        <v>-</v>
      </c>
      <c r="O1246" t="str">
        <f>IF(OR((NHL2025_26Results[[#This Row],[Winning Team]]="")),"-",IF(Table46[[#This Row],[Prob Winner]]=NHL2025_26Results[[#This Row],[Winning Team]],"YES","NO"))</f>
        <v>-</v>
      </c>
      <c r="P1246" t="str">
        <f>IF(Table46[[#This Row],[Locked Prediction]]&lt;&gt;Table46[[#This Row],[Prob Winner]], "Changed", "Same")</f>
        <v>Changed</v>
      </c>
      <c r="Q124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47" spans="4:17" x14ac:dyDescent="0.2">
      <c r="D1247" s="1">
        <v>46120</v>
      </c>
      <c r="E1247" s="2">
        <v>0.8125</v>
      </c>
      <c r="F1247" t="s">
        <v>19</v>
      </c>
      <c r="G1247">
        <f>VLOOKUP(Table46[[#This Row],[Home]],'NHL Model'!$A$6:$B$38,2,FALSE)</f>
        <v>-0.635565543477981</v>
      </c>
      <c r="H1247" t="s">
        <v>22</v>
      </c>
      <c r="I1247">
        <f>VLOOKUP(Table46[[#This Row],[Visitor]],'NHL Model'!$A$6:$B$38,2,FALSE)</f>
        <v>-6.1308839486784707E-2</v>
      </c>
      <c r="J1247">
        <f>($B$1+Table46[[#This Row],[Home Differential]])-Table46[[#This Row],[Away Differential]]</f>
        <v>-0.41168439432887788</v>
      </c>
      <c r="K1247" t="str">
        <f>IF(Table46[[#This Row],[HomeIce Differential]]&gt;0,Table46[[#This Row],[Home]],Table46[[#This Row],[Visitor]])</f>
        <v>Washington Capitals</v>
      </c>
      <c r="L124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0.51472068058510145</v>
      </c>
      <c r="M1247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1247" t="str">
        <f>IF(OR((NHL2025_26Results[[#This Row],[Winning Team]]="")),"-",IF(Table46[[#This Row],[Predicted Winner]]=NHL2025_26Results[[#This Row],[Winning Team]],"YES","NO"))</f>
        <v>-</v>
      </c>
      <c r="O1247" t="str">
        <f>IF(OR((NHL2025_26Results[[#This Row],[Winning Team]]="")),"-",IF(Table46[[#This Row],[Prob Winner]]=NHL2025_26Results[[#This Row],[Winning Team]],"YES","NO"))</f>
        <v>-</v>
      </c>
      <c r="P1247" t="str">
        <f>IF(Table46[[#This Row],[Locked Prediction]]&lt;&gt;Table46[[#This Row],[Prob Winner]], "Changed", "Same")</f>
        <v>Changed</v>
      </c>
      <c r="Q124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48" spans="4:17" x14ac:dyDescent="0.2">
      <c r="D1248" s="1">
        <v>46121</v>
      </c>
      <c r="E1248" s="2">
        <v>0.91666666666666663</v>
      </c>
      <c r="F1248" t="s">
        <v>31</v>
      </c>
      <c r="G1248">
        <f>VLOOKUP(Table46[[#This Row],[Home]],'NHL Model'!$A$6:$B$38,2,FALSE)</f>
        <v>0.51775546328552802</v>
      </c>
      <c r="H1248" t="s">
        <v>33</v>
      </c>
      <c r="I1248">
        <f>VLOOKUP(Table46[[#This Row],[Visitor]],'NHL Model'!$A$6:$B$38,2,FALSE)</f>
        <v>-0.39418177254008485</v>
      </c>
      <c r="J1248">
        <f>($B$1+Table46[[#This Row],[Home Differential]])-Table46[[#This Row],[Away Differential]]</f>
        <v>1.0745095454879312</v>
      </c>
      <c r="K1248" t="str">
        <f>IF(Table46[[#This Row],[HomeIce Differential]]&gt;0,Table46[[#This Row],[Home]],Table46[[#This Row],[Visitor]])</f>
        <v>Anaheim Ducks</v>
      </c>
      <c r="L124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0.78715263790554613</v>
      </c>
      <c r="M1248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248" t="str">
        <f>IF(OR((NHL2025_26Results[[#This Row],[Winning Team]]="")),"-",IF(Table46[[#This Row],[Predicted Winner]]=NHL2025_26Results[[#This Row],[Winning Team]],"YES","NO"))</f>
        <v>-</v>
      </c>
      <c r="O1248" t="str">
        <f>IF(OR((NHL2025_26Results[[#This Row],[Winning Team]]="")),"-",IF(Table46[[#This Row],[Prob Winner]]=NHL2025_26Results[[#This Row],[Winning Team]],"YES","NO"))</f>
        <v>-</v>
      </c>
      <c r="P1248" t="str">
        <f>IF(Table46[[#This Row],[Locked Prediction]]&lt;&gt;Table46[[#This Row],[Prob Winner]], "Changed", "Same")</f>
        <v>Changed</v>
      </c>
      <c r="Q124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49" spans="4:17" x14ac:dyDescent="0.2">
      <c r="D1249" s="1">
        <v>46121</v>
      </c>
      <c r="E1249" s="2">
        <v>0.79166666666666663</v>
      </c>
      <c r="F1249" t="s">
        <v>23</v>
      </c>
      <c r="G1249">
        <f>VLOOKUP(Table46[[#This Row],[Home]],'NHL Model'!$A$6:$B$38,2,FALSE)</f>
        <v>-0.8683412362501769</v>
      </c>
      <c r="H1249" t="s">
        <v>28</v>
      </c>
      <c r="I1249">
        <f>VLOOKUP(Table46[[#This Row],[Visitor]],'NHL Model'!$A$6:$B$38,2,FALSE)</f>
        <v>-0.40822279081308277</v>
      </c>
      <c r="J1249">
        <f>($B$1+Table46[[#This Row],[Home Differential]])-Table46[[#This Row],[Away Differential]]</f>
        <v>-0.29754613577477573</v>
      </c>
      <c r="K1249" t="str">
        <f>IF(Table46[[#This Row],[HomeIce Differential]]&gt;0,Table46[[#This Row],[Home]],Table46[[#This Row],[Visitor]])</f>
        <v>Columbus Blue Jackets</v>
      </c>
      <c r="L124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0.5203187674515849</v>
      </c>
      <c r="M1249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1249" t="str">
        <f>IF(OR((NHL2025_26Results[[#This Row],[Winning Team]]="")),"-",IF(Table46[[#This Row],[Predicted Winner]]=NHL2025_26Results[[#This Row],[Winning Team]],"YES","NO"))</f>
        <v>-</v>
      </c>
      <c r="O1249" t="str">
        <f>IF(OR((NHL2025_26Results[[#This Row],[Winning Team]]="")),"-",IF(Table46[[#This Row],[Prob Winner]]=NHL2025_26Results[[#This Row],[Winning Team]],"YES","NO"))</f>
        <v>-</v>
      </c>
      <c r="P1249" t="str">
        <f>IF(Table46[[#This Row],[Locked Prediction]]&lt;&gt;Table46[[#This Row],[Prob Winner]], "Changed", "Same")</f>
        <v>Changed</v>
      </c>
      <c r="Q124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50" spans="4:17" x14ac:dyDescent="0.2">
      <c r="D1250" s="1">
        <v>46121</v>
      </c>
      <c r="E1250" s="2">
        <v>0.85416666666666663</v>
      </c>
      <c r="F1250" t="s">
        <v>10</v>
      </c>
      <c r="G1250">
        <f>VLOOKUP(Table46[[#This Row],[Home]],'NHL Model'!$A$6:$B$38,2,FALSE)</f>
        <v>0.30570968833820172</v>
      </c>
      <c r="H1250" t="s">
        <v>25</v>
      </c>
      <c r="I1250">
        <f>VLOOKUP(Table46[[#This Row],[Visitor]],'NHL Model'!$A$6:$B$38,2,FALSE)</f>
        <v>0.67193921242367816</v>
      </c>
      <c r="J1250">
        <f>($B$1+Table46[[#This Row],[Home Differential]])-Table46[[#This Row],[Away Differential]]</f>
        <v>-0.20365721442315804</v>
      </c>
      <c r="K1250" t="str">
        <f>IF(Table46[[#This Row],[HomeIce Differential]]&gt;0,Table46[[#This Row],[Home]],Table46[[#This Row],[Visitor]])</f>
        <v>Carolina Hurricanes</v>
      </c>
      <c r="L125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0.5795561024031981</v>
      </c>
      <c r="M1250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250" t="str">
        <f>IF(OR((NHL2025_26Results[[#This Row],[Winning Team]]="")),"-",IF(Table46[[#This Row],[Predicted Winner]]=NHL2025_26Results[[#This Row],[Winning Team]],"YES","NO"))</f>
        <v>-</v>
      </c>
      <c r="O1250" t="str">
        <f>IF(OR((NHL2025_26Results[[#This Row],[Winning Team]]="")),"-",IF(Table46[[#This Row],[Prob Winner]]=NHL2025_26Results[[#This Row],[Winning Team]],"YES","NO"))</f>
        <v>-</v>
      </c>
      <c r="P1250" t="str">
        <f>IF(Table46[[#This Row],[Locked Prediction]]&lt;&gt;Table46[[#This Row],[Prob Winner]], "Changed", "Same")</f>
        <v>Changed</v>
      </c>
      <c r="Q125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51" spans="4:17" x14ac:dyDescent="0.2">
      <c r="D1251" s="1">
        <v>46121</v>
      </c>
      <c r="E1251" s="2">
        <v>0.875</v>
      </c>
      <c r="F1251" t="s">
        <v>12</v>
      </c>
      <c r="G1251">
        <f>VLOOKUP(Table46[[#This Row],[Home]],'NHL Model'!$A$6:$B$38,2,FALSE)</f>
        <v>1.5475013591489768</v>
      </c>
      <c r="H1251" t="s">
        <v>16</v>
      </c>
      <c r="I1251">
        <f>VLOOKUP(Table46[[#This Row],[Visitor]],'NHL Model'!$A$6:$B$38,2,FALSE)</f>
        <v>-1.3903684122795328</v>
      </c>
      <c r="J1251">
        <f>($B$1+Table46[[#This Row],[Home Differential]])-Table46[[#This Row],[Away Differential]]</f>
        <v>3.100442081090828</v>
      </c>
      <c r="K1251" t="str">
        <f>IF(Table46[[#This Row],[HomeIce Differential]]&gt;0,Table46[[#This Row],[Home]],Table46[[#This Row],[Visitor]])</f>
        <v>Colorado Avalanche</v>
      </c>
      <c r="L125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1</v>
      </c>
      <c r="M1251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251" t="str">
        <f>IF(OR((NHL2025_26Results[[#This Row],[Winning Team]]="")),"-",IF(Table46[[#This Row],[Predicted Winner]]=NHL2025_26Results[[#This Row],[Winning Team]],"YES","NO"))</f>
        <v>-</v>
      </c>
      <c r="O1251" t="str">
        <f>IF(OR((NHL2025_26Results[[#This Row],[Winning Team]]="")),"-",IF(Table46[[#This Row],[Prob Winner]]=NHL2025_26Results[[#This Row],[Winning Team]],"YES","NO"))</f>
        <v>-</v>
      </c>
      <c r="P1251" t="str">
        <f>IF(Table46[[#This Row],[Locked Prediction]]&lt;&gt;Table46[[#This Row],[Prob Winner]], "Changed", "Same")</f>
        <v>Changed</v>
      </c>
      <c r="Q125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52" spans="4:17" x14ac:dyDescent="0.2">
      <c r="D1252" s="1">
        <v>46121</v>
      </c>
      <c r="E1252" s="2">
        <v>0.875</v>
      </c>
      <c r="F1252" t="s">
        <v>39</v>
      </c>
      <c r="G1252">
        <f>VLOOKUP(Table46[[#This Row],[Home]],'NHL Model'!$A$6:$B$38,2,FALSE)</f>
        <v>0.19809534061227302</v>
      </c>
      <c r="H1252" t="s">
        <v>34</v>
      </c>
      <c r="I1252">
        <f>VLOOKUP(Table46[[#This Row],[Visitor]],'NHL Model'!$A$6:$B$38,2,FALSE)</f>
        <v>-0.53650300840565446</v>
      </c>
      <c r="J1252">
        <f>($B$1+Table46[[#This Row],[Home Differential]])-Table46[[#This Row],[Away Differential]]</f>
        <v>0.89717065868024592</v>
      </c>
      <c r="K1252" t="str">
        <f>IF(Table46[[#This Row],[HomeIce Differential]]&gt;0,Table46[[#This Row],[Home]],Table46[[#This Row],[Visitor]])</f>
        <v>Dallas Stars</v>
      </c>
      <c r="L125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0.685288768242448</v>
      </c>
      <c r="M1252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252" t="str">
        <f>IF(OR((NHL2025_26Results[[#This Row],[Winning Team]]="")),"-",IF(Table46[[#This Row],[Predicted Winner]]=NHL2025_26Results[[#This Row],[Winning Team]],"YES","NO"))</f>
        <v>-</v>
      </c>
      <c r="O1252" t="str">
        <f>IF(OR((NHL2025_26Results[[#This Row],[Winning Team]]="")),"-",IF(Table46[[#This Row],[Prob Winner]]=NHL2025_26Results[[#This Row],[Winning Team]],"YES","NO"))</f>
        <v>-</v>
      </c>
      <c r="P1252" t="str">
        <f>IF(Table46[[#This Row],[Locked Prediction]]&lt;&gt;Table46[[#This Row],[Prob Winner]], "Changed", "Same")</f>
        <v>Changed</v>
      </c>
      <c r="Q125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53" spans="4:17" x14ac:dyDescent="0.2">
      <c r="D1253" s="1">
        <v>46121</v>
      </c>
      <c r="E1253" s="2">
        <v>0.77083333333333337</v>
      </c>
      <c r="F1253" t="s">
        <v>26</v>
      </c>
      <c r="G1253">
        <f>VLOOKUP(Table46[[#This Row],[Home]],'NHL Model'!$A$6:$B$38,2,FALSE)</f>
        <v>-0.513643833119658</v>
      </c>
      <c r="H1253" t="s">
        <v>27</v>
      </c>
      <c r="I1253">
        <f>VLOOKUP(Table46[[#This Row],[Visitor]],'NHL Model'!$A$6:$B$38,2,FALSE)</f>
        <v>-0.51358590497437617</v>
      </c>
      <c r="J1253">
        <f>($B$1+Table46[[#This Row],[Home Differential]])-Table46[[#This Row],[Away Differential]]</f>
        <v>0.16251438151703657</v>
      </c>
      <c r="K1253" t="str">
        <f>IF(Table46[[#This Row],[HomeIce Differential]]&gt;0,Table46[[#This Row],[Home]],Table46[[#This Row],[Visitor]])</f>
        <v>Detroit Red Wings</v>
      </c>
      <c r="L125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0.58763898594253205</v>
      </c>
      <c r="M1253" s="11" t="str">
        <f>IF(Table46[[#This Row],[Strength of Win]]&gt; 0.5,Table46[[#This Row],[Predicted Winner]], IF(Table46[[#This Row],[Home]]=Table46[[#This Row],[Predicted Winner]],Table46[[#This Row],[Visitor]],Table46[[#This Row],[Home]]))</f>
        <v>Detroit Red Wings</v>
      </c>
      <c r="N1253" t="str">
        <f>IF(OR((NHL2025_26Results[[#This Row],[Winning Team]]="")),"-",IF(Table46[[#This Row],[Predicted Winner]]=NHL2025_26Results[[#This Row],[Winning Team]],"YES","NO"))</f>
        <v>-</v>
      </c>
      <c r="O1253" t="str">
        <f>IF(OR((NHL2025_26Results[[#This Row],[Winning Team]]="")),"-",IF(Table46[[#This Row],[Prob Winner]]=NHL2025_26Results[[#This Row],[Winning Team]],"YES","NO"))</f>
        <v>-</v>
      </c>
      <c r="P1253" t="str">
        <f>IF(Table46[[#This Row],[Locked Prediction]]&lt;&gt;Table46[[#This Row],[Prob Winner]], "Changed", "Same")</f>
        <v>Changed</v>
      </c>
      <c r="Q125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54" spans="4:17" x14ac:dyDescent="0.2">
      <c r="D1254" s="1">
        <v>46121</v>
      </c>
      <c r="E1254" s="2">
        <v>0.9375</v>
      </c>
      <c r="F1254" t="s">
        <v>13</v>
      </c>
      <c r="G1254">
        <f>VLOOKUP(Table46[[#This Row],[Home]],'NHL Model'!$A$6:$B$38,2,FALSE)</f>
        <v>-7.5459708298993802E-2</v>
      </c>
      <c r="H1254" t="s">
        <v>38</v>
      </c>
      <c r="I1254">
        <f>VLOOKUP(Table46[[#This Row],[Visitor]],'NHL Model'!$A$6:$B$38,2,FALSE)</f>
        <v>-0.6902088310934803</v>
      </c>
      <c r="J1254">
        <f>($B$1+Table46[[#This Row],[Home Differential]])-Table46[[#This Row],[Away Differential]]</f>
        <v>0.77732143245680485</v>
      </c>
      <c r="K1254" t="str">
        <f>IF(Table46[[#This Row],[HomeIce Differential]]&gt;0,Table46[[#This Row],[Home]],Table46[[#This Row],[Visitor]])</f>
        <v>Los Angeles Kings</v>
      </c>
      <c r="L125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0.60080822952920798</v>
      </c>
      <c r="M1254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254" t="str">
        <f>IF(OR((NHL2025_26Results[[#This Row],[Winning Team]]="")),"-",IF(Table46[[#This Row],[Predicted Winner]]=NHL2025_26Results[[#This Row],[Winning Team]],"YES","NO"))</f>
        <v>-</v>
      </c>
      <c r="O1254" t="str">
        <f>IF(OR((NHL2025_26Results[[#This Row],[Winning Team]]="")),"-",IF(Table46[[#This Row],[Prob Winner]]=NHL2025_26Results[[#This Row],[Winning Team]],"YES","NO"))</f>
        <v>-</v>
      </c>
      <c r="P1254" t="str">
        <f>IF(Table46[[#This Row],[Locked Prediction]]&lt;&gt;Table46[[#This Row],[Prob Winner]], "Changed", "Same")</f>
        <v>Changed</v>
      </c>
      <c r="Q125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55" spans="4:17" x14ac:dyDescent="0.2">
      <c r="D1255" s="1">
        <v>46121</v>
      </c>
      <c r="E1255" s="2">
        <v>0.79166666666666663</v>
      </c>
      <c r="F1255" t="s">
        <v>18</v>
      </c>
      <c r="G1255">
        <f>VLOOKUP(Table46[[#This Row],[Home]],'NHL Model'!$A$6:$B$38,2,FALSE)</f>
        <v>-0.52437726201848234</v>
      </c>
      <c r="H1255" t="s">
        <v>37</v>
      </c>
      <c r="I1255">
        <f>VLOOKUP(Table46[[#This Row],[Visitor]],'NHL Model'!$A$6:$B$38,2,FALSE)</f>
        <v>-0.11309445867623392</v>
      </c>
      <c r="J1255">
        <f>($B$1+Table46[[#This Row],[Home Differential]])-Table46[[#This Row],[Away Differential]]</f>
        <v>-0.24871049367993003</v>
      </c>
      <c r="K1255" t="str">
        <f>IF(Table46[[#This Row],[HomeIce Differential]]&gt;0,Table46[[#This Row],[Home]],Table46[[#This Row],[Visitor]])</f>
        <v>Tampa Bay Lightning</v>
      </c>
      <c r="L125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0.54015774314598708</v>
      </c>
      <c r="M1255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255" t="str">
        <f>IF(OR((NHL2025_26Results[[#This Row],[Winning Team]]="")),"-",IF(Table46[[#This Row],[Predicted Winner]]=NHL2025_26Results[[#This Row],[Winning Team]],"YES","NO"))</f>
        <v>-</v>
      </c>
      <c r="O1255" t="str">
        <f>IF(OR((NHL2025_26Results[[#This Row],[Winning Team]]="")),"-",IF(Table46[[#This Row],[Prob Winner]]=NHL2025_26Results[[#This Row],[Winning Team]],"YES","NO"))</f>
        <v>-</v>
      </c>
      <c r="P1255" t="str">
        <f>IF(Table46[[#This Row],[Locked Prediction]]&lt;&gt;Table46[[#This Row],[Prob Winner]], "Changed", "Same")</f>
        <v>Changed</v>
      </c>
      <c r="Q125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56" spans="4:17" x14ac:dyDescent="0.2">
      <c r="D1256" s="1">
        <v>46121</v>
      </c>
      <c r="E1256" s="2">
        <v>0.79166666666666663</v>
      </c>
      <c r="F1256" t="s">
        <v>24</v>
      </c>
      <c r="G1256">
        <f>VLOOKUP(Table46[[#This Row],[Home]],'NHL Model'!$A$6:$B$38,2,FALSE)</f>
        <v>0.559441163373953</v>
      </c>
      <c r="H1256" t="s">
        <v>14</v>
      </c>
      <c r="I1256">
        <f>VLOOKUP(Table46[[#This Row],[Visitor]],'NHL Model'!$A$6:$B$38,2,FALSE)</f>
        <v>0.26289091192875702</v>
      </c>
      <c r="J1256">
        <f>($B$1+Table46[[#This Row],[Home Differential]])-Table46[[#This Row],[Away Differential]]</f>
        <v>0.45912256110751437</v>
      </c>
      <c r="K1256" t="str">
        <f>IF(Table46[[#This Row],[HomeIce Differential]]&gt;0,Table46[[#This Row],[Home]],Table46[[#This Row],[Visitor]])</f>
        <v>New Jersey Devils</v>
      </c>
      <c r="L125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0.71645682618238848</v>
      </c>
      <c r="M1256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256" t="str">
        <f>IF(OR((NHL2025_26Results[[#This Row],[Winning Team]]="")),"-",IF(Table46[[#This Row],[Predicted Winner]]=NHL2025_26Results[[#This Row],[Winning Team]],"YES","NO"))</f>
        <v>-</v>
      </c>
      <c r="O1256" t="str">
        <f>IF(OR((NHL2025_26Results[[#This Row],[Winning Team]]="")),"-",IF(Table46[[#This Row],[Prob Winner]]=NHL2025_26Results[[#This Row],[Winning Team]],"YES","NO"))</f>
        <v>-</v>
      </c>
      <c r="P1256" t="str">
        <f>IF(Table46[[#This Row],[Locked Prediction]]&lt;&gt;Table46[[#This Row],[Prob Winner]], "Changed", "Same")</f>
        <v>Changed</v>
      </c>
      <c r="Q125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57" spans="4:17" x14ac:dyDescent="0.2">
      <c r="D1257" s="1">
        <v>46121</v>
      </c>
      <c r="E1257" s="2">
        <v>0.79166666666666663</v>
      </c>
      <c r="F1257" t="s">
        <v>30</v>
      </c>
      <c r="G1257">
        <f>VLOOKUP(Table46[[#This Row],[Home]],'NHL Model'!$A$6:$B$38,2,FALSE)</f>
        <v>-6.4729560818359025E-2</v>
      </c>
      <c r="H1257" t="s">
        <v>19</v>
      </c>
      <c r="I1257">
        <f>VLOOKUP(Table46[[#This Row],[Visitor]],'NHL Model'!$A$6:$B$38,2,FALSE)</f>
        <v>-0.635565543477981</v>
      </c>
      <c r="J1257">
        <f>($B$1+Table46[[#This Row],[Home Differential]])-Table46[[#This Row],[Away Differential]]</f>
        <v>0.73340829232194038</v>
      </c>
      <c r="K1257" t="str">
        <f>IF(Table46[[#This Row],[HomeIce Differential]]&gt;0,Table46[[#This Row],[Home]],Table46[[#This Row],[Visitor]])</f>
        <v>New York Islanders</v>
      </c>
      <c r="L125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0.63748390139499256</v>
      </c>
      <c r="M1257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257" t="str">
        <f>IF(OR((NHL2025_26Results[[#This Row],[Winning Team]]="")),"-",IF(Table46[[#This Row],[Predicted Winner]]=NHL2025_26Results[[#This Row],[Winning Team]],"YES","NO"))</f>
        <v>-</v>
      </c>
      <c r="O1257" t="str">
        <f>IF(OR((NHL2025_26Results[[#This Row],[Winning Team]]="")),"-",IF(Table46[[#This Row],[Prob Winner]]=NHL2025_26Results[[#This Row],[Winning Team]],"YES","NO"))</f>
        <v>-</v>
      </c>
      <c r="P1257" t="str">
        <f>IF(Table46[[#This Row],[Locked Prediction]]&lt;&gt;Table46[[#This Row],[Prob Winner]], "Changed", "Same")</f>
        <v>Changed</v>
      </c>
      <c r="Q125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58" spans="4:17" x14ac:dyDescent="0.2">
      <c r="D1258" s="1">
        <v>46121</v>
      </c>
      <c r="E1258" s="2">
        <v>0.79166666666666663</v>
      </c>
      <c r="F1258" t="s">
        <v>36</v>
      </c>
      <c r="G1258">
        <f>VLOOKUP(Table46[[#This Row],[Home]],'NHL Model'!$A$6:$B$38,2,FALSE)</f>
        <v>-0.40651947573390851</v>
      </c>
      <c r="H1258" t="s">
        <v>11</v>
      </c>
      <c r="I1258">
        <f>VLOOKUP(Table46[[#This Row],[Visitor]],'NHL Model'!$A$6:$B$38,2,FALSE)</f>
        <v>-0.28105923893144158</v>
      </c>
      <c r="J1258">
        <f>($B$1+Table46[[#This Row],[Home Differential]])-Table46[[#This Row],[Away Differential]]</f>
        <v>3.7112072859851464E-2</v>
      </c>
      <c r="K1258" t="str">
        <f>IF(Table46[[#This Row],[HomeIce Differential]]&gt;0,Table46[[#This Row],[Home]],Table46[[#This Row],[Visitor]])</f>
        <v>Ottawa Senators</v>
      </c>
      <c r="L125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0.54742837904895392</v>
      </c>
      <c r="M1258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1258" t="str">
        <f>IF(OR((NHL2025_26Results[[#This Row],[Winning Team]]="")),"-",IF(Table46[[#This Row],[Predicted Winner]]=NHL2025_26Results[[#This Row],[Winning Team]],"YES","NO"))</f>
        <v>-</v>
      </c>
      <c r="O1258" t="str">
        <f>IF(OR((NHL2025_26Results[[#This Row],[Winning Team]]="")),"-",IF(Table46[[#This Row],[Prob Winner]]=NHL2025_26Results[[#This Row],[Winning Team]],"YES","NO"))</f>
        <v>-</v>
      </c>
      <c r="P1258" t="str">
        <f>IF(Table46[[#This Row],[Locked Prediction]]&lt;&gt;Table46[[#This Row],[Prob Winner]], "Changed", "Same")</f>
        <v>Changed</v>
      </c>
      <c r="Q125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59" spans="4:17" x14ac:dyDescent="0.2">
      <c r="D1259" s="1">
        <v>46121</v>
      </c>
      <c r="E1259" s="2">
        <v>0.91666666666666663</v>
      </c>
      <c r="F1259" t="s">
        <v>32</v>
      </c>
      <c r="G1259">
        <f>VLOOKUP(Table46[[#This Row],[Home]],'NHL Model'!$A$6:$B$38,2,FALSE)</f>
        <v>-0.361361309178443</v>
      </c>
      <c r="H1259" t="s">
        <v>20</v>
      </c>
      <c r="I1259">
        <f>VLOOKUP(Table46[[#This Row],[Visitor]],'NHL Model'!$A$6:$B$38,2,FALSE)</f>
        <v>-6.3745791019188943E-4</v>
      </c>
      <c r="J1259">
        <f>($B$1+Table46[[#This Row],[Home Differential]])-Table46[[#This Row],[Away Differential]]</f>
        <v>-0.19815154160593271</v>
      </c>
      <c r="K1259" t="str">
        <f>IF(Table46[[#This Row],[HomeIce Differential]]&gt;0,Table46[[#This Row],[Home]],Table46[[#This Row],[Visitor]])</f>
        <v>Vegas Golden Knights</v>
      </c>
      <c r="L125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0.48088356054371506</v>
      </c>
      <c r="M1259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1259" t="str">
        <f>IF(OR((NHL2025_26Results[[#This Row],[Winning Team]]="")),"-",IF(Table46[[#This Row],[Predicted Winner]]=NHL2025_26Results[[#This Row],[Winning Team]],"YES","NO"))</f>
        <v>-</v>
      </c>
      <c r="O1259" t="str">
        <f>IF(OR((NHL2025_26Results[[#This Row],[Winning Team]]="")),"-",IF(Table46[[#This Row],[Prob Winner]]=NHL2025_26Results[[#This Row],[Winning Team]],"YES","NO"))</f>
        <v>-</v>
      </c>
      <c r="P1259" t="str">
        <f>IF(Table46[[#This Row],[Locked Prediction]]&lt;&gt;Table46[[#This Row],[Prob Winner]], "Changed", "Same")</f>
        <v>Changed</v>
      </c>
      <c r="Q125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60" spans="4:17" x14ac:dyDescent="0.2">
      <c r="D1260" s="1">
        <v>46121</v>
      </c>
      <c r="E1260" s="2">
        <v>0.83333333333333337</v>
      </c>
      <c r="F1260" t="s">
        <v>35</v>
      </c>
      <c r="G1260">
        <f>VLOOKUP(Table46[[#This Row],[Home]],'NHL Model'!$A$6:$B$38,2,FALSE)</f>
        <v>-1.6211574240381006</v>
      </c>
      <c r="H1260" t="s">
        <v>40</v>
      </c>
      <c r="I1260">
        <f>VLOOKUP(Table46[[#This Row],[Visitor]],'NHL Model'!$A$6:$B$38,2,FALSE)</f>
        <v>0.105105258369765</v>
      </c>
      <c r="J1260">
        <f>($B$1+Table46[[#This Row],[Home Differential]])-Table46[[#This Row],[Away Differential]]</f>
        <v>-1.5636903727455471</v>
      </c>
      <c r="K1260" t="str">
        <f>IF(Table46[[#This Row],[HomeIce Differential]]&gt;0,Table46[[#This Row],[Home]],Table46[[#This Row],[Visitor]])</f>
        <v>Winnipeg Jets</v>
      </c>
      <c r="L126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0.73415995991035088</v>
      </c>
      <c r="M1260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260" t="str">
        <f>IF(OR((NHL2025_26Results[[#This Row],[Winning Team]]="")),"-",IF(Table46[[#This Row],[Predicted Winner]]=NHL2025_26Results[[#This Row],[Winning Team]],"YES","NO"))</f>
        <v>-</v>
      </c>
      <c r="O1260" t="str">
        <f>IF(OR((NHL2025_26Results[[#This Row],[Winning Team]]="")),"-",IF(Table46[[#This Row],[Prob Winner]]=NHL2025_26Results[[#This Row],[Winning Team]],"YES","NO"))</f>
        <v>-</v>
      </c>
      <c r="P1260" t="str">
        <f>IF(Table46[[#This Row],[Locked Prediction]]&lt;&gt;Table46[[#This Row],[Prob Winner]], "Changed", "Same")</f>
        <v>Changed</v>
      </c>
      <c r="Q126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61" spans="4:17" x14ac:dyDescent="0.2">
      <c r="D1261" s="1">
        <v>46121</v>
      </c>
      <c r="E1261" s="2">
        <v>0.875</v>
      </c>
      <c r="F1261" t="s">
        <v>55</v>
      </c>
      <c r="G1261">
        <f>VLOOKUP(Table46[[#This Row],[Home]],'NHL Model'!$A$6:$B$38,2,FALSE)</f>
        <v>-0.12212311954851815</v>
      </c>
      <c r="H1261" t="s">
        <v>29</v>
      </c>
      <c r="I1261">
        <f>VLOOKUP(Table46[[#This Row],[Visitor]],'NHL Model'!$A$6:$B$38,2,FALSE)</f>
        <v>-1.3516250707060606</v>
      </c>
      <c r="J1261">
        <f>($B$1+Table46[[#This Row],[Home Differential]])-Table46[[#This Row],[Away Differential]]</f>
        <v>1.3920742608198609</v>
      </c>
      <c r="K1261" t="str">
        <f>IF(Table46[[#This Row],[HomeIce Differential]]&gt;0,Table46[[#This Row],[Home]],Table46[[#This Row],[Visitor]])</f>
        <v>Utah Mammoth</v>
      </c>
      <c r="L126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0.79330563346479288</v>
      </c>
      <c r="M1261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261" t="str">
        <f>IF(OR((NHL2025_26Results[[#This Row],[Winning Team]]="")),"-",IF(Table46[[#This Row],[Predicted Winner]]=NHL2025_26Results[[#This Row],[Winning Team]],"YES","NO"))</f>
        <v>-</v>
      </c>
      <c r="O1261" t="str">
        <f>IF(OR((NHL2025_26Results[[#This Row],[Winning Team]]="")),"-",IF(Table46[[#This Row],[Prob Winner]]=NHL2025_26Results[[#This Row],[Winning Team]],"YES","NO"))</f>
        <v>-</v>
      </c>
      <c r="P1261" t="str">
        <f>IF(Table46[[#This Row],[Locked Prediction]]&lt;&gt;Table46[[#This Row],[Prob Winner]], "Changed", "Same")</f>
        <v>Changed</v>
      </c>
      <c r="Q126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62" spans="4:17" x14ac:dyDescent="0.2">
      <c r="D1262" s="1">
        <v>46123</v>
      </c>
      <c r="E1262" s="2">
        <v>0.52083333333333337</v>
      </c>
      <c r="F1262" t="s">
        <v>21</v>
      </c>
      <c r="G1262">
        <f>VLOOKUP(Table46[[#This Row],[Home]],'NHL Model'!$A$6:$B$38,2,FALSE)</f>
        <v>4.029141914856392E-2</v>
      </c>
      <c r="H1262" t="s">
        <v>37</v>
      </c>
      <c r="I1262">
        <f>VLOOKUP(Table46[[#This Row],[Visitor]],'NHL Model'!$A$6:$B$38,2,FALSE)</f>
        <v>-0.11309445867623392</v>
      </c>
      <c r="J1262">
        <f>($B$1+Table46[[#This Row],[Home Differential]])-Table46[[#This Row],[Away Differential]]</f>
        <v>0.31595818748711624</v>
      </c>
      <c r="K1262" t="str">
        <f>IF(Table46[[#This Row],[HomeIce Differential]]&gt;0,Table46[[#This Row],[Home]],Table46[[#This Row],[Visitor]])</f>
        <v>Boston Bruins</v>
      </c>
      <c r="L126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0.6089259821573515</v>
      </c>
      <c r="M1262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262" t="str">
        <f>IF(OR((NHL2025_26Results[[#This Row],[Winning Team]]="")),"-",IF(Table46[[#This Row],[Predicted Winner]]=NHL2025_26Results[[#This Row],[Winning Team]],"YES","NO"))</f>
        <v>-</v>
      </c>
      <c r="O1262" t="str">
        <f>IF(OR((NHL2025_26Results[[#This Row],[Winning Team]]="")),"-",IF(Table46[[#This Row],[Prob Winner]]=NHL2025_26Results[[#This Row],[Winning Team]],"YES","NO"))</f>
        <v>-</v>
      </c>
      <c r="P1262" t="str">
        <f>IF(Table46[[#This Row],[Locked Prediction]]&lt;&gt;Table46[[#This Row],[Prob Winner]], "Changed", "Same")</f>
        <v>Changed</v>
      </c>
      <c r="Q126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63" spans="4:17" x14ac:dyDescent="0.2">
      <c r="D1263" s="1">
        <v>46123</v>
      </c>
      <c r="E1263" s="2">
        <v>0.70833333333333337</v>
      </c>
      <c r="F1263" t="s">
        <v>10</v>
      </c>
      <c r="G1263">
        <f>VLOOKUP(Table46[[#This Row],[Home]],'NHL Model'!$A$6:$B$38,2,FALSE)</f>
        <v>0.30570968833820172</v>
      </c>
      <c r="H1263" t="s">
        <v>35</v>
      </c>
      <c r="I1263">
        <f>VLOOKUP(Table46[[#This Row],[Visitor]],'NHL Model'!$A$6:$B$38,2,FALSE)</f>
        <v>-1.6211574240381006</v>
      </c>
      <c r="J1263">
        <f>($B$1+Table46[[#This Row],[Home Differential]])-Table46[[#This Row],[Away Differential]]</f>
        <v>2.0894394220386205</v>
      </c>
      <c r="K1263" t="str">
        <f>IF(Table46[[#This Row],[HomeIce Differential]]&gt;0,Table46[[#This Row],[Home]],Table46[[#This Row],[Visitor]])</f>
        <v>Chicago Blackhawks</v>
      </c>
      <c r="L126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0.81772621160848813</v>
      </c>
      <c r="M1263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263" t="str">
        <f>IF(OR((NHL2025_26Results[[#This Row],[Winning Team]]="")),"-",IF(Table46[[#This Row],[Predicted Winner]]=NHL2025_26Results[[#This Row],[Winning Team]],"YES","NO"))</f>
        <v>-</v>
      </c>
      <c r="O1263" t="str">
        <f>IF(OR((NHL2025_26Results[[#This Row],[Winning Team]]="")),"-",IF(Table46[[#This Row],[Prob Winner]]=NHL2025_26Results[[#This Row],[Winning Team]],"YES","NO"))</f>
        <v>-</v>
      </c>
      <c r="P1263" t="str">
        <f>IF(Table46[[#This Row],[Locked Prediction]]&lt;&gt;Table46[[#This Row],[Prob Winner]], "Changed", "Same")</f>
        <v>Changed</v>
      </c>
      <c r="Q126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64" spans="4:17" x14ac:dyDescent="0.2">
      <c r="D1264" s="1">
        <v>46123</v>
      </c>
      <c r="E1264" s="2">
        <v>0.83333333333333337</v>
      </c>
      <c r="F1264" t="s">
        <v>12</v>
      </c>
      <c r="G1264">
        <f>VLOOKUP(Table46[[#This Row],[Home]],'NHL Model'!$A$6:$B$38,2,FALSE)</f>
        <v>1.5475013591489768</v>
      </c>
      <c r="H1264" t="s">
        <v>20</v>
      </c>
      <c r="I1264">
        <f>VLOOKUP(Table46[[#This Row],[Visitor]],'NHL Model'!$A$6:$B$38,2,FALSE)</f>
        <v>-6.3745791019188943E-4</v>
      </c>
      <c r="J1264">
        <f>($B$1+Table46[[#This Row],[Home Differential]])-Table46[[#This Row],[Away Differential]]</f>
        <v>1.7107111267214872</v>
      </c>
      <c r="K1264" t="str">
        <f>IF(Table46[[#This Row],[HomeIce Differential]]&gt;0,Table46[[#This Row],[Home]],Table46[[#This Row],[Visitor]])</f>
        <v>Colorado Avalanche</v>
      </c>
      <c r="L126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0.83608167512799958</v>
      </c>
      <c r="M1264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264" t="str">
        <f>IF(OR((NHL2025_26Results[[#This Row],[Winning Team]]="")),"-",IF(Table46[[#This Row],[Predicted Winner]]=NHL2025_26Results[[#This Row],[Winning Team]],"YES","NO"))</f>
        <v>-</v>
      </c>
      <c r="O1264" t="str">
        <f>IF(OR((NHL2025_26Results[[#This Row],[Winning Team]]="")),"-",IF(Table46[[#This Row],[Prob Winner]]=NHL2025_26Results[[#This Row],[Winning Team]],"YES","NO"))</f>
        <v>-</v>
      </c>
      <c r="P1264" t="str">
        <f>IF(Table46[[#This Row],[Locked Prediction]]&lt;&gt;Table46[[#This Row],[Prob Winner]], "Changed", "Same")</f>
        <v>Changed</v>
      </c>
      <c r="Q126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65" spans="4:17" x14ac:dyDescent="0.2">
      <c r="D1265" s="1">
        <v>46123</v>
      </c>
      <c r="E1265" s="2">
        <v>0.70833333333333337</v>
      </c>
      <c r="F1265" t="s">
        <v>39</v>
      </c>
      <c r="G1265">
        <f>VLOOKUP(Table46[[#This Row],[Home]],'NHL Model'!$A$6:$B$38,2,FALSE)</f>
        <v>0.19809534061227302</v>
      </c>
      <c r="H1265" t="s">
        <v>15</v>
      </c>
      <c r="I1265">
        <f>VLOOKUP(Table46[[#This Row],[Visitor]],'NHL Model'!$A$6:$B$38,2,FALSE)</f>
        <v>-0.30719665303039001</v>
      </c>
      <c r="J1265">
        <f>($B$1+Table46[[#This Row],[Home Differential]])-Table46[[#This Row],[Away Differential]]</f>
        <v>0.66786430330498137</v>
      </c>
      <c r="K1265" t="str">
        <f>IF(Table46[[#This Row],[HomeIce Differential]]&gt;0,Table46[[#This Row],[Home]],Table46[[#This Row],[Visitor]])</f>
        <v>Dallas Stars</v>
      </c>
      <c r="L126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0.5118487825857585</v>
      </c>
      <c r="M1265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265" t="str">
        <f>IF(OR((NHL2025_26Results[[#This Row],[Winning Team]]="")),"-",IF(Table46[[#This Row],[Predicted Winner]]=NHL2025_26Results[[#This Row],[Winning Team]],"YES","NO"))</f>
        <v>-</v>
      </c>
      <c r="O1265" t="str">
        <f>IF(OR((NHL2025_26Results[[#This Row],[Winning Team]]="")),"-",IF(Table46[[#This Row],[Prob Winner]]=NHL2025_26Results[[#This Row],[Winning Team]],"YES","NO"))</f>
        <v>-</v>
      </c>
      <c r="P1265" t="str">
        <f>IF(Table46[[#This Row],[Locked Prediction]]&lt;&gt;Table46[[#This Row],[Prob Winner]], "Changed", "Same")</f>
        <v>Changed</v>
      </c>
      <c r="Q126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66" spans="4:17" x14ac:dyDescent="0.2">
      <c r="D1266" s="1">
        <v>46123</v>
      </c>
      <c r="E1266" s="2">
        <v>0.70833333333333337</v>
      </c>
      <c r="F1266" t="s">
        <v>26</v>
      </c>
      <c r="G1266">
        <f>VLOOKUP(Table46[[#This Row],[Home]],'NHL Model'!$A$6:$B$38,2,FALSE)</f>
        <v>-0.513643833119658</v>
      </c>
      <c r="H1266" t="s">
        <v>24</v>
      </c>
      <c r="I1266">
        <f>VLOOKUP(Table46[[#This Row],[Visitor]],'NHL Model'!$A$6:$B$38,2,FALSE)</f>
        <v>0.559441163373953</v>
      </c>
      <c r="J1266">
        <f>($B$1+Table46[[#This Row],[Home Differential]])-Table46[[#This Row],[Away Differential]]</f>
        <v>-0.91051268683129261</v>
      </c>
      <c r="K1266" t="str">
        <f>IF(Table46[[#This Row],[HomeIce Differential]]&gt;0,Table46[[#This Row],[Home]],Table46[[#This Row],[Visitor]])</f>
        <v>New Jersey Devils</v>
      </c>
      <c r="L126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0.62102444151666181</v>
      </c>
      <c r="M1266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266" t="str">
        <f>IF(OR((NHL2025_26Results[[#This Row],[Winning Team]]="")),"-",IF(Table46[[#This Row],[Predicted Winner]]=NHL2025_26Results[[#This Row],[Winning Team]],"YES","NO"))</f>
        <v>-</v>
      </c>
      <c r="O1266" t="str">
        <f>IF(OR((NHL2025_26Results[[#This Row],[Winning Team]]="")),"-",IF(Table46[[#This Row],[Prob Winner]]=NHL2025_26Results[[#This Row],[Winning Team]],"YES","NO"))</f>
        <v>-</v>
      </c>
      <c r="P1266" t="str">
        <f>IF(Table46[[#This Row],[Locked Prediction]]&lt;&gt;Table46[[#This Row],[Prob Winner]], "Changed", "Same")</f>
        <v>Changed</v>
      </c>
      <c r="Q126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67" spans="4:17" x14ac:dyDescent="0.2">
      <c r="D1267" s="1">
        <v>46123</v>
      </c>
      <c r="E1267" s="2">
        <v>0.66666666666666663</v>
      </c>
      <c r="F1267" t="s">
        <v>13</v>
      </c>
      <c r="G1267">
        <f>VLOOKUP(Table46[[#This Row],[Home]],'NHL Model'!$A$6:$B$38,2,FALSE)</f>
        <v>-7.5459708298993802E-2</v>
      </c>
      <c r="H1267" t="s">
        <v>17</v>
      </c>
      <c r="I1267">
        <f>VLOOKUP(Table46[[#This Row],[Visitor]],'NHL Model'!$A$6:$B$38,2,FALSE)</f>
        <v>-0.61980804137564283</v>
      </c>
      <c r="J1267">
        <f>($B$1+Table46[[#This Row],[Home Differential]])-Table46[[#This Row],[Away Differential]]</f>
        <v>0.70692064273896738</v>
      </c>
      <c r="K1267" t="str">
        <f>IF(Table46[[#This Row],[HomeIce Differential]]&gt;0,Table46[[#This Row],[Home]],Table46[[#This Row],[Visitor]])</f>
        <v>Los Angeles Kings</v>
      </c>
      <c r="L126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0.63396318933437934</v>
      </c>
      <c r="M1267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267" t="str">
        <f>IF(OR((NHL2025_26Results[[#This Row],[Winning Team]]="")),"-",IF(Table46[[#This Row],[Predicted Winner]]=NHL2025_26Results[[#This Row],[Winning Team]],"YES","NO"))</f>
        <v>-</v>
      </c>
      <c r="O1267" t="str">
        <f>IF(OR((NHL2025_26Results[[#This Row],[Winning Team]]="")),"-",IF(Table46[[#This Row],[Prob Winner]]=NHL2025_26Results[[#This Row],[Winning Team]],"YES","NO"))</f>
        <v>-</v>
      </c>
      <c r="P1267" t="str">
        <f>IF(Table46[[#This Row],[Locked Prediction]]&lt;&gt;Table46[[#This Row],[Prob Winner]], "Changed", "Same")</f>
        <v>Changed</v>
      </c>
      <c r="Q126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68" spans="4:17" x14ac:dyDescent="0.2">
      <c r="D1268" s="1">
        <v>46123</v>
      </c>
      <c r="E1268" s="2">
        <v>0.79166666666666663</v>
      </c>
      <c r="F1268" t="s">
        <v>18</v>
      </c>
      <c r="G1268">
        <f>VLOOKUP(Table46[[#This Row],[Home]],'NHL Model'!$A$6:$B$38,2,FALSE)</f>
        <v>-0.52437726201848234</v>
      </c>
      <c r="H1268" t="s">
        <v>28</v>
      </c>
      <c r="I1268">
        <f>VLOOKUP(Table46[[#This Row],[Visitor]],'NHL Model'!$A$6:$B$38,2,FALSE)</f>
        <v>-0.40822279081308277</v>
      </c>
      <c r="J1268">
        <f>($B$1+Table46[[#This Row],[Home Differential]])-Table46[[#This Row],[Away Differential]]</f>
        <v>4.6417838456918825E-2</v>
      </c>
      <c r="K1268" t="str">
        <f>IF(Table46[[#This Row],[HomeIce Differential]]&gt;0,Table46[[#This Row],[Home]],Table46[[#This Row],[Visitor]])</f>
        <v>Montreal Canadiens</v>
      </c>
      <c r="L126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0.52540058219099228</v>
      </c>
      <c r="M1268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1268" t="str">
        <f>IF(OR((NHL2025_26Results[[#This Row],[Winning Team]]="")),"-",IF(Table46[[#This Row],[Predicted Winner]]=NHL2025_26Results[[#This Row],[Winning Team]],"YES","NO"))</f>
        <v>-</v>
      </c>
      <c r="O1268" t="str">
        <f>IF(OR((NHL2025_26Results[[#This Row],[Winning Team]]="")),"-",IF(Table46[[#This Row],[Prob Winner]]=NHL2025_26Results[[#This Row],[Winning Team]],"YES","NO"))</f>
        <v>-</v>
      </c>
      <c r="P1268" t="str">
        <f>IF(Table46[[#This Row],[Locked Prediction]]&lt;&gt;Table46[[#This Row],[Prob Winner]], "Changed", "Same")</f>
        <v>Changed</v>
      </c>
      <c r="Q126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69" spans="4:17" x14ac:dyDescent="0.2">
      <c r="D1269" s="1">
        <v>46123</v>
      </c>
      <c r="E1269" s="2">
        <v>0.70833333333333337</v>
      </c>
      <c r="F1269" t="s">
        <v>29</v>
      </c>
      <c r="G1269">
        <f>VLOOKUP(Table46[[#This Row],[Home]],'NHL Model'!$A$6:$B$38,2,FALSE)</f>
        <v>-1.3516250707060606</v>
      </c>
      <c r="H1269" t="s">
        <v>34</v>
      </c>
      <c r="I1269">
        <f>VLOOKUP(Table46[[#This Row],[Visitor]],'NHL Model'!$A$6:$B$38,2,FALSE)</f>
        <v>-0.53650300840565446</v>
      </c>
      <c r="J1269">
        <f>($B$1+Table46[[#This Row],[Home Differential]])-Table46[[#This Row],[Away Differential]]</f>
        <v>-0.65254975263808779</v>
      </c>
      <c r="K1269" t="str">
        <f>IF(Table46[[#This Row],[HomeIce Differential]]&gt;0,Table46[[#This Row],[Home]],Table46[[#This Row],[Visitor]])</f>
        <v>Minnesota Wild</v>
      </c>
      <c r="L126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0.54673626465294212</v>
      </c>
      <c r="M1269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1269" t="str">
        <f>IF(OR((NHL2025_26Results[[#This Row],[Winning Team]]="")),"-",IF(Table46[[#This Row],[Predicted Winner]]=NHL2025_26Results[[#This Row],[Winning Team]],"YES","NO"))</f>
        <v>-</v>
      </c>
      <c r="O1269" t="str">
        <f>IF(OR((NHL2025_26Results[[#This Row],[Winning Team]]="")),"-",IF(Table46[[#This Row],[Prob Winner]]=NHL2025_26Results[[#This Row],[Winning Team]],"YES","NO"))</f>
        <v>-</v>
      </c>
      <c r="P1269" t="str">
        <f>IF(Table46[[#This Row],[Locked Prediction]]&lt;&gt;Table46[[#This Row],[Prob Winner]], "Changed", "Same")</f>
        <v>Changed</v>
      </c>
      <c r="Q126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70" spans="4:17" x14ac:dyDescent="0.2">
      <c r="D1270" s="1">
        <v>46123</v>
      </c>
      <c r="E1270" s="2">
        <v>0.54166666666666663</v>
      </c>
      <c r="F1270" t="s">
        <v>30</v>
      </c>
      <c r="G1270">
        <f>VLOOKUP(Table46[[#This Row],[Home]],'NHL Model'!$A$6:$B$38,2,FALSE)</f>
        <v>-6.4729560818359025E-2</v>
      </c>
      <c r="H1270" t="s">
        <v>36</v>
      </c>
      <c r="I1270">
        <f>VLOOKUP(Table46[[#This Row],[Visitor]],'NHL Model'!$A$6:$B$38,2,FALSE)</f>
        <v>-0.40651947573390851</v>
      </c>
      <c r="J1270">
        <f>($B$1+Table46[[#This Row],[Home Differential]])-Table46[[#This Row],[Away Differential]]</f>
        <v>0.50436222457786783</v>
      </c>
      <c r="K1270" t="str">
        <f>IF(Table46[[#This Row],[HomeIce Differential]]&gt;0,Table46[[#This Row],[Home]],Table46[[#This Row],[Visitor]])</f>
        <v>New York Islanders</v>
      </c>
      <c r="L127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0.60703932568371521</v>
      </c>
      <c r="M1270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270" t="str">
        <f>IF(OR((NHL2025_26Results[[#This Row],[Winning Team]]="")),"-",IF(Table46[[#This Row],[Predicted Winner]]=NHL2025_26Results[[#This Row],[Winning Team]],"YES","NO"))</f>
        <v>-</v>
      </c>
      <c r="O1270" t="str">
        <f>IF(OR((NHL2025_26Results[[#This Row],[Winning Team]]="")),"-",IF(Table46[[#This Row],[Prob Winner]]=NHL2025_26Results[[#This Row],[Winning Team]],"YES","NO"))</f>
        <v>-</v>
      </c>
      <c r="P1270" t="str">
        <f>IF(Table46[[#This Row],[Locked Prediction]]&lt;&gt;Table46[[#This Row],[Prob Winner]], "Changed", "Same")</f>
        <v>Changed</v>
      </c>
      <c r="Q127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71" spans="4:17" x14ac:dyDescent="0.2">
      <c r="D1271" s="1">
        <v>46123</v>
      </c>
      <c r="E1271" s="2">
        <v>0.625</v>
      </c>
      <c r="F1271" t="s">
        <v>14</v>
      </c>
      <c r="G1271">
        <f>VLOOKUP(Table46[[#This Row],[Home]],'NHL Model'!$A$6:$B$38,2,FALSE)</f>
        <v>0.26289091192875702</v>
      </c>
      <c r="H1271" t="s">
        <v>22</v>
      </c>
      <c r="I1271">
        <f>VLOOKUP(Table46[[#This Row],[Visitor]],'NHL Model'!$A$6:$B$38,2,FALSE)</f>
        <v>-6.1308839486784707E-2</v>
      </c>
      <c r="J1271">
        <f>($B$1+Table46[[#This Row],[Home Differential]])-Table46[[#This Row],[Away Differential]]</f>
        <v>0.48677206107786014</v>
      </c>
      <c r="K1271" t="str">
        <f>IF(Table46[[#This Row],[HomeIce Differential]]&gt;0,Table46[[#This Row],[Home]],Table46[[#This Row],[Visitor]])</f>
        <v>Pittsburgh Penguins</v>
      </c>
      <c r="L127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0.64073812499086902</v>
      </c>
      <c r="M1271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271" t="str">
        <f>IF(OR((NHL2025_26Results[[#This Row],[Winning Team]]="")),"-",IF(Table46[[#This Row],[Predicted Winner]]=NHL2025_26Results[[#This Row],[Winning Team]],"YES","NO"))</f>
        <v>-</v>
      </c>
      <c r="O1271" t="str">
        <f>IF(OR((NHL2025_26Results[[#This Row],[Winning Team]]="")),"-",IF(Table46[[#This Row],[Prob Winner]]=NHL2025_26Results[[#This Row],[Winning Team]],"YES","NO"))</f>
        <v>-</v>
      </c>
      <c r="P1271" t="str">
        <f>IF(Table46[[#This Row],[Locked Prediction]]&lt;&gt;Table46[[#This Row],[Prob Winner]], "Changed", "Same")</f>
        <v>Changed</v>
      </c>
      <c r="Q127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72" spans="4:17" x14ac:dyDescent="0.2">
      <c r="D1272" s="1">
        <v>46123</v>
      </c>
      <c r="E1272" s="2">
        <v>0.79166666666666663</v>
      </c>
      <c r="F1272" t="s">
        <v>32</v>
      </c>
      <c r="G1272">
        <f>VLOOKUP(Table46[[#This Row],[Home]],'NHL Model'!$A$6:$B$38,2,FALSE)</f>
        <v>-0.361361309178443</v>
      </c>
      <c r="H1272" t="s">
        <v>16</v>
      </c>
      <c r="I1272">
        <f>VLOOKUP(Table46[[#This Row],[Visitor]],'NHL Model'!$A$6:$B$38,2,FALSE)</f>
        <v>-1.3903684122795328</v>
      </c>
      <c r="J1272">
        <f>($B$1+Table46[[#This Row],[Home Differential]])-Table46[[#This Row],[Away Differential]]</f>
        <v>1.1915794127634083</v>
      </c>
      <c r="K1272" t="str">
        <f>IF(Table46[[#This Row],[HomeIce Differential]]&gt;0,Table46[[#This Row],[Home]],Table46[[#This Row],[Visitor]])</f>
        <v>Seattle Kraken</v>
      </c>
      <c r="L127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0.72442128726810862</v>
      </c>
      <c r="M1272" s="11" t="str">
        <f>IF(Table46[[#This Row],[Strength of Win]]&gt; 0.5,Table46[[#This Row],[Predicted Winner]], IF(Table46[[#This Row],[Home]]=Table46[[#This Row],[Predicted Winner]],Table46[[#This Row],[Visitor]],Table46[[#This Row],[Home]]))</f>
        <v>Seattle Kraken</v>
      </c>
      <c r="N1272" t="str">
        <f>IF(OR((NHL2025_26Results[[#This Row],[Winning Team]]="")),"-",IF(Table46[[#This Row],[Predicted Winner]]=NHL2025_26Results[[#This Row],[Winning Team]],"YES","NO"))</f>
        <v>-</v>
      </c>
      <c r="O1272" t="str">
        <f>IF(OR((NHL2025_26Results[[#This Row],[Winning Team]]="")),"-",IF(Table46[[#This Row],[Prob Winner]]=NHL2025_26Results[[#This Row],[Winning Team]],"YES","NO"))</f>
        <v>-</v>
      </c>
      <c r="P1272" t="str">
        <f>IF(Table46[[#This Row],[Locked Prediction]]&lt;&gt;Table46[[#This Row],[Prob Winner]], "Changed", "Same")</f>
        <v>Changed</v>
      </c>
      <c r="Q127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73" spans="4:17" x14ac:dyDescent="0.2">
      <c r="D1273" s="1">
        <v>46123</v>
      </c>
      <c r="E1273" s="2">
        <v>0.91666666666666663</v>
      </c>
      <c r="F1273" t="s">
        <v>33</v>
      </c>
      <c r="G1273">
        <f>VLOOKUP(Table46[[#This Row],[Home]],'NHL Model'!$A$6:$B$38,2,FALSE)</f>
        <v>-0.39418177254008485</v>
      </c>
      <c r="H1273" t="s">
        <v>38</v>
      </c>
      <c r="I1273">
        <f>VLOOKUP(Table46[[#This Row],[Visitor]],'NHL Model'!$A$6:$B$38,2,FALSE)</f>
        <v>-0.6902088310934803</v>
      </c>
      <c r="J1273">
        <f>($B$1+Table46[[#This Row],[Home Differential]])-Table46[[#This Row],[Away Differential]]</f>
        <v>0.45859936821571384</v>
      </c>
      <c r="K1273" t="str">
        <f>IF(Table46[[#This Row],[HomeIce Differential]]&gt;0,Table46[[#This Row],[Home]],Table46[[#This Row],[Visitor]])</f>
        <v>San Jose Sharks</v>
      </c>
      <c r="L127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0.55844400947857309</v>
      </c>
      <c r="M1273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1273" t="str">
        <f>IF(OR((NHL2025_26Results[[#This Row],[Winning Team]]="")),"-",IF(Table46[[#This Row],[Predicted Winner]]=NHL2025_26Results[[#This Row],[Winning Team]],"YES","NO"))</f>
        <v>-</v>
      </c>
      <c r="O1273" t="str">
        <f>IF(OR((NHL2025_26Results[[#This Row],[Winning Team]]="")),"-",IF(Table46[[#This Row],[Prob Winner]]=NHL2025_26Results[[#This Row],[Winning Team]],"YES","NO"))</f>
        <v>-</v>
      </c>
      <c r="P1273" t="str">
        <f>IF(Table46[[#This Row],[Locked Prediction]]&lt;&gt;Table46[[#This Row],[Prob Winner]], "Changed", "Same")</f>
        <v>Changed</v>
      </c>
      <c r="Q127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74" spans="4:17" x14ac:dyDescent="0.2">
      <c r="D1274" s="1">
        <v>46123</v>
      </c>
      <c r="E1274" s="2">
        <v>0.79166666666666663</v>
      </c>
      <c r="F1274" t="s">
        <v>19</v>
      </c>
      <c r="G1274">
        <f>VLOOKUP(Table46[[#This Row],[Home]],'NHL Model'!$A$6:$B$38,2,FALSE)</f>
        <v>-0.635565543477981</v>
      </c>
      <c r="H1274" t="s">
        <v>11</v>
      </c>
      <c r="I1274">
        <f>VLOOKUP(Table46[[#This Row],[Visitor]],'NHL Model'!$A$6:$B$38,2,FALSE)</f>
        <v>-0.28105923893144158</v>
      </c>
      <c r="J1274">
        <f>($B$1+Table46[[#This Row],[Home Differential]])-Table46[[#This Row],[Away Differential]]</f>
        <v>-0.19193399488422103</v>
      </c>
      <c r="K1274" t="str">
        <f>IF(Table46[[#This Row],[HomeIce Differential]]&gt;0,Table46[[#This Row],[Home]],Table46[[#This Row],[Visitor]])</f>
        <v>Florida Panthers</v>
      </c>
      <c r="L127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0.48551167586666333</v>
      </c>
      <c r="M1274" s="11" t="str">
        <f>IF(Table46[[#This Row],[Strength of Win]]&gt; 0.5,Table46[[#This Row],[Predicted Winner]], IF(Table46[[#This Row],[Home]]=Table46[[#This Row],[Predicted Winner]],Table46[[#This Row],[Visitor]],Table46[[#This Row],[Home]]))</f>
        <v>Toronto Maple Leafs</v>
      </c>
      <c r="N1274" t="str">
        <f>IF(OR((NHL2025_26Results[[#This Row],[Winning Team]]="")),"-",IF(Table46[[#This Row],[Predicted Winner]]=NHL2025_26Results[[#This Row],[Winning Team]],"YES","NO"))</f>
        <v>-</v>
      </c>
      <c r="O1274" t="str">
        <f>IF(OR((NHL2025_26Results[[#This Row],[Winning Team]]="")),"-",IF(Table46[[#This Row],[Prob Winner]]=NHL2025_26Results[[#This Row],[Winning Team]],"YES","NO"))</f>
        <v>-</v>
      </c>
      <c r="P1274" t="str">
        <f>IF(Table46[[#This Row],[Locked Prediction]]&lt;&gt;Table46[[#This Row],[Prob Winner]], "Changed", "Same")</f>
        <v>Changed</v>
      </c>
      <c r="Q127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75" spans="4:17" x14ac:dyDescent="0.2">
      <c r="D1275" s="1">
        <v>46123</v>
      </c>
      <c r="E1275" s="2">
        <v>0.70833333333333337</v>
      </c>
      <c r="F1275" t="s">
        <v>55</v>
      </c>
      <c r="G1275">
        <f>VLOOKUP(Table46[[#This Row],[Home]],'NHL Model'!$A$6:$B$38,2,FALSE)</f>
        <v>-0.12212311954851815</v>
      </c>
      <c r="H1275" t="s">
        <v>25</v>
      </c>
      <c r="I1275">
        <f>VLOOKUP(Table46[[#This Row],[Visitor]],'NHL Model'!$A$6:$B$38,2,FALSE)</f>
        <v>0.67193921242367816</v>
      </c>
      <c r="J1275">
        <f>($B$1+Table46[[#This Row],[Home Differential]])-Table46[[#This Row],[Away Differential]]</f>
        <v>-0.63149002230987794</v>
      </c>
      <c r="K1275" t="str">
        <f>IF(Table46[[#This Row],[HomeIce Differential]]&gt;0,Table46[[#This Row],[Home]],Table46[[#This Row],[Visitor]])</f>
        <v>Carolina Hurricanes</v>
      </c>
      <c r="L127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0.56669564691536223</v>
      </c>
      <c r="M1275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275" t="str">
        <f>IF(OR((NHL2025_26Results[[#This Row],[Winning Team]]="")),"-",IF(Table46[[#This Row],[Predicted Winner]]=NHL2025_26Results[[#This Row],[Winning Team]],"YES","NO"))</f>
        <v>-</v>
      </c>
      <c r="O1275" t="str">
        <f>IF(OR((NHL2025_26Results[[#This Row],[Winning Team]]="")),"-",IF(Table46[[#This Row],[Prob Winner]]=NHL2025_26Results[[#This Row],[Winning Team]],"YES","NO"))</f>
        <v>-</v>
      </c>
      <c r="P1275" t="str">
        <f>IF(Table46[[#This Row],[Locked Prediction]]&lt;&gt;Table46[[#This Row],[Prob Winner]], "Changed", "Same")</f>
        <v>Changed</v>
      </c>
      <c r="Q127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76" spans="4:17" x14ac:dyDescent="0.2">
      <c r="D1276" s="1">
        <v>46123</v>
      </c>
      <c r="E1276" s="2">
        <v>0.79166666666666663</v>
      </c>
      <c r="F1276" t="s">
        <v>40</v>
      </c>
      <c r="G1276">
        <f>VLOOKUP(Table46[[#This Row],[Home]],'NHL Model'!$A$6:$B$38,2,FALSE)</f>
        <v>0.105105258369765</v>
      </c>
      <c r="H1276" t="s">
        <v>27</v>
      </c>
      <c r="I1276">
        <f>VLOOKUP(Table46[[#This Row],[Visitor]],'NHL Model'!$A$6:$B$38,2,FALSE)</f>
        <v>-0.51358590497437617</v>
      </c>
      <c r="J1276">
        <f>($B$1+Table46[[#This Row],[Home Differential]])-Table46[[#This Row],[Away Differential]]</f>
        <v>0.7812634730064596</v>
      </c>
      <c r="K1276" t="str">
        <f>IF(Table46[[#This Row],[HomeIce Differential]]&gt;0,Table46[[#This Row],[Home]],Table46[[#This Row],[Visitor]])</f>
        <v>Winnipeg Jets</v>
      </c>
      <c r="L127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0.67988163081520447</v>
      </c>
      <c r="M1276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276" t="str">
        <f>IF(OR((NHL2025_26Results[[#This Row],[Winning Team]]="")),"-",IF(Table46[[#This Row],[Predicted Winner]]=NHL2025_26Results[[#This Row],[Winning Team]],"YES","NO"))</f>
        <v>-</v>
      </c>
      <c r="O1276" t="str">
        <f>IF(OR((NHL2025_26Results[[#This Row],[Winning Team]]="")),"-",IF(Table46[[#This Row],[Prob Winner]]=NHL2025_26Results[[#This Row],[Winning Team]],"YES","NO"))</f>
        <v>-</v>
      </c>
      <c r="P1276" t="str">
        <f>IF(Table46[[#This Row],[Locked Prediction]]&lt;&gt;Table46[[#This Row],[Prob Winner]], "Changed", "Same")</f>
        <v>Changed</v>
      </c>
      <c r="Q127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77" spans="4:17" x14ac:dyDescent="0.2">
      <c r="D1277" s="1">
        <v>46124</v>
      </c>
      <c r="E1277" s="2">
        <v>0.83333333333333337</v>
      </c>
      <c r="F1277" t="s">
        <v>31</v>
      </c>
      <c r="G1277">
        <f>VLOOKUP(Table46[[#This Row],[Home]],'NHL Model'!$A$6:$B$38,2,FALSE)</f>
        <v>0.51775546328552802</v>
      </c>
      <c r="H1277" t="s">
        <v>38</v>
      </c>
      <c r="I1277">
        <f>VLOOKUP(Table46[[#This Row],[Visitor]],'NHL Model'!$A$6:$B$38,2,FALSE)</f>
        <v>-0.6902088310934803</v>
      </c>
      <c r="J1277">
        <f>($B$1+Table46[[#This Row],[Home Differential]])-Table46[[#This Row],[Away Differential]]</f>
        <v>1.3705366040413267</v>
      </c>
      <c r="K1277" t="str">
        <f>IF(Table46[[#This Row],[HomeIce Differential]]&gt;0,Table46[[#This Row],[Home]],Table46[[#This Row],[Visitor]])</f>
        <v>Anaheim Ducks</v>
      </c>
      <c r="L127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0.78656596784159694</v>
      </c>
      <c r="M1277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277" t="str">
        <f>IF(OR((NHL2025_26Results[[#This Row],[Winning Team]]="")),"-",IF(Table46[[#This Row],[Predicted Winner]]=NHL2025_26Results[[#This Row],[Winning Team]],"YES","NO"))</f>
        <v>-</v>
      </c>
      <c r="O1277" t="str">
        <f>IF(OR((NHL2025_26Results[[#This Row],[Winning Team]]="")),"-",IF(Table46[[#This Row],[Prob Winner]]=NHL2025_26Results[[#This Row],[Winning Team]],"YES","NO"))</f>
        <v>-</v>
      </c>
      <c r="P1277" t="str">
        <f>IF(Table46[[#This Row],[Locked Prediction]]&lt;&gt;Table46[[#This Row],[Prob Winner]], "Changed", "Same")</f>
        <v>Changed</v>
      </c>
      <c r="Q127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78" spans="4:17" x14ac:dyDescent="0.2">
      <c r="D1278" s="1">
        <v>46124</v>
      </c>
      <c r="E1278" s="2">
        <v>0.75</v>
      </c>
      <c r="F1278" t="s">
        <v>28</v>
      </c>
      <c r="G1278">
        <f>VLOOKUP(Table46[[#This Row],[Home]],'NHL Model'!$A$6:$B$38,2,FALSE)</f>
        <v>-0.40822279081308277</v>
      </c>
      <c r="H1278" t="s">
        <v>21</v>
      </c>
      <c r="I1278">
        <f>VLOOKUP(Table46[[#This Row],[Visitor]],'NHL Model'!$A$6:$B$38,2,FALSE)</f>
        <v>4.029141914856392E-2</v>
      </c>
      <c r="J1278">
        <f>($B$1+Table46[[#This Row],[Home Differential]])-Table46[[#This Row],[Away Differential]]</f>
        <v>-0.28594190029932831</v>
      </c>
      <c r="K1278" t="str">
        <f>IF(Table46[[#This Row],[HomeIce Differential]]&gt;0,Table46[[#This Row],[Home]],Table46[[#This Row],[Visitor]])</f>
        <v>Boston Bruins</v>
      </c>
      <c r="L127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0.49800711323460262</v>
      </c>
      <c r="M1278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1278" t="str">
        <f>IF(OR((NHL2025_26Results[[#This Row],[Winning Team]]="")),"-",IF(Table46[[#This Row],[Predicted Winner]]=NHL2025_26Results[[#This Row],[Winning Team]],"YES","NO"))</f>
        <v>-</v>
      </c>
      <c r="O1278" t="str">
        <f>IF(OR((NHL2025_26Results[[#This Row],[Winning Team]]="")),"-",IF(Table46[[#This Row],[Prob Winner]]=NHL2025_26Results[[#This Row],[Winning Team]],"YES","NO"))</f>
        <v>-</v>
      </c>
      <c r="P1278" t="str">
        <f>IF(Table46[[#This Row],[Locked Prediction]]&lt;&gt;Table46[[#This Row],[Prob Winner]], "Changed", "Same")</f>
        <v>Changed</v>
      </c>
      <c r="Q127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79" spans="4:17" x14ac:dyDescent="0.2">
      <c r="D1279" s="1">
        <v>46124</v>
      </c>
      <c r="E1279" s="2">
        <v>0.875</v>
      </c>
      <c r="F1279" t="s">
        <v>16</v>
      </c>
      <c r="G1279">
        <f>VLOOKUP(Table46[[#This Row],[Home]],'NHL Model'!$A$6:$B$38,2,FALSE)</f>
        <v>-1.3903684122795328</v>
      </c>
      <c r="H1279" t="s">
        <v>55</v>
      </c>
      <c r="I1279">
        <f>VLOOKUP(Table46[[#This Row],[Visitor]],'NHL Model'!$A$6:$B$38,2,FALSE)</f>
        <v>-0.12212311954851815</v>
      </c>
      <c r="J1279">
        <f>($B$1+Table46[[#This Row],[Home Differential]])-Table46[[#This Row],[Away Differential]]</f>
        <v>-1.1056729830686962</v>
      </c>
      <c r="K1279" t="str">
        <f>IF(Table46[[#This Row],[HomeIce Differential]]&gt;0,Table46[[#This Row],[Home]],Table46[[#This Row],[Visitor]])</f>
        <v>Utah Mammoth</v>
      </c>
      <c r="L127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0.60696495415307106</v>
      </c>
      <c r="M1279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279" t="str">
        <f>IF(OR((NHL2025_26Results[[#This Row],[Winning Team]]="")),"-",IF(Table46[[#This Row],[Predicted Winner]]=NHL2025_26Results[[#This Row],[Winning Team]],"YES","NO"))</f>
        <v>-</v>
      </c>
      <c r="O1279" t="str">
        <f>IF(OR((NHL2025_26Results[[#This Row],[Winning Team]]="")),"-",IF(Table46[[#This Row],[Prob Winner]]=NHL2025_26Results[[#This Row],[Winning Team]],"YES","NO"))</f>
        <v>-</v>
      </c>
      <c r="P1279" t="str">
        <f>IF(Table46[[#This Row],[Locked Prediction]]&lt;&gt;Table46[[#This Row],[Prob Winner]], "Changed", "Same")</f>
        <v>Changed</v>
      </c>
      <c r="Q127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80" spans="4:17" x14ac:dyDescent="0.2">
      <c r="D1280" s="1">
        <v>46124</v>
      </c>
      <c r="E1280" s="2">
        <v>0.79166666666666663</v>
      </c>
      <c r="F1280" t="s">
        <v>24</v>
      </c>
      <c r="G1280">
        <f>VLOOKUP(Table46[[#This Row],[Home]],'NHL Model'!$A$6:$B$38,2,FALSE)</f>
        <v>0.559441163373953</v>
      </c>
      <c r="H1280" t="s">
        <v>36</v>
      </c>
      <c r="I1280">
        <f>VLOOKUP(Table46[[#This Row],[Visitor]],'NHL Model'!$A$6:$B$38,2,FALSE)</f>
        <v>-0.40651947573390851</v>
      </c>
      <c r="J1280">
        <f>($B$1+Table46[[#This Row],[Home Differential]])-Table46[[#This Row],[Away Differential]]</f>
        <v>1.1285329487701798</v>
      </c>
      <c r="K1280" t="str">
        <f>IF(Table46[[#This Row],[HomeIce Differential]]&gt;0,Table46[[#This Row],[Home]],Table46[[#This Row],[Visitor]])</f>
        <v>New Jersey Devils</v>
      </c>
      <c r="L128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0.80543418968763447</v>
      </c>
      <c r="M1280" s="11" t="str">
        <f>IF(Table46[[#This Row],[Strength of Win]]&gt; 0.5,Table46[[#This Row],[Predicted Winner]], IF(Table46[[#This Row],[Home]]=Table46[[#This Row],[Predicted Winner]],Table46[[#This Row],[Visitor]],Table46[[#This Row],[Home]]))</f>
        <v>New Jersey Devils</v>
      </c>
      <c r="N1280" t="str">
        <f>IF(OR((NHL2025_26Results[[#This Row],[Winning Team]]="")),"-",IF(Table46[[#This Row],[Predicted Winner]]=NHL2025_26Results[[#This Row],[Winning Team]],"YES","NO"))</f>
        <v>-</v>
      </c>
      <c r="O1280" t="str">
        <f>IF(OR((NHL2025_26Results[[#This Row],[Winning Team]]="")),"-",IF(Table46[[#This Row],[Prob Winner]]=NHL2025_26Results[[#This Row],[Winning Team]],"YES","NO"))</f>
        <v>-</v>
      </c>
      <c r="P1280" t="str">
        <f>IF(Table46[[#This Row],[Locked Prediction]]&lt;&gt;Table46[[#This Row],[Prob Winner]], "Changed", "Same")</f>
        <v>Changed</v>
      </c>
      <c r="Q128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81" spans="4:17" x14ac:dyDescent="0.2">
      <c r="D1281" s="1">
        <v>46124</v>
      </c>
      <c r="E1281" s="2">
        <v>0.75</v>
      </c>
      <c r="F1281" t="s">
        <v>30</v>
      </c>
      <c r="G1281">
        <f>VLOOKUP(Table46[[#This Row],[Home]],'NHL Model'!$A$6:$B$38,2,FALSE)</f>
        <v>-6.4729560818359025E-2</v>
      </c>
      <c r="H1281" t="s">
        <v>18</v>
      </c>
      <c r="I1281">
        <f>VLOOKUP(Table46[[#This Row],[Visitor]],'NHL Model'!$A$6:$B$38,2,FALSE)</f>
        <v>-0.52437726201848234</v>
      </c>
      <c r="J1281">
        <f>($B$1+Table46[[#This Row],[Home Differential]])-Table46[[#This Row],[Away Differential]]</f>
        <v>0.62222001086244172</v>
      </c>
      <c r="K1281" t="str">
        <f>IF(Table46[[#This Row],[HomeIce Differential]]&gt;0,Table46[[#This Row],[Home]],Table46[[#This Row],[Visitor]])</f>
        <v>New York Islanders</v>
      </c>
      <c r="L128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0.54622417882085761</v>
      </c>
      <c r="M1281" s="11" t="str">
        <f>IF(Table46[[#This Row],[Strength of Win]]&gt; 0.5,Table46[[#This Row],[Predicted Winner]], IF(Table46[[#This Row],[Home]]=Table46[[#This Row],[Predicted Winner]],Table46[[#This Row],[Visitor]],Table46[[#This Row],[Home]]))</f>
        <v>New York Islanders</v>
      </c>
      <c r="N1281" t="str">
        <f>IF(OR((NHL2025_26Results[[#This Row],[Winning Team]]="")),"-",IF(Table46[[#This Row],[Predicted Winner]]=NHL2025_26Results[[#This Row],[Winning Team]],"YES","NO"))</f>
        <v>-</v>
      </c>
      <c r="O1281" t="str">
        <f>IF(OR((NHL2025_26Results[[#This Row],[Winning Team]]="")),"-",IF(Table46[[#This Row],[Prob Winner]]=NHL2025_26Results[[#This Row],[Winning Team]],"YES","NO"))</f>
        <v>-</v>
      </c>
      <c r="P1281" t="str">
        <f>IF(Table46[[#This Row],[Locked Prediction]]&lt;&gt;Table46[[#This Row],[Prob Winner]], "Changed", "Same")</f>
        <v>Changed</v>
      </c>
      <c r="Q128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82" spans="4:17" x14ac:dyDescent="0.2">
      <c r="D1282" s="1">
        <v>46124</v>
      </c>
      <c r="E1282" s="2">
        <v>0.625</v>
      </c>
      <c r="F1282" t="s">
        <v>22</v>
      </c>
      <c r="G1282">
        <f>VLOOKUP(Table46[[#This Row],[Home]],'NHL Model'!$A$6:$B$38,2,FALSE)</f>
        <v>-6.1308839486784707E-2</v>
      </c>
      <c r="H1282" t="s">
        <v>14</v>
      </c>
      <c r="I1282">
        <f>VLOOKUP(Table46[[#This Row],[Visitor]],'NHL Model'!$A$6:$B$38,2,FALSE)</f>
        <v>0.26289091192875702</v>
      </c>
      <c r="J1282">
        <f>($B$1+Table46[[#This Row],[Home Differential]])-Table46[[#This Row],[Away Differential]]</f>
        <v>-0.16162744175322333</v>
      </c>
      <c r="K1282" t="str">
        <f>IF(Table46[[#This Row],[HomeIce Differential]]&gt;0,Table46[[#This Row],[Home]],Table46[[#This Row],[Visitor]])</f>
        <v>Pittsburgh Penguins</v>
      </c>
      <c r="L128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0.48148335894146094</v>
      </c>
      <c r="M1282" s="11" t="str">
        <f>IF(Table46[[#This Row],[Strength of Win]]&gt; 0.5,Table46[[#This Row],[Predicted Winner]], IF(Table46[[#This Row],[Home]]=Table46[[#This Row],[Predicted Winner]],Table46[[#This Row],[Visitor]],Table46[[#This Row],[Home]]))</f>
        <v>Washington Capitals</v>
      </c>
      <c r="N1282" t="str">
        <f>IF(OR((NHL2025_26Results[[#This Row],[Winning Team]]="")),"-",IF(Table46[[#This Row],[Predicted Winner]]=NHL2025_26Results[[#This Row],[Winning Team]],"YES","NO"))</f>
        <v>-</v>
      </c>
      <c r="O1282" t="str">
        <f>IF(OR((NHL2025_26Results[[#This Row],[Winning Team]]="")),"-",IF(Table46[[#This Row],[Prob Winner]]=NHL2025_26Results[[#This Row],[Winning Team]],"YES","NO"))</f>
        <v>-</v>
      </c>
      <c r="P1282" t="str">
        <f>IF(Table46[[#This Row],[Locked Prediction]]&lt;&gt;Table46[[#This Row],[Prob Winner]], "Changed", "Same")</f>
        <v>Changed</v>
      </c>
      <c r="Q128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83" spans="4:17" x14ac:dyDescent="0.2">
      <c r="D1283" s="1">
        <v>46125</v>
      </c>
      <c r="E1283" s="2">
        <v>0.85416666666666663</v>
      </c>
      <c r="F1283" t="s">
        <v>10</v>
      </c>
      <c r="G1283">
        <f>VLOOKUP(Table46[[#This Row],[Home]],'NHL Model'!$A$6:$B$38,2,FALSE)</f>
        <v>0.30570968833820172</v>
      </c>
      <c r="H1283" t="s">
        <v>23</v>
      </c>
      <c r="I1283">
        <f>VLOOKUP(Table46[[#This Row],[Visitor]],'NHL Model'!$A$6:$B$38,2,FALSE)</f>
        <v>-0.8683412362501769</v>
      </c>
      <c r="J1283">
        <f>($B$1+Table46[[#This Row],[Home Differential]])-Table46[[#This Row],[Away Differential]]</f>
        <v>1.336623234250697</v>
      </c>
      <c r="K1283" t="str">
        <f>IF(Table46[[#This Row],[HomeIce Differential]]&gt;0,Table46[[#This Row],[Home]],Table46[[#This Row],[Visitor]])</f>
        <v>Chicago Blackhawks</v>
      </c>
      <c r="L128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0.71766263203464598</v>
      </c>
      <c r="M1283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283" t="str">
        <f>IF(OR((NHL2025_26Results[[#This Row],[Winning Team]]="")),"-",IF(Table46[[#This Row],[Predicted Winner]]=NHL2025_26Results[[#This Row],[Winning Team]],"YES","NO"))</f>
        <v>-</v>
      </c>
      <c r="O1283" t="str">
        <f>IF(OR((NHL2025_26Results[[#This Row],[Winning Team]]="")),"-",IF(Table46[[#This Row],[Prob Winner]]=NHL2025_26Results[[#This Row],[Winning Team]],"YES","NO"))</f>
        <v>-</v>
      </c>
      <c r="P1283" t="str">
        <f>IF(Table46[[#This Row],[Locked Prediction]]&lt;&gt;Table46[[#This Row],[Prob Winner]], "Changed", "Same")</f>
        <v>Changed</v>
      </c>
      <c r="Q128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84" spans="4:17" x14ac:dyDescent="0.2">
      <c r="D1284" s="1">
        <v>46125</v>
      </c>
      <c r="E1284" s="2">
        <v>0.89583333333333337</v>
      </c>
      <c r="F1284" t="s">
        <v>17</v>
      </c>
      <c r="G1284">
        <f>VLOOKUP(Table46[[#This Row],[Home]],'NHL Model'!$A$6:$B$38,2,FALSE)</f>
        <v>-0.61980804137564283</v>
      </c>
      <c r="H1284" t="s">
        <v>12</v>
      </c>
      <c r="I1284">
        <f>VLOOKUP(Table46[[#This Row],[Visitor]],'NHL Model'!$A$6:$B$38,2,FALSE)</f>
        <v>1.5475013591489768</v>
      </c>
      <c r="J1284">
        <f>($B$1+Table46[[#This Row],[Home Differential]])-Table46[[#This Row],[Away Differential]]</f>
        <v>-2.0047370908623012</v>
      </c>
      <c r="K1284" t="str">
        <f>IF(Table46[[#This Row],[HomeIce Differential]]&gt;0,Table46[[#This Row],[Home]],Table46[[#This Row],[Visitor]])</f>
        <v>Colorado Avalanche</v>
      </c>
      <c r="L128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0.75626358028835239</v>
      </c>
      <c r="M1284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284" t="str">
        <f>IF(OR((NHL2025_26Results[[#This Row],[Winning Team]]="")),"-",IF(Table46[[#This Row],[Predicted Winner]]=NHL2025_26Results[[#This Row],[Winning Team]],"YES","NO"))</f>
        <v>-</v>
      </c>
      <c r="O1284" t="str">
        <f>IF(OR((NHL2025_26Results[[#This Row],[Winning Team]]="")),"-",IF(Table46[[#This Row],[Prob Winner]]=NHL2025_26Results[[#This Row],[Winning Team]],"YES","NO"))</f>
        <v>-</v>
      </c>
      <c r="P1284" t="str">
        <f>IF(Table46[[#This Row],[Locked Prediction]]&lt;&gt;Table46[[#This Row],[Prob Winner]], "Changed", "Same")</f>
        <v>Changed</v>
      </c>
      <c r="Q128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85" spans="4:17" x14ac:dyDescent="0.2">
      <c r="D1285" s="1">
        <v>46125</v>
      </c>
      <c r="E1285" s="2">
        <v>0.79166666666666663</v>
      </c>
      <c r="F1285" t="s">
        <v>11</v>
      </c>
      <c r="G1285">
        <f>VLOOKUP(Table46[[#This Row],[Home]],'NHL Model'!$A$6:$B$38,2,FALSE)</f>
        <v>-0.28105923893144158</v>
      </c>
      <c r="H1285" t="s">
        <v>15</v>
      </c>
      <c r="I1285">
        <f>VLOOKUP(Table46[[#This Row],[Visitor]],'NHL Model'!$A$6:$B$38,2,FALSE)</f>
        <v>-0.30719665303039001</v>
      </c>
      <c r="J1285">
        <f>($B$1+Table46[[#This Row],[Home Differential]])-Table46[[#This Row],[Away Differential]]</f>
        <v>0.18870972376126682</v>
      </c>
      <c r="K1285" t="str">
        <f>IF(Table46[[#This Row],[HomeIce Differential]]&gt;0,Table46[[#This Row],[Home]],Table46[[#This Row],[Visitor]])</f>
        <v>Florida Panthers</v>
      </c>
      <c r="L128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0.47406270078983653</v>
      </c>
      <c r="M1285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285" t="str">
        <f>IF(OR((NHL2025_26Results[[#This Row],[Winning Team]]="")),"-",IF(Table46[[#This Row],[Predicted Winner]]=NHL2025_26Results[[#This Row],[Winning Team]],"YES","NO"))</f>
        <v>-</v>
      </c>
      <c r="O1285" t="str">
        <f>IF(OR((NHL2025_26Results[[#This Row],[Winning Team]]="")),"-",IF(Table46[[#This Row],[Prob Winner]]=NHL2025_26Results[[#This Row],[Winning Team]],"YES","NO"))</f>
        <v>-</v>
      </c>
      <c r="P1285" t="str">
        <f>IF(Table46[[#This Row],[Locked Prediction]]&lt;&gt;Table46[[#This Row],[Prob Winner]], "Changed", "Same")</f>
        <v>Changed</v>
      </c>
      <c r="Q128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86" spans="4:17" x14ac:dyDescent="0.2">
      <c r="D1286" s="1">
        <v>46125</v>
      </c>
      <c r="E1286" s="2">
        <v>0.83333333333333337</v>
      </c>
      <c r="F1286" t="s">
        <v>29</v>
      </c>
      <c r="G1286">
        <f>VLOOKUP(Table46[[#This Row],[Home]],'NHL Model'!$A$6:$B$38,2,FALSE)</f>
        <v>-1.3516250707060606</v>
      </c>
      <c r="H1286" t="s">
        <v>33</v>
      </c>
      <c r="I1286">
        <f>VLOOKUP(Table46[[#This Row],[Visitor]],'NHL Model'!$A$6:$B$38,2,FALSE)</f>
        <v>-0.39418177254008485</v>
      </c>
      <c r="J1286">
        <f>($B$1+Table46[[#This Row],[Home Differential]])-Table46[[#This Row],[Away Differential]]</f>
        <v>-0.79487098850365734</v>
      </c>
      <c r="K1286" t="str">
        <f>IF(Table46[[#This Row],[HomeIce Differential]]&gt;0,Table46[[#This Row],[Home]],Table46[[#This Row],[Visitor]])</f>
        <v>San Jose Sharks</v>
      </c>
      <c r="L128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0.5656534618932515</v>
      </c>
      <c r="M1286" s="11" t="str">
        <f>IF(Table46[[#This Row],[Strength of Win]]&gt; 0.5,Table46[[#This Row],[Predicted Winner]], IF(Table46[[#This Row],[Home]]=Table46[[#This Row],[Predicted Winner]],Table46[[#This Row],[Visitor]],Table46[[#This Row],[Home]]))</f>
        <v>San Jose Sharks</v>
      </c>
      <c r="N1286" t="str">
        <f>IF(OR((NHL2025_26Results[[#This Row],[Winning Team]]="")),"-",IF(Table46[[#This Row],[Predicted Winner]]=NHL2025_26Results[[#This Row],[Winning Team]],"YES","NO"))</f>
        <v>-</v>
      </c>
      <c r="O1286" t="str">
        <f>IF(OR((NHL2025_26Results[[#This Row],[Winning Team]]="")),"-",IF(Table46[[#This Row],[Prob Winner]]=NHL2025_26Results[[#This Row],[Winning Team]],"YES","NO"))</f>
        <v>-</v>
      </c>
      <c r="P1286" t="str">
        <f>IF(Table46[[#This Row],[Locked Prediction]]&lt;&gt;Table46[[#This Row],[Prob Winner]], "Changed", "Same")</f>
        <v>Changed</v>
      </c>
      <c r="Q128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87" spans="4:17" x14ac:dyDescent="0.2">
      <c r="D1287" s="1">
        <v>46125</v>
      </c>
      <c r="E1287" s="2">
        <v>0.79166666666666663</v>
      </c>
      <c r="F1287" t="s">
        <v>27</v>
      </c>
      <c r="G1287">
        <f>VLOOKUP(Table46[[#This Row],[Home]],'NHL Model'!$A$6:$B$38,2,FALSE)</f>
        <v>-0.51358590497437617</v>
      </c>
      <c r="H1287" t="s">
        <v>25</v>
      </c>
      <c r="I1287">
        <f>VLOOKUP(Table46[[#This Row],[Visitor]],'NHL Model'!$A$6:$B$38,2,FALSE)</f>
        <v>0.67193921242367816</v>
      </c>
      <c r="J1287">
        <f>($B$1+Table46[[#This Row],[Home Differential]])-Table46[[#This Row],[Away Differential]]</f>
        <v>-1.0229528077357359</v>
      </c>
      <c r="K1287" t="str">
        <f>IF(Table46[[#This Row],[HomeIce Differential]]&gt;0,Table46[[#This Row],[Home]],Table46[[#This Row],[Visitor]])</f>
        <v>Carolina Hurricanes</v>
      </c>
      <c r="L128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0.68596987065053128</v>
      </c>
      <c r="M1287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287" t="str">
        <f>IF(OR((NHL2025_26Results[[#This Row],[Winning Team]]="")),"-",IF(Table46[[#This Row],[Predicted Winner]]=NHL2025_26Results[[#This Row],[Winning Team]],"YES","NO"))</f>
        <v>-</v>
      </c>
      <c r="O1287" t="str">
        <f>IF(OR((NHL2025_26Results[[#This Row],[Winning Team]]="")),"-",IF(Table46[[#This Row],[Prob Winner]]=NHL2025_26Results[[#This Row],[Winning Team]],"YES","NO"))</f>
        <v>-</v>
      </c>
      <c r="P1287" t="str">
        <f>IF(Table46[[#This Row],[Locked Prediction]]&lt;&gt;Table46[[#This Row],[Prob Winner]], "Changed", "Same")</f>
        <v>Changed</v>
      </c>
      <c r="Q128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88" spans="4:17" x14ac:dyDescent="0.2">
      <c r="D1288" s="1">
        <v>46125</v>
      </c>
      <c r="E1288" s="2">
        <v>0.89583333333333337</v>
      </c>
      <c r="F1288" t="s">
        <v>32</v>
      </c>
      <c r="G1288">
        <f>VLOOKUP(Table46[[#This Row],[Home]],'NHL Model'!$A$6:$B$38,2,FALSE)</f>
        <v>-0.361361309178443</v>
      </c>
      <c r="H1288" t="s">
        <v>13</v>
      </c>
      <c r="I1288">
        <f>VLOOKUP(Table46[[#This Row],[Visitor]],'NHL Model'!$A$6:$B$38,2,FALSE)</f>
        <v>-7.5459708298993802E-2</v>
      </c>
      <c r="J1288">
        <f>($B$1+Table46[[#This Row],[Home Differential]])-Table46[[#This Row],[Away Differential]]</f>
        <v>-0.12332929121713081</v>
      </c>
      <c r="K1288" t="str">
        <f>IF(Table46[[#This Row],[HomeIce Differential]]&gt;0,Table46[[#This Row],[Home]],Table46[[#This Row],[Visitor]])</f>
        <v>Los Angeles Kings</v>
      </c>
      <c r="L128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0.57194836238633451</v>
      </c>
      <c r="M1288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288" t="str">
        <f>IF(OR((NHL2025_26Results[[#This Row],[Winning Team]]="")),"-",IF(Table46[[#This Row],[Predicted Winner]]=NHL2025_26Results[[#This Row],[Winning Team]],"YES","NO"))</f>
        <v>-</v>
      </c>
      <c r="O1288" t="str">
        <f>IF(OR((NHL2025_26Results[[#This Row],[Winning Team]]="")),"-",IF(Table46[[#This Row],[Prob Winner]]=NHL2025_26Results[[#This Row],[Winning Team]],"YES","NO"))</f>
        <v>-</v>
      </c>
      <c r="P1288" t="str">
        <f>IF(Table46[[#This Row],[Locked Prediction]]&lt;&gt;Table46[[#This Row],[Prob Winner]], "Changed", "Same")</f>
        <v>Changed</v>
      </c>
      <c r="Q128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89" spans="4:17" x14ac:dyDescent="0.2">
      <c r="D1289" s="1">
        <v>46125</v>
      </c>
      <c r="E1289" s="2">
        <v>0.83333333333333337</v>
      </c>
      <c r="F1289" t="s">
        <v>35</v>
      </c>
      <c r="G1289">
        <f>VLOOKUP(Table46[[#This Row],[Home]],'NHL Model'!$A$6:$B$38,2,FALSE)</f>
        <v>-1.6211574240381006</v>
      </c>
      <c r="H1289" t="s">
        <v>34</v>
      </c>
      <c r="I1289">
        <f>VLOOKUP(Table46[[#This Row],[Visitor]],'NHL Model'!$A$6:$B$38,2,FALSE)</f>
        <v>-0.53650300840565446</v>
      </c>
      <c r="J1289">
        <f>($B$1+Table46[[#This Row],[Home Differential]])-Table46[[#This Row],[Away Differential]]</f>
        <v>-0.92208210597012774</v>
      </c>
      <c r="K1289" t="str">
        <f>IF(Table46[[#This Row],[HomeIce Differential]]&gt;0,Table46[[#This Row],[Home]],Table46[[#This Row],[Visitor]])</f>
        <v>Minnesota Wild</v>
      </c>
      <c r="L128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0.58256223721154943</v>
      </c>
      <c r="M1289" s="11" t="str">
        <f>IF(Table46[[#This Row],[Strength of Win]]&gt; 0.5,Table46[[#This Row],[Predicted Winner]], IF(Table46[[#This Row],[Home]]=Table46[[#This Row],[Predicted Winner]],Table46[[#This Row],[Visitor]],Table46[[#This Row],[Home]]))</f>
        <v>Minnesota Wild</v>
      </c>
      <c r="N1289" t="str">
        <f>IF(OR((NHL2025_26Results[[#This Row],[Winning Team]]="")),"-",IF(Table46[[#This Row],[Predicted Winner]]=NHL2025_26Results[[#This Row],[Winning Team]],"YES","NO"))</f>
        <v>-</v>
      </c>
      <c r="O1289" t="str">
        <f>IF(OR((NHL2025_26Results[[#This Row],[Winning Team]]="")),"-",IF(Table46[[#This Row],[Prob Winner]]=NHL2025_26Results[[#This Row],[Winning Team]],"YES","NO"))</f>
        <v>-</v>
      </c>
      <c r="P1289" t="str">
        <f>IF(Table46[[#This Row],[Locked Prediction]]&lt;&gt;Table46[[#This Row],[Prob Winner]], "Changed", "Same")</f>
        <v>Changed</v>
      </c>
      <c r="Q128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90" spans="4:17" x14ac:dyDescent="0.2">
      <c r="D1290" s="1">
        <v>46125</v>
      </c>
      <c r="E1290" s="2">
        <v>0.79166666666666663</v>
      </c>
      <c r="F1290" t="s">
        <v>37</v>
      </c>
      <c r="G1290">
        <f>VLOOKUP(Table46[[#This Row],[Home]],'NHL Model'!$A$6:$B$38,2,FALSE)</f>
        <v>-0.11309445867623392</v>
      </c>
      <c r="H1290" t="s">
        <v>26</v>
      </c>
      <c r="I1290">
        <f>VLOOKUP(Table46[[#This Row],[Visitor]],'NHL Model'!$A$6:$B$38,2,FALSE)</f>
        <v>-0.513643833119658</v>
      </c>
      <c r="J1290">
        <f>($B$1+Table46[[#This Row],[Home Differential]])-Table46[[#This Row],[Away Differential]]</f>
        <v>0.56312168410574248</v>
      </c>
      <c r="K1290" t="str">
        <f>IF(Table46[[#This Row],[HomeIce Differential]]&gt;0,Table46[[#This Row],[Home]],Table46[[#This Row],[Visitor]])</f>
        <v>Tampa Bay Lightning</v>
      </c>
      <c r="L129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0.56775018317154169</v>
      </c>
      <c r="M1290" s="11" t="str">
        <f>IF(Table46[[#This Row],[Strength of Win]]&gt; 0.5,Table46[[#This Row],[Predicted Winner]], IF(Table46[[#This Row],[Home]]=Table46[[#This Row],[Predicted Winner]],Table46[[#This Row],[Visitor]],Table46[[#This Row],[Home]]))</f>
        <v>Tampa Bay Lightning</v>
      </c>
      <c r="N1290" t="str">
        <f>IF(OR((NHL2025_26Results[[#This Row],[Winning Team]]="")),"-",IF(Table46[[#This Row],[Predicted Winner]]=NHL2025_26Results[[#This Row],[Winning Team]],"YES","NO"))</f>
        <v>-</v>
      </c>
      <c r="O1290" t="str">
        <f>IF(OR((NHL2025_26Results[[#This Row],[Winning Team]]="")),"-",IF(Table46[[#This Row],[Prob Winner]]=NHL2025_26Results[[#This Row],[Winning Team]],"YES","NO"))</f>
        <v>-</v>
      </c>
      <c r="P1290" t="str">
        <f>IF(Table46[[#This Row],[Locked Prediction]]&lt;&gt;Table46[[#This Row],[Prob Winner]], "Changed", "Same")</f>
        <v>Changed</v>
      </c>
      <c r="Q129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91" spans="4:17" x14ac:dyDescent="0.2">
      <c r="D1291" s="1">
        <v>46125</v>
      </c>
      <c r="E1291" s="2">
        <v>0.8125</v>
      </c>
      <c r="F1291" t="s">
        <v>19</v>
      </c>
      <c r="G1291">
        <f>VLOOKUP(Table46[[#This Row],[Home]],'NHL Model'!$A$6:$B$38,2,FALSE)</f>
        <v>-0.635565543477981</v>
      </c>
      <c r="H1291" t="s">
        <v>39</v>
      </c>
      <c r="I1291">
        <f>VLOOKUP(Table46[[#This Row],[Visitor]],'NHL Model'!$A$6:$B$38,2,FALSE)</f>
        <v>0.19809534061227302</v>
      </c>
      <c r="J1291">
        <f>($B$1+Table46[[#This Row],[Home Differential]])-Table46[[#This Row],[Away Differential]]</f>
        <v>-0.67108857442793557</v>
      </c>
      <c r="K1291" t="str">
        <f>IF(Table46[[#This Row],[HomeIce Differential]]&gt;0,Table46[[#This Row],[Home]],Table46[[#This Row],[Visitor]])</f>
        <v>Dallas Stars</v>
      </c>
      <c r="L129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0.64168661426770079</v>
      </c>
      <c r="M1291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291" t="str">
        <f>IF(OR((NHL2025_26Results[[#This Row],[Winning Team]]="")),"-",IF(Table46[[#This Row],[Predicted Winner]]=NHL2025_26Results[[#This Row],[Winning Team]],"YES","NO"))</f>
        <v>-</v>
      </c>
      <c r="O1291" t="str">
        <f>IF(OR((NHL2025_26Results[[#This Row],[Winning Team]]="")),"-",IF(Table46[[#This Row],[Prob Winner]]=NHL2025_26Results[[#This Row],[Winning Team]],"YES","NO"))</f>
        <v>-</v>
      </c>
      <c r="P1291" t="str">
        <f>IF(Table46[[#This Row],[Locked Prediction]]&lt;&gt;Table46[[#This Row],[Prob Winner]], "Changed", "Same")</f>
        <v>Changed</v>
      </c>
      <c r="Q129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92" spans="4:17" x14ac:dyDescent="0.2">
      <c r="D1292" s="1">
        <v>46125</v>
      </c>
      <c r="E1292" s="2">
        <v>0.91666666666666663</v>
      </c>
      <c r="F1292" t="s">
        <v>20</v>
      </c>
      <c r="G1292">
        <f>VLOOKUP(Table46[[#This Row],[Home]],'NHL Model'!$A$6:$B$38,2,FALSE)</f>
        <v>-6.3745791019188943E-4</v>
      </c>
      <c r="H1292" t="s">
        <v>40</v>
      </c>
      <c r="I1292">
        <f>VLOOKUP(Table46[[#This Row],[Visitor]],'NHL Model'!$A$6:$B$38,2,FALSE)</f>
        <v>0.105105258369765</v>
      </c>
      <c r="J1292">
        <f>($B$1+Table46[[#This Row],[Home Differential]])-Table46[[#This Row],[Away Differential]]</f>
        <v>5.6829593382361487E-2</v>
      </c>
      <c r="K1292" t="str">
        <f>IF(Table46[[#This Row],[HomeIce Differential]]&gt;0,Table46[[#This Row],[Home]],Table46[[#This Row],[Visitor]])</f>
        <v>Vegas Golden Knights</v>
      </c>
      <c r="L129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0.4812379436046047</v>
      </c>
      <c r="M1292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292" t="str">
        <f>IF(OR((NHL2025_26Results[[#This Row],[Winning Team]]="")),"-",IF(Table46[[#This Row],[Predicted Winner]]=NHL2025_26Results[[#This Row],[Winning Team]],"YES","NO"))</f>
        <v>-</v>
      </c>
      <c r="O1292" t="str">
        <f>IF(OR((NHL2025_26Results[[#This Row],[Winning Team]]="")),"-",IF(Table46[[#This Row],[Prob Winner]]=NHL2025_26Results[[#This Row],[Winning Team]],"YES","NO"))</f>
        <v>-</v>
      </c>
      <c r="P1292" t="str">
        <f>IF(Table46[[#This Row],[Locked Prediction]]&lt;&gt;Table46[[#This Row],[Prob Winner]], "Changed", "Same")</f>
        <v>Changed</v>
      </c>
      <c r="Q129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93" spans="4:17" x14ac:dyDescent="0.2">
      <c r="D1293" s="1">
        <v>46126</v>
      </c>
      <c r="E1293" s="2">
        <v>0.79166666666666663</v>
      </c>
      <c r="F1293" t="s">
        <v>21</v>
      </c>
      <c r="G1293">
        <f>VLOOKUP(Table46[[#This Row],[Home]],'NHL Model'!$A$6:$B$38,2,FALSE)</f>
        <v>4.029141914856392E-2</v>
      </c>
      <c r="H1293" t="s">
        <v>24</v>
      </c>
      <c r="I1293">
        <f>VLOOKUP(Table46[[#This Row],[Visitor]],'NHL Model'!$A$6:$B$38,2,FALSE)</f>
        <v>0.559441163373953</v>
      </c>
      <c r="J1293">
        <f>($B$1+Table46[[#This Row],[Home Differential]])-Table46[[#This Row],[Away Differential]]</f>
        <v>-0.35657743456307067</v>
      </c>
      <c r="K1293" t="str">
        <f>IF(Table46[[#This Row],[HomeIce Differential]]&gt;0,Table46[[#This Row],[Home]],Table46[[#This Row],[Visitor]])</f>
        <v>New Jersey Devils</v>
      </c>
      <c r="L129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0.49945071277581515</v>
      </c>
      <c r="M1293" s="11" t="str">
        <f>IF(Table46[[#This Row],[Strength of Win]]&gt; 0.5,Table46[[#This Row],[Predicted Winner]], IF(Table46[[#This Row],[Home]]=Table46[[#This Row],[Predicted Winner]],Table46[[#This Row],[Visitor]],Table46[[#This Row],[Home]]))</f>
        <v>Boston Bruins</v>
      </c>
      <c r="N1293" t="str">
        <f>IF(OR((NHL2025_26Results[[#This Row],[Winning Team]]="")),"-",IF(Table46[[#This Row],[Predicted Winner]]=NHL2025_26Results[[#This Row],[Winning Team]],"YES","NO"))</f>
        <v>-</v>
      </c>
      <c r="O1293" t="str">
        <f>IF(OR((NHL2025_26Results[[#This Row],[Winning Team]]="")),"-",IF(Table46[[#This Row],[Prob Winner]]=NHL2025_26Results[[#This Row],[Winning Team]],"YES","NO"))</f>
        <v>-</v>
      </c>
      <c r="P1293" t="str">
        <f>IF(Table46[[#This Row],[Locked Prediction]]&lt;&gt;Table46[[#This Row],[Prob Winner]], "Changed", "Same")</f>
        <v>Changed</v>
      </c>
      <c r="Q129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94" spans="4:17" x14ac:dyDescent="0.2">
      <c r="D1294" s="1">
        <v>46126</v>
      </c>
      <c r="E1294" s="2">
        <v>0.79166666666666663</v>
      </c>
      <c r="F1294" t="s">
        <v>28</v>
      </c>
      <c r="G1294">
        <f>VLOOKUP(Table46[[#This Row],[Home]],'NHL Model'!$A$6:$B$38,2,FALSE)</f>
        <v>-0.40822279081308277</v>
      </c>
      <c r="H1294" t="s">
        <v>22</v>
      </c>
      <c r="I1294">
        <f>VLOOKUP(Table46[[#This Row],[Visitor]],'NHL Model'!$A$6:$B$38,2,FALSE)</f>
        <v>-6.1308839486784707E-2</v>
      </c>
      <c r="J1294">
        <f>($B$1+Table46[[#This Row],[Home Differential]])-Table46[[#This Row],[Away Differential]]</f>
        <v>-0.18434164166397968</v>
      </c>
      <c r="K1294" t="str">
        <f>IF(Table46[[#This Row],[HomeIce Differential]]&gt;0,Table46[[#This Row],[Home]],Table46[[#This Row],[Visitor]])</f>
        <v>Washington Capitals</v>
      </c>
      <c r="L129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0.48450250782148796</v>
      </c>
      <c r="M1294" s="11" t="str">
        <f>IF(Table46[[#This Row],[Strength of Win]]&gt; 0.5,Table46[[#This Row],[Predicted Winner]], IF(Table46[[#This Row],[Home]]=Table46[[#This Row],[Predicted Winner]],Table46[[#This Row],[Visitor]],Table46[[#This Row],[Home]]))</f>
        <v>Columbus Blue Jackets</v>
      </c>
      <c r="N1294" t="str">
        <f>IF(OR((NHL2025_26Results[[#This Row],[Winning Team]]="")),"-",IF(Table46[[#This Row],[Predicted Winner]]=NHL2025_26Results[[#This Row],[Winning Team]],"YES","NO"))</f>
        <v>-</v>
      </c>
      <c r="O1294" t="str">
        <f>IF(OR((NHL2025_26Results[[#This Row],[Winning Team]]="")),"-",IF(Table46[[#This Row],[Prob Winner]]=NHL2025_26Results[[#This Row],[Winning Team]],"YES","NO"))</f>
        <v>-</v>
      </c>
      <c r="P1294" t="str">
        <f>IF(Table46[[#This Row],[Locked Prediction]]&lt;&gt;Table46[[#This Row],[Prob Winner]], "Changed", "Same")</f>
        <v>Changed</v>
      </c>
      <c r="Q129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95" spans="4:17" x14ac:dyDescent="0.2">
      <c r="D1295" s="1">
        <v>46126</v>
      </c>
      <c r="E1295" s="2">
        <v>0.875</v>
      </c>
      <c r="F1295" t="s">
        <v>16</v>
      </c>
      <c r="G1295">
        <f>VLOOKUP(Table46[[#This Row],[Home]],'NHL Model'!$A$6:$B$38,2,FALSE)</f>
        <v>-1.3903684122795328</v>
      </c>
      <c r="H1295" t="s">
        <v>12</v>
      </c>
      <c r="I1295">
        <f>VLOOKUP(Table46[[#This Row],[Visitor]],'NHL Model'!$A$6:$B$38,2,FALSE)</f>
        <v>1.5475013591489768</v>
      </c>
      <c r="J1295">
        <f>($B$1+Table46[[#This Row],[Home Differential]])-Table46[[#This Row],[Away Differential]]</f>
        <v>-2.7752974617661912</v>
      </c>
      <c r="K1295" t="str">
        <f>IF(Table46[[#This Row],[HomeIce Differential]]&gt;0,Table46[[#This Row],[Home]],Table46[[#This Row],[Visitor]])</f>
        <v>Colorado Avalanche</v>
      </c>
      <c r="L129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0.89520557015512203</v>
      </c>
      <c r="M1295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295" t="str">
        <f>IF(OR((NHL2025_26Results[[#This Row],[Winning Team]]="")),"-",IF(Table46[[#This Row],[Predicted Winner]]=NHL2025_26Results[[#This Row],[Winning Team]],"YES","NO"))</f>
        <v>-</v>
      </c>
      <c r="O1295" t="str">
        <f>IF(OR((NHL2025_26Results[[#This Row],[Winning Team]]="")),"-",IF(Table46[[#This Row],[Prob Winner]]=NHL2025_26Results[[#This Row],[Winning Team]],"YES","NO"))</f>
        <v>-</v>
      </c>
      <c r="P1295" t="str">
        <f>IF(Table46[[#This Row],[Locked Prediction]]&lt;&gt;Table46[[#This Row],[Prob Winner]], "Changed", "Same")</f>
        <v>Changed</v>
      </c>
      <c r="Q129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96" spans="4:17" x14ac:dyDescent="0.2">
      <c r="D1296" s="1">
        <v>46126</v>
      </c>
      <c r="E1296" s="2">
        <v>0.83333333333333337</v>
      </c>
      <c r="F1296" t="s">
        <v>34</v>
      </c>
      <c r="G1296">
        <f>VLOOKUP(Table46[[#This Row],[Home]],'NHL Model'!$A$6:$B$38,2,FALSE)</f>
        <v>-0.53650300840565446</v>
      </c>
      <c r="H1296" t="s">
        <v>31</v>
      </c>
      <c r="I1296">
        <f>VLOOKUP(Table46[[#This Row],[Visitor]],'NHL Model'!$A$6:$B$38,2,FALSE)</f>
        <v>0.51775546328552802</v>
      </c>
      <c r="J1296">
        <f>($B$1+Table46[[#This Row],[Home Differential]])-Table46[[#This Row],[Away Differential]]</f>
        <v>-0.89168616202886408</v>
      </c>
      <c r="K1296" t="str">
        <f>IF(Table46[[#This Row],[HomeIce Differential]]&gt;0,Table46[[#This Row],[Home]],Table46[[#This Row],[Visitor]])</f>
        <v>Anaheim Ducks</v>
      </c>
      <c r="L129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0.59929126931790877</v>
      </c>
      <c r="M1296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296" t="str">
        <f>IF(OR((NHL2025_26Results[[#This Row],[Winning Team]]="")),"-",IF(Table46[[#This Row],[Predicted Winner]]=NHL2025_26Results[[#This Row],[Winning Team]],"YES","NO"))</f>
        <v>-</v>
      </c>
      <c r="O1296" t="str">
        <f>IF(OR((NHL2025_26Results[[#This Row],[Winning Team]]="")),"-",IF(Table46[[#This Row],[Prob Winner]]=NHL2025_26Results[[#This Row],[Winning Team]],"YES","NO"))</f>
        <v>-</v>
      </c>
      <c r="P1296" t="str">
        <f>IF(Table46[[#This Row],[Locked Prediction]]&lt;&gt;Table46[[#This Row],[Prob Winner]], "Changed", "Same")</f>
        <v>Changed</v>
      </c>
      <c r="Q129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97" spans="4:17" x14ac:dyDescent="0.2">
      <c r="D1297" s="1">
        <v>46126</v>
      </c>
      <c r="E1297" s="2">
        <v>0.79166666666666663</v>
      </c>
      <c r="F1297" t="s">
        <v>30</v>
      </c>
      <c r="G1297">
        <f>VLOOKUP(Table46[[#This Row],[Home]],'NHL Model'!$A$6:$B$38,2,FALSE)</f>
        <v>-6.4729560818359025E-2</v>
      </c>
      <c r="H1297" t="s">
        <v>25</v>
      </c>
      <c r="I1297">
        <f>VLOOKUP(Table46[[#This Row],[Visitor]],'NHL Model'!$A$6:$B$38,2,FALSE)</f>
        <v>0.67193921242367816</v>
      </c>
      <c r="J1297">
        <f>($B$1+Table46[[#This Row],[Home Differential]])-Table46[[#This Row],[Away Differential]]</f>
        <v>-0.57409646357971877</v>
      </c>
      <c r="K1297" t="str">
        <f>IF(Table46[[#This Row],[HomeIce Differential]]&gt;0,Table46[[#This Row],[Home]],Table46[[#This Row],[Visitor]])</f>
        <v>Carolina Hurricanes</v>
      </c>
      <c r="L129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0.62879451927913022</v>
      </c>
      <c r="M1297" s="11" t="str">
        <f>IF(Table46[[#This Row],[Strength of Win]]&gt; 0.5,Table46[[#This Row],[Predicted Winner]], IF(Table46[[#This Row],[Home]]=Table46[[#This Row],[Predicted Winner]],Table46[[#This Row],[Visitor]],Table46[[#This Row],[Home]]))</f>
        <v>Carolina Hurricanes</v>
      </c>
      <c r="N1297" t="str">
        <f>IF(OR((NHL2025_26Results[[#This Row],[Winning Team]]="")),"-",IF(Table46[[#This Row],[Predicted Winner]]=NHL2025_26Results[[#This Row],[Winning Team]],"YES","NO"))</f>
        <v>-</v>
      </c>
      <c r="O1297" t="str">
        <f>IF(OR((NHL2025_26Results[[#This Row],[Winning Team]]="")),"-",IF(Table46[[#This Row],[Prob Winner]]=NHL2025_26Results[[#This Row],[Winning Team]],"YES","NO"))</f>
        <v>-</v>
      </c>
      <c r="P1297" t="str">
        <f>IF(Table46[[#This Row],[Locked Prediction]]&lt;&gt;Table46[[#This Row],[Prob Winner]], "Changed", "Same")</f>
        <v>Changed</v>
      </c>
      <c r="Q129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98" spans="4:17" x14ac:dyDescent="0.2">
      <c r="D1298" s="1">
        <v>46126</v>
      </c>
      <c r="E1298" s="2">
        <v>0.79166666666666663</v>
      </c>
      <c r="F1298" t="s">
        <v>27</v>
      </c>
      <c r="G1298">
        <f>VLOOKUP(Table46[[#This Row],[Home]],'NHL Model'!$A$6:$B$38,2,FALSE)</f>
        <v>-0.51358590497437617</v>
      </c>
      <c r="H1298" t="s">
        <v>18</v>
      </c>
      <c r="I1298">
        <f>VLOOKUP(Table46[[#This Row],[Visitor]],'NHL Model'!$A$6:$B$38,2,FALSE)</f>
        <v>-0.52437726201848234</v>
      </c>
      <c r="J1298">
        <f>($B$1+Table46[[#This Row],[Home Differential]])-Table46[[#This Row],[Away Differential]]</f>
        <v>0.17336366670642456</v>
      </c>
      <c r="K1298" t="str">
        <f>IF(Table46[[#This Row],[HomeIce Differential]]&gt;0,Table46[[#This Row],[Home]],Table46[[#This Row],[Visitor]])</f>
        <v>Philadelphia Flyers</v>
      </c>
      <c r="L129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0.48906274377515979</v>
      </c>
      <c r="M1298" s="11" t="str">
        <f>IF(Table46[[#This Row],[Strength of Win]]&gt; 0.5,Table46[[#This Row],[Predicted Winner]], IF(Table46[[#This Row],[Home]]=Table46[[#This Row],[Predicted Winner]],Table46[[#This Row],[Visitor]],Table46[[#This Row],[Home]]))</f>
        <v>Montreal Canadiens</v>
      </c>
      <c r="N1298" t="str">
        <f>IF(OR((NHL2025_26Results[[#This Row],[Winning Team]]="")),"-",IF(Table46[[#This Row],[Predicted Winner]]=NHL2025_26Results[[#This Row],[Winning Team]],"YES","NO"))</f>
        <v>-</v>
      </c>
      <c r="O1298" t="str">
        <f>IF(OR((NHL2025_26Results[[#This Row],[Winning Team]]="")),"-",IF(Table46[[#This Row],[Prob Winner]]=NHL2025_26Results[[#This Row],[Winning Team]],"YES","NO"))</f>
        <v>-</v>
      </c>
      <c r="P1298" t="str">
        <f>IF(Table46[[#This Row],[Locked Prediction]]&lt;&gt;Table46[[#This Row],[Prob Winner]], "Changed", "Same")</f>
        <v>Changed</v>
      </c>
      <c r="Q129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299" spans="4:17" x14ac:dyDescent="0.2">
      <c r="D1299" s="1">
        <v>46126</v>
      </c>
      <c r="E1299" s="2">
        <v>0.89583333333333337</v>
      </c>
      <c r="F1299" t="s">
        <v>35</v>
      </c>
      <c r="G1299">
        <f>VLOOKUP(Table46[[#This Row],[Home]],'NHL Model'!$A$6:$B$38,2,FALSE)</f>
        <v>-1.6211574240381006</v>
      </c>
      <c r="H1299" t="s">
        <v>14</v>
      </c>
      <c r="I1299">
        <f>VLOOKUP(Table46[[#This Row],[Visitor]],'NHL Model'!$A$6:$B$38,2,FALSE)</f>
        <v>0.26289091192875702</v>
      </c>
      <c r="J1299">
        <f>($B$1+Table46[[#This Row],[Home Differential]])-Table46[[#This Row],[Away Differential]]</f>
        <v>-1.7214760263045392</v>
      </c>
      <c r="K1299" t="str">
        <f>IF(Table46[[#This Row],[HomeIce Differential]]&gt;0,Table46[[#This Row],[Home]],Table46[[#This Row],[Visitor]])</f>
        <v>Pittsburgh Penguins</v>
      </c>
      <c r="L129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0.68881688270910624</v>
      </c>
      <c r="M1299" s="11" t="str">
        <f>IF(Table46[[#This Row],[Strength of Win]]&gt; 0.5,Table46[[#This Row],[Predicted Winner]], IF(Table46[[#This Row],[Home]]=Table46[[#This Row],[Predicted Winner]],Table46[[#This Row],[Visitor]],Table46[[#This Row],[Home]]))</f>
        <v>Pittsburgh Penguins</v>
      </c>
      <c r="N1299" t="str">
        <f>IF(OR((NHL2025_26Results[[#This Row],[Winning Team]]="")),"-",IF(Table46[[#This Row],[Predicted Winner]]=NHL2025_26Results[[#This Row],[Winning Team]],"YES","NO"))</f>
        <v>-</v>
      </c>
      <c r="O1299" t="str">
        <f>IF(OR((NHL2025_26Results[[#This Row],[Winning Team]]="")),"-",IF(Table46[[#This Row],[Prob Winner]]=NHL2025_26Results[[#This Row],[Winning Team]],"YES","NO"))</f>
        <v>-</v>
      </c>
      <c r="P1299" t="str">
        <f>IF(Table46[[#This Row],[Locked Prediction]]&lt;&gt;Table46[[#This Row],[Prob Winner]], "Changed", "Same")</f>
        <v>Changed</v>
      </c>
      <c r="Q129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00" spans="4:17" x14ac:dyDescent="0.2">
      <c r="D1300" s="1">
        <v>46126</v>
      </c>
      <c r="E1300" s="2">
        <v>0.875</v>
      </c>
      <c r="F1300" t="s">
        <v>55</v>
      </c>
      <c r="G1300">
        <f>VLOOKUP(Table46[[#This Row],[Home]],'NHL Model'!$A$6:$B$38,2,FALSE)</f>
        <v>-0.12212311954851815</v>
      </c>
      <c r="H1300" t="s">
        <v>40</v>
      </c>
      <c r="I1300">
        <f>VLOOKUP(Table46[[#This Row],[Visitor]],'NHL Model'!$A$6:$B$38,2,FALSE)</f>
        <v>0.105105258369765</v>
      </c>
      <c r="J1300">
        <f>($B$1+Table46[[#This Row],[Home Differential]])-Table46[[#This Row],[Away Differential]]</f>
        <v>-6.465606825596476E-2</v>
      </c>
      <c r="K1300" t="str">
        <f>IF(Table46[[#This Row],[HomeIce Differential]]&gt;0,Table46[[#This Row],[Home]],Table46[[#This Row],[Visitor]])</f>
        <v>Winnipeg Jets</v>
      </c>
      <c r="L130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0.46511575947140688</v>
      </c>
      <c r="M1300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300" t="str">
        <f>IF(OR((NHL2025_26Results[[#This Row],[Winning Team]]="")),"-",IF(Table46[[#This Row],[Predicted Winner]]=NHL2025_26Results[[#This Row],[Winning Team]],"YES","NO"))</f>
        <v>-</v>
      </c>
      <c r="O1300" t="str">
        <f>IF(OR((NHL2025_26Results[[#This Row],[Winning Team]]="")),"-",IF(Table46[[#This Row],[Prob Winner]]=NHL2025_26Results[[#This Row],[Winning Team]],"YES","NO"))</f>
        <v>-</v>
      </c>
      <c r="P1300" t="str">
        <f>IF(Table46[[#This Row],[Locked Prediction]]&lt;&gt;Table46[[#This Row],[Prob Winner]], "Changed", "Same")</f>
        <v>Changed</v>
      </c>
      <c r="Q130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01" spans="4:17" x14ac:dyDescent="0.2">
      <c r="D1301" s="1">
        <v>46126</v>
      </c>
      <c r="E1301" s="2">
        <v>0.91666666666666663</v>
      </c>
      <c r="F1301" t="s">
        <v>38</v>
      </c>
      <c r="G1301">
        <f>VLOOKUP(Table46[[#This Row],[Home]],'NHL Model'!$A$6:$B$38,2,FALSE)</f>
        <v>-0.6902088310934803</v>
      </c>
      <c r="H1301" t="s">
        <v>13</v>
      </c>
      <c r="I1301">
        <f>VLOOKUP(Table46[[#This Row],[Visitor]],'NHL Model'!$A$6:$B$38,2,FALSE)</f>
        <v>-7.5459708298993802E-2</v>
      </c>
      <c r="J1301">
        <f>($B$1+Table46[[#This Row],[Home Differential]])-Table46[[#This Row],[Away Differential]]</f>
        <v>-0.45217681313216812</v>
      </c>
      <c r="K1301" t="str">
        <f>IF(Table46[[#This Row],[HomeIce Differential]]&gt;0,Table46[[#This Row],[Home]],Table46[[#This Row],[Visitor]])</f>
        <v>Los Angeles Kings</v>
      </c>
      <c r="L130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0.64149824149052648</v>
      </c>
      <c r="M1301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301" t="str">
        <f>IF(OR((NHL2025_26Results[[#This Row],[Winning Team]]="")),"-",IF(Table46[[#This Row],[Predicted Winner]]=NHL2025_26Results[[#This Row],[Winning Team]],"YES","NO"))</f>
        <v>-</v>
      </c>
      <c r="O1301" t="str">
        <f>IF(OR((NHL2025_26Results[[#This Row],[Winning Team]]="")),"-",IF(Table46[[#This Row],[Prob Winner]]=NHL2025_26Results[[#This Row],[Winning Team]],"YES","NO"))</f>
        <v>-</v>
      </c>
      <c r="P1301" t="str">
        <f>IF(Table46[[#This Row],[Locked Prediction]]&lt;&gt;Table46[[#This Row],[Prob Winner]], "Changed", "Same")</f>
        <v>Changed</v>
      </c>
      <c r="Q130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02" spans="4:17" x14ac:dyDescent="0.2">
      <c r="D1302" s="1">
        <v>46127</v>
      </c>
      <c r="E1302" s="2">
        <v>0.79166666666666663</v>
      </c>
      <c r="F1302" t="s">
        <v>23</v>
      </c>
      <c r="G1302">
        <f>VLOOKUP(Table46[[#This Row],[Home]],'NHL Model'!$A$6:$B$38,2,FALSE)</f>
        <v>-0.8683412362501769</v>
      </c>
      <c r="H1302" t="s">
        <v>39</v>
      </c>
      <c r="I1302">
        <f>VLOOKUP(Table46[[#This Row],[Visitor]],'NHL Model'!$A$6:$B$38,2,FALSE)</f>
        <v>0.19809534061227302</v>
      </c>
      <c r="J1302">
        <f>($B$1+Table46[[#This Row],[Home Differential]])-Table46[[#This Row],[Away Differential]]</f>
        <v>-0.90386426720013158</v>
      </c>
      <c r="K1302" t="str">
        <f>IF(Table46[[#This Row],[HomeIce Differential]]&gt;0,Table46[[#This Row],[Home]],Table46[[#This Row],[Visitor]])</f>
        <v>Dallas Stars</v>
      </c>
      <c r="L130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0.6726269280314221</v>
      </c>
      <c r="M1302" s="11" t="str">
        <f>IF(Table46[[#This Row],[Strength of Win]]&gt; 0.5,Table46[[#This Row],[Predicted Winner]], IF(Table46[[#This Row],[Home]]=Table46[[#This Row],[Predicted Winner]],Table46[[#This Row],[Visitor]],Table46[[#This Row],[Home]]))</f>
        <v>Dallas Stars</v>
      </c>
      <c r="N1302" t="str">
        <f>IF(OR((NHL2025_26Results[[#This Row],[Winning Team]]="")),"-",IF(Table46[[#This Row],[Predicted Winner]]=NHL2025_26Results[[#This Row],[Winning Team]],"YES","NO"))</f>
        <v>-</v>
      </c>
      <c r="O1302" t="str">
        <f>IF(OR((NHL2025_26Results[[#This Row],[Winning Team]]="")),"-",IF(Table46[[#This Row],[Prob Winner]]=NHL2025_26Results[[#This Row],[Winning Team]],"YES","NO"))</f>
        <v>-</v>
      </c>
      <c r="P1302" t="str">
        <f>IF(Table46[[#This Row],[Locked Prediction]]&lt;&gt;Table46[[#This Row],[Prob Winner]], "Changed", "Same")</f>
        <v>Changed</v>
      </c>
      <c r="Q130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03" spans="4:17" x14ac:dyDescent="0.2">
      <c r="D1303" s="1">
        <v>46127</v>
      </c>
      <c r="E1303" s="2">
        <v>0.85416666666666663</v>
      </c>
      <c r="F1303" t="s">
        <v>10</v>
      </c>
      <c r="G1303">
        <f>VLOOKUP(Table46[[#This Row],[Home]],'NHL Model'!$A$6:$B$38,2,FALSE)</f>
        <v>0.30570968833820172</v>
      </c>
      <c r="H1303" t="s">
        <v>33</v>
      </c>
      <c r="I1303">
        <f>VLOOKUP(Table46[[#This Row],[Visitor]],'NHL Model'!$A$6:$B$38,2,FALSE)</f>
        <v>-0.39418177254008485</v>
      </c>
      <c r="J1303">
        <f>($B$1+Table46[[#This Row],[Home Differential]])-Table46[[#This Row],[Away Differential]]</f>
        <v>0.86246377054060497</v>
      </c>
      <c r="K1303" t="str">
        <f>IF(Table46[[#This Row],[HomeIce Differential]]&gt;0,Table46[[#This Row],[Home]],Table46[[#This Row],[Visitor]])</f>
        <v>Chicago Blackhawks</v>
      </c>
      <c r="L130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0.65463782731164877</v>
      </c>
      <c r="M1303" s="11" t="str">
        <f>IF(Table46[[#This Row],[Strength of Win]]&gt; 0.5,Table46[[#This Row],[Predicted Winner]], IF(Table46[[#This Row],[Home]]=Table46[[#This Row],[Predicted Winner]],Table46[[#This Row],[Visitor]],Table46[[#This Row],[Home]]))</f>
        <v>Chicago Blackhawks</v>
      </c>
      <c r="N1303" t="str">
        <f>IF(OR((NHL2025_26Results[[#This Row],[Winning Team]]="")),"-",IF(Table46[[#This Row],[Predicted Winner]]=NHL2025_26Results[[#This Row],[Winning Team]],"YES","NO"))</f>
        <v>-</v>
      </c>
      <c r="O1303" t="str">
        <f>IF(OR((NHL2025_26Results[[#This Row],[Winning Team]]="")),"-",IF(Table46[[#This Row],[Prob Winner]]=NHL2025_26Results[[#This Row],[Winning Team]],"YES","NO"))</f>
        <v>-</v>
      </c>
      <c r="P1303" t="str">
        <f>IF(Table46[[#This Row],[Locked Prediction]]&lt;&gt;Table46[[#This Row],[Prob Winner]], "Changed", "Same")</f>
        <v>Changed</v>
      </c>
      <c r="Q1303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04" spans="4:17" x14ac:dyDescent="0.2">
      <c r="D1304" s="1">
        <v>46127</v>
      </c>
      <c r="E1304" s="2">
        <v>0.79166666666666663</v>
      </c>
      <c r="F1304" t="s">
        <v>11</v>
      </c>
      <c r="G1304">
        <f>VLOOKUP(Table46[[#This Row],[Home]],'NHL Model'!$A$6:$B$38,2,FALSE)</f>
        <v>-0.28105923893144158</v>
      </c>
      <c r="H1304" t="s">
        <v>26</v>
      </c>
      <c r="I1304">
        <f>VLOOKUP(Table46[[#This Row],[Visitor]],'NHL Model'!$A$6:$B$38,2,FALSE)</f>
        <v>-0.513643833119658</v>
      </c>
      <c r="J1304">
        <f>($B$1+Table46[[#This Row],[Home Differential]])-Table46[[#This Row],[Away Differential]]</f>
        <v>0.39515690385053481</v>
      </c>
      <c r="K1304" t="str">
        <f>IF(Table46[[#This Row],[HomeIce Differential]]&gt;0,Table46[[#This Row],[Home]],Table46[[#This Row],[Visitor]])</f>
        <v>Florida Panthers</v>
      </c>
      <c r="L1304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0.59797840842936778</v>
      </c>
      <c r="M1304" s="11" t="str">
        <f>IF(Table46[[#This Row],[Strength of Win]]&gt; 0.5,Table46[[#This Row],[Predicted Winner]], IF(Table46[[#This Row],[Home]]=Table46[[#This Row],[Predicted Winner]],Table46[[#This Row],[Visitor]],Table46[[#This Row],[Home]]))</f>
        <v>Florida Panthers</v>
      </c>
      <c r="N1304" t="str">
        <f>IF(OR((NHL2025_26Results[[#This Row],[Winning Team]]="")),"-",IF(Table46[[#This Row],[Predicted Winner]]=NHL2025_26Results[[#This Row],[Winning Team]],"YES","NO"))</f>
        <v>-</v>
      </c>
      <c r="O1304" t="str">
        <f>IF(OR((NHL2025_26Results[[#This Row],[Winning Team]]="")),"-",IF(Table46[[#This Row],[Prob Winner]]=NHL2025_26Results[[#This Row],[Winning Team]],"YES","NO"))</f>
        <v>-</v>
      </c>
      <c r="P1304" t="str">
        <f>IF(Table46[[#This Row],[Locked Prediction]]&lt;&gt;Table46[[#This Row],[Prob Winner]], "Changed", "Same")</f>
        <v>Changed</v>
      </c>
      <c r="Q1304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05" spans="4:17" x14ac:dyDescent="0.2">
      <c r="D1305" s="1">
        <v>46127</v>
      </c>
      <c r="E1305" s="2">
        <v>0.8125</v>
      </c>
      <c r="F1305" t="s">
        <v>36</v>
      </c>
      <c r="G1305">
        <f>VLOOKUP(Table46[[#This Row],[Home]],'NHL Model'!$A$6:$B$38,2,FALSE)</f>
        <v>-0.40651947573390851</v>
      </c>
      <c r="H1305" t="s">
        <v>19</v>
      </c>
      <c r="I1305">
        <f>VLOOKUP(Table46[[#This Row],[Visitor]],'NHL Model'!$A$6:$B$38,2,FALSE)</f>
        <v>-0.635565543477981</v>
      </c>
      <c r="J1305">
        <f>($B$1+Table46[[#This Row],[Home Differential]])-Table46[[#This Row],[Away Differential]]</f>
        <v>0.39161837740639088</v>
      </c>
      <c r="K1305" t="str">
        <f>IF(Table46[[#This Row],[HomeIce Differential]]&gt;0,Table46[[#This Row],[Home]],Table46[[#This Row],[Visitor]])</f>
        <v>Ottawa Senators</v>
      </c>
      <c r="L1305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0.5945490047605978</v>
      </c>
      <c r="M1305" s="11" t="str">
        <f>IF(Table46[[#This Row],[Strength of Win]]&gt; 0.5,Table46[[#This Row],[Predicted Winner]], IF(Table46[[#This Row],[Home]]=Table46[[#This Row],[Predicted Winner]],Table46[[#This Row],[Visitor]],Table46[[#This Row],[Home]]))</f>
        <v>Ottawa Senators</v>
      </c>
      <c r="N1305" t="str">
        <f>IF(OR((NHL2025_26Results[[#This Row],[Winning Team]]="")),"-",IF(Table46[[#This Row],[Predicted Winner]]=NHL2025_26Results[[#This Row],[Winning Team]],"YES","NO"))</f>
        <v>-</v>
      </c>
      <c r="O1305" t="str">
        <f>IF(OR((NHL2025_26Results[[#This Row],[Winning Team]]="")),"-",IF(Table46[[#This Row],[Prob Winner]]=NHL2025_26Results[[#This Row],[Winning Team]],"YES","NO"))</f>
        <v>-</v>
      </c>
      <c r="P1305" t="str">
        <f>IF(Table46[[#This Row],[Locked Prediction]]&lt;&gt;Table46[[#This Row],[Prob Winner]], "Changed", "Same")</f>
        <v>Changed</v>
      </c>
      <c r="Q1305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06" spans="4:17" x14ac:dyDescent="0.2">
      <c r="D1306" s="1">
        <v>46127</v>
      </c>
      <c r="E1306" s="2">
        <v>0.79166666666666663</v>
      </c>
      <c r="F1306" t="s">
        <v>37</v>
      </c>
      <c r="G1306">
        <f>VLOOKUP(Table46[[#This Row],[Home]],'NHL Model'!$A$6:$B$38,2,FALSE)</f>
        <v>-0.11309445867623392</v>
      </c>
      <c r="H1306" t="s">
        <v>15</v>
      </c>
      <c r="I1306">
        <f>VLOOKUP(Table46[[#This Row],[Visitor]],'NHL Model'!$A$6:$B$38,2,FALSE)</f>
        <v>-0.30719665303039001</v>
      </c>
      <c r="J1306">
        <f>($B$1+Table46[[#This Row],[Home Differential]])-Table46[[#This Row],[Away Differential]]</f>
        <v>0.35667450401647449</v>
      </c>
      <c r="K1306" t="str">
        <f>IF(Table46[[#This Row],[HomeIce Differential]]&gt;0,Table46[[#This Row],[Home]],Table46[[#This Row],[Visitor]])</f>
        <v>Tampa Bay Lightning</v>
      </c>
      <c r="L1306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0.44499918207633449</v>
      </c>
      <c r="M1306" s="11" t="str">
        <f>IF(Table46[[#This Row],[Strength of Win]]&gt; 0.5,Table46[[#This Row],[Predicted Winner]], IF(Table46[[#This Row],[Home]]=Table46[[#This Row],[Predicted Winner]],Table46[[#This Row],[Visitor]],Table46[[#This Row],[Home]]))</f>
        <v>New York Rangers</v>
      </c>
      <c r="N1306" t="str">
        <f>IF(OR((NHL2025_26Results[[#This Row],[Winning Team]]="")),"-",IF(Table46[[#This Row],[Predicted Winner]]=NHL2025_26Results[[#This Row],[Winning Team]],"YES","NO"))</f>
        <v>-</v>
      </c>
      <c r="O1306" t="str">
        <f>IF(OR((NHL2025_26Results[[#This Row],[Winning Team]]="")),"-",IF(Table46[[#This Row],[Prob Winner]]=NHL2025_26Results[[#This Row],[Winning Team]],"YES","NO"))</f>
        <v>-</v>
      </c>
      <c r="P1306" t="str">
        <f>IF(Table46[[#This Row],[Locked Prediction]]&lt;&gt;Table46[[#This Row],[Prob Winner]], "Changed", "Same")</f>
        <v>Changed</v>
      </c>
      <c r="Q1306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07" spans="4:17" x14ac:dyDescent="0.2">
      <c r="D1307" s="1">
        <v>46127</v>
      </c>
      <c r="E1307" s="2">
        <v>0.91666666666666663</v>
      </c>
      <c r="F1307" t="s">
        <v>20</v>
      </c>
      <c r="G1307">
        <f>VLOOKUP(Table46[[#This Row],[Home]],'NHL Model'!$A$6:$B$38,2,FALSE)</f>
        <v>-6.3745791019188943E-4</v>
      </c>
      <c r="H1307" t="s">
        <v>32</v>
      </c>
      <c r="I1307">
        <f>VLOOKUP(Table46[[#This Row],[Visitor]],'NHL Model'!$A$6:$B$38,2,FALSE)</f>
        <v>-0.361361309178443</v>
      </c>
      <c r="J1307">
        <f>($B$1+Table46[[#This Row],[Home Differential]])-Table46[[#This Row],[Away Differential]]</f>
        <v>0.52329616093056952</v>
      </c>
      <c r="K1307" t="str">
        <f>IF(Table46[[#This Row],[HomeIce Differential]]&gt;0,Table46[[#This Row],[Home]],Table46[[#This Row],[Visitor]])</f>
        <v>Vegas Golden Knights</v>
      </c>
      <c r="L1307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0.60955600568822166</v>
      </c>
      <c r="M1307" s="11" t="str">
        <f>IF(Table46[[#This Row],[Strength of Win]]&gt; 0.5,Table46[[#This Row],[Predicted Winner]], IF(Table46[[#This Row],[Home]]=Table46[[#This Row],[Predicted Winner]],Table46[[#This Row],[Visitor]],Table46[[#This Row],[Home]]))</f>
        <v>Vegas Golden Knights</v>
      </c>
      <c r="N1307" t="str">
        <f>IF(OR((NHL2025_26Results[[#This Row],[Winning Team]]="")),"-",IF(Table46[[#This Row],[Predicted Winner]]=NHL2025_26Results[[#This Row],[Winning Team]],"YES","NO"))</f>
        <v>-</v>
      </c>
      <c r="O1307" t="str">
        <f>IF(OR((NHL2025_26Results[[#This Row],[Winning Team]]="")),"-",IF(Table46[[#This Row],[Prob Winner]]=NHL2025_26Results[[#This Row],[Winning Team]],"YES","NO"))</f>
        <v>-</v>
      </c>
      <c r="P1307" t="str">
        <f>IF(Table46[[#This Row],[Locked Prediction]]&lt;&gt;Table46[[#This Row],[Prob Winner]], "Changed", "Same")</f>
        <v>Changed</v>
      </c>
      <c r="Q1307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08" spans="4:17" x14ac:dyDescent="0.2">
      <c r="D1308" s="1">
        <v>46128</v>
      </c>
      <c r="E1308" s="2">
        <v>0.875</v>
      </c>
      <c r="F1308" t="s">
        <v>16</v>
      </c>
      <c r="G1308">
        <f>VLOOKUP(Table46[[#This Row],[Home]],'NHL Model'!$A$6:$B$38,2,FALSE)</f>
        <v>-1.3903684122795328</v>
      </c>
      <c r="H1308" t="s">
        <v>13</v>
      </c>
      <c r="I1308">
        <f>VLOOKUP(Table46[[#This Row],[Visitor]],'NHL Model'!$A$6:$B$38,2,FALSE)</f>
        <v>-7.5459708298993802E-2</v>
      </c>
      <c r="J1308">
        <f>($B$1+Table46[[#This Row],[Home Differential]])-Table46[[#This Row],[Away Differential]]</f>
        <v>-1.1523363943182205</v>
      </c>
      <c r="K1308" t="str">
        <f>IF(Table46[[#This Row],[HomeIce Differential]]&gt;0,Table46[[#This Row],[Home]],Table46[[#This Row],[Visitor]])</f>
        <v>Los Angeles Kings</v>
      </c>
      <c r="L1308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0.73456275724205988</v>
      </c>
      <c r="M1308" s="11" t="str">
        <f>IF(Table46[[#This Row],[Strength of Win]]&gt; 0.5,Table46[[#This Row],[Predicted Winner]], IF(Table46[[#This Row],[Home]]=Table46[[#This Row],[Predicted Winner]],Table46[[#This Row],[Visitor]],Table46[[#This Row],[Home]]))</f>
        <v>Los Angeles Kings</v>
      </c>
      <c r="N1308" t="str">
        <f>IF(OR((NHL2025_26Results[[#This Row],[Winning Team]]="")),"-",IF(Table46[[#This Row],[Predicted Winner]]=NHL2025_26Results[[#This Row],[Winning Team]],"YES","NO"))</f>
        <v>-</v>
      </c>
      <c r="O1308" t="str">
        <f>IF(OR((NHL2025_26Results[[#This Row],[Winning Team]]="")),"-",IF(Table46[[#This Row],[Prob Winner]]=NHL2025_26Results[[#This Row],[Winning Team]],"YES","NO"))</f>
        <v>-</v>
      </c>
      <c r="P1308" t="str">
        <f>IF(Table46[[#This Row],[Locked Prediction]]&lt;&gt;Table46[[#This Row],[Prob Winner]], "Changed", "Same")</f>
        <v>Changed</v>
      </c>
      <c r="Q1308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09" spans="4:17" x14ac:dyDescent="0.2">
      <c r="D1309" s="1">
        <v>46128</v>
      </c>
      <c r="E1309" s="2">
        <v>0.9375</v>
      </c>
      <c r="F1309" t="s">
        <v>12</v>
      </c>
      <c r="G1309">
        <f>VLOOKUP(Table46[[#This Row],[Home]],'NHL Model'!$A$6:$B$38,2,FALSE)</f>
        <v>1.5475013591489768</v>
      </c>
      <c r="H1309" t="s">
        <v>32</v>
      </c>
      <c r="I1309">
        <f>VLOOKUP(Table46[[#This Row],[Visitor]],'NHL Model'!$A$6:$B$38,2,FALSE)</f>
        <v>-0.361361309178443</v>
      </c>
      <c r="J1309">
        <f>($B$1+Table46[[#This Row],[Home Differential]])-Table46[[#This Row],[Away Differential]]</f>
        <v>2.0714349779897381</v>
      </c>
      <c r="K1309" t="str">
        <f>IF(Table46[[#This Row],[HomeIce Differential]]&gt;0,Table46[[#This Row],[Home]],Table46[[#This Row],[Visitor]])</f>
        <v>Colorado Avalanche</v>
      </c>
      <c r="L1309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0.90369932655316232</v>
      </c>
      <c r="M1309" s="11" t="str">
        <f>IF(Table46[[#This Row],[Strength of Win]]&gt; 0.5,Table46[[#This Row],[Predicted Winner]], IF(Table46[[#This Row],[Home]]=Table46[[#This Row],[Predicted Winner]],Table46[[#This Row],[Visitor]],Table46[[#This Row],[Home]]))</f>
        <v>Colorado Avalanche</v>
      </c>
      <c r="N1309" t="str">
        <f>IF(OR((NHL2025_26Results[[#This Row],[Winning Team]]="")),"-",IF(Table46[[#This Row],[Predicted Winner]]=NHL2025_26Results[[#This Row],[Winning Team]],"YES","NO"))</f>
        <v>-</v>
      </c>
      <c r="O1309" t="str">
        <f>IF(OR((NHL2025_26Results[[#This Row],[Winning Team]]="")),"-",IF(Table46[[#This Row],[Prob Winner]]=NHL2025_26Results[[#This Row],[Winning Team]],"YES","NO"))</f>
        <v>-</v>
      </c>
      <c r="P1309" t="str">
        <f>IF(Table46[[#This Row],[Locked Prediction]]&lt;&gt;Table46[[#This Row],[Prob Winner]], "Changed", "Same")</f>
        <v>Changed</v>
      </c>
      <c r="Q1309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10" spans="4:17" x14ac:dyDescent="0.2">
      <c r="D1310" s="1">
        <v>46128</v>
      </c>
      <c r="E1310" s="2">
        <v>0.875</v>
      </c>
      <c r="F1310" t="s">
        <v>17</v>
      </c>
      <c r="G1310">
        <f>VLOOKUP(Table46[[#This Row],[Home]],'NHL Model'!$A$6:$B$38,2,FALSE)</f>
        <v>-0.61980804137564283</v>
      </c>
      <c r="H1310" t="s">
        <v>38</v>
      </c>
      <c r="I1310">
        <f>VLOOKUP(Table46[[#This Row],[Visitor]],'NHL Model'!$A$6:$B$38,2,FALSE)</f>
        <v>-0.6902088310934803</v>
      </c>
      <c r="J1310">
        <f>($B$1+Table46[[#This Row],[Home Differential]])-Table46[[#This Row],[Away Differential]]</f>
        <v>0.23297309938015587</v>
      </c>
      <c r="K1310" t="str">
        <f>IF(Table46[[#This Row],[HomeIce Differential]]&gt;0,Table46[[#This Row],[Home]],Table46[[#This Row],[Visitor]])</f>
        <v>Edmonton Oilers</v>
      </c>
      <c r="L1310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0.56494713537815144</v>
      </c>
      <c r="M1310" s="11" t="str">
        <f>IF(Table46[[#This Row],[Strength of Win]]&gt; 0.5,Table46[[#This Row],[Predicted Winner]], IF(Table46[[#This Row],[Home]]=Table46[[#This Row],[Predicted Winner]],Table46[[#This Row],[Visitor]],Table46[[#This Row],[Home]]))</f>
        <v>Edmonton Oilers</v>
      </c>
      <c r="N1310" t="str">
        <f>IF(OR((NHL2025_26Results[[#This Row],[Winning Team]]="")),"-",IF(Table46[[#This Row],[Predicted Winner]]=NHL2025_26Results[[#This Row],[Winning Team]],"YES","NO"))</f>
        <v>-</v>
      </c>
      <c r="O1310" t="str">
        <f>IF(OR((NHL2025_26Results[[#This Row],[Winning Team]]="")),"-",IF(Table46[[#This Row],[Prob Winner]]=NHL2025_26Results[[#This Row],[Winning Team]],"YES","NO"))</f>
        <v>-</v>
      </c>
      <c r="P1310" t="str">
        <f>IF(Table46[[#This Row],[Locked Prediction]]&lt;&gt;Table46[[#This Row],[Prob Winner]], "Changed", "Same")</f>
        <v>Changed</v>
      </c>
      <c r="Q1310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11" spans="4:17" x14ac:dyDescent="0.2">
      <c r="D1311" s="1">
        <v>46128</v>
      </c>
      <c r="E1311" s="2">
        <v>0.83333333333333337</v>
      </c>
      <c r="F1311" t="s">
        <v>29</v>
      </c>
      <c r="G1311">
        <f>VLOOKUP(Table46[[#This Row],[Home]],'NHL Model'!$A$6:$B$38,2,FALSE)</f>
        <v>-1.3516250707060606</v>
      </c>
      <c r="H1311" t="s">
        <v>31</v>
      </c>
      <c r="I1311">
        <f>VLOOKUP(Table46[[#This Row],[Visitor]],'NHL Model'!$A$6:$B$38,2,FALSE)</f>
        <v>0.51775546328552802</v>
      </c>
      <c r="J1311">
        <f>($B$1+Table46[[#This Row],[Home Differential]])-Table46[[#This Row],[Away Differential]]</f>
        <v>-1.7068082243292704</v>
      </c>
      <c r="K1311" t="str">
        <f>IF(Table46[[#This Row],[HomeIce Differential]]&gt;0,Table46[[#This Row],[Home]],Table46[[#This Row],[Visitor]])</f>
        <v>Anaheim Ducks</v>
      </c>
      <c r="L1311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0.70763648381583144</v>
      </c>
      <c r="M1311" s="11" t="str">
        <f>IF(Table46[[#This Row],[Strength of Win]]&gt; 0.5,Table46[[#This Row],[Predicted Winner]], IF(Table46[[#This Row],[Home]]=Table46[[#This Row],[Predicted Winner]],Table46[[#This Row],[Visitor]],Table46[[#This Row],[Home]]))</f>
        <v>Anaheim Ducks</v>
      </c>
      <c r="N1311" t="str">
        <f>IF(OR((NHL2025_26Results[[#This Row],[Winning Team]]="")),"-",IF(Table46[[#This Row],[Predicted Winner]]=NHL2025_26Results[[#This Row],[Winning Team]],"YES","NO"))</f>
        <v>-</v>
      </c>
      <c r="O1311" t="str">
        <f>IF(OR((NHL2025_26Results[[#This Row],[Winning Team]]="")),"-",IF(Table46[[#This Row],[Prob Winner]]=NHL2025_26Results[[#This Row],[Winning Team]],"YES","NO"))</f>
        <v>-</v>
      </c>
      <c r="P1311" t="str">
        <f>IF(Table46[[#This Row],[Locked Prediction]]&lt;&gt;Table46[[#This Row],[Prob Winner]], "Changed", "Same")</f>
        <v>Changed</v>
      </c>
      <c r="Q1311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12" spans="4:17" x14ac:dyDescent="0.2">
      <c r="D1312" s="1">
        <v>46128</v>
      </c>
      <c r="E1312" s="2">
        <v>0.83333333333333337</v>
      </c>
      <c r="F1312" t="s">
        <v>55</v>
      </c>
      <c r="G1312">
        <f>VLOOKUP(Table46[[#This Row],[Home]],'NHL Model'!$A$6:$B$38,2,FALSE)</f>
        <v>-0.12212311954851815</v>
      </c>
      <c r="H1312" t="s">
        <v>35</v>
      </c>
      <c r="I1312">
        <f>VLOOKUP(Table46[[#This Row],[Visitor]],'NHL Model'!$A$6:$B$38,2,FALSE)</f>
        <v>-1.6211574240381006</v>
      </c>
      <c r="J1312">
        <f>($B$1+Table46[[#This Row],[Home Differential]])-Table46[[#This Row],[Away Differential]]</f>
        <v>1.6616066141519008</v>
      </c>
      <c r="K1312" t="str">
        <f>IF(Table46[[#This Row],[HomeIce Differential]]&gt;0,Table46[[#This Row],[Home]],Table46[[#This Row],[Visitor]])</f>
        <v>Utah Mammoth</v>
      </c>
      <c r="L1312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0.82913160602340019</v>
      </c>
      <c r="M1312" s="11" t="str">
        <f>IF(Table46[[#This Row],[Strength of Win]]&gt; 0.5,Table46[[#This Row],[Predicted Winner]], IF(Table46[[#This Row],[Home]]=Table46[[#This Row],[Predicted Winner]],Table46[[#This Row],[Visitor]],Table46[[#This Row],[Home]]))</f>
        <v>Utah Mammoth</v>
      </c>
      <c r="N1312" t="str">
        <f>IF(OR((NHL2025_26Results[[#This Row],[Winning Team]]="")),"-",IF(Table46[[#This Row],[Predicted Winner]]=NHL2025_26Results[[#This Row],[Winning Team]],"YES","NO"))</f>
        <v>-</v>
      </c>
      <c r="O1312" t="str">
        <f>IF(OR((NHL2025_26Results[[#This Row],[Winning Team]]="")),"-",IF(Table46[[#This Row],[Prob Winner]]=NHL2025_26Results[[#This Row],[Winning Team]],"YES","NO"))</f>
        <v>-</v>
      </c>
      <c r="P1312" t="str">
        <f>IF(Table46[[#This Row],[Locked Prediction]]&lt;&gt;Table46[[#This Row],[Prob Winner]], "Changed", "Same")</f>
        <v>Changed</v>
      </c>
      <c r="Q1312" t="str">
        <f>IF(Table46[[#This Row],[Adjusted Predicted Correct]]="-", "",IF(Table46[[#This Row],[Adjusted Predicted Correct]]="YES",(Table46[[#This Row],[Strength of Win]]-1)^2,(Table46[[#This Row],[Strength of Win]]-0)^2))</f>
        <v/>
      </c>
    </row>
    <row r="1313" spans="4:17" x14ac:dyDescent="0.2">
      <c r="D1313" s="1">
        <v>46128</v>
      </c>
      <c r="E1313" s="2">
        <v>0.83333333333333337</v>
      </c>
      <c r="F1313" t="s">
        <v>40</v>
      </c>
      <c r="G1313">
        <f>VLOOKUP(Table46[[#This Row],[Home]],'NHL Model'!$A$6:$B$38,2,FALSE)</f>
        <v>0.105105258369765</v>
      </c>
      <c r="H1313" t="s">
        <v>33</v>
      </c>
      <c r="I1313">
        <f>VLOOKUP(Table46[[#This Row],[Visitor]],'NHL Model'!$A$6:$B$38,2,FALSE)</f>
        <v>-0.39418177254008485</v>
      </c>
      <c r="J1313">
        <f>($B$1+Table46[[#This Row],[Home Differential]])-Table46[[#This Row],[Away Differential]]</f>
        <v>0.66185934057216822</v>
      </c>
      <c r="K1313" t="str">
        <f>IF(Table46[[#This Row],[HomeIce Differential]]&gt;0,Table46[[#This Row],[Home]],Table46[[#This Row],[Visitor]])</f>
        <v>Winnipeg Jets</v>
      </c>
      <c r="L1313" s="11">
        <f>MAX(0, MIN(1,IF(Table46[[#This Row],[HomeIce Differential]]&gt;0,((MAX(_xlfn.XLOOKUP(Table46[[#This Row],[Home]],Table1[[#All],[Team]],Table1[[#All],[HomeWin%]]), 0.54))/(MAX(_xlfn.XLOOKUP(Table46[[#This Row],[Home]],Table1[[#All],[Team]],Table1[[#All],[HomeWin%]]), 0.54)+MAX(_xlfn.XLOOKUP(Table46[[#This Row],[Visitor]],Table1[[#All],[Team]],Table1[[#All],[AwayWin%]]), 0.46)))+(Table46[[#This Row],[HomeIce Differential]]*$V$10),((MAX(_xlfn.XLOOKUP(Table46[[#This Row],[Visitor]],Table1[[#All],[Team]],Table1[[#All],[AwayWin%]]), 0.46))/(MAX(_xlfn.XLOOKUP(Table46[[#This Row],[Visitor]],Table1[[#All],[Team]],Table1[[#All],[AwayWin%]]), 0.46)+MAX(_xlfn.XLOOKUP(Table46[[#This Row],[Home]],Table1[[#All],[Team]],Table1[[#All],[HomeWin%]]), 0.54)))+(ABS(Table46[[#This Row],[HomeIce Differential]])*$V$10))))</f>
        <v>0.66401055218923555</v>
      </c>
      <c r="M1313" s="11" t="str">
        <f>IF(Table46[[#This Row],[Strength of Win]]&gt; 0.5,Table46[[#This Row],[Predicted Winner]], IF(Table46[[#This Row],[Home]]=Table46[[#This Row],[Predicted Winner]],Table46[[#This Row],[Visitor]],Table46[[#This Row],[Home]]))</f>
        <v>Winnipeg Jets</v>
      </c>
      <c r="N1313" t="str">
        <f>IF(OR((NHL2025_26Results[[#This Row],[Winning Team]]="")),"-",IF(Table46[[#This Row],[Predicted Winner]]=NHL2025_26Results[[#This Row],[Winning Team]],"YES","NO"))</f>
        <v>-</v>
      </c>
      <c r="O1313" t="str">
        <f>IF(OR((NHL2025_26Results[[#This Row],[Winning Team]]="")),"-",IF(Table46[[#This Row],[Prob Winner]]=NHL2025_26Results[[#This Row],[Winning Team]],"YES","NO"))</f>
        <v>-</v>
      </c>
      <c r="P1313" t="str">
        <f>IF(Table46[[#This Row],[Locked Prediction]]&lt;&gt;Table46[[#This Row],[Prob Winner]], "Changed", "Same")</f>
        <v>Changed</v>
      </c>
      <c r="Q1313" t="str">
        <f>IF(Table46[[#This Row],[Adjusted Predicted Correct]]="-", "",IF(Table46[[#This Row],[Adjusted Predicted Correct]]="YES",(Table46[[#This Row],[Strength of Win]]-1)^2,(Table46[[#This Row],[Strength of Win]]-0)^2))</f>
        <v/>
      </c>
    </row>
  </sheetData>
  <conditionalFormatting sqref="D1:D1313">
    <cfRule type="timePeriod" dxfId="4" priority="3" timePeriod="today">
      <formula>FLOOR(D1,1)=TODAY()</formula>
    </cfRule>
  </conditionalFormatting>
  <conditionalFormatting sqref="J2:J13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P1313">
    <cfRule type="containsText" dxfId="3" priority="6" operator="containsText" text="NO">
      <formula>NOT(ISERROR(SEARCH("NO",N2)))</formula>
    </cfRule>
    <cfRule type="containsText" dxfId="2" priority="7" operator="containsText" text="YES">
      <formula>NOT(ISERROR(SEARCH("YES",N2)))</formula>
    </cfRule>
  </conditionalFormatting>
  <conditionalFormatting sqref="T1:T1313">
    <cfRule type="containsText" dxfId="1" priority="1" operator="containsText" text="YES">
      <formula>NOT(ISERROR(SEARCH("YES",T1)))</formula>
    </cfRule>
    <cfRule type="containsText" dxfId="0" priority="2" operator="containsText" text="NO">
      <formula>NOT(ISERROR(SEARCH("NO",T1)))</formula>
    </cfRule>
  </conditionalFormatting>
  <pageMargins left="0.7" right="0.7" top="0.75" bottom="0.75" header="0.3" footer="0.3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J5" sqref="J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262</v>
      </c>
      <c r="P1" s="9" t="s">
        <v>263</v>
      </c>
      <c r="Q1" s="3" t="s">
        <v>264</v>
      </c>
      <c r="R1" s="3" t="s">
        <v>265</v>
      </c>
    </row>
    <row r="2" spans="1:18" x14ac:dyDescent="0.2">
      <c r="A2" s="4" t="s">
        <v>31</v>
      </c>
      <c r="B2">
        <f>SUM(Table1[[#This Row],[W]:[OTL]])</f>
        <v>18</v>
      </c>
      <c r="C2">
        <f>COUNTIF(NHL2025_26Results[Winning Team],Standings!A2)</f>
        <v>11</v>
      </c>
      <c r="D2">
        <f>COUNTIFS('NHL2025-26Results'!$H:$H,A2,'NHL2025-26Results'!$F:$F,"")</f>
        <v>6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23</v>
      </c>
      <c r="G2">
        <f>COUNTIFS('NHL2025-26Results'!$D:$D,A2,'NHL2025-26Results'!$G:$G,A2)</f>
        <v>5</v>
      </c>
      <c r="H2">
        <f>COUNTIFS('NHL2025-26Results'!$D:$D,A2,'NHL2025-26Results'!$H:$H,A2,'NHL2025-26Results'!$F:$F,"")</f>
        <v>1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0.83333333333333337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4.166666666666667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2.3333333333333335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20</v>
      </c>
      <c r="C3">
        <f>COUNTIF(NHL2025_26Results[Winning Team],Standings!A3)</f>
        <v>12</v>
      </c>
      <c r="D3">
        <f>COUNTIFS('NHL2025-26Results'!$H:$H,A3,'NHL2025-26Results'!$F:$F,"")</f>
        <v>8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24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3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4</v>
      </c>
      <c r="K3">
        <f>COUNTIFS('NHL2025-26Results'!$B:$B,A3,'NHL2025-26Results'!$H:$H,A3,'NHL2025-26Results'!$F:$F,"")</f>
        <v>5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0.72727272727272729</v>
      </c>
      <c r="N3" s="11">
        <f>Table1[[#This Row],[AwayWins]]/SUM(Table1[[#This Row],[AwayWins]:[AwayOTL]])</f>
        <v>0.44444444444444442</v>
      </c>
      <c r="O3" s="14">
        <f>SUMIFS('NHL2025-26Results'!$E:$E,'NHL2025-26Results'!$D:$D,A3,'NHL2025-26Results'!$E:$E,"&gt;0")/COUNTIFS('NHL2025-26Results'!$D:$D,A3,'NHL2025-26Results'!$E:$E,"&gt;0")</f>
        <v>3.6363636363636362</v>
      </c>
      <c r="P3" s="14">
        <f>SUMIFS('NHL2025-26Results'!$C:$C,'NHL2025-26Results'!$B:$B,A3,'NHL2025-26Results'!$C:$C,"&gt;0")/COUNTIFS('NHL2025-26Results'!$B:$B,A3,'NHL2025-26Results'!$C:$C,"&gt;0")</f>
        <v>3.1111111111111112</v>
      </c>
      <c r="Q3" s="14">
        <f>SUMIFS('NHL2025-26Results'!$C:$C,'NHL2025-26Results'!$D:$D,A3,'NHL2025-26Results'!$C:$C,"&gt;0")/COUNTIFS('NHL2025-26Results'!$D:$D,A3,'NHL2025-26Results'!$C:$C,"&gt;0")</f>
        <v>2.9090909090909092</v>
      </c>
      <c r="R3" s="14">
        <f>SUMIFS('NHL2025-26Results'!$E:$E,'NHL2025-26Results'!$B:$B,A3,'NHL2025-26Results'!$E:$E,"&gt;0")/COUNTIFS('NHL2025-26Results'!$B:$B,A3,'NHL2025-26Results'!$E:$E,"&gt;0")</f>
        <v>3.7777777777777777</v>
      </c>
    </row>
    <row r="4" spans="1:18" x14ac:dyDescent="0.2">
      <c r="A4" s="4" t="s">
        <v>23</v>
      </c>
      <c r="B4">
        <f>SUM(Table1[[#This Row],[W]:[OTL]])</f>
        <v>18</v>
      </c>
      <c r="C4">
        <f>COUNTIF(NHL2025_26Results[Winning Team],Standings!A4)</f>
        <v>6</v>
      </c>
      <c r="D4">
        <f>COUNTIFS('NHL2025-26Results'!$H:$H,A4,'NHL2025-26Results'!$F:$F,"")</f>
        <v>8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16</v>
      </c>
      <c r="G4">
        <f>COUNTIFS('NHL2025-26Results'!$D:$D,A4,'NHL2025-26Results'!$G:$G,A4)</f>
        <v>5</v>
      </c>
      <c r="H4">
        <f>COUNTIFS('NHL2025-26Results'!$D:$D,A4,'NHL2025-26Results'!$H:$H,A4,'NHL2025-26Results'!$F:$F,"")</f>
        <v>3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5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</v>
      </c>
      <c r="N4" s="11">
        <f>Table1[[#This Row],[AwayWins]]/SUM(Table1[[#This Row],[AwayWins]:[AwayOTL]])</f>
        <v>0.125</v>
      </c>
      <c r="O4" s="14">
        <f>SUMIFS('NHL2025-26Results'!$E:$E,'NHL2025-26Results'!$D:$D,A4,'NHL2025-26Results'!$E:$E,"&gt;0")/COUNTIFS('NHL2025-26Results'!$D:$D,A4,'NHL2025-26Results'!$E:$E,"&gt;0")</f>
        <v>3.625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3.1111111111111112</v>
      </c>
      <c r="R4" s="14">
        <f>SUMIFS('NHL2025-26Results'!$E:$E,'NHL2025-26Results'!$B:$B,A4,'NHL2025-26Results'!$E:$E,"&gt;0")/COUNTIFS('NHL2025-26Results'!$B:$B,A4,'NHL2025-26Results'!$E:$E,"&gt;0")</f>
        <v>4.5</v>
      </c>
    </row>
    <row r="5" spans="1:18" x14ac:dyDescent="0.2">
      <c r="A5" s="4" t="s">
        <v>16</v>
      </c>
      <c r="B5">
        <f>SUM(Table1[[#This Row],[W]:[OTL]])</f>
        <v>20</v>
      </c>
      <c r="C5">
        <f>COUNTIF(NHL2025_26Results[Winning Team],Standings!A5)</f>
        <v>5</v>
      </c>
      <c r="D5">
        <f>COUNTIFS('NHL2025-26Results'!$H:$H,A5,'NHL2025-26Results'!$F:$F,"")</f>
        <v>12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13</v>
      </c>
      <c r="G5">
        <f>COUNTIFS('NHL2025-26Results'!$D:$D,A5,'NHL2025-26Results'!$G:$G,A5)</f>
        <v>3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2</v>
      </c>
      <c r="K5">
        <f>COUNTIFS('NHL2025-26Results'!$B:$B,A5,'NHL2025-26Results'!$H:$H,A5,'NHL2025-26Results'!$F:$F,"")</f>
        <v>8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0.33333333333333331</v>
      </c>
      <c r="N5" s="11">
        <f>Table1[[#This Row],[AwayWins]]/SUM(Table1[[#This Row],[AwayWins]:[AwayOTL]])</f>
        <v>0.18181818181818182</v>
      </c>
      <c r="O5" s="14">
        <f>SUMIFS('NHL2025-26Results'!$E:$E,'NHL2025-26Results'!$D:$D,A5,'NHL2025-26Results'!$E:$E,"&gt;0")/COUNTIFS('NHL2025-26Results'!$D:$D,A5,'NHL2025-26Results'!$E:$E,"&gt;0")</f>
        <v>2.625</v>
      </c>
      <c r="P5" s="14">
        <f>SUMIFS('NHL2025-26Results'!$C:$C,'NHL2025-26Results'!$B:$B,A5,'NHL2025-26Results'!$C:$C,"&gt;0")/COUNTIFS('NHL2025-26Results'!$B:$B,A5,'NHL2025-26Results'!$C:$C,"&gt;0")</f>
        <v>2.2000000000000002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3.6363636363636362</v>
      </c>
    </row>
    <row r="6" spans="1:18" x14ac:dyDescent="0.2">
      <c r="A6" s="4" t="s">
        <v>25</v>
      </c>
      <c r="B6">
        <f>SUM(Table1[[#This Row],[W]:[OTL]])</f>
        <v>18</v>
      </c>
      <c r="C6">
        <f>COUNTIF(NHL2025_26Results[Winning Team],Standings!A6)</f>
        <v>12</v>
      </c>
      <c r="D6">
        <f>COUNTIFS('NHL2025-26Results'!$H:$H,A6,'NHL2025-26Results'!$F:$F,"")</f>
        <v>5</v>
      </c>
      <c r="E6">
        <f>COUNTIFS('NHL2025-26Results'!$F:$F,"OT",'NHL2025-26Results'!$H:$H,A6) + COUNTIFS('NHL2025-26Results'!$F:$F,"SO",'NHL2025-26Results'!$H:$H,A6)</f>
        <v>1</v>
      </c>
      <c r="F6" s="3">
        <f>(Table1[[#This Row],[W]]*2)+Table1[[#This Row],[OTL]]</f>
        <v>25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2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6</v>
      </c>
      <c r="K6">
        <f>COUNTIFS('NHL2025-26Results'!$B:$B,A6,'NHL2025-26Results'!$H:$H,A6,'NHL2025-26Results'!$F:$F,"")</f>
        <v>3</v>
      </c>
      <c r="L6">
        <f>COUNTIFS('NHL2025-26Results'!$B:$B,A6,'NHL2025-26Results'!$H:$H,A6,'NHL2025-26Results'!$F:$F,"OT") + COUNTIFS('NHL2025-26Results'!$B:$B,A6,'NHL2025-26Results'!$H:$H,A6,'NHL2025-26Results'!$F:$F,"SO")</f>
        <v>0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0.66666666666666663</v>
      </c>
      <c r="O6" s="14">
        <f>SUMIFS('NHL2025-26Results'!$E:$E,'NHL2025-26Results'!$D:$D,A6,'NHL2025-26Results'!$E:$E,"&gt;0")/COUNTIFS('NHL2025-26Results'!$D:$D,A6,'NHL2025-26Results'!$E:$E,"&gt;0")</f>
        <v>4.1111111111111107</v>
      </c>
      <c r="P6" s="14">
        <f>SUMIFS('NHL2025-26Results'!$C:$C,'NHL2025-26Results'!$B:$B,A6,'NHL2025-26Results'!$C:$C,"&gt;0")/COUNTIFS('NHL2025-26Results'!$B:$B,A6,'NHL2025-26Results'!$C:$C,"&gt;0")</f>
        <v>3.3333333333333335</v>
      </c>
      <c r="Q6" s="14">
        <f>SUMIFS('NHL2025-26Results'!$C:$C,'NHL2025-26Results'!$D:$D,A6,'NHL2025-26Results'!$C:$C,"&gt;0")/COUNTIFS('NHL2025-26Results'!$D:$D,A6,'NHL2025-26Results'!$C:$C,"&gt;0")</f>
        <v>3.4444444444444446</v>
      </c>
      <c r="R6" s="14">
        <f>SUMIFS('NHL2025-26Results'!$E:$E,'NHL2025-26Results'!$B:$B,A6,'NHL2025-26Results'!$E:$E,"&gt;0")/COUNTIFS('NHL2025-26Results'!$B:$B,A6,'NHL2025-26Results'!$E:$E,"&gt;0")</f>
        <v>2.75</v>
      </c>
    </row>
    <row r="7" spans="1:18" x14ac:dyDescent="0.2">
      <c r="A7" s="4" t="s">
        <v>10</v>
      </c>
      <c r="B7">
        <f>SUM(Table1[[#This Row],[W]:[OTL]])</f>
        <v>18</v>
      </c>
      <c r="C7">
        <f>COUNTIF(NHL2025_26Results[Winning Team],Standings!A7)</f>
        <v>9</v>
      </c>
      <c r="D7">
        <f>COUNTIFS('NHL2025-26Results'!$H:$H,A7,'NHL2025-26Results'!$F:$F,"")</f>
        <v>5</v>
      </c>
      <c r="E7">
        <f>COUNTIFS('NHL2025-26Results'!$F:$F,"OT",'NHL2025-26Results'!$H:$H,A7) + COUNTIFS('NHL2025-26Results'!$F:$F,"SO",'NHL2025-26Results'!$H:$H,A7)</f>
        <v>4</v>
      </c>
      <c r="F7" s="3">
        <f>(Table1[[#This Row],[W]]*2)+Table1[[#This Row],[OTL]]</f>
        <v>22</v>
      </c>
      <c r="G7">
        <f>COUNTIFS('NHL2025-26Results'!$D:$D,A7,'NHL2025-26Results'!$G:$G,A7)</f>
        <v>4</v>
      </c>
      <c r="H7">
        <f>COUNTIFS('NHL2025-26Results'!$D:$D,A7,'NHL2025-26Results'!$H:$H,A7,'NHL2025-26Results'!$F:$F,"")</f>
        <v>2</v>
      </c>
      <c r="I7">
        <f>COUNTIFS('NHL2025-26Results'!$D:$D,A7,'NHL2025-26Results'!$H:$H,A7,'NHL2025-26Results'!$F:$F,"OT") + COUNTIFS('NHL2025-26Results'!$D:$D,A7,'NHL2025-26Results'!$H:$H,A7,'NHL2025-26Results'!$F:$F,"SO")</f>
        <v>2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3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0.5</v>
      </c>
      <c r="N7" s="11">
        <f>Table1[[#This Row],[AwayWins]]/SUM(Table1[[#This Row],[AwayWins]:[AwayOTL]])</f>
        <v>0.5</v>
      </c>
      <c r="O7" s="14">
        <f>SUMIFS('NHL2025-26Results'!$E:$E,'NHL2025-26Results'!$D:$D,A7,'NHL2025-26Results'!$E:$E,"&gt;0")/COUNTIFS('NHL2025-26Results'!$D:$D,A7,'NHL2025-26Results'!$E:$E,"&gt;0")</f>
        <v>2.875</v>
      </c>
      <c r="P7" s="14">
        <f>SUMIFS('NHL2025-26Results'!$C:$C,'NHL2025-26Results'!$B:$B,A7,'NHL2025-26Results'!$C:$C,"&gt;0")/COUNTIFS('NHL2025-26Results'!$B:$B,A7,'NHL2025-26Results'!$C:$C,"&gt;0")</f>
        <v>3.6</v>
      </c>
      <c r="Q7" s="14">
        <f>SUMIFS('NHL2025-26Results'!$C:$C,'NHL2025-26Results'!$D:$D,A7,'NHL2025-26Results'!$C:$C,"&gt;0")/COUNTIFS('NHL2025-26Results'!$D:$D,A7,'NHL2025-26Results'!$C:$C,"&gt;0")</f>
        <v>2.5</v>
      </c>
      <c r="R7" s="14">
        <f>SUMIFS('NHL2025-26Results'!$E:$E,'NHL2025-26Results'!$B:$B,A7,'NHL2025-26Results'!$E:$E,"&gt;0")/COUNTIFS('NHL2025-26Results'!$B:$B,A7,'NHL2025-26Results'!$E:$E,"&gt;0")</f>
        <v>3</v>
      </c>
    </row>
    <row r="8" spans="1:18" x14ac:dyDescent="0.2">
      <c r="A8" s="4" t="s">
        <v>12</v>
      </c>
      <c r="B8">
        <f>SUM(Table1[[#This Row],[W]:[OTL]])</f>
        <v>19</v>
      </c>
      <c r="C8">
        <f>COUNTIF(NHL2025_26Results[Winning Team],Standings!A8)</f>
        <v>13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31</v>
      </c>
      <c r="G8">
        <f>COUNTIFS('NHL2025-26Results'!$D:$D,A8,'NHL2025-26Results'!$G:$G,A8)</f>
        <v>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6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0.77777777777777779</v>
      </c>
      <c r="N8" s="11">
        <f>Table1[[#This Row],[AwayWins]]/SUM(Table1[[#This Row],[AwayWins]:[AwayOTL]])</f>
        <v>0.6</v>
      </c>
      <c r="O8" s="14">
        <f>SUMIFS('NHL2025-26Results'!$E:$E,'NHL2025-26Results'!$D:$D,A8,'NHL2025-26Results'!$E:$E,"&gt;0")/COUNTIFS('NHL2025-26Results'!$D:$D,A8,'NHL2025-26Results'!$E:$E,"&gt;0")</f>
        <v>4.333333333333333</v>
      </c>
      <c r="P8" s="14">
        <f>SUMIFS('NHL2025-26Results'!$C:$C,'NHL2025-26Results'!$B:$B,A8,'NHL2025-26Results'!$C:$C,"&gt;0")/COUNTIFS('NHL2025-26Results'!$B:$B,A8,'NHL2025-26Results'!$C:$C,"&gt;0")</f>
        <v>3.9</v>
      </c>
      <c r="Q8" s="14">
        <f>SUMIFS('NHL2025-26Results'!$C:$C,'NHL2025-26Results'!$D:$D,A8,'NHL2025-26Results'!$C:$C,"&gt;0")/COUNTIFS('NHL2025-26Results'!$D:$D,A8,'NHL2025-26Results'!$C:$C,"&gt;0")</f>
        <v>2.5555555555555554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18</v>
      </c>
      <c r="C9">
        <f>COUNTIF(NHL2025_26Results[Winning Team],Standings!A9)</f>
        <v>9</v>
      </c>
      <c r="D9">
        <f>COUNTIFS('NHL2025-26Results'!$H:$H,A9,'NHL2025-26Results'!$F:$F,"")</f>
        <v>7</v>
      </c>
      <c r="E9">
        <f>COUNTIFS('NHL2025-26Results'!$F:$F,"OT",'NHL2025-26Results'!$H:$H,A9) + COUNTIFS('NHL2025-26Results'!$F:$F,"SO",'NHL2025-26Results'!$H:$H,A9)</f>
        <v>2</v>
      </c>
      <c r="F9" s="3">
        <f>(Table1[[#This Row],[W]]*2)+Table1[[#This Row],[OTL]]</f>
        <v>20</v>
      </c>
      <c r="G9">
        <f>COUNTIFS('NHL2025-26Results'!$D:$D,A9,'NHL2025-26Results'!$G:$G,A9)</f>
        <v>4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1</v>
      </c>
      <c r="J9">
        <f>COUNTIFS('NHL2025-26Results'!$B:$B,A9,'NHL2025-26Results'!$G:$G,A9)</f>
        <v>5</v>
      </c>
      <c r="K9">
        <f>COUNTIFS('NHL2025-26Results'!$B:$B,A9,'NHL2025-26Results'!$H:$H,A9,'NHL2025-26Results'!$F:$F,"")</f>
        <v>4</v>
      </c>
      <c r="L9">
        <f>COUNTIFS('NHL2025-26Results'!$B:$B,A9,'NHL2025-26Results'!$H:$H,A9,'NHL2025-26Results'!$F:$F,"OT") + COUNTIFS('NHL2025-26Results'!$B:$B,A9,'NHL2025-26Results'!$H:$H,A9,'NHL2025-26Results'!$F:$F,"SO")</f>
        <v>1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0.5</v>
      </c>
      <c r="O9" s="14">
        <f>SUMIFS('NHL2025-26Results'!$E:$E,'NHL2025-26Results'!$D:$D,A9,'NHL2025-26Results'!$E:$E,"&gt;0")/COUNTIFS('NHL2025-26Results'!$D:$D,A9,'NHL2025-26Results'!$E:$E,"&gt;0")</f>
        <v>2.75</v>
      </c>
      <c r="P9" s="14">
        <f>SUMIFS('NHL2025-26Results'!$C:$C,'NHL2025-26Results'!$B:$B,A9,'NHL2025-26Results'!$C:$C,"&gt;0")/COUNTIFS('NHL2025-26Results'!$B:$B,A9,'NHL2025-26Results'!$C:$C,"&gt;0")</f>
        <v>3.4</v>
      </c>
      <c r="Q9" s="14">
        <f>SUMIFS('NHL2025-26Results'!$C:$C,'NHL2025-26Results'!$D:$D,A9,'NHL2025-26Results'!$C:$C,"&gt;0")/COUNTIFS('NHL2025-26Results'!$D:$D,A9,'NHL2025-26Results'!$C:$C,"&gt;0")</f>
        <v>3.125</v>
      </c>
      <c r="R9" s="14">
        <f>SUMIFS('NHL2025-26Results'!$E:$E,'NHL2025-26Results'!$B:$B,A9,'NHL2025-26Results'!$E:$E,"&gt;0")/COUNTIFS('NHL2025-26Results'!$B:$B,A9,'NHL2025-26Results'!$E:$E,"&gt;0")</f>
        <v>3.2</v>
      </c>
    </row>
    <row r="10" spans="1:18" x14ac:dyDescent="0.2">
      <c r="A10" s="4" t="s">
        <v>39</v>
      </c>
      <c r="B10">
        <f>SUM(Table1[[#This Row],[W]:[OTL]])</f>
        <v>19</v>
      </c>
      <c r="C10">
        <f>COUNTIF(NHL2025_26Results[Winning Team],Standings!A10)</f>
        <v>12</v>
      </c>
      <c r="D10">
        <f>COUNTIFS('NHL2025-26Results'!$H:$H,A10,'NHL2025-26Results'!$F:$F,"")</f>
        <v>4</v>
      </c>
      <c r="E10">
        <f>COUNTIFS('NHL2025-26Results'!$F:$F,"OT",'NHL2025-26Results'!$H:$H,A10) + COUNTIFS('NHL2025-26Results'!$F:$F,"SO",'NHL2025-26Results'!$H:$H,A10)</f>
        <v>3</v>
      </c>
      <c r="F10" s="3">
        <f>(Table1[[#This Row],[W]]*2)+Table1[[#This Row],[OTL]]</f>
        <v>27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3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6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2</v>
      </c>
      <c r="M10" s="11">
        <f>Table1[[#This Row],[HomeWins]]/SUM(Table1[[#This Row],[HomeWins]:[HomeOTL]])</f>
        <v>0.6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3.1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3.2222222222222223</v>
      </c>
      <c r="R10" s="14">
        <f>SUMIFS('NHL2025-26Results'!$E:$E,'NHL2025-26Results'!$B:$B,A10,'NHL2025-26Results'!$E:$E,"&gt;0")/COUNTIFS('NHL2025-26Results'!$B:$B,A10,'NHL2025-26Results'!$E:$E,"&gt;0")</f>
        <v>3.125</v>
      </c>
    </row>
    <row r="11" spans="1:18" x14ac:dyDescent="0.2">
      <c r="A11" s="4" t="s">
        <v>26</v>
      </c>
      <c r="B11">
        <f>SUM(Table1[[#This Row],[W]:[OTL]])</f>
        <v>19</v>
      </c>
      <c r="C11">
        <f>COUNTIF(NHL2025_26Results[Winning Team],Standings!A11)</f>
        <v>11</v>
      </c>
      <c r="D11">
        <f>COUNTIFS('NHL2025-26Results'!$H:$H,A11,'NHL2025-26Results'!$F:$F,"")</f>
        <v>7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23</v>
      </c>
      <c r="G11">
        <f>COUNTIFS('NHL2025-26Results'!$D:$D,A11,'NHL2025-26Results'!$G:$G,A11)</f>
        <v>6</v>
      </c>
      <c r="H11">
        <f>COUNTIFS('NHL2025-26Results'!$D:$D,A11,'NHL2025-26Results'!$H:$H,A11,'NHL2025-26Results'!$F:$F,"")</f>
        <v>3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4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3.5</v>
      </c>
      <c r="P11" s="14">
        <f>SUMIFS('NHL2025-26Results'!$C:$C,'NHL2025-26Results'!$B:$B,A11,'NHL2025-26Results'!$C:$C,"&gt;0")/COUNTIFS('NHL2025-26Results'!$B:$B,A11,'NHL2025-26Results'!$C:$C,"&gt;0")</f>
        <v>2.875</v>
      </c>
      <c r="Q11" s="14">
        <f>SUMIFS('NHL2025-26Results'!$C:$C,'NHL2025-26Results'!$D:$D,A11,'NHL2025-26Results'!$C:$C,"&gt;0")/COUNTIFS('NHL2025-26Results'!$D:$D,A11,'NHL2025-26Results'!$C:$C,"&gt;0")</f>
        <v>3.3</v>
      </c>
      <c r="R11" s="14">
        <f>SUMIFS('NHL2025-26Results'!$E:$E,'NHL2025-26Results'!$B:$B,A11,'NHL2025-26Results'!$E:$E,"&gt;0")/COUNTIFS('NHL2025-26Results'!$B:$B,A11,'NHL2025-26Results'!$E:$E,"&gt;0")</f>
        <v>3</v>
      </c>
    </row>
    <row r="12" spans="1:18" x14ac:dyDescent="0.2">
      <c r="A12" s="4" t="s">
        <v>17</v>
      </c>
      <c r="B12">
        <f>SUM(Table1[[#This Row],[W]:[OTL]])</f>
        <v>20</v>
      </c>
      <c r="C12">
        <f>COUNTIF(NHL2025_26Results[Winning Team],Standings!A12)</f>
        <v>9</v>
      </c>
      <c r="D12">
        <f>COUNTIFS('NHL2025-26Results'!$H:$H,A12,'NHL2025-26Results'!$F:$F,"")</f>
        <v>7</v>
      </c>
      <c r="E12">
        <f>COUNTIFS('NHL2025-26Results'!$F:$F,"OT",'NHL2025-26Results'!$H:$H,A12) + COUNTIFS('NHL2025-26Results'!$F:$F,"SO",'NHL2025-26Results'!$H:$H,A12)</f>
        <v>4</v>
      </c>
      <c r="F12" s="3">
        <f>(Table1[[#This Row],[W]]*2)+Table1[[#This Row],[OTL]]</f>
        <v>22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1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4</v>
      </c>
      <c r="K12">
        <f>COUNTIFS('NHL2025-26Results'!$B:$B,A12,'NHL2025-26Results'!$H:$H,A12,'NHL2025-26Results'!$F:$F,"")</f>
        <v>6</v>
      </c>
      <c r="L12">
        <f>COUNTIFS('NHL2025-26Results'!$B:$B,A12,'NHL2025-26Results'!$H:$H,A12,'NHL2025-26Results'!$F:$F,"OT") + COUNTIFS('NHL2025-26Results'!$B:$B,A12,'NHL2025-26Results'!$H:$H,A12,'NHL2025-26Results'!$F:$F,"SO")</f>
        <v>2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0.33333333333333331</v>
      </c>
      <c r="O12" s="14">
        <f>SUMIFS('NHL2025-26Results'!$E:$E,'NHL2025-26Results'!$D:$D,A12,'NHL2025-26Results'!$E:$E,"&gt;0")/COUNTIFS('NHL2025-26Results'!$D:$D,A12,'NHL2025-26Results'!$E:$E,"&gt;0")</f>
        <v>3.75</v>
      </c>
      <c r="P12" s="14">
        <f>SUMIFS('NHL2025-26Results'!$C:$C,'NHL2025-26Results'!$B:$B,A12,'NHL2025-26Results'!$C:$C,"&gt;0")/COUNTIFS('NHL2025-26Results'!$B:$B,A12,'NHL2025-26Results'!$C:$C,"&gt;0")</f>
        <v>2.6666666666666665</v>
      </c>
      <c r="Q12" s="14">
        <f>SUMIFS('NHL2025-26Results'!$C:$C,'NHL2025-26Results'!$D:$D,A12,'NHL2025-26Results'!$C:$C,"&gt;0")/COUNTIFS('NHL2025-26Results'!$D:$D,A12,'NHL2025-26Results'!$C:$C,"&gt;0")</f>
        <v>4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18</v>
      </c>
      <c r="C13">
        <f>COUNTIF(NHL2025_26Results[Winning Team],Standings!A13)</f>
        <v>9</v>
      </c>
      <c r="D13">
        <f>COUNTIFS('NHL2025-26Results'!$H:$H,A13,'NHL2025-26Results'!$F:$F,"")</f>
        <v>8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19</v>
      </c>
      <c r="G13">
        <f>COUNTIFS('NHL2025-26Results'!$D:$D,A13,'NHL2025-26Results'!$G:$G,A13)</f>
        <v>6</v>
      </c>
      <c r="H13">
        <f>COUNTIFS('NHL2025-26Results'!$D:$D,A13,'NHL2025-26Results'!$H:$H,A13,'NHL2025-26Results'!$F:$F,"")</f>
        <v>2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3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0.66666666666666663</v>
      </c>
      <c r="N13" s="11">
        <f>Table1[[#This Row],[AwayWins]]/SUM(Table1[[#This Row],[AwayWins]:[AwayOTL]])</f>
        <v>0.33333333333333331</v>
      </c>
      <c r="O13" s="14">
        <f>SUMIFS('NHL2025-26Results'!$E:$E,'NHL2025-26Results'!$D:$D,A13,'NHL2025-26Results'!$E:$E,"&gt;0")/COUNTIFS('NHL2025-26Results'!$D:$D,A13,'NHL2025-26Results'!$E:$E,"&gt;0")</f>
        <v>3.3333333333333335</v>
      </c>
      <c r="P13" s="14">
        <f>SUMIFS('NHL2025-26Results'!$C:$C,'NHL2025-26Results'!$B:$B,A13,'NHL2025-26Results'!$C:$C,"&gt;0")/COUNTIFS('NHL2025-26Results'!$B:$B,A13,'NHL2025-26Results'!$C:$C,"&gt;0")</f>
        <v>2.5</v>
      </c>
      <c r="Q13" s="14">
        <f>SUMIFS('NHL2025-26Results'!$C:$C,'NHL2025-26Results'!$D:$D,A13,'NHL2025-26Results'!$C:$C,"&gt;0")/COUNTIFS('NHL2025-26Results'!$D:$D,A13,'NHL2025-26Results'!$C:$C,"&gt;0")</f>
        <v>2.75</v>
      </c>
      <c r="R13" s="14">
        <f>SUMIFS('NHL2025-26Results'!$E:$E,'NHL2025-26Results'!$B:$B,A13,'NHL2025-26Results'!$E:$E,"&gt;0")/COUNTIFS('NHL2025-26Results'!$B:$B,A13,'NHL2025-26Results'!$E:$E,"&gt;0")</f>
        <v>3.5555555555555554</v>
      </c>
    </row>
    <row r="14" spans="1:18" x14ac:dyDescent="0.2">
      <c r="A14" s="4" t="s">
        <v>13</v>
      </c>
      <c r="B14">
        <f>SUM(Table1[[#This Row],[W]:[OTL]])</f>
        <v>19</v>
      </c>
      <c r="C14">
        <f>COUNTIF(NHL2025_26Results[Winning Team],Standings!A14)</f>
        <v>10</v>
      </c>
      <c r="D14">
        <f>COUNTIFS('NHL2025-26Results'!$H:$H,A14,'NHL2025-26Results'!$F:$F,"")</f>
        <v>5</v>
      </c>
      <c r="E14">
        <f>COUNTIFS('NHL2025-26Results'!$F:$F,"OT",'NHL2025-26Results'!$H:$H,A14) + COUNTIFS('NHL2025-26Results'!$F:$F,"SO",'NHL2025-26Results'!$H:$H,A14)</f>
        <v>4</v>
      </c>
      <c r="F14" s="3">
        <f>(Table1[[#This Row],[W]]*2)+Table1[[#This Row],[OTL]]</f>
        <v>24</v>
      </c>
      <c r="G14">
        <f>COUNTIFS('NHL2025-26Results'!$D:$D,A14,'NHL2025-26Results'!$G:$G,A14)</f>
        <v>1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2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1</v>
      </c>
      <c r="L14">
        <f>COUNTIFS('NHL2025-26Results'!$B:$B,A14,'NHL2025-26Results'!$H:$H,A14,'NHL2025-26Results'!$F:$F,"OT") + COUNTIFS('NHL2025-26Results'!$B:$B,A14,'NHL2025-26Results'!$H:$H,A14,'NHL2025-26Results'!$F:$F,"SO")</f>
        <v>2</v>
      </c>
      <c r="M14" s="11">
        <f>Table1[[#This Row],[HomeWins]]/SUM(Table1[[#This Row],[HomeWins]:[HomeOTL]])</f>
        <v>0.14285714285714285</v>
      </c>
      <c r="N14" s="11">
        <f>Table1[[#This Row],[AwayWins]]/SUM(Table1[[#This Row],[AwayWins]:[AwayOTL]])</f>
        <v>0.75</v>
      </c>
      <c r="O14" s="14">
        <f>SUMIFS('NHL2025-26Results'!$E:$E,'NHL2025-26Results'!$D:$D,A14,'NHL2025-26Results'!$E:$E,"&gt;0")/COUNTIFS('NHL2025-26Results'!$D:$D,A14,'NHL2025-26Results'!$E:$E,"&gt;0")</f>
        <v>2.1428571428571428</v>
      </c>
      <c r="P14" s="14">
        <f>SUMIFS('NHL2025-26Results'!$C:$C,'NHL2025-26Results'!$B:$B,A14,'NHL2025-26Results'!$C:$C,"&gt;0")/COUNTIFS('NHL2025-26Results'!$B:$B,A14,'NHL2025-26Results'!$C:$C,"&gt;0")</f>
        <v>3.3333333333333335</v>
      </c>
      <c r="Q14" s="14">
        <f>SUMIFS('NHL2025-26Results'!$C:$C,'NHL2025-26Results'!$D:$D,A14,'NHL2025-26Results'!$C:$C,"&gt;0")/COUNTIFS('NHL2025-26Results'!$D:$D,A14,'NHL2025-26Results'!$C:$C,"&gt;0")</f>
        <v>4.166666666666667</v>
      </c>
      <c r="R14" s="14">
        <f>SUMIFS('NHL2025-26Results'!$E:$E,'NHL2025-26Results'!$B:$B,A14,'NHL2025-26Results'!$E:$E,"&gt;0")/COUNTIFS('NHL2025-26Results'!$B:$B,A14,'NHL2025-26Results'!$E:$E,"&gt;0")</f>
        <v>2.7272727272727271</v>
      </c>
    </row>
    <row r="15" spans="1:18" x14ac:dyDescent="0.2">
      <c r="A15" s="4" t="s">
        <v>34</v>
      </c>
      <c r="B15">
        <f>SUM(Table1[[#This Row],[W]:[OTL]])</f>
        <v>20</v>
      </c>
      <c r="C15">
        <f>COUNTIF(NHL2025_26Results[Winning Team],Standings!A15)</f>
        <v>9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22</v>
      </c>
      <c r="G15">
        <f>COUNTIFS('NHL2025-26Results'!$D:$D,A15,'NHL2025-26Results'!$G:$G,A15)</f>
        <v>6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3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</v>
      </c>
      <c r="N15" s="11">
        <f>Table1[[#This Row],[AwayWins]]/SUM(Table1[[#This Row],[AwayWins]:[AwayOTL]])</f>
        <v>0.375</v>
      </c>
      <c r="O15" s="14">
        <f>SUMIFS('NHL2025-26Results'!$E:$E,'NHL2025-26Results'!$D:$D,A15,'NHL2025-26Results'!$E:$E,"&gt;0")/COUNTIFS('NHL2025-26Results'!$D:$D,A15,'NHL2025-26Results'!$E:$E,"&gt;0")</f>
        <v>2.9166666666666665</v>
      </c>
      <c r="P15" s="14">
        <f>SUMIFS('NHL2025-26Results'!$C:$C,'NHL2025-26Results'!$B:$B,A15,'NHL2025-26Results'!$C:$C,"&gt;0")/COUNTIFS('NHL2025-26Results'!$B:$B,A15,'NHL2025-26Results'!$C:$C,"&gt;0")</f>
        <v>2.625</v>
      </c>
      <c r="Q15" s="14">
        <f>SUMIFS('NHL2025-26Results'!$C:$C,'NHL2025-26Results'!$D:$D,A15,'NHL2025-26Results'!$C:$C,"&gt;0")/COUNTIFS('NHL2025-26Results'!$D:$D,A15,'NHL2025-26Results'!$C:$C,"&gt;0")</f>
        <v>3.8</v>
      </c>
      <c r="R15" s="14">
        <f>SUMIFS('NHL2025-26Results'!$E:$E,'NHL2025-26Results'!$B:$B,A15,'NHL2025-26Results'!$E:$E,"&gt;0")/COUNTIFS('NHL2025-26Results'!$B:$B,A15,'NHL2025-26Results'!$E:$E,"&gt;0")</f>
        <v>3.2857142857142856</v>
      </c>
    </row>
    <row r="16" spans="1:18" x14ac:dyDescent="0.2">
      <c r="A16" s="4" t="s">
        <v>18</v>
      </c>
      <c r="B16">
        <f>SUM(Table1[[#This Row],[W]:[OTL]])</f>
        <v>18</v>
      </c>
      <c r="C16">
        <f>COUNTIF(NHL2025_26Results[Winning Team],Standings!A16)</f>
        <v>10</v>
      </c>
      <c r="D16">
        <f>COUNTIFS('NHL2025-26Results'!$H:$H,A16,'NHL2025-26Results'!$F:$F,"")</f>
        <v>6</v>
      </c>
      <c r="E16">
        <f>COUNTIFS('NHL2025-26Results'!$F:$F,"OT",'NHL2025-26Results'!$H:$H,A16) + COUNTIFS('NHL2025-26Results'!$F:$F,"SO",'NHL2025-26Results'!$H:$H,A16)</f>
        <v>2</v>
      </c>
      <c r="F16" s="3">
        <f>(Table1[[#This Row],[W]]*2)+Table1[[#This Row],[OTL]]</f>
        <v>22</v>
      </c>
      <c r="G16">
        <f>COUNTIFS('NHL2025-26Results'!$D:$D,A16,'NHL2025-26Results'!$G:$G,A16)</f>
        <v>5</v>
      </c>
      <c r="H16">
        <f>COUNTIFS('NHL2025-26Results'!$D:$D,A16,'NHL2025-26Results'!$H:$H,A16,'NHL2025-26Results'!$F:$F,"")</f>
        <v>4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5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1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0.625</v>
      </c>
      <c r="O16" s="14">
        <f>SUMIFS('NHL2025-26Results'!$E:$E,'NHL2025-26Results'!$D:$D,A16,'NHL2025-26Results'!$E:$E,"&gt;0")/COUNTIFS('NHL2025-26Results'!$D:$D,A16,'NHL2025-26Results'!$E:$E,"&gt;0")</f>
        <v>3.5555555555555554</v>
      </c>
      <c r="P16" s="14">
        <f>SUMIFS('NHL2025-26Results'!$C:$C,'NHL2025-26Results'!$B:$B,A16,'NHL2025-26Results'!$C:$C,"&gt;0")/COUNTIFS('NHL2025-26Results'!$B:$B,A16,'NHL2025-26Results'!$C:$C,"&gt;0")</f>
        <v>3.5</v>
      </c>
      <c r="Q16" s="14">
        <f>SUMIFS('NHL2025-26Results'!$C:$C,'NHL2025-26Results'!$D:$D,A16,'NHL2025-26Results'!$C:$C,"&gt;0")/COUNTIFS('NHL2025-26Results'!$D:$D,A16,'NHL2025-26Results'!$C:$C,"&gt;0")</f>
        <v>3.7</v>
      </c>
      <c r="R16" s="14">
        <f>SUMIFS('NHL2025-26Results'!$E:$E,'NHL2025-26Results'!$B:$B,A16,'NHL2025-26Results'!$E:$E,"&gt;0")/COUNTIFS('NHL2025-26Results'!$B:$B,A16,'NHL2025-26Results'!$E:$E,"&gt;0")</f>
        <v>3.125</v>
      </c>
    </row>
    <row r="17" spans="1:18" x14ac:dyDescent="0.2">
      <c r="A17" s="4" t="s">
        <v>29</v>
      </c>
      <c r="B17">
        <f>SUM(Table1[[#This Row],[W]:[OTL]])</f>
        <v>20</v>
      </c>
      <c r="C17">
        <f>COUNTIF(NHL2025_26Results[Winning Team],Standings!A17)</f>
        <v>6</v>
      </c>
      <c r="D17">
        <f>COUNTIFS('NHL2025-26Results'!$H:$H,A17,'NHL2025-26Results'!$F:$F,"")</f>
        <v>10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16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5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0.41666666666666669</v>
      </c>
      <c r="N17" s="11">
        <f>Table1[[#This Row],[AwayWins]]/SUM(Table1[[#This Row],[AwayWins]:[AwayOTL]])</f>
        <v>0.125</v>
      </c>
      <c r="O17" s="14">
        <f>SUMIFS('NHL2025-26Results'!$E:$E,'NHL2025-26Results'!$D:$D,A17,'NHL2025-26Results'!$E:$E,"&gt;0")/COUNTIFS('NHL2025-26Results'!$D:$D,A17,'NHL2025-26Results'!$E:$E,"&gt;0")</f>
        <v>2.6666666666666665</v>
      </c>
      <c r="P17" s="14">
        <f>SUMIFS('NHL2025-26Results'!$C:$C,'NHL2025-26Results'!$B:$B,A17,'NHL2025-26Results'!$C:$C,"&gt;0")/COUNTIFS('NHL2025-26Results'!$B:$B,A17,'NHL2025-26Results'!$C:$C,"&gt;0")</f>
        <v>2.4285714285714284</v>
      </c>
      <c r="Q17" s="14">
        <f>SUMIFS('NHL2025-26Results'!$C:$C,'NHL2025-26Results'!$D:$D,A17,'NHL2025-26Results'!$C:$C,"&gt;0")/COUNTIFS('NHL2025-26Results'!$D:$D,A17,'NHL2025-26Results'!$C:$C,"&gt;0")</f>
        <v>3.1666666666666665</v>
      </c>
      <c r="R17" s="14">
        <f>SUMIFS('NHL2025-26Results'!$E:$E,'NHL2025-26Results'!$B:$B,A17,'NHL2025-26Results'!$E:$E,"&gt;0")/COUNTIFS('NHL2025-26Results'!$B:$B,A17,'NHL2025-26Results'!$E:$E,"&gt;0")</f>
        <v>4</v>
      </c>
    </row>
    <row r="18" spans="1:18" x14ac:dyDescent="0.2">
      <c r="A18" s="4" t="s">
        <v>24</v>
      </c>
      <c r="B18">
        <f>SUM(Table1[[#This Row],[W]:[OTL]])</f>
        <v>18</v>
      </c>
      <c r="C18">
        <f>COUNTIF(NHL2025_26Results[Winning Team],Standings!A18)</f>
        <v>13</v>
      </c>
      <c r="D18">
        <f>COUNTIFS('NHL2025-26Results'!$H:$H,A18,'NHL2025-26Results'!$F:$F,"")</f>
        <v>4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27</v>
      </c>
      <c r="G18">
        <f>COUNTIFS('NHL2025-26Results'!$D:$D,A18,'NHL2025-26Results'!$G:$G,A18)</f>
        <v>7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4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0.875</v>
      </c>
      <c r="N18" s="11">
        <f>Table1[[#This Row],[AwayWins]]/SUM(Table1[[#This Row],[AwayWins]:[AwayOTL]])</f>
        <v>0.6</v>
      </c>
      <c r="O18" s="14">
        <f>SUMIFS('NHL2025-26Results'!$E:$E,'NHL2025-26Results'!$D:$D,A18,'NHL2025-26Results'!$E:$E,"&gt;0")/COUNTIFS('NHL2025-26Results'!$D:$D,A18,'NHL2025-26Results'!$E:$E,"&gt;0")</f>
        <v>3.375</v>
      </c>
      <c r="P18" s="14">
        <f>SUMIFS('NHL2025-26Results'!$C:$C,'NHL2025-26Results'!$B:$B,A18,'NHL2025-26Results'!$C:$C,"&gt;0")/COUNTIFS('NHL2025-26Results'!$B:$B,A18,'NHL2025-26Results'!$C:$C,"&gt;0")</f>
        <v>3.4</v>
      </c>
      <c r="Q18" s="14">
        <f>SUMIFS('NHL2025-26Results'!$C:$C,'NHL2025-26Results'!$D:$D,A18,'NHL2025-26Results'!$C:$C,"&gt;0")/COUNTIFS('NHL2025-26Results'!$D:$D,A18,'NHL2025-26Results'!$C:$C,"&gt;0")</f>
        <v>2</v>
      </c>
      <c r="R18" s="14">
        <f>SUMIFS('NHL2025-26Results'!$E:$E,'NHL2025-26Results'!$B:$B,A18,'NHL2025-26Results'!$E:$E,"&gt;0")/COUNTIFS('NHL2025-26Results'!$B:$B,A18,'NHL2025-26Results'!$E:$E,"&gt;0")</f>
        <v>3.6</v>
      </c>
    </row>
    <row r="19" spans="1:18" x14ac:dyDescent="0.2">
      <c r="A19" s="4" t="s">
        <v>30</v>
      </c>
      <c r="B19">
        <f>SUM(Table1[[#This Row],[W]:[OTL]])</f>
        <v>19</v>
      </c>
      <c r="C19">
        <f>COUNTIF(NHL2025_26Results[Winning Team],Standings!A19)</f>
        <v>10</v>
      </c>
      <c r="D19">
        <f>COUNTIFS('NHL2025-26Results'!$H:$H,A19,'NHL2025-26Results'!$F:$F,"")</f>
        <v>7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22</v>
      </c>
      <c r="G19">
        <f>COUNTIFS('NHL2025-26Results'!$D:$D,A19,'NHL2025-26Results'!$G:$G,A19)</f>
        <v>4</v>
      </c>
      <c r="H19">
        <f>COUNTIFS('NHL2025-26Results'!$D:$D,A19,'NHL2025-26Results'!$H:$H,A19,'NHL2025-26Results'!$F:$F,"")</f>
        <v>3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6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0.54545454545454541</v>
      </c>
      <c r="O19" s="14">
        <f>SUMIFS('NHL2025-26Results'!$E:$E,'NHL2025-26Results'!$D:$D,A19,'NHL2025-26Results'!$E:$E,"&gt;0")/COUNTIFS('NHL2025-26Results'!$D:$D,A19,'NHL2025-26Results'!$E:$E,"&gt;0")</f>
        <v>3.375</v>
      </c>
      <c r="P19" s="14">
        <f>SUMIFS('NHL2025-26Results'!$C:$C,'NHL2025-26Results'!$B:$B,A19,'NHL2025-26Results'!$C:$C,"&gt;0")/COUNTIFS('NHL2025-26Results'!$B:$B,A19,'NHL2025-26Results'!$C:$C,"&gt;0")</f>
        <v>3.0909090909090908</v>
      </c>
      <c r="Q19" s="14">
        <f>SUMIFS('NHL2025-26Results'!$C:$C,'NHL2025-26Results'!$D:$D,A19,'NHL2025-26Results'!$C:$C,"&gt;0")/COUNTIFS('NHL2025-26Results'!$D:$D,A19,'NHL2025-26Results'!$C:$C,"&gt;0")</f>
        <v>3.375</v>
      </c>
      <c r="R19" s="14">
        <f>SUMIFS('NHL2025-26Results'!$E:$E,'NHL2025-26Results'!$B:$B,A19,'NHL2025-26Results'!$E:$E,"&gt;0")/COUNTIFS('NHL2025-26Results'!$B:$B,A19,'NHL2025-26Results'!$E:$E,"&gt;0")</f>
        <v>3.5</v>
      </c>
    </row>
    <row r="20" spans="1:18" x14ac:dyDescent="0.2">
      <c r="A20" s="4" t="s">
        <v>15</v>
      </c>
      <c r="B20">
        <f>SUM(Table1[[#This Row],[W]:[OTL]])</f>
        <v>20</v>
      </c>
      <c r="C20">
        <f>COUNTIF(NHL2025_26Results[Winning Team],Standings!A20)</f>
        <v>10</v>
      </c>
      <c r="D20">
        <f>COUNTIFS('NHL2025-26Results'!$H:$H,A20,'NHL2025-26Results'!$F:$F,"")</f>
        <v>8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22</v>
      </c>
      <c r="G20">
        <f>COUNTIFS('NHL2025-26Results'!$D:$D,A20,'NHL2025-26Results'!$G:$G,A20)</f>
        <v>1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9</v>
      </c>
      <c r="K20">
        <f>COUNTIFS('NHL2025-26Results'!$B:$B,A20,'NHL2025-26Results'!$H:$H,A20,'NHL2025-26Results'!$F:$F,"")</f>
        <v>1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0.1111111111111111</v>
      </c>
      <c r="N20" s="11">
        <f>Table1[[#This Row],[AwayWins]]/SUM(Table1[[#This Row],[AwayWins]:[AwayOTL]])</f>
        <v>0.81818181818181823</v>
      </c>
      <c r="O20" s="14">
        <f>SUMIFS('NHL2025-26Results'!$E:$E,'NHL2025-26Results'!$D:$D,A20,'NHL2025-26Results'!$E:$E,"&gt;0")/COUNTIFS('NHL2025-26Results'!$D:$D,A20,'NHL2025-26Results'!$E:$E,"&gt;0")</f>
        <v>3.25</v>
      </c>
      <c r="P20" s="14">
        <f>SUMIFS('NHL2025-26Results'!$C:$C,'NHL2025-26Results'!$B:$B,A20,'NHL2025-26Results'!$C:$C,"&gt;0")/COUNTIFS('NHL2025-26Results'!$B:$B,A20,'NHL2025-26Results'!$C:$C,"&gt;0")</f>
        <v>3.4545454545454546</v>
      </c>
      <c r="Q20" s="14">
        <f>SUMIFS('NHL2025-26Results'!$C:$C,'NHL2025-26Results'!$D:$D,A20,'NHL2025-26Results'!$C:$C,"&gt;0")/COUNTIFS('NHL2025-26Results'!$D:$D,A20,'NHL2025-26Results'!$C:$C,"&gt;0")</f>
        <v>3.1111111111111112</v>
      </c>
      <c r="R20" s="14">
        <f>SUMIFS('NHL2025-26Results'!$E:$E,'NHL2025-26Results'!$B:$B,A20,'NHL2025-26Results'!$E:$E,"&gt;0")/COUNTIFS('NHL2025-26Results'!$B:$B,A20,'NHL2025-26Results'!$E:$E,"&gt;0")</f>
        <v>2.3333333333333335</v>
      </c>
    </row>
    <row r="21" spans="1:18" x14ac:dyDescent="0.2">
      <c r="A21" s="4" t="s">
        <v>36</v>
      </c>
      <c r="B21">
        <f>SUM(Table1[[#This Row],[W]:[OTL]])</f>
        <v>19</v>
      </c>
      <c r="C21">
        <f>COUNTIF(NHL2025_26Results[Winning Team],Standings!A21)</f>
        <v>9</v>
      </c>
      <c r="D21">
        <f>COUNTIFS('NHL2025-26Results'!$H:$H,A21,'NHL2025-26Results'!$F:$F,"")</f>
        <v>6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22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3</v>
      </c>
      <c r="K21">
        <f>COUNTIFS('NHL2025-26Results'!$B:$B,A21,'NHL2025-26Results'!$H:$H,A21,'NHL2025-26Results'!$F:$F,"")</f>
        <v>3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0.375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3.625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4.375</v>
      </c>
    </row>
    <row r="22" spans="1:18" x14ac:dyDescent="0.2">
      <c r="A22" s="4" t="s">
        <v>27</v>
      </c>
      <c r="B22">
        <f>SUM(Table1[[#This Row],[W]:[OTL]])</f>
        <v>18</v>
      </c>
      <c r="C22">
        <f>COUNTIF(NHL2025_26Results[Winning Team],Standings!A22)</f>
        <v>9</v>
      </c>
      <c r="D22">
        <f>COUNTIFS('NHL2025-26Results'!$H:$H,A22,'NHL2025-26Results'!$F:$F,"")</f>
        <v>6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21</v>
      </c>
      <c r="G22">
        <f>COUNTIFS('NHL2025-26Results'!$D:$D,A22,'NHL2025-26Results'!$G:$G,A22)</f>
        <v>6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3</v>
      </c>
      <c r="K22">
        <f>COUNTIFS('NHL2025-26Results'!$B:$B,A22,'NHL2025-26Results'!$H:$H,A22,'NHL2025-26Results'!$F:$F,"")</f>
        <v>3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0.54545454545454541</v>
      </c>
      <c r="N22" s="11">
        <f>Table1[[#This Row],[AwayWins]]/SUM(Table1[[#This Row],[AwayWins]:[AwayOTL]])</f>
        <v>0.42857142857142855</v>
      </c>
      <c r="O22" s="14">
        <f>SUMIFS('NHL2025-26Results'!$E:$E,'NHL2025-26Results'!$D:$D,A22,'NHL2025-26Results'!$E:$E,"&gt;0")/COUNTIFS('NHL2025-26Results'!$D:$D,A22,'NHL2025-26Results'!$E:$E,"&gt;0")</f>
        <v>2.8181818181818183</v>
      </c>
      <c r="P22" s="14">
        <f>SUMIFS('NHL2025-26Results'!$C:$C,'NHL2025-26Results'!$B:$B,A22,'NHL2025-26Results'!$C:$C,"&gt;0")/COUNTIFS('NHL2025-26Results'!$B:$B,A22,'NHL2025-26Results'!$C:$C,"&gt;0")</f>
        <v>2.8571428571428572</v>
      </c>
      <c r="Q22" s="14">
        <f>SUMIFS('NHL2025-26Results'!$C:$C,'NHL2025-26Results'!$D:$D,A22,'NHL2025-26Results'!$C:$C,"&gt;0")/COUNTIFS('NHL2025-26Results'!$D:$D,A22,'NHL2025-26Results'!$C:$C,"&gt;0")</f>
        <v>2.5454545454545454</v>
      </c>
      <c r="R22" s="14">
        <f>SUMIFS('NHL2025-26Results'!$E:$E,'NHL2025-26Results'!$B:$B,A22,'NHL2025-26Results'!$E:$E,"&gt;0")/COUNTIFS('NHL2025-26Results'!$B:$B,A22,'NHL2025-26Results'!$E:$E,"&gt;0")</f>
        <v>3.2857142857142856</v>
      </c>
    </row>
    <row r="23" spans="1:18" x14ac:dyDescent="0.2">
      <c r="A23" s="4" t="s">
        <v>14</v>
      </c>
      <c r="B23">
        <f>SUM(Table1[[#This Row],[W]:[OTL]])</f>
        <v>19</v>
      </c>
      <c r="C23">
        <f>COUNTIF(NHL2025_26Results[Winning Team],Standings!A23)</f>
        <v>10</v>
      </c>
      <c r="D23">
        <f>COUNTIFS('NHL2025-26Results'!$H:$H,A23,'NHL2025-26Results'!$F:$F,"")</f>
        <v>5</v>
      </c>
      <c r="E23">
        <f>COUNTIFS('NHL2025-26Results'!$F:$F,"OT",'NHL2025-26Results'!$H:$H,A23) + COUNTIFS('NHL2025-26Results'!$F:$F,"SO",'NHL2025-26Results'!$H:$H,A23)</f>
        <v>4</v>
      </c>
      <c r="F23" s="3">
        <f>(Table1[[#This Row],[W]]*2)+Table1[[#This Row],[OTL]]</f>
        <v>24</v>
      </c>
      <c r="G23">
        <f>COUNTIFS('NHL2025-26Results'!$D:$D,A23,'NHL2025-26Results'!$G:$G,A23)</f>
        <v>5</v>
      </c>
      <c r="H23">
        <f>COUNTIFS('NHL2025-26Results'!$D:$D,A23,'NHL2025-26Results'!$H:$H,A23,'NHL2025-26Results'!$F:$F,"")</f>
        <v>2</v>
      </c>
      <c r="I23">
        <f>COUNTIFS('NHL2025-26Results'!$D:$D,A23,'NHL2025-26Results'!$H:$H,A23,'NHL2025-26Results'!$F:$F,"OT") + COUNTIFS('NHL2025-26Results'!$D:$D,A23,'NHL2025-26Results'!$H:$H,A23,'NHL2025-26Results'!$F:$F,"SO")</f>
        <v>1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0.625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3.875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3.4285714285714284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19</v>
      </c>
      <c r="C24">
        <f>COUNTIF(NHL2025_26Results[Winning Team],Standings!A24)</f>
        <v>8</v>
      </c>
      <c r="D24">
        <f>COUNTIFS('NHL2025-26Results'!$H:$H,A24,'NHL2025-26Results'!$F:$F,"")</f>
        <v>8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19</v>
      </c>
      <c r="G24">
        <f>COUNTIFS('NHL2025-26Results'!$D:$D,A24,'NHL2025-26Results'!$G:$G,A24)</f>
        <v>4</v>
      </c>
      <c r="H24">
        <f>COUNTIFS('NHL2025-26Results'!$D:$D,A24,'NHL2025-26Results'!$H:$H,A24,'NHL2025-26Results'!$F:$F,"")</f>
        <v>3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5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0.4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3.1111111111111112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3.2</v>
      </c>
      <c r="R24" s="14">
        <f>SUMIFS('NHL2025-26Results'!$E:$E,'NHL2025-26Results'!$B:$B,A24,'NHL2025-26Results'!$E:$E,"&gt;0")/COUNTIFS('NHL2025-26Results'!$B:$B,A24,'NHL2025-26Results'!$E:$E,"&gt;0")</f>
        <v>3.4444444444444446</v>
      </c>
    </row>
    <row r="25" spans="1:18" x14ac:dyDescent="0.2">
      <c r="A25" s="4" t="s">
        <v>32</v>
      </c>
      <c r="B25">
        <f>SUM(Table1[[#This Row],[W]:[OTL]])</f>
        <v>18</v>
      </c>
      <c r="C25">
        <f>COUNTIF(NHL2025_26Results[Winning Team],Standings!A25)</f>
        <v>9</v>
      </c>
      <c r="D25">
        <f>COUNTIFS('NHL2025-26Results'!$H:$H,A25,'NHL2025-26Results'!$F:$F,"")</f>
        <v>4</v>
      </c>
      <c r="E25">
        <f>COUNTIFS('NHL2025-26Results'!$F:$F,"OT",'NHL2025-26Results'!$H:$H,A25) + COUNTIFS('NHL2025-26Results'!$F:$F,"SO",'NHL2025-26Results'!$H:$H,A25)</f>
        <v>5</v>
      </c>
      <c r="F25" s="3">
        <f>(Table1[[#This Row],[W]]*2)+Table1[[#This Row],[OTL]]</f>
        <v>23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1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3</v>
      </c>
      <c r="K25">
        <f>COUNTIFS('NHL2025-26Results'!$B:$B,A25,'NHL2025-26Results'!$H:$H,A25,'NHL2025-26Results'!$F:$F,"")</f>
        <v>3</v>
      </c>
      <c r="L25">
        <f>COUNTIFS('NHL2025-26Results'!$B:$B,A25,'NHL2025-26Results'!$H:$H,A25,'NHL2025-26Results'!$F:$F,"OT") + COUNTIFS('NHL2025-26Results'!$B:$B,A25,'NHL2025-26Results'!$H:$H,A25,'NHL2025-26Results'!$F:$F,"SO")</f>
        <v>2</v>
      </c>
      <c r="M25" s="11">
        <f>Table1[[#This Row],[HomeWins]]/SUM(Table1[[#This Row],[HomeWins]:[HomeOTL]])</f>
        <v>0.6</v>
      </c>
      <c r="N25" s="11">
        <f>Table1[[#This Row],[AwayWins]]/SUM(Table1[[#This Row],[AwayWins]:[AwayOTL]])</f>
        <v>0.375</v>
      </c>
      <c r="O25" s="14">
        <f>SUMIFS('NHL2025-26Results'!$E:$E,'NHL2025-26Results'!$D:$D,A25,'NHL2025-26Results'!$E:$E,"&gt;0")/COUNTIFS('NHL2025-26Results'!$D:$D,A25,'NHL2025-26Results'!$E:$E,"&gt;0")</f>
        <v>2.7</v>
      </c>
      <c r="P25" s="14">
        <f>SUMIFS('NHL2025-26Results'!$C:$C,'NHL2025-26Results'!$B:$B,A25,'NHL2025-26Results'!$C:$C,"&gt;0")/COUNTIFS('NHL2025-26Results'!$B:$B,A25,'NHL2025-26Results'!$C:$C,"&gt;0")</f>
        <v>2.75</v>
      </c>
      <c r="Q25" s="14">
        <f>SUMIFS('NHL2025-26Results'!$C:$C,'NHL2025-26Results'!$D:$D,A25,'NHL2025-26Results'!$C:$C,"&gt;0")/COUNTIFS('NHL2025-26Results'!$D:$D,A25,'NHL2025-26Results'!$C:$C,"&gt;0")</f>
        <v>2.4</v>
      </c>
      <c r="R25" s="14">
        <f>SUMIFS('NHL2025-26Results'!$E:$E,'NHL2025-26Results'!$B:$B,A25,'NHL2025-26Results'!$E:$E,"&gt;0")/COUNTIFS('NHL2025-26Results'!$B:$B,A25,'NHL2025-26Results'!$E:$E,"&gt;0")</f>
        <v>3.7142857142857144</v>
      </c>
    </row>
    <row r="26" spans="1:18" x14ac:dyDescent="0.2">
      <c r="A26" s="4" t="s">
        <v>35</v>
      </c>
      <c r="B26">
        <f>SUM(Table1[[#This Row],[W]:[OTL]])</f>
        <v>19</v>
      </c>
      <c r="C26">
        <f>COUNTIF(NHL2025_26Results[Winning Team],Standings!A26)</f>
        <v>6</v>
      </c>
      <c r="D26">
        <f>COUNTIFS('NHL2025-26Results'!$H:$H,A26,'NHL2025-26Results'!$F:$F,"")</f>
        <v>9</v>
      </c>
      <c r="E26">
        <f>COUNTIFS('NHL2025-26Results'!$F:$F,"OT",'NHL2025-26Results'!$H:$H,A26) + COUNTIFS('NHL2025-26Results'!$F:$F,"SO",'NHL2025-26Results'!$H:$H,A26)</f>
        <v>4</v>
      </c>
      <c r="F26" s="3">
        <f>(Table1[[#This Row],[W]]*2)+Table1[[#This Row],[OTL]]</f>
        <v>16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3</v>
      </c>
      <c r="K26">
        <f>COUNTIFS('NHL2025-26Results'!$B:$B,A26,'NHL2025-26Results'!$H:$H,A26,'NHL2025-26Results'!$F:$F,"")</f>
        <v>4</v>
      </c>
      <c r="L26">
        <f>COUNTIFS('NHL2025-26Results'!$B:$B,A26,'NHL2025-26Results'!$H:$H,A26,'NHL2025-26Results'!$F:$F,"OT") + COUNTIFS('NHL2025-26Results'!$B:$B,A26,'NHL2025-26Results'!$H:$H,A26,'NHL2025-26Results'!$F:$F,"SO")</f>
        <v>0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0.42857142857142855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3.1428571428571428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4.166666666666667</v>
      </c>
    </row>
    <row r="27" spans="1:18" x14ac:dyDescent="0.2">
      <c r="A27" s="4" t="s">
        <v>37</v>
      </c>
      <c r="B27">
        <f>SUM(Table1[[#This Row],[W]:[OTL]])</f>
        <v>18</v>
      </c>
      <c r="C27">
        <f>COUNTIF(NHL2025_26Results[Winning Team],Standings!A27)</f>
        <v>9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20</v>
      </c>
      <c r="G27">
        <f>COUNTIFS('NHL2025-26Results'!$D:$D,A27,'NHL2025-26Results'!$G:$G,A27)</f>
        <v>4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5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0.44444444444444442</v>
      </c>
      <c r="N27" s="11">
        <f>Table1[[#This Row],[AwayWins]]/SUM(Table1[[#This Row],[AwayWins]:[AwayOTL]])</f>
        <v>0.55555555555555558</v>
      </c>
      <c r="O27" s="14">
        <f>SUMIFS('NHL2025-26Results'!$E:$E,'NHL2025-26Results'!$D:$D,A27,'NHL2025-26Results'!$E:$E,"&gt;0")/COUNTIFS('NHL2025-26Results'!$D:$D,A27,'NHL2025-26Results'!$E:$E,"&gt;0")</f>
        <v>2.7777777777777777</v>
      </c>
      <c r="P27" s="14">
        <f>SUMIFS('NHL2025-26Results'!$C:$C,'NHL2025-26Results'!$B:$B,A27,'NHL2025-26Results'!$C:$C,"&gt;0")/COUNTIFS('NHL2025-26Results'!$B:$B,A27,'NHL2025-26Results'!$C:$C,"&gt;0")</f>
        <v>3.2222222222222223</v>
      </c>
      <c r="Q27" s="14">
        <f>SUMIFS('NHL2025-26Results'!$C:$C,'NHL2025-26Results'!$D:$D,A27,'NHL2025-26Results'!$C:$C,"&gt;0")/COUNTIFS('NHL2025-26Results'!$D:$D,A27,'NHL2025-26Results'!$C:$C,"&gt;0")</f>
        <v>3.6666666666666665</v>
      </c>
      <c r="R27" s="14">
        <f>SUMIFS('NHL2025-26Results'!$E:$E,'NHL2025-26Results'!$B:$B,A27,'NHL2025-26Results'!$E:$E,"&gt;0")/COUNTIFS('NHL2025-26Results'!$B:$B,A27,'NHL2025-26Results'!$E:$E,"&gt;0")</f>
        <v>2.4444444444444446</v>
      </c>
    </row>
    <row r="28" spans="1:18" x14ac:dyDescent="0.2">
      <c r="A28" s="4" t="s">
        <v>19</v>
      </c>
      <c r="B28">
        <f>SUM(Table1[[#This Row],[W]:[OTL]])</f>
        <v>19</v>
      </c>
      <c r="C28">
        <f>COUNTIF(NHL2025_26Results[Winning Team],Standings!A28)</f>
        <v>8</v>
      </c>
      <c r="D28">
        <f>COUNTIFS('NHL2025-26Results'!$H:$H,A28,'NHL2025-26Results'!$F:$F,"")</f>
        <v>9</v>
      </c>
      <c r="E28">
        <f>COUNTIFS('NHL2025-26Results'!$F:$F,"OT",'NHL2025-26Results'!$H:$H,A28) + COUNTIFS('NHL2025-26Results'!$F:$F,"SO",'NHL2025-26Results'!$H:$H,A28)</f>
        <v>2</v>
      </c>
      <c r="F28" s="3">
        <f>(Table1[[#This Row],[W]]*2)+Table1[[#This Row],[OTL]]</f>
        <v>18</v>
      </c>
      <c r="G28">
        <f>COUNTIFS('NHL2025-26Results'!$D:$D,A28,'NHL2025-26Results'!$G:$G,A28)</f>
        <v>7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2</v>
      </c>
      <c r="J28">
        <f>COUNTIFS('NHL2025-26Results'!$B:$B,A28,'NHL2025-26Results'!$G:$G,A28)</f>
        <v>1</v>
      </c>
      <c r="K28">
        <f>COUNTIFS('NHL2025-26Results'!$B:$B,A28,'NHL2025-26Results'!$H:$H,A28,'NHL2025-26Results'!$F:$F,"")</f>
        <v>5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0.53846153846153844</v>
      </c>
      <c r="N28" s="11">
        <f>Table1[[#This Row],[AwayWins]]/SUM(Table1[[#This Row],[AwayWins]:[AwayOTL]])</f>
        <v>0.16666666666666666</v>
      </c>
      <c r="O28" s="14">
        <f>SUMIFS('NHL2025-26Results'!$E:$E,'NHL2025-26Results'!$D:$D,A28,'NHL2025-26Results'!$E:$E,"&gt;0")/COUNTIFS('NHL2025-26Results'!$D:$D,A28,'NHL2025-26Results'!$E:$E,"&gt;0")</f>
        <v>3.6923076923076925</v>
      </c>
      <c r="P28" s="14">
        <f>SUMIFS('NHL2025-26Results'!$C:$C,'NHL2025-26Results'!$B:$B,A28,'NHL2025-26Results'!$C:$C,"&gt;0")/COUNTIFS('NHL2025-26Results'!$B:$B,A28,'NHL2025-26Results'!$C:$C,"&gt;0")</f>
        <v>3.1666666666666665</v>
      </c>
      <c r="Q28" s="14">
        <f>SUMIFS('NHL2025-26Results'!$C:$C,'NHL2025-26Results'!$D:$D,A28,'NHL2025-26Results'!$C:$C,"&gt;0")/COUNTIFS('NHL2025-26Results'!$D:$D,A28,'NHL2025-26Results'!$C:$C,"&gt;0")</f>
        <v>3.4615384615384617</v>
      </c>
      <c r="R28" s="14">
        <f>SUMIFS('NHL2025-26Results'!$E:$E,'NHL2025-26Results'!$B:$B,A28,'NHL2025-26Results'!$E:$E,"&gt;0")/COUNTIFS('NHL2025-26Results'!$B:$B,A28,'NHL2025-26Results'!$E:$E,"&gt;0")</f>
        <v>4.5</v>
      </c>
    </row>
    <row r="29" spans="1:18" x14ac:dyDescent="0.2">
      <c r="A29" t="s">
        <v>55</v>
      </c>
      <c r="B29">
        <f>SUM(Table1[[#This Row],[W]:[OTL]])</f>
        <v>18</v>
      </c>
      <c r="C29">
        <f>COUNTIF(NHL2025_26Results[Winning Team],Standings!A29)</f>
        <v>10</v>
      </c>
      <c r="D29">
        <f>COUNTIFS('NHL2025-26Results'!$H:$H,A29,'NHL2025-26Results'!$F:$F,"")</f>
        <v>7</v>
      </c>
      <c r="E29">
        <f>COUNTIFS('NHL2025-26Results'!$F:$F,"OT",'NHL2025-26Results'!$H:$H,A29) + COUNTIFS('NHL2025-26Results'!$F:$F,"SO",'NHL2025-26Results'!$H:$H,A29)</f>
        <v>1</v>
      </c>
      <c r="F29" s="3">
        <f>(Table1[[#This Row],[W]]*2)+Table1[[#This Row],[OTL]]</f>
        <v>21</v>
      </c>
      <c r="G29">
        <f>COUNTIFS('NHL2025-26Results'!$D:$D,A29,'NHL2025-26Results'!$G:$G,A29)</f>
        <v>5</v>
      </c>
      <c r="H29">
        <f>COUNTIFS('NHL2025-26Results'!$D:$D,A29,'NHL2025-26Results'!$H:$H,A29,'NHL2025-26Results'!$F:$F,"")</f>
        <v>1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0</v>
      </c>
      <c r="M29" s="11">
        <f>Table1[[#This Row],[HomeWins]]/SUM(Table1[[#This Row],[HomeWins]:[HomeOTL]])</f>
        <v>0.7142857142857143</v>
      </c>
      <c r="N29" s="11">
        <f>Table1[[#This Row],[AwayWins]]/SUM(Table1[[#This Row],[AwayWins]:[AwayOTL]])</f>
        <v>0.45454545454545453</v>
      </c>
      <c r="O29" s="14">
        <f>SUMIFS('NHL2025-26Results'!$E:$E,'NHL2025-26Results'!$D:$D,A29,'NHL2025-26Results'!$E:$E,"&gt;0")/COUNTIFS('NHL2025-26Results'!$D:$D,A29,'NHL2025-26Results'!$E:$E,"&gt;0")</f>
        <v>3.5714285714285716</v>
      </c>
      <c r="P29" s="14">
        <f>SUMIFS('NHL2025-26Results'!$C:$C,'NHL2025-26Results'!$B:$B,A29,'NHL2025-26Results'!$C:$C,"&gt;0")/COUNTIFS('NHL2025-26Results'!$B:$B,A29,'NHL2025-26Results'!$C:$C,"&gt;0")</f>
        <v>3</v>
      </c>
      <c r="Q29" s="14">
        <f>SUMIFS('NHL2025-26Results'!$C:$C,'NHL2025-26Results'!$D:$D,A29,'NHL2025-26Results'!$C:$C,"&gt;0")/COUNTIFS('NHL2025-26Results'!$D:$D,A29,'NHL2025-26Results'!$C:$C,"&gt;0")</f>
        <v>2.5714285714285716</v>
      </c>
      <c r="R29" s="14">
        <f>SUMIFS('NHL2025-26Results'!$E:$E,'NHL2025-26Results'!$B:$B,A29,'NHL2025-26Results'!$E:$E,"&gt;0")/COUNTIFS('NHL2025-26Results'!$B:$B,A29,'NHL2025-26Results'!$E:$E,"&gt;0")</f>
        <v>3.3636363636363638</v>
      </c>
    </row>
    <row r="30" spans="1:18" x14ac:dyDescent="0.2">
      <c r="A30" s="4" t="s">
        <v>38</v>
      </c>
      <c r="B30">
        <f>SUM(Table1[[#This Row],[W]:[OTL]])</f>
        <v>20</v>
      </c>
      <c r="C30">
        <f>COUNTIF(NHL2025_26Results[Winning Team],Standings!A30)</f>
        <v>9</v>
      </c>
      <c r="D30">
        <f>COUNTIFS('NHL2025-26Results'!$H:$H,A30,'NHL2025-26Results'!$F:$F,"")</f>
        <v>9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20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5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6</v>
      </c>
      <c r="K30">
        <f>COUNTIFS('NHL2025-26Results'!$B:$B,A30,'NHL2025-26Results'!$H:$H,A30,'NHL2025-26Results'!$F:$F,"")</f>
        <v>4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0.33333333333333331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3.375</v>
      </c>
      <c r="P30" s="14">
        <f>SUMIFS('NHL2025-26Results'!$C:$C,'NHL2025-26Results'!$B:$B,A30,'NHL2025-26Results'!$C:$C,"&gt;0")/COUNTIFS('NHL2025-26Results'!$B:$B,A30,'NHL2025-26Results'!$C:$C,"&gt;0")</f>
        <v>3.1818181818181817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3.2727272727272729</v>
      </c>
    </row>
    <row r="31" spans="1:18" x14ac:dyDescent="0.2">
      <c r="A31" s="4" t="s">
        <v>20</v>
      </c>
      <c r="B31">
        <f>SUM(Table1[[#This Row],[W]:[OTL]])</f>
        <v>18</v>
      </c>
      <c r="C31">
        <f>COUNTIF(NHL2025_26Results[Winning Team],Standings!A31)</f>
        <v>8</v>
      </c>
      <c r="D31">
        <f>COUNTIFS('NHL2025-26Results'!$H:$H,A31,'NHL2025-26Results'!$F:$F,"")</f>
        <v>4</v>
      </c>
      <c r="E31">
        <f>COUNTIFS('NHL2025-26Results'!$F:$F,"OT",'NHL2025-26Results'!$H:$H,A31) + COUNTIFS('NHL2025-26Results'!$F:$F,"SO",'NHL2025-26Results'!$H:$H,A31)</f>
        <v>6</v>
      </c>
      <c r="F31" s="3">
        <f>(Table1[[#This Row],[W]]*2)+Table1[[#This Row],[OTL]]</f>
        <v>22</v>
      </c>
      <c r="G31">
        <f>COUNTIFS('NHL2025-26Results'!$D:$D,A31,'NHL2025-26Results'!$G:$G,A31)</f>
        <v>4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3</v>
      </c>
      <c r="J31">
        <f>COUNTIFS('NHL2025-26Results'!$B:$B,A31,'NHL2025-26Results'!$G:$G,A31)</f>
        <v>4</v>
      </c>
      <c r="K31">
        <f>COUNTIFS('NHL2025-26Results'!$B:$B,A31,'NHL2025-26Results'!$H:$H,A31,'NHL2025-26Results'!$F:$F,"")</f>
        <v>1</v>
      </c>
      <c r="L31">
        <f>COUNTIFS('NHL2025-26Results'!$B:$B,A31,'NHL2025-26Results'!$H:$H,A31,'NHL2025-26Results'!$F:$F,"OT") + COUNTIFS('NHL2025-26Results'!$B:$B,A31,'NHL2025-26Results'!$H:$H,A31,'NHL2025-26Results'!$F:$F,"SO")</f>
        <v>3</v>
      </c>
      <c r="M31" s="11">
        <f>Table1[[#This Row],[HomeWins]]/SUM(Table1[[#This Row],[HomeWins]:[HomeOTL]])</f>
        <v>0.4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3.5</v>
      </c>
      <c r="P31" s="14">
        <f>SUMIFS('NHL2025-26Results'!$C:$C,'NHL2025-26Results'!$B:$B,A31,'NHL2025-26Results'!$C:$C,"&gt;0")/COUNTIFS('NHL2025-26Results'!$B:$B,A31,'NHL2025-26Results'!$C:$C,"&gt;0")</f>
        <v>3.1428571428571428</v>
      </c>
      <c r="Q31" s="14">
        <f>SUMIFS('NHL2025-26Results'!$C:$C,'NHL2025-26Results'!$D:$D,A31,'NHL2025-26Results'!$C:$C,"&gt;0")/COUNTIFS('NHL2025-26Results'!$D:$D,A31,'NHL2025-26Results'!$C:$C,"&gt;0")</f>
        <v>3.7777777777777777</v>
      </c>
      <c r="R31" s="14">
        <f>SUMIFS('NHL2025-26Results'!$E:$E,'NHL2025-26Results'!$B:$B,A31,'NHL2025-26Results'!$E:$E,"&gt;0")/COUNTIFS('NHL2025-26Results'!$B:$B,A31,'NHL2025-26Results'!$E:$E,"&gt;0")</f>
        <v>2.375</v>
      </c>
    </row>
    <row r="32" spans="1:18" x14ac:dyDescent="0.2">
      <c r="A32" s="4" t="s">
        <v>22</v>
      </c>
      <c r="B32">
        <f>SUM(Table1[[#This Row],[W]:[OTL]])</f>
        <v>18</v>
      </c>
      <c r="C32">
        <f>COUNTIF(NHL2025_26Results[Winning Team],Standings!A32)</f>
        <v>8</v>
      </c>
      <c r="D32">
        <f>COUNTIFS('NHL2025-26Results'!$H:$H,A32,'NHL2025-26Results'!$F:$F,"")</f>
        <v>8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18</v>
      </c>
      <c r="G32">
        <f>COUNTIFS('NHL2025-26Results'!$D:$D,A32,'NHL2025-26Results'!$G:$G,A32)</f>
        <v>4</v>
      </c>
      <c r="H32">
        <f>COUNTIFS('NHL2025-26Results'!$D:$D,A32,'NHL2025-26Results'!$H:$H,A32,'NHL2025-26Results'!$F:$F,"")</f>
        <v>4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4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0.44444444444444442</v>
      </c>
      <c r="N32" s="11">
        <f>Table1[[#This Row],[AwayWins]]/SUM(Table1[[#This Row],[AwayWins]:[AwayOTL]])</f>
        <v>0.44444444444444442</v>
      </c>
      <c r="O32" s="14">
        <f>SUMIFS('NHL2025-26Results'!$E:$E,'NHL2025-26Results'!$D:$D,A32,'NHL2025-26Results'!$E:$E,"&gt;0")/COUNTIFS('NHL2025-26Results'!$D:$D,A32,'NHL2025-26Results'!$E:$E,"&gt;0")</f>
        <v>2.8888888888888888</v>
      </c>
      <c r="P32" s="14">
        <f>SUMIFS('NHL2025-26Results'!$C:$C,'NHL2025-26Results'!$B:$B,A32,'NHL2025-26Results'!$C:$C,"&gt;0")/COUNTIFS('NHL2025-26Results'!$B:$B,A32,'NHL2025-26Results'!$C:$C,"&gt;0")</f>
        <v>3.125</v>
      </c>
      <c r="Q32" s="14">
        <f>SUMIFS('NHL2025-26Results'!$C:$C,'NHL2025-26Results'!$D:$D,A32,'NHL2025-26Results'!$C:$C,"&gt;0")/COUNTIFS('NHL2025-26Results'!$D:$D,A32,'NHL2025-26Results'!$C:$C,"&gt;0")</f>
        <v>2.7777777777777777</v>
      </c>
      <c r="R32" s="14">
        <f>SUMIFS('NHL2025-26Results'!$E:$E,'NHL2025-26Results'!$B:$B,A32,'NHL2025-26Results'!$E:$E,"&gt;0")/COUNTIFS('NHL2025-26Results'!$B:$B,A32,'NHL2025-26Results'!$E:$E,"&gt;0")</f>
        <v>2.875</v>
      </c>
    </row>
    <row r="33" spans="1:18" x14ac:dyDescent="0.2">
      <c r="A33" s="4" t="s">
        <v>40</v>
      </c>
      <c r="B33">
        <f>SUM(Table1[[#This Row],[W]:[OTL]])</f>
        <v>18</v>
      </c>
      <c r="C33">
        <f>COUNTIF(NHL2025_26Results[Winning Team],Standings!A33)</f>
        <v>11</v>
      </c>
      <c r="D33">
        <f>COUNTIFS('NHL2025-26Results'!$H:$H,A33,'NHL2025-26Results'!$F:$F,"")</f>
        <v>7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22</v>
      </c>
      <c r="G33">
        <f>COUNTIFS('NHL2025-26Results'!$D:$D,A33,'NHL2025-26Results'!$G:$G,A33)</f>
        <v>5</v>
      </c>
      <c r="H33">
        <f>COUNTIFS('NHL2025-26Results'!$D:$D,A33,'NHL2025-26Results'!$H:$H,A33,'NHL2025-26Results'!$F:$F,"")</f>
        <v>3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4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0.625</v>
      </c>
      <c r="N33" s="11">
        <f>Table1[[#This Row],[AwayWins]]/SUM(Table1[[#This Row],[AwayWins]:[AwayOTL]])</f>
        <v>0.6</v>
      </c>
      <c r="O33" s="14">
        <f>SUMIFS('NHL2025-26Results'!$E:$E,'NHL2025-26Results'!$D:$D,A33,'NHL2025-26Results'!$E:$E,"&gt;0")/COUNTIFS('NHL2025-26Results'!$D:$D,A33,'NHL2025-26Results'!$E:$E,"&gt;0")</f>
        <v>4.1428571428571432</v>
      </c>
      <c r="P33" s="14">
        <f>SUMIFS('NHL2025-26Results'!$C:$C,'NHL2025-26Results'!$B:$B,A33,'NHL2025-26Results'!$C:$C,"&gt;0")/COUNTIFS('NHL2025-26Results'!$B:$B,A33,'NHL2025-26Results'!$C:$C,"&gt;0")</f>
        <v>3.3333333333333335</v>
      </c>
      <c r="Q33" s="14">
        <f>SUMIFS('NHL2025-26Results'!$C:$C,'NHL2025-26Results'!$D:$D,A33,'NHL2025-26Results'!$C:$C,"&gt;0")/COUNTIFS('NHL2025-26Results'!$D:$D,A33,'NHL2025-26Results'!$C:$C,"&gt;0")</f>
        <v>2.75</v>
      </c>
      <c r="R33" s="14">
        <f>SUMIFS('NHL2025-26Results'!$E:$E,'NHL2025-26Results'!$B:$B,A33,'NHL2025-26Results'!$E:$E,"&gt;0")/COUNTIFS('NHL2025-26Results'!$B:$B,A33,'NHL2025-26Results'!$E:$E,"&gt;0")</f>
        <v>2.8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NHL2025-26Results</vt:lpstr>
      <vt:lpstr>NHL Model</vt:lpstr>
      <vt:lpstr>NHL HomeIce Model</vt:lpstr>
      <vt:lpstr>NHL HomeIce Model (2)</vt:lpstr>
      <vt:lpstr>Standings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2025-11-17T16:10:08Z</dcterms:modified>
</cp:coreProperties>
</file>