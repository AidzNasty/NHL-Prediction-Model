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2168" documentId="14_{BC0C37BD-5950-BD49-823D-87212FE79B51}" xr6:coauthVersionLast="47" xr6:coauthVersionMax="47" xr10:uidLastSave="{5D27F0CA-9338-AB41-821C-AD8ABE5190D7}"/>
  <bookViews>
    <workbookView xWindow="-20" yWindow="66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'NHL2025-26PlayerStats'!$A$1:$AE$1002</definedName>
    <definedName name="ExternalData_1" localSheetId="0" hidden="1">'NHL2025-26Results'!$A$1:$J$1313</definedName>
    <definedName name="ExternalData_4" localSheetId="4" hidden="1">'ML Prediction Model'!$A$1:$T$400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15" i="1" l="1"/>
  <c r="E816" i="1"/>
  <c r="E817" i="1"/>
  <c r="E818" i="1"/>
  <c r="E819" i="1"/>
  <c r="E820" i="1"/>
  <c r="E821" i="1"/>
  <c r="E822" i="1"/>
  <c r="E823" i="1"/>
  <c r="G815" i="1"/>
  <c r="H815" i="1" s="1"/>
  <c r="I815" i="1"/>
  <c r="G816" i="1"/>
  <c r="H816" i="1" s="1"/>
  <c r="I816" i="1"/>
  <c r="G817" i="1"/>
  <c r="H817" i="1" s="1"/>
  <c r="I817" i="1"/>
  <c r="G818" i="1"/>
  <c r="I818" i="1"/>
  <c r="G819" i="1"/>
  <c r="I819" i="1"/>
  <c r="G820" i="1"/>
  <c r="I820" i="1"/>
  <c r="G821" i="1"/>
  <c r="H821" i="1" s="1"/>
  <c r="I821" i="1"/>
  <c r="G822" i="1"/>
  <c r="I822" i="1"/>
  <c r="G823" i="1"/>
  <c r="H823" i="1" s="1"/>
  <c r="I823" i="1"/>
  <c r="E807" i="1"/>
  <c r="E808" i="1"/>
  <c r="E809" i="1"/>
  <c r="E810" i="1"/>
  <c r="E811" i="1"/>
  <c r="H811" i="1" s="1"/>
  <c r="E812" i="1"/>
  <c r="E813" i="1"/>
  <c r="E814" i="1"/>
  <c r="G807" i="1"/>
  <c r="H807" i="1" s="1"/>
  <c r="I807" i="1"/>
  <c r="G808" i="1"/>
  <c r="H808" i="1" s="1"/>
  <c r="I808" i="1"/>
  <c r="G809" i="1"/>
  <c r="H809" i="1" s="1"/>
  <c r="I809" i="1"/>
  <c r="G810" i="1"/>
  <c r="I810" i="1"/>
  <c r="G811" i="1"/>
  <c r="I811" i="1"/>
  <c r="G812" i="1"/>
  <c r="H812" i="1" s="1"/>
  <c r="I812" i="1"/>
  <c r="G813" i="1"/>
  <c r="I813" i="1"/>
  <c r="G814" i="1"/>
  <c r="I814" i="1"/>
  <c r="E799" i="1"/>
  <c r="E800" i="1"/>
  <c r="E801" i="1"/>
  <c r="E802" i="1"/>
  <c r="E803" i="1"/>
  <c r="H803" i="1" s="1"/>
  <c r="E804" i="1"/>
  <c r="E805" i="1"/>
  <c r="E806" i="1"/>
  <c r="G799" i="1"/>
  <c r="I799" i="1"/>
  <c r="G800" i="1"/>
  <c r="H800" i="1" s="1"/>
  <c r="I800" i="1"/>
  <c r="G801" i="1"/>
  <c r="I801" i="1"/>
  <c r="G802" i="1"/>
  <c r="I802" i="1"/>
  <c r="G803" i="1"/>
  <c r="I803" i="1"/>
  <c r="G804" i="1"/>
  <c r="I804" i="1"/>
  <c r="G805" i="1"/>
  <c r="I805" i="1"/>
  <c r="G806" i="1"/>
  <c r="I806" i="1"/>
  <c r="E793" i="1"/>
  <c r="E794" i="1"/>
  <c r="E795" i="1"/>
  <c r="E796" i="1"/>
  <c r="E797" i="1"/>
  <c r="E798" i="1"/>
  <c r="G793" i="1"/>
  <c r="I793" i="1"/>
  <c r="G794" i="1"/>
  <c r="I794" i="1"/>
  <c r="G795" i="1"/>
  <c r="H795" i="1" s="1"/>
  <c r="I795" i="1"/>
  <c r="G796" i="1"/>
  <c r="I796" i="1"/>
  <c r="G797" i="1"/>
  <c r="I797" i="1"/>
  <c r="G798" i="1"/>
  <c r="I798" i="1"/>
  <c r="G792" i="1"/>
  <c r="I792" i="1"/>
  <c r="E785" i="1"/>
  <c r="E786" i="1"/>
  <c r="E787" i="1"/>
  <c r="E788" i="1"/>
  <c r="E789" i="1"/>
  <c r="E790" i="1"/>
  <c r="E791" i="1"/>
  <c r="E792" i="1"/>
  <c r="G785" i="1"/>
  <c r="H785" i="1" s="1"/>
  <c r="I785" i="1"/>
  <c r="G786" i="1"/>
  <c r="I786" i="1"/>
  <c r="G787" i="1"/>
  <c r="I787" i="1"/>
  <c r="G788" i="1"/>
  <c r="I788" i="1"/>
  <c r="G789" i="1"/>
  <c r="I789" i="1"/>
  <c r="G790" i="1"/>
  <c r="I790" i="1"/>
  <c r="G791" i="1"/>
  <c r="I791" i="1"/>
  <c r="E775" i="1"/>
  <c r="E776" i="1"/>
  <c r="E777" i="1"/>
  <c r="E778" i="1"/>
  <c r="E779" i="1"/>
  <c r="E780" i="1"/>
  <c r="E781" i="1"/>
  <c r="E782" i="1"/>
  <c r="E783" i="1"/>
  <c r="E784" i="1"/>
  <c r="G775" i="1"/>
  <c r="I775" i="1"/>
  <c r="G776" i="1"/>
  <c r="I776" i="1"/>
  <c r="G777" i="1"/>
  <c r="I777" i="1"/>
  <c r="G778" i="1"/>
  <c r="I778" i="1"/>
  <c r="G779" i="1"/>
  <c r="I779" i="1"/>
  <c r="G780" i="1"/>
  <c r="I780" i="1"/>
  <c r="G781" i="1"/>
  <c r="I781" i="1"/>
  <c r="G782" i="1"/>
  <c r="I782" i="1"/>
  <c r="G783" i="1"/>
  <c r="I783" i="1"/>
  <c r="G784" i="1"/>
  <c r="I784" i="1"/>
  <c r="E772" i="1"/>
  <c r="E773" i="1"/>
  <c r="E774" i="1"/>
  <c r="G772" i="1"/>
  <c r="I772" i="1"/>
  <c r="G773" i="1"/>
  <c r="I773" i="1"/>
  <c r="G774" i="1"/>
  <c r="I774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G770" i="1"/>
  <c r="I770" i="1"/>
  <c r="G771" i="1"/>
  <c r="I771" i="1"/>
  <c r="G759" i="1"/>
  <c r="I759" i="1"/>
  <c r="G760" i="1"/>
  <c r="I760" i="1"/>
  <c r="G761" i="1"/>
  <c r="I761" i="1"/>
  <c r="G762" i="1"/>
  <c r="I762" i="1"/>
  <c r="G763" i="1"/>
  <c r="I763" i="1"/>
  <c r="G764" i="1"/>
  <c r="I764" i="1"/>
  <c r="G765" i="1"/>
  <c r="I765" i="1"/>
  <c r="G766" i="1"/>
  <c r="I766" i="1"/>
  <c r="G767" i="1"/>
  <c r="I767" i="1"/>
  <c r="G768" i="1"/>
  <c r="I768" i="1"/>
  <c r="G769" i="1"/>
  <c r="I769" i="1"/>
  <c r="E754" i="1"/>
  <c r="E755" i="1"/>
  <c r="E756" i="1"/>
  <c r="E757" i="1"/>
  <c r="E758" i="1"/>
  <c r="G754" i="1"/>
  <c r="I754" i="1"/>
  <c r="G755" i="1"/>
  <c r="I755" i="1"/>
  <c r="G756" i="1"/>
  <c r="I756" i="1"/>
  <c r="G757" i="1"/>
  <c r="I757" i="1"/>
  <c r="G758" i="1"/>
  <c r="I758" i="1"/>
  <c r="E753" i="1"/>
  <c r="E744" i="1"/>
  <c r="E745" i="1"/>
  <c r="E746" i="1"/>
  <c r="E747" i="1"/>
  <c r="E748" i="1"/>
  <c r="E749" i="1"/>
  <c r="E750" i="1"/>
  <c r="E751" i="1"/>
  <c r="E752" i="1"/>
  <c r="G744" i="1"/>
  <c r="I744" i="1"/>
  <c r="G745" i="1"/>
  <c r="I745" i="1"/>
  <c r="G746" i="1"/>
  <c r="I746" i="1"/>
  <c r="G747" i="1"/>
  <c r="I747" i="1"/>
  <c r="G748" i="1"/>
  <c r="I748" i="1"/>
  <c r="G749" i="1"/>
  <c r="I749" i="1"/>
  <c r="G750" i="1"/>
  <c r="I750" i="1"/>
  <c r="G751" i="1"/>
  <c r="I751" i="1"/>
  <c r="G752" i="1"/>
  <c r="I752" i="1"/>
  <c r="G753" i="1"/>
  <c r="I753" i="1"/>
  <c r="E740" i="1"/>
  <c r="E741" i="1"/>
  <c r="E742" i="1"/>
  <c r="E743" i="1"/>
  <c r="G740" i="1"/>
  <c r="I740" i="1"/>
  <c r="G741" i="1"/>
  <c r="I741" i="1"/>
  <c r="G742" i="1"/>
  <c r="I742" i="1"/>
  <c r="G743" i="1"/>
  <c r="I743" i="1"/>
  <c r="E730" i="1"/>
  <c r="E731" i="1"/>
  <c r="E732" i="1"/>
  <c r="E733" i="1"/>
  <c r="E734" i="1"/>
  <c r="E735" i="1"/>
  <c r="E736" i="1"/>
  <c r="E737" i="1"/>
  <c r="E738" i="1"/>
  <c r="E739" i="1"/>
  <c r="G730" i="1"/>
  <c r="I730" i="1"/>
  <c r="G731" i="1"/>
  <c r="I731" i="1"/>
  <c r="G732" i="1"/>
  <c r="I732" i="1"/>
  <c r="G733" i="1"/>
  <c r="I733" i="1"/>
  <c r="G734" i="1"/>
  <c r="I734" i="1"/>
  <c r="G735" i="1"/>
  <c r="I735" i="1"/>
  <c r="G736" i="1"/>
  <c r="I736" i="1"/>
  <c r="G737" i="1"/>
  <c r="I737" i="1"/>
  <c r="G738" i="1"/>
  <c r="I738" i="1"/>
  <c r="G739" i="1"/>
  <c r="I739" i="1"/>
  <c r="J821" i="1" l="1"/>
  <c r="J817" i="1"/>
  <c r="J816" i="1"/>
  <c r="J823" i="1"/>
  <c r="J815" i="1"/>
  <c r="H819" i="1"/>
  <c r="J819" i="1" s="1"/>
  <c r="H820" i="1"/>
  <c r="J820" i="1" s="1"/>
  <c r="H822" i="1"/>
  <c r="J822" i="1" s="1"/>
  <c r="H818" i="1"/>
  <c r="J818" i="1" s="1"/>
  <c r="H801" i="1"/>
  <c r="H814" i="1"/>
  <c r="H813" i="1"/>
  <c r="J813" i="1" s="1"/>
  <c r="H802" i="1"/>
  <c r="J802" i="1" s="1"/>
  <c r="J811" i="1"/>
  <c r="J808" i="1"/>
  <c r="J812" i="1"/>
  <c r="J814" i="1"/>
  <c r="J807" i="1"/>
  <c r="H810" i="1"/>
  <c r="J810" i="1" s="1"/>
  <c r="J809" i="1"/>
  <c r="H806" i="1"/>
  <c r="J806" i="1" s="1"/>
  <c r="H805" i="1"/>
  <c r="J805" i="1" s="1"/>
  <c r="H804" i="1"/>
  <c r="J804" i="1" s="1"/>
  <c r="H799" i="1"/>
  <c r="J799" i="1" s="1"/>
  <c r="J800" i="1"/>
  <c r="J803" i="1"/>
  <c r="J801" i="1"/>
  <c r="H777" i="1"/>
  <c r="J777" i="1" s="1"/>
  <c r="H787" i="1"/>
  <c r="H796" i="1"/>
  <c r="J796" i="1" s="1"/>
  <c r="H798" i="1"/>
  <c r="J798" i="1" s="1"/>
  <c r="H791" i="1"/>
  <c r="J791" i="1" s="1"/>
  <c r="H794" i="1"/>
  <c r="J794" i="1" s="1"/>
  <c r="H797" i="1"/>
  <c r="J797" i="1" s="1"/>
  <c r="H793" i="1"/>
  <c r="J793" i="1" s="1"/>
  <c r="J795" i="1"/>
  <c r="H789" i="1"/>
  <c r="J789" i="1" s="1"/>
  <c r="H792" i="1"/>
  <c r="J792" i="1" s="1"/>
  <c r="H786" i="1"/>
  <c r="J786" i="1" s="1"/>
  <c r="J787" i="1"/>
  <c r="H790" i="1"/>
  <c r="J790" i="1" s="1"/>
  <c r="H782" i="1"/>
  <c r="J782" i="1" s="1"/>
  <c r="J785" i="1"/>
  <c r="H788" i="1"/>
  <c r="J788" i="1" s="1"/>
  <c r="H784" i="1"/>
  <c r="J784" i="1" s="1"/>
  <c r="H776" i="1"/>
  <c r="J776" i="1" s="1"/>
  <c r="H783" i="1"/>
  <c r="J783" i="1" s="1"/>
  <c r="H775" i="1"/>
  <c r="J775" i="1" s="1"/>
  <c r="H767" i="1"/>
  <c r="J767" i="1" s="1"/>
  <c r="H781" i="1"/>
  <c r="J781" i="1" s="1"/>
  <c r="H780" i="1"/>
  <c r="J780" i="1" s="1"/>
  <c r="H779" i="1"/>
  <c r="J779" i="1" s="1"/>
  <c r="H778" i="1"/>
  <c r="J778" i="1" s="1"/>
  <c r="H759" i="1"/>
  <c r="J759" i="1" s="1"/>
  <c r="H772" i="1"/>
  <c r="J772" i="1" s="1"/>
  <c r="H751" i="1"/>
  <c r="J751" i="1" s="1"/>
  <c r="H768" i="1"/>
  <c r="J768" i="1" s="1"/>
  <c r="H760" i="1"/>
  <c r="J760" i="1" s="1"/>
  <c r="H774" i="1"/>
  <c r="J774" i="1" s="1"/>
  <c r="H769" i="1"/>
  <c r="J769" i="1" s="1"/>
  <c r="H756" i="1"/>
  <c r="J756" i="1" s="1"/>
  <c r="H773" i="1"/>
  <c r="J773" i="1" s="1"/>
  <c r="H765" i="1"/>
  <c r="J765" i="1" s="1"/>
  <c r="H761" i="1"/>
  <c r="J761" i="1" s="1"/>
  <c r="H770" i="1"/>
  <c r="J770" i="1" s="1"/>
  <c r="H764" i="1"/>
  <c r="J764" i="1" s="1"/>
  <c r="H763" i="1"/>
  <c r="J763" i="1" s="1"/>
  <c r="H766" i="1"/>
  <c r="J766" i="1" s="1"/>
  <c r="H762" i="1"/>
  <c r="J762" i="1" s="1"/>
  <c r="H771" i="1"/>
  <c r="J771" i="1" s="1"/>
  <c r="H752" i="1"/>
  <c r="J752" i="1" s="1"/>
  <c r="H744" i="1"/>
  <c r="J744" i="1" s="1"/>
  <c r="H741" i="1"/>
  <c r="J741" i="1" s="1"/>
  <c r="H753" i="1"/>
  <c r="J753" i="1" s="1"/>
  <c r="H755" i="1"/>
  <c r="J755" i="1" s="1"/>
  <c r="H758" i="1"/>
  <c r="J758" i="1" s="1"/>
  <c r="H754" i="1"/>
  <c r="J754" i="1" s="1"/>
  <c r="H757" i="1"/>
  <c r="J757" i="1" s="1"/>
  <c r="H750" i="1"/>
  <c r="J750" i="1" s="1"/>
  <c r="H746" i="1"/>
  <c r="J746" i="1" s="1"/>
  <c r="H745" i="1"/>
  <c r="J745" i="1" s="1"/>
  <c r="H740" i="1"/>
  <c r="J740" i="1" s="1"/>
  <c r="H747" i="1"/>
  <c r="J747" i="1" s="1"/>
  <c r="H749" i="1"/>
  <c r="J749" i="1" s="1"/>
  <c r="H748" i="1"/>
  <c r="J748" i="1" s="1"/>
  <c r="H738" i="1"/>
  <c r="J738" i="1" s="1"/>
  <c r="H730" i="1"/>
  <c r="J730" i="1" s="1"/>
  <c r="H739" i="1"/>
  <c r="J739" i="1" s="1"/>
  <c r="H742" i="1"/>
  <c r="J742" i="1" s="1"/>
  <c r="H743" i="1"/>
  <c r="J743" i="1" s="1"/>
  <c r="H736" i="1"/>
  <c r="J736" i="1" s="1"/>
  <c r="H732" i="1"/>
  <c r="J732" i="1" s="1"/>
  <c r="H735" i="1"/>
  <c r="J735" i="1" s="1"/>
  <c r="H731" i="1"/>
  <c r="J731" i="1" s="1"/>
  <c r="H734" i="1"/>
  <c r="J734" i="1" s="1"/>
  <c r="H733" i="1"/>
  <c r="J733" i="1" s="1"/>
  <c r="H737" i="1"/>
  <c r="J737" i="1" s="1"/>
  <c r="E721" i="1" l="1"/>
  <c r="E722" i="1"/>
  <c r="E723" i="1"/>
  <c r="E724" i="1"/>
  <c r="E725" i="1"/>
  <c r="E726" i="1"/>
  <c r="E727" i="1"/>
  <c r="E728" i="1"/>
  <c r="E729" i="1"/>
  <c r="G721" i="1"/>
  <c r="I721" i="1"/>
  <c r="G722" i="1"/>
  <c r="I722" i="1"/>
  <c r="G723" i="1"/>
  <c r="I723" i="1"/>
  <c r="G724" i="1"/>
  <c r="I724" i="1"/>
  <c r="G725" i="1"/>
  <c r="I725" i="1"/>
  <c r="G726" i="1"/>
  <c r="I726" i="1"/>
  <c r="G727" i="1"/>
  <c r="I727" i="1"/>
  <c r="G728" i="1"/>
  <c r="I728" i="1"/>
  <c r="G729" i="1"/>
  <c r="I729" i="1"/>
  <c r="E716" i="1"/>
  <c r="E717" i="1"/>
  <c r="E718" i="1"/>
  <c r="E719" i="1"/>
  <c r="E720" i="1"/>
  <c r="G716" i="1"/>
  <c r="I716" i="1"/>
  <c r="G717" i="1"/>
  <c r="I717" i="1"/>
  <c r="G718" i="1"/>
  <c r="I718" i="1"/>
  <c r="G719" i="1"/>
  <c r="I719" i="1"/>
  <c r="G720" i="1"/>
  <c r="I720" i="1"/>
  <c r="E714" i="1"/>
  <c r="E715" i="1"/>
  <c r="G715" i="1"/>
  <c r="I715" i="1"/>
  <c r="G702" i="1"/>
  <c r="I702" i="1"/>
  <c r="G703" i="1"/>
  <c r="I703" i="1"/>
  <c r="G704" i="1"/>
  <c r="I704" i="1"/>
  <c r="G705" i="1"/>
  <c r="I705" i="1"/>
  <c r="G706" i="1"/>
  <c r="I706" i="1"/>
  <c r="G707" i="1"/>
  <c r="I707" i="1"/>
  <c r="G708" i="1"/>
  <c r="I708" i="1"/>
  <c r="G709" i="1"/>
  <c r="I709" i="1"/>
  <c r="G710" i="1"/>
  <c r="I710" i="1"/>
  <c r="G711" i="1"/>
  <c r="I711" i="1"/>
  <c r="G712" i="1"/>
  <c r="I712" i="1"/>
  <c r="G713" i="1"/>
  <c r="I713" i="1"/>
  <c r="G714" i="1"/>
  <c r="I714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699" i="1"/>
  <c r="E700" i="1"/>
  <c r="E701" i="1"/>
  <c r="G699" i="1"/>
  <c r="I699" i="1"/>
  <c r="G700" i="1"/>
  <c r="I700" i="1"/>
  <c r="G701" i="1"/>
  <c r="I701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G687" i="1"/>
  <c r="I687" i="1"/>
  <c r="G688" i="1"/>
  <c r="I688" i="1"/>
  <c r="G689" i="1"/>
  <c r="I689" i="1"/>
  <c r="G690" i="1"/>
  <c r="I690" i="1"/>
  <c r="G691" i="1"/>
  <c r="I691" i="1"/>
  <c r="G692" i="1"/>
  <c r="I692" i="1"/>
  <c r="G693" i="1"/>
  <c r="I693" i="1"/>
  <c r="G694" i="1"/>
  <c r="I694" i="1"/>
  <c r="G695" i="1"/>
  <c r="I695" i="1"/>
  <c r="G696" i="1"/>
  <c r="I696" i="1"/>
  <c r="G697" i="1"/>
  <c r="I697" i="1"/>
  <c r="G698" i="1"/>
  <c r="I698" i="1"/>
  <c r="E682" i="1"/>
  <c r="E683" i="1"/>
  <c r="E684" i="1"/>
  <c r="E685" i="1"/>
  <c r="E686" i="1"/>
  <c r="G682" i="1"/>
  <c r="I682" i="1"/>
  <c r="G683" i="1"/>
  <c r="I683" i="1"/>
  <c r="G684" i="1"/>
  <c r="I684" i="1"/>
  <c r="G685" i="1"/>
  <c r="I685" i="1"/>
  <c r="G686" i="1"/>
  <c r="I686" i="1"/>
  <c r="E672" i="1"/>
  <c r="E673" i="1"/>
  <c r="E674" i="1"/>
  <c r="E675" i="1"/>
  <c r="E676" i="1"/>
  <c r="E677" i="1"/>
  <c r="E678" i="1"/>
  <c r="E679" i="1"/>
  <c r="E680" i="1"/>
  <c r="E681" i="1"/>
  <c r="G672" i="1"/>
  <c r="I672" i="1"/>
  <c r="G673" i="1"/>
  <c r="I673" i="1"/>
  <c r="G674" i="1"/>
  <c r="I674" i="1"/>
  <c r="G675" i="1"/>
  <c r="I675" i="1"/>
  <c r="G676" i="1"/>
  <c r="I676" i="1"/>
  <c r="G677" i="1"/>
  <c r="I677" i="1"/>
  <c r="G678" i="1"/>
  <c r="I678" i="1"/>
  <c r="G679" i="1"/>
  <c r="I679" i="1"/>
  <c r="G680" i="1"/>
  <c r="I680" i="1"/>
  <c r="G681" i="1"/>
  <c r="I681" i="1"/>
  <c r="E667" i="1"/>
  <c r="E668" i="1"/>
  <c r="E669" i="1"/>
  <c r="E670" i="1"/>
  <c r="E671" i="1"/>
  <c r="G667" i="1"/>
  <c r="I667" i="1"/>
  <c r="G668" i="1"/>
  <c r="I668" i="1"/>
  <c r="G669" i="1"/>
  <c r="I669" i="1"/>
  <c r="G670" i="1"/>
  <c r="I670" i="1"/>
  <c r="G671" i="1"/>
  <c r="I671" i="1"/>
  <c r="G662" i="1"/>
  <c r="I662" i="1"/>
  <c r="G663" i="1"/>
  <c r="I663" i="1"/>
  <c r="G664" i="1"/>
  <c r="I664" i="1"/>
  <c r="G665" i="1"/>
  <c r="I665" i="1"/>
  <c r="G666" i="1"/>
  <c r="I666" i="1"/>
  <c r="E662" i="1"/>
  <c r="E663" i="1"/>
  <c r="E664" i="1"/>
  <c r="E665" i="1"/>
  <c r="E666" i="1"/>
  <c r="E661" i="1"/>
  <c r="G649" i="1"/>
  <c r="I649" i="1"/>
  <c r="G650" i="1"/>
  <c r="I650" i="1"/>
  <c r="G651" i="1"/>
  <c r="I651" i="1"/>
  <c r="G652" i="1"/>
  <c r="I652" i="1"/>
  <c r="G653" i="1"/>
  <c r="I653" i="1"/>
  <c r="G654" i="1"/>
  <c r="I654" i="1"/>
  <c r="G655" i="1"/>
  <c r="I655" i="1"/>
  <c r="G656" i="1"/>
  <c r="I656" i="1"/>
  <c r="G657" i="1"/>
  <c r="I657" i="1"/>
  <c r="G658" i="1"/>
  <c r="I658" i="1"/>
  <c r="G659" i="1"/>
  <c r="I659" i="1"/>
  <c r="G660" i="1"/>
  <c r="I660" i="1"/>
  <c r="G661" i="1"/>
  <c r="I661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G645" i="1"/>
  <c r="I645" i="1"/>
  <c r="G646" i="1"/>
  <c r="I646" i="1"/>
  <c r="G647" i="1"/>
  <c r="I647" i="1"/>
  <c r="G648" i="1"/>
  <c r="I648" i="1"/>
  <c r="E645" i="1"/>
  <c r="E646" i="1"/>
  <c r="E647" i="1"/>
  <c r="E648" i="1"/>
  <c r="E637" i="1"/>
  <c r="E638" i="1"/>
  <c r="E639" i="1"/>
  <c r="E640" i="1"/>
  <c r="E641" i="1"/>
  <c r="E642" i="1"/>
  <c r="E643" i="1"/>
  <c r="E644" i="1"/>
  <c r="G637" i="1"/>
  <c r="I637" i="1"/>
  <c r="G638" i="1"/>
  <c r="I638" i="1"/>
  <c r="G639" i="1"/>
  <c r="I639" i="1"/>
  <c r="G640" i="1"/>
  <c r="I640" i="1"/>
  <c r="G641" i="1"/>
  <c r="I641" i="1"/>
  <c r="G642" i="1"/>
  <c r="I642" i="1"/>
  <c r="G643" i="1"/>
  <c r="I643" i="1"/>
  <c r="G644" i="1"/>
  <c r="I644" i="1"/>
  <c r="G627" i="1"/>
  <c r="I627" i="1"/>
  <c r="G628" i="1"/>
  <c r="I628" i="1"/>
  <c r="G629" i="1"/>
  <c r="I629" i="1"/>
  <c r="G630" i="1"/>
  <c r="I630" i="1"/>
  <c r="G631" i="1"/>
  <c r="I631" i="1"/>
  <c r="G632" i="1"/>
  <c r="I632" i="1"/>
  <c r="G633" i="1"/>
  <c r="I633" i="1"/>
  <c r="G634" i="1"/>
  <c r="I634" i="1"/>
  <c r="G635" i="1"/>
  <c r="I635" i="1"/>
  <c r="G636" i="1"/>
  <c r="I636" i="1"/>
  <c r="E627" i="1"/>
  <c r="E628" i="1"/>
  <c r="E629" i="1"/>
  <c r="E630" i="1"/>
  <c r="E631" i="1"/>
  <c r="E632" i="1"/>
  <c r="E633" i="1"/>
  <c r="E634" i="1"/>
  <c r="E635" i="1"/>
  <c r="E636" i="1"/>
  <c r="G622" i="1"/>
  <c r="I622" i="1"/>
  <c r="G623" i="1"/>
  <c r="I623" i="1"/>
  <c r="G624" i="1"/>
  <c r="I624" i="1"/>
  <c r="G625" i="1"/>
  <c r="I625" i="1"/>
  <c r="G626" i="1"/>
  <c r="I626" i="1"/>
  <c r="E622" i="1"/>
  <c r="E623" i="1"/>
  <c r="E624" i="1"/>
  <c r="E625" i="1"/>
  <c r="E626" i="1"/>
  <c r="G611" i="1"/>
  <c r="I611" i="1"/>
  <c r="G612" i="1"/>
  <c r="I612" i="1"/>
  <c r="G613" i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E621" i="1"/>
  <c r="E620" i="1"/>
  <c r="E611" i="1"/>
  <c r="E612" i="1"/>
  <c r="E613" i="1"/>
  <c r="E614" i="1"/>
  <c r="E615" i="1"/>
  <c r="E616" i="1"/>
  <c r="E617" i="1"/>
  <c r="E618" i="1"/>
  <c r="E619" i="1"/>
  <c r="G606" i="1"/>
  <c r="I606" i="1"/>
  <c r="G607" i="1"/>
  <c r="I607" i="1"/>
  <c r="G608" i="1"/>
  <c r="I608" i="1"/>
  <c r="G609" i="1"/>
  <c r="I609" i="1"/>
  <c r="G610" i="1"/>
  <c r="I610" i="1"/>
  <c r="E606" i="1"/>
  <c r="E607" i="1"/>
  <c r="E608" i="1"/>
  <c r="E609" i="1"/>
  <c r="E610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G593" i="1"/>
  <c r="I593" i="1"/>
  <c r="G594" i="1"/>
  <c r="I594" i="1"/>
  <c r="G595" i="1"/>
  <c r="I595" i="1"/>
  <c r="G596" i="1"/>
  <c r="H596" i="1" s="1"/>
  <c r="I596" i="1"/>
  <c r="G597" i="1"/>
  <c r="I597" i="1"/>
  <c r="G598" i="1"/>
  <c r="I598" i="1"/>
  <c r="G599" i="1"/>
  <c r="I599" i="1"/>
  <c r="G600" i="1"/>
  <c r="I600" i="1"/>
  <c r="G601" i="1"/>
  <c r="I601" i="1"/>
  <c r="G602" i="1"/>
  <c r="I602" i="1"/>
  <c r="G603" i="1"/>
  <c r="I603" i="1"/>
  <c r="G604" i="1"/>
  <c r="I604" i="1"/>
  <c r="G605" i="1"/>
  <c r="I605" i="1"/>
  <c r="G580" i="1"/>
  <c r="I580" i="1"/>
  <c r="G581" i="1"/>
  <c r="I581" i="1"/>
  <c r="G582" i="1"/>
  <c r="I582" i="1"/>
  <c r="G583" i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E592" i="1"/>
  <c r="E588" i="1"/>
  <c r="E589" i="1"/>
  <c r="E590" i="1"/>
  <c r="E591" i="1"/>
  <c r="E580" i="1"/>
  <c r="E581" i="1"/>
  <c r="E582" i="1"/>
  <c r="E583" i="1"/>
  <c r="E584" i="1"/>
  <c r="E585" i="1"/>
  <c r="E586" i="1"/>
  <c r="E587" i="1"/>
  <c r="H587" i="1" s="1"/>
  <c r="G576" i="1"/>
  <c r="I576" i="1"/>
  <c r="G577" i="1"/>
  <c r="I577" i="1"/>
  <c r="G578" i="1"/>
  <c r="I578" i="1"/>
  <c r="G579" i="1"/>
  <c r="I579" i="1"/>
  <c r="E576" i="1"/>
  <c r="E577" i="1"/>
  <c r="E578" i="1"/>
  <c r="E579" i="1"/>
  <c r="G567" i="1"/>
  <c r="I567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E574" i="1"/>
  <c r="E575" i="1"/>
  <c r="E567" i="1"/>
  <c r="E568" i="1"/>
  <c r="E569" i="1"/>
  <c r="E570" i="1"/>
  <c r="E571" i="1"/>
  <c r="E572" i="1"/>
  <c r="E573" i="1"/>
  <c r="G566" i="1"/>
  <c r="I566" i="1"/>
  <c r="G554" i="1"/>
  <c r="I554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E566" i="1"/>
  <c r="E565" i="1"/>
  <c r="E554" i="1"/>
  <c r="E555" i="1"/>
  <c r="E556" i="1"/>
  <c r="E557" i="1"/>
  <c r="E558" i="1"/>
  <c r="E559" i="1"/>
  <c r="E560" i="1"/>
  <c r="E561" i="1"/>
  <c r="E562" i="1"/>
  <c r="E563" i="1"/>
  <c r="E564" i="1"/>
  <c r="G549" i="1"/>
  <c r="I549" i="1"/>
  <c r="G550" i="1"/>
  <c r="I550" i="1"/>
  <c r="G551" i="1"/>
  <c r="I551" i="1"/>
  <c r="G552" i="1"/>
  <c r="I552" i="1"/>
  <c r="G553" i="1"/>
  <c r="I553" i="1"/>
  <c r="E549" i="1"/>
  <c r="E550" i="1"/>
  <c r="E551" i="1"/>
  <c r="E552" i="1"/>
  <c r="E553" i="1"/>
  <c r="G539" i="1"/>
  <c r="I539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E539" i="1"/>
  <c r="E540" i="1"/>
  <c r="E541" i="1"/>
  <c r="E542" i="1"/>
  <c r="E543" i="1"/>
  <c r="E544" i="1"/>
  <c r="E545" i="1"/>
  <c r="E546" i="1"/>
  <c r="E547" i="1"/>
  <c r="E548" i="1"/>
  <c r="G534" i="1"/>
  <c r="I534" i="1"/>
  <c r="G535" i="1"/>
  <c r="I535" i="1"/>
  <c r="G536" i="1"/>
  <c r="I536" i="1"/>
  <c r="G537" i="1"/>
  <c r="I537" i="1"/>
  <c r="G538" i="1"/>
  <c r="I538" i="1"/>
  <c r="E534" i="1"/>
  <c r="E535" i="1"/>
  <c r="E536" i="1"/>
  <c r="E537" i="1"/>
  <c r="E538" i="1"/>
  <c r="G524" i="1"/>
  <c r="I524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E524" i="1"/>
  <c r="E525" i="1"/>
  <c r="E526" i="1"/>
  <c r="E527" i="1"/>
  <c r="E528" i="1"/>
  <c r="E529" i="1"/>
  <c r="E530" i="1"/>
  <c r="E531" i="1"/>
  <c r="E532" i="1"/>
  <c r="E533" i="1"/>
  <c r="G519" i="1"/>
  <c r="I519" i="1"/>
  <c r="G520" i="1"/>
  <c r="I520" i="1"/>
  <c r="G521" i="1"/>
  <c r="I521" i="1"/>
  <c r="G522" i="1"/>
  <c r="I522" i="1"/>
  <c r="G523" i="1"/>
  <c r="I523" i="1"/>
  <c r="E519" i="1"/>
  <c r="E520" i="1"/>
  <c r="E521" i="1"/>
  <c r="E522" i="1"/>
  <c r="E523" i="1"/>
  <c r="G513" i="1"/>
  <c r="I513" i="1"/>
  <c r="G514" i="1"/>
  <c r="I514" i="1"/>
  <c r="G515" i="1"/>
  <c r="I515" i="1"/>
  <c r="G516" i="1"/>
  <c r="I516" i="1"/>
  <c r="G517" i="1"/>
  <c r="I517" i="1"/>
  <c r="G518" i="1"/>
  <c r="I518" i="1"/>
  <c r="E518" i="1"/>
  <c r="E513" i="1"/>
  <c r="E514" i="1"/>
  <c r="E515" i="1"/>
  <c r="E516" i="1"/>
  <c r="E517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E511" i="1"/>
  <c r="E512" i="1"/>
  <c r="E509" i="1"/>
  <c r="E510" i="1"/>
  <c r="E500" i="1"/>
  <c r="E501" i="1"/>
  <c r="E502" i="1"/>
  <c r="E503" i="1"/>
  <c r="E504" i="1"/>
  <c r="E505" i="1"/>
  <c r="E506" i="1"/>
  <c r="E507" i="1"/>
  <c r="E508" i="1"/>
  <c r="G498" i="1"/>
  <c r="I498" i="1"/>
  <c r="G499" i="1"/>
  <c r="I499" i="1"/>
  <c r="E498" i="1"/>
  <c r="E499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E497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G481" i="1"/>
  <c r="I481" i="1"/>
  <c r="G482" i="1"/>
  <c r="I482" i="1"/>
  <c r="G483" i="1"/>
  <c r="I483" i="1"/>
  <c r="G484" i="1"/>
  <c r="I484" i="1"/>
  <c r="E481" i="1"/>
  <c r="E482" i="1"/>
  <c r="E483" i="1"/>
  <c r="E484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E471" i="1"/>
  <c r="E472" i="1"/>
  <c r="E473" i="1"/>
  <c r="E474" i="1"/>
  <c r="E475" i="1"/>
  <c r="E476" i="1"/>
  <c r="E477" i="1"/>
  <c r="E478" i="1"/>
  <c r="E479" i="1"/>
  <c r="E480" i="1"/>
  <c r="G466" i="1"/>
  <c r="I466" i="1"/>
  <c r="G467" i="1"/>
  <c r="I467" i="1"/>
  <c r="G468" i="1"/>
  <c r="I468" i="1"/>
  <c r="G469" i="1"/>
  <c r="I469" i="1"/>
  <c r="G470" i="1"/>
  <c r="I470" i="1"/>
  <c r="E466" i="1"/>
  <c r="E467" i="1"/>
  <c r="E468" i="1"/>
  <c r="E469" i="1"/>
  <c r="E470" i="1"/>
  <c r="V3" i="4"/>
  <c r="H729" i="1" l="1"/>
  <c r="H721" i="1"/>
  <c r="J721" i="1" s="1"/>
  <c r="H717" i="1"/>
  <c r="J717" i="1" s="1"/>
  <c r="H719" i="1"/>
  <c r="J719" i="1" s="1"/>
  <c r="H718" i="1"/>
  <c r="J718" i="1" s="1"/>
  <c r="H727" i="1"/>
  <c r="J727" i="1" s="1"/>
  <c r="H723" i="1"/>
  <c r="J723" i="1" s="1"/>
  <c r="H713" i="1"/>
  <c r="J713" i="1" s="1"/>
  <c r="H722" i="1"/>
  <c r="J722" i="1" s="1"/>
  <c r="H706" i="1"/>
  <c r="J706" i="1" s="1"/>
  <c r="J729" i="1"/>
  <c r="H725" i="1"/>
  <c r="J725" i="1" s="1"/>
  <c r="H726" i="1"/>
  <c r="J726" i="1" s="1"/>
  <c r="H728" i="1"/>
  <c r="J728" i="1" s="1"/>
  <c r="H724" i="1"/>
  <c r="J724" i="1" s="1"/>
  <c r="H716" i="1"/>
  <c r="J716" i="1" s="1"/>
  <c r="H708" i="1"/>
  <c r="J708" i="1" s="1"/>
  <c r="H710" i="1"/>
  <c r="J710" i="1" s="1"/>
  <c r="H711" i="1"/>
  <c r="J711" i="1" s="1"/>
  <c r="H707" i="1"/>
  <c r="J707" i="1" s="1"/>
  <c r="H720" i="1"/>
  <c r="J720" i="1" s="1"/>
  <c r="H712" i="1"/>
  <c r="J712" i="1" s="1"/>
  <c r="H704" i="1"/>
  <c r="J704" i="1" s="1"/>
  <c r="H714" i="1"/>
  <c r="J714" i="1" s="1"/>
  <c r="H689" i="1"/>
  <c r="J689" i="1" s="1"/>
  <c r="H709" i="1"/>
  <c r="J709" i="1" s="1"/>
  <c r="H691" i="1"/>
  <c r="J691" i="1" s="1"/>
  <c r="H705" i="1"/>
  <c r="J705" i="1" s="1"/>
  <c r="H702" i="1"/>
  <c r="J702" i="1" s="1"/>
  <c r="H703" i="1"/>
  <c r="J703" i="1" s="1"/>
  <c r="H697" i="1"/>
  <c r="J697" i="1" s="1"/>
  <c r="H699" i="1"/>
  <c r="J699" i="1" s="1"/>
  <c r="H715" i="1"/>
  <c r="J715" i="1" s="1"/>
  <c r="H683" i="1"/>
  <c r="J683" i="1" s="1"/>
  <c r="H687" i="1"/>
  <c r="J687" i="1" s="1"/>
  <c r="H701" i="1"/>
  <c r="J701" i="1" s="1"/>
  <c r="H695" i="1"/>
  <c r="J695" i="1" s="1"/>
  <c r="H700" i="1"/>
  <c r="J700" i="1" s="1"/>
  <c r="H674" i="1"/>
  <c r="J674" i="1" s="1"/>
  <c r="H696" i="1"/>
  <c r="J696" i="1" s="1"/>
  <c r="H676" i="1"/>
  <c r="J676" i="1" s="1"/>
  <c r="H684" i="1"/>
  <c r="J684" i="1" s="1"/>
  <c r="H698" i="1"/>
  <c r="J698" i="1" s="1"/>
  <c r="H693" i="1"/>
  <c r="J693" i="1" s="1"/>
  <c r="H682" i="1"/>
  <c r="J682" i="1" s="1"/>
  <c r="H694" i="1"/>
  <c r="J694" i="1" s="1"/>
  <c r="H690" i="1"/>
  <c r="J690" i="1" s="1"/>
  <c r="H685" i="1"/>
  <c r="J685" i="1" s="1"/>
  <c r="H692" i="1"/>
  <c r="J692" i="1" s="1"/>
  <c r="H688" i="1"/>
  <c r="J688" i="1" s="1"/>
  <c r="H665" i="1"/>
  <c r="J665" i="1" s="1"/>
  <c r="H680" i="1"/>
  <c r="J680" i="1" s="1"/>
  <c r="H672" i="1"/>
  <c r="J672" i="1" s="1"/>
  <c r="H678" i="1"/>
  <c r="J678" i="1" s="1"/>
  <c r="H677" i="1"/>
  <c r="J677" i="1" s="1"/>
  <c r="H686" i="1"/>
  <c r="J686" i="1" s="1"/>
  <c r="H668" i="1"/>
  <c r="J668" i="1" s="1"/>
  <c r="H675" i="1"/>
  <c r="J675" i="1" s="1"/>
  <c r="H673" i="1"/>
  <c r="J673" i="1" s="1"/>
  <c r="H679" i="1"/>
  <c r="J679" i="1" s="1"/>
  <c r="H681" i="1"/>
  <c r="J681" i="1" s="1"/>
  <c r="H667" i="1"/>
  <c r="J667" i="1" s="1"/>
  <c r="H669" i="1"/>
  <c r="J669" i="1" s="1"/>
  <c r="H670" i="1"/>
  <c r="J670" i="1" s="1"/>
  <c r="H671" i="1"/>
  <c r="J671" i="1" s="1"/>
  <c r="H664" i="1"/>
  <c r="J664" i="1" s="1"/>
  <c r="H663" i="1"/>
  <c r="J663" i="1" s="1"/>
  <c r="H666" i="1"/>
  <c r="J666" i="1" s="1"/>
  <c r="H662" i="1"/>
  <c r="J662" i="1" s="1"/>
  <c r="H651" i="1"/>
  <c r="J651" i="1" s="1"/>
  <c r="H661" i="1"/>
  <c r="J661" i="1" s="1"/>
  <c r="H659" i="1"/>
  <c r="J659" i="1" s="1"/>
  <c r="H657" i="1"/>
  <c r="J657" i="1" s="1"/>
  <c r="H643" i="1"/>
  <c r="J643" i="1" s="1"/>
  <c r="H653" i="1"/>
  <c r="J653" i="1" s="1"/>
  <c r="H655" i="1"/>
  <c r="J655" i="1" s="1"/>
  <c r="H656" i="1"/>
  <c r="J656" i="1" s="1"/>
  <c r="H654" i="1"/>
  <c r="J654" i="1" s="1"/>
  <c r="H650" i="1"/>
  <c r="J650" i="1" s="1"/>
  <c r="H658" i="1"/>
  <c r="J658" i="1" s="1"/>
  <c r="H660" i="1"/>
  <c r="J660" i="1" s="1"/>
  <c r="H652" i="1"/>
  <c r="J652" i="1" s="1"/>
  <c r="H649" i="1"/>
  <c r="J649" i="1" s="1"/>
  <c r="H647" i="1"/>
  <c r="J647" i="1" s="1"/>
  <c r="H648" i="1"/>
  <c r="J648" i="1" s="1"/>
  <c r="H638" i="1"/>
  <c r="J638" i="1" s="1"/>
  <c r="H622" i="1"/>
  <c r="J622" i="1" s="1"/>
  <c r="H637" i="1"/>
  <c r="J637" i="1" s="1"/>
  <c r="H612" i="1"/>
  <c r="J612" i="1" s="1"/>
  <c r="H641" i="1"/>
  <c r="J641" i="1" s="1"/>
  <c r="H646" i="1"/>
  <c r="J646" i="1" s="1"/>
  <c r="H605" i="1"/>
  <c r="J605" i="1" s="1"/>
  <c r="H645" i="1"/>
  <c r="J645" i="1" s="1"/>
  <c r="H644" i="1"/>
  <c r="J644" i="1" s="1"/>
  <c r="H639" i="1"/>
  <c r="J639" i="1" s="1"/>
  <c r="H632" i="1"/>
  <c r="J632" i="1" s="1"/>
  <c r="H582" i="1"/>
  <c r="J582" i="1" s="1"/>
  <c r="H642" i="1"/>
  <c r="J642" i="1" s="1"/>
  <c r="H640" i="1"/>
  <c r="J640" i="1" s="1"/>
  <c r="H634" i="1"/>
  <c r="J634" i="1" s="1"/>
  <c r="H635" i="1"/>
  <c r="J635" i="1" s="1"/>
  <c r="H630" i="1"/>
  <c r="J630" i="1" s="1"/>
  <c r="H626" i="1"/>
  <c r="J626" i="1" s="1"/>
  <c r="H633" i="1"/>
  <c r="J633" i="1" s="1"/>
  <c r="H629" i="1"/>
  <c r="J629" i="1" s="1"/>
  <c r="H625" i="1"/>
  <c r="J625" i="1" s="1"/>
  <c r="H628" i="1"/>
  <c r="J628" i="1" s="1"/>
  <c r="H636" i="1"/>
  <c r="J636" i="1" s="1"/>
  <c r="H631" i="1"/>
  <c r="J631" i="1" s="1"/>
  <c r="H627" i="1"/>
  <c r="J627" i="1" s="1"/>
  <c r="H624" i="1"/>
  <c r="J624" i="1" s="1"/>
  <c r="H623" i="1"/>
  <c r="J623" i="1" s="1"/>
  <c r="H604" i="1"/>
  <c r="J604" i="1" s="1"/>
  <c r="H556" i="1"/>
  <c r="J556" i="1" s="1"/>
  <c r="H601" i="1"/>
  <c r="J601" i="1" s="1"/>
  <c r="H621" i="1"/>
  <c r="J621" i="1" s="1"/>
  <c r="H618" i="1"/>
  <c r="J618" i="1" s="1"/>
  <c r="H616" i="1"/>
  <c r="J616" i="1" s="1"/>
  <c r="H614" i="1"/>
  <c r="J614" i="1" s="1"/>
  <c r="H617" i="1"/>
  <c r="J617" i="1" s="1"/>
  <c r="H613" i="1"/>
  <c r="J613" i="1" s="1"/>
  <c r="H619" i="1"/>
  <c r="J619" i="1" s="1"/>
  <c r="H615" i="1"/>
  <c r="J615" i="1" s="1"/>
  <c r="H602" i="1"/>
  <c r="J602" i="1" s="1"/>
  <c r="H620" i="1"/>
  <c r="J620" i="1" s="1"/>
  <c r="H611" i="1"/>
  <c r="J611" i="1" s="1"/>
  <c r="H580" i="1"/>
  <c r="J580" i="1" s="1"/>
  <c r="H607" i="1"/>
  <c r="J607" i="1" s="1"/>
  <c r="H610" i="1"/>
  <c r="J610" i="1" s="1"/>
  <c r="H608" i="1"/>
  <c r="J608" i="1" s="1"/>
  <c r="H595" i="1"/>
  <c r="J595" i="1" s="1"/>
  <c r="H606" i="1"/>
  <c r="J606" i="1" s="1"/>
  <c r="H593" i="1"/>
  <c r="J593" i="1" s="1"/>
  <c r="H609" i="1"/>
  <c r="J609" i="1" s="1"/>
  <c r="H588" i="1"/>
  <c r="J588" i="1" s="1"/>
  <c r="H585" i="1"/>
  <c r="J585" i="1" s="1"/>
  <c r="H586" i="1"/>
  <c r="J586" i="1" s="1"/>
  <c r="H603" i="1"/>
  <c r="J603" i="1" s="1"/>
  <c r="H590" i="1"/>
  <c r="J590" i="1" s="1"/>
  <c r="H581" i="1"/>
  <c r="J581" i="1" s="1"/>
  <c r="H599" i="1"/>
  <c r="J599" i="1" s="1"/>
  <c r="H591" i="1"/>
  <c r="J591" i="1" s="1"/>
  <c r="H600" i="1"/>
  <c r="J600" i="1" s="1"/>
  <c r="H592" i="1"/>
  <c r="J592" i="1" s="1"/>
  <c r="H597" i="1"/>
  <c r="J597" i="1" s="1"/>
  <c r="H594" i="1"/>
  <c r="J594" i="1" s="1"/>
  <c r="J596" i="1"/>
  <c r="H598" i="1"/>
  <c r="J598" i="1" s="1"/>
  <c r="H584" i="1"/>
  <c r="J584" i="1" s="1"/>
  <c r="H589" i="1"/>
  <c r="J589" i="1" s="1"/>
  <c r="H583" i="1"/>
  <c r="J583" i="1" s="1"/>
  <c r="J587" i="1"/>
  <c r="H578" i="1"/>
  <c r="J578" i="1" s="1"/>
  <c r="H562" i="1"/>
  <c r="J562" i="1" s="1"/>
  <c r="H559" i="1"/>
  <c r="J559" i="1" s="1"/>
  <c r="H575" i="1"/>
  <c r="J575" i="1" s="1"/>
  <c r="H572" i="1"/>
  <c r="J572" i="1" s="1"/>
  <c r="H568" i="1"/>
  <c r="J568" i="1" s="1"/>
  <c r="H579" i="1"/>
  <c r="J579" i="1" s="1"/>
  <c r="H577" i="1"/>
  <c r="J577" i="1" s="1"/>
  <c r="H576" i="1"/>
  <c r="J576" i="1" s="1"/>
  <c r="H573" i="1"/>
  <c r="J573" i="1" s="1"/>
  <c r="H567" i="1"/>
  <c r="J567" i="1" s="1"/>
  <c r="H574" i="1"/>
  <c r="J574" i="1" s="1"/>
  <c r="H570" i="1"/>
  <c r="J570" i="1" s="1"/>
  <c r="H569" i="1"/>
  <c r="J569" i="1" s="1"/>
  <c r="H571" i="1"/>
  <c r="J571" i="1" s="1"/>
  <c r="H558" i="1"/>
  <c r="J558" i="1" s="1"/>
  <c r="H566" i="1"/>
  <c r="J566" i="1" s="1"/>
  <c r="H564" i="1"/>
  <c r="J564" i="1" s="1"/>
  <c r="H552" i="1"/>
  <c r="J552" i="1" s="1"/>
  <c r="H560" i="1"/>
  <c r="J560" i="1" s="1"/>
  <c r="H563" i="1"/>
  <c r="J563" i="1" s="1"/>
  <c r="H554" i="1"/>
  <c r="J554" i="1" s="1"/>
  <c r="H538" i="1"/>
  <c r="J538" i="1" s="1"/>
  <c r="H541" i="1"/>
  <c r="J541" i="1" s="1"/>
  <c r="H546" i="1"/>
  <c r="J546" i="1" s="1"/>
  <c r="H557" i="1"/>
  <c r="J557" i="1" s="1"/>
  <c r="H549" i="1"/>
  <c r="J549" i="1" s="1"/>
  <c r="H555" i="1"/>
  <c r="J555" i="1" s="1"/>
  <c r="H565" i="1"/>
  <c r="J565" i="1" s="1"/>
  <c r="H547" i="1"/>
  <c r="J547" i="1" s="1"/>
  <c r="H561" i="1"/>
  <c r="J561" i="1" s="1"/>
  <c r="H551" i="1"/>
  <c r="J551" i="1" s="1"/>
  <c r="H540" i="1"/>
  <c r="J540" i="1" s="1"/>
  <c r="H553" i="1"/>
  <c r="J553" i="1" s="1"/>
  <c r="H548" i="1"/>
  <c r="J548" i="1" s="1"/>
  <c r="H550" i="1"/>
  <c r="J550" i="1" s="1"/>
  <c r="H539" i="1"/>
  <c r="J539" i="1" s="1"/>
  <c r="H545" i="1"/>
  <c r="J545" i="1" s="1"/>
  <c r="H543" i="1"/>
  <c r="J543" i="1" s="1"/>
  <c r="H544" i="1"/>
  <c r="J544" i="1" s="1"/>
  <c r="H542" i="1"/>
  <c r="J542" i="1" s="1"/>
  <c r="H536" i="1"/>
  <c r="J536" i="1" s="1"/>
  <c r="H523" i="1"/>
  <c r="J523" i="1" s="1"/>
  <c r="H537" i="1"/>
  <c r="J537" i="1" s="1"/>
  <c r="H535" i="1"/>
  <c r="J535" i="1" s="1"/>
  <c r="H534" i="1"/>
  <c r="J534" i="1" s="1"/>
  <c r="H530" i="1"/>
  <c r="J530" i="1" s="1"/>
  <c r="H526" i="1"/>
  <c r="J526" i="1" s="1"/>
  <c r="H533" i="1"/>
  <c r="J533" i="1" s="1"/>
  <c r="H532" i="1"/>
  <c r="J532" i="1" s="1"/>
  <c r="H528" i="1"/>
  <c r="J528" i="1" s="1"/>
  <c r="H524" i="1"/>
  <c r="J524" i="1" s="1"/>
  <c r="H527" i="1"/>
  <c r="J527" i="1" s="1"/>
  <c r="H522" i="1"/>
  <c r="J522" i="1" s="1"/>
  <c r="H531" i="1"/>
  <c r="J531" i="1" s="1"/>
  <c r="H525" i="1"/>
  <c r="J525" i="1" s="1"/>
  <c r="H529" i="1"/>
  <c r="J529" i="1" s="1"/>
  <c r="H515" i="1"/>
  <c r="J515" i="1" s="1"/>
  <c r="H520" i="1"/>
  <c r="J520" i="1" s="1"/>
  <c r="H518" i="1"/>
  <c r="J518" i="1" s="1"/>
  <c r="H521" i="1"/>
  <c r="J521" i="1" s="1"/>
  <c r="H517" i="1"/>
  <c r="J517" i="1" s="1"/>
  <c r="H516" i="1"/>
  <c r="J516" i="1" s="1"/>
  <c r="H510" i="1"/>
  <c r="J510" i="1" s="1"/>
  <c r="H519" i="1"/>
  <c r="J519" i="1" s="1"/>
  <c r="H509" i="1"/>
  <c r="J509" i="1" s="1"/>
  <c r="H499" i="1"/>
  <c r="J499" i="1" s="1"/>
  <c r="H504" i="1"/>
  <c r="J504" i="1" s="1"/>
  <c r="H514" i="1"/>
  <c r="J514" i="1" s="1"/>
  <c r="H511" i="1"/>
  <c r="J511" i="1" s="1"/>
  <c r="H505" i="1"/>
  <c r="J505" i="1" s="1"/>
  <c r="H501" i="1"/>
  <c r="J501" i="1" s="1"/>
  <c r="H507" i="1"/>
  <c r="J507" i="1" s="1"/>
  <c r="H506" i="1"/>
  <c r="J506" i="1" s="1"/>
  <c r="H513" i="1"/>
  <c r="J513" i="1" s="1"/>
  <c r="H502" i="1"/>
  <c r="J502" i="1" s="1"/>
  <c r="H508" i="1"/>
  <c r="J508" i="1" s="1"/>
  <c r="H500" i="1"/>
  <c r="J500" i="1" s="1"/>
  <c r="H503" i="1"/>
  <c r="J503" i="1" s="1"/>
  <c r="H512" i="1"/>
  <c r="J512" i="1" s="1"/>
  <c r="H492" i="1"/>
  <c r="J492" i="1" s="1"/>
  <c r="H498" i="1"/>
  <c r="J498" i="1" s="1"/>
  <c r="H491" i="1"/>
  <c r="J491" i="1" s="1"/>
  <c r="H483" i="1"/>
  <c r="J483" i="1" s="1"/>
  <c r="H493" i="1"/>
  <c r="J493" i="1" s="1"/>
  <c r="H485" i="1"/>
  <c r="J485" i="1" s="1"/>
  <c r="H495" i="1"/>
  <c r="J495" i="1" s="1"/>
  <c r="H487" i="1"/>
  <c r="J487" i="1" s="1"/>
  <c r="H497" i="1"/>
  <c r="J497" i="1" s="1"/>
  <c r="H489" i="1"/>
  <c r="J489" i="1" s="1"/>
  <c r="H486" i="1"/>
  <c r="J486" i="1" s="1"/>
  <c r="H494" i="1"/>
  <c r="J494" i="1" s="1"/>
  <c r="H490" i="1"/>
  <c r="J490" i="1" s="1"/>
  <c r="H484" i="1"/>
  <c r="J484" i="1" s="1"/>
  <c r="H496" i="1"/>
  <c r="J496" i="1" s="1"/>
  <c r="H482" i="1"/>
  <c r="J482" i="1" s="1"/>
  <c r="H488" i="1"/>
  <c r="J488" i="1" s="1"/>
  <c r="H478" i="1"/>
  <c r="J478" i="1" s="1"/>
  <c r="H479" i="1"/>
  <c r="J479" i="1" s="1"/>
  <c r="H473" i="1"/>
  <c r="J473" i="1" s="1"/>
  <c r="H474" i="1"/>
  <c r="J474" i="1" s="1"/>
  <c r="H481" i="1"/>
  <c r="J481" i="1" s="1"/>
  <c r="H480" i="1"/>
  <c r="J480" i="1" s="1"/>
  <c r="H477" i="1"/>
  <c r="J477" i="1" s="1"/>
  <c r="H476" i="1"/>
  <c r="J476" i="1" s="1"/>
  <c r="H472" i="1"/>
  <c r="J472" i="1" s="1"/>
  <c r="H475" i="1"/>
  <c r="J475" i="1" s="1"/>
  <c r="H471" i="1"/>
  <c r="J471" i="1" s="1"/>
  <c r="H469" i="1"/>
  <c r="J469" i="1" s="1"/>
  <c r="H467" i="1"/>
  <c r="J467" i="1" s="1"/>
  <c r="H470" i="1"/>
  <c r="J470" i="1" s="1"/>
  <c r="H468" i="1"/>
  <c r="J468" i="1" s="1"/>
  <c r="H466" i="1"/>
  <c r="J466" i="1" s="1"/>
  <c r="G458" i="1" l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E458" i="1"/>
  <c r="E459" i="1"/>
  <c r="E460" i="1"/>
  <c r="E461" i="1"/>
  <c r="E462" i="1"/>
  <c r="E463" i="1"/>
  <c r="E464" i="1"/>
  <c r="E46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G441" i="1"/>
  <c r="I441" i="1"/>
  <c r="G442" i="1"/>
  <c r="I442" i="1"/>
  <c r="G443" i="1"/>
  <c r="I443" i="1"/>
  <c r="G444" i="1"/>
  <c r="I444" i="1"/>
  <c r="G445" i="1"/>
  <c r="I445" i="1"/>
  <c r="E445" i="1"/>
  <c r="E441" i="1"/>
  <c r="E442" i="1"/>
  <c r="E443" i="1"/>
  <c r="E444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E431" i="1"/>
  <c r="E432" i="1"/>
  <c r="E433" i="1"/>
  <c r="E434" i="1"/>
  <c r="E435" i="1"/>
  <c r="E436" i="1"/>
  <c r="E437" i="1"/>
  <c r="E438" i="1"/>
  <c r="E439" i="1"/>
  <c r="E440" i="1"/>
  <c r="G426" i="1"/>
  <c r="I426" i="1"/>
  <c r="G427" i="1"/>
  <c r="I427" i="1"/>
  <c r="G428" i="1"/>
  <c r="I428" i="1"/>
  <c r="G429" i="1"/>
  <c r="I429" i="1"/>
  <c r="G430" i="1"/>
  <c r="I430" i="1"/>
  <c r="E426" i="1"/>
  <c r="E427" i="1"/>
  <c r="E428" i="1"/>
  <c r="E429" i="1"/>
  <c r="E430" i="1"/>
  <c r="E425" i="1"/>
  <c r="G425" i="1"/>
  <c r="I425" i="1"/>
  <c r="G424" i="1"/>
  <c r="I424" i="1"/>
  <c r="E424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E416" i="1"/>
  <c r="E417" i="1"/>
  <c r="E418" i="1"/>
  <c r="E419" i="1"/>
  <c r="E420" i="1"/>
  <c r="E421" i="1"/>
  <c r="E422" i="1"/>
  <c r="E423" i="1"/>
  <c r="V4" i="4"/>
  <c r="G411" i="1"/>
  <c r="I411" i="1"/>
  <c r="G412" i="1"/>
  <c r="I412" i="1"/>
  <c r="G413" i="1"/>
  <c r="I413" i="1"/>
  <c r="G414" i="1"/>
  <c r="I414" i="1"/>
  <c r="G415" i="1"/>
  <c r="I415" i="1"/>
  <c r="E411" i="1"/>
  <c r="E412" i="1"/>
  <c r="E413" i="1"/>
  <c r="E414" i="1"/>
  <c r="E415" i="1"/>
  <c r="G407" i="1"/>
  <c r="I407" i="1"/>
  <c r="G408" i="1"/>
  <c r="I408" i="1"/>
  <c r="G409" i="1"/>
  <c r="I409" i="1"/>
  <c r="G410" i="1"/>
  <c r="I410" i="1"/>
  <c r="E407" i="1"/>
  <c r="E408" i="1"/>
  <c r="E409" i="1"/>
  <c r="E410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E396" i="1"/>
  <c r="E397" i="1"/>
  <c r="E398" i="1"/>
  <c r="E399" i="1"/>
  <c r="E400" i="1"/>
  <c r="E401" i="1"/>
  <c r="E402" i="1"/>
  <c r="E403" i="1"/>
  <c r="E404" i="1"/>
  <c r="E405" i="1"/>
  <c r="E406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H395" i="1" s="1"/>
  <c r="E372" i="1"/>
  <c r="E371" i="1"/>
  <c r="E370" i="1"/>
  <c r="E369" i="1"/>
  <c r="E368" i="1"/>
  <c r="E367" i="1"/>
  <c r="E366" i="1"/>
  <c r="E365" i="1"/>
  <c r="E364" i="1"/>
  <c r="E363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H372" i="1" s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E380" i="1"/>
  <c r="E373" i="1"/>
  <c r="E374" i="1"/>
  <c r="E375" i="1"/>
  <c r="E376" i="1"/>
  <c r="E377" i="1"/>
  <c r="E378" i="1"/>
  <c r="E379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E358" i="1"/>
  <c r="E359" i="1"/>
  <c r="E360" i="1"/>
  <c r="E361" i="1"/>
  <c r="E362" i="1"/>
  <c r="H428" i="1" l="1"/>
  <c r="H459" i="1"/>
  <c r="H456" i="1"/>
  <c r="J456" i="1" s="1"/>
  <c r="H448" i="1"/>
  <c r="J448" i="1" s="1"/>
  <c r="H460" i="1"/>
  <c r="J460" i="1" s="1"/>
  <c r="V5" i="4"/>
  <c r="V6" i="4" s="1"/>
  <c r="H461" i="1"/>
  <c r="J461" i="1" s="1"/>
  <c r="H465" i="1"/>
  <c r="J465" i="1" s="1"/>
  <c r="H452" i="1"/>
  <c r="J452" i="1" s="1"/>
  <c r="H463" i="1"/>
  <c r="J463" i="1" s="1"/>
  <c r="H443" i="1"/>
  <c r="J443" i="1" s="1"/>
  <c r="H464" i="1"/>
  <c r="J464" i="1" s="1"/>
  <c r="H458" i="1"/>
  <c r="J458" i="1" s="1"/>
  <c r="H453" i="1"/>
  <c r="J453" i="1" s="1"/>
  <c r="H462" i="1"/>
  <c r="J462" i="1" s="1"/>
  <c r="J459" i="1"/>
  <c r="H449" i="1"/>
  <c r="J449" i="1" s="1"/>
  <c r="H447" i="1"/>
  <c r="J447" i="1" s="1"/>
  <c r="H454" i="1"/>
  <c r="J454" i="1" s="1"/>
  <c r="H450" i="1"/>
  <c r="J450" i="1" s="1"/>
  <c r="H446" i="1"/>
  <c r="J446" i="1" s="1"/>
  <c r="H455" i="1"/>
  <c r="J455" i="1" s="1"/>
  <c r="H451" i="1"/>
  <c r="J451" i="1" s="1"/>
  <c r="H442" i="1"/>
  <c r="J442" i="1" s="1"/>
  <c r="H457" i="1"/>
  <c r="J457" i="1" s="1"/>
  <c r="H430" i="1"/>
  <c r="J430" i="1" s="1"/>
  <c r="H438" i="1"/>
  <c r="J438" i="1" s="1"/>
  <c r="H436" i="1"/>
  <c r="J436" i="1" s="1"/>
  <c r="H445" i="1"/>
  <c r="J445" i="1" s="1"/>
  <c r="H441" i="1"/>
  <c r="J441" i="1" s="1"/>
  <c r="H434" i="1"/>
  <c r="J434" i="1" s="1"/>
  <c r="H444" i="1"/>
  <c r="J444" i="1" s="1"/>
  <c r="H437" i="1"/>
  <c r="J437" i="1" s="1"/>
  <c r="H440" i="1"/>
  <c r="J440" i="1" s="1"/>
  <c r="H419" i="1"/>
  <c r="J419" i="1" s="1"/>
  <c r="H433" i="1"/>
  <c r="J433" i="1" s="1"/>
  <c r="H439" i="1"/>
  <c r="J439" i="1" s="1"/>
  <c r="H435" i="1"/>
  <c r="J435" i="1" s="1"/>
  <c r="H431" i="1"/>
  <c r="J431" i="1" s="1"/>
  <c r="H429" i="1"/>
  <c r="J429" i="1" s="1"/>
  <c r="H432" i="1"/>
  <c r="J432" i="1" s="1"/>
  <c r="H418" i="1"/>
  <c r="J418" i="1" s="1"/>
  <c r="H427" i="1"/>
  <c r="J427" i="1" s="1"/>
  <c r="H426" i="1"/>
  <c r="J426" i="1" s="1"/>
  <c r="J428" i="1"/>
  <c r="H420" i="1"/>
  <c r="J420" i="1" s="1"/>
  <c r="H422" i="1"/>
  <c r="J422" i="1" s="1"/>
  <c r="H415" i="1"/>
  <c r="J415" i="1" s="1"/>
  <c r="H421" i="1"/>
  <c r="J421" i="1" s="1"/>
  <c r="H417" i="1"/>
  <c r="J417" i="1" s="1"/>
  <c r="H413" i="1"/>
  <c r="J413" i="1" s="1"/>
  <c r="H396" i="1"/>
  <c r="J396" i="1" s="1"/>
  <c r="H409" i="1"/>
  <c r="J409" i="1" s="1"/>
  <c r="H423" i="1"/>
  <c r="J423" i="1" s="1"/>
  <c r="H416" i="1"/>
  <c r="J416" i="1" s="1"/>
  <c r="H424" i="1"/>
  <c r="J424" i="1" s="1"/>
  <c r="H425" i="1"/>
  <c r="J425" i="1" s="1"/>
  <c r="H411" i="1"/>
  <c r="J411" i="1" s="1"/>
  <c r="H412" i="1"/>
  <c r="J412" i="1" s="1"/>
  <c r="H376" i="1"/>
  <c r="J376" i="1" s="1"/>
  <c r="H408" i="1"/>
  <c r="J408" i="1" s="1"/>
  <c r="H414" i="1"/>
  <c r="J414" i="1" s="1"/>
  <c r="H405" i="1"/>
  <c r="J405" i="1" s="1"/>
  <c r="H401" i="1"/>
  <c r="J401" i="1" s="1"/>
  <c r="H397" i="1"/>
  <c r="J397" i="1" s="1"/>
  <c r="H410" i="1"/>
  <c r="J410" i="1" s="1"/>
  <c r="H407" i="1"/>
  <c r="J407" i="1" s="1"/>
  <c r="H400" i="1"/>
  <c r="J400" i="1" s="1"/>
  <c r="H404" i="1"/>
  <c r="J404" i="1" s="1"/>
  <c r="H403" i="1"/>
  <c r="J403" i="1" s="1"/>
  <c r="H406" i="1"/>
  <c r="J406" i="1" s="1"/>
  <c r="H369" i="1"/>
  <c r="J369" i="1" s="1"/>
  <c r="H402" i="1"/>
  <c r="J402" i="1" s="1"/>
  <c r="H398" i="1"/>
  <c r="J398" i="1" s="1"/>
  <c r="H399" i="1"/>
  <c r="J399" i="1" s="1"/>
  <c r="H377" i="1"/>
  <c r="J377" i="1" s="1"/>
  <c r="H375" i="1"/>
  <c r="J375" i="1" s="1"/>
  <c r="H391" i="1"/>
  <c r="J391" i="1" s="1"/>
  <c r="H387" i="1"/>
  <c r="J387" i="1" s="1"/>
  <c r="H383" i="1"/>
  <c r="J383" i="1" s="1"/>
  <c r="H388" i="1"/>
  <c r="J388" i="1" s="1"/>
  <c r="H394" i="1"/>
  <c r="J394" i="1" s="1"/>
  <c r="H386" i="1"/>
  <c r="J386" i="1" s="1"/>
  <c r="H379" i="1"/>
  <c r="J379" i="1" s="1"/>
  <c r="H365" i="1"/>
  <c r="J365" i="1" s="1"/>
  <c r="H393" i="1"/>
  <c r="J393" i="1" s="1"/>
  <c r="H389" i="1"/>
  <c r="J389" i="1" s="1"/>
  <c r="H385" i="1"/>
  <c r="J385" i="1" s="1"/>
  <c r="H381" i="1"/>
  <c r="J381" i="1" s="1"/>
  <c r="H384" i="1"/>
  <c r="J384" i="1" s="1"/>
  <c r="H390" i="1"/>
  <c r="J390" i="1" s="1"/>
  <c r="J395" i="1"/>
  <c r="H392" i="1"/>
  <c r="J392" i="1" s="1"/>
  <c r="H370" i="1"/>
  <c r="J370" i="1" s="1"/>
  <c r="H382" i="1"/>
  <c r="J382" i="1" s="1"/>
  <c r="H364" i="1"/>
  <c r="J364" i="1" s="1"/>
  <c r="H371" i="1"/>
  <c r="J371" i="1" s="1"/>
  <c r="H367" i="1"/>
  <c r="J367" i="1" s="1"/>
  <c r="H374" i="1"/>
  <c r="J374" i="1" s="1"/>
  <c r="H368" i="1"/>
  <c r="J368" i="1" s="1"/>
  <c r="H380" i="1"/>
  <c r="J380" i="1" s="1"/>
  <c r="H366" i="1"/>
  <c r="J366" i="1" s="1"/>
  <c r="H360" i="1"/>
  <c r="J360" i="1" s="1"/>
  <c r="H373" i="1"/>
  <c r="J373" i="1" s="1"/>
  <c r="H378" i="1"/>
  <c r="J378" i="1" s="1"/>
  <c r="J372" i="1"/>
  <c r="H361" i="1"/>
  <c r="J361" i="1" s="1"/>
  <c r="H359" i="1"/>
  <c r="J359" i="1" s="1"/>
  <c r="H363" i="1"/>
  <c r="J363" i="1" s="1"/>
  <c r="H362" i="1"/>
  <c r="J362" i="1" s="1"/>
  <c r="H358" i="1"/>
  <c r="J358" i="1" s="1"/>
  <c r="I352" i="1" l="1"/>
  <c r="G357" i="1"/>
  <c r="G356" i="1"/>
  <c r="G355" i="1"/>
  <c r="G354" i="1"/>
  <c r="G353" i="1"/>
  <c r="G352" i="1"/>
  <c r="E357" i="1"/>
  <c r="E356" i="1"/>
  <c r="E355" i="1"/>
  <c r="E354" i="1"/>
  <c r="E353" i="1"/>
  <c r="E352" i="1"/>
  <c r="I353" i="1"/>
  <c r="I354" i="1"/>
  <c r="I355" i="1"/>
  <c r="I356" i="1"/>
  <c r="I357" i="1"/>
  <c r="E348" i="1"/>
  <c r="E347" i="1"/>
  <c r="E346" i="1"/>
  <c r="E345" i="1"/>
  <c r="E344" i="1"/>
  <c r="E343" i="1"/>
  <c r="E342" i="1"/>
  <c r="E341" i="1"/>
  <c r="E340" i="1"/>
  <c r="G340" i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E349" i="1"/>
  <c r="E350" i="1"/>
  <c r="E351" i="1"/>
  <c r="H340" i="1" l="1"/>
  <c r="H347" i="1"/>
  <c r="H355" i="1"/>
  <c r="H345" i="1"/>
  <c r="J345" i="1" s="1"/>
  <c r="H357" i="1"/>
  <c r="J357" i="1" s="1"/>
  <c r="H341" i="1"/>
  <c r="J341" i="1" s="1"/>
  <c r="H348" i="1"/>
  <c r="J348" i="1" s="1"/>
  <c r="H356" i="1"/>
  <c r="J356" i="1" s="1"/>
  <c r="H349" i="1"/>
  <c r="J349" i="1" s="1"/>
  <c r="H353" i="1"/>
  <c r="J353" i="1" s="1"/>
  <c r="H343" i="1"/>
  <c r="J343" i="1" s="1"/>
  <c r="H350" i="1"/>
  <c r="J350" i="1" s="1"/>
  <c r="H352" i="1"/>
  <c r="J352" i="1" s="1"/>
  <c r="H354" i="1"/>
  <c r="J354" i="1" s="1"/>
  <c r="J355" i="1"/>
  <c r="H351" i="1"/>
  <c r="J351" i="1" s="1"/>
  <c r="H346" i="1"/>
  <c r="J346" i="1" s="1"/>
  <c r="H342" i="1"/>
  <c r="J342" i="1" s="1"/>
  <c r="H344" i="1"/>
  <c r="J344" i="1" s="1"/>
  <c r="J340" i="1"/>
  <c r="J347" i="1"/>
  <c r="G336" i="1" l="1"/>
  <c r="I336" i="1"/>
  <c r="G337" i="1"/>
  <c r="I337" i="1"/>
  <c r="G338" i="1"/>
  <c r="I338" i="1"/>
  <c r="G339" i="1"/>
  <c r="I339" i="1"/>
  <c r="E336" i="1"/>
  <c r="E337" i="1"/>
  <c r="E338" i="1"/>
  <c r="E339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G320" i="1"/>
  <c r="I320" i="1"/>
  <c r="G321" i="1"/>
  <c r="I321" i="1"/>
  <c r="G322" i="1"/>
  <c r="I322" i="1"/>
  <c r="G323" i="1"/>
  <c r="I323" i="1"/>
  <c r="E320" i="1"/>
  <c r="E321" i="1"/>
  <c r="E322" i="1"/>
  <c r="E323" i="1"/>
  <c r="I319" i="1"/>
  <c r="I318" i="1"/>
  <c r="I317" i="1"/>
  <c r="I316" i="1"/>
  <c r="I315" i="1"/>
  <c r="I314" i="1"/>
  <c r="I313" i="1"/>
  <c r="I312" i="1"/>
  <c r="G319" i="1"/>
  <c r="G318" i="1"/>
  <c r="G317" i="1"/>
  <c r="G316" i="1"/>
  <c r="G315" i="1"/>
  <c r="G314" i="1"/>
  <c r="G313" i="1"/>
  <c r="G312" i="1"/>
  <c r="G311" i="1"/>
  <c r="E319" i="1"/>
  <c r="E318" i="1"/>
  <c r="E317" i="1"/>
  <c r="E316" i="1"/>
  <c r="E315" i="1"/>
  <c r="E314" i="1"/>
  <c r="E313" i="1"/>
  <c r="E312" i="1"/>
  <c r="E311" i="1"/>
  <c r="V8" i="4"/>
  <c r="E309" i="1"/>
  <c r="E308" i="1"/>
  <c r="E307" i="1"/>
  <c r="E306" i="1"/>
  <c r="G306" i="1"/>
  <c r="I306" i="1"/>
  <c r="G307" i="1"/>
  <c r="I307" i="1"/>
  <c r="G308" i="1"/>
  <c r="I308" i="1"/>
  <c r="G309" i="1"/>
  <c r="I309" i="1"/>
  <c r="G310" i="1"/>
  <c r="I310" i="1"/>
  <c r="I311" i="1"/>
  <c r="E310" i="1"/>
  <c r="H320" i="1" l="1"/>
  <c r="J320" i="1" s="1"/>
  <c r="H332" i="1"/>
  <c r="J332" i="1" s="1"/>
  <c r="H338" i="1"/>
  <c r="J338" i="1" s="1"/>
  <c r="H306" i="1"/>
  <c r="J306" i="1" s="1"/>
  <c r="H313" i="1"/>
  <c r="J313" i="1" s="1"/>
  <c r="H333" i="1"/>
  <c r="J333" i="1" s="1"/>
  <c r="H339" i="1"/>
  <c r="J339" i="1" s="1"/>
  <c r="H328" i="1"/>
  <c r="J328" i="1" s="1"/>
  <c r="H334" i="1"/>
  <c r="J334" i="1" s="1"/>
  <c r="H314" i="1"/>
  <c r="J314" i="1" s="1"/>
  <c r="H335" i="1"/>
  <c r="J335" i="1" s="1"/>
  <c r="H331" i="1"/>
  <c r="J331" i="1" s="1"/>
  <c r="H330" i="1"/>
  <c r="J330" i="1" s="1"/>
  <c r="H337" i="1"/>
  <c r="J337" i="1" s="1"/>
  <c r="H322" i="1"/>
  <c r="J322" i="1" s="1"/>
  <c r="H327" i="1"/>
  <c r="J327" i="1" s="1"/>
  <c r="H336" i="1"/>
  <c r="J336" i="1" s="1"/>
  <c r="H309" i="1"/>
  <c r="J309" i="1" s="1"/>
  <c r="H329" i="1"/>
  <c r="J329" i="1" s="1"/>
  <c r="H325" i="1"/>
  <c r="J325" i="1" s="1"/>
  <c r="H326" i="1"/>
  <c r="J326" i="1" s="1"/>
  <c r="H321" i="1"/>
  <c r="J321" i="1" s="1"/>
  <c r="H316" i="1"/>
  <c r="J316" i="1" s="1"/>
  <c r="H324" i="1"/>
  <c r="J324" i="1" s="1"/>
  <c r="H323" i="1"/>
  <c r="J323" i="1" s="1"/>
  <c r="H310" i="1"/>
  <c r="J310" i="1" s="1"/>
  <c r="H317" i="1"/>
  <c r="J317" i="1" s="1"/>
  <c r="H318" i="1"/>
  <c r="J318" i="1" s="1"/>
  <c r="H311" i="1"/>
  <c r="J311" i="1" s="1"/>
  <c r="H312" i="1"/>
  <c r="J312" i="1" s="1"/>
  <c r="H315" i="1"/>
  <c r="J315" i="1" s="1"/>
  <c r="H319" i="1"/>
  <c r="J319" i="1" s="1"/>
  <c r="H307" i="1"/>
  <c r="J307" i="1" s="1"/>
  <c r="H308" i="1"/>
  <c r="J308" i="1" s="1"/>
  <c r="P3" i="5" l="1"/>
  <c r="P2" i="5"/>
  <c r="O3" i="5"/>
  <c r="O2" i="5"/>
  <c r="G303" i="4"/>
  <c r="I303" i="4"/>
  <c r="I305" i="1"/>
  <c r="I304" i="1"/>
  <c r="I303" i="1"/>
  <c r="I302" i="1"/>
  <c r="I301" i="1"/>
  <c r="G305" i="1"/>
  <c r="G304" i="1"/>
  <c r="G303" i="1"/>
  <c r="G302" i="1"/>
  <c r="G301" i="1"/>
  <c r="E302" i="1"/>
  <c r="E301" i="1"/>
  <c r="E303" i="1"/>
  <c r="E304" i="1"/>
  <c r="E305" i="1"/>
  <c r="H302" i="1" l="1"/>
  <c r="J302" i="1" s="1"/>
  <c r="H305" i="1"/>
  <c r="J305" i="1" s="1"/>
  <c r="H301" i="1"/>
  <c r="J301" i="1" s="1"/>
  <c r="H304" i="1"/>
  <c r="J304" i="1" s="1"/>
  <c r="H303" i="1"/>
  <c r="J303" i="1" s="1"/>
  <c r="G290" i="1" l="1"/>
  <c r="G288" i="1"/>
  <c r="E300" i="1"/>
  <c r="E299" i="1"/>
  <c r="E298" i="1"/>
  <c r="E297" i="1"/>
  <c r="E296" i="1"/>
  <c r="E295" i="1"/>
  <c r="E294" i="1"/>
  <c r="E293" i="1"/>
  <c r="E292" i="1"/>
  <c r="E291" i="1"/>
  <c r="E290" i="1"/>
  <c r="H290" i="1" s="1"/>
  <c r="E289" i="1"/>
  <c r="E288" i="1"/>
  <c r="I288" i="1"/>
  <c r="G289" i="1"/>
  <c r="I289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H299" i="1" s="1"/>
  <c r="I299" i="1"/>
  <c r="G300" i="1"/>
  <c r="I300" i="1"/>
  <c r="J4" i="5"/>
  <c r="L3" i="5"/>
  <c r="O4" i="5"/>
  <c r="I287" i="1"/>
  <c r="I286" i="1"/>
  <c r="I285" i="1"/>
  <c r="I284" i="1"/>
  <c r="G287" i="1"/>
  <c r="G286" i="1"/>
  <c r="G285" i="1"/>
  <c r="G284" i="1"/>
  <c r="G283" i="1"/>
  <c r="E287" i="1"/>
  <c r="E286" i="1"/>
  <c r="E285" i="1"/>
  <c r="E284" i="1"/>
  <c r="H293" i="1" l="1"/>
  <c r="J293" i="1" s="1"/>
  <c r="H288" i="1"/>
  <c r="H291" i="1"/>
  <c r="H284" i="1"/>
  <c r="J284" i="1" s="1"/>
  <c r="H285" i="1"/>
  <c r="J285" i="1" s="1"/>
  <c r="H298" i="1"/>
  <c r="J298" i="1" s="1"/>
  <c r="H296" i="1"/>
  <c r="J296" i="1" s="1"/>
  <c r="H295" i="1"/>
  <c r="J295" i="1" s="1"/>
  <c r="H292" i="1"/>
  <c r="J292" i="1" s="1"/>
  <c r="H300" i="1"/>
  <c r="J300" i="1" s="1"/>
  <c r="H297" i="1"/>
  <c r="J297" i="1" s="1"/>
  <c r="H289" i="1"/>
  <c r="J289" i="1" s="1"/>
  <c r="H294" i="1"/>
  <c r="J294" i="1" s="1"/>
  <c r="J288" i="1"/>
  <c r="J291" i="1"/>
  <c r="J290" i="1"/>
  <c r="J299" i="1"/>
  <c r="H286" i="1"/>
  <c r="J286" i="1" s="1"/>
  <c r="H287" i="1"/>
  <c r="J287" i="1" s="1"/>
  <c r="E277" i="1" l="1"/>
  <c r="E275" i="1"/>
  <c r="E274" i="1"/>
  <c r="G274" i="1"/>
  <c r="I274" i="1"/>
  <c r="G275" i="1"/>
  <c r="I275" i="1"/>
  <c r="G276" i="1"/>
  <c r="I276" i="1"/>
  <c r="G277" i="1"/>
  <c r="H277" i="1" s="1"/>
  <c r="I277" i="1"/>
  <c r="G278" i="1"/>
  <c r="I278" i="1"/>
  <c r="G279" i="1"/>
  <c r="I279" i="1"/>
  <c r="G280" i="1"/>
  <c r="I280" i="1"/>
  <c r="G281" i="1"/>
  <c r="I281" i="1"/>
  <c r="G282" i="1"/>
  <c r="I282" i="1"/>
  <c r="I283" i="1"/>
  <c r="E283" i="1"/>
  <c r="H283" i="1" s="1"/>
  <c r="E276" i="1"/>
  <c r="E278" i="1"/>
  <c r="E279" i="1"/>
  <c r="E280" i="1"/>
  <c r="E281" i="1"/>
  <c r="E282" i="1"/>
  <c r="I273" i="1"/>
  <c r="I272" i="1"/>
  <c r="I271" i="1"/>
  <c r="I270" i="1"/>
  <c r="G273" i="1"/>
  <c r="G272" i="1"/>
  <c r="G271" i="1"/>
  <c r="G270" i="1"/>
  <c r="E272" i="1"/>
  <c r="E271" i="1"/>
  <c r="E270" i="1"/>
  <c r="E273" i="1"/>
  <c r="H276" i="1" l="1"/>
  <c r="J276" i="1" s="1"/>
  <c r="H280" i="1"/>
  <c r="H274" i="1"/>
  <c r="J274" i="1" s="1"/>
  <c r="H278" i="1"/>
  <c r="J278" i="1" s="1"/>
  <c r="H281" i="1"/>
  <c r="J281" i="1" s="1"/>
  <c r="H270" i="1"/>
  <c r="J270" i="1" s="1"/>
  <c r="H271" i="1"/>
  <c r="J271" i="1" s="1"/>
  <c r="H272" i="1"/>
  <c r="J272" i="1" s="1"/>
  <c r="H273" i="1"/>
  <c r="J273" i="1" s="1"/>
  <c r="H282" i="1"/>
  <c r="J282" i="1" s="1"/>
  <c r="H279" i="1"/>
  <c r="J279" i="1" s="1"/>
  <c r="H275" i="1"/>
  <c r="J275" i="1" s="1"/>
  <c r="J280" i="1"/>
  <c r="J283" i="1"/>
  <c r="J277" i="1"/>
  <c r="E268" i="1" l="1"/>
  <c r="E267" i="1"/>
  <c r="E266" i="1"/>
  <c r="E265" i="1"/>
  <c r="E264" i="1"/>
  <c r="E263" i="1"/>
  <c r="E262" i="1"/>
  <c r="E261" i="1"/>
  <c r="E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E269" i="1"/>
  <c r="I258" i="1"/>
  <c r="I260" i="1"/>
  <c r="I259" i="1"/>
  <c r="I257" i="1"/>
  <c r="G260" i="1"/>
  <c r="H260" i="1" s="1"/>
  <c r="G259" i="1"/>
  <c r="G258" i="1"/>
  <c r="G257" i="1"/>
  <c r="E259" i="1"/>
  <c r="E258" i="1"/>
  <c r="E257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6" i="1"/>
  <c r="I255" i="1"/>
  <c r="I254" i="1"/>
  <c r="I253" i="1"/>
  <c r="I252" i="1"/>
  <c r="I251" i="1"/>
  <c r="I250" i="1"/>
  <c r="I249" i="1"/>
  <c r="I248" i="1"/>
  <c r="I247" i="1"/>
  <c r="G256" i="1"/>
  <c r="G255" i="1"/>
  <c r="G254" i="1"/>
  <c r="G253" i="1"/>
  <c r="G252" i="1"/>
  <c r="G251" i="1"/>
  <c r="G250" i="1"/>
  <c r="G249" i="1"/>
  <c r="E255" i="1"/>
  <c r="E254" i="1"/>
  <c r="E253" i="1"/>
  <c r="E252" i="1"/>
  <c r="E251" i="1"/>
  <c r="E250" i="1"/>
  <c r="E249" i="1"/>
  <c r="E256" i="1"/>
  <c r="G247" i="1"/>
  <c r="G246" i="1"/>
  <c r="G244" i="1"/>
  <c r="G243" i="1"/>
  <c r="G242" i="1"/>
  <c r="G241" i="1"/>
  <c r="G240" i="1"/>
  <c r="G239" i="1"/>
  <c r="G238" i="1"/>
  <c r="G237" i="1"/>
  <c r="G236" i="1"/>
  <c r="I236" i="1"/>
  <c r="I237" i="1"/>
  <c r="I238" i="1"/>
  <c r="I239" i="1"/>
  <c r="I240" i="1"/>
  <c r="I241" i="1"/>
  <c r="I242" i="1"/>
  <c r="I243" i="1"/>
  <c r="I244" i="1"/>
  <c r="G245" i="1"/>
  <c r="I245" i="1"/>
  <c r="I246" i="1"/>
  <c r="G248" i="1"/>
  <c r="E241" i="1"/>
  <c r="E240" i="1"/>
  <c r="E239" i="1"/>
  <c r="E238" i="1"/>
  <c r="E237" i="1"/>
  <c r="E236" i="1"/>
  <c r="E242" i="1"/>
  <c r="E243" i="1"/>
  <c r="E244" i="1"/>
  <c r="E245" i="1"/>
  <c r="E246" i="1"/>
  <c r="E247" i="1"/>
  <c r="E248" i="1"/>
  <c r="H261" i="1" l="1"/>
  <c r="H269" i="1"/>
  <c r="J269" i="1" s="1"/>
  <c r="H238" i="1"/>
  <c r="J238" i="1" s="1"/>
  <c r="H252" i="1"/>
  <c r="J252" i="1" s="1"/>
  <c r="H264" i="1"/>
  <c r="J264" i="1" s="1"/>
  <c r="H257" i="1"/>
  <c r="J257" i="1" s="1"/>
  <c r="H262" i="1"/>
  <c r="J262" i="1" s="1"/>
  <c r="H267" i="1"/>
  <c r="J267" i="1" s="1"/>
  <c r="H265" i="1"/>
  <c r="J265" i="1" s="1"/>
  <c r="H254" i="1"/>
  <c r="J254" i="1" s="1"/>
  <c r="H263" i="1"/>
  <c r="J263" i="1" s="1"/>
  <c r="H266" i="1"/>
  <c r="J266" i="1" s="1"/>
  <c r="H256" i="1"/>
  <c r="J256" i="1" s="1"/>
  <c r="H236" i="1"/>
  <c r="J236" i="1" s="1"/>
  <c r="H240" i="1"/>
  <c r="J240" i="1" s="1"/>
  <c r="H250" i="1"/>
  <c r="J250" i="1" s="1"/>
  <c r="H242" i="1"/>
  <c r="J242" i="1" s="1"/>
  <c r="H258" i="1"/>
  <c r="J258" i="1" s="1"/>
  <c r="H253" i="1"/>
  <c r="J253" i="1" s="1"/>
  <c r="H259" i="1"/>
  <c r="J259" i="1" s="1"/>
  <c r="H268" i="1"/>
  <c r="J268" i="1" s="1"/>
  <c r="H255" i="1"/>
  <c r="J255" i="1" s="1"/>
  <c r="J261" i="1"/>
  <c r="H251" i="1"/>
  <c r="J251" i="1" s="1"/>
  <c r="H244" i="1"/>
  <c r="J244" i="1" s="1"/>
  <c r="H241" i="1"/>
  <c r="J241" i="1" s="1"/>
  <c r="H237" i="1"/>
  <c r="J237" i="1" s="1"/>
  <c r="H248" i="1"/>
  <c r="J248" i="1" s="1"/>
  <c r="H247" i="1"/>
  <c r="J247" i="1" s="1"/>
  <c r="H239" i="1"/>
  <c r="J239" i="1" s="1"/>
  <c r="J260" i="1"/>
  <c r="H243" i="1"/>
  <c r="J243" i="1" s="1"/>
  <c r="H249" i="1"/>
  <c r="J249" i="1" s="1"/>
  <c r="H245" i="1"/>
  <c r="J245" i="1" s="1"/>
  <c r="H246" i="1"/>
  <c r="J246" i="1" s="1"/>
  <c r="I235" i="1" l="1"/>
  <c r="I234" i="1"/>
  <c r="I233" i="1"/>
  <c r="I232" i="1"/>
  <c r="I231" i="1"/>
  <c r="E235" i="1"/>
  <c r="E234" i="1"/>
  <c r="E233" i="1"/>
  <c r="E232" i="1"/>
  <c r="E231" i="1"/>
  <c r="G235" i="1"/>
  <c r="G234" i="1"/>
  <c r="G233" i="1"/>
  <c r="G232" i="1"/>
  <c r="H232" i="1" s="1"/>
  <c r="I224" i="1"/>
  <c r="I223" i="1"/>
  <c r="I222" i="1"/>
  <c r="G231" i="1"/>
  <c r="H231" i="1" s="1"/>
  <c r="G230" i="1"/>
  <c r="G229" i="1"/>
  <c r="G228" i="1"/>
  <c r="G227" i="1"/>
  <c r="G226" i="1"/>
  <c r="G225" i="1"/>
  <c r="G224" i="1"/>
  <c r="G223" i="1"/>
  <c r="G222" i="1"/>
  <c r="E230" i="1"/>
  <c r="E229" i="1"/>
  <c r="E228" i="1"/>
  <c r="E227" i="1"/>
  <c r="E226" i="1"/>
  <c r="E225" i="1"/>
  <c r="E224" i="1"/>
  <c r="E223" i="1"/>
  <c r="I225" i="1"/>
  <c r="I226" i="1"/>
  <c r="I227" i="1"/>
  <c r="I228" i="1"/>
  <c r="I229" i="1"/>
  <c r="I230" i="1"/>
  <c r="G20" i="5"/>
  <c r="G218" i="1"/>
  <c r="I218" i="1"/>
  <c r="G219" i="1"/>
  <c r="I219" i="1"/>
  <c r="G220" i="1"/>
  <c r="I220" i="1"/>
  <c r="G221" i="1"/>
  <c r="I221" i="1"/>
  <c r="E218" i="1"/>
  <c r="E219" i="1"/>
  <c r="E220" i="1"/>
  <c r="E221" i="1"/>
  <c r="E222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E216" i="1"/>
  <c r="E217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G199" i="1"/>
  <c r="I199" i="1"/>
  <c r="G200" i="1"/>
  <c r="I200" i="1"/>
  <c r="G201" i="1"/>
  <c r="I201" i="1"/>
  <c r="G202" i="1"/>
  <c r="I202" i="1"/>
  <c r="G203" i="1"/>
  <c r="I203" i="1"/>
  <c r="E199" i="1"/>
  <c r="E200" i="1"/>
  <c r="E201" i="1"/>
  <c r="E202" i="1"/>
  <c r="E203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E172" i="1"/>
  <c r="E173" i="1"/>
  <c r="E174" i="1"/>
  <c r="E175" i="1"/>
  <c r="E176" i="1"/>
  <c r="E177" i="1"/>
  <c r="E178" i="1"/>
  <c r="E179" i="1"/>
  <c r="E180" i="1"/>
  <c r="E181" i="1"/>
  <c r="E182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E155" i="1"/>
  <c r="E156" i="1"/>
  <c r="E157" i="1"/>
  <c r="E158" i="1"/>
  <c r="E159" i="1"/>
  <c r="E160" i="1"/>
  <c r="E161" i="1"/>
  <c r="E162" i="1"/>
  <c r="E163" i="1"/>
  <c r="E164" i="1"/>
  <c r="E165" i="1"/>
  <c r="H165" i="1" s="1"/>
  <c r="E166" i="1"/>
  <c r="E167" i="1"/>
  <c r="E168" i="1"/>
  <c r="E169" i="1"/>
  <c r="E170" i="1"/>
  <c r="E171" i="1"/>
  <c r="G153" i="1"/>
  <c r="I153" i="1"/>
  <c r="G154" i="1"/>
  <c r="I154" i="1"/>
  <c r="E153" i="1"/>
  <c r="E15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E145" i="1"/>
  <c r="E146" i="1"/>
  <c r="E147" i="1"/>
  <c r="E148" i="1"/>
  <c r="E149" i="1"/>
  <c r="E150" i="1"/>
  <c r="E151" i="1"/>
  <c r="E152" i="1"/>
  <c r="G131" i="1"/>
  <c r="I131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I128" i="1"/>
  <c r="I129" i="1"/>
  <c r="I130" i="1"/>
  <c r="G130" i="1"/>
  <c r="G128" i="1"/>
  <c r="G129" i="1"/>
  <c r="E128" i="1"/>
  <c r="E129" i="1"/>
  <c r="E130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G113" i="1"/>
  <c r="I113" i="1"/>
  <c r="G114" i="1"/>
  <c r="H114" i="1" s="1"/>
  <c r="I114" i="1"/>
  <c r="G115" i="1"/>
  <c r="I115" i="1"/>
  <c r="E113" i="1"/>
  <c r="E114" i="1"/>
  <c r="E115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E103" i="1"/>
  <c r="E104" i="1"/>
  <c r="E105" i="1"/>
  <c r="E106" i="1"/>
  <c r="E107" i="1"/>
  <c r="E108" i="1"/>
  <c r="E109" i="1"/>
  <c r="E110" i="1"/>
  <c r="H110" i="1" s="1"/>
  <c r="E111" i="1"/>
  <c r="E112" i="1"/>
  <c r="G98" i="1"/>
  <c r="I98" i="1"/>
  <c r="G99" i="1"/>
  <c r="I99" i="1"/>
  <c r="G100" i="1"/>
  <c r="I100" i="1"/>
  <c r="G101" i="1"/>
  <c r="I101" i="1"/>
  <c r="G102" i="1"/>
  <c r="I102" i="1"/>
  <c r="E98" i="1"/>
  <c r="E99" i="1"/>
  <c r="E100" i="1"/>
  <c r="E101" i="1"/>
  <c r="E102" i="1"/>
  <c r="G94" i="1"/>
  <c r="I94" i="1"/>
  <c r="G95" i="1"/>
  <c r="I95" i="1"/>
  <c r="G96" i="1"/>
  <c r="I96" i="1"/>
  <c r="G97" i="1"/>
  <c r="I97" i="1"/>
  <c r="E94" i="1"/>
  <c r="E95" i="1"/>
  <c r="E96" i="1"/>
  <c r="E97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H90" i="1" s="1"/>
  <c r="I90" i="1"/>
  <c r="G91" i="1"/>
  <c r="I91" i="1"/>
  <c r="G92" i="1"/>
  <c r="I92" i="1"/>
  <c r="G93" i="1"/>
  <c r="I93" i="1"/>
  <c r="E87" i="1"/>
  <c r="E88" i="1"/>
  <c r="E89" i="1"/>
  <c r="E90" i="1"/>
  <c r="E91" i="1"/>
  <c r="E92" i="1"/>
  <c r="E93" i="1"/>
  <c r="E81" i="1"/>
  <c r="E82" i="1"/>
  <c r="E83" i="1"/>
  <c r="E84" i="1"/>
  <c r="E85" i="1"/>
  <c r="E86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E80" i="1"/>
  <c r="E79" i="1"/>
  <c r="E78" i="1"/>
  <c r="E77" i="1"/>
  <c r="E65" i="1"/>
  <c r="E66" i="1"/>
  <c r="E67" i="1"/>
  <c r="E68" i="1"/>
  <c r="E69" i="1"/>
  <c r="E70" i="1"/>
  <c r="E71" i="1"/>
  <c r="E72" i="1"/>
  <c r="E73" i="1"/>
  <c r="E74" i="1"/>
  <c r="E75" i="1"/>
  <c r="E76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2" i="1"/>
  <c r="I63" i="1"/>
  <c r="I64" i="1"/>
  <c r="G62" i="1"/>
  <c r="G63" i="1"/>
  <c r="G64" i="1"/>
  <c r="E62" i="1"/>
  <c r="E63" i="1"/>
  <c r="E64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4" i="1"/>
  <c r="I55" i="1"/>
  <c r="I56" i="1"/>
  <c r="I57" i="1"/>
  <c r="I58" i="1"/>
  <c r="I59" i="1"/>
  <c r="I60" i="1"/>
  <c r="I61" i="1"/>
  <c r="G54" i="1"/>
  <c r="G55" i="1"/>
  <c r="G56" i="1"/>
  <c r="G57" i="1"/>
  <c r="G58" i="1"/>
  <c r="G59" i="1"/>
  <c r="G60" i="1"/>
  <c r="G61" i="1"/>
  <c r="E54" i="1"/>
  <c r="E55" i="1"/>
  <c r="E56" i="1"/>
  <c r="E57" i="1"/>
  <c r="E58" i="1"/>
  <c r="E59" i="1"/>
  <c r="E60" i="1"/>
  <c r="E61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6" i="1"/>
  <c r="I44" i="1"/>
  <c r="I45" i="1"/>
  <c r="I46" i="1"/>
  <c r="I47" i="1"/>
  <c r="I48" i="1"/>
  <c r="I49" i="1"/>
  <c r="I50" i="1"/>
  <c r="I51" i="1"/>
  <c r="I52" i="1"/>
  <c r="I53" i="1"/>
  <c r="B1" i="4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6" i="1"/>
  <c r="H75" i="1" l="1"/>
  <c r="H67" i="1"/>
  <c r="J67" i="1" s="1"/>
  <c r="H93" i="1"/>
  <c r="J93" i="1" s="1"/>
  <c r="H96" i="1"/>
  <c r="J96" i="1" s="1"/>
  <c r="H129" i="1"/>
  <c r="J129" i="1" s="1"/>
  <c r="B4" i="5"/>
  <c r="B3" i="5"/>
  <c r="B2" i="5"/>
  <c r="H122" i="1"/>
  <c r="J122" i="1" s="1"/>
  <c r="H100" i="1"/>
  <c r="J100" i="1" s="1"/>
  <c r="H123" i="1"/>
  <c r="J123" i="1" s="1"/>
  <c r="H115" i="1"/>
  <c r="J115" i="1" s="1"/>
  <c r="H82" i="1"/>
  <c r="J82" i="1" s="1"/>
  <c r="F4" i="5"/>
  <c r="H222" i="1"/>
  <c r="J222" i="1" s="1"/>
  <c r="H84" i="1"/>
  <c r="J84" i="1" s="1"/>
  <c r="H91" i="1"/>
  <c r="J91" i="1" s="1"/>
  <c r="H126" i="1"/>
  <c r="J126" i="1" s="1"/>
  <c r="H118" i="1"/>
  <c r="J118" i="1" s="1"/>
  <c r="J332" i="4"/>
  <c r="H88" i="1"/>
  <c r="J88" i="1" s="1"/>
  <c r="H81" i="1"/>
  <c r="J81" i="1" s="1"/>
  <c r="H108" i="1"/>
  <c r="J108" i="1" s="1"/>
  <c r="H86" i="1"/>
  <c r="J86" i="1" s="1"/>
  <c r="H120" i="1"/>
  <c r="J120" i="1" s="1"/>
  <c r="H77" i="1"/>
  <c r="J77" i="1" s="1"/>
  <c r="H101" i="1"/>
  <c r="J101" i="1" s="1"/>
  <c r="H109" i="1"/>
  <c r="J109" i="1" s="1"/>
  <c r="H117" i="1"/>
  <c r="J117" i="1" s="1"/>
  <c r="H124" i="1"/>
  <c r="J124" i="1" s="1"/>
  <c r="H116" i="1"/>
  <c r="J116" i="1" s="1"/>
  <c r="H104" i="1"/>
  <c r="J104" i="1" s="1"/>
  <c r="H74" i="1"/>
  <c r="J74" i="1" s="1"/>
  <c r="N32" i="5"/>
  <c r="M32" i="5"/>
  <c r="M16" i="5"/>
  <c r="N24" i="5"/>
  <c r="N16" i="5"/>
  <c r="N8" i="5"/>
  <c r="H66" i="1"/>
  <c r="J66" i="1" s="1"/>
  <c r="H78" i="1"/>
  <c r="J78" i="1" s="1"/>
  <c r="H70" i="1"/>
  <c r="J70" i="1" s="1"/>
  <c r="H89" i="1"/>
  <c r="J89" i="1" s="1"/>
  <c r="H87" i="1"/>
  <c r="J87" i="1" s="1"/>
  <c r="H83" i="1"/>
  <c r="J83" i="1" s="1"/>
  <c r="H94" i="1"/>
  <c r="J94" i="1" s="1"/>
  <c r="H112" i="1"/>
  <c r="J112" i="1" s="1"/>
  <c r="H125" i="1"/>
  <c r="J125" i="1" s="1"/>
  <c r="H130" i="1"/>
  <c r="J130" i="1" s="1"/>
  <c r="M23" i="5"/>
  <c r="H179" i="1"/>
  <c r="J179" i="1" s="1"/>
  <c r="M13" i="5"/>
  <c r="H95" i="1"/>
  <c r="J95" i="1" s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1" i="1"/>
  <c r="J121" i="1" s="1"/>
  <c r="H106" i="1"/>
  <c r="J106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0" i="1"/>
  <c r="J40" i="1" s="1"/>
  <c r="H32" i="1"/>
  <c r="J32" i="1" s="1"/>
  <c r="F28" i="5"/>
  <c r="F12" i="5"/>
  <c r="H97" i="1"/>
  <c r="J97" i="1" s="1"/>
  <c r="H111" i="1"/>
  <c r="J111" i="1" s="1"/>
  <c r="F31" i="5"/>
  <c r="H79" i="1"/>
  <c r="J79" i="1" s="1"/>
  <c r="H71" i="1"/>
  <c r="J71" i="1" s="1"/>
  <c r="H85" i="1"/>
  <c r="J85" i="1" s="1"/>
  <c r="H105" i="1"/>
  <c r="J105" i="1" s="1"/>
  <c r="H127" i="1"/>
  <c r="J127" i="1" s="1"/>
  <c r="H119" i="1"/>
  <c r="J119" i="1" s="1"/>
  <c r="H152" i="1"/>
  <c r="J152" i="1" s="1"/>
  <c r="M22" i="5"/>
  <c r="M20" i="5"/>
  <c r="F7" i="5"/>
  <c r="M4" i="5"/>
  <c r="H175" i="1"/>
  <c r="J175" i="1" s="1"/>
  <c r="H192" i="1"/>
  <c r="J192" i="1" s="1"/>
  <c r="H203" i="1"/>
  <c r="J203" i="1" s="1"/>
  <c r="M17" i="5"/>
  <c r="H149" i="1"/>
  <c r="J149" i="1" s="1"/>
  <c r="H197" i="1"/>
  <c r="J197" i="1" s="1"/>
  <c r="H193" i="1"/>
  <c r="J193" i="1" s="1"/>
  <c r="H189" i="1"/>
  <c r="J189" i="1" s="1"/>
  <c r="H185" i="1"/>
  <c r="J185" i="1" s="1"/>
  <c r="H49" i="1"/>
  <c r="J49" i="1" s="1"/>
  <c r="H25" i="1"/>
  <c r="J25" i="1" s="1"/>
  <c r="H17" i="1"/>
  <c r="J17" i="1" s="1"/>
  <c r="M18" i="5"/>
  <c r="H35" i="1"/>
  <c r="J35" i="1" s="1"/>
  <c r="B17" i="5"/>
  <c r="F30" i="5"/>
  <c r="F22" i="5"/>
  <c r="F14" i="5"/>
  <c r="N4" i="5"/>
  <c r="N20" i="5"/>
  <c r="H16" i="1"/>
  <c r="J16" i="1" s="1"/>
  <c r="B29" i="5"/>
  <c r="B21" i="5"/>
  <c r="F13" i="5"/>
  <c r="M27" i="5"/>
  <c r="B20" i="5"/>
  <c r="H44" i="1"/>
  <c r="J44" i="1" s="1"/>
  <c r="F10" i="5"/>
  <c r="M24" i="5"/>
  <c r="M15" i="5"/>
  <c r="M7" i="5"/>
  <c r="F9" i="5"/>
  <c r="B7" i="5"/>
  <c r="N13" i="5"/>
  <c r="H140" i="1"/>
  <c r="J140" i="1" s="1"/>
  <c r="H132" i="1"/>
  <c r="J132" i="1" s="1"/>
  <c r="H150" i="1"/>
  <c r="J150" i="1" s="1"/>
  <c r="M19" i="5"/>
  <c r="M11" i="5"/>
  <c r="M3" i="5"/>
  <c r="N27" i="5"/>
  <c r="N19" i="5"/>
  <c r="N11" i="5"/>
  <c r="F5" i="5"/>
  <c r="B27" i="5"/>
  <c r="F19" i="5"/>
  <c r="F11" i="5"/>
  <c r="H59" i="1"/>
  <c r="J59" i="1" s="1"/>
  <c r="F33" i="5"/>
  <c r="F25" i="5"/>
  <c r="H63" i="1"/>
  <c r="J63" i="1" s="1"/>
  <c r="F16" i="5"/>
  <c r="B9" i="5"/>
  <c r="H56" i="1"/>
  <c r="J56" i="1" s="1"/>
  <c r="H69" i="1"/>
  <c r="J69" i="1" s="1"/>
  <c r="H73" i="1"/>
  <c r="J73" i="1" s="1"/>
  <c r="H65" i="1"/>
  <c r="J65" i="1" s="1"/>
  <c r="H92" i="1"/>
  <c r="J92" i="1" s="1"/>
  <c r="H99" i="1"/>
  <c r="J99" i="1" s="1"/>
  <c r="H103" i="1"/>
  <c r="J103" i="1" s="1"/>
  <c r="F18" i="5"/>
  <c r="H142" i="1"/>
  <c r="J142" i="1" s="1"/>
  <c r="H102" i="1"/>
  <c r="J102" i="1" s="1"/>
  <c r="B32" i="5"/>
  <c r="N21" i="5"/>
  <c r="H204" i="1"/>
  <c r="J204" i="1" s="1"/>
  <c r="H215" i="1"/>
  <c r="J215" i="1" s="1"/>
  <c r="H207" i="1"/>
  <c r="J207" i="1" s="1"/>
  <c r="H221" i="1"/>
  <c r="J221" i="1" s="1"/>
  <c r="H10" i="1"/>
  <c r="J10" i="1" s="1"/>
  <c r="H57" i="1"/>
  <c r="J57" i="1" s="1"/>
  <c r="B24" i="5"/>
  <c r="H9" i="1"/>
  <c r="J9" i="1" s="1"/>
  <c r="H8" i="1"/>
  <c r="J8" i="1" s="1"/>
  <c r="H136" i="1"/>
  <c r="J136" i="1" s="1"/>
  <c r="H98" i="1"/>
  <c r="J98" i="1" s="1"/>
  <c r="H107" i="1"/>
  <c r="J107" i="1" s="1"/>
  <c r="H128" i="1"/>
  <c r="J128" i="1" s="1"/>
  <c r="H76" i="1"/>
  <c r="J76" i="1" s="1"/>
  <c r="H68" i="1"/>
  <c r="J68" i="1" s="1"/>
  <c r="H80" i="1"/>
  <c r="J80" i="1" s="1"/>
  <c r="H72" i="1"/>
  <c r="J72" i="1" s="1"/>
  <c r="H113" i="1"/>
  <c r="J113" i="1" s="1"/>
  <c r="H43" i="1"/>
  <c r="J43" i="1" s="1"/>
  <c r="H19" i="1"/>
  <c r="J19" i="1" s="1"/>
  <c r="F6" i="5"/>
  <c r="B14" i="5"/>
  <c r="M30" i="5"/>
  <c r="M5" i="5"/>
  <c r="N29" i="5"/>
  <c r="N5" i="5"/>
  <c r="H172" i="1"/>
  <c r="J172" i="1" s="1"/>
  <c r="H226" i="1"/>
  <c r="J226" i="1" s="1"/>
  <c r="H50" i="1"/>
  <c r="J50" i="1" s="1"/>
  <c r="H34" i="1"/>
  <c r="J34" i="1" s="1"/>
  <c r="H18" i="1"/>
  <c r="J18" i="1" s="1"/>
  <c r="H41" i="1"/>
  <c r="J41" i="1" s="1"/>
  <c r="H33" i="1"/>
  <c r="J33" i="1" s="1"/>
  <c r="B31" i="5"/>
  <c r="B23" i="5"/>
  <c r="B15" i="5"/>
  <c r="H141" i="1"/>
  <c r="J141" i="1" s="1"/>
  <c r="H133" i="1"/>
  <c r="J133" i="1" s="1"/>
  <c r="H151" i="1"/>
  <c r="J151" i="1" s="1"/>
  <c r="H147" i="1"/>
  <c r="J147" i="1" s="1"/>
  <c r="H48" i="1"/>
  <c r="J48" i="1" s="1"/>
  <c r="H24" i="1"/>
  <c r="J24" i="1" s="1"/>
  <c r="H55" i="1"/>
  <c r="J55" i="1" s="1"/>
  <c r="H138" i="1"/>
  <c r="J138" i="1" s="1"/>
  <c r="H148" i="1"/>
  <c r="J148" i="1" s="1"/>
  <c r="H157" i="1"/>
  <c r="J157" i="1" s="1"/>
  <c r="H228" i="1"/>
  <c r="J228" i="1" s="1"/>
  <c r="H233" i="1"/>
  <c r="J233" i="1" s="1"/>
  <c r="B26" i="5"/>
  <c r="H139" i="1"/>
  <c r="J139" i="1" s="1"/>
  <c r="H219" i="1"/>
  <c r="J219" i="1" s="1"/>
  <c r="H42" i="1"/>
  <c r="J42" i="1" s="1"/>
  <c r="B11" i="5"/>
  <c r="N10" i="5"/>
  <c r="H164" i="1"/>
  <c r="J164" i="1" s="1"/>
  <c r="H156" i="1"/>
  <c r="J156" i="1" s="1"/>
  <c r="B13" i="5"/>
  <c r="F15" i="5"/>
  <c r="H134" i="1"/>
  <c r="J134" i="1" s="1"/>
  <c r="H161" i="1"/>
  <c r="J161" i="1" s="1"/>
  <c r="H171" i="1"/>
  <c r="J171" i="1" s="1"/>
  <c r="H167" i="1"/>
  <c r="J167" i="1" s="1"/>
  <c r="H209" i="1"/>
  <c r="J209" i="1" s="1"/>
  <c r="H225" i="1"/>
  <c r="J225" i="1" s="1"/>
  <c r="N2" i="5"/>
  <c r="M26" i="5"/>
  <c r="N26" i="5"/>
  <c r="F2" i="5"/>
  <c r="F27" i="5"/>
  <c r="B19" i="5"/>
  <c r="F17" i="5"/>
  <c r="B33" i="5"/>
  <c r="B25" i="5"/>
  <c r="M25" i="5"/>
  <c r="H227" i="1"/>
  <c r="J227" i="1" s="1"/>
  <c r="H22" i="1"/>
  <c r="J22" i="1" s="1"/>
  <c r="H61" i="1"/>
  <c r="J61" i="1" s="1"/>
  <c r="H64" i="1"/>
  <c r="J64" i="1" s="1"/>
  <c r="M10" i="5"/>
  <c r="M2" i="5"/>
  <c r="N18" i="5"/>
  <c r="B12" i="5"/>
  <c r="H37" i="1"/>
  <c r="J37" i="1" s="1"/>
  <c r="H29" i="1"/>
  <c r="J29" i="1" s="1"/>
  <c r="H13" i="1"/>
  <c r="J13" i="1" s="1"/>
  <c r="H60" i="1"/>
  <c r="J60" i="1" s="1"/>
  <c r="H36" i="1"/>
  <c r="J36" i="1" s="1"/>
  <c r="H28" i="1"/>
  <c r="J28" i="1" s="1"/>
  <c r="H62" i="1"/>
  <c r="J62" i="1" s="1"/>
  <c r="F3" i="5"/>
  <c r="F26" i="5"/>
  <c r="B18" i="5"/>
  <c r="B10" i="5"/>
  <c r="H146" i="1"/>
  <c r="J146" i="1" s="1"/>
  <c r="H200" i="1"/>
  <c r="J200" i="1" s="1"/>
  <c r="H211" i="1"/>
  <c r="J211" i="1" s="1"/>
  <c r="H51" i="1"/>
  <c r="J51" i="1" s="1"/>
  <c r="H27" i="1"/>
  <c r="J27" i="1" s="1"/>
  <c r="F23" i="5"/>
  <c r="H229" i="1"/>
  <c r="J229" i="1" s="1"/>
  <c r="H143" i="1"/>
  <c r="J143" i="1" s="1"/>
  <c r="H135" i="1"/>
  <c r="J135" i="1" s="1"/>
  <c r="H131" i="1"/>
  <c r="J131" i="1" s="1"/>
  <c r="H145" i="1"/>
  <c r="J145" i="1" s="1"/>
  <c r="H173" i="1"/>
  <c r="J173" i="1" s="1"/>
  <c r="B30" i="5"/>
  <c r="B28" i="5"/>
  <c r="H199" i="1"/>
  <c r="J199" i="1" s="1"/>
  <c r="H26" i="1"/>
  <c r="J26" i="1" s="1"/>
  <c r="H190" i="1"/>
  <c r="J190" i="1" s="1"/>
  <c r="H224" i="1"/>
  <c r="J224" i="1" s="1"/>
  <c r="H168" i="1"/>
  <c r="J168" i="1" s="1"/>
  <c r="H182" i="1"/>
  <c r="J182" i="1" s="1"/>
  <c r="H174" i="1"/>
  <c r="J174" i="1" s="1"/>
  <c r="H196" i="1"/>
  <c r="J196" i="1" s="1"/>
  <c r="H188" i="1"/>
  <c r="J188" i="1" s="1"/>
  <c r="H202" i="1"/>
  <c r="J202" i="1" s="1"/>
  <c r="H214" i="1"/>
  <c r="J214" i="1" s="1"/>
  <c r="H216" i="1"/>
  <c r="J216" i="1" s="1"/>
  <c r="F21" i="5"/>
  <c r="M9" i="5"/>
  <c r="N33" i="5"/>
  <c r="N25" i="5"/>
  <c r="N17" i="5"/>
  <c r="N9" i="5"/>
  <c r="F29" i="5"/>
  <c r="B5" i="5"/>
  <c r="F20" i="5"/>
  <c r="N6" i="5"/>
  <c r="J231" i="1"/>
  <c r="H38" i="1"/>
  <c r="J38" i="1" s="1"/>
  <c r="H47" i="1"/>
  <c r="J47" i="1" s="1"/>
  <c r="H54" i="1"/>
  <c r="J54" i="1" s="1"/>
  <c r="H6" i="1"/>
  <c r="J6" i="1" s="1"/>
  <c r="H46" i="1"/>
  <c r="J46" i="1" s="1"/>
  <c r="H30" i="1"/>
  <c r="J30" i="1" s="1"/>
  <c r="H14" i="1"/>
  <c r="J14" i="1" s="1"/>
  <c r="B22" i="5"/>
  <c r="B6" i="5"/>
  <c r="F8" i="5"/>
  <c r="B8" i="5"/>
  <c r="H11" i="1"/>
  <c r="J11" i="1" s="1"/>
  <c r="B16" i="5"/>
  <c r="H20" i="1"/>
  <c r="J20" i="1" s="1"/>
  <c r="H12" i="1"/>
  <c r="J12" i="1" s="1"/>
  <c r="F24" i="5"/>
  <c r="F32" i="5"/>
  <c r="H21" i="1"/>
  <c r="J21" i="1" s="1"/>
  <c r="N14" i="5"/>
  <c r="H154" i="1"/>
  <c r="J154" i="1" s="1"/>
  <c r="H169" i="1"/>
  <c r="J169" i="1" s="1"/>
  <c r="H195" i="1"/>
  <c r="J195" i="1" s="1"/>
  <c r="H191" i="1"/>
  <c r="J191" i="1" s="1"/>
  <c r="H187" i="1"/>
  <c r="J187" i="1" s="1"/>
  <c r="H183" i="1"/>
  <c r="J183" i="1" s="1"/>
  <c r="M6" i="5"/>
  <c r="N22" i="5"/>
  <c r="H153" i="1"/>
  <c r="J153" i="1" s="1"/>
  <c r="H163" i="1"/>
  <c r="J163" i="1" s="1"/>
  <c r="H159" i="1"/>
  <c r="J159" i="1" s="1"/>
  <c r="H155" i="1"/>
  <c r="J155" i="1" s="1"/>
  <c r="H181" i="1"/>
  <c r="J181" i="1" s="1"/>
  <c r="H177" i="1"/>
  <c r="J177" i="1" s="1"/>
  <c r="H198" i="1"/>
  <c r="J198" i="1" s="1"/>
  <c r="H210" i="1"/>
  <c r="J210" i="1" s="1"/>
  <c r="H206" i="1"/>
  <c r="J206" i="1" s="1"/>
  <c r="H220" i="1"/>
  <c r="J220" i="1" s="1"/>
  <c r="H160" i="1"/>
  <c r="J160" i="1" s="1"/>
  <c r="H217" i="1"/>
  <c r="J217" i="1" s="1"/>
  <c r="M31" i="5"/>
  <c r="N3" i="5"/>
  <c r="M28" i="5"/>
  <c r="M12" i="5"/>
  <c r="N28" i="5"/>
  <c r="N12" i="5"/>
  <c r="H170" i="1"/>
  <c r="J170" i="1" s="1"/>
  <c r="H158" i="1"/>
  <c r="J158" i="1" s="1"/>
  <c r="H180" i="1"/>
  <c r="J180" i="1" s="1"/>
  <c r="H218" i="1"/>
  <c r="J218" i="1" s="1"/>
  <c r="J75" i="1"/>
  <c r="J114" i="1"/>
  <c r="M29" i="5"/>
  <c r="H144" i="1"/>
  <c r="J144" i="1" s="1"/>
  <c r="H194" i="1"/>
  <c r="J194" i="1" s="1"/>
  <c r="H186" i="1"/>
  <c r="J186" i="1" s="1"/>
  <c r="H205" i="1"/>
  <c r="J205" i="1" s="1"/>
  <c r="H208" i="1"/>
  <c r="J208" i="1" s="1"/>
  <c r="M14" i="5"/>
  <c r="N31" i="5"/>
  <c r="N23" i="5"/>
  <c r="M33" i="5"/>
  <c r="H201" i="1"/>
  <c r="J201" i="1" s="1"/>
  <c r="H212" i="1"/>
  <c r="J212" i="1" s="1"/>
  <c r="M21" i="5"/>
  <c r="N30" i="5"/>
  <c r="N15" i="5"/>
  <c r="N7" i="5"/>
  <c r="H178" i="1"/>
  <c r="J178" i="1" s="1"/>
  <c r="H223" i="1"/>
  <c r="J223" i="1" s="1"/>
  <c r="H234" i="1"/>
  <c r="J234" i="1" s="1"/>
  <c r="H230" i="1"/>
  <c r="J230" i="1" s="1"/>
  <c r="H235" i="1"/>
  <c r="J235" i="1" s="1"/>
  <c r="J165" i="1"/>
  <c r="J110" i="1"/>
  <c r="J90" i="1"/>
  <c r="J232" i="1"/>
  <c r="H39" i="1"/>
  <c r="J39" i="1" s="1"/>
  <c r="H31" i="1"/>
  <c r="J31" i="1" s="1"/>
  <c r="H23" i="1"/>
  <c r="J23" i="1" s="1"/>
  <c r="H15" i="1"/>
  <c r="J15" i="1" s="1"/>
  <c r="H7" i="1"/>
  <c r="J7" i="1" s="1"/>
  <c r="H58" i="1"/>
  <c r="J58" i="1" s="1"/>
  <c r="H53" i="1"/>
  <c r="J53" i="1" s="1"/>
  <c r="H45" i="1"/>
  <c r="J45" i="1" s="1"/>
  <c r="H52" i="1"/>
  <c r="J52" i="1" s="1"/>
  <c r="H137" i="1"/>
  <c r="J137" i="1" s="1"/>
  <c r="H166" i="1"/>
  <c r="J166" i="1" s="1"/>
  <c r="H162" i="1"/>
  <c r="J162" i="1" s="1"/>
  <c r="H176" i="1"/>
  <c r="J176" i="1" s="1"/>
  <c r="H184" i="1"/>
  <c r="J184" i="1" s="1"/>
  <c r="H213" i="1"/>
  <c r="J213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3" i="4"/>
  <c r="N833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K1234" i="4"/>
  <c r="M1234" i="4" s="1"/>
  <c r="N1234" i="4" s="1"/>
  <c r="K559" i="4"/>
  <c r="M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K701" i="4"/>
  <c r="M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60" i="4"/>
  <c r="M860" i="4" s="1"/>
  <c r="N860" i="4" s="1"/>
  <c r="K649" i="4"/>
  <c r="M649" i="4" s="1"/>
  <c r="K719" i="4"/>
  <c r="M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K168" i="4"/>
  <c r="M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K1000" i="4"/>
  <c r="M1000" i="4" s="1"/>
  <c r="N1000" i="4" s="1"/>
  <c r="K827" i="4"/>
  <c r="M827" i="4" s="1"/>
  <c r="N827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K293" i="4"/>
  <c r="M293" i="4" s="1"/>
  <c r="K866" i="4"/>
  <c r="M866" i="4" s="1"/>
  <c r="N866" i="4" s="1"/>
  <c r="L893" i="4"/>
  <c r="N893" i="4" s="1"/>
  <c r="K654" i="4"/>
  <c r="M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K668" i="4"/>
  <c r="M668" i="4" s="1"/>
  <c r="K1300" i="4"/>
  <c r="M1300" i="4" s="1"/>
  <c r="N1300" i="4" s="1"/>
  <c r="K221" i="4"/>
  <c r="M221" i="4" s="1"/>
  <c r="L1045" i="4"/>
  <c r="N1045" i="4" s="1"/>
  <c r="K498" i="4"/>
  <c r="M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K636" i="4"/>
  <c r="M636" i="4" s="1"/>
  <c r="L706" i="4"/>
  <c r="N706" i="4" s="1"/>
  <c r="K246" i="4"/>
  <c r="M246" i="4" s="1"/>
  <c r="L465" i="4"/>
  <c r="N465" i="4" s="1"/>
  <c r="K679" i="4"/>
  <c r="M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L661" i="4"/>
  <c r="N661" i="4" s="1"/>
  <c r="K334" i="4"/>
  <c r="M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K798" i="4"/>
  <c r="M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L1165" i="4"/>
  <c r="N1165" i="4" s="1"/>
  <c r="K1073" i="4"/>
  <c r="M1073" i="4" s="1"/>
  <c r="L432" i="4"/>
  <c r="N432" i="4" s="1"/>
  <c r="K104" i="4"/>
  <c r="M104" i="4" s="1"/>
  <c r="K721" i="4"/>
  <c r="M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L751" i="4"/>
  <c r="N751" i="4" s="1"/>
  <c r="K720" i="4"/>
  <c r="M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K210" i="4"/>
  <c r="M210" i="4" s="1"/>
  <c r="K224" i="4"/>
  <c r="M224" i="4" s="1"/>
  <c r="L896" i="4"/>
  <c r="N896" i="4" s="1"/>
  <c r="K664" i="4"/>
  <c r="M664" i="4" s="1"/>
  <c r="K760" i="4"/>
  <c r="M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2" i="4"/>
  <c r="M912" i="4" s="1"/>
  <c r="N912" i="4" s="1"/>
  <c r="K632" i="4"/>
  <c r="M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794" i="4" l="1"/>
  <c r="N678" i="4"/>
  <c r="N810" i="4"/>
  <c r="N798" i="4"/>
  <c r="N800" i="4"/>
  <c r="N673" i="4"/>
  <c r="N712" i="4"/>
  <c r="N778" i="4"/>
  <c r="N701" i="4"/>
  <c r="N768" i="4"/>
  <c r="N760" i="4"/>
  <c r="N724" i="4"/>
  <c r="N691" i="4"/>
  <c r="N719" i="4"/>
  <c r="N737" i="4"/>
  <c r="N690" i="4"/>
  <c r="N702" i="4"/>
  <c r="N679" i="4"/>
  <c r="N721" i="4"/>
  <c r="N716" i="4"/>
  <c r="N720" i="4"/>
  <c r="N742" i="4"/>
  <c r="N722" i="4"/>
  <c r="N699" i="4"/>
  <c r="N664" i="4"/>
  <c r="N668" i="4"/>
  <c r="N257" i="4"/>
  <c r="N498" i="4"/>
  <c r="N644" i="4"/>
  <c r="N659" i="4"/>
  <c r="N647" i="4"/>
  <c r="N657" i="4"/>
  <c r="N649" i="4"/>
  <c r="N654" i="4"/>
  <c r="N656" i="4"/>
  <c r="N652" i="4"/>
  <c r="N104" i="4"/>
  <c r="N636" i="4"/>
  <c r="N634" i="4"/>
  <c r="N625" i="4"/>
  <c r="N505" i="4"/>
  <c r="N334" i="4"/>
  <c r="N632" i="4"/>
  <c r="N618" i="4"/>
  <c r="N631" i="4"/>
  <c r="N619" i="4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<sst xmlns="http://schemas.openxmlformats.org/spreadsheetml/2006/main" count="24802" uniqueCount="2955">
  <si>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</si>
  <si>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</si>
  <si>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</si>
  <si>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</si>
  <si>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</si>
  <si>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</si>
  <si>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</si>
  <si>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</si>
  <si>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</si>
  <si>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</si>
  <si>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</si>
  <si>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</si>
  <si>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</si>
  <si>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</si>
  <si>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</si>
  <si>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</si>
  <si>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</si>
  <si>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</si>
  <si>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</si>
  <si>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</si>
  <si>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</si>
  <si>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</si>
  <si>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</si>
  <si>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</si>
  <si>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</si>
  <si>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</si>
  <si>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</si>
  <si>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</si>
  <si>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</si>
  <si>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</si>
  <si>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</si>
  <si>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</si>
  <si>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</si>
  <si>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</si>
  <si>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</si>
  <si>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</si>
  <si>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</si>
  <si>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</si>
  <si>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</si>
  <si>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</si>
  <si>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</si>
  <si>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</si>
  <si>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</si>
  <si>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</si>
  <si>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</si>
  <si>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</si>
  <si>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</si>
  <si>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</si>
  <si>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</si>
  <si>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</si>
  <si>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</si>
  <si>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</si>
  <si>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</si>
  <si>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</si>
  <si>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</si>
  <si>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</si>
  <si>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</si>
  <si>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</si>
  <si>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</si>
  <si>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</si>
  <si>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</si>
  <si>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</si>
  <si>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</si>
  <si>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</si>
  <si>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</si>
  <si>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</si>
  <si>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</si>
  <si>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</si>
  <si>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</si>
  <si>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</si>
  <si>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</si>
  <si>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</si>
  <si>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</si>
  <si>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</si>
  <si>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</si>
  <si>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</si>
  <si>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</si>
  <si>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</si>
  <si>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</si>
  <si>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</si>
  <si>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</si>
  <si>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</si>
  <si>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</si>
  <si>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</si>
  <si>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</si>
  <si>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</si>
  <si>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</si>
  <si>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</si>
  <si>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</si>
  <si>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</si>
  <si>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</si>
  <si>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</si>
  <si>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</si>
  <si>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</si>
  <si>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</si>
  <si>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</si>
  <si>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</si>
  <si>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</si>
  <si>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</si>
  <si>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</si>
  <si>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</si>
  <si>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</si>
  <si>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</si>
  <si>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</si>
  <si>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</si>
  <si>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</si>
  <si>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</si>
  <si>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</si>
  <si>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</si>
  <si>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</si>
  <si>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</si>
  <si>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</si>
  <si>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</si>
  <si>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</si>
  <si>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</si>
  <si>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</si>
  <si>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</si>
  <si>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</si>
  <si>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</si>
  <si>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</si>
  <si>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</si>
  <si>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</si>
  <si>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</si>
  <si>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</si>
  <si>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</si>
  <si>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</si>
  <si>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</si>
  <si>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</si>
  <si>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</si>
  <si>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</si>
  <si>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</si>
  <si>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</si>
  <si>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</si>
  <si>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</si>
  <si>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</si>
  <si>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</si>
  <si>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</si>
  <si>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</si>
  <si>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</si>
  <si>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</si>
  <si>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</si>
  <si>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</si>
  <si>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</si>
  <si>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</si>
  <si>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</si>
  <si>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</si>
  <si>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</si>
  <si>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</si>
  <si>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</si>
  <si>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</si>
  <si>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</si>
  <si>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</si>
  <si>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</si>
  <si>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</si>
  <si>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</si>
  <si>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</si>
  <si>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</si>
  <si>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</si>
  <si>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</si>
  <si>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</si>
  <si>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</si>
  <si>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</si>
  <si>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</si>
  <si>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</si>
  <si>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</si>
  <si>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</si>
  <si>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</si>
  <si>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</si>
  <si>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</si>
  <si>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</si>
  <si>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</si>
  <si>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</si>
  <si>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</si>
  <si>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</si>
  <si>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</si>
  <si>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</si>
  <si>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</si>
  <si>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</si>
  <si>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</si>
  <si>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</si>
  <si>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</si>
  <si>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</si>
  <si>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</si>
  <si>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</si>
  <si>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</si>
  <si>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</si>
  <si>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</si>
  <si>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</si>
  <si>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</si>
  <si>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</si>
  <si>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</si>
  <si>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</si>
  <si>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</si>
  <si>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</si>
  <si>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</si>
  <si>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</si>
  <si>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</si>
  <si>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</si>
  <si>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</si>
  <si>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</si>
  <si>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</si>
  <si>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</si>
  <si>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</si>
  <si>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</si>
  <si>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</si>
  <si>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</si>
  <si>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</si>
  <si>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</si>
  <si>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</si>
  <si>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</si>
  <si>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</si>
  <si>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</si>
  <si>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</si>
  <si>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</si>
  <si>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</si>
  <si>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</si>
  <si>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</si>
  <si>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</si>
  <si>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</si>
  <si>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</si>
  <si>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</si>
  <si>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</si>
  <si>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</si>
  <si>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</si>
  <si>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</si>
  <si>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</si>
  <si>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</si>
  <si>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</si>
  <si>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</si>
  <si>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</si>
  <si>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</si>
  <si>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</si>
  <si>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</si>
  <si>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</si>
  <si>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</si>
  <si>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</si>
  <si>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</si>
  <si>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</si>
  <si>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</si>
  <si>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</si>
  <si>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</si>
  <si>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</si>
  <si>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</si>
  <si>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</si>
  <si>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</si>
  <si>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</si>
  <si>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</si>
  <si>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</si>
  <si>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</si>
  <si>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</si>
  <si>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</si>
  <si>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</si>
  <si>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</si>
  <si>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</si>
  <si>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</si>
  <si>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</si>
  <si>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</si>
  <si>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</si>
  <si>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</si>
  <si>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</si>
  <si>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</si>
  <si>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</si>
  <si>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</si>
  <si>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</si>
  <si>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</si>
  <si>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</si>
  <si>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</si>
  <si>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</si>
  <si>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</si>
  <si>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</si>
  <si>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</si>
  <si>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</si>
  <si>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</si>
  <si>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</si>
  <si>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</si>
  <si>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</si>
  <si>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</si>
  <si>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</si>
  <si>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</si>
  <si>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</si>
  <si>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</si>
  <si>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</si>
  <si>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</si>
  <si>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</si>
  <si>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</si>
  <si>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</si>
  <si>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</si>
  <si>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</si>
  <si>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</si>
  <si>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</si>
  <si>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</si>
  <si>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</si>
  <si>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</si>
  <si>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</si>
  <si>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</si>
  <si>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</si>
  <si>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</si>
  <si>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</si>
  <si>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</si>
  <si>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</si>
  <si>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</si>
  <si>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</si>
  <si>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</si>
  <si>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</si>
  <si>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</si>
  <si>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</si>
  <si>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</si>
  <si>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</si>
  <si>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</si>
  <si>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</si>
  <si>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</si>
  <si>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</si>
  <si>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</si>
  <si>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</si>
  <si>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</si>
  <si>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</si>
  <si>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</si>
  <si>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</si>
  <si>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</si>
  <si>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</si>
  <si>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</si>
  <si>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</si>
  <si>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</si>
  <si>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</si>
  <si>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</si>
  <si>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</si>
  <si>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</si>
  <si>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</si>
  <si>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</si>
  <si>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</si>
  <si>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</si>
  <si>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</si>
  <si>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</si>
  <si>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</si>
  <si>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</si>
  <si>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</si>
  <si>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</si>
  <si>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</si>
  <si>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</si>
  <si>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</si>
  <si>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</si>
  <si>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</si>
  <si>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</si>
  <si>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</si>
  <si>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</si>
  <si>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</si>
  <si>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</si>
  <si>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</si>
  <si>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</si>
  <si>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</si>
  <si>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</si>
  <si>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Nikita Kucherov</t>
  </si>
  <si>
    <t>TBL</t>
  </si>
  <si>
    <t>Cutter Gauthier</t>
  </si>
  <si>
    <t>Morgan Geekie</t>
  </si>
  <si>
    <t>BOS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</si>
  <si>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</si>
  <si>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</si>
  <si>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</si>
  <si>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</si>
  <si>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</si>
  <si>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</si>
  <si>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</si>
  <si>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</si>
  <si>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</si>
  <si>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</si>
  <si>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</si>
  <si>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</si>
  <si>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</si>
  <si>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18:37</t>
  </si>
  <si>
    <t>Dylan Larkin</t>
  </si>
  <si>
    <t>DET</t>
  </si>
  <si>
    <t>Brad Marchand</t>
  </si>
  <si>
    <t>FLA</t>
  </si>
  <si>
    <t>Lucas Raymond</t>
  </si>
  <si>
    <t>Sidney Crosby</t>
  </si>
  <si>
    <t>PIT</t>
  </si>
  <si>
    <t>19:12</t>
  </si>
  <si>
    <t>Alex DeBrincat</t>
  </si>
  <si>
    <t>Troy Terry</t>
  </si>
  <si>
    <t>Zach Werenski</t>
  </si>
  <si>
    <t>CBJ</t>
  </si>
  <si>
    <t>Brandon Hagel</t>
  </si>
  <si>
    <t>Bo Horvat</t>
  </si>
  <si>
    <t>NYI</t>
  </si>
  <si>
    <t>Evgeni Malkin</t>
  </si>
  <si>
    <t>17:30</t>
  </si>
  <si>
    <t>Alex Ovechkin</t>
  </si>
  <si>
    <t>David Pastrk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</si>
  <si>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</si>
  <si>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</si>
  <si>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</si>
  <si>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</si>
  <si>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</si>
  <si>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</si>
  <si>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</si>
  <si>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</si>
  <si>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</si>
  <si>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</si>
  <si>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</si>
  <si>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</si>
  <si>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</si>
  <si>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Miro Heiskanen</t>
  </si>
  <si>
    <t>Nico Hischier</t>
  </si>
  <si>
    <t>Clayton Keller</t>
  </si>
  <si>
    <t>UTA</t>
  </si>
  <si>
    <t>Trevor Zegras</t>
  </si>
  <si>
    <t>PHI</t>
  </si>
  <si>
    <t>Tyler Bertuzzi</t>
  </si>
  <si>
    <t>Jakob Chychrun</t>
  </si>
  <si>
    <t>Roope Hintz</t>
  </si>
  <si>
    <t>Artturi Lehkonen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</si>
  <si>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</si>
  <si>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</si>
  <si>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</si>
  <si>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</si>
  <si>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</si>
  <si>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</si>
  <si>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</si>
  <si>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</si>
  <si>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Kirill Marchenko</t>
  </si>
  <si>
    <t>19:04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</si>
  <si>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</si>
  <si>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</si>
  <si>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</si>
  <si>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</si>
  <si>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</si>
  <si>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</si>
  <si>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</si>
  <si>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</si>
  <si>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Ivan Barbashev</t>
  </si>
  <si>
    <t>John Carlson</t>
  </si>
  <si>
    <t>Logan Cooley</t>
  </si>
  <si>
    <t>516:46</t>
  </si>
  <si>
    <t>17:49</t>
  </si>
  <si>
    <t>Nazem Kadri</t>
  </si>
  <si>
    <t>CGY</t>
  </si>
  <si>
    <t>Travis Konecny</t>
  </si>
  <si>
    <t>Timo Meier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</si>
  <si>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</si>
  <si>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</si>
  <si>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</si>
  <si>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</si>
  <si>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</si>
  <si>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</si>
  <si>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</si>
  <si>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</si>
  <si>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</si>
  <si>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</si>
  <si>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</si>
  <si>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Ryan Nugent-Hopkins</t>
  </si>
  <si>
    <t>JJ Peterka</t>
  </si>
  <si>
    <t>Elias Pettersson</t>
  </si>
  <si>
    <t>Moritz Seider</t>
  </si>
  <si>
    <t>Tage Thompson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</si>
  <si>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</si>
  <si>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</si>
  <si>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</si>
  <si>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</si>
  <si>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</si>
  <si>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</si>
  <si>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</si>
  <si>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</si>
  <si>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</si>
  <si>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</si>
  <si>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</si>
  <si>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</si>
  <si>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</si>
  <si>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</si>
  <si>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Marcus Johansson</t>
  </si>
  <si>
    <t>16:20</t>
  </si>
  <si>
    <t>Mason McTavish</t>
  </si>
  <si>
    <t>16:38</t>
  </si>
  <si>
    <t>Frank Nazar</t>
  </si>
  <si>
    <t>Aliaksei Protas</t>
  </si>
  <si>
    <t>Mark Stone</t>
  </si>
  <si>
    <t>Dmitri Voronkov</t>
  </si>
  <si>
    <t>Quinton Byfield</t>
  </si>
  <si>
    <t>Charlie Coyle</t>
  </si>
  <si>
    <t>17:25</t>
  </si>
  <si>
    <t>Josh Doan</t>
  </si>
  <si>
    <t>15:32</t>
  </si>
  <si>
    <t>Nikolaj Ehlers</t>
  </si>
  <si>
    <t>Luke Evangelista</t>
  </si>
  <si>
    <t>Kevin Fiala</t>
  </si>
  <si>
    <t>Filip Forsberg</t>
  </si>
  <si>
    <t>Patrick Kane</t>
  </si>
  <si>
    <t>Auston Matthews</t>
  </si>
  <si>
    <t>Brock Nelson</t>
  </si>
  <si>
    <t>Mikhail Sergachev</t>
  </si>
  <si>
    <t>Owen Tippett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</si>
  <si>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</si>
  <si>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</si>
  <si>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</si>
  <si>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</si>
  <si>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</si>
  <si>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</si>
  <si>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</si>
  <si>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Erik Karlsson</t>
  </si>
  <si>
    <t>Ryan Leonard</t>
  </si>
  <si>
    <t>13:20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</si>
  <si>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</si>
  <si>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</si>
  <si>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</si>
  <si>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</si>
  <si>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</si>
  <si>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</si>
  <si>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</si>
  <si>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</si>
  <si>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</si>
  <si>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</si>
  <si>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</si>
  <si>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</si>
  <si>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</si>
  <si>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</si>
  <si>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</si>
  <si>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</si>
  <si>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</si>
  <si>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</si>
  <si>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</si>
  <si>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</si>
  <si>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</si>
  <si>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Dylan Holloway</t>
  </si>
  <si>
    <t>Alexis Lafrenire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</si>
  <si>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</si>
  <si>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</si>
  <si>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</si>
  <si>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</si>
  <si>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</si>
  <si>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</si>
  <si>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</si>
  <si>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</si>
  <si>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</si>
  <si>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</si>
  <si>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</si>
  <si>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</si>
  <si>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19:42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</si>
  <si>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</si>
  <si>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</si>
  <si>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</si>
  <si>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</si>
  <si>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</si>
  <si>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</si>
  <si>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</si>
  <si>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</si>
  <si>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</si>
  <si>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</si>
  <si>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</si>
  <si>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</si>
  <si>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</si>
  <si>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</si>
  <si>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</si>
  <si>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Dmitry Orlov</t>
  </si>
  <si>
    <t>Kiefer Sherwood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</si>
  <si>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</si>
  <si>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</si>
  <si>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</si>
  <si>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</si>
  <si>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</si>
  <si>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</si>
  <si>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</si>
  <si>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</si>
  <si>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</si>
  <si>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</si>
  <si>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</si>
  <si>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Sam Malinski</t>
  </si>
  <si>
    <t>Connor McMichael</t>
  </si>
  <si>
    <t>16:34</t>
  </si>
  <si>
    <t>Brandon Montour</t>
  </si>
  <si>
    <t>Simon Nemec</t>
  </si>
  <si>
    <t>Nino Niederreiter</t>
  </si>
  <si>
    <t>Jack Quinn</t>
  </si>
  <si>
    <t>Jaden Schwartz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</si>
  <si>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</si>
  <si>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</si>
  <si>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</si>
  <si>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</si>
  <si>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</si>
  <si>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</si>
  <si>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</si>
  <si>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</si>
  <si>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</si>
  <si>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</si>
  <si>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</si>
  <si>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</si>
  <si>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Emmitt Finnie</t>
  </si>
  <si>
    <t>16:28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</si>
  <si>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</si>
  <si>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</si>
  <si>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</si>
  <si>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</si>
  <si>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</si>
  <si>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</si>
  <si>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</si>
  <si>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</si>
  <si>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</si>
  <si>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</si>
  <si>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</si>
  <si>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</si>
  <si>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</si>
  <si>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</si>
  <si>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</si>
  <si>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</si>
  <si>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</si>
  <si>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</si>
  <si>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</si>
  <si>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</si>
  <si>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</si>
  <si>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</si>
  <si>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14:36</t>
  </si>
  <si>
    <t>Zachary Bolduc</t>
  </si>
  <si>
    <t>Zeev Buium</t>
  </si>
  <si>
    <t>Bowen Byram</t>
  </si>
  <si>
    <t>Jake DeBrusk</t>
  </si>
  <si>
    <t>Ryan Donato</t>
  </si>
  <si>
    <t>Tyson Foerster</t>
  </si>
  <si>
    <t>17:27</t>
  </si>
  <si>
    <t>Vladislav Gavrikov</t>
  </si>
  <si>
    <t>Arseny Gritsyuk</t>
  </si>
  <si>
    <t>Kris Letang</t>
  </si>
  <si>
    <t>Thomas Novak</t>
  </si>
  <si>
    <t>David Perron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</si>
  <si>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</si>
  <si>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</si>
  <si>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</si>
  <si>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</si>
  <si>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</si>
  <si>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</si>
  <si>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</si>
  <si>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</si>
  <si>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</si>
  <si>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</si>
  <si>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</si>
  <si>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</si>
  <si>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</si>
  <si>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</si>
  <si>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</si>
  <si>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</si>
  <si>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</si>
  <si>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</si>
  <si>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</si>
  <si>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</si>
  <si>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</si>
  <si>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</si>
  <si>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</si>
  <si>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</si>
  <si>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</si>
  <si>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</si>
  <si>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</si>
  <si>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</si>
  <si>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</si>
  <si>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</si>
  <si>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</si>
  <si>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</si>
  <si>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</si>
  <si>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</si>
  <si>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</si>
  <si>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</si>
  <si>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</si>
  <si>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</si>
  <si>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</si>
  <si>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</si>
  <si>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</si>
  <si>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</si>
  <si>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</si>
  <si>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</si>
  <si>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</si>
  <si>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</si>
  <si>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</si>
  <si>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Cameron York</t>
  </si>
  <si>
    <t>Olen Zellweger</t>
  </si>
  <si>
    <t>Mats Zuccarello</t>
  </si>
  <si>
    <t>Michael Amadio</t>
  </si>
  <si>
    <t>15:19</t>
  </si>
  <si>
    <t>Joel Armia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</si>
  <si>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</si>
  <si>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</si>
  <si>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</si>
  <si>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</si>
  <si>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</si>
  <si>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</si>
  <si>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</si>
  <si>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</si>
  <si>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</si>
  <si>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</si>
  <si>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</si>
  <si>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</si>
  <si>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</si>
  <si>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</si>
  <si>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</si>
  <si>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</si>
  <si>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</si>
  <si>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Steven Stamkos</t>
  </si>
  <si>
    <t>Artem Zub</t>
  </si>
  <si>
    <t>Philip Broberg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</si>
  <si>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</si>
  <si>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</si>
  <si>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</si>
  <si>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</si>
  <si>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</si>
  <si>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</si>
  <si>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</si>
  <si>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</si>
  <si>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</si>
  <si>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Martin Fehrvry</t>
  </si>
  <si>
    <t>18:56</t>
  </si>
  <si>
    <t>Ethen Frank</t>
  </si>
  <si>
    <t>Brendan Gallagher</t>
  </si>
  <si>
    <t>Adam Gaudette</t>
  </si>
  <si>
    <t>Yanni Gourde</t>
  </si>
  <si>
    <t>Thomas Harley</t>
  </si>
  <si>
    <t>Boone Jenner</t>
  </si>
  <si>
    <t>Roman Josi</t>
  </si>
  <si>
    <t>Linus Karlsson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</si>
  <si>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</si>
  <si>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</si>
  <si>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</si>
  <si>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</si>
  <si>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</si>
  <si>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</si>
  <si>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</si>
  <si>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</si>
  <si>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</si>
  <si>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</si>
  <si>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</si>
  <si>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</si>
  <si>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</si>
  <si>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</si>
  <si>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</si>
  <si>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</si>
  <si>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</si>
  <si>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</si>
  <si>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</si>
  <si>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</si>
  <si>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</si>
  <si>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</si>
  <si>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</si>
  <si>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</si>
  <si>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</si>
  <si>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</si>
  <si>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</si>
  <si>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</si>
  <si>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</si>
  <si>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</si>
  <si>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</si>
  <si>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</si>
  <si>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</si>
  <si>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</si>
  <si>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</si>
  <si>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</si>
  <si>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</si>
  <si>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</si>
  <si>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</si>
  <si>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</si>
  <si>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</si>
  <si>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</si>
  <si>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</si>
  <si>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</si>
  <si>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</si>
  <si>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</si>
  <si>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</si>
  <si>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</si>
  <si>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</si>
  <si>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</si>
  <si>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</si>
  <si>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</si>
  <si>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</si>
  <si>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</si>
  <si>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</si>
  <si>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Nathan Walker</t>
  </si>
  <si>
    <t>Sean Walker</t>
  </si>
  <si>
    <t>Nikita Zadorov</t>
  </si>
  <si>
    <t>Josh Anderson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</si>
  <si>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</si>
  <si>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</si>
  <si>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</si>
  <si>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</si>
  <si>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</si>
  <si>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</si>
  <si>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</si>
  <si>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</si>
  <si>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</si>
  <si>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Ben Hutton</t>
  </si>
  <si>
    <t>Mathieu Joseph</t>
  </si>
  <si>
    <t>Dakota Joshua</t>
  </si>
  <si>
    <t>12:30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</si>
  <si>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</si>
  <si>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</si>
  <si>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</si>
  <si>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</si>
  <si>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</si>
  <si>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</si>
  <si>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</si>
  <si>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</si>
  <si>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</si>
  <si>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</si>
  <si>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</si>
  <si>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</si>
  <si>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</si>
  <si>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</si>
  <si>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</si>
  <si>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</si>
  <si>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</si>
  <si>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</si>
  <si>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</si>
  <si>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</si>
  <si>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</si>
  <si>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</si>
  <si>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Gavin Brindley</t>
  </si>
  <si>
    <t>Casey Cizikas</t>
  </si>
  <si>
    <t>10:12</t>
  </si>
  <si>
    <t>Nick Cousins</t>
  </si>
  <si>
    <t>10:37</t>
  </si>
  <si>
    <t>Kirby Dach</t>
  </si>
  <si>
    <t>Aaron Ekblad</t>
  </si>
  <si>
    <t>Mario Ferraro</t>
  </si>
  <si>
    <t>Gage Goncalves</t>
  </si>
  <si>
    <t>Nicolas Hague</t>
  </si>
  <si>
    <t>Ross Johnston</t>
  </si>
  <si>
    <t>William Karlsson</t>
  </si>
  <si>
    <t>212:03</t>
  </si>
  <si>
    <t>Marat Khusnutdinov</t>
  </si>
  <si>
    <t>13:54</t>
  </si>
  <si>
    <t>Peyton Krebs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</si>
  <si>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</si>
  <si>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</si>
  <si>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</si>
  <si>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</si>
  <si>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</si>
  <si>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</si>
  <si>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</si>
  <si>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</si>
  <si>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Eric Robinson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</si>
  <si>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</si>
  <si>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</si>
  <si>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</si>
  <si>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</si>
  <si>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</si>
  <si>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</si>
  <si>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</si>
  <si>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</si>
  <si>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</si>
  <si>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</si>
  <si>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</si>
  <si>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</si>
  <si>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</si>
  <si>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</si>
  <si>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</si>
  <si>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</si>
  <si>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</si>
  <si>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</si>
  <si>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</si>
  <si>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</si>
  <si>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</si>
  <si>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</si>
  <si>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</si>
  <si>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</si>
  <si>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</si>
  <si>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</si>
  <si>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</si>
  <si>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Lars Eller</t>
  </si>
  <si>
    <t>Ty Emberson</t>
  </si>
  <si>
    <t>Ryker Evans</t>
  </si>
  <si>
    <t>Warren Foegele</t>
  </si>
  <si>
    <t>Nick Foligno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</si>
  <si>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</si>
  <si>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</si>
  <si>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</si>
  <si>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</si>
  <si>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</si>
  <si>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</si>
  <si>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</si>
  <si>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</si>
  <si>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</si>
  <si>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</si>
  <si>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17:23</t>
  </si>
  <si>
    <t>Sean Kuraly</t>
  </si>
  <si>
    <t>14:08</t>
  </si>
  <si>
    <t>Josh Manson</t>
  </si>
  <si>
    <t>Emil Martinsen Lilleberg</t>
  </si>
  <si>
    <t>Jared McCann</t>
  </si>
  <si>
    <t>Ryan McDonagh</t>
  </si>
  <si>
    <t>Sonny Milano</t>
  </si>
  <si>
    <t>Gustav Nyquist</t>
  </si>
  <si>
    <t>12:22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</si>
  <si>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</si>
  <si>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</si>
  <si>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</si>
  <si>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</si>
  <si>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</si>
  <si>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</si>
  <si>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</si>
  <si>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</si>
  <si>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</si>
  <si>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</si>
  <si>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</si>
  <si>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</si>
  <si>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</si>
  <si>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</si>
  <si>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</si>
  <si>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</si>
  <si>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</si>
  <si>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</si>
  <si>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</si>
  <si>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</si>
  <si>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</si>
  <si>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15:15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</si>
  <si>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</si>
  <si>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</si>
  <si>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</si>
  <si>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</si>
  <si>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</si>
  <si>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</si>
  <si>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</si>
  <si>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</si>
  <si>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</si>
  <si>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</si>
  <si>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</si>
  <si>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</si>
  <si>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</si>
  <si>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</si>
  <si>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</si>
  <si>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</si>
  <si>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</si>
  <si>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</si>
  <si>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</si>
  <si>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</si>
  <si>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</si>
  <si>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</si>
  <si>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14:19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</si>
  <si>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</si>
  <si>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</si>
  <si>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</si>
  <si>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</si>
  <si>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</si>
  <si>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</si>
  <si>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</si>
  <si>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</si>
  <si>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</si>
  <si>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</si>
  <si>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</si>
  <si>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</si>
  <si>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</si>
  <si>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</si>
  <si>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</si>
  <si>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</si>
  <si>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</si>
  <si>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</si>
  <si>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</si>
  <si>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</si>
  <si>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</si>
  <si>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</si>
  <si>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</si>
  <si>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</si>
  <si>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</si>
  <si>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</si>
  <si>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</si>
  <si>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</si>
  <si>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</si>
  <si>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</si>
  <si>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</si>
  <si>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15:08</t>
  </si>
  <si>
    <t>William Borgen</t>
  </si>
  <si>
    <t>Kyle Capobianco</t>
  </si>
  <si>
    <t>12:27</t>
  </si>
  <si>
    <t>Erik ernk</t>
  </si>
  <si>
    <t>Jalen Chatfield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</si>
  <si>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</si>
  <si>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</si>
  <si>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</si>
  <si>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</si>
  <si>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</si>
  <si>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</si>
  <si>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</si>
  <si>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</si>
  <si>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</si>
  <si>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</si>
  <si>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</si>
  <si>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</si>
  <si>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</si>
  <si>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</si>
  <si>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</si>
  <si>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</si>
  <si>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</si>
  <si>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</si>
  <si>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</si>
  <si>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</si>
  <si>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</si>
  <si>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</si>
  <si>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</si>
  <si>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</si>
  <si>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</si>
  <si>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</si>
  <si>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</si>
  <si>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</si>
  <si>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15:54</t>
  </si>
  <si>
    <t>Timothy Liljegren</t>
  </si>
  <si>
    <t>20:08</t>
  </si>
  <si>
    <t>Mackenzie MacEachern</t>
  </si>
  <si>
    <t>81:28</t>
  </si>
  <si>
    <t>10:11</t>
  </si>
  <si>
    <t>Nikolas Matinpalo</t>
  </si>
  <si>
    <t>Niko Mikkola</t>
  </si>
  <si>
    <t>Ian Moore</t>
  </si>
  <si>
    <t>Jani Nyman</t>
  </si>
  <si>
    <t>Nicklaus Perbix</t>
  </si>
  <si>
    <t>Cole Perfetti</t>
  </si>
  <si>
    <t>Cole Reinhardt</t>
  </si>
  <si>
    <t>Brandon Saad</t>
  </si>
  <si>
    <t>13:52</t>
  </si>
  <si>
    <t>Dylan Samberg</t>
  </si>
  <si>
    <t>Luke Schenn</t>
  </si>
  <si>
    <t>Jared Spurgeon</t>
  </si>
  <si>
    <t>20:53</t>
  </si>
  <si>
    <t>Troy Stecher</t>
  </si>
  <si>
    <t>81:44</t>
  </si>
  <si>
    <t>13:37</t>
  </si>
  <si>
    <t>Jayden Struble</t>
  </si>
  <si>
    <t>Fedor Svechkov</t>
  </si>
  <si>
    <t>Tyler Tucker</t>
  </si>
  <si>
    <t>Frank Vatrano</t>
  </si>
  <si>
    <t>Ozzy Wiesblatt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</si>
  <si>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</si>
  <si>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</si>
  <si>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</si>
  <si>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</si>
  <si>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</si>
  <si>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</si>
  <si>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</si>
  <si>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</si>
  <si>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</si>
  <si>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</si>
  <si>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</si>
  <si>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</si>
  <si>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</si>
  <si>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</si>
  <si>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</si>
  <si>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</si>
  <si>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</si>
  <si>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</si>
  <si>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</si>
  <si>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</si>
  <si>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</si>
  <si>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</si>
  <si>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</si>
  <si>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</si>
  <si>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</si>
  <si>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</si>
  <si>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</si>
  <si>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</si>
  <si>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</si>
  <si>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</si>
  <si>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</si>
  <si>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Isaac Howard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</si>
  <si>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</si>
  <si>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</si>
  <si>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</si>
  <si>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</si>
  <si>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</si>
  <si>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</si>
  <si>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</si>
  <si>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</si>
  <si>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</si>
  <si>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</si>
  <si>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</si>
  <si>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</si>
  <si>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</si>
  <si>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</si>
  <si>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</si>
  <si>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</si>
  <si>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</si>
  <si>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</si>
  <si>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</si>
  <si>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</si>
  <si>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</si>
  <si>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</si>
  <si>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</si>
  <si>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</si>
  <si>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</si>
  <si>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</si>
  <si>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</si>
  <si>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</si>
  <si>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</si>
  <si>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</si>
  <si>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</si>
  <si>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Colton Sissons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</si>
  <si>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</si>
  <si>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</si>
  <si>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</si>
  <si>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</si>
  <si>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</si>
  <si>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</si>
  <si>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</si>
  <si>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</si>
  <si>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</si>
  <si>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</si>
  <si>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</si>
  <si>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</si>
  <si>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Declan Chisholm</t>
  </si>
  <si>
    <t>Vincent Desharnais</t>
  </si>
  <si>
    <t>Sam Dickinson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</si>
  <si>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</si>
  <si>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</si>
  <si>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</si>
  <si>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</si>
  <si>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</si>
  <si>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</si>
  <si>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</si>
  <si>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</si>
  <si>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</si>
  <si>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19:14</t>
  </si>
  <si>
    <t>Stephen Halliday</t>
  </si>
  <si>
    <t>Jansen Harkins</t>
  </si>
  <si>
    <t>Jordan Harris</t>
  </si>
  <si>
    <t>78:09</t>
  </si>
  <si>
    <t>Kasperi Kapanen</t>
  </si>
  <si>
    <t>12:17</t>
  </si>
  <si>
    <t>Matthew Kessel</t>
  </si>
  <si>
    <t>Joel Kiviranta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</si>
  <si>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</si>
  <si>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</si>
  <si>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</si>
  <si>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</si>
  <si>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</si>
  <si>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</si>
  <si>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</si>
  <si>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</si>
  <si>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</si>
  <si>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</si>
  <si>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</si>
  <si>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</si>
  <si>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</si>
  <si>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</si>
  <si>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</si>
  <si>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</si>
  <si>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</si>
  <si>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</si>
  <si>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12:43</t>
  </si>
  <si>
    <t>Scott Sabourin</t>
  </si>
  <si>
    <t>Cole Schwindt</t>
  </si>
  <si>
    <t>Donovan Sebrango</t>
  </si>
  <si>
    <t>30:27</t>
  </si>
  <si>
    <t>15:14</t>
  </si>
  <si>
    <t>Jonas Siegenthaler</t>
  </si>
  <si>
    <t>19:34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</si>
  <si>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</si>
  <si>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</si>
  <si>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</si>
  <si>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</si>
  <si>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</si>
  <si>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</si>
  <si>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</si>
  <si>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</si>
  <si>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</si>
  <si>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</si>
  <si>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</si>
  <si>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</si>
  <si>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Jonathan Aspirot</t>
  </si>
  <si>
    <t>Jacob Bernard-Docker</t>
  </si>
  <si>
    <t>Jordan Binnington</t>
  </si>
  <si>
    <t>Teddy Blueger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</si>
  <si>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</si>
  <si>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</si>
  <si>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</si>
  <si>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</si>
  <si>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</si>
  <si>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</si>
  <si>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</si>
  <si>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</si>
  <si>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</si>
  <si>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</si>
  <si>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Dennis Cholowski</t>
  </si>
  <si>
    <t>Jake Christiansen</t>
  </si>
  <si>
    <t>Connor Clattenburg</t>
  </si>
  <si>
    <t>36:02</t>
  </si>
  <si>
    <t>7:12</t>
  </si>
  <si>
    <t>Sam Colangelo</t>
  </si>
  <si>
    <t>Joey Daccord</t>
  </si>
  <si>
    <t>Jared Davidson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</si>
  <si>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</si>
  <si>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</si>
  <si>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</si>
  <si>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</si>
  <si>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</si>
  <si>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</si>
  <si>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</si>
  <si>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</si>
  <si>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</si>
  <si>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</si>
  <si>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</si>
  <si>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</si>
  <si>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</si>
  <si>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</si>
  <si>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</si>
  <si>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</si>
  <si>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</si>
  <si>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</si>
  <si>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</si>
  <si>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</si>
  <si>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</si>
  <si>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</si>
  <si>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</si>
  <si>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</si>
  <si>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Caleb Jones</t>
  </si>
  <si>
    <t>120:12</t>
  </si>
  <si>
    <t>17:10</t>
  </si>
  <si>
    <t>Pierre-Olivier Joseph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</si>
  <si>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</si>
  <si>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</si>
  <si>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</si>
  <si>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</si>
  <si>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</si>
  <si>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</si>
  <si>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</si>
  <si>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</si>
  <si>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</si>
  <si>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</si>
  <si>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</si>
  <si>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</si>
  <si>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</si>
  <si>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</si>
  <si>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</si>
  <si>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</si>
  <si>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</si>
  <si>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</si>
  <si>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</si>
  <si>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</si>
  <si>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</si>
  <si>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</si>
  <si>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</si>
  <si>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</si>
  <si>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</si>
  <si>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</si>
  <si>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</si>
  <si>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</si>
  <si>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</si>
  <si>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</si>
  <si>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</si>
  <si>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</si>
  <si>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</si>
  <si>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</si>
  <si>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</si>
  <si>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</si>
  <si>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</si>
  <si>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</si>
  <si>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</si>
  <si>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</si>
  <si>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</si>
  <si>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</si>
  <si>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</si>
  <si>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</si>
  <si>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</si>
  <si>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</si>
  <si>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</si>
  <si>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</si>
  <si>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</si>
  <si>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</si>
  <si>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</si>
  <si>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</si>
  <si>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</si>
  <si>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</si>
  <si>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</si>
  <si>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</si>
  <si>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</si>
  <si>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</si>
  <si>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</si>
  <si>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</si>
  <si>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</si>
  <si>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</si>
  <si>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</si>
  <si>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</si>
  <si>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</si>
  <si>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</si>
  <si>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</si>
  <si>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</si>
  <si>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</si>
  <si>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</si>
  <si>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</si>
  <si>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</si>
  <si>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</si>
  <si>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</si>
  <si>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</si>
  <si>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</si>
  <si>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</si>
  <si>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</si>
  <si>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</si>
  <si>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</si>
  <si>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</si>
  <si>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</si>
  <si>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</si>
  <si>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</si>
  <si>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</si>
  <si>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</si>
  <si>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</si>
  <si>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</si>
  <si>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</si>
  <si>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</si>
  <si>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</si>
  <si>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</si>
  <si>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</si>
  <si>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</si>
  <si>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</si>
  <si>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</si>
  <si>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</si>
  <si>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</si>
  <si>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</si>
  <si>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</si>
  <si>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</si>
  <si>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</si>
  <si>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</si>
  <si>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</si>
  <si>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</si>
  <si>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</si>
  <si>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</si>
  <si>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</si>
  <si>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</si>
  <si>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</si>
  <si>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</si>
  <si>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</si>
  <si>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</si>
  <si>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</si>
  <si>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</si>
  <si>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</si>
  <si>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</si>
  <si>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</si>
  <si>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</si>
  <si>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</si>
  <si>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</si>
  <si>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</si>
  <si>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</si>
  <si>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</si>
  <si>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</si>
  <si>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</si>
  <si>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</si>
  <si>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</si>
  <si>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</si>
  <si>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</si>
  <si>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</si>
  <si>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</si>
  <si>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</si>
  <si>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</si>
  <si>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</si>
  <si>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</si>
  <si>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</si>
  <si>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</si>
  <si>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</si>
  <si>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</si>
  <si>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</si>
  <si>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</si>
  <si>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</si>
  <si>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</si>
  <si>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</si>
  <si>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Erik Gustafsson</t>
  </si>
  <si>
    <t>Filip Gustavsson</t>
  </si>
  <si>
    <t>Hunter Haight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</si>
  <si>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</si>
  <si>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</si>
  <si>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</si>
  <si>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</si>
  <si>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</si>
  <si>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</si>
  <si>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</si>
  <si>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</si>
  <si>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</si>
  <si>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</si>
  <si>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</si>
  <si>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</si>
  <si>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</si>
  <si>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</si>
  <si>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</si>
  <si>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</si>
  <si>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</si>
  <si>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</si>
  <si>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</si>
  <si>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</si>
  <si>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</si>
  <si>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</si>
  <si>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</si>
  <si>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</si>
  <si>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</si>
  <si>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</si>
  <si>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</si>
  <si>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</si>
  <si>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</si>
  <si>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</si>
  <si>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</si>
  <si>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</si>
  <si>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</si>
  <si>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</si>
  <si>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</si>
  <si>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</si>
  <si>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</si>
  <si>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</si>
  <si>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Aleksei Kolosov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</si>
  <si>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</si>
  <si>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</si>
  <si>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</si>
  <si>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</si>
  <si>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</si>
  <si>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</si>
  <si>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</si>
  <si>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</si>
  <si>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</si>
  <si>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</si>
  <si>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</si>
  <si>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</si>
  <si>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</si>
  <si>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</si>
  <si>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</si>
  <si>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</si>
  <si>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</si>
  <si>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</si>
  <si>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</si>
  <si>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</si>
  <si>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</si>
  <si>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</si>
  <si>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</si>
  <si>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Victor Mancini</t>
  </si>
  <si>
    <t>10:32</t>
  </si>
  <si>
    <t>Dysin Mayo</t>
  </si>
  <si>
    <t>Rutger McGroarty</t>
  </si>
  <si>
    <t>Dylan McIlrath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</si>
  <si>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</si>
  <si>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</si>
  <si>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</si>
  <si>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</si>
  <si>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</si>
  <si>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</si>
  <si>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</si>
  <si>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</si>
  <si>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</si>
  <si>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Daniil Miromanov</t>
  </si>
  <si>
    <t>Travis Mitchell</t>
  </si>
  <si>
    <t>Sam Montembeault</t>
  </si>
  <si>
    <t>Sam Morton</t>
  </si>
  <si>
    <t>28:00</t>
  </si>
  <si>
    <t>Jacob Moverare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</si>
  <si>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</si>
  <si>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</si>
  <si>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</si>
  <si>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</si>
  <si>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</si>
  <si>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</si>
  <si>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</si>
  <si>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</si>
  <si>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</si>
  <si>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</si>
  <si>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</si>
  <si>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</si>
  <si>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</si>
  <si>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</si>
  <si>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</si>
  <si>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</si>
  <si>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</si>
  <si>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</si>
  <si>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</si>
  <si>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</si>
  <si>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</si>
  <si>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</si>
  <si>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</si>
  <si>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</si>
  <si>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</si>
  <si>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</si>
  <si>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</si>
  <si>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</si>
  <si>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</si>
  <si>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</si>
  <si>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</si>
  <si>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</si>
  <si>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</si>
  <si>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</si>
  <si>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</si>
  <si>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Juuse Saros</t>
  </si>
  <si>
    <t>Akira Schmid</t>
  </si>
  <si>
    <t>Igor Shesterkin</t>
  </si>
  <si>
    <t>Hunter Skinner</t>
  </si>
  <si>
    <t>Stuart Skinner</t>
  </si>
  <si>
    <t>Jaccob Slavin</t>
  </si>
  <si>
    <t>18:32</t>
  </si>
  <si>
    <t>Arvid Sderblom</t>
  </si>
  <si>
    <t>Victor Sderstrm</t>
  </si>
  <si>
    <t>Ilya Solovyov</t>
  </si>
  <si>
    <t>Ilya Sorokin</t>
  </si>
  <si>
    <t>Anthony Stolarz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</si>
  <si>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</si>
  <si>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</si>
  <si>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</si>
  <si>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</si>
  <si>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</si>
  <si>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</si>
  <si>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</si>
  <si>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</si>
  <si>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</si>
  <si>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</si>
  <si>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</si>
  <si>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</si>
  <si>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</si>
  <si>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18:38</t>
  </si>
  <si>
    <t>14:39</t>
  </si>
  <si>
    <t>9:08</t>
  </si>
  <si>
    <t>18:22</t>
  </si>
  <si>
    <t>20:48</t>
  </si>
  <si>
    <t>14:15</t>
  </si>
  <si>
    <t>8:43</t>
  </si>
  <si>
    <t>143:18</t>
  </si>
  <si>
    <t>13:02</t>
  </si>
  <si>
    <t>Nils Hglander</t>
  </si>
  <si>
    <t>21:07</t>
  </si>
  <si>
    <t>18:21</t>
  </si>
  <si>
    <t>16:53</t>
  </si>
  <si>
    <t>13:38</t>
  </si>
  <si>
    <t>15:30</t>
  </si>
  <si>
    <t>15:40</t>
  </si>
  <si>
    <t>15:16</t>
  </si>
  <si>
    <t>379:36</t>
  </si>
  <si>
    <t>21:05</t>
  </si>
  <si>
    <t>21:03</t>
  </si>
  <si>
    <t>11:27</t>
  </si>
  <si>
    <t>17:21</t>
  </si>
  <si>
    <t>12:13</t>
  </si>
  <si>
    <t>Vyacheslav Buteyets</t>
  </si>
  <si>
    <t>Ty Murchison</t>
  </si>
  <si>
    <t>19:05</t>
  </si>
  <si>
    <t>22:43</t>
  </si>
  <si>
    <t>19:07</t>
  </si>
  <si>
    <t>16:47</t>
  </si>
  <si>
    <t>489:40</t>
  </si>
  <si>
    <t>16:19</t>
  </si>
  <si>
    <t>73:16</t>
  </si>
  <si>
    <t>Hunter Brzustewicz</t>
  </si>
  <si>
    <t>15:47</t>
  </si>
  <si>
    <t>8.0</t>
  </si>
  <si>
    <t>17:52</t>
  </si>
  <si>
    <t>18:11</t>
  </si>
  <si>
    <t>18:28</t>
  </si>
  <si>
    <t>16:07</t>
  </si>
  <si>
    <t>713:08</t>
  </si>
  <si>
    <t>27:26</t>
  </si>
  <si>
    <t>15:44</t>
  </si>
  <si>
    <t>572:19</t>
  </si>
  <si>
    <t>12:26</t>
  </si>
  <si>
    <t>445:59</t>
  </si>
  <si>
    <t>179:45</t>
  </si>
  <si>
    <t>16:02</t>
  </si>
  <si>
    <t>138:51</t>
  </si>
  <si>
    <t>548:52</t>
  </si>
  <si>
    <t>17:42</t>
  </si>
  <si>
    <t>87:10</t>
  </si>
  <si>
    <t>Robby Fabbri</t>
  </si>
  <si>
    <t>Hugh McGing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</si>
  <si>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</si>
  <si>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</si>
  <si>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</si>
  <si>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</si>
  <si>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</si>
  <si>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</si>
  <si>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</si>
  <si>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</si>
  <si>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</si>
  <si>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</si>
  <si>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19:17</t>
  </si>
  <si>
    <t>496:54</t>
  </si>
  <si>
    <t>14:24</t>
  </si>
  <si>
    <t>11:55</t>
  </si>
  <si>
    <t>555:00</t>
  </si>
  <si>
    <t>13:44</t>
  </si>
  <si>
    <t>236:41</t>
  </si>
  <si>
    <t>10:46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</si>
  <si>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</si>
  <si>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</si>
  <si>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</si>
  <si>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</si>
  <si>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</si>
  <si>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</si>
  <si>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</si>
  <si>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</si>
  <si>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</si>
  <si>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</si>
  <si>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16:21</t>
  </si>
  <si>
    <t>216:56</t>
  </si>
  <si>
    <t>Max Jones</t>
  </si>
  <si>
    <t>Jacob Melanson</t>
  </si>
  <si>
    <t>281:17</t>
  </si>
  <si>
    <t>56:15</t>
  </si>
  <si>
    <t>32:37</t>
  </si>
  <si>
    <t>58:25</t>
  </si>
  <si>
    <t>10:42</t>
  </si>
  <si>
    <t>Igor Chernyshov</t>
  </si>
  <si>
    <t>John Leonard</t>
  </si>
  <si>
    <t>226:18</t>
  </si>
  <si>
    <t>103:50</t>
  </si>
  <si>
    <t>47:08</t>
  </si>
  <si>
    <t>7:51</t>
  </si>
  <si>
    <t>32:42</t>
  </si>
  <si>
    <t>Quinn Hutson</t>
  </si>
  <si>
    <t>Rasmus Ristolainen</t>
  </si>
  <si>
    <t>Jack St. Ivany</t>
  </si>
  <si>
    <t>Otto Stenberg</t>
  </si>
  <si>
    <t>20:50</t>
  </si>
  <si>
    <t>491:34</t>
  </si>
  <si>
    <t>634:48</t>
  </si>
  <si>
    <t>151:41</t>
  </si>
  <si>
    <t>48:32</t>
  </si>
  <si>
    <t>6:43</t>
  </si>
  <si>
    <t>45:40</t>
  </si>
  <si>
    <t>Carson Lambos</t>
  </si>
  <si>
    <t>Riley Stillman</t>
  </si>
  <si>
    <t>59:27</t>
  </si>
  <si>
    <t>14:03</t>
  </si>
  <si>
    <t>68:51</t>
  </si>
  <si>
    <t>8:36</t>
  </si>
  <si>
    <t>Alexander Kerfoot</t>
  </si>
  <si>
    <t>42:52</t>
  </si>
  <si>
    <t>8:34</t>
  </si>
  <si>
    <t>17:53</t>
  </si>
  <si>
    <t>18:18</t>
  </si>
  <si>
    <t>20:56</t>
  </si>
  <si>
    <t>19:37</t>
  </si>
  <si>
    <t>17:44</t>
  </si>
  <si>
    <t>17:54</t>
  </si>
  <si>
    <t>15:29</t>
  </si>
  <si>
    <t>18:13</t>
  </si>
  <si>
    <t>18:42</t>
  </si>
  <si>
    <t>17:32</t>
  </si>
  <si>
    <t>15:34</t>
  </si>
  <si>
    <t>13:03</t>
  </si>
  <si>
    <t>15:41</t>
  </si>
  <si>
    <t>13:29</t>
  </si>
  <si>
    <t>14:20</t>
  </si>
  <si>
    <t>17:34</t>
  </si>
  <si>
    <t>16:23</t>
  </si>
  <si>
    <t>9:57</t>
  </si>
  <si>
    <t>14:32</t>
  </si>
  <si>
    <t>298:42</t>
  </si>
  <si>
    <t>10:18</t>
  </si>
  <si>
    <t>12:14</t>
  </si>
  <si>
    <t>11:34</t>
  </si>
  <si>
    <t>10:43</t>
  </si>
  <si>
    <t>8:57</t>
  </si>
  <si>
    <t>9:37</t>
  </si>
  <si>
    <t>Denver Barkey</t>
  </si>
  <si>
    <t>69:08</t>
  </si>
  <si>
    <t>490:09</t>
  </si>
  <si>
    <t>54:28</t>
  </si>
  <si>
    <t>Ivan Miroshnichenko</t>
  </si>
  <si>
    <t>8:12</t>
  </si>
  <si>
    <t>58:47</t>
  </si>
  <si>
    <t>95:03</t>
  </si>
  <si>
    <t>19:57</t>
  </si>
  <si>
    <t>24:11</t>
  </si>
  <si>
    <t>17:58</t>
  </si>
  <si>
    <t>13:13</t>
  </si>
  <si>
    <t>11:51</t>
  </si>
  <si>
    <t>23:23</t>
  </si>
  <si>
    <t>12:54</t>
  </si>
  <si>
    <t>16:56</t>
  </si>
  <si>
    <t>13:14</t>
  </si>
  <si>
    <t>178:57</t>
  </si>
  <si>
    <t>22:56</t>
  </si>
  <si>
    <t>9:31</t>
  </si>
  <si>
    <t>13:40</t>
  </si>
  <si>
    <t>9:19</t>
  </si>
  <si>
    <t>12:32</t>
  </si>
  <si>
    <t>109:25</t>
  </si>
  <si>
    <t>13:41</t>
  </si>
  <si>
    <t>Connor Ingram</t>
  </si>
  <si>
    <t>9:39</t>
  </si>
  <si>
    <t>16:30</t>
  </si>
  <si>
    <t>20:19</t>
  </si>
  <si>
    <t>360:04</t>
  </si>
  <si>
    <t>256:55</t>
  </si>
  <si>
    <t>13:36</t>
  </si>
  <si>
    <t>114:04</t>
  </si>
  <si>
    <t>19:46</t>
  </si>
  <si>
    <t>15:52</t>
  </si>
  <si>
    <t>16:59</t>
  </si>
  <si>
    <t>14:35</t>
  </si>
  <si>
    <t>11:49</t>
  </si>
  <si>
    <t>308:05</t>
  </si>
  <si>
    <t>9:01</t>
  </si>
  <si>
    <t>94:48</t>
  </si>
  <si>
    <t>83:31</t>
  </si>
  <si>
    <t>11:56</t>
  </si>
  <si>
    <t>Pheonix Copley</t>
  </si>
  <si>
    <t>58:34</t>
  </si>
  <si>
    <t>20:55</t>
  </si>
  <si>
    <t>11:23</t>
  </si>
  <si>
    <t>10:20</t>
  </si>
  <si>
    <t>606:26</t>
  </si>
  <si>
    <t>22:35</t>
  </si>
  <si>
    <t>10:56</t>
  </si>
  <si>
    <t>11:54</t>
  </si>
  <si>
    <t>22:51</t>
  </si>
  <si>
    <t>9:42</t>
  </si>
  <si>
    <t>469:05</t>
  </si>
  <si>
    <t>11:29</t>
  </si>
  <si>
    <t>163:02</t>
  </si>
  <si>
    <t>161:11</t>
  </si>
  <si>
    <t>5:58</t>
  </si>
  <si>
    <t>9:11</t>
  </si>
  <si>
    <t>104:02</t>
  </si>
  <si>
    <t>45:59</t>
  </si>
  <si>
    <t>Xavier Bourgault</t>
  </si>
  <si>
    <t>59:00</t>
  </si>
  <si>
    <t>1665:51</t>
  </si>
  <si>
    <t>59:30</t>
  </si>
  <si>
    <t>22:27</t>
  </si>
  <si>
    <t>18:50</t>
  </si>
  <si>
    <t>443:33</t>
  </si>
  <si>
    <t>11:03</t>
  </si>
  <si>
    <t>12:29</t>
  </si>
  <si>
    <t>73:49</t>
  </si>
  <si>
    <t>197:42</t>
  </si>
  <si>
    <t>Maxim Groshev</t>
  </si>
  <si>
    <t>56:02</t>
  </si>
  <si>
    <t>19:47</t>
  </si>
  <si>
    <t>22:11</t>
  </si>
  <si>
    <t>20:05</t>
  </si>
  <si>
    <t>18:45</t>
  </si>
  <si>
    <t>20:40</t>
  </si>
  <si>
    <t>17:16</t>
  </si>
  <si>
    <t>19:23</t>
  </si>
  <si>
    <t>17:36</t>
  </si>
  <si>
    <t>17:39</t>
  </si>
  <si>
    <t>16:37</t>
  </si>
  <si>
    <t>22:47</t>
  </si>
  <si>
    <t>16:29</t>
  </si>
  <si>
    <t>18:49</t>
  </si>
  <si>
    <t>15:13</t>
  </si>
  <si>
    <t>15:31</t>
  </si>
  <si>
    <t>16:60</t>
  </si>
  <si>
    <t>18:36</t>
  </si>
  <si>
    <t>16:50</t>
  </si>
  <si>
    <t>15:05</t>
  </si>
  <si>
    <t>14:07</t>
  </si>
  <si>
    <t>16:25</t>
  </si>
  <si>
    <t>19:20</t>
  </si>
  <si>
    <t>11:48</t>
  </si>
  <si>
    <t>13:42</t>
  </si>
  <si>
    <t>457:19</t>
  </si>
  <si>
    <t>149:37</t>
  </si>
  <si>
    <t>17:48</t>
  </si>
  <si>
    <t>23:29</t>
  </si>
  <si>
    <t>14:16</t>
  </si>
  <si>
    <t>21:51</t>
  </si>
  <si>
    <t>12:02</t>
  </si>
  <si>
    <t>423:31</t>
  </si>
  <si>
    <t>20:12</t>
  </si>
  <si>
    <t>17:00</t>
  </si>
  <si>
    <t>12:01</t>
  </si>
  <si>
    <t>12:25</t>
  </si>
  <si>
    <t>14:06</t>
  </si>
  <si>
    <t>12:41</t>
  </si>
  <si>
    <t>19:32</t>
  </si>
  <si>
    <t>14:53</t>
  </si>
  <si>
    <t>539:23</t>
  </si>
  <si>
    <t>17:35</t>
  </si>
  <si>
    <t>20:23</t>
  </si>
  <si>
    <t>14:25</t>
  </si>
  <si>
    <t>14:05</t>
  </si>
  <si>
    <t>8:06</t>
  </si>
  <si>
    <t>11:05</t>
  </si>
  <si>
    <t>13:43</t>
  </si>
  <si>
    <t>21:18</t>
  </si>
  <si>
    <t>13:59</t>
  </si>
  <si>
    <t>10:17</t>
  </si>
  <si>
    <t>7:60</t>
  </si>
  <si>
    <t>790:06</t>
  </si>
  <si>
    <t>91:49</t>
  </si>
  <si>
    <t>60:34</t>
  </si>
  <si>
    <t>12:42</t>
  </si>
  <si>
    <t>166:10</t>
  </si>
  <si>
    <t>14:10</t>
  </si>
  <si>
    <t>64:17</t>
  </si>
  <si>
    <t>4:01</t>
  </si>
  <si>
    <t>8:35</t>
  </si>
  <si>
    <t>8:42</t>
  </si>
  <si>
    <t>137:56</t>
  </si>
  <si>
    <t>Marcus Hgberg</t>
  </si>
  <si>
    <t>24:19</t>
  </si>
  <si>
    <t>18:46</t>
  </si>
  <si>
    <t>23:34</t>
  </si>
  <si>
    <t>939:36</t>
  </si>
  <si>
    <t>24:33</t>
  </si>
  <si>
    <t>17:17</t>
  </si>
  <si>
    <t>16:03</t>
  </si>
  <si>
    <t>12:46</t>
  </si>
  <si>
    <t>11:45</t>
  </si>
  <si>
    <t>18:34</t>
  </si>
  <si>
    <t>128:18</t>
  </si>
  <si>
    <t>Justin Dowling</t>
  </si>
  <si>
    <t>Jaycob Megna</t>
  </si>
  <si>
    <t>856:52</t>
  </si>
  <si>
    <t>20:41</t>
  </si>
  <si>
    <t>18:20</t>
  </si>
  <si>
    <t>18:03</t>
  </si>
  <si>
    <t>17:06</t>
  </si>
  <si>
    <t>16:35</t>
  </si>
  <si>
    <t>17:29</t>
  </si>
  <si>
    <t>24:24</t>
  </si>
  <si>
    <t>15:46</t>
  </si>
  <si>
    <t>14:23</t>
  </si>
  <si>
    <t>12:55</t>
  </si>
  <si>
    <t>16:10</t>
  </si>
  <si>
    <t>893:15</t>
  </si>
  <si>
    <t>22:20</t>
  </si>
  <si>
    <t>20:59</t>
  </si>
  <si>
    <t>309:29</t>
  </si>
  <si>
    <t>20:20</t>
  </si>
  <si>
    <t>378:05</t>
  </si>
  <si>
    <t>342:07</t>
  </si>
  <si>
    <t>10:19</t>
  </si>
  <si>
    <t>9:38</t>
  </si>
  <si>
    <t>195:33</t>
  </si>
  <si>
    <t>9:03</t>
  </si>
  <si>
    <t>245:29</t>
  </si>
  <si>
    <t>183:03</t>
  </si>
  <si>
    <t>31:59</t>
  </si>
  <si>
    <t>59:05</t>
  </si>
  <si>
    <t>57:32</t>
  </si>
  <si>
    <t>59:45</t>
  </si>
  <si>
    <t>Matt Benning</t>
  </si>
  <si>
    <t>Cole McWard</t>
  </si>
  <si>
    <t>19:21</t>
  </si>
  <si>
    <t>23:46</t>
  </si>
  <si>
    <t>649:39</t>
  </si>
  <si>
    <t>18:26</t>
  </si>
  <si>
    <t>342:29</t>
  </si>
  <si>
    <t>60:05</t>
  </si>
  <si>
    <t>17:57</t>
  </si>
  <si>
    <t>21:26</t>
  </si>
  <si>
    <t>19:28</t>
  </si>
  <si>
    <t>800:34</t>
  </si>
  <si>
    <t>18:33</t>
  </si>
  <si>
    <t>707:10</t>
  </si>
  <si>
    <t>17:02</t>
  </si>
  <si>
    <t>17:31</t>
  </si>
  <si>
    <t>21:19</t>
  </si>
  <si>
    <t>685:33</t>
  </si>
  <si>
    <t>18:60</t>
  </si>
  <si>
    <t>620:02</t>
  </si>
  <si>
    <t>18:19</t>
  </si>
  <si>
    <t>604:57</t>
  </si>
  <si>
    <t>594:49</t>
  </si>
  <si>
    <t>12:24</t>
  </si>
  <si>
    <t>11:00</t>
  </si>
  <si>
    <t>21:20</t>
  </si>
  <si>
    <t>10:57</t>
  </si>
  <si>
    <t>281:53</t>
  </si>
  <si>
    <t>169:02</t>
  </si>
  <si>
    <t>9:13</t>
  </si>
  <si>
    <t>54:48</t>
  </si>
  <si>
    <t>Anton Blidh</t>
  </si>
  <si>
    <t>236:45</t>
  </si>
  <si>
    <t>10:29</t>
  </si>
  <si>
    <t>515:53</t>
  </si>
  <si>
    <t>51:35</t>
  </si>
  <si>
    <t>Hunter Shepard</t>
  </si>
  <si>
    <t>35:47</t>
  </si>
  <si>
    <t>2006:00</t>
  </si>
  <si>
    <t>55:06</t>
  </si>
  <si>
    <t>17:51</t>
  </si>
  <si>
    <t>266:17</t>
  </si>
  <si>
    <t>Brett Leason</t>
  </si>
  <si>
    <t>Andre Lee</t>
  </si>
  <si>
    <t>William Stromgren</t>
  </si>
  <si>
    <t>Taylor Ward</t>
  </si>
  <si>
    <t>24:30</t>
  </si>
  <si>
    <t>748:10</t>
  </si>
  <si>
    <t>480:40</t>
  </si>
  <si>
    <t>12:12</t>
  </si>
  <si>
    <t>14:26</t>
  </si>
  <si>
    <t>7:17</t>
  </si>
  <si>
    <t>12:56</t>
  </si>
  <si>
    <t>11:09</t>
  </si>
  <si>
    <t>446:40</t>
  </si>
  <si>
    <t>541:11</t>
  </si>
  <si>
    <t>16:55</t>
  </si>
  <si>
    <t>108:11</t>
  </si>
  <si>
    <t>193:52</t>
  </si>
  <si>
    <t>8:05</t>
  </si>
  <si>
    <t>Dylan Coghlan</t>
  </si>
  <si>
    <t>659:18</t>
  </si>
  <si>
    <t>54:57</t>
  </si>
  <si>
    <t>41:12</t>
  </si>
  <si>
    <t>864:08</t>
  </si>
  <si>
    <t>54:01</t>
  </si>
  <si>
    <t>Mikael Pyyhtia</t>
  </si>
  <si>
    <t>48:08</t>
  </si>
  <si>
    <t>Mads Sgaard</t>
  </si>
  <si>
    <t>Tim Washe</t>
  </si>
  <si>
    <t>Danil Zhilkin</t>
  </si>
  <si>
    <t>15:35</t>
  </si>
  <si>
    <t>93:03</t>
  </si>
  <si>
    <t>Drew Commesso</t>
  </si>
  <si>
    <t>Kevin Korchinski</t>
  </si>
  <si>
    <t>916:54</t>
  </si>
  <si>
    <t>17:20</t>
  </si>
  <si>
    <t>796:20</t>
  </si>
  <si>
    <t>771:44</t>
  </si>
  <si>
    <t>580:15</t>
  </si>
  <si>
    <t>11:16</t>
  </si>
  <si>
    <t>19:18</t>
  </si>
  <si>
    <t>397:49</t>
  </si>
  <si>
    <t>57:34</t>
  </si>
  <si>
    <t>1115:52</t>
  </si>
  <si>
    <t>55:48</t>
  </si>
  <si>
    <t>27:57</t>
  </si>
  <si>
    <t>182:37</t>
  </si>
  <si>
    <t>59:09</t>
  </si>
  <si>
    <t>120:00</t>
  </si>
  <si>
    <t>54:15</t>
  </si>
  <si>
    <t>Spencer Martin</t>
  </si>
  <si>
    <t>T.J. Tynan</t>
  </si>
  <si>
    <t>8:13</t>
  </si>
  <si>
    <t>Sandis Vilmanis</t>
  </si>
  <si>
    <t>10.0</t>
  </si>
  <si>
    <t>894:51</t>
  </si>
  <si>
    <t>445:44</t>
  </si>
  <si>
    <t>394:57</t>
  </si>
  <si>
    <t>291:56</t>
  </si>
  <si>
    <t>247:58</t>
  </si>
  <si>
    <t>Johnathan Kovacevic</t>
  </si>
  <si>
    <t>206:22</t>
  </si>
  <si>
    <t>759:24</t>
  </si>
  <si>
    <t>58:40</t>
  </si>
  <si>
    <t>22:17</t>
  </si>
  <si>
    <t>17:56</t>
  </si>
  <si>
    <t>667:20</t>
  </si>
  <si>
    <t>817:54</t>
  </si>
  <si>
    <t>22:26</t>
  </si>
  <si>
    <t>725:33</t>
  </si>
  <si>
    <t>943:12</t>
  </si>
  <si>
    <t>895:59</t>
  </si>
  <si>
    <t>14:40</t>
  </si>
  <si>
    <t>10:34</t>
  </si>
  <si>
    <t>8:55</t>
  </si>
  <si>
    <t>186:23</t>
  </si>
  <si>
    <t>272:48</t>
  </si>
  <si>
    <t>137:50</t>
  </si>
  <si>
    <t>55:03</t>
  </si>
  <si>
    <t>236:34</t>
  </si>
  <si>
    <t>127:17</t>
  </si>
  <si>
    <t>7:04</t>
  </si>
  <si>
    <t>19:48</t>
  </si>
  <si>
    <t>934:41</t>
  </si>
  <si>
    <t>20:46</t>
  </si>
  <si>
    <t>20:15</t>
  </si>
  <si>
    <t>19:09</t>
  </si>
  <si>
    <t>21:52</t>
  </si>
  <si>
    <t>17:40</t>
  </si>
  <si>
    <t>16:45</t>
  </si>
  <si>
    <t>15:03</t>
  </si>
  <si>
    <t>16:27</t>
  </si>
  <si>
    <t>21:45</t>
  </si>
  <si>
    <t>14:11</t>
  </si>
  <si>
    <t>16:48</t>
  </si>
  <si>
    <t>22:33</t>
  </si>
  <si>
    <t>15:27</t>
  </si>
  <si>
    <t>17:01</t>
  </si>
  <si>
    <t>22:31</t>
  </si>
  <si>
    <t>17:37</t>
  </si>
  <si>
    <t>14:29</t>
  </si>
  <si>
    <t>15:01</t>
  </si>
  <si>
    <t>984:55</t>
  </si>
  <si>
    <t>20:57</t>
  </si>
  <si>
    <t>16:18</t>
  </si>
  <si>
    <t>12:33</t>
  </si>
  <si>
    <t>13:48</t>
  </si>
  <si>
    <t>18:48</t>
  </si>
  <si>
    <t>21:57</t>
  </si>
  <si>
    <t>14:14</t>
  </si>
  <si>
    <t>22:05</t>
  </si>
  <si>
    <t>866:31</t>
  </si>
  <si>
    <t>22:00</t>
  </si>
  <si>
    <t>17:45</t>
  </si>
  <si>
    <t>13:05</t>
  </si>
  <si>
    <t>13:24</t>
  </si>
  <si>
    <t>11:58</t>
  </si>
  <si>
    <t>20:47</t>
  </si>
  <si>
    <t>11:46</t>
  </si>
  <si>
    <t>14:55</t>
  </si>
  <si>
    <t>169:23</t>
  </si>
  <si>
    <t>13:12</t>
  </si>
  <si>
    <t>14:37</t>
  </si>
  <si>
    <t>355:27</t>
  </si>
  <si>
    <t>17:05</t>
  </si>
  <si>
    <t>Egor Chinakhov</t>
  </si>
  <si>
    <t>21:25</t>
  </si>
  <si>
    <t>911:36</t>
  </si>
  <si>
    <t>11:38</t>
  </si>
  <si>
    <t>16:17</t>
  </si>
  <si>
    <t>11:10</t>
  </si>
  <si>
    <t>12:20</t>
  </si>
  <si>
    <t>11:28</t>
  </si>
  <si>
    <t>14:41</t>
  </si>
  <si>
    <t>20:51</t>
  </si>
  <si>
    <t>370:16</t>
  </si>
  <si>
    <t>10:27</t>
  </si>
  <si>
    <t>18:25</t>
  </si>
  <si>
    <t>255:42</t>
  </si>
  <si>
    <t>13:17</t>
  </si>
  <si>
    <t>204:30</t>
  </si>
  <si>
    <t>12:47</t>
  </si>
  <si>
    <t>25:12</t>
  </si>
  <si>
    <t>8:24</t>
  </si>
  <si>
    <t>59:47</t>
  </si>
  <si>
    <t>32:57</t>
  </si>
  <si>
    <t>8:14</t>
  </si>
  <si>
    <t>18:52</t>
  </si>
  <si>
    <t>25:08</t>
  </si>
  <si>
    <t>16:06</t>
  </si>
  <si>
    <t>19:03</t>
  </si>
  <si>
    <t>22:29</t>
  </si>
  <si>
    <t>18:35</t>
  </si>
  <si>
    <t>453:47</t>
  </si>
  <si>
    <t>24:14</t>
  </si>
  <si>
    <t>23:40</t>
  </si>
  <si>
    <t>303:09</t>
  </si>
  <si>
    <t>13:51</t>
  </si>
  <si>
    <t>21:10</t>
  </si>
  <si>
    <t>484:04</t>
  </si>
  <si>
    <t>18:04</t>
  </si>
  <si>
    <t>58:45</t>
  </si>
  <si>
    <t>146:16</t>
  </si>
  <si>
    <t>8:08</t>
  </si>
  <si>
    <t>1633:19</t>
  </si>
  <si>
    <t>58:20</t>
  </si>
  <si>
    <t>21:09</t>
  </si>
  <si>
    <t>19:45</t>
  </si>
  <si>
    <t>686:28</t>
  </si>
  <si>
    <t>23:48</t>
  </si>
  <si>
    <t>24:29</t>
  </si>
  <si>
    <t>20:17</t>
  </si>
  <si>
    <t>16:42</t>
  </si>
  <si>
    <t>15:55</t>
  </si>
  <si>
    <t>838:40</t>
  </si>
  <si>
    <t>22:34</t>
  </si>
  <si>
    <t>17:11</t>
  </si>
  <si>
    <t>20:25</t>
  </si>
  <si>
    <t>16:08</t>
  </si>
  <si>
    <t>19:39</t>
  </si>
  <si>
    <t>17:43</t>
  </si>
  <si>
    <t>430:36</t>
  </si>
  <si>
    <t>14:31</t>
  </si>
  <si>
    <t>13:55</t>
  </si>
  <si>
    <t>680:32</t>
  </si>
  <si>
    <t>13:23</t>
  </si>
  <si>
    <t>20:26</t>
  </si>
  <si>
    <t>631:21</t>
  </si>
  <si>
    <t>13:58</t>
  </si>
  <si>
    <t>13:11</t>
  </si>
  <si>
    <t>13:47</t>
  </si>
  <si>
    <t>20:27</t>
  </si>
  <si>
    <t>10:30</t>
  </si>
  <si>
    <t>176:56</t>
  </si>
  <si>
    <t>110:39</t>
  </si>
  <si>
    <t>8:31</t>
  </si>
  <si>
    <t>253:24</t>
  </si>
  <si>
    <t>346:24</t>
  </si>
  <si>
    <t>281:27</t>
  </si>
  <si>
    <t>14:00</t>
  </si>
  <si>
    <t>56:22</t>
  </si>
  <si>
    <t>56:57</t>
  </si>
  <si>
    <t>51:18</t>
  </si>
  <si>
    <t>58:24</t>
  </si>
  <si>
    <t>595:11</t>
  </si>
  <si>
    <t>59:31</t>
  </si>
  <si>
    <t>26:48</t>
  </si>
  <si>
    <t>Tanner Laczynski</t>
  </si>
  <si>
    <t>79:57</t>
  </si>
  <si>
    <t>8:53</t>
  </si>
  <si>
    <t>David Spacek</t>
  </si>
  <si>
    <t>20:35</t>
  </si>
  <si>
    <t>704:45</t>
  </si>
  <si>
    <t>19:52</t>
  </si>
  <si>
    <t>18:00</t>
  </si>
  <si>
    <t>12:35</t>
  </si>
  <si>
    <t>16:24</t>
  </si>
  <si>
    <t>14:33</t>
  </si>
  <si>
    <t>22:01</t>
  </si>
  <si>
    <t>13:07</t>
  </si>
  <si>
    <t>18:41</t>
  </si>
  <si>
    <t>20:13</t>
  </si>
  <si>
    <t>7:22</t>
  </si>
  <si>
    <t>11:31</t>
  </si>
  <si>
    <t>457:23</t>
  </si>
  <si>
    <t>332:35</t>
  </si>
  <si>
    <t>10:09</t>
  </si>
  <si>
    <t>8:37</t>
  </si>
  <si>
    <t>228:47</t>
  </si>
  <si>
    <t>198:20</t>
  </si>
  <si>
    <t>82:07</t>
  </si>
  <si>
    <t>20:44</t>
  </si>
  <si>
    <t>19:40</t>
  </si>
  <si>
    <t>18:05</t>
  </si>
  <si>
    <t>1163:19</t>
  </si>
  <si>
    <t>14:58</t>
  </si>
  <si>
    <t>20:60</t>
  </si>
  <si>
    <t>602:28</t>
  </si>
  <si>
    <t>16:16</t>
  </si>
  <si>
    <t>20:28</t>
  </si>
  <si>
    <t>16:44</t>
  </si>
  <si>
    <t>791:51</t>
  </si>
  <si>
    <t>18:27</t>
  </si>
  <si>
    <t>21:17</t>
  </si>
  <si>
    <t>12:39</t>
  </si>
  <si>
    <t>15:10</t>
  </si>
  <si>
    <t>1003:23</t>
  </si>
  <si>
    <t>927:21</t>
  </si>
  <si>
    <t>22:07</t>
  </si>
  <si>
    <t>13:21</t>
  </si>
  <si>
    <t>563:41</t>
  </si>
  <si>
    <t>20:21</t>
  </si>
  <si>
    <t>366:19</t>
  </si>
  <si>
    <t>441:02</t>
  </si>
  <si>
    <t>698:56</t>
  </si>
  <si>
    <t>572:22</t>
  </si>
  <si>
    <t>11:37</t>
  </si>
  <si>
    <t>11:02</t>
  </si>
  <si>
    <t>773:30</t>
  </si>
  <si>
    <t>10:49</t>
  </si>
  <si>
    <t>11:13</t>
  </si>
  <si>
    <t>19:02</t>
  </si>
  <si>
    <t>11:15</t>
  </si>
  <si>
    <t>882:04</t>
  </si>
  <si>
    <t>262:37</t>
  </si>
  <si>
    <t>9:41</t>
  </si>
  <si>
    <t>257:46</t>
  </si>
  <si>
    <t>18:30</t>
  </si>
  <si>
    <t>487:00</t>
  </si>
  <si>
    <t>10:36</t>
  </si>
  <si>
    <t>229:47</t>
  </si>
  <si>
    <t>9:59</t>
  </si>
  <si>
    <t>71:59</t>
  </si>
  <si>
    <t>345:20</t>
  </si>
  <si>
    <t>58:54</t>
  </si>
  <si>
    <t>291:41</t>
  </si>
  <si>
    <t>Tobias Bjrnfot</t>
  </si>
  <si>
    <t>26:50</t>
  </si>
  <si>
    <t>604:29</t>
  </si>
  <si>
    <t>120:01</t>
  </si>
  <si>
    <t>30:00</t>
  </si>
  <si>
    <t>51:29</t>
  </si>
  <si>
    <t>118:49</t>
  </si>
  <si>
    <t>1094:29</t>
  </si>
  <si>
    <t>54:43</t>
  </si>
  <si>
    <t>316:40</t>
  </si>
  <si>
    <t>52:47</t>
  </si>
  <si>
    <t>13:27</t>
  </si>
  <si>
    <t>15:22</t>
  </si>
  <si>
    <t>15:21</t>
  </si>
  <si>
    <t>21:40</t>
  </si>
  <si>
    <t>20:52</t>
  </si>
  <si>
    <t>941:11</t>
  </si>
  <si>
    <t>22:55</t>
  </si>
  <si>
    <t>520:11</t>
  </si>
  <si>
    <t>188:22</t>
  </si>
  <si>
    <t>715:46</t>
  </si>
  <si>
    <t>60:08</t>
  </si>
  <si>
    <t>58:59</t>
  </si>
  <si>
    <t>James Reimer</t>
  </si>
  <si>
    <t>874:16</t>
  </si>
  <si>
    <t>24:20</t>
  </si>
  <si>
    <t>20:39</t>
  </si>
  <si>
    <t>664:26</t>
  </si>
  <si>
    <t>802:50</t>
  </si>
  <si>
    <t>1129:53</t>
  </si>
  <si>
    <t>23:04</t>
  </si>
  <si>
    <t>1057:05</t>
  </si>
  <si>
    <t>22:58</t>
  </si>
  <si>
    <t>578:42</t>
  </si>
  <si>
    <t>19:33</t>
  </si>
  <si>
    <t>18:23</t>
  </si>
  <si>
    <t>516:32</t>
  </si>
  <si>
    <t>497:27</t>
  </si>
  <si>
    <t>21:31</t>
  </si>
  <si>
    <t>236:48</t>
  </si>
  <si>
    <t>15:02</t>
  </si>
  <si>
    <t>524:14</t>
  </si>
  <si>
    <t>10:55</t>
  </si>
  <si>
    <t>672:16</t>
  </si>
  <si>
    <t>9:40</t>
  </si>
  <si>
    <t>259:49</t>
  </si>
  <si>
    <t>1683:43</t>
  </si>
  <si>
    <t>58:04</t>
  </si>
  <si>
    <t>7:59</t>
  </si>
  <si>
    <t>185:03</t>
  </si>
  <si>
    <t>304:28</t>
  </si>
  <si>
    <t>224:34</t>
  </si>
  <si>
    <t>162:17</t>
  </si>
  <si>
    <t>Alex Barr-Boulet</t>
  </si>
  <si>
    <t>3:46</t>
  </si>
  <si>
    <t>54:12</t>
  </si>
  <si>
    <t>7:45</t>
  </si>
  <si>
    <t>21:30</t>
  </si>
  <si>
    <t>56:36</t>
  </si>
  <si>
    <t>Lenni Hameenaho</t>
  </si>
  <si>
    <t>Konsta Helenius</t>
  </si>
  <si>
    <t>950:36</t>
  </si>
  <si>
    <t>50:02</t>
  </si>
  <si>
    <t>42:29</t>
  </si>
  <si>
    <t>41:49</t>
  </si>
  <si>
    <t>Lane Pederson</t>
  </si>
  <si>
    <t>Isaak Phillips</t>
  </si>
  <si>
    <t>Matthew Tkachuk</t>
  </si>
  <si>
    <t>24:44</t>
  </si>
  <si>
    <t>18:07</t>
  </si>
  <si>
    <t>22:24</t>
  </si>
  <si>
    <t>658:22</t>
  </si>
  <si>
    <t>19:24</t>
  </si>
  <si>
    <t>19:38</t>
  </si>
  <si>
    <t>401:16</t>
  </si>
  <si>
    <t>602:00</t>
  </si>
  <si>
    <t>413:14</t>
  </si>
  <si>
    <t>297:34</t>
  </si>
  <si>
    <t>249:54</t>
  </si>
  <si>
    <t>11:41</t>
  </si>
  <si>
    <t>419:36</t>
  </si>
  <si>
    <t>223:48</t>
  </si>
  <si>
    <t>1007:50</t>
  </si>
  <si>
    <t>55:59</t>
  </si>
  <si>
    <t>7:42</t>
  </si>
  <si>
    <t>1472:32</t>
  </si>
  <si>
    <t>756:06</t>
  </si>
  <si>
    <t>50:24</t>
  </si>
  <si>
    <t>1692:48</t>
  </si>
  <si>
    <t>54:36</t>
  </si>
  <si>
    <t>996:09</t>
  </si>
  <si>
    <t>55:21</t>
  </si>
  <si>
    <t>1316:31</t>
  </si>
  <si>
    <t>57:14</t>
  </si>
  <si>
    <t>1078:04</t>
  </si>
  <si>
    <t>56:44</t>
  </si>
  <si>
    <t>101:11</t>
  </si>
  <si>
    <t>882:01</t>
  </si>
  <si>
    <t>55:08</t>
  </si>
  <si>
    <t>1264:23</t>
  </si>
  <si>
    <t>60:13</t>
  </si>
  <si>
    <t>813:27</t>
  </si>
  <si>
    <t>1057:37</t>
  </si>
  <si>
    <t>621:09</t>
  </si>
  <si>
    <t>1083:44</t>
  </si>
  <si>
    <t>536:45</t>
  </si>
  <si>
    <t>360:46</t>
  </si>
  <si>
    <t>403:45</t>
  </si>
  <si>
    <t>8:54</t>
  </si>
  <si>
    <t>10:51</t>
  </si>
  <si>
    <t>173:50</t>
  </si>
  <si>
    <t>222:17</t>
  </si>
  <si>
    <t>294:06</t>
  </si>
  <si>
    <t>57:57</t>
  </si>
  <si>
    <t>59:02</t>
  </si>
  <si>
    <t>250:25</t>
  </si>
  <si>
    <t>1738:44</t>
  </si>
  <si>
    <t>Martin Pospisil</t>
  </si>
  <si>
    <t>1907:07</t>
  </si>
  <si>
    <t>57:47</t>
  </si>
  <si>
    <t>590:28</t>
  </si>
  <si>
    <t>59:03</t>
  </si>
  <si>
    <t>1792:16</t>
  </si>
  <si>
    <t>2116:49</t>
  </si>
  <si>
    <t>55:42</t>
  </si>
  <si>
    <t>1180:01</t>
  </si>
  <si>
    <t>56:11</t>
  </si>
  <si>
    <t>19:59</t>
  </si>
  <si>
    <t>981:50</t>
  </si>
  <si>
    <t>26:39</t>
  </si>
  <si>
    <t>949:51</t>
  </si>
  <si>
    <t>867:10</t>
  </si>
  <si>
    <t>616:47</t>
  </si>
  <si>
    <t>745:43</t>
  </si>
  <si>
    <t>1065:21</t>
  </si>
  <si>
    <t>663:21</t>
  </si>
  <si>
    <t>676:33</t>
  </si>
  <si>
    <t>13:32</t>
  </si>
  <si>
    <t>467:25</t>
  </si>
  <si>
    <t>574:32</t>
  </si>
  <si>
    <t>729:23</t>
  </si>
  <si>
    <t>679:53</t>
  </si>
  <si>
    <t>948:26</t>
  </si>
  <si>
    <t>792:40</t>
  </si>
  <si>
    <t>1019:01</t>
  </si>
  <si>
    <t>679:03</t>
  </si>
  <si>
    <t>805:57</t>
  </si>
  <si>
    <t>565:17</t>
  </si>
  <si>
    <t>155:05</t>
  </si>
  <si>
    <t>487:52</t>
  </si>
  <si>
    <t>15:56</t>
  </si>
  <si>
    <t>792:38</t>
  </si>
  <si>
    <t>585:50</t>
  </si>
  <si>
    <t>587:00</t>
  </si>
  <si>
    <t>445:41</t>
  </si>
  <si>
    <t>263:08</t>
  </si>
  <si>
    <t>536:21</t>
  </si>
  <si>
    <t>328:37</t>
  </si>
  <si>
    <t>934:44</t>
  </si>
  <si>
    <t>385:52</t>
  </si>
  <si>
    <t>335:54</t>
  </si>
  <si>
    <t>409:03</t>
  </si>
  <si>
    <t>11:01</t>
  </si>
  <si>
    <t>565:19</t>
  </si>
  <si>
    <t>200:39</t>
  </si>
  <si>
    <t>8:22</t>
  </si>
  <si>
    <t>358:15</t>
  </si>
  <si>
    <t>115:03</t>
  </si>
  <si>
    <t>1339:02</t>
  </si>
  <si>
    <t>58:13</t>
  </si>
  <si>
    <t>2032:44</t>
  </si>
  <si>
    <t>215:25</t>
  </si>
  <si>
    <t>1503:12</t>
  </si>
  <si>
    <t>57:49</t>
  </si>
  <si>
    <t>1322:20</t>
  </si>
  <si>
    <t>57:30</t>
  </si>
  <si>
    <t>1263:17</t>
  </si>
  <si>
    <t>29:55</t>
  </si>
  <si>
    <t>1179:49</t>
  </si>
  <si>
    <t>1071:03</t>
  </si>
  <si>
    <t>53:33</t>
  </si>
  <si>
    <t>1174:44</t>
  </si>
  <si>
    <t>58:44</t>
  </si>
  <si>
    <t>57:42</t>
  </si>
  <si>
    <t>935:36</t>
  </si>
  <si>
    <t>58:29</t>
  </si>
  <si>
    <t>1081:41</t>
  </si>
  <si>
    <t>1057:57</t>
  </si>
  <si>
    <t>989:36</t>
  </si>
  <si>
    <t>1026:27</t>
  </si>
  <si>
    <t>916:10</t>
  </si>
  <si>
    <t>1036:59</t>
  </si>
  <si>
    <t>1044:42</t>
  </si>
  <si>
    <t>1063:05</t>
  </si>
  <si>
    <t>1229:12</t>
  </si>
  <si>
    <t>25:05</t>
  </si>
  <si>
    <t>1002:32</t>
  </si>
  <si>
    <t>795:19</t>
  </si>
  <si>
    <t>1063:37</t>
  </si>
  <si>
    <t>936:22</t>
  </si>
  <si>
    <t>868:07</t>
  </si>
  <si>
    <t>924:34</t>
  </si>
  <si>
    <t>914:14</t>
  </si>
  <si>
    <t>922:57</t>
  </si>
  <si>
    <t>941:25</t>
  </si>
  <si>
    <t>936:48</t>
  </si>
  <si>
    <t>1297:40</t>
  </si>
  <si>
    <t>25:57</t>
  </si>
  <si>
    <t>825:39</t>
  </si>
  <si>
    <t>1059:52</t>
  </si>
  <si>
    <t>874:14</t>
  </si>
  <si>
    <t>879:32</t>
  </si>
  <si>
    <t>872:19</t>
  </si>
  <si>
    <t>958:25</t>
  </si>
  <si>
    <t>944:29</t>
  </si>
  <si>
    <t>805:24</t>
  </si>
  <si>
    <t>999:40</t>
  </si>
  <si>
    <t>19:36</t>
  </si>
  <si>
    <t>793:32</t>
  </si>
  <si>
    <t>1036:50</t>
  </si>
  <si>
    <t>667:24</t>
  </si>
  <si>
    <t>820:15</t>
  </si>
  <si>
    <t>868:52</t>
  </si>
  <si>
    <t>910:39</t>
  </si>
  <si>
    <t>702:24</t>
  </si>
  <si>
    <t>1248:50</t>
  </si>
  <si>
    <t>887:47</t>
  </si>
  <si>
    <t>796:35</t>
  </si>
  <si>
    <t>893:33</t>
  </si>
  <si>
    <t>797:58</t>
  </si>
  <si>
    <t>1100:04</t>
  </si>
  <si>
    <t>910:32</t>
  </si>
  <si>
    <t>1049:43</t>
  </si>
  <si>
    <t>1184:52</t>
  </si>
  <si>
    <t>791:45</t>
  </si>
  <si>
    <t>851:10</t>
  </si>
  <si>
    <t>1085:58</t>
  </si>
  <si>
    <t>21:43</t>
  </si>
  <si>
    <t>804:24</t>
  </si>
  <si>
    <t>1249:45</t>
  </si>
  <si>
    <t>947:46</t>
  </si>
  <si>
    <t>797:48</t>
  </si>
  <si>
    <t>888:00</t>
  </si>
  <si>
    <t>851:12</t>
  </si>
  <si>
    <t>715:44</t>
  </si>
  <si>
    <t>818:20</t>
  </si>
  <si>
    <t>827:50</t>
  </si>
  <si>
    <t>847:47</t>
  </si>
  <si>
    <t>764:36</t>
  </si>
  <si>
    <t>756:36</t>
  </si>
  <si>
    <t>926:40</t>
  </si>
  <si>
    <t>933:33</t>
  </si>
  <si>
    <t>950:16</t>
  </si>
  <si>
    <t>893:31</t>
  </si>
  <si>
    <t>723:11</t>
  </si>
  <si>
    <t>782:50</t>
  </si>
  <si>
    <t>539:44</t>
  </si>
  <si>
    <t>814:28</t>
  </si>
  <si>
    <t>656:24</t>
  </si>
  <si>
    <t>594:50</t>
  </si>
  <si>
    <t>844:24</t>
  </si>
  <si>
    <t>1076:42</t>
  </si>
  <si>
    <t>21:32</t>
  </si>
  <si>
    <t>665:34</t>
  </si>
  <si>
    <t>776:00</t>
  </si>
  <si>
    <t>428:42</t>
  </si>
  <si>
    <t>1205:03</t>
  </si>
  <si>
    <t>24:06</t>
  </si>
  <si>
    <t>615:05</t>
  </si>
  <si>
    <t>704:00</t>
  </si>
  <si>
    <t>825:34</t>
  </si>
  <si>
    <t>1231:51</t>
  </si>
  <si>
    <t>23:41</t>
  </si>
  <si>
    <t>884:50</t>
  </si>
  <si>
    <t>641:21</t>
  </si>
  <si>
    <t>1124:02</t>
  </si>
  <si>
    <t>985:32</t>
  </si>
  <si>
    <t>773:36</t>
  </si>
  <si>
    <t>1001:33</t>
  </si>
  <si>
    <t>23:35</t>
  </si>
  <si>
    <t>583:37</t>
  </si>
  <si>
    <t>731:12</t>
  </si>
  <si>
    <t>707:44</t>
  </si>
  <si>
    <t>749:44</t>
  </si>
  <si>
    <t>706:42</t>
  </si>
  <si>
    <t>964:51</t>
  </si>
  <si>
    <t>392:32</t>
  </si>
  <si>
    <t>721:56</t>
  </si>
  <si>
    <t>867:21</t>
  </si>
  <si>
    <t>856:25</t>
  </si>
  <si>
    <t>490:24</t>
  </si>
  <si>
    <t>713:28</t>
  </si>
  <si>
    <t>22:18</t>
  </si>
  <si>
    <t>849:13</t>
  </si>
  <si>
    <t>740:57</t>
  </si>
  <si>
    <t>479:34</t>
  </si>
  <si>
    <t>547:50</t>
  </si>
  <si>
    <t>925:27</t>
  </si>
  <si>
    <t>23:08</t>
  </si>
  <si>
    <t>601:51</t>
  </si>
  <si>
    <t>706:16</t>
  </si>
  <si>
    <t>520:13</t>
  </si>
  <si>
    <t>688:12</t>
  </si>
  <si>
    <t>889:58</t>
  </si>
  <si>
    <t>595:51</t>
  </si>
  <si>
    <t>478:38</t>
  </si>
  <si>
    <t>1248:15</t>
  </si>
  <si>
    <t>24:00</t>
  </si>
  <si>
    <t>991:17</t>
  </si>
  <si>
    <t>621:56</t>
  </si>
  <si>
    <t>793:10</t>
  </si>
  <si>
    <t>1086:49</t>
  </si>
  <si>
    <t>812:56</t>
  </si>
  <si>
    <t>614:40</t>
  </si>
  <si>
    <t>548:53</t>
  </si>
  <si>
    <t>510:58</t>
  </si>
  <si>
    <t>1183:36</t>
  </si>
  <si>
    <t>23:12</t>
  </si>
  <si>
    <t>721:36</t>
  </si>
  <si>
    <t>637:24</t>
  </si>
  <si>
    <t>374:33</t>
  </si>
  <si>
    <t>770:46</t>
  </si>
  <si>
    <t>810:58</t>
  </si>
  <si>
    <t>660:18</t>
  </si>
  <si>
    <t>519:44</t>
  </si>
  <si>
    <t>816:27</t>
  </si>
  <si>
    <t>597:23</t>
  </si>
  <si>
    <t>601:55</t>
  </si>
  <si>
    <t>638:39</t>
  </si>
  <si>
    <t>553:44</t>
  </si>
  <si>
    <t>1083:34</t>
  </si>
  <si>
    <t>921:00</t>
  </si>
  <si>
    <t>427:17</t>
  </si>
  <si>
    <t>1041:36</t>
  </si>
  <si>
    <t>473:09</t>
  </si>
  <si>
    <t>560:40</t>
  </si>
  <si>
    <t>854:40</t>
  </si>
  <si>
    <t>585:53</t>
  </si>
  <si>
    <t>1049:56</t>
  </si>
  <si>
    <t>602:17</t>
  </si>
  <si>
    <t>862:29</t>
  </si>
  <si>
    <t>993:08</t>
  </si>
  <si>
    <t>528:21</t>
  </si>
  <si>
    <t>1092:34</t>
  </si>
  <si>
    <t>471:48</t>
  </si>
  <si>
    <t>564:12</t>
  </si>
  <si>
    <t>491:41</t>
  </si>
  <si>
    <t>576:02</t>
  </si>
  <si>
    <t>611:58</t>
  </si>
  <si>
    <t>385:38</t>
  </si>
  <si>
    <t>13:18</t>
  </si>
  <si>
    <t>639:31</t>
  </si>
  <si>
    <t>450:41</t>
  </si>
  <si>
    <t>640:39</t>
  </si>
  <si>
    <t>1077:03</t>
  </si>
  <si>
    <t>1050:44</t>
  </si>
  <si>
    <t>734:38</t>
  </si>
  <si>
    <t>652:54</t>
  </si>
  <si>
    <t>260:14</t>
  </si>
  <si>
    <t>7:14</t>
  </si>
  <si>
    <t>547:24</t>
  </si>
  <si>
    <t>576:51</t>
  </si>
  <si>
    <t>296:46</t>
  </si>
  <si>
    <t>754:23</t>
  </si>
  <si>
    <t>767:57</t>
  </si>
  <si>
    <t>826:00</t>
  </si>
  <si>
    <t>16:12</t>
  </si>
  <si>
    <t>184:23</t>
  </si>
  <si>
    <t>702:54</t>
  </si>
  <si>
    <t>517:57</t>
  </si>
  <si>
    <t>218:52</t>
  </si>
  <si>
    <t>521:31</t>
  </si>
  <si>
    <t>611:55</t>
  </si>
  <si>
    <t>941:44</t>
  </si>
  <si>
    <t>512:34</t>
  </si>
  <si>
    <t>1032:29</t>
  </si>
  <si>
    <t>804:20</t>
  </si>
  <si>
    <t>367:08</t>
  </si>
  <si>
    <t>953:27</t>
  </si>
  <si>
    <t>71:23</t>
  </si>
  <si>
    <t>520:35</t>
  </si>
  <si>
    <t>367:10</t>
  </si>
  <si>
    <t>251:32</t>
  </si>
  <si>
    <t>418:36</t>
  </si>
  <si>
    <t>630:43</t>
  </si>
  <si>
    <t>276:20</t>
  </si>
  <si>
    <t>562:55</t>
  </si>
  <si>
    <t>948:27</t>
  </si>
  <si>
    <t>1016:35</t>
  </si>
  <si>
    <t>13:60</t>
  </si>
  <si>
    <t>642:51</t>
  </si>
  <si>
    <t>700:40</t>
  </si>
  <si>
    <t>233:42</t>
  </si>
  <si>
    <t>455:14</t>
  </si>
  <si>
    <t>400:39</t>
  </si>
  <si>
    <t>152:37</t>
  </si>
  <si>
    <t>380:03</t>
  </si>
  <si>
    <t>556:39</t>
  </si>
  <si>
    <t>20:37</t>
  </si>
  <si>
    <t>316:08</t>
  </si>
  <si>
    <t>419:34</t>
  </si>
  <si>
    <t>275:33</t>
  </si>
  <si>
    <t>828:45</t>
  </si>
  <si>
    <t>550:07</t>
  </si>
  <si>
    <t>208:55</t>
  </si>
  <si>
    <t>151:43</t>
  </si>
  <si>
    <t>271:44</t>
  </si>
  <si>
    <t>766:14</t>
  </si>
  <si>
    <t>112:18</t>
  </si>
  <si>
    <t>376:51</t>
  </si>
  <si>
    <t>138:27</t>
  </si>
  <si>
    <t>153:17</t>
  </si>
  <si>
    <t>253:14</t>
  </si>
  <si>
    <t>330:26</t>
  </si>
  <si>
    <t>335:32</t>
  </si>
  <si>
    <t>146:12</t>
  </si>
  <si>
    <t>51:09</t>
  </si>
  <si>
    <t>92:14</t>
  </si>
  <si>
    <t>64:28</t>
  </si>
  <si>
    <t>108:37</t>
  </si>
  <si>
    <t>13:35</t>
  </si>
  <si>
    <t>31:13</t>
  </si>
  <si>
    <t>453:13</t>
  </si>
  <si>
    <t>187:12</t>
  </si>
  <si>
    <t>84:34</t>
  </si>
  <si>
    <t>54:40</t>
  </si>
  <si>
    <t>1528:10</t>
  </si>
  <si>
    <t>1596:37</t>
  </si>
  <si>
    <t>7:15</t>
  </si>
  <si>
    <t>1120:36</t>
  </si>
  <si>
    <t>1562:50</t>
  </si>
  <si>
    <t>57:53</t>
  </si>
  <si>
    <t>1316:06</t>
  </si>
  <si>
    <t>57:13</t>
  </si>
  <si>
    <t>1948:14</t>
  </si>
  <si>
    <t>114:29</t>
  </si>
  <si>
    <t>Jonas Rndbjerg</t>
  </si>
  <si>
    <t>2185:06</t>
  </si>
  <si>
    <t>1911:15</t>
  </si>
  <si>
    <t>59:44</t>
  </si>
  <si>
    <t>98:34</t>
  </si>
  <si>
    <t>987:19</t>
  </si>
  <si>
    <t>54:51</t>
  </si>
  <si>
    <t>939:03</t>
  </si>
  <si>
    <t>55:14</t>
  </si>
  <si>
    <t>125:21</t>
  </si>
  <si>
    <t>1936:08</t>
  </si>
  <si>
    <t>1284:37</t>
  </si>
  <si>
    <t>398:58</t>
  </si>
  <si>
    <t>49:52</t>
  </si>
  <si>
    <t>41:55</t>
  </si>
  <si>
    <t>230:39</t>
  </si>
  <si>
    <t>46:08</t>
  </si>
  <si>
    <t>25:58</t>
  </si>
  <si>
    <t>927:22</t>
  </si>
  <si>
    <t>57:58</t>
  </si>
  <si>
    <t>759:33</t>
  </si>
  <si>
    <t>1219:52</t>
  </si>
  <si>
    <t>23:01</t>
  </si>
  <si>
    <t>933:21</t>
  </si>
  <si>
    <t>1105:45</t>
  </si>
  <si>
    <t>1189:12</t>
  </si>
  <si>
    <t>938:52</t>
  </si>
  <si>
    <t>1064:56</t>
  </si>
  <si>
    <t>1087:33</t>
  </si>
  <si>
    <t>1068:23</t>
  </si>
  <si>
    <t>947:41</t>
  </si>
  <si>
    <t>1311:06</t>
  </si>
  <si>
    <t>1252:33</t>
  </si>
  <si>
    <t>1021:48</t>
  </si>
  <si>
    <t>1027:36</t>
  </si>
  <si>
    <t>955:34</t>
  </si>
  <si>
    <t>955:33</t>
  </si>
  <si>
    <t>1238:39</t>
  </si>
  <si>
    <t>23:49</t>
  </si>
  <si>
    <t>966:57</t>
  </si>
  <si>
    <t>1029:04</t>
  </si>
  <si>
    <t>1054:49</t>
  </si>
  <si>
    <t>978:52</t>
  </si>
  <si>
    <t>1022:28</t>
  </si>
  <si>
    <t>870:31</t>
  </si>
  <si>
    <t>781:06</t>
  </si>
  <si>
    <t>1071:11</t>
  </si>
  <si>
    <t>1305:29</t>
  </si>
  <si>
    <t>27:47</t>
  </si>
  <si>
    <t>592:21</t>
  </si>
  <si>
    <t>28:12</t>
  </si>
  <si>
    <t>878:03</t>
  </si>
  <si>
    <t>1002:53</t>
  </si>
  <si>
    <t>850:51</t>
  </si>
  <si>
    <t>881:24</t>
  </si>
  <si>
    <t>861:53</t>
  </si>
  <si>
    <t>954:15</t>
  </si>
  <si>
    <t>948:06</t>
  </si>
  <si>
    <t>1125:30</t>
  </si>
  <si>
    <t>801:13</t>
  </si>
  <si>
    <t>884:45</t>
  </si>
  <si>
    <t>980:43</t>
  </si>
  <si>
    <t>880:07</t>
  </si>
  <si>
    <t>1251:53</t>
  </si>
  <si>
    <t>948:47</t>
  </si>
  <si>
    <t>930:11</t>
  </si>
  <si>
    <t>1043:22</t>
  </si>
  <si>
    <t>844:53</t>
  </si>
  <si>
    <t>1281:45</t>
  </si>
  <si>
    <t>942:14</t>
  </si>
  <si>
    <t>928:35</t>
  </si>
  <si>
    <t>867:57</t>
  </si>
  <si>
    <t>955:53</t>
  </si>
  <si>
    <t>837:17</t>
  </si>
  <si>
    <t>964:36</t>
  </si>
  <si>
    <t>884:29</t>
  </si>
  <si>
    <t>867:12</t>
  </si>
  <si>
    <t>1192:12</t>
  </si>
  <si>
    <t>1146:32</t>
  </si>
  <si>
    <t>831:33</t>
  </si>
  <si>
    <t>898:15</t>
  </si>
  <si>
    <t>964:02</t>
  </si>
  <si>
    <t>883:22</t>
  </si>
  <si>
    <t>880:44</t>
  </si>
  <si>
    <t>817:57</t>
  </si>
  <si>
    <t>737:47</t>
  </si>
  <si>
    <t>967:30</t>
  </si>
  <si>
    <t>1347:11</t>
  </si>
  <si>
    <t>25:25</t>
  </si>
  <si>
    <t>1241:02</t>
  </si>
  <si>
    <t>815:21</t>
  </si>
  <si>
    <t>765:11</t>
  </si>
  <si>
    <t>907:39</t>
  </si>
  <si>
    <t>845:25</t>
  </si>
  <si>
    <t>1227:27</t>
  </si>
  <si>
    <t>24:04</t>
  </si>
  <si>
    <t>900:02</t>
  </si>
  <si>
    <t>918:27</t>
  </si>
  <si>
    <t>958:03</t>
  </si>
  <si>
    <t>757:30</t>
  </si>
  <si>
    <t>687:27</t>
  </si>
  <si>
    <t>962:55</t>
  </si>
  <si>
    <t>844:01</t>
  </si>
  <si>
    <t>1314:32</t>
  </si>
  <si>
    <t>24:48</t>
  </si>
  <si>
    <t>861:03</t>
  </si>
  <si>
    <t>1188:13</t>
  </si>
  <si>
    <t>765:43</t>
  </si>
  <si>
    <t>925:47</t>
  </si>
  <si>
    <t>23:44</t>
  </si>
  <si>
    <t>648:55</t>
  </si>
  <si>
    <t>906:03</t>
  </si>
  <si>
    <t>797:43</t>
  </si>
  <si>
    <t>626:55</t>
  </si>
  <si>
    <t>758:18</t>
  </si>
  <si>
    <t>661:36</t>
  </si>
  <si>
    <t>537:06</t>
  </si>
  <si>
    <t>945:44</t>
  </si>
  <si>
    <t>988:30</t>
  </si>
  <si>
    <t>795:09</t>
  </si>
  <si>
    <t>1126:56</t>
  </si>
  <si>
    <t>22:60</t>
  </si>
  <si>
    <t>692:16</t>
  </si>
  <si>
    <t>730:46</t>
  </si>
  <si>
    <t>781:15</t>
  </si>
  <si>
    <t>503:35</t>
  </si>
  <si>
    <t>1146:25</t>
  </si>
  <si>
    <t>949:43</t>
  </si>
  <si>
    <t>841:40</t>
  </si>
  <si>
    <t>622:51</t>
  </si>
  <si>
    <t>1217:15</t>
  </si>
  <si>
    <t>24:51</t>
  </si>
  <si>
    <t>760:42</t>
  </si>
  <si>
    <t>543:52</t>
  </si>
  <si>
    <t>765:47</t>
  </si>
  <si>
    <t>622:33</t>
  </si>
  <si>
    <t>1170:35</t>
  </si>
  <si>
    <t>812:17</t>
  </si>
  <si>
    <t>821:31</t>
  </si>
  <si>
    <t>1040:50</t>
  </si>
  <si>
    <t>704:42</t>
  </si>
  <si>
    <t>551:51</t>
  </si>
  <si>
    <t>655:29</t>
  </si>
  <si>
    <t>163:55</t>
  </si>
  <si>
    <t>704:27</t>
  </si>
  <si>
    <t>646:47</t>
  </si>
  <si>
    <t>1108:17</t>
  </si>
  <si>
    <t>762:32</t>
  </si>
  <si>
    <t>811:50</t>
  </si>
  <si>
    <t>856:29</t>
  </si>
  <si>
    <t>665:44</t>
  </si>
  <si>
    <t>999:53</t>
  </si>
  <si>
    <t>651:43</t>
  </si>
  <si>
    <t>940:13</t>
  </si>
  <si>
    <t>1105:32</t>
  </si>
  <si>
    <t>842:41</t>
  </si>
  <si>
    <t>531:00</t>
  </si>
  <si>
    <t>697:46</t>
  </si>
  <si>
    <t>782:48</t>
  </si>
  <si>
    <t>634:57</t>
  </si>
  <si>
    <t>953:13</t>
  </si>
  <si>
    <t>851:45</t>
  </si>
  <si>
    <t>774:56</t>
  </si>
  <si>
    <t>781:40</t>
  </si>
  <si>
    <t>718:01</t>
  </si>
  <si>
    <t>752:55</t>
  </si>
  <si>
    <t>792:26</t>
  </si>
  <si>
    <t>711:15</t>
  </si>
  <si>
    <t>867:46</t>
  </si>
  <si>
    <t>784:04</t>
  </si>
  <si>
    <t>653:02</t>
  </si>
  <si>
    <t>711:00</t>
  </si>
  <si>
    <t>790:15</t>
  </si>
  <si>
    <t>808:00</t>
  </si>
  <si>
    <t>588:10</t>
  </si>
  <si>
    <t>783:39</t>
  </si>
  <si>
    <t>642:14</t>
  </si>
  <si>
    <t>701:49</t>
  </si>
  <si>
    <t>1022:16</t>
  </si>
  <si>
    <t>776:44</t>
  </si>
  <si>
    <t>601:54</t>
  </si>
  <si>
    <t>612:38</t>
  </si>
  <si>
    <t>1118:40</t>
  </si>
  <si>
    <t>815:12</t>
  </si>
  <si>
    <t>697:41</t>
  </si>
  <si>
    <t>523:59</t>
  </si>
  <si>
    <t>1310:01</t>
  </si>
  <si>
    <t>25:41</t>
  </si>
  <si>
    <t>890:46</t>
  </si>
  <si>
    <t>1028:06</t>
  </si>
  <si>
    <t>668:50</t>
  </si>
  <si>
    <t>830:04</t>
  </si>
  <si>
    <t>833:48</t>
  </si>
  <si>
    <t>1098:36</t>
  </si>
  <si>
    <t>1121:55</t>
  </si>
  <si>
    <t>702:38</t>
  </si>
  <si>
    <t>883:37</t>
  </si>
  <si>
    <t>744:12</t>
  </si>
  <si>
    <t>828:15</t>
  </si>
  <si>
    <t>1129:14</t>
  </si>
  <si>
    <t>999:12</t>
  </si>
  <si>
    <t>494:24</t>
  </si>
  <si>
    <t>412:21</t>
  </si>
  <si>
    <t>535:59</t>
  </si>
  <si>
    <t>1017:07</t>
  </si>
  <si>
    <t>940:34</t>
  </si>
  <si>
    <t>914:39</t>
  </si>
  <si>
    <t>560:30</t>
  </si>
  <si>
    <t>836:02</t>
  </si>
  <si>
    <t>721:26</t>
  </si>
  <si>
    <t>712:51</t>
  </si>
  <si>
    <t>1064:24</t>
  </si>
  <si>
    <t>1100:31</t>
  </si>
  <si>
    <t>1128:17</t>
  </si>
  <si>
    <t>636:13</t>
  </si>
  <si>
    <t>1173:19</t>
  </si>
  <si>
    <t>23:00</t>
  </si>
  <si>
    <t>613:13</t>
  </si>
  <si>
    <t>669:34</t>
  </si>
  <si>
    <t>12:53</t>
  </si>
  <si>
    <t>571:22</t>
  </si>
  <si>
    <t>692:15</t>
  </si>
  <si>
    <t>691:33</t>
  </si>
  <si>
    <t>727:47</t>
  </si>
  <si>
    <t>533:45</t>
  </si>
  <si>
    <t>1072:29</t>
  </si>
  <si>
    <t>21:27</t>
  </si>
  <si>
    <t>487:55</t>
  </si>
  <si>
    <t>521:16</t>
  </si>
  <si>
    <t>731:24</t>
  </si>
  <si>
    <t>503:02</t>
  </si>
  <si>
    <t>512:04</t>
  </si>
  <si>
    <t>604:37</t>
  </si>
  <si>
    <t>615:57</t>
  </si>
  <si>
    <t>12:50</t>
  </si>
  <si>
    <t>1100:45</t>
  </si>
  <si>
    <t>1062:25</t>
  </si>
  <si>
    <t>428:16</t>
  </si>
  <si>
    <t>1164:30</t>
  </si>
  <si>
    <t>470:57</t>
  </si>
  <si>
    <t>584:21</t>
  </si>
  <si>
    <t>963:24</t>
  </si>
  <si>
    <t>703:52</t>
  </si>
  <si>
    <t>601:28</t>
  </si>
  <si>
    <t>897:03</t>
  </si>
  <si>
    <t>698:15</t>
  </si>
  <si>
    <t>606:27</t>
  </si>
  <si>
    <t>530:16</t>
  </si>
  <si>
    <t>705:27</t>
  </si>
  <si>
    <t>1172:32</t>
  </si>
  <si>
    <t>536:10</t>
  </si>
  <si>
    <t>586:19</t>
  </si>
  <si>
    <t>470:03</t>
  </si>
  <si>
    <t>1119:10</t>
  </si>
  <si>
    <t>927:08</t>
  </si>
  <si>
    <t>571:03</t>
  </si>
  <si>
    <t>641:50</t>
  </si>
  <si>
    <t>418:21</t>
  </si>
  <si>
    <t>471:41</t>
  </si>
  <si>
    <t>561:00</t>
  </si>
  <si>
    <t>548:10</t>
  </si>
  <si>
    <t>451:18</t>
  </si>
  <si>
    <t>733:10</t>
  </si>
  <si>
    <t>405:35</t>
  </si>
  <si>
    <t>334:45</t>
  </si>
  <si>
    <t>11:33</t>
  </si>
  <si>
    <t>413:39</t>
  </si>
  <si>
    <t>233:54</t>
  </si>
  <si>
    <t>743:20</t>
  </si>
  <si>
    <t>253:40</t>
  </si>
  <si>
    <t>633:26</t>
  </si>
  <si>
    <t>355:19</t>
  </si>
  <si>
    <t>804:31</t>
  </si>
  <si>
    <t>488:12</t>
  </si>
  <si>
    <t>1017:46</t>
  </si>
  <si>
    <t>773:11</t>
  </si>
  <si>
    <t>715:37</t>
  </si>
  <si>
    <t>561:13</t>
  </si>
  <si>
    <t>1009:55</t>
  </si>
  <si>
    <t>807:50</t>
  </si>
  <si>
    <t>361:51</t>
  </si>
  <si>
    <t>353:08</t>
  </si>
  <si>
    <t>663:59</t>
  </si>
  <si>
    <t>868:55</t>
  </si>
  <si>
    <t>457:31</t>
  </si>
  <si>
    <t>416:45</t>
  </si>
  <si>
    <t>457:06</t>
  </si>
  <si>
    <t>346:12</t>
  </si>
  <si>
    <t>563:07</t>
  </si>
  <si>
    <t>1009:52</t>
  </si>
  <si>
    <t>707:09</t>
  </si>
  <si>
    <t>745:21</t>
  </si>
  <si>
    <t>456:37</t>
  </si>
  <si>
    <t>252:00</t>
  </si>
  <si>
    <t>359:56</t>
  </si>
  <si>
    <t>250:30</t>
  </si>
  <si>
    <t>168:32</t>
  </si>
  <si>
    <t>848:13</t>
  </si>
  <si>
    <t>16:00</t>
  </si>
  <si>
    <t>446:57</t>
  </si>
  <si>
    <t>768:10</t>
  </si>
  <si>
    <t>865:14</t>
  </si>
  <si>
    <t>1064:47</t>
  </si>
  <si>
    <t>629:04</t>
  </si>
  <si>
    <t>304:16</t>
  </si>
  <si>
    <t>583:20</t>
  </si>
  <si>
    <t>453:05</t>
  </si>
  <si>
    <t>303:15</t>
  </si>
  <si>
    <t>513:05</t>
  </si>
  <si>
    <t>439:32</t>
  </si>
  <si>
    <t>599:08</t>
  </si>
  <si>
    <t>575:31</t>
  </si>
  <si>
    <t>289:05</t>
  </si>
  <si>
    <t>268:25</t>
  </si>
  <si>
    <t>380:41</t>
  </si>
  <si>
    <t>536:04</t>
  </si>
  <si>
    <t>371:07</t>
  </si>
  <si>
    <t>46:09</t>
  </si>
  <si>
    <t>333:55</t>
  </si>
  <si>
    <t>375:00</t>
  </si>
  <si>
    <t>456:40</t>
  </si>
  <si>
    <t>101:16</t>
  </si>
  <si>
    <t>282:51</t>
  </si>
  <si>
    <t>254:16</t>
  </si>
  <si>
    <t>102:35</t>
  </si>
  <si>
    <t>527:00</t>
  </si>
  <si>
    <t>415:53</t>
  </si>
  <si>
    <t>554:51</t>
  </si>
  <si>
    <t>215:14</t>
  </si>
  <si>
    <t>254:11</t>
  </si>
  <si>
    <t>334:33</t>
  </si>
  <si>
    <t>510:50</t>
  </si>
  <si>
    <t>253:02</t>
  </si>
  <si>
    <t>357:01</t>
  </si>
  <si>
    <t>59:35</t>
  </si>
  <si>
    <t>318:32</t>
  </si>
  <si>
    <t>160:50</t>
  </si>
  <si>
    <t>308:15</t>
  </si>
  <si>
    <t>205:28</t>
  </si>
  <si>
    <t>235:33</t>
  </si>
  <si>
    <t>367:22</t>
  </si>
  <si>
    <t>2287:51</t>
  </si>
  <si>
    <t>531:50</t>
  </si>
  <si>
    <t>299:23</t>
  </si>
  <si>
    <t>117:00</t>
  </si>
  <si>
    <t>2063:28</t>
  </si>
  <si>
    <t>58:57</t>
  </si>
  <si>
    <t>235:51</t>
  </si>
  <si>
    <t>1397:52</t>
  </si>
  <si>
    <t>60:47</t>
  </si>
  <si>
    <t>1877:08</t>
  </si>
  <si>
    <t>1949:48</t>
  </si>
  <si>
    <t>575:44</t>
  </si>
  <si>
    <t>279:52</t>
  </si>
  <si>
    <t>1002:10</t>
  </si>
  <si>
    <t>1267:26</t>
  </si>
  <si>
    <t>71:21</t>
  </si>
  <si>
    <t>46:06</t>
  </si>
  <si>
    <t>Isaiah George</t>
  </si>
  <si>
    <t>2078:25</t>
  </si>
  <si>
    <t>59:23</t>
  </si>
  <si>
    <t>1918:21</t>
  </si>
  <si>
    <t>59:57</t>
  </si>
  <si>
    <t>1534:56</t>
  </si>
  <si>
    <t>54:49</t>
  </si>
  <si>
    <t>1233:18</t>
  </si>
  <si>
    <t>56:04</t>
  </si>
  <si>
    <t>422:33</t>
  </si>
  <si>
    <t>52:49</t>
  </si>
  <si>
    <t>255:45</t>
  </si>
  <si>
    <t>1091:03</t>
  </si>
  <si>
    <t>57:25</t>
  </si>
  <si>
    <t>1898:47</t>
  </si>
  <si>
    <t>Simon Lundmark</t>
  </si>
  <si>
    <t>1231:56</t>
  </si>
  <si>
    <t>55:60</t>
  </si>
  <si>
    <t>234:59</t>
  </si>
  <si>
    <t>1262:54</t>
  </si>
  <si>
    <t>129:05</t>
  </si>
  <si>
    <t>2308:16</t>
  </si>
  <si>
    <t>2057:23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</si>
</sst>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5:J1317" totalsRowShown="0" headerRowDxfId="65" headerRowBorderDxfId="64" tableBorderDxfId="63">
  <autoFilter ref="D5:J1317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400" tableType="queryTable" totalsRowShown="0">
  <autoFilter ref="A1:T400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1002" tableType="queryTable" totalsRowShown="0">
  <autoFilter ref="A1:AE1002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784" zoomScale="90" zoomScaleNormal="120" workbookViewId="0">
      <selection activeCell="D783" sqref="D783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C623">
        <v>4</v>
      </c>
      <c r="D623" t="s">
        <v>31</v>
      </c>
      <c r="E623">
        <v>3</v>
      </c>
      <c r="F623" t="s">
        <v>62</v>
      </c>
      <c r="G623" t="s">
        <v>37</v>
      </c>
      <c r="H623" t="s">
        <v>31</v>
      </c>
      <c r="I623">
        <v>4</v>
      </c>
      <c r="J623">
        <v>3</v>
      </c>
    </row>
    <row r="624" spans="1:10" x14ac:dyDescent="0.2">
      <c r="A624" t="s">
        <v>78</v>
      </c>
      <c r="B624" t="s">
        <v>24</v>
      </c>
      <c r="C624">
        <v>3</v>
      </c>
      <c r="D624" t="s">
        <v>28</v>
      </c>
      <c r="E624">
        <v>2</v>
      </c>
      <c r="F624" t="s">
        <v>60</v>
      </c>
      <c r="G624" t="s">
        <v>24</v>
      </c>
      <c r="H624" t="s">
        <v>28</v>
      </c>
      <c r="I624">
        <v>3</v>
      </c>
      <c r="J624">
        <v>2</v>
      </c>
    </row>
    <row r="625" spans="1:10" x14ac:dyDescent="0.2">
      <c r="A625" t="s">
        <v>78</v>
      </c>
      <c r="B625" t="s">
        <v>27</v>
      </c>
      <c r="C625">
        <v>1</v>
      </c>
      <c r="D625" t="s">
        <v>16</v>
      </c>
      <c r="E625">
        <v>5</v>
      </c>
      <c r="F625" t="s">
        <v>60</v>
      </c>
      <c r="G625" t="s">
        <v>16</v>
      </c>
      <c r="H625" t="s">
        <v>27</v>
      </c>
      <c r="I625">
        <v>5</v>
      </c>
      <c r="J625">
        <v>1</v>
      </c>
    </row>
    <row r="626" spans="1:10" x14ac:dyDescent="0.2">
      <c r="A626" t="s">
        <v>78</v>
      </c>
      <c r="B626" t="s">
        <v>35</v>
      </c>
      <c r="C626">
        <v>1</v>
      </c>
      <c r="D626" t="s">
        <v>12</v>
      </c>
      <c r="E626">
        <v>6</v>
      </c>
      <c r="F626" t="s">
        <v>60</v>
      </c>
      <c r="G626" t="s">
        <v>12</v>
      </c>
      <c r="H626" t="s">
        <v>35</v>
      </c>
      <c r="I626">
        <v>6</v>
      </c>
      <c r="J626">
        <v>1</v>
      </c>
    </row>
    <row r="627" spans="1:10" x14ac:dyDescent="0.2">
      <c r="A627" t="s">
        <v>78</v>
      </c>
      <c r="B627" t="s">
        <v>23</v>
      </c>
      <c r="C627">
        <v>4</v>
      </c>
      <c r="D627" t="s">
        <v>39</v>
      </c>
      <c r="E627">
        <v>1</v>
      </c>
      <c r="F627" t="s">
        <v>60</v>
      </c>
      <c r="G627" t="s">
        <v>23</v>
      </c>
      <c r="H627" t="s">
        <v>39</v>
      </c>
      <c r="I627">
        <v>4</v>
      </c>
      <c r="J627">
        <v>1</v>
      </c>
    </row>
    <row r="628" spans="1:10" x14ac:dyDescent="0.2">
      <c r="A628" t="s">
        <v>78</v>
      </c>
      <c r="B628" t="s">
        <v>40</v>
      </c>
      <c r="C628">
        <v>1</v>
      </c>
      <c r="D628" t="s">
        <v>26</v>
      </c>
      <c r="E628">
        <v>2</v>
      </c>
      <c r="F628" t="s">
        <v>60</v>
      </c>
      <c r="G628" t="s">
        <v>26</v>
      </c>
      <c r="H628" t="s">
        <v>40</v>
      </c>
      <c r="I628">
        <v>2</v>
      </c>
      <c r="J628">
        <v>1</v>
      </c>
    </row>
    <row r="629" spans="1:10" x14ac:dyDescent="0.2">
      <c r="A629" t="s">
        <v>78</v>
      </c>
      <c r="B629" t="s">
        <v>21</v>
      </c>
      <c r="C629">
        <v>6</v>
      </c>
      <c r="D629" t="s">
        <v>17</v>
      </c>
      <c r="E629">
        <v>2</v>
      </c>
      <c r="F629" t="s">
        <v>60</v>
      </c>
      <c r="G629" t="s">
        <v>21</v>
      </c>
      <c r="H629" t="s">
        <v>17</v>
      </c>
      <c r="I629">
        <v>6</v>
      </c>
      <c r="J629">
        <v>2</v>
      </c>
    </row>
    <row r="630" spans="1:10" x14ac:dyDescent="0.2">
      <c r="A630" t="s">
        <v>78</v>
      </c>
      <c r="B630" t="s">
        <v>34</v>
      </c>
      <c r="C630">
        <v>3</v>
      </c>
      <c r="D630" t="s">
        <v>33</v>
      </c>
      <c r="E630">
        <v>4</v>
      </c>
      <c r="F630" t="s">
        <v>61</v>
      </c>
      <c r="G630" t="s">
        <v>33</v>
      </c>
      <c r="H630" t="s">
        <v>34</v>
      </c>
      <c r="I630">
        <v>4</v>
      </c>
      <c r="J630">
        <v>3</v>
      </c>
    </row>
    <row r="631" spans="1:10" x14ac:dyDescent="0.2">
      <c r="A631" t="s">
        <v>78</v>
      </c>
      <c r="B631" t="s">
        <v>29</v>
      </c>
      <c r="C631">
        <v>4</v>
      </c>
      <c r="D631" t="s">
        <v>20</v>
      </c>
      <c r="E631">
        <v>2</v>
      </c>
      <c r="F631" t="s">
        <v>60</v>
      </c>
      <c r="G631" t="s">
        <v>29</v>
      </c>
      <c r="H631" t="s">
        <v>20</v>
      </c>
      <c r="I631">
        <v>4</v>
      </c>
      <c r="J631">
        <v>2</v>
      </c>
    </row>
    <row r="632" spans="1:10" x14ac:dyDescent="0.2">
      <c r="A632" t="s">
        <v>78</v>
      </c>
      <c r="B632" t="s">
        <v>15</v>
      </c>
      <c r="C632">
        <v>3</v>
      </c>
      <c r="D632" t="s">
        <v>22</v>
      </c>
      <c r="E632">
        <v>6</v>
      </c>
      <c r="F632" t="s">
        <v>60</v>
      </c>
      <c r="G632" t="s">
        <v>22</v>
      </c>
      <c r="H632" t="s">
        <v>15</v>
      </c>
      <c r="I632">
        <v>6</v>
      </c>
      <c r="J632">
        <v>3</v>
      </c>
    </row>
    <row r="633" spans="1:10" x14ac:dyDescent="0.2">
      <c r="A633" t="s">
        <v>79</v>
      </c>
      <c r="B633" t="s">
        <v>18</v>
      </c>
      <c r="C633">
        <v>7</v>
      </c>
      <c r="D633" t="s">
        <v>25</v>
      </c>
      <c r="E633">
        <v>5</v>
      </c>
      <c r="F633" t="s">
        <v>60</v>
      </c>
      <c r="G633" t="s">
        <v>18</v>
      </c>
      <c r="H633" t="s">
        <v>25</v>
      </c>
      <c r="I633">
        <v>7</v>
      </c>
      <c r="J633">
        <v>5</v>
      </c>
    </row>
    <row r="634" spans="1:10" x14ac:dyDescent="0.2">
      <c r="A634" t="s">
        <v>79</v>
      </c>
      <c r="B634" t="s">
        <v>39</v>
      </c>
      <c r="C634">
        <v>3</v>
      </c>
      <c r="D634" t="s">
        <v>10</v>
      </c>
      <c r="E634">
        <v>4</v>
      </c>
      <c r="F634" t="s">
        <v>60</v>
      </c>
      <c r="G634" t="s">
        <v>10</v>
      </c>
      <c r="H634" t="s">
        <v>39</v>
      </c>
      <c r="I634">
        <v>4</v>
      </c>
      <c r="J634">
        <v>3</v>
      </c>
    </row>
    <row r="635" spans="1:10" x14ac:dyDescent="0.2">
      <c r="A635" t="s">
        <v>79</v>
      </c>
      <c r="B635" t="s">
        <v>37</v>
      </c>
      <c r="C635">
        <v>5</v>
      </c>
      <c r="D635" t="s">
        <v>13</v>
      </c>
      <c r="E635">
        <v>3</v>
      </c>
      <c r="F635" t="s">
        <v>60</v>
      </c>
      <c r="G635" t="s">
        <v>37</v>
      </c>
      <c r="H635" t="s">
        <v>13</v>
      </c>
      <c r="I635">
        <v>5</v>
      </c>
      <c r="J635">
        <v>3</v>
      </c>
    </row>
    <row r="636" spans="1:10" x14ac:dyDescent="0.2">
      <c r="A636" t="s">
        <v>79</v>
      </c>
      <c r="B636" t="s">
        <v>55</v>
      </c>
      <c r="C636">
        <v>7</v>
      </c>
      <c r="D636" t="s">
        <v>30</v>
      </c>
      <c r="E636">
        <v>2</v>
      </c>
      <c r="F636" t="s">
        <v>60</v>
      </c>
      <c r="G636" t="s">
        <v>55</v>
      </c>
      <c r="H636" t="s">
        <v>30</v>
      </c>
      <c r="I636">
        <v>7</v>
      </c>
      <c r="J636">
        <v>2</v>
      </c>
    </row>
    <row r="637" spans="1:10" x14ac:dyDescent="0.2">
      <c r="A637" t="s">
        <v>79</v>
      </c>
      <c r="B637" t="s">
        <v>22</v>
      </c>
      <c r="C637">
        <v>3</v>
      </c>
      <c r="D637" t="s">
        <v>36</v>
      </c>
      <c r="E637">
        <v>4</v>
      </c>
      <c r="F637" t="s">
        <v>60</v>
      </c>
      <c r="G637" t="s">
        <v>36</v>
      </c>
      <c r="H637" t="s">
        <v>22</v>
      </c>
      <c r="I637">
        <v>4</v>
      </c>
      <c r="J637">
        <v>3</v>
      </c>
    </row>
    <row r="638" spans="1:10" x14ac:dyDescent="0.2">
      <c r="A638" t="s">
        <v>79</v>
      </c>
      <c r="B638" t="s">
        <v>26</v>
      </c>
      <c r="C638">
        <v>3</v>
      </c>
      <c r="D638" t="s">
        <v>14</v>
      </c>
      <c r="E638">
        <v>4</v>
      </c>
      <c r="F638" t="s">
        <v>62</v>
      </c>
      <c r="G638" t="s">
        <v>14</v>
      </c>
      <c r="H638" t="s">
        <v>26</v>
      </c>
      <c r="I638">
        <v>4</v>
      </c>
      <c r="J638">
        <v>3</v>
      </c>
    </row>
    <row r="639" spans="1:10" x14ac:dyDescent="0.2">
      <c r="A639" t="s">
        <v>79</v>
      </c>
      <c r="B639" t="s">
        <v>29</v>
      </c>
      <c r="C639">
        <v>1</v>
      </c>
      <c r="D639" t="s">
        <v>32</v>
      </c>
      <c r="E639">
        <v>4</v>
      </c>
      <c r="F639" t="s">
        <v>60</v>
      </c>
      <c r="G639" t="s">
        <v>32</v>
      </c>
      <c r="H639" t="s">
        <v>29</v>
      </c>
      <c r="I639">
        <v>4</v>
      </c>
      <c r="J639">
        <v>1</v>
      </c>
    </row>
    <row r="640" spans="1:10" x14ac:dyDescent="0.2">
      <c r="A640" t="s">
        <v>79</v>
      </c>
      <c r="B640" t="s">
        <v>40</v>
      </c>
      <c r="C640">
        <v>5</v>
      </c>
      <c r="D640" t="s">
        <v>19</v>
      </c>
      <c r="E640">
        <v>6</v>
      </c>
      <c r="F640" t="s">
        <v>60</v>
      </c>
      <c r="G640" t="s">
        <v>19</v>
      </c>
      <c r="H640" t="s">
        <v>40</v>
      </c>
      <c r="I640">
        <v>6</v>
      </c>
      <c r="J640">
        <v>5</v>
      </c>
    </row>
    <row r="641" spans="1:10" x14ac:dyDescent="0.2">
      <c r="A641" t="s">
        <v>80</v>
      </c>
      <c r="B641" t="s">
        <v>34</v>
      </c>
      <c r="C641">
        <v>5</v>
      </c>
      <c r="D641" t="s">
        <v>31</v>
      </c>
      <c r="E641">
        <v>2</v>
      </c>
      <c r="F641" t="s">
        <v>60</v>
      </c>
      <c r="G641" t="s">
        <v>34</v>
      </c>
      <c r="H641" t="s">
        <v>31</v>
      </c>
      <c r="I641">
        <v>5</v>
      </c>
      <c r="J641">
        <v>2</v>
      </c>
    </row>
    <row r="642" spans="1:10" x14ac:dyDescent="0.2">
      <c r="A642" t="s">
        <v>80</v>
      </c>
      <c r="B642" t="s">
        <v>15</v>
      </c>
      <c r="C642">
        <v>5</v>
      </c>
      <c r="D642" t="s">
        <v>11</v>
      </c>
      <c r="E642">
        <v>1</v>
      </c>
      <c r="F642" t="s">
        <v>60</v>
      </c>
      <c r="G642" t="s">
        <v>15</v>
      </c>
      <c r="H642" t="s">
        <v>11</v>
      </c>
      <c r="I642">
        <v>5</v>
      </c>
      <c r="J642">
        <v>1</v>
      </c>
    </row>
    <row r="643" spans="1:10" x14ac:dyDescent="0.2">
      <c r="A643" t="s">
        <v>80</v>
      </c>
      <c r="B643" t="s">
        <v>20</v>
      </c>
      <c r="C643">
        <v>3</v>
      </c>
      <c r="D643" t="s">
        <v>35</v>
      </c>
      <c r="E643">
        <v>4</v>
      </c>
      <c r="F643" t="s">
        <v>60</v>
      </c>
      <c r="G643" t="s">
        <v>35</v>
      </c>
      <c r="H643" t="s">
        <v>20</v>
      </c>
      <c r="I643">
        <v>4</v>
      </c>
      <c r="J643">
        <v>3</v>
      </c>
    </row>
    <row r="644" spans="1:10" x14ac:dyDescent="0.2">
      <c r="A644" t="s">
        <v>80</v>
      </c>
      <c r="B644" t="s">
        <v>32</v>
      </c>
      <c r="C644">
        <v>4</v>
      </c>
      <c r="D644" t="s">
        <v>38</v>
      </c>
      <c r="E644">
        <v>3</v>
      </c>
      <c r="F644" t="s">
        <v>61</v>
      </c>
      <c r="G644" t="s">
        <v>32</v>
      </c>
      <c r="H644" t="s">
        <v>38</v>
      </c>
      <c r="I644">
        <v>4</v>
      </c>
      <c r="J644">
        <v>3</v>
      </c>
    </row>
    <row r="645" spans="1:10" x14ac:dyDescent="0.2">
      <c r="A645" t="s">
        <v>81</v>
      </c>
      <c r="B645" t="s">
        <v>12</v>
      </c>
      <c r="C645">
        <v>5</v>
      </c>
      <c r="D645" t="s">
        <v>25</v>
      </c>
      <c r="E645">
        <v>3</v>
      </c>
      <c r="F645" t="s">
        <v>60</v>
      </c>
      <c r="G645" t="s">
        <v>12</v>
      </c>
      <c r="H645" t="s">
        <v>25</v>
      </c>
      <c r="I645">
        <v>5</v>
      </c>
      <c r="J645">
        <v>3</v>
      </c>
    </row>
    <row r="646" spans="1:10" x14ac:dyDescent="0.2">
      <c r="A646" t="s">
        <v>81</v>
      </c>
      <c r="B646" t="s">
        <v>23</v>
      </c>
      <c r="C646">
        <v>1</v>
      </c>
      <c r="D646" t="s">
        <v>28</v>
      </c>
      <c r="E646">
        <v>5</v>
      </c>
      <c r="F646" t="s">
        <v>60</v>
      </c>
      <c r="G646" t="s">
        <v>28</v>
      </c>
      <c r="H646" t="s">
        <v>23</v>
      </c>
      <c r="I646">
        <v>5</v>
      </c>
      <c r="J646">
        <v>1</v>
      </c>
    </row>
    <row r="647" spans="1:10" x14ac:dyDescent="0.2">
      <c r="A647" t="s">
        <v>81</v>
      </c>
      <c r="B647" t="s">
        <v>29</v>
      </c>
      <c r="C647">
        <v>4</v>
      </c>
      <c r="D647" t="s">
        <v>16</v>
      </c>
      <c r="E647">
        <v>3</v>
      </c>
      <c r="F647" t="s">
        <v>60</v>
      </c>
      <c r="G647" t="s">
        <v>29</v>
      </c>
      <c r="H647" t="s">
        <v>16</v>
      </c>
      <c r="I647">
        <v>4</v>
      </c>
      <c r="J647">
        <v>3</v>
      </c>
    </row>
    <row r="648" spans="1:10" x14ac:dyDescent="0.2">
      <c r="A648" t="s">
        <v>81</v>
      </c>
      <c r="B648" t="s">
        <v>14</v>
      </c>
      <c r="C648">
        <v>4</v>
      </c>
      <c r="D648" t="s">
        <v>26</v>
      </c>
      <c r="E648">
        <v>1</v>
      </c>
      <c r="F648" t="s">
        <v>60</v>
      </c>
      <c r="G648" t="s">
        <v>14</v>
      </c>
      <c r="H648" t="s">
        <v>26</v>
      </c>
      <c r="I648">
        <v>4</v>
      </c>
      <c r="J648">
        <v>1</v>
      </c>
    </row>
    <row r="649" spans="1:10" x14ac:dyDescent="0.2">
      <c r="A649" t="s">
        <v>81</v>
      </c>
      <c r="B649" t="s">
        <v>27</v>
      </c>
      <c r="C649">
        <v>5</v>
      </c>
      <c r="D649" t="s">
        <v>17</v>
      </c>
      <c r="E649">
        <v>2</v>
      </c>
      <c r="F649" t="s">
        <v>60</v>
      </c>
      <c r="G649" t="s">
        <v>27</v>
      </c>
      <c r="H649" t="s">
        <v>17</v>
      </c>
      <c r="I649">
        <v>5</v>
      </c>
      <c r="J649">
        <v>2</v>
      </c>
    </row>
    <row r="650" spans="1:10" x14ac:dyDescent="0.2">
      <c r="A650" t="s">
        <v>81</v>
      </c>
      <c r="B650" t="s">
        <v>34</v>
      </c>
      <c r="C650">
        <v>4</v>
      </c>
      <c r="D650" t="s">
        <v>13</v>
      </c>
      <c r="E650">
        <v>5</v>
      </c>
      <c r="F650" t="s">
        <v>61</v>
      </c>
      <c r="G650" t="s">
        <v>13</v>
      </c>
      <c r="H650" t="s">
        <v>34</v>
      </c>
      <c r="I650">
        <v>5</v>
      </c>
      <c r="J650">
        <v>4</v>
      </c>
    </row>
    <row r="651" spans="1:10" x14ac:dyDescent="0.2">
      <c r="A651" t="s">
        <v>81</v>
      </c>
      <c r="B651" t="s">
        <v>55</v>
      </c>
      <c r="C651">
        <v>1</v>
      </c>
      <c r="D651" t="s">
        <v>24</v>
      </c>
      <c r="E651">
        <v>4</v>
      </c>
      <c r="F651" t="s">
        <v>60</v>
      </c>
      <c r="G651" t="s">
        <v>24</v>
      </c>
      <c r="H651" t="s">
        <v>55</v>
      </c>
      <c r="I651">
        <v>4</v>
      </c>
      <c r="J651">
        <v>1</v>
      </c>
    </row>
    <row r="652" spans="1:10" x14ac:dyDescent="0.2">
      <c r="A652" t="s">
        <v>81</v>
      </c>
      <c r="B652" t="s">
        <v>19</v>
      </c>
      <c r="C652">
        <v>3</v>
      </c>
      <c r="D652" t="s">
        <v>30</v>
      </c>
      <c r="E652">
        <v>4</v>
      </c>
      <c r="F652" t="s">
        <v>62</v>
      </c>
      <c r="G652" t="s">
        <v>30</v>
      </c>
      <c r="H652" t="s">
        <v>19</v>
      </c>
      <c r="I652">
        <v>4</v>
      </c>
      <c r="J652">
        <v>3</v>
      </c>
    </row>
    <row r="653" spans="1:10" x14ac:dyDescent="0.2">
      <c r="A653" t="s">
        <v>81</v>
      </c>
      <c r="B653" t="s">
        <v>40</v>
      </c>
      <c r="C653">
        <v>2</v>
      </c>
      <c r="D653" t="s">
        <v>36</v>
      </c>
      <c r="E653">
        <v>4</v>
      </c>
      <c r="F653" t="s">
        <v>60</v>
      </c>
      <c r="G653" t="s">
        <v>36</v>
      </c>
      <c r="H653" t="s">
        <v>40</v>
      </c>
      <c r="I653">
        <v>4</v>
      </c>
      <c r="J653">
        <v>2</v>
      </c>
    </row>
    <row r="654" spans="1:10" x14ac:dyDescent="0.2">
      <c r="A654" t="s">
        <v>81</v>
      </c>
      <c r="B654" t="s">
        <v>37</v>
      </c>
      <c r="C654">
        <v>7</v>
      </c>
      <c r="D654" t="s">
        <v>33</v>
      </c>
      <c r="E654">
        <v>3</v>
      </c>
      <c r="F654" t="s">
        <v>60</v>
      </c>
      <c r="G654" t="s">
        <v>37</v>
      </c>
      <c r="H654" t="s">
        <v>33</v>
      </c>
      <c r="I654">
        <v>7</v>
      </c>
      <c r="J654">
        <v>3</v>
      </c>
    </row>
    <row r="655" spans="1:10" x14ac:dyDescent="0.2">
      <c r="A655" t="s">
        <v>81</v>
      </c>
      <c r="B655" t="s">
        <v>18</v>
      </c>
      <c r="C655">
        <v>0</v>
      </c>
      <c r="D655" t="s">
        <v>35</v>
      </c>
      <c r="E655">
        <v>2</v>
      </c>
      <c r="F655" t="s">
        <v>60</v>
      </c>
      <c r="G655" t="s">
        <v>35</v>
      </c>
      <c r="H655" t="s">
        <v>18</v>
      </c>
      <c r="I655">
        <v>2</v>
      </c>
      <c r="J655">
        <v>0</v>
      </c>
    </row>
    <row r="656" spans="1:10" x14ac:dyDescent="0.2">
      <c r="A656" t="s">
        <v>81</v>
      </c>
      <c r="B656" t="s">
        <v>21</v>
      </c>
      <c r="C656">
        <v>3</v>
      </c>
      <c r="D656" t="s">
        <v>38</v>
      </c>
      <c r="E656">
        <v>2</v>
      </c>
      <c r="F656" t="s">
        <v>62</v>
      </c>
      <c r="G656" t="s">
        <v>21</v>
      </c>
      <c r="H656" t="s">
        <v>38</v>
      </c>
      <c r="I656">
        <v>3</v>
      </c>
      <c r="J656">
        <v>2</v>
      </c>
    </row>
    <row r="657" spans="1:10" x14ac:dyDescent="0.2">
      <c r="A657" t="s">
        <v>81</v>
      </c>
      <c r="B657" t="s">
        <v>10</v>
      </c>
      <c r="C657">
        <v>3</v>
      </c>
      <c r="D657" t="s">
        <v>22</v>
      </c>
      <c r="E657">
        <v>2</v>
      </c>
      <c r="F657" t="s">
        <v>61</v>
      </c>
      <c r="G657" t="s">
        <v>10</v>
      </c>
      <c r="H657" t="s">
        <v>22</v>
      </c>
      <c r="I657">
        <v>3</v>
      </c>
      <c r="J657">
        <v>2</v>
      </c>
    </row>
    <row r="658" spans="1:10" x14ac:dyDescent="0.2">
      <c r="A658" t="s">
        <v>82</v>
      </c>
      <c r="B658" t="s">
        <v>14</v>
      </c>
      <c r="C658">
        <v>5</v>
      </c>
      <c r="D658" t="s">
        <v>28</v>
      </c>
      <c r="E658">
        <v>4</v>
      </c>
      <c r="F658" t="s">
        <v>62</v>
      </c>
      <c r="G658" t="s">
        <v>14</v>
      </c>
      <c r="H658" t="s">
        <v>28</v>
      </c>
      <c r="I658">
        <v>5</v>
      </c>
      <c r="J658">
        <v>4</v>
      </c>
    </row>
    <row r="659" spans="1:10" x14ac:dyDescent="0.2">
      <c r="A659" t="s">
        <v>82</v>
      </c>
      <c r="B659" t="s">
        <v>20</v>
      </c>
      <c r="C659">
        <v>2</v>
      </c>
      <c r="D659" t="s">
        <v>10</v>
      </c>
      <c r="E659">
        <v>3</v>
      </c>
      <c r="F659" t="s">
        <v>62</v>
      </c>
      <c r="G659" t="s">
        <v>10</v>
      </c>
      <c r="H659" t="s">
        <v>20</v>
      </c>
      <c r="I659">
        <v>3</v>
      </c>
      <c r="J659">
        <v>2</v>
      </c>
    </row>
    <row r="660" spans="1:10" x14ac:dyDescent="0.2">
      <c r="A660" t="s">
        <v>82</v>
      </c>
      <c r="B660" t="s">
        <v>18</v>
      </c>
      <c r="C660">
        <v>4</v>
      </c>
      <c r="D660" t="s">
        <v>39</v>
      </c>
      <c r="E660">
        <v>3</v>
      </c>
      <c r="F660" t="s">
        <v>62</v>
      </c>
      <c r="G660" t="s">
        <v>18</v>
      </c>
      <c r="H660" t="s">
        <v>39</v>
      </c>
      <c r="I660">
        <v>4</v>
      </c>
      <c r="J660">
        <v>3</v>
      </c>
    </row>
    <row r="661" spans="1:10" x14ac:dyDescent="0.2">
      <c r="A661" t="s">
        <v>82</v>
      </c>
      <c r="B661" t="s">
        <v>12</v>
      </c>
      <c r="C661">
        <v>1</v>
      </c>
      <c r="D661" t="s">
        <v>11</v>
      </c>
      <c r="E661">
        <v>2</v>
      </c>
      <c r="F661" t="s">
        <v>60</v>
      </c>
      <c r="G661" t="s">
        <v>11</v>
      </c>
      <c r="H661" t="s">
        <v>12</v>
      </c>
      <c r="I661">
        <v>2</v>
      </c>
      <c r="J661">
        <v>1</v>
      </c>
    </row>
    <row r="662" spans="1:10" x14ac:dyDescent="0.2">
      <c r="A662" t="s">
        <v>82</v>
      </c>
      <c r="B662" t="s">
        <v>25</v>
      </c>
      <c r="C662">
        <v>3</v>
      </c>
      <c r="D662" t="s">
        <v>24</v>
      </c>
      <c r="E662">
        <v>1</v>
      </c>
      <c r="F662" t="s">
        <v>60</v>
      </c>
      <c r="G662" t="s">
        <v>25</v>
      </c>
      <c r="H662" t="s">
        <v>24</v>
      </c>
      <c r="I662">
        <v>3</v>
      </c>
      <c r="J662">
        <v>1</v>
      </c>
    </row>
    <row r="663" spans="1:10" x14ac:dyDescent="0.2">
      <c r="A663" t="s">
        <v>83</v>
      </c>
      <c r="B663" t="s">
        <v>32</v>
      </c>
      <c r="C663">
        <v>5</v>
      </c>
      <c r="D663" t="s">
        <v>16</v>
      </c>
      <c r="E663">
        <v>1</v>
      </c>
      <c r="F663" t="s">
        <v>60</v>
      </c>
      <c r="G663" t="s">
        <v>32</v>
      </c>
      <c r="H663" t="s">
        <v>16</v>
      </c>
      <c r="I663">
        <v>5</v>
      </c>
      <c r="J663">
        <v>1</v>
      </c>
    </row>
    <row r="664" spans="1:10" x14ac:dyDescent="0.2">
      <c r="A664" t="s">
        <v>83</v>
      </c>
      <c r="B664" t="s">
        <v>34</v>
      </c>
      <c r="C664">
        <v>2</v>
      </c>
      <c r="D664" t="s">
        <v>13</v>
      </c>
      <c r="E664">
        <v>4</v>
      </c>
      <c r="F664" t="s">
        <v>60</v>
      </c>
      <c r="G664" t="s">
        <v>13</v>
      </c>
      <c r="H664" t="s">
        <v>34</v>
      </c>
      <c r="I664">
        <v>4</v>
      </c>
      <c r="J664">
        <v>2</v>
      </c>
    </row>
    <row r="665" spans="1:10" x14ac:dyDescent="0.2">
      <c r="A665" t="s">
        <v>83</v>
      </c>
      <c r="B665" t="s">
        <v>55</v>
      </c>
      <c r="C665">
        <v>3</v>
      </c>
      <c r="D665" t="s">
        <v>15</v>
      </c>
      <c r="E665">
        <v>2</v>
      </c>
      <c r="F665" t="s">
        <v>62</v>
      </c>
      <c r="G665" t="s">
        <v>55</v>
      </c>
      <c r="H665" t="s">
        <v>15</v>
      </c>
      <c r="I665">
        <v>3</v>
      </c>
      <c r="J665">
        <v>2</v>
      </c>
    </row>
    <row r="666" spans="1:10" x14ac:dyDescent="0.2">
      <c r="A666" t="s">
        <v>83</v>
      </c>
      <c r="B666" t="s">
        <v>26</v>
      </c>
      <c r="C666">
        <v>5</v>
      </c>
      <c r="D666" t="s">
        <v>36</v>
      </c>
      <c r="E666">
        <v>3</v>
      </c>
      <c r="F666" t="s">
        <v>60</v>
      </c>
      <c r="G666" t="s">
        <v>26</v>
      </c>
      <c r="H666" t="s">
        <v>36</v>
      </c>
      <c r="I666">
        <v>5</v>
      </c>
      <c r="J666">
        <v>3</v>
      </c>
    </row>
    <row r="667" spans="1:10" x14ac:dyDescent="0.2">
      <c r="A667" t="s">
        <v>83</v>
      </c>
      <c r="B667" t="s">
        <v>31</v>
      </c>
      <c r="C667">
        <v>4</v>
      </c>
      <c r="D667" t="s">
        <v>22</v>
      </c>
      <c r="E667">
        <v>7</v>
      </c>
      <c r="F667" t="s">
        <v>60</v>
      </c>
      <c r="G667" t="s">
        <v>22</v>
      </c>
      <c r="H667" t="s">
        <v>31</v>
      </c>
      <c r="I667">
        <v>7</v>
      </c>
      <c r="J667">
        <v>4</v>
      </c>
    </row>
    <row r="668" spans="1:10" x14ac:dyDescent="0.2">
      <c r="A668" t="s">
        <v>84</v>
      </c>
      <c r="B668" t="s">
        <v>38</v>
      </c>
      <c r="C668">
        <v>3</v>
      </c>
      <c r="D668" t="s">
        <v>23</v>
      </c>
      <c r="E668">
        <v>5</v>
      </c>
      <c r="F668" t="s">
        <v>60</v>
      </c>
      <c r="G668" t="s">
        <v>23</v>
      </c>
      <c r="H668" t="s">
        <v>38</v>
      </c>
      <c r="I668">
        <v>5</v>
      </c>
      <c r="J668">
        <v>3</v>
      </c>
    </row>
    <row r="669" spans="1:10" x14ac:dyDescent="0.2">
      <c r="A669" t="s">
        <v>84</v>
      </c>
      <c r="B669" t="s">
        <v>39</v>
      </c>
      <c r="C669">
        <v>3</v>
      </c>
      <c r="D669" t="s">
        <v>25</v>
      </c>
      <c r="E669">
        <v>6</v>
      </c>
      <c r="F669" t="s">
        <v>60</v>
      </c>
      <c r="G669" t="s">
        <v>25</v>
      </c>
      <c r="H669" t="s">
        <v>39</v>
      </c>
      <c r="I669">
        <v>6</v>
      </c>
      <c r="J669">
        <v>3</v>
      </c>
    </row>
    <row r="670" spans="1:10" x14ac:dyDescent="0.2">
      <c r="A670" t="s">
        <v>84</v>
      </c>
      <c r="B670" t="s">
        <v>29</v>
      </c>
      <c r="C670">
        <v>2</v>
      </c>
      <c r="D670" t="s">
        <v>17</v>
      </c>
      <c r="E670">
        <v>6</v>
      </c>
      <c r="F670" t="s">
        <v>60</v>
      </c>
      <c r="G670" t="s">
        <v>17</v>
      </c>
      <c r="H670" t="s">
        <v>29</v>
      </c>
      <c r="I670">
        <v>6</v>
      </c>
      <c r="J670">
        <v>2</v>
      </c>
    </row>
    <row r="671" spans="1:10" x14ac:dyDescent="0.2">
      <c r="A671" t="s">
        <v>84</v>
      </c>
      <c r="B671" t="s">
        <v>24</v>
      </c>
      <c r="C671">
        <v>0</v>
      </c>
      <c r="D671" t="s">
        <v>30</v>
      </c>
      <c r="E671">
        <v>9</v>
      </c>
      <c r="F671" t="s">
        <v>60</v>
      </c>
      <c r="G671" t="s">
        <v>30</v>
      </c>
      <c r="H671" t="s">
        <v>24</v>
      </c>
      <c r="I671">
        <v>9</v>
      </c>
      <c r="J671">
        <v>0</v>
      </c>
    </row>
    <row r="672" spans="1:10" x14ac:dyDescent="0.2">
      <c r="A672" t="s">
        <v>84</v>
      </c>
      <c r="B672" t="s">
        <v>31</v>
      </c>
      <c r="C672">
        <v>2</v>
      </c>
      <c r="D672" t="s">
        <v>27</v>
      </c>
      <c r="E672">
        <v>5</v>
      </c>
      <c r="F672" t="s">
        <v>60</v>
      </c>
      <c r="G672" t="s">
        <v>27</v>
      </c>
      <c r="H672" t="s">
        <v>31</v>
      </c>
      <c r="I672">
        <v>5</v>
      </c>
      <c r="J672">
        <v>2</v>
      </c>
    </row>
    <row r="673" spans="1:10" x14ac:dyDescent="0.2">
      <c r="A673" t="s">
        <v>84</v>
      </c>
      <c r="B673" t="s">
        <v>21</v>
      </c>
      <c r="C673">
        <v>4</v>
      </c>
      <c r="D673" t="s">
        <v>32</v>
      </c>
      <c r="E673">
        <v>7</v>
      </c>
      <c r="F673" t="s">
        <v>60</v>
      </c>
      <c r="G673" t="s">
        <v>32</v>
      </c>
      <c r="H673" t="s">
        <v>21</v>
      </c>
      <c r="I673">
        <v>7</v>
      </c>
      <c r="J673">
        <v>4</v>
      </c>
    </row>
    <row r="674" spans="1:10" x14ac:dyDescent="0.2">
      <c r="A674" t="s">
        <v>84</v>
      </c>
      <c r="B674" t="s">
        <v>28</v>
      </c>
      <c r="C674">
        <v>2</v>
      </c>
      <c r="D674" t="s">
        <v>33</v>
      </c>
      <c r="E674">
        <v>5</v>
      </c>
      <c r="F674" t="s">
        <v>60</v>
      </c>
      <c r="G674" t="s">
        <v>33</v>
      </c>
      <c r="H674" t="s">
        <v>28</v>
      </c>
      <c r="I674">
        <v>5</v>
      </c>
      <c r="J674">
        <v>2</v>
      </c>
    </row>
    <row r="675" spans="1:10" x14ac:dyDescent="0.2">
      <c r="A675" t="s">
        <v>84</v>
      </c>
      <c r="B675" t="s">
        <v>12</v>
      </c>
      <c r="C675">
        <v>2</v>
      </c>
      <c r="D675" t="s">
        <v>37</v>
      </c>
      <c r="E675">
        <v>4</v>
      </c>
      <c r="F675" t="s">
        <v>60</v>
      </c>
      <c r="G675" t="s">
        <v>37</v>
      </c>
      <c r="H675" t="s">
        <v>12</v>
      </c>
      <c r="I675">
        <v>4</v>
      </c>
      <c r="J675">
        <v>2</v>
      </c>
    </row>
    <row r="676" spans="1:10" x14ac:dyDescent="0.2">
      <c r="A676" t="s">
        <v>84</v>
      </c>
      <c r="B676" t="s">
        <v>11</v>
      </c>
      <c r="C676">
        <v>1</v>
      </c>
      <c r="D676" t="s">
        <v>19</v>
      </c>
      <c r="E676">
        <v>4</v>
      </c>
      <c r="F676" t="s">
        <v>60</v>
      </c>
      <c r="G676" t="s">
        <v>19</v>
      </c>
      <c r="H676" t="s">
        <v>11</v>
      </c>
      <c r="I676">
        <v>4</v>
      </c>
      <c r="J676">
        <v>1</v>
      </c>
    </row>
    <row r="677" spans="1:10" x14ac:dyDescent="0.2">
      <c r="A677" t="s">
        <v>84</v>
      </c>
      <c r="B677" t="s">
        <v>20</v>
      </c>
      <c r="C677">
        <v>4</v>
      </c>
      <c r="D677" t="s">
        <v>40</v>
      </c>
      <c r="E677">
        <v>3</v>
      </c>
      <c r="F677" t="s">
        <v>62</v>
      </c>
      <c r="G677" t="s">
        <v>20</v>
      </c>
      <c r="H677" t="s">
        <v>40</v>
      </c>
      <c r="I677">
        <v>4</v>
      </c>
      <c r="J677">
        <v>3</v>
      </c>
    </row>
    <row r="678" spans="1:10" x14ac:dyDescent="0.2">
      <c r="A678" t="s">
        <v>85</v>
      </c>
      <c r="B678" t="s">
        <v>35</v>
      </c>
      <c r="C678">
        <v>3</v>
      </c>
      <c r="D678" t="s">
        <v>10</v>
      </c>
      <c r="E678">
        <v>7</v>
      </c>
      <c r="F678" t="s">
        <v>60</v>
      </c>
      <c r="G678" t="s">
        <v>10</v>
      </c>
      <c r="H678" t="s">
        <v>35</v>
      </c>
      <c r="I678">
        <v>7</v>
      </c>
      <c r="J678">
        <v>3</v>
      </c>
    </row>
    <row r="679" spans="1:10" x14ac:dyDescent="0.2">
      <c r="A679" t="s">
        <v>85</v>
      </c>
      <c r="B679" t="s">
        <v>33</v>
      </c>
      <c r="C679">
        <v>4</v>
      </c>
      <c r="D679" t="s">
        <v>13</v>
      </c>
      <c r="E679">
        <v>3</v>
      </c>
      <c r="F679" t="s">
        <v>62</v>
      </c>
      <c r="G679" t="s">
        <v>33</v>
      </c>
      <c r="H679" t="s">
        <v>13</v>
      </c>
      <c r="I679">
        <v>4</v>
      </c>
      <c r="J679">
        <v>3</v>
      </c>
    </row>
    <row r="680" spans="1:10" x14ac:dyDescent="0.2">
      <c r="A680" t="s">
        <v>85</v>
      </c>
      <c r="B680" t="s">
        <v>16</v>
      </c>
      <c r="C680">
        <v>1</v>
      </c>
      <c r="D680" t="s">
        <v>18</v>
      </c>
      <c r="E680">
        <v>4</v>
      </c>
      <c r="F680" t="s">
        <v>60</v>
      </c>
      <c r="G680" t="s">
        <v>18</v>
      </c>
      <c r="H680" t="s">
        <v>16</v>
      </c>
      <c r="I680">
        <v>4</v>
      </c>
      <c r="J680">
        <v>1</v>
      </c>
    </row>
    <row r="681" spans="1:10" x14ac:dyDescent="0.2">
      <c r="A681" t="s">
        <v>85</v>
      </c>
      <c r="B681" t="s">
        <v>36</v>
      </c>
      <c r="C681">
        <v>1</v>
      </c>
      <c r="D681" t="s">
        <v>55</v>
      </c>
      <c r="E681">
        <v>3</v>
      </c>
      <c r="F681" t="s">
        <v>60</v>
      </c>
      <c r="G681" t="s">
        <v>55</v>
      </c>
      <c r="H681" t="s">
        <v>36</v>
      </c>
      <c r="I681">
        <v>3</v>
      </c>
      <c r="J681">
        <v>1</v>
      </c>
    </row>
    <row r="682" spans="1:10" x14ac:dyDescent="0.2">
      <c r="A682" t="s">
        <v>85</v>
      </c>
      <c r="B682" t="s">
        <v>39</v>
      </c>
      <c r="C682">
        <v>4</v>
      </c>
      <c r="D682" t="s">
        <v>22</v>
      </c>
      <c r="E682">
        <v>1</v>
      </c>
      <c r="F682" t="s">
        <v>60</v>
      </c>
      <c r="G682" t="s">
        <v>39</v>
      </c>
      <c r="H682" t="s">
        <v>22</v>
      </c>
      <c r="I682">
        <v>4</v>
      </c>
      <c r="J682">
        <v>1</v>
      </c>
    </row>
    <row r="683" spans="1:10" x14ac:dyDescent="0.2">
      <c r="A683" t="s">
        <v>86</v>
      </c>
      <c r="B683" t="s">
        <v>16</v>
      </c>
      <c r="C683">
        <v>1</v>
      </c>
      <c r="D683" t="s">
        <v>21</v>
      </c>
      <c r="E683">
        <v>4</v>
      </c>
      <c r="F683" t="s">
        <v>60</v>
      </c>
      <c r="G683" t="s">
        <v>21</v>
      </c>
      <c r="H683" t="s">
        <v>16</v>
      </c>
      <c r="I683">
        <v>4</v>
      </c>
      <c r="J683">
        <v>1</v>
      </c>
    </row>
    <row r="684" spans="1:10" x14ac:dyDescent="0.2">
      <c r="A684" t="s">
        <v>86</v>
      </c>
      <c r="B684" t="s">
        <v>31</v>
      </c>
      <c r="C684">
        <v>2</v>
      </c>
      <c r="D684" t="s">
        <v>25</v>
      </c>
      <c r="E684">
        <v>5</v>
      </c>
      <c r="F684" t="s">
        <v>60</v>
      </c>
      <c r="G684" t="s">
        <v>25</v>
      </c>
      <c r="H684" t="s">
        <v>31</v>
      </c>
      <c r="I684">
        <v>5</v>
      </c>
      <c r="J684">
        <v>2</v>
      </c>
    </row>
    <row r="685" spans="1:10" x14ac:dyDescent="0.2">
      <c r="A685" t="s">
        <v>86</v>
      </c>
      <c r="B685" t="s">
        <v>36</v>
      </c>
      <c r="C685">
        <v>2</v>
      </c>
      <c r="D685" t="s">
        <v>12</v>
      </c>
      <c r="E685">
        <v>8</v>
      </c>
      <c r="F685" t="s">
        <v>60</v>
      </c>
      <c r="G685" t="s">
        <v>12</v>
      </c>
      <c r="H685" t="s">
        <v>36</v>
      </c>
      <c r="I685">
        <v>8</v>
      </c>
      <c r="J685">
        <v>2</v>
      </c>
    </row>
    <row r="686" spans="1:10" x14ac:dyDescent="0.2">
      <c r="A686" t="s">
        <v>86</v>
      </c>
      <c r="B686" t="s">
        <v>38</v>
      </c>
      <c r="C686">
        <v>1</v>
      </c>
      <c r="D686" t="s">
        <v>26</v>
      </c>
      <c r="E686">
        <v>5</v>
      </c>
      <c r="F686" t="s">
        <v>60</v>
      </c>
      <c r="G686" t="s">
        <v>26</v>
      </c>
      <c r="H686" t="s">
        <v>38</v>
      </c>
      <c r="I686">
        <v>5</v>
      </c>
      <c r="J686">
        <v>1</v>
      </c>
    </row>
    <row r="687" spans="1:10" x14ac:dyDescent="0.2">
      <c r="A687" t="s">
        <v>86</v>
      </c>
      <c r="B687" t="s">
        <v>11</v>
      </c>
      <c r="C687">
        <v>2</v>
      </c>
      <c r="D687" t="s">
        <v>18</v>
      </c>
      <c r="E687">
        <v>6</v>
      </c>
      <c r="F687" t="s">
        <v>60</v>
      </c>
      <c r="G687" t="s">
        <v>18</v>
      </c>
      <c r="H687" t="s">
        <v>11</v>
      </c>
      <c r="I687">
        <v>6</v>
      </c>
      <c r="J687">
        <v>2</v>
      </c>
    </row>
    <row r="688" spans="1:10" x14ac:dyDescent="0.2">
      <c r="A688" t="s">
        <v>86</v>
      </c>
      <c r="B688" t="s">
        <v>30</v>
      </c>
      <c r="C688">
        <v>1</v>
      </c>
      <c r="D688" t="s">
        <v>29</v>
      </c>
      <c r="E688">
        <v>2</v>
      </c>
      <c r="F688" t="s">
        <v>61</v>
      </c>
      <c r="G688" t="s">
        <v>29</v>
      </c>
      <c r="H688" t="s">
        <v>30</v>
      </c>
      <c r="I688">
        <v>2</v>
      </c>
      <c r="J688">
        <v>1</v>
      </c>
    </row>
    <row r="689" spans="1:10" x14ac:dyDescent="0.2">
      <c r="A689" t="s">
        <v>86</v>
      </c>
      <c r="B689" t="s">
        <v>23</v>
      </c>
      <c r="C689">
        <v>5</v>
      </c>
      <c r="D689" t="s">
        <v>15</v>
      </c>
      <c r="E689">
        <v>2</v>
      </c>
      <c r="F689" t="s">
        <v>60</v>
      </c>
      <c r="G689" t="s">
        <v>23</v>
      </c>
      <c r="H689" t="s">
        <v>15</v>
      </c>
      <c r="I689">
        <v>5</v>
      </c>
      <c r="J689">
        <v>2</v>
      </c>
    </row>
    <row r="690" spans="1:10" x14ac:dyDescent="0.2">
      <c r="A690" t="s">
        <v>86</v>
      </c>
      <c r="B690" t="s">
        <v>19</v>
      </c>
      <c r="C690">
        <v>2</v>
      </c>
      <c r="D690" t="s">
        <v>27</v>
      </c>
      <c r="E690">
        <v>1</v>
      </c>
      <c r="F690" t="s">
        <v>62</v>
      </c>
      <c r="G690" t="s">
        <v>19</v>
      </c>
      <c r="H690" t="s">
        <v>27</v>
      </c>
      <c r="I690">
        <v>2</v>
      </c>
      <c r="J690">
        <v>1</v>
      </c>
    </row>
    <row r="691" spans="1:10" x14ac:dyDescent="0.2">
      <c r="A691" t="s">
        <v>86</v>
      </c>
      <c r="B691" t="s">
        <v>24</v>
      </c>
      <c r="C691">
        <v>1</v>
      </c>
      <c r="D691" t="s">
        <v>14</v>
      </c>
      <c r="E691">
        <v>4</v>
      </c>
      <c r="F691" t="s">
        <v>60</v>
      </c>
      <c r="G691" t="s">
        <v>14</v>
      </c>
      <c r="H691" t="s">
        <v>24</v>
      </c>
      <c r="I691">
        <v>4</v>
      </c>
      <c r="J691">
        <v>1</v>
      </c>
    </row>
    <row r="692" spans="1:10" x14ac:dyDescent="0.2">
      <c r="A692" t="s">
        <v>86</v>
      </c>
      <c r="B692" t="s">
        <v>34</v>
      </c>
      <c r="C692">
        <v>3</v>
      </c>
      <c r="D692" t="s">
        <v>32</v>
      </c>
      <c r="E692">
        <v>2</v>
      </c>
      <c r="F692" t="s">
        <v>62</v>
      </c>
      <c r="G692" t="s">
        <v>34</v>
      </c>
      <c r="H692" t="s">
        <v>32</v>
      </c>
      <c r="I692">
        <v>3</v>
      </c>
      <c r="J692">
        <v>2</v>
      </c>
    </row>
    <row r="693" spans="1:10" x14ac:dyDescent="0.2">
      <c r="A693" t="s">
        <v>86</v>
      </c>
      <c r="B693" t="s">
        <v>28</v>
      </c>
      <c r="C693">
        <v>3</v>
      </c>
      <c r="D693" t="s">
        <v>20</v>
      </c>
      <c r="E693">
        <v>5</v>
      </c>
      <c r="F693" t="s">
        <v>60</v>
      </c>
      <c r="G693" t="s">
        <v>20</v>
      </c>
      <c r="H693" t="s">
        <v>28</v>
      </c>
      <c r="I693">
        <v>5</v>
      </c>
      <c r="J693">
        <v>3</v>
      </c>
    </row>
    <row r="694" spans="1:10" x14ac:dyDescent="0.2">
      <c r="A694" t="s">
        <v>86</v>
      </c>
      <c r="B694" t="s">
        <v>17</v>
      </c>
      <c r="C694">
        <v>4</v>
      </c>
      <c r="D694" t="s">
        <v>40</v>
      </c>
      <c r="E694">
        <v>3</v>
      </c>
      <c r="F694" t="s">
        <v>60</v>
      </c>
      <c r="G694" t="s">
        <v>17</v>
      </c>
      <c r="H694" t="s">
        <v>40</v>
      </c>
      <c r="I694">
        <v>4</v>
      </c>
      <c r="J694">
        <v>3</v>
      </c>
    </row>
    <row r="695" spans="1:10" x14ac:dyDescent="0.2">
      <c r="A695" t="s">
        <v>87</v>
      </c>
      <c r="B695" t="s">
        <v>22</v>
      </c>
      <c r="C695">
        <v>5</v>
      </c>
      <c r="D695" t="s">
        <v>10</v>
      </c>
      <c r="E695">
        <v>1</v>
      </c>
      <c r="F695" t="s">
        <v>60</v>
      </c>
      <c r="G695" t="s">
        <v>22</v>
      </c>
      <c r="H695" t="s">
        <v>10</v>
      </c>
      <c r="I695">
        <v>5</v>
      </c>
      <c r="J695">
        <v>1</v>
      </c>
    </row>
    <row r="696" spans="1:10" x14ac:dyDescent="0.2">
      <c r="A696" t="s">
        <v>87</v>
      </c>
      <c r="B696" t="s">
        <v>35</v>
      </c>
      <c r="C696">
        <v>2</v>
      </c>
      <c r="D696" t="s">
        <v>55</v>
      </c>
      <c r="E696">
        <v>4</v>
      </c>
      <c r="F696" t="s">
        <v>60</v>
      </c>
      <c r="G696" t="s">
        <v>55</v>
      </c>
      <c r="H696" t="s">
        <v>35</v>
      </c>
      <c r="I696">
        <v>4</v>
      </c>
      <c r="J696">
        <v>2</v>
      </c>
    </row>
    <row r="697" spans="1:10" x14ac:dyDescent="0.2">
      <c r="A697" t="s">
        <v>87</v>
      </c>
      <c r="B697" t="s">
        <v>13</v>
      </c>
      <c r="C697">
        <v>1</v>
      </c>
      <c r="D697" t="s">
        <v>40</v>
      </c>
      <c r="E697">
        <v>5</v>
      </c>
      <c r="F697" t="s">
        <v>60</v>
      </c>
      <c r="G697" t="s">
        <v>40</v>
      </c>
      <c r="H697" t="s">
        <v>13</v>
      </c>
      <c r="I697">
        <v>5</v>
      </c>
      <c r="J697">
        <v>1</v>
      </c>
    </row>
    <row r="698" spans="1:10" x14ac:dyDescent="0.2">
      <c r="A698" t="s">
        <v>88</v>
      </c>
      <c r="B698" t="s">
        <v>15</v>
      </c>
      <c r="C698">
        <v>2</v>
      </c>
      <c r="D698" t="s">
        <v>21</v>
      </c>
      <c r="E698">
        <v>10</v>
      </c>
      <c r="F698" t="s">
        <v>60</v>
      </c>
      <c r="G698" t="s">
        <v>15</v>
      </c>
      <c r="H698" t="s">
        <v>21</v>
      </c>
      <c r="I698">
        <v>2</v>
      </c>
      <c r="J698">
        <v>10</v>
      </c>
    </row>
    <row r="699" spans="1:10" x14ac:dyDescent="0.2">
      <c r="A699" t="s">
        <v>88</v>
      </c>
      <c r="B699" t="s">
        <v>31</v>
      </c>
      <c r="C699">
        <v>3</v>
      </c>
      <c r="D699" t="s">
        <v>23</v>
      </c>
      <c r="E699">
        <v>5</v>
      </c>
      <c r="F699" t="s">
        <v>60</v>
      </c>
      <c r="G699" t="s">
        <v>23</v>
      </c>
      <c r="H699" t="s">
        <v>31</v>
      </c>
      <c r="I699">
        <v>5</v>
      </c>
      <c r="J699">
        <v>3</v>
      </c>
    </row>
    <row r="700" spans="1:10" x14ac:dyDescent="0.2">
      <c r="A700" t="s">
        <v>88</v>
      </c>
      <c r="B700" t="s">
        <v>32</v>
      </c>
      <c r="C700">
        <v>2</v>
      </c>
      <c r="D700" t="s">
        <v>25</v>
      </c>
      <c r="E700">
        <v>3</v>
      </c>
      <c r="F700" t="s">
        <v>60</v>
      </c>
      <c r="G700" t="s">
        <v>25</v>
      </c>
      <c r="H700" t="s">
        <v>32</v>
      </c>
      <c r="I700">
        <v>3</v>
      </c>
      <c r="J700">
        <v>2</v>
      </c>
    </row>
    <row r="701" spans="1:10" x14ac:dyDescent="0.2">
      <c r="A701" t="s">
        <v>88</v>
      </c>
      <c r="B701" t="s">
        <v>28</v>
      </c>
      <c r="C701">
        <v>0</v>
      </c>
      <c r="D701" t="s">
        <v>12</v>
      </c>
      <c r="E701">
        <v>4</v>
      </c>
      <c r="F701" t="s">
        <v>60</v>
      </c>
      <c r="G701" t="s">
        <v>12</v>
      </c>
      <c r="H701" t="s">
        <v>28</v>
      </c>
      <c r="I701">
        <v>4</v>
      </c>
      <c r="J701">
        <v>0</v>
      </c>
    </row>
    <row r="702" spans="1:10" x14ac:dyDescent="0.2">
      <c r="A702" t="s">
        <v>88</v>
      </c>
      <c r="B702" t="s">
        <v>13</v>
      </c>
      <c r="C702">
        <v>4</v>
      </c>
      <c r="D702" t="s">
        <v>17</v>
      </c>
      <c r="E702">
        <v>3</v>
      </c>
      <c r="F702" t="s">
        <v>61</v>
      </c>
      <c r="G702" t="s">
        <v>13</v>
      </c>
      <c r="H702" t="s">
        <v>17</v>
      </c>
      <c r="I702">
        <v>4</v>
      </c>
      <c r="J702">
        <v>3</v>
      </c>
    </row>
    <row r="703" spans="1:10" x14ac:dyDescent="0.2">
      <c r="A703" t="s">
        <v>88</v>
      </c>
      <c r="B703" t="s">
        <v>30</v>
      </c>
      <c r="C703">
        <v>4</v>
      </c>
      <c r="D703" t="s">
        <v>34</v>
      </c>
      <c r="E703">
        <v>3</v>
      </c>
      <c r="F703" t="s">
        <v>62</v>
      </c>
      <c r="G703" t="s">
        <v>30</v>
      </c>
      <c r="H703" t="s">
        <v>34</v>
      </c>
      <c r="I703">
        <v>4</v>
      </c>
      <c r="J703">
        <v>3</v>
      </c>
    </row>
    <row r="704" spans="1:10" x14ac:dyDescent="0.2">
      <c r="A704" t="s">
        <v>88</v>
      </c>
      <c r="B704" t="s">
        <v>26</v>
      </c>
      <c r="C704">
        <v>4</v>
      </c>
      <c r="D704" t="s">
        <v>18</v>
      </c>
      <c r="E704">
        <v>0</v>
      </c>
      <c r="F704" t="s">
        <v>60</v>
      </c>
      <c r="G704" t="s">
        <v>26</v>
      </c>
      <c r="H704" t="s">
        <v>18</v>
      </c>
      <c r="I704">
        <v>4</v>
      </c>
      <c r="J704">
        <v>0</v>
      </c>
    </row>
    <row r="705" spans="1:10" x14ac:dyDescent="0.2">
      <c r="A705" t="s">
        <v>88</v>
      </c>
      <c r="B705" t="s">
        <v>10</v>
      </c>
      <c r="C705">
        <v>3</v>
      </c>
      <c r="D705" t="s">
        <v>29</v>
      </c>
      <c r="E705">
        <v>0</v>
      </c>
      <c r="F705" t="s">
        <v>60</v>
      </c>
      <c r="G705" t="s">
        <v>10</v>
      </c>
      <c r="H705" t="s">
        <v>29</v>
      </c>
      <c r="I705">
        <v>3</v>
      </c>
      <c r="J705">
        <v>0</v>
      </c>
    </row>
    <row r="706" spans="1:10" x14ac:dyDescent="0.2">
      <c r="A706" t="s">
        <v>88</v>
      </c>
      <c r="B706" t="s">
        <v>11</v>
      </c>
      <c r="C706">
        <v>3</v>
      </c>
      <c r="D706" t="s">
        <v>36</v>
      </c>
      <c r="E706">
        <v>2</v>
      </c>
      <c r="F706" t="s">
        <v>60</v>
      </c>
      <c r="G706" t="s">
        <v>11</v>
      </c>
      <c r="H706" t="s">
        <v>36</v>
      </c>
      <c r="I706">
        <v>3</v>
      </c>
      <c r="J706">
        <v>2</v>
      </c>
    </row>
    <row r="707" spans="1:10" x14ac:dyDescent="0.2">
      <c r="A707" t="s">
        <v>88</v>
      </c>
      <c r="B707" t="s">
        <v>37</v>
      </c>
      <c r="C707">
        <v>7</v>
      </c>
      <c r="D707" t="s">
        <v>27</v>
      </c>
      <c r="E707">
        <v>2</v>
      </c>
      <c r="F707" t="s">
        <v>60</v>
      </c>
      <c r="G707" t="s">
        <v>37</v>
      </c>
      <c r="H707" t="s">
        <v>27</v>
      </c>
      <c r="I707">
        <v>7</v>
      </c>
      <c r="J707">
        <v>2</v>
      </c>
    </row>
    <row r="708" spans="1:10" x14ac:dyDescent="0.2">
      <c r="A708" t="s">
        <v>88</v>
      </c>
      <c r="B708" t="s">
        <v>16</v>
      </c>
      <c r="C708">
        <v>2</v>
      </c>
      <c r="D708" t="s">
        <v>14</v>
      </c>
      <c r="E708">
        <v>1</v>
      </c>
      <c r="F708" t="s">
        <v>60</v>
      </c>
      <c r="G708" t="s">
        <v>16</v>
      </c>
      <c r="H708" t="s">
        <v>14</v>
      </c>
      <c r="I708">
        <v>2</v>
      </c>
      <c r="J708">
        <v>1</v>
      </c>
    </row>
    <row r="709" spans="1:10" x14ac:dyDescent="0.2">
      <c r="A709" t="s">
        <v>88</v>
      </c>
      <c r="B709" t="s">
        <v>39</v>
      </c>
      <c r="C709">
        <v>4</v>
      </c>
      <c r="D709" t="s">
        <v>33</v>
      </c>
      <c r="E709">
        <v>5</v>
      </c>
      <c r="F709" t="s">
        <v>62</v>
      </c>
      <c r="G709" t="s">
        <v>33</v>
      </c>
      <c r="H709" t="s">
        <v>39</v>
      </c>
      <c r="I709">
        <v>5</v>
      </c>
      <c r="J709">
        <v>4</v>
      </c>
    </row>
    <row r="710" spans="1:10" x14ac:dyDescent="0.2">
      <c r="A710" t="s">
        <v>88</v>
      </c>
      <c r="B710" t="s">
        <v>38</v>
      </c>
      <c r="C710">
        <v>0</v>
      </c>
      <c r="D710" t="s">
        <v>19</v>
      </c>
      <c r="E710">
        <v>5</v>
      </c>
      <c r="F710" t="s">
        <v>60</v>
      </c>
      <c r="G710" t="s">
        <v>19</v>
      </c>
      <c r="H710" t="s">
        <v>38</v>
      </c>
      <c r="I710">
        <v>5</v>
      </c>
      <c r="J710">
        <v>0</v>
      </c>
    </row>
    <row r="711" spans="1:10" x14ac:dyDescent="0.2">
      <c r="A711" t="s">
        <v>88</v>
      </c>
      <c r="B711" t="s">
        <v>35</v>
      </c>
      <c r="C711">
        <v>2</v>
      </c>
      <c r="D711" t="s">
        <v>20</v>
      </c>
      <c r="E711">
        <v>4</v>
      </c>
      <c r="F711" t="s">
        <v>60</v>
      </c>
      <c r="G711" t="s">
        <v>20</v>
      </c>
      <c r="H711" t="s">
        <v>35</v>
      </c>
      <c r="I711">
        <v>4</v>
      </c>
      <c r="J711">
        <v>2</v>
      </c>
    </row>
    <row r="712" spans="1:10" x14ac:dyDescent="0.2">
      <c r="A712" t="s">
        <v>89</v>
      </c>
      <c r="B712" t="s">
        <v>14</v>
      </c>
      <c r="C712">
        <v>0</v>
      </c>
      <c r="D712" t="s">
        <v>21</v>
      </c>
      <c r="E712">
        <v>1</v>
      </c>
      <c r="F712" t="s">
        <v>60</v>
      </c>
      <c r="G712" t="s">
        <v>21</v>
      </c>
      <c r="H712" t="s">
        <v>14</v>
      </c>
      <c r="I712">
        <v>1</v>
      </c>
      <c r="J712">
        <v>0</v>
      </c>
    </row>
    <row r="713" spans="1:10" x14ac:dyDescent="0.2">
      <c r="A713" t="s">
        <v>89</v>
      </c>
      <c r="B713" t="s">
        <v>22</v>
      </c>
      <c r="C713">
        <v>2</v>
      </c>
      <c r="D713" t="s">
        <v>29</v>
      </c>
      <c r="E713">
        <v>3</v>
      </c>
      <c r="F713" t="s">
        <v>60</v>
      </c>
      <c r="G713" t="s">
        <v>29</v>
      </c>
      <c r="H713" t="s">
        <v>22</v>
      </c>
      <c r="I713">
        <v>3</v>
      </c>
      <c r="J713">
        <v>2</v>
      </c>
    </row>
    <row r="714" spans="1:10" x14ac:dyDescent="0.2">
      <c r="A714" t="s">
        <v>89</v>
      </c>
      <c r="B714" t="s">
        <v>20</v>
      </c>
      <c r="C714">
        <v>7</v>
      </c>
      <c r="D714" t="s">
        <v>33</v>
      </c>
      <c r="E714">
        <v>2</v>
      </c>
      <c r="F714" t="s">
        <v>60</v>
      </c>
      <c r="G714" t="s">
        <v>20</v>
      </c>
      <c r="H714" t="s">
        <v>33</v>
      </c>
      <c r="I714">
        <v>7</v>
      </c>
      <c r="J714">
        <v>2</v>
      </c>
    </row>
    <row r="715" spans="1:10" x14ac:dyDescent="0.2">
      <c r="A715" t="s">
        <v>89</v>
      </c>
      <c r="B715" t="s">
        <v>28</v>
      </c>
      <c r="C715">
        <v>3</v>
      </c>
      <c r="D715" t="s">
        <v>55</v>
      </c>
      <c r="E715">
        <v>2</v>
      </c>
      <c r="F715" t="s">
        <v>62</v>
      </c>
      <c r="G715" t="s">
        <v>28</v>
      </c>
      <c r="H715" t="s">
        <v>55</v>
      </c>
      <c r="I715">
        <v>3</v>
      </c>
      <c r="J715">
        <v>2</v>
      </c>
    </row>
    <row r="716" spans="1:10" x14ac:dyDescent="0.2">
      <c r="A716" t="s">
        <v>89</v>
      </c>
      <c r="B716" t="s">
        <v>24</v>
      </c>
      <c r="C716">
        <v>3</v>
      </c>
      <c r="D716" t="s">
        <v>40</v>
      </c>
      <c r="E716">
        <v>4</v>
      </c>
      <c r="F716" t="s">
        <v>60</v>
      </c>
      <c r="G716" t="s">
        <v>40</v>
      </c>
      <c r="H716" t="s">
        <v>24</v>
      </c>
      <c r="I716">
        <v>4</v>
      </c>
      <c r="J716">
        <v>3</v>
      </c>
    </row>
    <row r="717" spans="1:10" x14ac:dyDescent="0.2">
      <c r="A717" t="s">
        <v>90</v>
      </c>
      <c r="B717" t="s">
        <v>11</v>
      </c>
      <c r="C717">
        <v>4</v>
      </c>
      <c r="D717" t="s">
        <v>23</v>
      </c>
      <c r="E717">
        <v>3</v>
      </c>
      <c r="F717" t="s">
        <v>60</v>
      </c>
      <c r="G717" t="s">
        <v>11</v>
      </c>
      <c r="H717" t="s">
        <v>23</v>
      </c>
      <c r="I717">
        <v>4</v>
      </c>
      <c r="J717">
        <v>3</v>
      </c>
    </row>
    <row r="718" spans="1:10" x14ac:dyDescent="0.2">
      <c r="A718" t="s">
        <v>90</v>
      </c>
      <c r="B718" t="s">
        <v>17</v>
      </c>
      <c r="C718">
        <v>4</v>
      </c>
      <c r="D718" t="s">
        <v>10</v>
      </c>
      <c r="E718">
        <v>1</v>
      </c>
      <c r="F718" t="s">
        <v>60</v>
      </c>
      <c r="G718" t="s">
        <v>17</v>
      </c>
      <c r="H718" t="s">
        <v>10</v>
      </c>
      <c r="I718">
        <v>4</v>
      </c>
      <c r="J718">
        <v>1</v>
      </c>
    </row>
    <row r="719" spans="1:10" x14ac:dyDescent="0.2">
      <c r="A719" t="s">
        <v>90</v>
      </c>
      <c r="B719" t="s">
        <v>19</v>
      </c>
      <c r="C719">
        <v>4</v>
      </c>
      <c r="D719" t="s">
        <v>12</v>
      </c>
      <c r="E719">
        <v>3</v>
      </c>
      <c r="F719" t="s">
        <v>62</v>
      </c>
      <c r="G719" t="s">
        <v>19</v>
      </c>
      <c r="H719" t="s">
        <v>12</v>
      </c>
      <c r="I719">
        <v>4</v>
      </c>
      <c r="J719">
        <v>3</v>
      </c>
    </row>
    <row r="720" spans="1:10" x14ac:dyDescent="0.2">
      <c r="A720" t="s">
        <v>90</v>
      </c>
      <c r="B720" t="s">
        <v>25</v>
      </c>
      <c r="C720">
        <v>3</v>
      </c>
      <c r="D720" t="s">
        <v>26</v>
      </c>
      <c r="E720">
        <v>4</v>
      </c>
      <c r="F720" t="s">
        <v>62</v>
      </c>
      <c r="G720" t="s">
        <v>26</v>
      </c>
      <c r="H720" t="s">
        <v>25</v>
      </c>
      <c r="I720">
        <v>4</v>
      </c>
      <c r="J720">
        <v>3</v>
      </c>
    </row>
    <row r="721" spans="1:10" x14ac:dyDescent="0.2">
      <c r="A721" t="s">
        <v>90</v>
      </c>
      <c r="B721" t="s">
        <v>39</v>
      </c>
      <c r="C721">
        <v>3</v>
      </c>
      <c r="D721" t="s">
        <v>13</v>
      </c>
      <c r="E721">
        <v>1</v>
      </c>
      <c r="F721" t="s">
        <v>60</v>
      </c>
      <c r="G721" t="s">
        <v>39</v>
      </c>
      <c r="H721" t="s">
        <v>13</v>
      </c>
      <c r="I721">
        <v>3</v>
      </c>
      <c r="J721">
        <v>1</v>
      </c>
    </row>
    <row r="722" spans="1:10" x14ac:dyDescent="0.2">
      <c r="A722" t="s">
        <v>90</v>
      </c>
      <c r="B722" t="s">
        <v>24</v>
      </c>
      <c r="C722">
        <v>5</v>
      </c>
      <c r="D722" t="s">
        <v>34</v>
      </c>
      <c r="E722">
        <v>2</v>
      </c>
      <c r="F722" t="s">
        <v>60</v>
      </c>
      <c r="G722" t="s">
        <v>24</v>
      </c>
      <c r="H722" t="s">
        <v>34</v>
      </c>
      <c r="I722">
        <v>5</v>
      </c>
      <c r="J722">
        <v>2</v>
      </c>
    </row>
    <row r="723" spans="1:10" x14ac:dyDescent="0.2">
      <c r="A723" t="s">
        <v>90</v>
      </c>
      <c r="B723" t="s">
        <v>38</v>
      </c>
      <c r="C723">
        <v>3</v>
      </c>
      <c r="D723" t="s">
        <v>18</v>
      </c>
      <c r="E723">
        <v>6</v>
      </c>
      <c r="F723" t="s">
        <v>60</v>
      </c>
      <c r="G723" t="s">
        <v>18</v>
      </c>
      <c r="H723" t="s">
        <v>38</v>
      </c>
      <c r="I723">
        <v>6</v>
      </c>
      <c r="J723">
        <v>3</v>
      </c>
    </row>
    <row r="724" spans="1:10" x14ac:dyDescent="0.2">
      <c r="A724" t="s">
        <v>90</v>
      </c>
      <c r="B724" t="s">
        <v>32</v>
      </c>
      <c r="C724">
        <v>4</v>
      </c>
      <c r="D724" t="s">
        <v>15</v>
      </c>
      <c r="E724">
        <v>2</v>
      </c>
      <c r="F724" t="s">
        <v>60</v>
      </c>
      <c r="G724" t="s">
        <v>32</v>
      </c>
      <c r="H724" t="s">
        <v>15</v>
      </c>
      <c r="I724">
        <v>4</v>
      </c>
      <c r="J724">
        <v>2</v>
      </c>
    </row>
    <row r="725" spans="1:10" x14ac:dyDescent="0.2">
      <c r="A725" t="s">
        <v>90</v>
      </c>
      <c r="B725" t="s">
        <v>37</v>
      </c>
      <c r="C725">
        <v>5</v>
      </c>
      <c r="D725" t="s">
        <v>27</v>
      </c>
      <c r="E725">
        <v>1</v>
      </c>
      <c r="F725" t="s">
        <v>60</v>
      </c>
      <c r="G725" t="s">
        <v>37</v>
      </c>
      <c r="H725" t="s">
        <v>27</v>
      </c>
      <c r="I725">
        <v>5</v>
      </c>
      <c r="J725">
        <v>1</v>
      </c>
    </row>
    <row r="726" spans="1:10" x14ac:dyDescent="0.2">
      <c r="A726" t="s">
        <v>91</v>
      </c>
      <c r="B726" t="s">
        <v>39</v>
      </c>
      <c r="C726">
        <v>1</v>
      </c>
      <c r="D726" t="s">
        <v>31</v>
      </c>
      <c r="E726">
        <v>3</v>
      </c>
      <c r="F726" t="s">
        <v>60</v>
      </c>
      <c r="G726" t="s">
        <v>31</v>
      </c>
      <c r="H726" t="s">
        <v>39</v>
      </c>
      <c r="I726">
        <v>3</v>
      </c>
      <c r="J726">
        <v>1</v>
      </c>
    </row>
    <row r="727" spans="1:10" x14ac:dyDescent="0.2">
      <c r="A727" t="s">
        <v>91</v>
      </c>
      <c r="B727" t="s">
        <v>26</v>
      </c>
      <c r="C727">
        <v>0</v>
      </c>
      <c r="D727" t="s">
        <v>21</v>
      </c>
      <c r="E727">
        <v>3</v>
      </c>
      <c r="F727" t="s">
        <v>60</v>
      </c>
      <c r="G727" t="s">
        <v>21</v>
      </c>
      <c r="H727" t="s">
        <v>26</v>
      </c>
      <c r="I727">
        <v>3</v>
      </c>
      <c r="J727">
        <v>0</v>
      </c>
    </row>
    <row r="728" spans="1:10" x14ac:dyDescent="0.2">
      <c r="A728" t="s">
        <v>91</v>
      </c>
      <c r="B728" t="s">
        <v>16</v>
      </c>
      <c r="C728">
        <v>3</v>
      </c>
      <c r="D728" t="s">
        <v>28</v>
      </c>
      <c r="E728">
        <v>5</v>
      </c>
      <c r="F728" t="s">
        <v>60</v>
      </c>
      <c r="G728" t="s">
        <v>28</v>
      </c>
      <c r="H728" t="s">
        <v>16</v>
      </c>
      <c r="I728">
        <v>5</v>
      </c>
      <c r="J728">
        <v>3</v>
      </c>
    </row>
    <row r="729" spans="1:10" x14ac:dyDescent="0.2">
      <c r="A729" t="s">
        <v>91</v>
      </c>
      <c r="B729" t="s">
        <v>17</v>
      </c>
      <c r="C729">
        <v>3</v>
      </c>
      <c r="D729" t="s">
        <v>29</v>
      </c>
      <c r="E729">
        <v>4</v>
      </c>
      <c r="F729" t="s">
        <v>62</v>
      </c>
      <c r="G729" t="s">
        <v>29</v>
      </c>
      <c r="H729" t="s">
        <v>17</v>
      </c>
      <c r="I729">
        <v>4</v>
      </c>
      <c r="J729">
        <v>3</v>
      </c>
    </row>
    <row r="730" spans="1:10" x14ac:dyDescent="0.2">
      <c r="A730" t="s">
        <v>91</v>
      </c>
      <c r="B730" t="s">
        <v>38</v>
      </c>
      <c r="C730">
        <v>1</v>
      </c>
      <c r="D730" t="s">
        <v>36</v>
      </c>
      <c r="E730">
        <v>2</v>
      </c>
      <c r="F730" t="s">
        <v>60</v>
      </c>
      <c r="G730" t="s">
        <v>36</v>
      </c>
      <c r="H730" t="s">
        <v>38</v>
      </c>
      <c r="I730">
        <v>2</v>
      </c>
      <c r="J730">
        <v>1</v>
      </c>
    </row>
    <row r="731" spans="1:10" x14ac:dyDescent="0.2">
      <c r="A731" t="s">
        <v>91</v>
      </c>
      <c r="B731" t="s">
        <v>37</v>
      </c>
      <c r="C731">
        <v>2</v>
      </c>
      <c r="D731" t="s">
        <v>14</v>
      </c>
      <c r="E731">
        <v>1</v>
      </c>
      <c r="F731" t="s">
        <v>61</v>
      </c>
      <c r="G731" t="s">
        <v>37</v>
      </c>
      <c r="H731" t="s">
        <v>14</v>
      </c>
      <c r="I731">
        <v>2</v>
      </c>
      <c r="J731">
        <v>1</v>
      </c>
    </row>
    <row r="732" spans="1:10" x14ac:dyDescent="0.2">
      <c r="A732" t="s">
        <v>91</v>
      </c>
      <c r="B732" t="s">
        <v>25</v>
      </c>
      <c r="C732">
        <v>0</v>
      </c>
      <c r="D732" t="s">
        <v>35</v>
      </c>
      <c r="E732">
        <v>3</v>
      </c>
      <c r="F732" t="s">
        <v>60</v>
      </c>
      <c r="G732" t="s">
        <v>35</v>
      </c>
      <c r="H732" t="s">
        <v>25</v>
      </c>
      <c r="I732">
        <v>3</v>
      </c>
      <c r="J732">
        <v>0</v>
      </c>
    </row>
    <row r="733" spans="1:10" x14ac:dyDescent="0.2">
      <c r="A733" t="s">
        <v>91</v>
      </c>
      <c r="B733" t="s">
        <v>19</v>
      </c>
      <c r="C733">
        <v>1</v>
      </c>
      <c r="D733" t="s">
        <v>55</v>
      </c>
      <c r="E733">
        <v>6</v>
      </c>
      <c r="F733" t="s">
        <v>60</v>
      </c>
      <c r="G733" t="s">
        <v>55</v>
      </c>
      <c r="H733" t="s">
        <v>19</v>
      </c>
      <c r="I733">
        <v>6</v>
      </c>
      <c r="J733">
        <v>1</v>
      </c>
    </row>
    <row r="734" spans="1:10" x14ac:dyDescent="0.2">
      <c r="A734" t="s">
        <v>91</v>
      </c>
      <c r="B734" t="s">
        <v>30</v>
      </c>
      <c r="C734">
        <v>4</v>
      </c>
      <c r="D734" t="s">
        <v>40</v>
      </c>
      <c r="E734">
        <v>5</v>
      </c>
      <c r="F734" t="s">
        <v>60</v>
      </c>
      <c r="G734" t="s">
        <v>40</v>
      </c>
      <c r="H734" t="s">
        <v>30</v>
      </c>
      <c r="I734">
        <v>5</v>
      </c>
      <c r="J734">
        <v>4</v>
      </c>
    </row>
    <row r="735" spans="1:10" x14ac:dyDescent="0.2">
      <c r="A735" t="s">
        <v>91</v>
      </c>
      <c r="B735" t="s">
        <v>18</v>
      </c>
      <c r="C735">
        <v>2</v>
      </c>
      <c r="D735" t="s">
        <v>22</v>
      </c>
      <c r="E735">
        <v>3</v>
      </c>
      <c r="F735" t="s">
        <v>62</v>
      </c>
      <c r="G735" t="s">
        <v>22</v>
      </c>
      <c r="H735" t="s">
        <v>18</v>
      </c>
      <c r="I735">
        <v>3</v>
      </c>
      <c r="J735">
        <v>2</v>
      </c>
    </row>
    <row r="736" spans="1:10" x14ac:dyDescent="0.2">
      <c r="A736" t="s">
        <v>92</v>
      </c>
      <c r="B736" t="s">
        <v>27</v>
      </c>
      <c r="C736">
        <v>2</v>
      </c>
      <c r="D736" t="s">
        <v>23</v>
      </c>
      <c r="E736">
        <v>5</v>
      </c>
      <c r="F736" t="s">
        <v>60</v>
      </c>
      <c r="G736" t="s">
        <v>23</v>
      </c>
      <c r="H736" t="s">
        <v>27</v>
      </c>
      <c r="I736">
        <v>5</v>
      </c>
      <c r="J736">
        <v>2</v>
      </c>
    </row>
    <row r="737" spans="1:10" x14ac:dyDescent="0.2">
      <c r="A737" t="s">
        <v>92</v>
      </c>
      <c r="B737" t="s">
        <v>20</v>
      </c>
      <c r="C737">
        <v>3</v>
      </c>
      <c r="D737" t="s">
        <v>13</v>
      </c>
      <c r="E737">
        <v>2</v>
      </c>
      <c r="F737" t="s">
        <v>62</v>
      </c>
      <c r="G737" t="s">
        <v>20</v>
      </c>
      <c r="H737" t="s">
        <v>13</v>
      </c>
      <c r="I737">
        <v>3</v>
      </c>
      <c r="J737">
        <v>2</v>
      </c>
    </row>
    <row r="738" spans="1:10" x14ac:dyDescent="0.2">
      <c r="A738" t="s">
        <v>92</v>
      </c>
      <c r="B738" t="s">
        <v>32</v>
      </c>
      <c r="C738">
        <v>2</v>
      </c>
      <c r="D738" t="s">
        <v>24</v>
      </c>
      <c r="E738">
        <v>3</v>
      </c>
      <c r="F738" t="s">
        <v>62</v>
      </c>
      <c r="G738" t="s">
        <v>24</v>
      </c>
      <c r="H738" t="s">
        <v>32</v>
      </c>
      <c r="I738">
        <v>3</v>
      </c>
      <c r="J738">
        <v>2</v>
      </c>
    </row>
    <row r="739" spans="1:10" x14ac:dyDescent="0.2">
      <c r="A739" t="s">
        <v>92</v>
      </c>
      <c r="B739" t="s">
        <v>36</v>
      </c>
      <c r="C739">
        <v>8</v>
      </c>
      <c r="D739" t="s">
        <v>15</v>
      </c>
      <c r="E739">
        <v>4</v>
      </c>
      <c r="F739" t="s">
        <v>60</v>
      </c>
      <c r="G739" t="s">
        <v>36</v>
      </c>
      <c r="H739" t="s">
        <v>15</v>
      </c>
      <c r="I739">
        <v>8</v>
      </c>
      <c r="J739">
        <v>4</v>
      </c>
    </row>
    <row r="740" spans="1:10" x14ac:dyDescent="0.2">
      <c r="A740" t="s">
        <v>93</v>
      </c>
      <c r="B740" t="s">
        <v>32</v>
      </c>
      <c r="C740">
        <v>2</v>
      </c>
      <c r="D740" t="s">
        <v>21</v>
      </c>
      <c r="E740">
        <v>4</v>
      </c>
      <c r="F740" t="s">
        <v>60</v>
      </c>
      <c r="G740" t="s">
        <v>21</v>
      </c>
      <c r="H740" t="s">
        <v>32</v>
      </c>
      <c r="I740">
        <v>4</v>
      </c>
      <c r="J740">
        <v>2</v>
      </c>
    </row>
    <row r="741" spans="1:10" x14ac:dyDescent="0.2">
      <c r="A741" t="s">
        <v>93</v>
      </c>
      <c r="B741" t="s">
        <v>18</v>
      </c>
      <c r="C741">
        <v>3</v>
      </c>
      <c r="D741" t="s">
        <v>23</v>
      </c>
      <c r="E741">
        <v>5</v>
      </c>
      <c r="F741" t="s">
        <v>60</v>
      </c>
      <c r="G741" t="s">
        <v>23</v>
      </c>
      <c r="H741" t="s">
        <v>18</v>
      </c>
      <c r="I741">
        <v>5</v>
      </c>
      <c r="J741">
        <v>3</v>
      </c>
    </row>
    <row r="742" spans="1:10" x14ac:dyDescent="0.2">
      <c r="A742" t="s">
        <v>93</v>
      </c>
      <c r="B742" t="s">
        <v>38</v>
      </c>
      <c r="C742">
        <v>1</v>
      </c>
      <c r="D742" t="s">
        <v>28</v>
      </c>
      <c r="E742">
        <v>4</v>
      </c>
      <c r="F742" t="s">
        <v>60</v>
      </c>
      <c r="G742" t="s">
        <v>28</v>
      </c>
      <c r="H742" t="s">
        <v>38</v>
      </c>
      <c r="I742">
        <v>4</v>
      </c>
      <c r="J742">
        <v>1</v>
      </c>
    </row>
    <row r="743" spans="1:10" x14ac:dyDescent="0.2">
      <c r="A743" t="s">
        <v>93</v>
      </c>
      <c r="B743" t="s">
        <v>16</v>
      </c>
      <c r="C743">
        <v>3</v>
      </c>
      <c r="D743" t="s">
        <v>10</v>
      </c>
      <c r="E743">
        <v>1</v>
      </c>
      <c r="F743" t="s">
        <v>60</v>
      </c>
      <c r="G743" t="s">
        <v>16</v>
      </c>
      <c r="H743" t="s">
        <v>10</v>
      </c>
      <c r="I743">
        <v>3</v>
      </c>
      <c r="J743">
        <v>1</v>
      </c>
    </row>
    <row r="744" spans="1:10" x14ac:dyDescent="0.2">
      <c r="A744" t="s">
        <v>93</v>
      </c>
      <c r="B744" t="s">
        <v>30</v>
      </c>
      <c r="C744">
        <v>1</v>
      </c>
      <c r="D744" t="s">
        <v>17</v>
      </c>
      <c r="E744">
        <v>0</v>
      </c>
      <c r="F744" t="s">
        <v>60</v>
      </c>
      <c r="G744" t="s">
        <v>30</v>
      </c>
      <c r="H744" t="s">
        <v>17</v>
      </c>
      <c r="I744">
        <v>1</v>
      </c>
      <c r="J744">
        <v>0</v>
      </c>
    </row>
    <row r="745" spans="1:10" x14ac:dyDescent="0.2">
      <c r="A745" t="s">
        <v>93</v>
      </c>
      <c r="B745" t="s">
        <v>40</v>
      </c>
      <c r="C745">
        <v>6</v>
      </c>
      <c r="D745" t="s">
        <v>34</v>
      </c>
      <c r="E745">
        <v>2</v>
      </c>
      <c r="F745" t="s">
        <v>60</v>
      </c>
      <c r="G745" t="s">
        <v>40</v>
      </c>
      <c r="H745" t="s">
        <v>34</v>
      </c>
      <c r="I745">
        <v>6</v>
      </c>
      <c r="J745">
        <v>2</v>
      </c>
    </row>
    <row r="746" spans="1:10" x14ac:dyDescent="0.2">
      <c r="A746" t="s">
        <v>93</v>
      </c>
      <c r="B746" t="s">
        <v>27</v>
      </c>
      <c r="C746">
        <v>3</v>
      </c>
      <c r="D746" t="s">
        <v>14</v>
      </c>
      <c r="E746">
        <v>6</v>
      </c>
      <c r="F746" t="s">
        <v>60</v>
      </c>
      <c r="G746" t="s">
        <v>14</v>
      </c>
      <c r="H746" t="s">
        <v>27</v>
      </c>
      <c r="I746">
        <v>6</v>
      </c>
      <c r="J746">
        <v>3</v>
      </c>
    </row>
    <row r="747" spans="1:10" x14ac:dyDescent="0.2">
      <c r="A747" t="s">
        <v>93</v>
      </c>
      <c r="B747" t="s">
        <v>39</v>
      </c>
      <c r="C747">
        <v>1</v>
      </c>
      <c r="D747" t="s">
        <v>55</v>
      </c>
      <c r="E747">
        <v>2</v>
      </c>
      <c r="F747" t="s">
        <v>60</v>
      </c>
      <c r="G747" t="s">
        <v>55</v>
      </c>
      <c r="H747" t="s">
        <v>39</v>
      </c>
      <c r="I747">
        <v>2</v>
      </c>
      <c r="J747">
        <v>1</v>
      </c>
    </row>
    <row r="748" spans="1:10" x14ac:dyDescent="0.2">
      <c r="A748" t="s">
        <v>93</v>
      </c>
      <c r="B748" t="s">
        <v>19</v>
      </c>
      <c r="C748">
        <v>5</v>
      </c>
      <c r="D748" t="s">
        <v>20</v>
      </c>
      <c r="E748">
        <v>6</v>
      </c>
      <c r="F748" t="s">
        <v>62</v>
      </c>
      <c r="G748" t="s">
        <v>20</v>
      </c>
      <c r="H748" t="s">
        <v>19</v>
      </c>
      <c r="I748">
        <v>6</v>
      </c>
      <c r="J748">
        <v>5</v>
      </c>
    </row>
    <row r="749" spans="1:10" x14ac:dyDescent="0.2">
      <c r="A749" t="s">
        <v>93</v>
      </c>
      <c r="B749" t="s">
        <v>33</v>
      </c>
      <c r="C749">
        <v>3</v>
      </c>
      <c r="D749" t="s">
        <v>22</v>
      </c>
      <c r="E749">
        <v>2</v>
      </c>
      <c r="F749" t="s">
        <v>60</v>
      </c>
      <c r="G749" t="s">
        <v>33</v>
      </c>
      <c r="H749" t="s">
        <v>22</v>
      </c>
      <c r="I749">
        <v>3</v>
      </c>
      <c r="J749">
        <v>2</v>
      </c>
    </row>
    <row r="750" spans="1:10" x14ac:dyDescent="0.2">
      <c r="A750" t="s">
        <v>94</v>
      </c>
      <c r="B750" t="s">
        <v>11</v>
      </c>
      <c r="C750">
        <v>1</v>
      </c>
      <c r="D750" t="s">
        <v>25</v>
      </c>
      <c r="E750">
        <v>9</v>
      </c>
      <c r="F750" t="s">
        <v>60</v>
      </c>
      <c r="G750" t="s">
        <v>25</v>
      </c>
      <c r="H750" t="s">
        <v>11</v>
      </c>
      <c r="I750">
        <v>9</v>
      </c>
      <c r="J750">
        <v>1</v>
      </c>
    </row>
    <row r="751" spans="1:10" x14ac:dyDescent="0.2">
      <c r="A751" t="s">
        <v>94</v>
      </c>
      <c r="B751" t="s">
        <v>29</v>
      </c>
      <c r="C751">
        <v>7</v>
      </c>
      <c r="D751" t="s">
        <v>12</v>
      </c>
      <c r="E751">
        <v>3</v>
      </c>
      <c r="F751" t="s">
        <v>60</v>
      </c>
      <c r="G751" t="s">
        <v>29</v>
      </c>
      <c r="H751" t="s">
        <v>12</v>
      </c>
      <c r="I751">
        <v>7</v>
      </c>
      <c r="J751">
        <v>3</v>
      </c>
    </row>
    <row r="752" spans="1:10" x14ac:dyDescent="0.2">
      <c r="A752" t="s">
        <v>94</v>
      </c>
      <c r="B752" t="s">
        <v>33</v>
      </c>
      <c r="C752">
        <v>2</v>
      </c>
      <c r="D752" t="s">
        <v>26</v>
      </c>
      <c r="E752">
        <v>4</v>
      </c>
      <c r="F752" t="s">
        <v>60</v>
      </c>
      <c r="G752" t="s">
        <v>26</v>
      </c>
      <c r="H752" t="s">
        <v>33</v>
      </c>
      <c r="I752">
        <v>4</v>
      </c>
      <c r="J752">
        <v>2</v>
      </c>
    </row>
    <row r="753" spans="1:10" x14ac:dyDescent="0.2">
      <c r="A753" t="s">
        <v>94</v>
      </c>
      <c r="B753" t="s">
        <v>31</v>
      </c>
      <c r="C753">
        <v>3</v>
      </c>
      <c r="D753" t="s">
        <v>13</v>
      </c>
      <c r="E753">
        <v>2</v>
      </c>
      <c r="F753" t="s">
        <v>61</v>
      </c>
      <c r="G753" t="s">
        <v>31</v>
      </c>
      <c r="H753" t="s">
        <v>13</v>
      </c>
      <c r="I753">
        <v>3</v>
      </c>
      <c r="J753">
        <v>2</v>
      </c>
    </row>
    <row r="754" spans="1:10" x14ac:dyDescent="0.2">
      <c r="A754" t="s">
        <v>94</v>
      </c>
      <c r="B754" t="s">
        <v>37</v>
      </c>
      <c r="C754">
        <v>2</v>
      </c>
      <c r="D754" t="s">
        <v>35</v>
      </c>
      <c r="E754">
        <v>3</v>
      </c>
      <c r="F754" t="s">
        <v>61</v>
      </c>
      <c r="G754" t="s">
        <v>35</v>
      </c>
      <c r="H754" t="s">
        <v>37</v>
      </c>
      <c r="I754">
        <v>3</v>
      </c>
      <c r="J754">
        <v>2</v>
      </c>
    </row>
    <row r="755" spans="1:10" x14ac:dyDescent="0.2">
      <c r="A755" t="s">
        <v>95</v>
      </c>
      <c r="B755" t="s">
        <v>13</v>
      </c>
      <c r="C755">
        <v>1</v>
      </c>
      <c r="D755" t="s">
        <v>31</v>
      </c>
      <c r="E755">
        <v>2</v>
      </c>
      <c r="F755" t="s">
        <v>62</v>
      </c>
      <c r="G755" t="s">
        <v>31</v>
      </c>
      <c r="H755" t="s">
        <v>13</v>
      </c>
      <c r="I755">
        <v>2</v>
      </c>
      <c r="J755">
        <v>1</v>
      </c>
    </row>
    <row r="756" spans="1:10" x14ac:dyDescent="0.2">
      <c r="A756" t="s">
        <v>95</v>
      </c>
      <c r="B756" t="s">
        <v>34</v>
      </c>
      <c r="C756">
        <v>5</v>
      </c>
      <c r="D756" t="s">
        <v>23</v>
      </c>
      <c r="E756">
        <v>4</v>
      </c>
      <c r="F756" t="s">
        <v>62</v>
      </c>
      <c r="G756" t="s">
        <v>34</v>
      </c>
      <c r="H756" t="s">
        <v>23</v>
      </c>
      <c r="I756">
        <v>5</v>
      </c>
      <c r="J756">
        <v>4</v>
      </c>
    </row>
    <row r="757" spans="1:10" x14ac:dyDescent="0.2">
      <c r="A757" t="s">
        <v>95</v>
      </c>
      <c r="B757" t="s">
        <v>30</v>
      </c>
      <c r="C757">
        <v>2</v>
      </c>
      <c r="D757" t="s">
        <v>16</v>
      </c>
      <c r="E757">
        <v>4</v>
      </c>
      <c r="F757" t="s">
        <v>60</v>
      </c>
      <c r="G757" t="s">
        <v>16</v>
      </c>
      <c r="H757" t="s">
        <v>30</v>
      </c>
      <c r="I757">
        <v>4</v>
      </c>
      <c r="J757">
        <v>2</v>
      </c>
    </row>
    <row r="758" spans="1:10" x14ac:dyDescent="0.2">
      <c r="A758" t="s">
        <v>95</v>
      </c>
      <c r="B758" t="s">
        <v>21</v>
      </c>
      <c r="C758">
        <v>5</v>
      </c>
      <c r="D758" t="s">
        <v>10</v>
      </c>
      <c r="E758">
        <v>2</v>
      </c>
      <c r="F758" t="s">
        <v>60</v>
      </c>
      <c r="G758" t="s">
        <v>21</v>
      </c>
      <c r="H758" t="s">
        <v>10</v>
      </c>
      <c r="I758">
        <v>5</v>
      </c>
      <c r="J758">
        <v>2</v>
      </c>
    </row>
    <row r="759" spans="1:10" x14ac:dyDescent="0.2">
      <c r="A759" t="s">
        <v>95</v>
      </c>
      <c r="B759" t="s">
        <v>25</v>
      </c>
      <c r="C759">
        <v>4</v>
      </c>
      <c r="D759" t="s">
        <v>24</v>
      </c>
      <c r="E759">
        <v>1</v>
      </c>
      <c r="F759" t="s">
        <v>60</v>
      </c>
      <c r="G759" t="s">
        <v>25</v>
      </c>
      <c r="H759" t="s">
        <v>24</v>
      </c>
      <c r="I759">
        <v>4</v>
      </c>
      <c r="J759">
        <v>1</v>
      </c>
    </row>
    <row r="760" spans="1:10" x14ac:dyDescent="0.2">
      <c r="A760" t="s">
        <v>95</v>
      </c>
      <c r="B760" t="s">
        <v>18</v>
      </c>
      <c r="C760">
        <v>6</v>
      </c>
      <c r="D760" t="s">
        <v>36</v>
      </c>
      <c r="E760">
        <v>5</v>
      </c>
      <c r="F760" t="s">
        <v>62</v>
      </c>
      <c r="G760" t="s">
        <v>18</v>
      </c>
      <c r="H760" t="s">
        <v>36</v>
      </c>
      <c r="I760">
        <v>6</v>
      </c>
      <c r="J760">
        <v>5</v>
      </c>
    </row>
    <row r="761" spans="1:10" x14ac:dyDescent="0.2">
      <c r="A761" t="s">
        <v>95</v>
      </c>
      <c r="B761" t="s">
        <v>15</v>
      </c>
      <c r="C761">
        <v>6</v>
      </c>
      <c r="D761" t="s">
        <v>27</v>
      </c>
      <c r="E761">
        <v>3</v>
      </c>
      <c r="F761" t="s">
        <v>60</v>
      </c>
      <c r="G761" t="s">
        <v>15</v>
      </c>
      <c r="H761" t="s">
        <v>27</v>
      </c>
      <c r="I761">
        <v>6</v>
      </c>
      <c r="J761">
        <v>3</v>
      </c>
    </row>
    <row r="762" spans="1:10" x14ac:dyDescent="0.2">
      <c r="A762" t="s">
        <v>95</v>
      </c>
      <c r="B762" t="s">
        <v>28</v>
      </c>
      <c r="C762">
        <v>4</v>
      </c>
      <c r="D762" t="s">
        <v>14</v>
      </c>
      <c r="E762">
        <v>3</v>
      </c>
      <c r="F762" t="s">
        <v>61</v>
      </c>
      <c r="G762" t="s">
        <v>28</v>
      </c>
      <c r="H762" t="s">
        <v>14</v>
      </c>
      <c r="I762">
        <v>4</v>
      </c>
      <c r="J762">
        <v>3</v>
      </c>
    </row>
    <row r="763" spans="1:10" x14ac:dyDescent="0.2">
      <c r="A763" t="s">
        <v>95</v>
      </c>
      <c r="B763" t="s">
        <v>32</v>
      </c>
      <c r="C763">
        <v>3</v>
      </c>
      <c r="D763" t="s">
        <v>55</v>
      </c>
      <c r="E763">
        <v>6</v>
      </c>
      <c r="F763" t="s">
        <v>60</v>
      </c>
      <c r="G763" t="s">
        <v>55</v>
      </c>
      <c r="H763" t="s">
        <v>32</v>
      </c>
      <c r="I763">
        <v>6</v>
      </c>
      <c r="J763">
        <v>3</v>
      </c>
    </row>
    <row r="764" spans="1:10" x14ac:dyDescent="0.2">
      <c r="A764" t="s">
        <v>95</v>
      </c>
      <c r="B764" t="s">
        <v>17</v>
      </c>
      <c r="C764">
        <v>6</v>
      </c>
      <c r="D764" t="s">
        <v>38</v>
      </c>
      <c r="E764">
        <v>0</v>
      </c>
      <c r="F764" t="s">
        <v>60</v>
      </c>
      <c r="G764" t="s">
        <v>17</v>
      </c>
      <c r="H764" t="s">
        <v>38</v>
      </c>
      <c r="I764">
        <v>6</v>
      </c>
      <c r="J764">
        <v>0</v>
      </c>
    </row>
    <row r="765" spans="1:10" x14ac:dyDescent="0.2">
      <c r="A765" t="s">
        <v>95</v>
      </c>
      <c r="B765" t="s">
        <v>29</v>
      </c>
      <c r="C765">
        <v>2</v>
      </c>
      <c r="D765" t="s">
        <v>20</v>
      </c>
      <c r="E765">
        <v>7</v>
      </c>
      <c r="F765" t="s">
        <v>60</v>
      </c>
      <c r="G765" t="s">
        <v>20</v>
      </c>
      <c r="H765" t="s">
        <v>29</v>
      </c>
      <c r="I765">
        <v>7</v>
      </c>
      <c r="J765">
        <v>2</v>
      </c>
    </row>
    <row r="766" spans="1:10" x14ac:dyDescent="0.2">
      <c r="A766" t="s">
        <v>95</v>
      </c>
      <c r="B766" t="s">
        <v>19</v>
      </c>
      <c r="C766">
        <v>4</v>
      </c>
      <c r="D766" t="s">
        <v>40</v>
      </c>
      <c r="E766">
        <v>3</v>
      </c>
      <c r="F766" t="s">
        <v>62</v>
      </c>
      <c r="G766" t="s">
        <v>19</v>
      </c>
      <c r="H766" t="s">
        <v>40</v>
      </c>
      <c r="I766">
        <v>4</v>
      </c>
      <c r="J766">
        <v>3</v>
      </c>
    </row>
    <row r="767" spans="1:10" x14ac:dyDescent="0.2">
      <c r="A767" t="s">
        <v>95</v>
      </c>
      <c r="B767" t="s">
        <v>11</v>
      </c>
      <c r="C767">
        <v>5</v>
      </c>
      <c r="D767" t="s">
        <v>22</v>
      </c>
      <c r="E767">
        <v>2</v>
      </c>
      <c r="F767" t="s">
        <v>60</v>
      </c>
      <c r="G767" t="s">
        <v>11</v>
      </c>
      <c r="H767" t="s">
        <v>22</v>
      </c>
      <c r="I767">
        <v>5</v>
      </c>
      <c r="J767">
        <v>2</v>
      </c>
    </row>
    <row r="768" spans="1:10" x14ac:dyDescent="0.2">
      <c r="A768" t="s">
        <v>96</v>
      </c>
      <c r="B768" t="s">
        <v>37</v>
      </c>
      <c r="C768">
        <v>4</v>
      </c>
      <c r="D768" t="s">
        <v>39</v>
      </c>
      <c r="E768">
        <v>1</v>
      </c>
      <c r="F768" t="s">
        <v>60</v>
      </c>
      <c r="G768" t="s">
        <v>37</v>
      </c>
      <c r="H768" t="s">
        <v>39</v>
      </c>
      <c r="I768">
        <v>4</v>
      </c>
      <c r="J768">
        <v>1</v>
      </c>
    </row>
    <row r="769" spans="1:10" x14ac:dyDescent="0.2">
      <c r="A769" t="s">
        <v>96</v>
      </c>
      <c r="B769" t="s">
        <v>36</v>
      </c>
      <c r="C769">
        <v>3</v>
      </c>
      <c r="D769" t="s">
        <v>26</v>
      </c>
      <c r="E769">
        <v>4</v>
      </c>
      <c r="F769" t="s">
        <v>62</v>
      </c>
      <c r="G769" t="s">
        <v>26</v>
      </c>
      <c r="H769" t="s">
        <v>36</v>
      </c>
      <c r="I769">
        <v>4</v>
      </c>
      <c r="J769">
        <v>3</v>
      </c>
    </row>
    <row r="770" spans="1:10" x14ac:dyDescent="0.2">
      <c r="A770" t="s">
        <v>96</v>
      </c>
      <c r="B770" t="s">
        <v>35</v>
      </c>
      <c r="C770">
        <v>0</v>
      </c>
      <c r="D770" t="s">
        <v>17</v>
      </c>
      <c r="E770">
        <v>5</v>
      </c>
      <c r="F770" t="s">
        <v>60</v>
      </c>
      <c r="G770" t="s">
        <v>17</v>
      </c>
      <c r="H770" t="s">
        <v>35</v>
      </c>
      <c r="I770">
        <v>5</v>
      </c>
      <c r="J770">
        <v>0</v>
      </c>
    </row>
    <row r="771" spans="1:10" x14ac:dyDescent="0.2">
      <c r="A771" t="s">
        <v>97</v>
      </c>
      <c r="B771" t="s">
        <v>15</v>
      </c>
      <c r="C771">
        <v>3</v>
      </c>
      <c r="D771" t="s">
        <v>31</v>
      </c>
      <c r="E771">
        <v>5</v>
      </c>
      <c r="F771" t="s">
        <v>60</v>
      </c>
      <c r="G771" t="s">
        <v>31</v>
      </c>
      <c r="H771" t="s">
        <v>15</v>
      </c>
      <c r="I771">
        <v>5</v>
      </c>
      <c r="J771">
        <v>3</v>
      </c>
    </row>
    <row r="772" spans="1:10" x14ac:dyDescent="0.2">
      <c r="A772" t="s">
        <v>97</v>
      </c>
      <c r="B772" t="s">
        <v>23</v>
      </c>
      <c r="C772">
        <v>1</v>
      </c>
      <c r="D772" t="s">
        <v>25</v>
      </c>
      <c r="E772">
        <v>2</v>
      </c>
      <c r="F772" t="s">
        <v>60</v>
      </c>
      <c r="G772" t="s">
        <v>25</v>
      </c>
      <c r="H772" t="s">
        <v>23</v>
      </c>
      <c r="I772">
        <v>2</v>
      </c>
      <c r="J772">
        <v>1</v>
      </c>
    </row>
    <row r="773" spans="1:10" x14ac:dyDescent="0.2">
      <c r="A773" t="s">
        <v>97</v>
      </c>
      <c r="B773" t="s">
        <v>24</v>
      </c>
      <c r="C773">
        <v>2</v>
      </c>
      <c r="D773" t="s">
        <v>16</v>
      </c>
      <c r="E773">
        <v>1</v>
      </c>
      <c r="F773" t="s">
        <v>62</v>
      </c>
      <c r="G773" t="s">
        <v>24</v>
      </c>
      <c r="H773" t="s">
        <v>16</v>
      </c>
      <c r="I773">
        <v>2</v>
      </c>
      <c r="J773">
        <v>1</v>
      </c>
    </row>
    <row r="774" spans="1:10" x14ac:dyDescent="0.2">
      <c r="A774" t="s">
        <v>97</v>
      </c>
      <c r="B774" t="s">
        <v>40</v>
      </c>
      <c r="C774">
        <v>0</v>
      </c>
      <c r="D774" t="s">
        <v>10</v>
      </c>
      <c r="E774">
        <v>2</v>
      </c>
      <c r="F774" t="s">
        <v>60</v>
      </c>
      <c r="G774" t="s">
        <v>10</v>
      </c>
      <c r="H774" t="s">
        <v>40</v>
      </c>
      <c r="I774">
        <v>2</v>
      </c>
      <c r="J774">
        <v>0</v>
      </c>
    </row>
    <row r="775" spans="1:10" x14ac:dyDescent="0.2">
      <c r="A775" t="s">
        <v>97</v>
      </c>
      <c r="B775" t="s">
        <v>22</v>
      </c>
      <c r="C775">
        <v>2</v>
      </c>
      <c r="D775" t="s">
        <v>12</v>
      </c>
      <c r="E775">
        <v>5</v>
      </c>
      <c r="F775" t="s">
        <v>60</v>
      </c>
      <c r="G775" t="s">
        <v>12</v>
      </c>
      <c r="H775" t="s">
        <v>22</v>
      </c>
      <c r="I775">
        <v>5</v>
      </c>
      <c r="J775">
        <v>2</v>
      </c>
    </row>
    <row r="776" spans="1:10" x14ac:dyDescent="0.2">
      <c r="A776" t="s">
        <v>97</v>
      </c>
      <c r="B776" t="s">
        <v>33</v>
      </c>
      <c r="C776">
        <v>4</v>
      </c>
      <c r="D776" t="s">
        <v>11</v>
      </c>
      <c r="E776">
        <v>1</v>
      </c>
      <c r="F776" t="s">
        <v>60</v>
      </c>
      <c r="G776" t="s">
        <v>33</v>
      </c>
      <c r="H776" t="s">
        <v>11</v>
      </c>
      <c r="I776">
        <v>4</v>
      </c>
      <c r="J776">
        <v>1</v>
      </c>
    </row>
    <row r="777" spans="1:10" x14ac:dyDescent="0.2">
      <c r="A777" t="s">
        <v>97</v>
      </c>
      <c r="B777" t="s">
        <v>14</v>
      </c>
      <c r="C777">
        <v>6</v>
      </c>
      <c r="D777" t="s">
        <v>32</v>
      </c>
      <c r="E777">
        <v>3</v>
      </c>
      <c r="F777" t="s">
        <v>60</v>
      </c>
      <c r="G777" t="s">
        <v>14</v>
      </c>
      <c r="H777" t="s">
        <v>32</v>
      </c>
      <c r="I777">
        <v>6</v>
      </c>
      <c r="J777">
        <v>3</v>
      </c>
    </row>
    <row r="778" spans="1:10" x14ac:dyDescent="0.2">
      <c r="A778" t="s">
        <v>97</v>
      </c>
      <c r="B778" t="s">
        <v>34</v>
      </c>
      <c r="C778">
        <v>6</v>
      </c>
      <c r="D778" t="s">
        <v>19</v>
      </c>
      <c r="E778">
        <v>3</v>
      </c>
      <c r="F778" t="s">
        <v>60</v>
      </c>
      <c r="G778" t="s">
        <v>34</v>
      </c>
      <c r="H778" t="s">
        <v>19</v>
      </c>
      <c r="I778">
        <v>6</v>
      </c>
      <c r="J778">
        <v>3</v>
      </c>
    </row>
    <row r="779" spans="1:10" x14ac:dyDescent="0.2">
      <c r="A779" t="s">
        <v>97</v>
      </c>
      <c r="B779" t="s">
        <v>30</v>
      </c>
      <c r="C779">
        <v>4</v>
      </c>
      <c r="D779" t="s">
        <v>38</v>
      </c>
      <c r="E779">
        <v>3</v>
      </c>
      <c r="F779" t="s">
        <v>60</v>
      </c>
      <c r="G779" t="s">
        <v>30</v>
      </c>
      <c r="H779" t="s">
        <v>38</v>
      </c>
      <c r="I779">
        <v>4</v>
      </c>
      <c r="J779">
        <v>3</v>
      </c>
    </row>
    <row r="780" spans="1:10" x14ac:dyDescent="0.2">
      <c r="A780" t="s">
        <v>97</v>
      </c>
      <c r="B780" t="s">
        <v>27</v>
      </c>
      <c r="C780">
        <v>2</v>
      </c>
      <c r="D780" t="s">
        <v>20</v>
      </c>
      <c r="E780">
        <v>1</v>
      </c>
      <c r="F780" t="s">
        <v>60</v>
      </c>
      <c r="G780" t="s">
        <v>27</v>
      </c>
      <c r="H780" t="s">
        <v>20</v>
      </c>
      <c r="I780">
        <v>2</v>
      </c>
      <c r="J780">
        <v>1</v>
      </c>
    </row>
    <row r="781" spans="1:10" x14ac:dyDescent="0.2">
      <c r="A781" t="s">
        <v>98</v>
      </c>
      <c r="B781" t="s">
        <v>36</v>
      </c>
      <c r="C781">
        <v>4</v>
      </c>
      <c r="D781" t="s">
        <v>28</v>
      </c>
      <c r="E781">
        <v>1</v>
      </c>
      <c r="F781" t="s">
        <v>60</v>
      </c>
      <c r="G781" t="s">
        <v>36</v>
      </c>
      <c r="H781" t="s">
        <v>28</v>
      </c>
      <c r="I781">
        <v>4</v>
      </c>
      <c r="J781">
        <v>1</v>
      </c>
    </row>
    <row r="782" spans="1:10" x14ac:dyDescent="0.2">
      <c r="A782" t="s">
        <v>98</v>
      </c>
      <c r="B782" t="s">
        <v>21</v>
      </c>
      <c r="C782">
        <v>2</v>
      </c>
      <c r="D782" t="s">
        <v>39</v>
      </c>
      <c r="E782">
        <v>6</v>
      </c>
      <c r="F782" t="s">
        <v>60</v>
      </c>
      <c r="G782" t="s">
        <v>39</v>
      </c>
      <c r="H782" t="s">
        <v>21</v>
      </c>
      <c r="I782">
        <v>6</v>
      </c>
      <c r="J782">
        <v>2</v>
      </c>
    </row>
    <row r="783" spans="1:10" x14ac:dyDescent="0.2">
      <c r="A783" t="s">
        <v>98</v>
      </c>
      <c r="B783" t="s">
        <v>24</v>
      </c>
      <c r="C783">
        <v>2</v>
      </c>
      <c r="D783" t="s">
        <v>17</v>
      </c>
      <c r="E783">
        <v>1</v>
      </c>
      <c r="F783" t="s">
        <v>60</v>
      </c>
      <c r="G783" t="s">
        <v>24</v>
      </c>
      <c r="H783" t="s">
        <v>17</v>
      </c>
      <c r="I783">
        <v>2</v>
      </c>
      <c r="J783">
        <v>1</v>
      </c>
    </row>
    <row r="784" spans="1:10" x14ac:dyDescent="0.2">
      <c r="A784" t="s">
        <v>98</v>
      </c>
      <c r="B784" t="s">
        <v>15</v>
      </c>
      <c r="C784">
        <v>3</v>
      </c>
      <c r="D784" t="s">
        <v>13</v>
      </c>
      <c r="E784">
        <v>4</v>
      </c>
      <c r="F784" t="s">
        <v>60</v>
      </c>
      <c r="G784" t="s">
        <v>13</v>
      </c>
      <c r="H784" t="s">
        <v>15</v>
      </c>
      <c r="I784">
        <v>4</v>
      </c>
      <c r="J784">
        <v>3</v>
      </c>
    </row>
    <row r="785" spans="1:10" x14ac:dyDescent="0.2">
      <c r="A785" t="s">
        <v>98</v>
      </c>
      <c r="B785" t="s">
        <v>34</v>
      </c>
      <c r="C785">
        <v>3</v>
      </c>
      <c r="D785" t="s">
        <v>18</v>
      </c>
      <c r="E785">
        <v>4</v>
      </c>
      <c r="F785" t="s">
        <v>60</v>
      </c>
      <c r="G785" t="s">
        <v>18</v>
      </c>
      <c r="H785" t="s">
        <v>34</v>
      </c>
      <c r="I785">
        <v>4</v>
      </c>
      <c r="J785">
        <v>3</v>
      </c>
    </row>
    <row r="786" spans="1:10" x14ac:dyDescent="0.2">
      <c r="A786" t="s">
        <v>98</v>
      </c>
      <c r="B786" t="s">
        <v>23</v>
      </c>
      <c r="C786">
        <v>5</v>
      </c>
      <c r="D786" t="s">
        <v>29</v>
      </c>
      <c r="E786">
        <v>3</v>
      </c>
      <c r="F786" t="s">
        <v>60</v>
      </c>
      <c r="G786" t="s">
        <v>23</v>
      </c>
      <c r="H786" t="s">
        <v>29</v>
      </c>
      <c r="I786">
        <v>5</v>
      </c>
      <c r="J786">
        <v>3</v>
      </c>
    </row>
    <row r="787" spans="1:10" x14ac:dyDescent="0.2">
      <c r="A787" t="s">
        <v>98</v>
      </c>
      <c r="B787" t="s">
        <v>33</v>
      </c>
      <c r="C787">
        <v>1</v>
      </c>
      <c r="D787" t="s">
        <v>37</v>
      </c>
      <c r="E787">
        <v>4</v>
      </c>
      <c r="F787" t="s">
        <v>60</v>
      </c>
      <c r="G787" t="s">
        <v>37</v>
      </c>
      <c r="H787" t="s">
        <v>33</v>
      </c>
      <c r="I787">
        <v>4</v>
      </c>
      <c r="J787">
        <v>1</v>
      </c>
    </row>
    <row r="788" spans="1:10" x14ac:dyDescent="0.2">
      <c r="A788" t="s">
        <v>98</v>
      </c>
      <c r="B788" t="s">
        <v>35</v>
      </c>
      <c r="C788">
        <v>1</v>
      </c>
      <c r="D788" t="s">
        <v>40</v>
      </c>
      <c r="E788">
        <v>3</v>
      </c>
      <c r="F788" t="s">
        <v>60</v>
      </c>
      <c r="G788" t="s">
        <v>40</v>
      </c>
      <c r="H788" t="s">
        <v>35</v>
      </c>
      <c r="I788">
        <v>3</v>
      </c>
      <c r="J788">
        <v>1</v>
      </c>
    </row>
    <row r="789" spans="1:10" x14ac:dyDescent="0.2">
      <c r="A789" t="s">
        <v>99</v>
      </c>
      <c r="B789" t="s">
        <v>14</v>
      </c>
      <c r="C789">
        <v>4</v>
      </c>
      <c r="D789" t="s">
        <v>16</v>
      </c>
      <c r="E789">
        <v>1</v>
      </c>
      <c r="F789" t="s">
        <v>60</v>
      </c>
      <c r="G789" t="s">
        <v>14</v>
      </c>
      <c r="H789" t="s">
        <v>16</v>
      </c>
      <c r="I789">
        <v>4</v>
      </c>
      <c r="J789">
        <v>1</v>
      </c>
    </row>
    <row r="790" spans="1:10" x14ac:dyDescent="0.2">
      <c r="A790" t="s">
        <v>99</v>
      </c>
      <c r="B790" t="s">
        <v>31</v>
      </c>
      <c r="C790">
        <v>2</v>
      </c>
      <c r="D790" t="s">
        <v>12</v>
      </c>
      <c r="E790">
        <v>1</v>
      </c>
      <c r="F790" t="s">
        <v>61</v>
      </c>
      <c r="G790" t="s">
        <v>31</v>
      </c>
      <c r="H790" t="s">
        <v>12</v>
      </c>
      <c r="I790">
        <v>2</v>
      </c>
      <c r="J790">
        <v>1</v>
      </c>
    </row>
    <row r="791" spans="1:10" x14ac:dyDescent="0.2">
      <c r="A791" t="s">
        <v>99</v>
      </c>
      <c r="B791" t="s">
        <v>30</v>
      </c>
      <c r="C791">
        <v>1</v>
      </c>
      <c r="D791" t="s">
        <v>32</v>
      </c>
      <c r="E791">
        <v>4</v>
      </c>
      <c r="F791" t="s">
        <v>60</v>
      </c>
      <c r="G791" t="s">
        <v>32</v>
      </c>
      <c r="H791" t="s">
        <v>30</v>
      </c>
      <c r="I791">
        <v>4</v>
      </c>
      <c r="J791">
        <v>1</v>
      </c>
    </row>
    <row r="792" spans="1:10" x14ac:dyDescent="0.2">
      <c r="A792" t="s">
        <v>99</v>
      </c>
      <c r="B792" t="s">
        <v>26</v>
      </c>
      <c r="C792">
        <v>2</v>
      </c>
      <c r="D792" t="s">
        <v>19</v>
      </c>
      <c r="E792">
        <v>1</v>
      </c>
      <c r="F792" t="s">
        <v>62</v>
      </c>
      <c r="G792" t="s">
        <v>26</v>
      </c>
      <c r="H792" t="s">
        <v>19</v>
      </c>
      <c r="I792">
        <v>2</v>
      </c>
      <c r="J792">
        <v>1</v>
      </c>
    </row>
    <row r="793" spans="1:10" x14ac:dyDescent="0.2">
      <c r="A793" t="s">
        <v>99</v>
      </c>
      <c r="B793" t="s">
        <v>27</v>
      </c>
      <c r="C793">
        <v>4</v>
      </c>
      <c r="D793" t="s">
        <v>55</v>
      </c>
      <c r="E793">
        <v>5</v>
      </c>
      <c r="F793" t="s">
        <v>62</v>
      </c>
      <c r="G793" t="s">
        <v>55</v>
      </c>
      <c r="H793" t="s">
        <v>27</v>
      </c>
      <c r="I793">
        <v>5</v>
      </c>
      <c r="J793">
        <v>4</v>
      </c>
    </row>
    <row r="794" spans="1:10" x14ac:dyDescent="0.2">
      <c r="A794" t="s">
        <v>99</v>
      </c>
      <c r="B794" t="s">
        <v>22</v>
      </c>
      <c r="C794">
        <v>3</v>
      </c>
      <c r="D794" t="s">
        <v>38</v>
      </c>
      <c r="E794">
        <v>4</v>
      </c>
      <c r="F794" t="s">
        <v>60</v>
      </c>
      <c r="G794" t="s">
        <v>38</v>
      </c>
      <c r="H794" t="s">
        <v>22</v>
      </c>
      <c r="I794">
        <v>4</v>
      </c>
      <c r="J794">
        <v>3</v>
      </c>
    </row>
    <row r="795" spans="1:10" x14ac:dyDescent="0.2">
      <c r="A795" t="s">
        <v>100</v>
      </c>
      <c r="B795" t="s">
        <v>20</v>
      </c>
      <c r="C795">
        <v>3</v>
      </c>
      <c r="D795" t="s">
        <v>21</v>
      </c>
      <c r="E795">
        <v>4</v>
      </c>
      <c r="F795" t="s">
        <v>60</v>
      </c>
      <c r="G795" t="s">
        <v>21</v>
      </c>
      <c r="H795" t="s">
        <v>20</v>
      </c>
      <c r="I795">
        <v>4</v>
      </c>
      <c r="J795">
        <v>3</v>
      </c>
    </row>
    <row r="796" spans="1:10" x14ac:dyDescent="0.2">
      <c r="A796" t="s">
        <v>100</v>
      </c>
      <c r="B796" t="s">
        <v>10</v>
      </c>
      <c r="C796">
        <v>4</v>
      </c>
      <c r="D796" t="s">
        <v>25</v>
      </c>
      <c r="E796">
        <v>3</v>
      </c>
      <c r="F796" t="s">
        <v>61</v>
      </c>
      <c r="G796" t="s">
        <v>10</v>
      </c>
      <c r="H796" t="s">
        <v>25</v>
      </c>
      <c r="I796">
        <v>4</v>
      </c>
      <c r="J796">
        <v>3</v>
      </c>
    </row>
    <row r="797" spans="1:10" x14ac:dyDescent="0.2">
      <c r="A797" t="s">
        <v>100</v>
      </c>
      <c r="B797" t="s">
        <v>39</v>
      </c>
      <c r="C797">
        <v>0</v>
      </c>
      <c r="D797" t="s">
        <v>28</v>
      </c>
      <c r="E797">
        <v>1</v>
      </c>
      <c r="F797" t="s">
        <v>60</v>
      </c>
      <c r="G797" t="s">
        <v>28</v>
      </c>
      <c r="H797" t="s">
        <v>39</v>
      </c>
      <c r="I797">
        <v>1</v>
      </c>
      <c r="J797">
        <v>0</v>
      </c>
    </row>
    <row r="798" spans="1:10" x14ac:dyDescent="0.2">
      <c r="A798" t="s">
        <v>100</v>
      </c>
      <c r="B798" t="s">
        <v>14</v>
      </c>
      <c r="C798">
        <v>6</v>
      </c>
      <c r="D798" t="s">
        <v>17</v>
      </c>
      <c r="E798">
        <v>2</v>
      </c>
      <c r="F798" t="s">
        <v>60</v>
      </c>
      <c r="G798" t="s">
        <v>14</v>
      </c>
      <c r="H798" t="s">
        <v>17</v>
      </c>
      <c r="I798">
        <v>6</v>
      </c>
      <c r="J798">
        <v>2</v>
      </c>
    </row>
    <row r="799" spans="1:10" x14ac:dyDescent="0.2">
      <c r="A799" t="s">
        <v>100</v>
      </c>
      <c r="B799" t="s">
        <v>26</v>
      </c>
      <c r="C799">
        <v>3</v>
      </c>
      <c r="D799" t="s">
        <v>34</v>
      </c>
      <c r="E799">
        <v>4</v>
      </c>
      <c r="F799" t="s">
        <v>62</v>
      </c>
      <c r="G799" t="s">
        <v>34</v>
      </c>
      <c r="H799" t="s">
        <v>26</v>
      </c>
      <c r="I799">
        <v>4</v>
      </c>
      <c r="J799">
        <v>3</v>
      </c>
    </row>
    <row r="800" spans="1:10" x14ac:dyDescent="0.2">
      <c r="A800" t="s">
        <v>100</v>
      </c>
      <c r="B800" t="s">
        <v>23</v>
      </c>
      <c r="C800">
        <v>4</v>
      </c>
      <c r="D800" t="s">
        <v>18</v>
      </c>
      <c r="E800">
        <v>2</v>
      </c>
      <c r="F800" t="s">
        <v>60</v>
      </c>
      <c r="G800" t="s">
        <v>23</v>
      </c>
      <c r="H800" t="s">
        <v>18</v>
      </c>
      <c r="I800">
        <v>4</v>
      </c>
      <c r="J800">
        <v>2</v>
      </c>
    </row>
    <row r="801" spans="1:10" x14ac:dyDescent="0.2">
      <c r="A801" t="s">
        <v>100</v>
      </c>
      <c r="B801" t="s">
        <v>36</v>
      </c>
      <c r="C801">
        <v>3</v>
      </c>
      <c r="D801" t="s">
        <v>29</v>
      </c>
      <c r="E801">
        <v>5</v>
      </c>
      <c r="F801" t="s">
        <v>60</v>
      </c>
      <c r="G801" t="s">
        <v>29</v>
      </c>
      <c r="H801" t="s">
        <v>36</v>
      </c>
      <c r="I801">
        <v>5</v>
      </c>
      <c r="J801">
        <v>3</v>
      </c>
    </row>
    <row r="802" spans="1:10" x14ac:dyDescent="0.2">
      <c r="A802" t="s">
        <v>100</v>
      </c>
      <c r="B802" t="s">
        <v>11</v>
      </c>
      <c r="C802">
        <v>2</v>
      </c>
      <c r="D802" t="s">
        <v>40</v>
      </c>
      <c r="E802">
        <v>1</v>
      </c>
      <c r="F802" t="s">
        <v>61</v>
      </c>
      <c r="G802" t="s">
        <v>11</v>
      </c>
      <c r="H802" t="s">
        <v>40</v>
      </c>
      <c r="I802">
        <v>2</v>
      </c>
      <c r="J802">
        <v>1</v>
      </c>
    </row>
    <row r="803" spans="1:10" x14ac:dyDescent="0.2">
      <c r="A803" t="s">
        <v>101</v>
      </c>
      <c r="B803" t="s">
        <v>22</v>
      </c>
      <c r="C803">
        <v>3</v>
      </c>
      <c r="D803" t="s">
        <v>16</v>
      </c>
      <c r="E803">
        <v>1</v>
      </c>
      <c r="F803" t="s">
        <v>60</v>
      </c>
      <c r="G803" t="s">
        <v>22</v>
      </c>
      <c r="H803" t="s">
        <v>16</v>
      </c>
      <c r="I803">
        <v>3</v>
      </c>
      <c r="J803">
        <v>1</v>
      </c>
    </row>
    <row r="804" spans="1:10" x14ac:dyDescent="0.2">
      <c r="A804" t="s">
        <v>101</v>
      </c>
      <c r="B804" t="s">
        <v>37</v>
      </c>
      <c r="C804">
        <v>2</v>
      </c>
      <c r="D804" t="s">
        <v>10</v>
      </c>
      <c r="E804">
        <v>1</v>
      </c>
      <c r="F804" t="s">
        <v>61</v>
      </c>
      <c r="G804" t="s">
        <v>37</v>
      </c>
      <c r="H804" t="s">
        <v>10</v>
      </c>
      <c r="I804">
        <v>2</v>
      </c>
      <c r="J804">
        <v>1</v>
      </c>
    </row>
    <row r="805" spans="1:10" x14ac:dyDescent="0.2">
      <c r="A805" t="s">
        <v>101</v>
      </c>
      <c r="B805" t="s">
        <v>27</v>
      </c>
      <c r="C805">
        <v>7</v>
      </c>
      <c r="D805" t="s">
        <v>12</v>
      </c>
      <c r="E805">
        <v>3</v>
      </c>
      <c r="F805" t="s">
        <v>60</v>
      </c>
      <c r="G805" t="s">
        <v>27</v>
      </c>
      <c r="H805" t="s">
        <v>12</v>
      </c>
      <c r="I805">
        <v>7</v>
      </c>
      <c r="J805">
        <v>3</v>
      </c>
    </row>
    <row r="806" spans="1:10" x14ac:dyDescent="0.2">
      <c r="A806" t="s">
        <v>101</v>
      </c>
      <c r="B806" t="s">
        <v>35</v>
      </c>
      <c r="C806">
        <v>2</v>
      </c>
      <c r="D806" t="s">
        <v>39</v>
      </c>
      <c r="E806">
        <v>3</v>
      </c>
      <c r="F806" t="s">
        <v>60</v>
      </c>
      <c r="G806" t="s">
        <v>39</v>
      </c>
      <c r="H806" t="s">
        <v>35</v>
      </c>
      <c r="I806">
        <v>3</v>
      </c>
      <c r="J806">
        <v>2</v>
      </c>
    </row>
    <row r="807" spans="1:10" x14ac:dyDescent="0.2">
      <c r="A807" t="s">
        <v>101</v>
      </c>
      <c r="B807" t="s">
        <v>31</v>
      </c>
      <c r="C807">
        <v>4</v>
      </c>
      <c r="D807" t="s">
        <v>32</v>
      </c>
      <c r="E807">
        <v>2</v>
      </c>
      <c r="F807" t="s">
        <v>60</v>
      </c>
      <c r="G807" t="s">
        <v>31</v>
      </c>
      <c r="H807" t="s">
        <v>32</v>
      </c>
      <c r="I807">
        <v>4</v>
      </c>
      <c r="J807">
        <v>2</v>
      </c>
    </row>
    <row r="808" spans="1:10" x14ac:dyDescent="0.2">
      <c r="A808" t="s">
        <v>101</v>
      </c>
      <c r="B808" t="s">
        <v>15</v>
      </c>
      <c r="C808">
        <v>1</v>
      </c>
      <c r="D808" t="s">
        <v>33</v>
      </c>
      <c r="E808">
        <v>3</v>
      </c>
      <c r="F808" t="s">
        <v>60</v>
      </c>
      <c r="G808" t="s">
        <v>33</v>
      </c>
      <c r="H808" t="s">
        <v>15</v>
      </c>
      <c r="I808">
        <v>3</v>
      </c>
      <c r="J808">
        <v>1</v>
      </c>
    </row>
    <row r="809" spans="1:10" x14ac:dyDescent="0.2">
      <c r="A809" t="s">
        <v>101</v>
      </c>
      <c r="B809" t="s">
        <v>20</v>
      </c>
      <c r="C809">
        <v>6</v>
      </c>
      <c r="D809" t="s">
        <v>19</v>
      </c>
      <c r="E809">
        <v>3</v>
      </c>
      <c r="F809" t="s">
        <v>60</v>
      </c>
      <c r="G809" t="s">
        <v>20</v>
      </c>
      <c r="H809" t="s">
        <v>19</v>
      </c>
      <c r="I809">
        <v>6</v>
      </c>
      <c r="J809">
        <v>3</v>
      </c>
    </row>
    <row r="810" spans="1:10" x14ac:dyDescent="0.2">
      <c r="A810" t="s">
        <v>101</v>
      </c>
      <c r="B810" t="s">
        <v>24</v>
      </c>
      <c r="C810">
        <v>5</v>
      </c>
      <c r="D810" t="s">
        <v>38</v>
      </c>
      <c r="E810">
        <v>4</v>
      </c>
      <c r="F810" t="s">
        <v>60</v>
      </c>
      <c r="G810" t="s">
        <v>24</v>
      </c>
      <c r="H810" t="s">
        <v>38</v>
      </c>
      <c r="I810">
        <v>5</v>
      </c>
      <c r="J810">
        <v>4</v>
      </c>
    </row>
    <row r="811" spans="1:10" x14ac:dyDescent="0.2">
      <c r="A811" t="s">
        <v>102</v>
      </c>
      <c r="B811" t="s">
        <v>18</v>
      </c>
      <c r="C811">
        <v>3</v>
      </c>
      <c r="D811" t="s">
        <v>21</v>
      </c>
      <c r="E811">
        <v>4</v>
      </c>
      <c r="F811" t="s">
        <v>60</v>
      </c>
      <c r="G811" t="s">
        <v>21</v>
      </c>
      <c r="H811" t="s">
        <v>18</v>
      </c>
      <c r="I811">
        <v>4</v>
      </c>
      <c r="J811">
        <v>3</v>
      </c>
    </row>
    <row r="812" spans="1:10" x14ac:dyDescent="0.2">
      <c r="A812" t="s">
        <v>102</v>
      </c>
      <c r="B812" t="s">
        <v>37</v>
      </c>
      <c r="C812">
        <v>5</v>
      </c>
      <c r="D812" t="s">
        <v>28</v>
      </c>
      <c r="E812">
        <v>8</v>
      </c>
      <c r="F812" t="s">
        <v>60</v>
      </c>
      <c r="G812" t="s">
        <v>28</v>
      </c>
      <c r="H812" t="s">
        <v>37</v>
      </c>
      <c r="I812">
        <v>8</v>
      </c>
      <c r="J812">
        <v>5</v>
      </c>
    </row>
    <row r="813" spans="1:10" x14ac:dyDescent="0.2">
      <c r="A813" t="s">
        <v>102</v>
      </c>
      <c r="B813" t="s">
        <v>22</v>
      </c>
      <c r="C813">
        <v>5</v>
      </c>
      <c r="D813" t="s">
        <v>17</v>
      </c>
      <c r="E813">
        <v>6</v>
      </c>
      <c r="F813" t="s">
        <v>62</v>
      </c>
      <c r="G813" t="s">
        <v>17</v>
      </c>
      <c r="H813" t="s">
        <v>22</v>
      </c>
      <c r="I813">
        <v>6</v>
      </c>
      <c r="J813">
        <v>5</v>
      </c>
    </row>
    <row r="814" spans="1:10" x14ac:dyDescent="0.2">
      <c r="A814" t="s">
        <v>102</v>
      </c>
      <c r="B814" t="s">
        <v>11</v>
      </c>
      <c r="C814">
        <v>4</v>
      </c>
      <c r="D814" t="s">
        <v>34</v>
      </c>
      <c r="E814">
        <v>3</v>
      </c>
      <c r="F814" t="s">
        <v>62</v>
      </c>
      <c r="G814" t="s">
        <v>11</v>
      </c>
      <c r="H814" t="s">
        <v>34</v>
      </c>
      <c r="I814">
        <v>4</v>
      </c>
      <c r="J814">
        <v>3</v>
      </c>
    </row>
    <row r="815" spans="1:10" x14ac:dyDescent="0.2">
      <c r="A815" t="s">
        <v>102</v>
      </c>
      <c r="B815" t="s">
        <v>55</v>
      </c>
      <c r="C815">
        <v>5</v>
      </c>
      <c r="D815" t="s">
        <v>29</v>
      </c>
      <c r="E815">
        <v>2</v>
      </c>
      <c r="F815" t="s">
        <v>60</v>
      </c>
      <c r="G815" t="s">
        <v>55</v>
      </c>
      <c r="H815" t="s">
        <v>29</v>
      </c>
      <c r="I815">
        <v>5</v>
      </c>
      <c r="J815">
        <v>2</v>
      </c>
    </row>
    <row r="816" spans="1:10" x14ac:dyDescent="0.2">
      <c r="A816" t="s">
        <v>102</v>
      </c>
      <c r="B816" t="s">
        <v>23</v>
      </c>
      <c r="C816">
        <v>5</v>
      </c>
      <c r="D816" t="s">
        <v>30</v>
      </c>
      <c r="E816">
        <v>0</v>
      </c>
      <c r="F816" t="s">
        <v>60</v>
      </c>
      <c r="G816" t="s">
        <v>23</v>
      </c>
      <c r="H816" t="s">
        <v>30</v>
      </c>
      <c r="I816">
        <v>5</v>
      </c>
      <c r="J816">
        <v>0</v>
      </c>
    </row>
    <row r="817" spans="1:10" x14ac:dyDescent="0.2">
      <c r="A817" t="s">
        <v>102</v>
      </c>
      <c r="B817" t="s">
        <v>25</v>
      </c>
      <c r="C817">
        <v>4</v>
      </c>
      <c r="D817" t="s">
        <v>36</v>
      </c>
      <c r="E817">
        <v>1</v>
      </c>
      <c r="F817" t="s">
        <v>60</v>
      </c>
      <c r="G817" t="s">
        <v>25</v>
      </c>
      <c r="H817" t="s">
        <v>36</v>
      </c>
      <c r="I817">
        <v>4</v>
      </c>
      <c r="J817">
        <v>1</v>
      </c>
    </row>
    <row r="818" spans="1:10" x14ac:dyDescent="0.2">
      <c r="A818" t="s">
        <v>102</v>
      </c>
      <c r="B818" t="s">
        <v>13</v>
      </c>
      <c r="C818">
        <v>5</v>
      </c>
      <c r="D818" t="s">
        <v>35</v>
      </c>
      <c r="E818">
        <v>4</v>
      </c>
      <c r="F818" t="s">
        <v>61</v>
      </c>
      <c r="G818" t="s">
        <v>13</v>
      </c>
      <c r="H818" t="s">
        <v>35</v>
      </c>
      <c r="I818">
        <v>5</v>
      </c>
      <c r="J818">
        <v>4</v>
      </c>
    </row>
    <row r="819" spans="1:10" x14ac:dyDescent="0.2">
      <c r="A819" t="s">
        <v>102</v>
      </c>
      <c r="B819" t="s">
        <v>26</v>
      </c>
      <c r="C819">
        <v>5</v>
      </c>
      <c r="D819" t="s">
        <v>40</v>
      </c>
      <c r="E819">
        <v>1</v>
      </c>
      <c r="F819" t="s">
        <v>60</v>
      </c>
      <c r="G819" t="s">
        <v>26</v>
      </c>
      <c r="H819" t="s">
        <v>40</v>
      </c>
      <c r="I819">
        <v>5</v>
      </c>
      <c r="J819">
        <v>1</v>
      </c>
    </row>
    <row r="820" spans="1:10" x14ac:dyDescent="0.2">
      <c r="A820" t="s">
        <v>103</v>
      </c>
      <c r="B820" t="s">
        <v>31</v>
      </c>
      <c r="D820" t="s">
        <v>16</v>
      </c>
      <c r="F820" t="s">
        <v>60</v>
      </c>
    </row>
    <row r="821" spans="1:10" x14ac:dyDescent="0.2">
      <c r="A821" t="s">
        <v>103</v>
      </c>
      <c r="B821" t="s">
        <v>11</v>
      </c>
      <c r="D821" t="s">
        <v>10</v>
      </c>
      <c r="F821" t="s">
        <v>60</v>
      </c>
    </row>
    <row r="822" spans="1:10" x14ac:dyDescent="0.2">
      <c r="A822" t="s">
        <v>103</v>
      </c>
      <c r="B822" t="s">
        <v>20</v>
      </c>
      <c r="D822" t="s">
        <v>36</v>
      </c>
      <c r="F822" t="s">
        <v>60</v>
      </c>
    </row>
    <row r="823" spans="1:10" x14ac:dyDescent="0.2">
      <c r="A823" t="s">
        <v>103</v>
      </c>
      <c r="B823" t="s">
        <v>24</v>
      </c>
      <c r="D823" t="s">
        <v>32</v>
      </c>
      <c r="F823" t="s">
        <v>60</v>
      </c>
    </row>
    <row r="824" spans="1:10" x14ac:dyDescent="0.2">
      <c r="A824" t="s">
        <v>103</v>
      </c>
      <c r="B824" t="s">
        <v>12</v>
      </c>
      <c r="D824" t="s">
        <v>19</v>
      </c>
      <c r="F824" t="s">
        <v>60</v>
      </c>
    </row>
    <row r="825" spans="1:10" x14ac:dyDescent="0.2">
      <c r="A825" t="s">
        <v>103</v>
      </c>
      <c r="B825" t="s">
        <v>14</v>
      </c>
      <c r="D825" t="s">
        <v>38</v>
      </c>
      <c r="F825" t="s">
        <v>60</v>
      </c>
    </row>
    <row r="826" spans="1:10" x14ac:dyDescent="0.2">
      <c r="A826" t="s">
        <v>104</v>
      </c>
      <c r="B826" t="s">
        <v>13</v>
      </c>
      <c r="D826" t="s">
        <v>28</v>
      </c>
      <c r="F826" t="s">
        <v>60</v>
      </c>
    </row>
    <row r="827" spans="1:10" x14ac:dyDescent="0.2">
      <c r="A827" t="s">
        <v>104</v>
      </c>
      <c r="B827" t="s">
        <v>31</v>
      </c>
      <c r="D827" t="s">
        <v>17</v>
      </c>
      <c r="F827" t="s">
        <v>60</v>
      </c>
    </row>
    <row r="828" spans="1:10" x14ac:dyDescent="0.2">
      <c r="A828" t="s">
        <v>104</v>
      </c>
      <c r="B828" t="s">
        <v>21</v>
      </c>
      <c r="D828" t="s">
        <v>15</v>
      </c>
      <c r="F828" t="s">
        <v>60</v>
      </c>
    </row>
    <row r="829" spans="1:10" x14ac:dyDescent="0.2">
      <c r="A829" t="s">
        <v>104</v>
      </c>
      <c r="B829" t="s">
        <v>30</v>
      </c>
      <c r="D829" t="s">
        <v>27</v>
      </c>
      <c r="F829" t="s">
        <v>60</v>
      </c>
    </row>
    <row r="830" spans="1:10" x14ac:dyDescent="0.2">
      <c r="A830" t="s">
        <v>104</v>
      </c>
      <c r="B830" t="s">
        <v>55</v>
      </c>
      <c r="D830" t="s">
        <v>37</v>
      </c>
      <c r="F830" t="s">
        <v>60</v>
      </c>
    </row>
    <row r="831" spans="1:10" x14ac:dyDescent="0.2">
      <c r="A831" t="s">
        <v>105</v>
      </c>
      <c r="B831" t="s">
        <v>29</v>
      </c>
      <c r="D831" t="s">
        <v>21</v>
      </c>
      <c r="F831" t="s">
        <v>60</v>
      </c>
    </row>
    <row r="832" spans="1:10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7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9.596999517066325E-2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5031.1152253606633</v>
      </c>
    </row>
    <row r="5" spans="1:10" x14ac:dyDescent="0.2">
      <c r="D5" s="8" t="s">
        <v>2</v>
      </c>
      <c r="E5" s="8" t="s">
        <v>3</v>
      </c>
      <c r="F5" s="8" t="s">
        <v>4</v>
      </c>
      <c r="G5" s="8" t="s">
        <v>5</v>
      </c>
      <c r="H5" s="7" t="s">
        <v>46</v>
      </c>
      <c r="I5" s="6" t="s">
        <v>47</v>
      </c>
      <c r="J5" s="6" t="s">
        <v>48</v>
      </c>
    </row>
    <row r="6" spans="1:10" x14ac:dyDescent="0.2">
      <c r="A6" s="3" t="s">
        <v>42</v>
      </c>
      <c r="B6" s="3" t="s">
        <v>43</v>
      </c>
      <c r="D6" t="s">
        <v>10</v>
      </c>
      <c r="E6">
        <f>'NHL2025-26Results'!C2</f>
        <v>2</v>
      </c>
      <c r="F6" t="s">
        <v>11</v>
      </c>
      <c r="G6">
        <f>'NHL2025-26Results'!E2</f>
        <v>3</v>
      </c>
      <c r="H6">
        <f>Table3[[#This Row],[G_1]]-Table3[[#This Row],[G]]</f>
        <v>1</v>
      </c>
      <c r="I6">
        <f>HomeEdge+VLOOKUP(Table3[[#This Row],[Home]],$A$6:$B$38,2,FALSE)-VLOOKUP(Table3[[#This Row],[Visitor]],$A$6:$B$38,2,FALSE)</f>
        <v>0.37678038236661521</v>
      </c>
      <c r="J6">
        <f>(Table3[[#This Row],[HomeMargin]]-Table3[[#This Row],[HomeForecast]])^2</f>
        <v>0.38840269180310244</v>
      </c>
    </row>
    <row r="7" spans="1:10" x14ac:dyDescent="0.2">
      <c r="A7" s="4" t="s">
        <v>31</v>
      </c>
      <c r="B7">
        <v>-0.38289376966531796</v>
      </c>
      <c r="D7" t="s">
        <v>12</v>
      </c>
      <c r="E7">
        <f>'NHL2025-26Results'!C3</f>
        <v>4</v>
      </c>
      <c r="F7" t="s">
        <v>13</v>
      </c>
      <c r="G7">
        <f>'NHL2025-26Results'!E3</f>
        <v>1</v>
      </c>
      <c r="H7">
        <f>Table3[[#This Row],[G_1]]-Table3[[#This Row],[G]]</f>
        <v>-3</v>
      </c>
      <c r="I7">
        <f>HomeEdge+VLOOKUP(Table3[[#This Row],[Home]],$A$6:$B$38,2,FALSE)-VLOOKUP(Table3[[#This Row],[Visitor]],$A$6:$B$38,2,FALSE)</f>
        <v>-1.515464120357207</v>
      </c>
      <c r="J7">
        <f>(Table3[[#This Row],[HomeMargin]]-Table3[[#This Row],[HomeForecast]])^2</f>
        <v>2.2038467779468012</v>
      </c>
    </row>
    <row r="8" spans="1:10" x14ac:dyDescent="0.2">
      <c r="A8" s="4" t="s">
        <v>21</v>
      </c>
      <c r="B8">
        <v>-5.5047914862176604E-2</v>
      </c>
      <c r="D8" t="s">
        <v>14</v>
      </c>
      <c r="E8">
        <f>'NHL2025-26Results'!C4</f>
        <v>3</v>
      </c>
      <c r="F8" t="s">
        <v>15</v>
      </c>
      <c r="G8">
        <f>'NHL2025-26Results'!E4</f>
        <v>0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-0.54372882814893908</v>
      </c>
      <c r="J8">
        <f>(Table3[[#This Row],[HomeMargin]]-Table3[[#This Row],[HomeForecast]])^2</f>
        <v>6.033268069666585</v>
      </c>
    </row>
    <row r="9" spans="1:10" x14ac:dyDescent="0.2">
      <c r="A9" s="4" t="s">
        <v>23</v>
      </c>
      <c r="B9">
        <v>2.7346770720058793E-2</v>
      </c>
      <c r="D9" t="s">
        <v>16</v>
      </c>
      <c r="E9">
        <f>'NHL2025-26Results'!C5</f>
        <v>4</v>
      </c>
      <c r="F9" t="s">
        <v>17</v>
      </c>
      <c r="G9">
        <f>'NHL2025-26Results'!E5</f>
        <v>3</v>
      </c>
      <c r="H9">
        <f>Table3[[#This Row],[G_1]]-Table3[[#This Row],[G]]</f>
        <v>-1</v>
      </c>
      <c r="I9">
        <f>HomeEdge+VLOOKUP(Table3[[#This Row],[Home]],$A$6:$B$38,2,FALSE)-VLOOKUP(Table3[[#This Row],[Visitor]],$A$6:$B$38,2,FALSE)</f>
        <v>0.68704761855150021</v>
      </c>
      <c r="J9">
        <f>(Table3[[#This Row],[HomeMargin]]-Table3[[#This Row],[HomeForecast]])^2</f>
        <v>2.8461296672602883</v>
      </c>
    </row>
    <row r="10" spans="1:10" x14ac:dyDescent="0.2">
      <c r="A10" s="4" t="s">
        <v>16</v>
      </c>
      <c r="B10">
        <v>-0.79148902514100783</v>
      </c>
      <c r="D10" t="s">
        <v>18</v>
      </c>
      <c r="E10">
        <f>'NHL2025-26Results'!C6</f>
        <v>2</v>
      </c>
      <c r="F10" t="s">
        <v>19</v>
      </c>
      <c r="G10">
        <f>'NHL2025-26Results'!E6</f>
        <v>5</v>
      </c>
      <c r="H10">
        <f>Table3[[#This Row],[G_1]]-Table3[[#This Row],[G]]</f>
        <v>3</v>
      </c>
      <c r="I10">
        <f>HomeEdge+VLOOKUP(Table3[[#This Row],[Home]],$A$6:$B$38,2,FALSE)-VLOOKUP(Table3[[#This Row],[Visitor]],$A$6:$B$38,2,FALSE)</f>
        <v>1.0669538608036072E-2</v>
      </c>
      <c r="J10">
        <f>(Table3[[#This Row],[HomeMargin]]-Table3[[#This Row],[HomeForecast]])^2</f>
        <v>8.9360966074058918</v>
      </c>
    </row>
    <row r="11" spans="1:10" x14ac:dyDescent="0.2">
      <c r="A11" s="4" t="s">
        <v>25</v>
      </c>
      <c r="B11">
        <v>0.29527586190964761</v>
      </c>
      <c r="D11" t="s">
        <v>13</v>
      </c>
      <c r="E11">
        <f>'NHL2025-26Results'!C7</f>
        <v>6</v>
      </c>
      <c r="F11" t="s">
        <v>20</v>
      </c>
      <c r="G11">
        <f>'NHL2025-26Results'!E7</f>
        <v>5</v>
      </c>
      <c r="H11">
        <f>Table3[[#This Row],[G_1]]-Table3[[#This Row],[G]]</f>
        <v>-1</v>
      </c>
      <c r="I11">
        <f>HomeEdge+VLOOKUP(Table3[[#This Row],[Home]],$A$6:$B$38,2,FALSE)-VLOOKUP(Table3[[#This Row],[Visitor]],$A$6:$B$38,2,FALSE)</f>
        <v>0.52744517755123654</v>
      </c>
      <c r="J11">
        <f>(Table3[[#This Row],[HomeMargin]]-Table3[[#This Row],[HomeForecast]])^2</f>
        <v>2.3330887704245287</v>
      </c>
    </row>
    <row r="12" spans="1:10" x14ac:dyDescent="0.2">
      <c r="A12" s="4" t="s">
        <v>10</v>
      </c>
      <c r="B12">
        <v>-0.70456324341534593</v>
      </c>
      <c r="D12" t="s">
        <v>21</v>
      </c>
      <c r="E12">
        <f>'NHL2025-26Results'!C8</f>
        <v>3</v>
      </c>
      <c r="F12" t="s">
        <v>22</v>
      </c>
      <c r="G12">
        <f>'NHL2025-26Results'!E8</f>
        <v>1</v>
      </c>
      <c r="H12">
        <f>Table3[[#This Row],[G_1]]-Table3[[#This Row],[G]]</f>
        <v>-2</v>
      </c>
      <c r="I12">
        <f>HomeEdge+VLOOKUP(Table3[[#This Row],[Home]],$A$6:$B$38,2,FALSE)-VLOOKUP(Table3[[#This Row],[Visitor]],$A$6:$B$38,2,FALSE)</f>
        <v>6.1858058516509849E-2</v>
      </c>
      <c r="J12">
        <f>(Table3[[#This Row],[HomeMargin]]-Table3[[#This Row],[HomeForecast]])^2</f>
        <v>4.2512586534694714</v>
      </c>
    </row>
    <row r="13" spans="1:10" x14ac:dyDescent="0.2">
      <c r="A13" s="4" t="s">
        <v>12</v>
      </c>
      <c r="B13">
        <v>1.1751846443488465</v>
      </c>
      <c r="D13" t="s">
        <v>10</v>
      </c>
      <c r="E13">
        <f>'NHL2025-26Results'!C9</f>
        <v>3</v>
      </c>
      <c r="F13" t="s">
        <v>21</v>
      </c>
      <c r="G13">
        <f>'NHL2025-26Results'!E9</f>
        <v>4</v>
      </c>
      <c r="H13">
        <f>Table3[[#This Row],[G_1]]-Table3[[#This Row],[G]]</f>
        <v>1</v>
      </c>
      <c r="I13">
        <f>HomeEdge+VLOOKUP(Table3[[#This Row],[Home]],$A$6:$B$38,2,FALSE)-VLOOKUP(Table3[[#This Row],[Visitor]],$A$6:$B$38,2,FALSE)</f>
        <v>0.74548532372383258</v>
      </c>
      <c r="J13">
        <f>(Table3[[#This Row],[HomeMargin]]-Table3[[#This Row],[HomeForecast]])^2</f>
        <v>6.47777204399623E-2</v>
      </c>
    </row>
    <row r="14" spans="1:10" x14ac:dyDescent="0.2">
      <c r="A14" s="4" t="s">
        <v>28</v>
      </c>
      <c r="B14">
        <v>-0.42584667868780524</v>
      </c>
      <c r="D14" t="s">
        <v>15</v>
      </c>
      <c r="E14">
        <f>'NHL2025-26Results'!C10</f>
        <v>4</v>
      </c>
      <c r="F14" t="s">
        <v>23</v>
      </c>
      <c r="G14">
        <f>'NHL2025-26Results'!E10</f>
        <v>0</v>
      </c>
      <c r="H14">
        <f>Table3[[#This Row],[G_1]]-Table3[[#This Row],[G]]</f>
        <v>-4</v>
      </c>
      <c r="I14">
        <f>HomeEdge+VLOOKUP(Table3[[#This Row],[Home]],$A$6:$B$38,2,FALSE)-VLOOKUP(Table3[[#This Row],[Visitor]],$A$6:$B$38,2,FALSE)</f>
        <v>0.76298315911354775</v>
      </c>
      <c r="J14">
        <f>(Table3[[#This Row],[HomeMargin]]-Table3[[#This Row],[HomeForecast]])^2</f>
        <v>22.686008573999267</v>
      </c>
    </row>
    <row r="15" spans="1:10" x14ac:dyDescent="0.2">
      <c r="A15" s="4" t="s">
        <v>39</v>
      </c>
      <c r="B15">
        <v>0.21259592260910548</v>
      </c>
      <c r="D15" t="s">
        <v>24</v>
      </c>
      <c r="E15">
        <f>'NHL2025-26Results'!C11</f>
        <v>3</v>
      </c>
      <c r="F15" t="s">
        <v>25</v>
      </c>
      <c r="G15">
        <f>'NHL2025-26Results'!E11</f>
        <v>6</v>
      </c>
      <c r="H15">
        <f>Table3[[#This Row],[G_1]]-Table3[[#This Row],[G]]</f>
        <v>3</v>
      </c>
      <c r="I15">
        <f>HomeEdge+VLOOKUP(Table3[[#This Row],[Home]],$A$6:$B$38,2,FALSE)-VLOOKUP(Table3[[#This Row],[Visitor]],$A$6:$B$38,2,FALSE)</f>
        <v>0.91836601000762896</v>
      </c>
      <c r="J15">
        <f>(Table3[[#This Row],[HomeMargin]]-Table3[[#This Row],[HomeForecast]])^2</f>
        <v>4.3332000682915579</v>
      </c>
    </row>
    <row r="16" spans="1:10" x14ac:dyDescent="0.2">
      <c r="A16" s="4" t="s">
        <v>26</v>
      </c>
      <c r="B16">
        <v>-0.17319925920548884</v>
      </c>
      <c r="D16" t="s">
        <v>55</v>
      </c>
      <c r="E16">
        <f>'NHL2025-26Results'!C12</f>
        <v>1</v>
      </c>
      <c r="F16" t="s">
        <v>12</v>
      </c>
      <c r="G16">
        <f>'NHL2025-26Results'!E12</f>
        <v>2</v>
      </c>
      <c r="H16">
        <f>Table3[[#This Row],[G_1]]-Table3[[#This Row],[G]]</f>
        <v>1</v>
      </c>
      <c r="I16">
        <f>HomeEdge+VLOOKUP(Table3[[#This Row],[Home]],$A$6:$B$38,2,FALSE)-VLOOKUP(Table3[[#This Row],[Visitor]],$A$6:$B$38,2,FALSE)</f>
        <v>1.1506027257856781</v>
      </c>
      <c r="J16">
        <f>(Table3[[#This Row],[HomeMargin]]-Table3[[#This Row],[HomeForecast]])^2</f>
        <v>2.2681181014076159E-2</v>
      </c>
    </row>
    <row r="17" spans="1:10" x14ac:dyDescent="0.2">
      <c r="A17" s="4" t="s">
        <v>17</v>
      </c>
      <c r="B17">
        <v>-0.20041140176017086</v>
      </c>
      <c r="D17" t="s">
        <v>18</v>
      </c>
      <c r="E17">
        <f>'NHL2025-26Results'!C13</f>
        <v>5</v>
      </c>
      <c r="F17" t="s">
        <v>26</v>
      </c>
      <c r="G17">
        <f>'NHL2025-26Results'!E13</f>
        <v>1</v>
      </c>
      <c r="H17">
        <f>Table3[[#This Row],[G_1]]-Table3[[#This Row],[G]]</f>
        <v>-4</v>
      </c>
      <c r="I17">
        <f>HomeEdge+VLOOKUP(Table3[[#This Row],[Home]],$A$6:$B$38,2,FALSE)-VLOOKUP(Table3[[#This Row],[Visitor]],$A$6:$B$38,2,FALSE)</f>
        <v>0.15922557142241484</v>
      </c>
      <c r="J17">
        <f>(Table3[[#This Row],[HomeMargin]]-Table3[[#This Row],[HomeForecast]])^2</f>
        <v>17.29915735397411</v>
      </c>
    </row>
    <row r="18" spans="1:10" x14ac:dyDescent="0.2">
      <c r="A18" s="4" t="s">
        <v>11</v>
      </c>
      <c r="B18">
        <v>-0.42375285621939396</v>
      </c>
      <c r="D18" t="s">
        <v>27</v>
      </c>
      <c r="E18">
        <f>'NHL2025-26Results'!C14</f>
        <v>1</v>
      </c>
      <c r="F18" t="s">
        <v>11</v>
      </c>
      <c r="G18">
        <f>'NHL2025-26Results'!E14</f>
        <v>2</v>
      </c>
      <c r="H18">
        <f>Table3[[#This Row],[G_1]]-Table3[[#This Row],[G]]</f>
        <v>1</v>
      </c>
      <c r="I18">
        <f>HomeEdge+VLOOKUP(Table3[[#This Row],[Home]],$A$6:$B$38,2,FALSE)-VLOOKUP(Table3[[#This Row],[Visitor]],$A$6:$B$38,2,FALSE)</f>
        <v>-5.9596953577387146E-3</v>
      </c>
      <c r="J18">
        <f>(Table3[[#This Row],[HomeMargin]]-Table3[[#This Row],[HomeForecast]])^2</f>
        <v>1.0119549086842345</v>
      </c>
    </row>
    <row r="19" spans="1:10" x14ac:dyDescent="0.2">
      <c r="A19" s="4" t="s">
        <v>13</v>
      </c>
      <c r="B19">
        <v>-0.43624947117902363</v>
      </c>
      <c r="D19" t="s">
        <v>28</v>
      </c>
      <c r="E19">
        <f>'NHL2025-26Results'!C15</f>
        <v>1</v>
      </c>
      <c r="F19" t="s">
        <v>29</v>
      </c>
      <c r="G19">
        <f>'NHL2025-26Results'!E15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-0.22131982948841766</v>
      </c>
      <c r="J19">
        <f>(Table3[[#This Row],[HomeMargin]]-Table3[[#This Row],[HomeForecast]])^2</f>
        <v>1.4916221259016178</v>
      </c>
    </row>
    <row r="20" spans="1:10" x14ac:dyDescent="0.2">
      <c r="A20" s="4" t="s">
        <v>34</v>
      </c>
      <c r="B20">
        <v>1.2879210938040288E-2</v>
      </c>
      <c r="D20" t="s">
        <v>30</v>
      </c>
      <c r="E20">
        <f>'NHL2025-26Results'!C16</f>
        <v>3</v>
      </c>
      <c r="F20" t="s">
        <v>14</v>
      </c>
      <c r="G20">
        <f>'NHL2025-26Results'!E16</f>
        <v>4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0.30508979331253694</v>
      </c>
      <c r="J20">
        <f>(Table3[[#This Row],[HomeMargin]]-Table3[[#This Row],[HomeForecast]])^2</f>
        <v>0.48290019535841261</v>
      </c>
    </row>
    <row r="21" spans="1:10" x14ac:dyDescent="0.2">
      <c r="A21" s="4" t="s">
        <v>18</v>
      </c>
      <c r="B21">
        <v>-0.23645483545724041</v>
      </c>
      <c r="D21" t="s">
        <v>31</v>
      </c>
      <c r="E21">
        <f>'NHL2025-26Results'!C17</f>
        <v>1</v>
      </c>
      <c r="F21" t="s">
        <v>32</v>
      </c>
      <c r="G21">
        <f>'NHL2025-26Results'!E17</f>
        <v>3</v>
      </c>
      <c r="H21">
        <f>Table3[[#This Row],[G_1]]-Table3[[#This Row],[G]]</f>
        <v>2</v>
      </c>
      <c r="I21">
        <f>HomeEdge+VLOOKUP(Table3[[#This Row],[Home]],$A$6:$B$38,2,FALSE)-VLOOKUP(Table3[[#This Row],[Visitor]],$A$6:$B$38,2,FALSE)</f>
        <v>-9.2080290616160132E-2</v>
      </c>
      <c r="J21">
        <f>(Table3[[#This Row],[HomeMargin]]-Table3[[#This Row],[HomeForecast]])^2</f>
        <v>4.3767999423845971</v>
      </c>
    </row>
    <row r="22" spans="1:10" x14ac:dyDescent="0.2">
      <c r="A22" s="4" t="s">
        <v>29</v>
      </c>
      <c r="B22">
        <v>-0.74313650334688619</v>
      </c>
      <c r="D22" t="s">
        <v>20</v>
      </c>
      <c r="E22">
        <f>'NHL2025-26Results'!C18</f>
        <v>4</v>
      </c>
      <c r="F22" t="s">
        <v>33</v>
      </c>
      <c r="G22">
        <f>'NHL2025-26Results'!E18</f>
        <v>3</v>
      </c>
      <c r="H22">
        <f>Table3[[#This Row],[G_1]]-Table3[[#This Row],[G]]</f>
        <v>-1</v>
      </c>
      <c r="I22">
        <f>HomeEdge+VLOOKUP(Table3[[#This Row],[Home]],$A$6:$B$38,2,FALSE)-VLOOKUP(Table3[[#This Row],[Visitor]],$A$6:$B$38,2,FALSE)</f>
        <v>-0.43387532531395356</v>
      </c>
      <c r="J22">
        <f>(Table3[[#This Row],[HomeMargin]]-Table3[[#This Row],[HomeForecast]])^2</f>
        <v>0.32049714728838191</v>
      </c>
    </row>
    <row r="23" spans="1:10" x14ac:dyDescent="0.2">
      <c r="A23" s="4" t="s">
        <v>24</v>
      </c>
      <c r="B23">
        <v>-0.52712015292731806</v>
      </c>
      <c r="D23" t="s">
        <v>34</v>
      </c>
      <c r="E23">
        <f>'NHL2025-26Results'!C19</f>
        <v>5</v>
      </c>
      <c r="F23" t="s">
        <v>35</v>
      </c>
      <c r="G23">
        <f>'NHL2025-26Results'!E19</f>
        <v>0</v>
      </c>
      <c r="H23">
        <f>Table3[[#This Row],[G_1]]-Table3[[#This Row],[G]]</f>
        <v>-5</v>
      </c>
      <c r="I23">
        <f>HomeEdge+VLOOKUP(Table3[[#This Row],[Home]],$A$6:$B$38,2,FALSE)-VLOOKUP(Table3[[#This Row],[Visitor]],$A$6:$B$38,2,FALSE)</f>
        <v>-1.1832718880303343</v>
      </c>
      <c r="J23">
        <f>(Table3[[#This Row],[HomeMargin]]-Table3[[#This Row],[HomeForecast]])^2</f>
        <v>14.56741348069953</v>
      </c>
    </row>
    <row r="24" spans="1:10" x14ac:dyDescent="0.2">
      <c r="A24" s="4" t="s">
        <v>30</v>
      </c>
      <c r="B24">
        <v>-0.20908736804509698</v>
      </c>
      <c r="D24" t="s">
        <v>36</v>
      </c>
      <c r="E24">
        <f>'NHL2025-26Results'!C20</f>
        <v>5</v>
      </c>
      <c r="F24" t="s">
        <v>37</v>
      </c>
      <c r="G24">
        <f>'NHL2025-26Results'!E20</f>
        <v>4</v>
      </c>
      <c r="H24">
        <f>Table3[[#This Row],[G_1]]-Table3[[#This Row],[G]]</f>
        <v>-1</v>
      </c>
      <c r="I24">
        <f>HomeEdge+VLOOKUP(Table3[[#This Row],[Home]],$A$6:$B$38,2,FALSE)-VLOOKUP(Table3[[#This Row],[Visitor]],$A$6:$B$38,2,FALSE)</f>
        <v>1.1532827251305793</v>
      </c>
      <c r="J24">
        <f>(Table3[[#This Row],[HomeMargin]]-Table3[[#This Row],[HomeForecast]])^2</f>
        <v>4.6366264943457747</v>
      </c>
    </row>
    <row r="25" spans="1:10" x14ac:dyDescent="0.2">
      <c r="A25" s="4" t="s">
        <v>15</v>
      </c>
      <c r="B25">
        <v>-0.6396663932228257</v>
      </c>
      <c r="D25" t="s">
        <v>16</v>
      </c>
      <c r="E25">
        <f>'NHL2025-26Results'!C21</f>
        <v>1</v>
      </c>
      <c r="F25" t="s">
        <v>38</v>
      </c>
      <c r="G25">
        <f>'NHL2025-26Results'!E21</f>
        <v>5</v>
      </c>
      <c r="H25">
        <f>Table3[[#This Row],[G_1]]-Table3[[#This Row],[G]]</f>
        <v>4</v>
      </c>
      <c r="I25">
        <f>HomeEdge+VLOOKUP(Table3[[#This Row],[Home]],$A$6:$B$38,2,FALSE)-VLOOKUP(Table3[[#This Row],[Visitor]],$A$6:$B$38,2,FALSE)</f>
        <v>-0.37167206455866753</v>
      </c>
      <c r="J25">
        <f>(Table3[[#This Row],[HomeMargin]]-Table3[[#This Row],[HomeForecast]])^2</f>
        <v>19.111516640042648</v>
      </c>
    </row>
    <row r="26" spans="1:10" x14ac:dyDescent="0.2">
      <c r="A26" s="4" t="s">
        <v>36</v>
      </c>
      <c r="B26">
        <v>-0.40390734274709933</v>
      </c>
      <c r="D26" t="s">
        <v>39</v>
      </c>
      <c r="E26">
        <f>'NHL2025-26Results'!C22</f>
        <v>5</v>
      </c>
      <c r="F26" t="s">
        <v>40</v>
      </c>
      <c r="G26">
        <f>'NHL2025-26Results'!E22</f>
        <v>4</v>
      </c>
      <c r="H26">
        <f>Table3[[#This Row],[G_1]]-Table3[[#This Row],[G]]</f>
        <v>-1</v>
      </c>
      <c r="I26">
        <f>HomeEdge+VLOOKUP(Table3[[#This Row],[Home]],$A$6:$B$38,2,FALSE)-VLOOKUP(Table3[[#This Row],[Visitor]],$A$6:$B$38,2,FALSE)</f>
        <v>-0.59054376946806619</v>
      </c>
      <c r="J26">
        <f>(Table3[[#This Row],[HomeMargin]]-Table3[[#This Row],[HomeForecast]])^2</f>
        <v>0.16765440472142012</v>
      </c>
    </row>
    <row r="27" spans="1:10" x14ac:dyDescent="0.2">
      <c r="A27" s="4" t="s">
        <v>27</v>
      </c>
      <c r="B27">
        <v>-0.32182316569099201</v>
      </c>
      <c r="D27" t="s">
        <v>23</v>
      </c>
      <c r="E27">
        <f>'NHL2025-26Results'!C23</f>
        <v>1</v>
      </c>
      <c r="F27" t="s">
        <v>21</v>
      </c>
      <c r="G27">
        <f>'NHL2025-26Results'!E23</f>
        <v>3</v>
      </c>
      <c r="H27">
        <f>Table3[[#This Row],[G_1]]-Table3[[#This Row],[G]]</f>
        <v>2</v>
      </c>
      <c r="I27">
        <f>HomeEdge+VLOOKUP(Table3[[#This Row],[Home]],$A$6:$B$38,2,FALSE)-VLOOKUP(Table3[[#This Row],[Visitor]],$A$6:$B$38,2,FALSE)</f>
        <v>1.3575309588427852E-2</v>
      </c>
      <c r="J27">
        <f>(Table3[[#This Row],[HomeMargin]]-Table3[[#This Row],[HomeForecast]])^2</f>
        <v>3.9458830506767102</v>
      </c>
    </row>
    <row r="28" spans="1:10" x14ac:dyDescent="0.2">
      <c r="A28" s="4" t="s">
        <v>14</v>
      </c>
      <c r="B28">
        <v>3.24300967767114E-5</v>
      </c>
      <c r="D28" t="s">
        <v>27</v>
      </c>
      <c r="E28">
        <f>'NHL2025-26Results'!C24</f>
        <v>3</v>
      </c>
      <c r="F28" t="s">
        <v>25</v>
      </c>
      <c r="G28">
        <f>'NHL2025-26Results'!E24</f>
        <v>4</v>
      </c>
      <c r="H28">
        <f>Table3[[#This Row],[G_1]]-Table3[[#This Row],[G]]</f>
        <v>1</v>
      </c>
      <c r="I28">
        <f>HomeEdge+VLOOKUP(Table3[[#This Row],[Home]],$A$6:$B$38,2,FALSE)-VLOOKUP(Table3[[#This Row],[Visitor]],$A$6:$B$38,2,FALSE)</f>
        <v>0.7130690227713028</v>
      </c>
      <c r="J28">
        <f>(Table3[[#This Row],[HomeMargin]]-Table3[[#This Row],[HomeForecast]])^2</f>
        <v>8.232938569341515E-2</v>
      </c>
    </row>
    <row r="29" spans="1:10" x14ac:dyDescent="0.2">
      <c r="A29" s="4" t="s">
        <v>33</v>
      </c>
      <c r="B29">
        <v>-0.53461960928306718</v>
      </c>
      <c r="D29" t="s">
        <v>35</v>
      </c>
      <c r="E29">
        <f>'NHL2025-26Results'!C25</f>
        <v>4</v>
      </c>
      <c r="F29" t="s">
        <v>16</v>
      </c>
      <c r="G29">
        <f>'NHL2025-26Results'!E25</f>
        <v>2</v>
      </c>
      <c r="H29">
        <f>Table3[[#This Row],[G_1]]-Table3[[#This Row],[G]]</f>
        <v>-2</v>
      </c>
      <c r="I29">
        <f>HomeEdge+VLOOKUP(Table3[[#This Row],[Home]],$A$6:$B$38,2,FALSE)-VLOOKUP(Table3[[#This Row],[Visitor]],$A$6:$B$38,2,FALSE)</f>
        <v>0.57084364229261275</v>
      </c>
      <c r="J29">
        <f>(Table3[[#This Row],[HomeMargin]]-Table3[[#This Row],[HomeForecast]])^2</f>
        <v>6.6092370331163481</v>
      </c>
    </row>
    <row r="30" spans="1:10" x14ac:dyDescent="0.2">
      <c r="A30" s="4" t="s">
        <v>32</v>
      </c>
      <c r="B30">
        <v>-0.57094405545214133</v>
      </c>
      <c r="D30" t="s">
        <v>18</v>
      </c>
      <c r="E30">
        <f>'NHL2025-26Results'!C26</f>
        <v>3</v>
      </c>
      <c r="F30" t="s">
        <v>10</v>
      </c>
      <c r="G30">
        <f>'NHL2025-26Results'!E26</f>
        <v>2</v>
      </c>
      <c r="H30">
        <f>Table3[[#This Row],[G_1]]-Table3[[#This Row],[G]]</f>
        <v>-1</v>
      </c>
      <c r="I30">
        <f>HomeEdge+VLOOKUP(Table3[[#This Row],[Home]],$A$6:$B$38,2,FALSE)-VLOOKUP(Table3[[#This Row],[Visitor]],$A$6:$B$38,2,FALSE)</f>
        <v>-0.3721384127874422</v>
      </c>
      <c r="J30">
        <f>(Table3[[#This Row],[HomeMargin]]-Table3[[#This Row],[HomeForecast]])^2</f>
        <v>0.39421017269707231</v>
      </c>
    </row>
    <row r="31" spans="1:10" x14ac:dyDescent="0.2">
      <c r="A31" s="4" t="s">
        <v>35</v>
      </c>
      <c r="B31">
        <v>-1.2663626722629573</v>
      </c>
      <c r="D31" t="s">
        <v>39</v>
      </c>
      <c r="E31">
        <f>'NHL2025-26Results'!C27</f>
        <v>5</v>
      </c>
      <c r="F31" t="s">
        <v>12</v>
      </c>
      <c r="G31">
        <f>'NHL2025-26Results'!E27</f>
        <v>4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1.0585587169104043</v>
      </c>
      <c r="J31">
        <f>(Table3[[#This Row],[HomeMargin]]-Table3[[#This Row],[HomeForecast]])^2</f>
        <v>4.2376639909678104</v>
      </c>
    </row>
    <row r="32" spans="1:10" x14ac:dyDescent="0.2">
      <c r="A32" s="4" t="s">
        <v>37</v>
      </c>
      <c r="B32">
        <v>0.65340538721281671</v>
      </c>
      <c r="D32" t="s">
        <v>19</v>
      </c>
      <c r="E32">
        <f>'NHL2025-26Results'!C28</f>
        <v>3</v>
      </c>
      <c r="F32" t="s">
        <v>26</v>
      </c>
      <c r="G32">
        <f>'NHL2025-26Results'!E28</f>
        <v>6</v>
      </c>
      <c r="H32">
        <f>Table3[[#This Row],[G_1]]-Table3[[#This Row],[G]]</f>
        <v>3</v>
      </c>
      <c r="I32">
        <f>HomeEdge+VLOOKUP(Table3[[#This Row],[Home]],$A$6:$B$38,2,FALSE)-VLOOKUP(Table3[[#This Row],[Visitor]],$A$6:$B$38,2,FALSE)</f>
        <v>0.24452602798504197</v>
      </c>
      <c r="J32">
        <f>(Table3[[#This Row],[HomeMargin]]-Table3[[#This Row],[HomeForecast]])^2</f>
        <v>7.5926368104518902</v>
      </c>
    </row>
    <row r="33" spans="1:10" x14ac:dyDescent="0.2">
      <c r="A33" s="4" t="s">
        <v>19</v>
      </c>
      <c r="B33">
        <v>-0.32175529201986758</v>
      </c>
      <c r="D33" t="s">
        <v>38</v>
      </c>
      <c r="E33">
        <f>'NHL2025-26Results'!C29</f>
        <v>1</v>
      </c>
      <c r="F33" t="s">
        <v>17</v>
      </c>
      <c r="G33">
        <f>'NHL2025-26Results'!E29</f>
        <v>3</v>
      </c>
      <c r="H33">
        <f>Table3[[#This Row],[G_1]]-Table3[[#This Row],[G]]</f>
        <v>2</v>
      </c>
      <c r="I33">
        <f>HomeEdge+VLOOKUP(Table3[[#This Row],[Home]],$A$6:$B$38,2,FALSE)-VLOOKUP(Table3[[#This Row],[Visitor]],$A$6:$B$38,2,FALSE)</f>
        <v>1.1546896782808309</v>
      </c>
      <c r="J33">
        <f>(Table3[[#This Row],[HomeMargin]]-Table3[[#This Row],[HomeForecast]])^2</f>
        <v>0.71454954000496518</v>
      </c>
    </row>
    <row r="34" spans="1:10" x14ac:dyDescent="0.2">
      <c r="A34" t="s">
        <v>55</v>
      </c>
      <c r="B34">
        <v>0.12055191373383152</v>
      </c>
      <c r="D34" t="s">
        <v>36</v>
      </c>
      <c r="E34">
        <f>'NHL2025-26Results'!C30</f>
        <v>2</v>
      </c>
      <c r="F34" t="s">
        <v>11</v>
      </c>
      <c r="G34">
        <f>'NHL2025-26Results'!E30</f>
        <v>6</v>
      </c>
      <c r="H34">
        <f>Table3[[#This Row],[G_1]]-Table3[[#This Row],[G]]</f>
        <v>4</v>
      </c>
      <c r="I34">
        <f>HomeEdge+VLOOKUP(Table3[[#This Row],[Home]],$A$6:$B$38,2,FALSE)-VLOOKUP(Table3[[#This Row],[Visitor]],$A$6:$B$38,2,FALSE)</f>
        <v>7.6124481698368607E-2</v>
      </c>
      <c r="J34">
        <f>(Table3[[#This Row],[HomeMargin]]-Table3[[#This Row],[HomeForecast]])^2</f>
        <v>15.396799083126899</v>
      </c>
    </row>
    <row r="35" spans="1:10" x14ac:dyDescent="0.2">
      <c r="A35" s="4" t="s">
        <v>38</v>
      </c>
      <c r="B35">
        <v>-1.2591310848703385</v>
      </c>
      <c r="D35" t="s">
        <v>28</v>
      </c>
      <c r="E35">
        <f>'NHL2025-26Results'!C31</f>
        <v>7</v>
      </c>
      <c r="F35" t="s">
        <v>34</v>
      </c>
      <c r="G35">
        <f>'NHL2025-26Results'!E31</f>
        <v>4</v>
      </c>
      <c r="H35">
        <f>Table3[[#This Row],[G_1]]-Table3[[#This Row],[G]]</f>
        <v>-3</v>
      </c>
      <c r="I35">
        <f>HomeEdge+VLOOKUP(Table3[[#This Row],[Home]],$A$6:$B$38,2,FALSE)-VLOOKUP(Table3[[#This Row],[Visitor]],$A$6:$B$38,2,FALSE)</f>
        <v>0.53469588479650876</v>
      </c>
      <c r="J35">
        <f>(Table3[[#This Row],[HomeMargin]]-Table3[[#This Row],[HomeForecast]])^2</f>
        <v>12.494074997997373</v>
      </c>
    </row>
    <row r="36" spans="1:10" x14ac:dyDescent="0.2">
      <c r="A36" s="4" t="s">
        <v>20</v>
      </c>
      <c r="B36">
        <v>-4.774288798450349E-3</v>
      </c>
      <c r="D36" t="s">
        <v>55</v>
      </c>
      <c r="E36">
        <f>'NHL2025-26Results'!C32</f>
        <v>3</v>
      </c>
      <c r="F36" t="s">
        <v>29</v>
      </c>
      <c r="G36">
        <f>'NHL2025-26Results'!E32</f>
        <v>2</v>
      </c>
      <c r="H36">
        <f>Table3[[#This Row],[G_1]]-Table3[[#This Row],[G]]</f>
        <v>-1</v>
      </c>
      <c r="I36">
        <f>HomeEdge+VLOOKUP(Table3[[#This Row],[Home]],$A$6:$B$38,2,FALSE)-VLOOKUP(Table3[[#This Row],[Visitor]],$A$6:$B$38,2,FALSE)</f>
        <v>-0.76771842191005446</v>
      </c>
      <c r="J36">
        <f>(Table3[[#This Row],[HomeMargin]]-Table3[[#This Row],[HomeForecast]])^2</f>
        <v>5.3954731519955466E-2</v>
      </c>
    </row>
    <row r="37" spans="1:10" x14ac:dyDescent="0.2">
      <c r="A37" s="4" t="s">
        <v>22</v>
      </c>
      <c r="B37">
        <v>-8.9159851516330005E-2</v>
      </c>
      <c r="D37" t="s">
        <v>22</v>
      </c>
      <c r="E37">
        <f>'NHL2025-26Results'!C33</f>
        <v>4</v>
      </c>
      <c r="F37" t="s">
        <v>30</v>
      </c>
      <c r="G37">
        <f>'NHL2025-26Results'!E33</f>
        <v>2</v>
      </c>
      <c r="H37">
        <f>Table3[[#This Row],[G_1]]-Table3[[#This Row],[G]]</f>
        <v>-2</v>
      </c>
      <c r="I37">
        <f>HomeEdge+VLOOKUP(Table3[[#This Row],[Home]],$A$6:$B$38,2,FALSE)-VLOOKUP(Table3[[#This Row],[Visitor]],$A$6:$B$38,2,FALSE)</f>
        <v>-2.3957521358103723E-2</v>
      </c>
      <c r="J37">
        <f>(Table3[[#This Row],[HomeMargin]]-Table3[[#This Row],[HomeForecast]])^2</f>
        <v>3.904743877397209</v>
      </c>
    </row>
    <row r="38" spans="1:10" x14ac:dyDescent="0.2">
      <c r="A38" s="4" t="s">
        <v>40</v>
      </c>
      <c r="B38">
        <v>-0.47391784202962389</v>
      </c>
      <c r="D38" t="s">
        <v>15</v>
      </c>
      <c r="E38">
        <f>'NHL2025-26Results'!C34</f>
        <v>6</v>
      </c>
      <c r="F38" t="s">
        <v>14</v>
      </c>
      <c r="G38">
        <f>'NHL2025-26Results'!E34</f>
        <v>1</v>
      </c>
      <c r="H38">
        <f>Table3[[#This Row],[G_1]]-Table3[[#This Row],[G]]</f>
        <v>-5</v>
      </c>
      <c r="I38">
        <f>HomeEdge+VLOOKUP(Table3[[#This Row],[Home]],$A$6:$B$38,2,FALSE)-VLOOKUP(Table3[[#This Row],[Visitor]],$A$6:$B$38,2,FALSE)</f>
        <v>0.73566881849026566</v>
      </c>
      <c r="J38">
        <f>(Table3[[#This Row],[HomeMargin]]-Table3[[#This Row],[HomeForecast]])^2</f>
        <v>32.897896795401515</v>
      </c>
    </row>
    <row r="39" spans="1:10" x14ac:dyDescent="0.2">
      <c r="D39" t="s">
        <v>20</v>
      </c>
      <c r="E39">
        <f>'NHL2025-26Results'!C35</f>
        <v>1</v>
      </c>
      <c r="F39" t="s">
        <v>32</v>
      </c>
      <c r="G39">
        <f>'NHL2025-26Results'!E35</f>
        <v>2</v>
      </c>
      <c r="H39">
        <f>Table3[[#This Row],[G_1]]-Table3[[#This Row],[G]]</f>
        <v>1</v>
      </c>
      <c r="I39">
        <f>HomeEdge+VLOOKUP(Table3[[#This Row],[Home]],$A$6:$B$38,2,FALSE)-VLOOKUP(Table3[[#This Row],[Visitor]],$A$6:$B$38,2,FALSE)</f>
        <v>-0.47019977148302772</v>
      </c>
      <c r="J39">
        <f>(Table3[[#This Row],[HomeMargin]]-Table3[[#This Row],[HomeForecast]])^2</f>
        <v>2.1614873680687468</v>
      </c>
    </row>
    <row r="40" spans="1:10" x14ac:dyDescent="0.2">
      <c r="D40" t="s">
        <v>31</v>
      </c>
      <c r="E40">
        <f>'NHL2025-26Results'!C36</f>
        <v>7</v>
      </c>
      <c r="F40" t="s">
        <v>33</v>
      </c>
      <c r="G40">
        <f>'NHL2025-26Results'!E36</f>
        <v>6</v>
      </c>
      <c r="H40">
        <f>Table3[[#This Row],[G_1]]-Table3[[#This Row],[G]]</f>
        <v>-1</v>
      </c>
      <c r="I40">
        <f>HomeEdge+VLOOKUP(Table3[[#This Row],[Home]],$A$6:$B$38,2,FALSE)-VLOOKUP(Table3[[#This Row],[Visitor]],$A$6:$B$38,2,FALSE)</f>
        <v>-5.5755844447085978E-2</v>
      </c>
      <c r="J40">
        <f>(Table3[[#This Row],[HomeMargin]]-Table3[[#This Row],[HomeForecast]])^2</f>
        <v>0.89159702529583562</v>
      </c>
    </row>
    <row r="41" spans="1:10" x14ac:dyDescent="0.2">
      <c r="D41" t="s">
        <v>24</v>
      </c>
      <c r="E41">
        <f>'NHL2025-26Results'!C37</f>
        <v>5</v>
      </c>
      <c r="F41" t="s">
        <v>37</v>
      </c>
      <c r="G41">
        <f>'NHL2025-26Results'!E37</f>
        <v>3</v>
      </c>
      <c r="H41">
        <f>Table3[[#This Row],[G_1]]-Table3[[#This Row],[G]]</f>
        <v>-2</v>
      </c>
      <c r="I41">
        <f>HomeEdge+VLOOKUP(Table3[[#This Row],[Home]],$A$6:$B$38,2,FALSE)-VLOOKUP(Table3[[#This Row],[Visitor]],$A$6:$B$38,2,FALSE)</f>
        <v>1.2764955353107981</v>
      </c>
      <c r="J41">
        <f>(Table3[[#This Row],[HomeMargin]]-Table3[[#This Row],[HomeForecast]])^2</f>
        <v>10.735422992911593</v>
      </c>
    </row>
    <row r="42" spans="1:10" x14ac:dyDescent="0.2">
      <c r="D42" t="s">
        <v>13</v>
      </c>
      <c r="E42">
        <f>'NHL2025-26Results'!C38</f>
        <v>2</v>
      </c>
      <c r="F42" t="s">
        <v>40</v>
      </c>
      <c r="G42">
        <f>'NHL2025-26Results'!E38</f>
        <v>3</v>
      </c>
      <c r="H42">
        <f>Table3[[#This Row],[G_1]]-Table3[[#This Row],[G]]</f>
        <v>1</v>
      </c>
      <c r="I42">
        <f>HomeEdge+VLOOKUP(Table3[[#This Row],[Home]],$A$6:$B$38,2,FALSE)-VLOOKUP(Table3[[#This Row],[Visitor]],$A$6:$B$38,2,FALSE)</f>
        <v>5.8301624320062972E-2</v>
      </c>
      <c r="J42">
        <f>(Table3[[#This Row],[HomeMargin]]-Table3[[#This Row],[HomeForecast]])^2</f>
        <v>0.88679583075823187</v>
      </c>
    </row>
    <row r="43" spans="1:10" x14ac:dyDescent="0.2">
      <c r="D43" t="s">
        <v>22</v>
      </c>
      <c r="E43">
        <f>'NHL2025-26Results'!C39</f>
        <v>1</v>
      </c>
      <c r="F43" t="s">
        <v>15</v>
      </c>
      <c r="G43">
        <f>'NHL2025-26Results'!E39</f>
        <v>0</v>
      </c>
      <c r="H43">
        <f>Table3[[#This Row],[G_1]]-Table3[[#This Row],[G]]</f>
        <v>-1</v>
      </c>
      <c r="I43">
        <f>HomeEdge+VLOOKUP(Table3[[#This Row],[Home]],$A$6:$B$38,2,FALSE)-VLOOKUP(Table3[[#This Row],[Visitor]],$A$6:$B$38,2,FALSE)</f>
        <v>-0.45453654653583242</v>
      </c>
      <c r="J43">
        <f>(Table3[[#This Row],[HomeMargin]]-Table3[[#This Row],[HomeForecast]])^2</f>
        <v>0.29753037906505614</v>
      </c>
    </row>
    <row r="44" spans="1:10" x14ac:dyDescent="0.2">
      <c r="D44" t="s">
        <v>37</v>
      </c>
      <c r="E44">
        <f>'NHL2025-26Results'!C40</f>
        <v>4</v>
      </c>
      <c r="F44" t="s">
        <v>21</v>
      </c>
      <c r="G44">
        <f>'NHL2025-26Results'!E40</f>
        <v>3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-0.61248330690433006</v>
      </c>
      <c r="J44">
        <f>(Table3[[#This Row],[HomeMargin]]-Table3[[#This Row],[HomeForecast]])^2</f>
        <v>0.15016918742780364</v>
      </c>
    </row>
    <row r="45" spans="1:10" x14ac:dyDescent="0.2">
      <c r="D45" t="s">
        <v>12</v>
      </c>
      <c r="E45">
        <f>'NHL2025-26Results'!C41</f>
        <v>3</v>
      </c>
      <c r="F45" t="s">
        <v>23</v>
      </c>
      <c r="G45">
        <f>'NHL2025-26Results'!E41</f>
        <v>1</v>
      </c>
      <c r="H45">
        <f>Table3[[#This Row],[G_1]]-Table3[[#This Row],[G]]</f>
        <v>-2</v>
      </c>
      <c r="I45">
        <f>HomeEdge+VLOOKUP(Table3[[#This Row],[Home]],$A$6:$B$38,2,FALSE)-VLOOKUP(Table3[[#This Row],[Visitor]],$A$6:$B$38,2,FALSE)</f>
        <v>-1.0518678784581246</v>
      </c>
      <c r="J45">
        <f>(Table3[[#This Row],[HomeMargin]]-Table3[[#This Row],[HomeForecast]])^2</f>
        <v>0.89895451989949759</v>
      </c>
    </row>
    <row r="46" spans="1:10" x14ac:dyDescent="0.2">
      <c r="D46" t="s">
        <v>24</v>
      </c>
      <c r="E46">
        <f>'NHL2025-26Results'!C42</f>
        <v>3</v>
      </c>
      <c r="F46" t="s">
        <v>28</v>
      </c>
      <c r="G46">
        <f>'NHL2025-26Results'!E42</f>
        <v>2</v>
      </c>
      <c r="H46">
        <f>Table3[[#This Row],[G_1]]-Table3[[#This Row],[G]]</f>
        <v>-1</v>
      </c>
      <c r="I46">
        <f>HomeEdge+VLOOKUP(Table3[[#This Row],[Home]],$A$6:$B$38,2,FALSE)-VLOOKUP(Table3[[#This Row],[Visitor]],$A$6:$B$38,2,FALSE)</f>
        <v>0.19724346941017606</v>
      </c>
      <c r="J46">
        <f>(Table3[[#This Row],[HomeMargin]]-Table3[[#This Row],[HomeForecast]])^2</f>
        <v>1.4333919250453153</v>
      </c>
    </row>
    <row r="47" spans="1:10" x14ac:dyDescent="0.2">
      <c r="D47" t="s">
        <v>55</v>
      </c>
      <c r="E47">
        <f>'NHL2025-26Results'!C43</f>
        <v>1</v>
      </c>
      <c r="F47" t="s">
        <v>10</v>
      </c>
      <c r="G47">
        <f>'NHL2025-26Results'!E43</f>
        <v>3</v>
      </c>
      <c r="H47">
        <f>Table3[[#This Row],[G_1]]-Table3[[#This Row],[G]]</f>
        <v>2</v>
      </c>
      <c r="I47">
        <f>HomeEdge+VLOOKUP(Table3[[#This Row],[Home]],$A$6:$B$38,2,FALSE)-VLOOKUP(Table3[[#This Row],[Visitor]],$A$6:$B$38,2,FALSE)</f>
        <v>-0.7291451619785142</v>
      </c>
      <c r="J47">
        <f>(Table3[[#This Row],[HomeMargin]]-Table3[[#This Row],[HomeForecast]])^2</f>
        <v>7.4482333151507296</v>
      </c>
    </row>
    <row r="48" spans="1:10" x14ac:dyDescent="0.2">
      <c r="D48" t="s">
        <v>13</v>
      </c>
      <c r="E48">
        <f>'NHL2025-26Results'!C44</f>
        <v>3</v>
      </c>
      <c r="F48" t="s">
        <v>34</v>
      </c>
      <c r="G48">
        <f>'NHL2025-26Results'!E44</f>
        <v>4</v>
      </c>
      <c r="H48">
        <f>Table3[[#This Row],[G_1]]-Table3[[#This Row],[G]]</f>
        <v>1</v>
      </c>
      <c r="I48">
        <f>HomeEdge+VLOOKUP(Table3[[#This Row],[Home]],$A$6:$B$38,2,FALSE)-VLOOKUP(Table3[[#This Row],[Visitor]],$A$6:$B$38,2,FALSE)</f>
        <v>0.54509867728772721</v>
      </c>
      <c r="J48">
        <f>(Table3[[#This Row],[HomeMargin]]-Table3[[#This Row],[HomeForecast]])^2</f>
        <v>0.20693521340537535</v>
      </c>
    </row>
    <row r="49" spans="4:10" x14ac:dyDescent="0.2">
      <c r="D49" t="s">
        <v>40</v>
      </c>
      <c r="E49">
        <f>'NHL2025-26Results'!C45</f>
        <v>5</v>
      </c>
      <c r="F49" t="s">
        <v>30</v>
      </c>
      <c r="G49">
        <f>'NHL2025-26Results'!E45</f>
        <v>2</v>
      </c>
      <c r="H49">
        <f>Table3[[#This Row],[G_1]]-Table3[[#This Row],[G]]</f>
        <v>-3</v>
      </c>
      <c r="I49">
        <f>HomeEdge+VLOOKUP(Table3[[#This Row],[Home]],$A$6:$B$38,2,FALSE)-VLOOKUP(Table3[[#This Row],[Visitor]],$A$6:$B$38,2,FALSE)</f>
        <v>0.36080046915519015</v>
      </c>
      <c r="J49">
        <f>(Table3[[#This Row],[HomeMargin]]-Table3[[#This Row],[HomeForecast]])^2</f>
        <v>11.294979793473745</v>
      </c>
    </row>
    <row r="50" spans="4:10" x14ac:dyDescent="0.2">
      <c r="D50" t="s">
        <v>29</v>
      </c>
      <c r="E50">
        <f>'NHL2025-26Results'!C46</f>
        <v>4</v>
      </c>
      <c r="F50" t="s">
        <v>36</v>
      </c>
      <c r="G50">
        <f>'NHL2025-26Results'!E46</f>
        <v>1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0.4351991557704501</v>
      </c>
      <c r="J50">
        <f>(Table3[[#This Row],[HomeMargin]]-Table3[[#This Row],[HomeForecast]])^2</f>
        <v>11.800593239806014</v>
      </c>
    </row>
    <row r="51" spans="4:10" x14ac:dyDescent="0.2">
      <c r="D51" t="s">
        <v>11</v>
      </c>
      <c r="E51">
        <f>'NHL2025-26Results'!C47</f>
        <v>2</v>
      </c>
      <c r="F51" t="s">
        <v>27</v>
      </c>
      <c r="G51">
        <f>'NHL2025-26Results'!E47</f>
        <v>5</v>
      </c>
      <c r="H51">
        <f>Table3[[#This Row],[G_1]]-Table3[[#This Row],[G]]</f>
        <v>3</v>
      </c>
      <c r="I51">
        <f>HomeEdge+VLOOKUP(Table3[[#This Row],[Home]],$A$6:$B$38,2,FALSE)-VLOOKUP(Table3[[#This Row],[Visitor]],$A$6:$B$38,2,FALSE)</f>
        <v>0.19789968569906519</v>
      </c>
      <c r="J51">
        <f>(Table3[[#This Row],[HomeMargin]]-Table3[[#This Row],[HomeForecast]])^2</f>
        <v>7.8517661714053979</v>
      </c>
    </row>
    <row r="52" spans="4:10" x14ac:dyDescent="0.2">
      <c r="D52" t="s">
        <v>26</v>
      </c>
      <c r="E52">
        <f>'NHL2025-26Results'!C48</f>
        <v>3</v>
      </c>
      <c r="F52" t="s">
        <v>19</v>
      </c>
      <c r="G52">
        <f>'NHL2025-26Results'!E48</f>
        <v>2</v>
      </c>
      <c r="H52">
        <f>Table3[[#This Row],[G_1]]-Table3[[#This Row],[G]]</f>
        <v>-1</v>
      </c>
      <c r="I52">
        <f>HomeEdge+VLOOKUP(Table3[[#This Row],[Home]],$A$6:$B$38,2,FALSE)-VLOOKUP(Table3[[#This Row],[Visitor]],$A$6:$B$38,2,FALSE)</f>
        <v>-5.25860376437155E-2</v>
      </c>
      <c r="J52">
        <f>(Table3[[#This Row],[HomeMargin]]-Table3[[#This Row],[HomeForecast]])^2</f>
        <v>0.89759321606763531</v>
      </c>
    </row>
    <row r="53" spans="4:10" x14ac:dyDescent="0.2">
      <c r="D53" t="s">
        <v>35</v>
      </c>
      <c r="E53">
        <f>'NHL2025-26Results'!C49</f>
        <v>5</v>
      </c>
      <c r="F53" t="s">
        <v>38</v>
      </c>
      <c r="G53">
        <f>'NHL2025-26Results'!E49</f>
        <v>2</v>
      </c>
      <c r="H53">
        <f>Table3[[#This Row],[G_1]]-Table3[[#This Row],[G]]</f>
        <v>-3</v>
      </c>
      <c r="I53">
        <f>HomeEdge+VLOOKUP(Table3[[#This Row],[Home]],$A$6:$B$38,2,FALSE)-VLOOKUP(Table3[[#This Row],[Visitor]],$A$6:$B$38,2,FALSE)</f>
        <v>0.10320158256328194</v>
      </c>
      <c r="J53">
        <f>(Table3[[#This Row],[HomeMargin]]-Table3[[#This Row],[HomeForecast]])^2</f>
        <v>9.6298600620232584</v>
      </c>
    </row>
    <row r="54" spans="4:10" x14ac:dyDescent="0.2">
      <c r="D54" t="s">
        <v>14</v>
      </c>
      <c r="E54">
        <f>'NHL2025-26Results'!C50</f>
        <v>3</v>
      </c>
      <c r="F54" t="s">
        <v>31</v>
      </c>
      <c r="G54">
        <f>'NHL2025-26Results'!E50</f>
        <v>4</v>
      </c>
      <c r="H54">
        <f>Table3[[#This Row],[G_1]]-Table3[[#This Row],[G]]</f>
        <v>1</v>
      </c>
      <c r="I54">
        <f>HomeEdge+VLOOKUP(Table3[[#This Row],[Home]],$A$6:$B$38,2,FALSE)-VLOOKUP(Table3[[#This Row],[Visitor]],$A$6:$B$38,2,FALSE)</f>
        <v>-0.28695620459143145</v>
      </c>
      <c r="J54">
        <f>(Table3[[#This Row],[HomeMargin]]-Table3[[#This Row],[HomeForecast]])^2</f>
        <v>1.6562562725363821</v>
      </c>
    </row>
    <row r="55" spans="4:10" x14ac:dyDescent="0.2">
      <c r="D55" t="s">
        <v>20</v>
      </c>
      <c r="E55">
        <f>'NHL2025-26Results'!C51</f>
        <v>4</v>
      </c>
      <c r="F55" t="s">
        <v>16</v>
      </c>
      <c r="G55">
        <f>'NHL2025-26Results'!E51</f>
        <v>2</v>
      </c>
      <c r="H55">
        <f>Table3[[#This Row],[G_1]]-Table3[[#This Row],[G]]</f>
        <v>-2</v>
      </c>
      <c r="I55">
        <f>HomeEdge+VLOOKUP(Table3[[#This Row],[Home]],$A$6:$B$38,2,FALSE)-VLOOKUP(Table3[[#This Row],[Visitor]],$A$6:$B$38,2,FALSE)</f>
        <v>-0.69074474117189422</v>
      </c>
      <c r="J55">
        <f>(Table3[[#This Row],[HomeMargin]]-Table3[[#This Row],[HomeForecast]])^2</f>
        <v>1.7141493327690505</v>
      </c>
    </row>
    <row r="56" spans="4:10" x14ac:dyDescent="0.2">
      <c r="D56" t="s">
        <v>34</v>
      </c>
      <c r="E56">
        <f>'NHL2025-26Results'!C52</f>
        <v>2</v>
      </c>
      <c r="F56" t="s">
        <v>39</v>
      </c>
      <c r="G56">
        <f>'NHL2025-26Results'!E52</f>
        <v>5</v>
      </c>
      <c r="H56">
        <f>Table3[[#This Row],[G_1]]-Table3[[#This Row],[G]]</f>
        <v>3</v>
      </c>
      <c r="I56">
        <f>HomeEdge+VLOOKUP(Table3[[#This Row],[Home]],$A$6:$B$38,2,FALSE)-VLOOKUP(Table3[[#This Row],[Visitor]],$A$6:$B$38,2,FALSE)</f>
        <v>0.29568670684172843</v>
      </c>
      <c r="J56">
        <f>(Table3[[#This Row],[HomeMargin]]-Table3[[#This Row],[HomeForecast]])^2</f>
        <v>7.3133103875525345</v>
      </c>
    </row>
    <row r="57" spans="4:10" x14ac:dyDescent="0.2">
      <c r="D57" t="s">
        <v>32</v>
      </c>
      <c r="E57">
        <f>'NHL2025-26Results'!C53</f>
        <v>4</v>
      </c>
      <c r="F57" t="s">
        <v>18</v>
      </c>
      <c r="G57">
        <f>'NHL2025-26Results'!E53</f>
        <v>5</v>
      </c>
      <c r="H57">
        <f>Table3[[#This Row],[G_1]]-Table3[[#This Row],[G]]</f>
        <v>1</v>
      </c>
      <c r="I57">
        <f>HomeEdge+VLOOKUP(Table3[[#This Row],[Home]],$A$6:$B$38,2,FALSE)-VLOOKUP(Table3[[#This Row],[Visitor]],$A$6:$B$38,2,FALSE)</f>
        <v>0.43045921516556418</v>
      </c>
      <c r="J57">
        <f>(Table3[[#This Row],[HomeMargin]]-Table3[[#This Row],[HomeForecast]])^2</f>
        <v>0.32437670558982512</v>
      </c>
    </row>
    <row r="58" spans="4:10" x14ac:dyDescent="0.2">
      <c r="D58" t="s">
        <v>17</v>
      </c>
      <c r="E58">
        <f>'NHL2025-26Results'!C54</f>
        <v>2</v>
      </c>
      <c r="F58" t="s">
        <v>15</v>
      </c>
      <c r="G58">
        <f>'NHL2025-26Results'!E54</f>
        <v>0</v>
      </c>
      <c r="H58">
        <f>Table3[[#This Row],[G_1]]-Table3[[#This Row],[G]]</f>
        <v>-2</v>
      </c>
      <c r="I58">
        <f>HomeEdge+VLOOKUP(Table3[[#This Row],[Home]],$A$6:$B$38,2,FALSE)-VLOOKUP(Table3[[#This Row],[Visitor]],$A$6:$B$38,2,FALSE)</f>
        <v>-0.34328499629199155</v>
      </c>
      <c r="J58">
        <f>(Table3[[#This Row],[HomeMargin]]-Table3[[#This Row],[HomeForecast]])^2</f>
        <v>2.7447046035112268</v>
      </c>
    </row>
    <row r="59" spans="4:10" x14ac:dyDescent="0.2">
      <c r="D59" t="s">
        <v>25</v>
      </c>
      <c r="E59">
        <f>'NHL2025-26Results'!C55</f>
        <v>5</v>
      </c>
      <c r="F59" t="s">
        <v>33</v>
      </c>
      <c r="G59">
        <f>'NHL2025-26Results'!E55</f>
        <v>1</v>
      </c>
      <c r="H59">
        <f>Table3[[#This Row],[G_1]]-Table3[[#This Row],[G]]</f>
        <v>-4</v>
      </c>
      <c r="I59">
        <f>HomeEdge+VLOOKUP(Table3[[#This Row],[Home]],$A$6:$B$38,2,FALSE)-VLOOKUP(Table3[[#This Row],[Visitor]],$A$6:$B$38,2,FALSE)</f>
        <v>-0.73392547602205149</v>
      </c>
      <c r="J59">
        <f>(Table3[[#This Row],[HomeMargin]]-Table3[[#This Row],[HomeForecast]])^2</f>
        <v>10.667242796177785</v>
      </c>
    </row>
    <row r="60" spans="4:10" x14ac:dyDescent="0.2">
      <c r="D60" t="s">
        <v>29</v>
      </c>
      <c r="E60">
        <f>'NHL2025-26Results'!C56</f>
        <v>4</v>
      </c>
      <c r="F60" t="s">
        <v>19</v>
      </c>
      <c r="G60">
        <f>'NHL2025-26Results'!E56</f>
        <v>7</v>
      </c>
      <c r="H60">
        <f>Table3[[#This Row],[G_1]]-Table3[[#This Row],[G]]</f>
        <v>3</v>
      </c>
      <c r="I60">
        <f>HomeEdge+VLOOKUP(Table3[[#This Row],[Home]],$A$6:$B$38,2,FALSE)-VLOOKUP(Table3[[#This Row],[Visitor]],$A$6:$B$38,2,FALSE)</f>
        <v>0.51735120649768185</v>
      </c>
      <c r="J60">
        <f>(Table3[[#This Row],[HomeMargin]]-Table3[[#This Row],[HomeForecast]])^2</f>
        <v>6.1635450318785168</v>
      </c>
    </row>
    <row r="61" spans="4:10" x14ac:dyDescent="0.2">
      <c r="D61" t="s">
        <v>37</v>
      </c>
      <c r="E61">
        <f>'NHL2025-26Results'!C57</f>
        <v>2</v>
      </c>
      <c r="F61" t="s">
        <v>22</v>
      </c>
      <c r="G61">
        <f>'NHL2025-26Results'!E57</f>
        <v>3</v>
      </c>
      <c r="H61">
        <f>Table3[[#This Row],[G_1]]-Table3[[#This Row],[G]]</f>
        <v>1</v>
      </c>
      <c r="I61">
        <f>HomeEdge+VLOOKUP(Table3[[#This Row],[Home]],$A$6:$B$38,2,FALSE)-VLOOKUP(Table3[[#This Row],[Visitor]],$A$6:$B$38,2,FALSE)</f>
        <v>-0.64659524355848341</v>
      </c>
      <c r="J61">
        <f>(Table3[[#This Row],[HomeMargin]]-Table3[[#This Row],[HomeForecast]])^2</f>
        <v>2.7112758961094214</v>
      </c>
    </row>
    <row r="62" spans="4:10" x14ac:dyDescent="0.2">
      <c r="D62" t="s">
        <v>36</v>
      </c>
      <c r="E62">
        <f>'NHL2025-26Results'!C58</f>
        <v>4</v>
      </c>
      <c r="F62" t="s">
        <v>23</v>
      </c>
      <c r="G62">
        <f>'NHL2025-26Results'!E58</f>
        <v>8</v>
      </c>
      <c r="H62">
        <f>Table3[[#This Row],[G_1]]-Table3[[#This Row],[G]]</f>
        <v>4</v>
      </c>
      <c r="I62">
        <f>HomeEdge+VLOOKUP(Table3[[#This Row],[Home]],$A$6:$B$38,2,FALSE)-VLOOKUP(Table3[[#This Row],[Visitor]],$A$6:$B$38,2,FALSE)</f>
        <v>0.52722410863782132</v>
      </c>
      <c r="J62">
        <f>(Table3[[#This Row],[HomeMargin]]-Table3[[#This Row],[HomeForecast]])^2</f>
        <v>12.060172391626375</v>
      </c>
    </row>
    <row r="63" spans="4:10" x14ac:dyDescent="0.2">
      <c r="D63" t="s">
        <v>11</v>
      </c>
      <c r="E63">
        <f>'NHL2025-26Results'!C59</f>
        <v>1</v>
      </c>
      <c r="F63" t="s">
        <v>26</v>
      </c>
      <c r="G63">
        <f>'NHL2025-26Results'!E59</f>
        <v>4</v>
      </c>
      <c r="H63">
        <f>Table3[[#This Row],[G_1]]-Table3[[#This Row],[G]]</f>
        <v>3</v>
      </c>
      <c r="I63">
        <f>HomeEdge+VLOOKUP(Table3[[#This Row],[Home]],$A$6:$B$38,2,FALSE)-VLOOKUP(Table3[[#This Row],[Visitor]],$A$6:$B$38,2,FALSE)</f>
        <v>0.34652359218456835</v>
      </c>
      <c r="J63">
        <f>(Table3[[#This Row],[HomeMargin]]-Table3[[#This Row],[HomeForecast]])^2</f>
        <v>7.0409370468330863</v>
      </c>
    </row>
    <row r="64" spans="4:10" x14ac:dyDescent="0.2">
      <c r="D64" t="s">
        <v>10</v>
      </c>
      <c r="E64">
        <f>'NHL2025-26Results'!C60</f>
        <v>8</v>
      </c>
      <c r="F64" t="s">
        <v>35</v>
      </c>
      <c r="G64">
        <f>'NHL2025-26Results'!E60</f>
        <v>3</v>
      </c>
      <c r="H64">
        <f>Table3[[#This Row],[G_1]]-Table3[[#This Row],[G]]</f>
        <v>-5</v>
      </c>
      <c r="I64">
        <f>HomeEdge+VLOOKUP(Table3[[#This Row],[Home]],$A$6:$B$38,2,FALSE)-VLOOKUP(Table3[[#This Row],[Visitor]],$A$6:$B$38,2,FALSE)</f>
        <v>-0.46582943367694818</v>
      </c>
      <c r="J64">
        <f>(Table3[[#This Row],[HomeMargin]]-Table3[[#This Row],[HomeForecast]])^2</f>
        <v>20.558702724510308</v>
      </c>
    </row>
    <row r="65" spans="4:10" x14ac:dyDescent="0.2">
      <c r="D65" t="s">
        <v>16</v>
      </c>
      <c r="E65">
        <f>'NHL2025-26Results'!C61</f>
        <v>1</v>
      </c>
      <c r="F65" t="s">
        <v>55</v>
      </c>
      <c r="G65">
        <f>'NHL2025-26Results'!E61</f>
        <v>3</v>
      </c>
      <c r="H65">
        <f>Table3[[#This Row],[G_1]]-Table3[[#This Row],[G]]</f>
        <v>2</v>
      </c>
      <c r="I65">
        <f>HomeEdge+VLOOKUP(Table3[[#This Row],[Home]],$A$6:$B$38,2,FALSE)-VLOOKUP(Table3[[#This Row],[Visitor]],$A$6:$B$38,2,FALSE)</f>
        <v>1.0080109340455026</v>
      </c>
      <c r="J65">
        <f>(Table3[[#This Row],[HomeMargin]]-Table3[[#This Row],[HomeForecast]])^2</f>
        <v>0.98404230697327622</v>
      </c>
    </row>
    <row r="66" spans="4:10" x14ac:dyDescent="0.2">
      <c r="D66" t="s">
        <v>25</v>
      </c>
      <c r="E66">
        <f>'NHL2025-26Results'!C62</f>
        <v>4</v>
      </c>
      <c r="F66" t="s">
        <v>31</v>
      </c>
      <c r="G66">
        <f>'NHL2025-26Results'!E62</f>
        <v>1</v>
      </c>
      <c r="H66">
        <f>Table3[[#This Row],[G_1]]-Table3[[#This Row],[G]]</f>
        <v>-3</v>
      </c>
      <c r="I66">
        <f>HomeEdge+VLOOKUP(Table3[[#This Row],[Home]],$A$6:$B$38,2,FALSE)-VLOOKUP(Table3[[#This Row],[Visitor]],$A$6:$B$38,2,FALSE)</f>
        <v>-0.58219963640430228</v>
      </c>
      <c r="J66">
        <f>(Table3[[#This Row],[HomeMargin]]-Table3[[#This Row],[HomeForecast]])^2</f>
        <v>5.8457585982034885</v>
      </c>
    </row>
    <row r="67" spans="4:10" x14ac:dyDescent="0.2">
      <c r="D67" t="s">
        <v>12</v>
      </c>
      <c r="E67">
        <f>'NHL2025-26Results'!C63</f>
        <v>4</v>
      </c>
      <c r="F67" t="s">
        <v>28</v>
      </c>
      <c r="G67">
        <f>'NHL2025-26Results'!E63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-1.5050613278659886</v>
      </c>
      <c r="J67">
        <f>(Table3[[#This Row],[HomeMargin]]-Table3[[#This Row],[HomeForecast]])^2</f>
        <v>2.2348416334418015</v>
      </c>
    </row>
    <row r="68" spans="4:10" x14ac:dyDescent="0.2">
      <c r="D68" t="s">
        <v>38</v>
      </c>
      <c r="E68">
        <f>'NHL2025-26Results'!C64</f>
        <v>5</v>
      </c>
      <c r="F68" t="s">
        <v>39</v>
      </c>
      <c r="G68">
        <f>'NHL2025-26Results'!E64</f>
        <v>3</v>
      </c>
      <c r="H68">
        <f>Table3[[#This Row],[G_1]]-Table3[[#This Row],[G]]</f>
        <v>-2</v>
      </c>
      <c r="I68">
        <f>HomeEdge+VLOOKUP(Table3[[#This Row],[Home]],$A$6:$B$38,2,FALSE)-VLOOKUP(Table3[[#This Row],[Visitor]],$A$6:$B$38,2,FALSE)</f>
        <v>1.5676970026501071</v>
      </c>
      <c r="J68">
        <f>(Table3[[#This Row],[HomeMargin]]-Table3[[#This Row],[HomeForecast]])^2</f>
        <v>12.728461902718559</v>
      </c>
    </row>
    <row r="69" spans="4:10" x14ac:dyDescent="0.2">
      <c r="D69" t="s">
        <v>14</v>
      </c>
      <c r="E69">
        <f>'NHL2025-26Results'!C65</f>
        <v>4</v>
      </c>
      <c r="F69" t="s">
        <v>13</v>
      </c>
      <c r="G69">
        <f>'NHL2025-26Results'!E65</f>
        <v>2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-0.34031190610513712</v>
      </c>
      <c r="J69">
        <f>(Table3[[#This Row],[HomeMargin]]-Table3[[#This Row],[HomeForecast]])^2</f>
        <v>2.7545645690163632</v>
      </c>
    </row>
    <row r="70" spans="4:10" x14ac:dyDescent="0.2">
      <c r="D70" t="s">
        <v>29</v>
      </c>
      <c r="E70">
        <f>'NHL2025-26Results'!C66</f>
        <v>2</v>
      </c>
      <c r="F70" t="s">
        <v>18</v>
      </c>
      <c r="G70">
        <f>'NHL2025-26Results'!E66</f>
        <v>3</v>
      </c>
      <c r="H70">
        <f>Table3[[#This Row],[G_1]]-Table3[[#This Row],[G]]</f>
        <v>1</v>
      </c>
      <c r="I70">
        <f>HomeEdge+VLOOKUP(Table3[[#This Row],[Home]],$A$6:$B$38,2,FALSE)-VLOOKUP(Table3[[#This Row],[Visitor]],$A$6:$B$38,2,FALSE)</f>
        <v>0.60265166306030904</v>
      </c>
      <c r="J70">
        <f>(Table3[[#This Row],[HomeMargin]]-Table3[[#This Row],[HomeForecast]])^2</f>
        <v>0.15788570086873818</v>
      </c>
    </row>
    <row r="71" spans="4:10" x14ac:dyDescent="0.2">
      <c r="D71" t="s">
        <v>11</v>
      </c>
      <c r="E71">
        <f>'NHL2025-26Results'!C67</f>
        <v>1</v>
      </c>
      <c r="F71" t="s">
        <v>24</v>
      </c>
      <c r="G71">
        <f>'NHL2025-26Results'!E67</f>
        <v>3</v>
      </c>
      <c r="H71">
        <f>Table3[[#This Row],[G_1]]-Table3[[#This Row],[G]]</f>
        <v>2</v>
      </c>
      <c r="I71">
        <f>HomeEdge+VLOOKUP(Table3[[#This Row],[Home]],$A$6:$B$38,2,FALSE)-VLOOKUP(Table3[[#This Row],[Visitor]],$A$6:$B$38,2,FALSE)</f>
        <v>-7.3973015372608697E-3</v>
      </c>
      <c r="J71">
        <f>(Table3[[#This Row],[HomeMargin]]-Table3[[#This Row],[HomeForecast]])^2</f>
        <v>4.0296439262190775</v>
      </c>
    </row>
    <row r="72" spans="4:10" x14ac:dyDescent="0.2">
      <c r="D72" t="s">
        <v>17</v>
      </c>
      <c r="E72">
        <f>'NHL2025-26Results'!C68</f>
        <v>2</v>
      </c>
      <c r="F72" t="s">
        <v>30</v>
      </c>
      <c r="G72">
        <f>'NHL2025-26Results'!E68</f>
        <v>4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8.7294028885737132E-2</v>
      </c>
      <c r="J72">
        <f>(Table3[[#This Row],[HomeMargin]]-Table3[[#This Row],[HomeForecast]])^2</f>
        <v>3.6584441319361556</v>
      </c>
    </row>
    <row r="73" spans="4:10" x14ac:dyDescent="0.2">
      <c r="D73" t="s">
        <v>32</v>
      </c>
      <c r="E73">
        <f>'NHL2025-26Results'!C69</f>
        <v>3</v>
      </c>
      <c r="F73" t="s">
        <v>36</v>
      </c>
      <c r="G73">
        <f>'NHL2025-26Results'!E69</f>
        <v>4</v>
      </c>
      <c r="H73">
        <f>Table3[[#This Row],[G_1]]-Table3[[#This Row],[G]]</f>
        <v>1</v>
      </c>
      <c r="I73">
        <f>HomeEdge+VLOOKUP(Table3[[#This Row],[Home]],$A$6:$B$38,2,FALSE)-VLOOKUP(Table3[[#This Row],[Visitor]],$A$6:$B$38,2,FALSE)</f>
        <v>0.26300670787570524</v>
      </c>
      <c r="J73">
        <f>(Table3[[#This Row],[HomeMargin]]-Table3[[#This Row],[HomeForecast]])^2</f>
        <v>0.54315911263620609</v>
      </c>
    </row>
    <row r="74" spans="4:10" x14ac:dyDescent="0.2">
      <c r="D74" t="s">
        <v>40</v>
      </c>
      <c r="E74">
        <f>'NHL2025-26Results'!C70</f>
        <v>5</v>
      </c>
      <c r="F74" t="s">
        <v>27</v>
      </c>
      <c r="G74">
        <f>'NHL2025-26Results'!E70</f>
        <v>2</v>
      </c>
      <c r="H74">
        <f>Table3[[#This Row],[G_1]]-Table3[[#This Row],[G]]</f>
        <v>-3</v>
      </c>
      <c r="I74">
        <f>HomeEdge+VLOOKUP(Table3[[#This Row],[Home]],$A$6:$B$38,2,FALSE)-VLOOKUP(Table3[[#This Row],[Visitor]],$A$6:$B$38,2,FALSE)</f>
        <v>0.24806467150929512</v>
      </c>
      <c r="J74">
        <f>(Table3[[#This Row],[HomeMargin]]-Table3[[#This Row],[HomeForecast]])^2</f>
        <v>10.549924110306785</v>
      </c>
    </row>
    <row r="75" spans="4:10" x14ac:dyDescent="0.2">
      <c r="D75" t="s">
        <v>15</v>
      </c>
      <c r="E75">
        <f>'NHL2025-26Results'!C71</f>
        <v>1</v>
      </c>
      <c r="F75" t="s">
        <v>19</v>
      </c>
      <c r="G75">
        <f>'NHL2025-26Results'!E71</f>
        <v>2</v>
      </c>
      <c r="H75">
        <f>Table3[[#This Row],[G_1]]-Table3[[#This Row],[G]]</f>
        <v>1</v>
      </c>
      <c r="I75">
        <f>HomeEdge+VLOOKUP(Table3[[#This Row],[Home]],$A$6:$B$38,2,FALSE)-VLOOKUP(Table3[[#This Row],[Visitor]],$A$6:$B$38,2,FALSE)</f>
        <v>0.41388109637362136</v>
      </c>
      <c r="J75">
        <f>(Table3[[#This Row],[HomeMargin]]-Table3[[#This Row],[HomeForecast]])^2</f>
        <v>0.34353536918818811</v>
      </c>
    </row>
    <row r="76" spans="4:10" x14ac:dyDescent="0.2">
      <c r="D76" t="s">
        <v>21</v>
      </c>
      <c r="E76">
        <f>'NHL2025-26Results'!C72</f>
        <v>5</v>
      </c>
      <c r="F76" t="s">
        <v>20</v>
      </c>
      <c r="G76">
        <f>'NHL2025-26Results'!E72</f>
        <v>6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0.1462436212343895</v>
      </c>
      <c r="J76">
        <f>(Table3[[#This Row],[HomeMargin]]-Table3[[#This Row],[HomeForecast]])^2</f>
        <v>0.72889995428296861</v>
      </c>
    </row>
    <row r="77" spans="4:10" x14ac:dyDescent="0.2">
      <c r="D77" t="s">
        <v>38</v>
      </c>
      <c r="E77">
        <f>'NHL2025-26Results'!C73</f>
        <v>3</v>
      </c>
      <c r="F77" t="s">
        <v>10</v>
      </c>
      <c r="G77">
        <f>'NHL2025-26Results'!E73</f>
        <v>2</v>
      </c>
      <c r="H77">
        <f>Table3[[#This Row],[G_1]]-Table3[[#This Row],[G]]</f>
        <v>-1</v>
      </c>
      <c r="I77">
        <f>HomeEdge+VLOOKUP(Table3[[#This Row],[Home]],$A$6:$B$38,2,FALSE)-VLOOKUP(Table3[[#This Row],[Visitor]],$A$6:$B$38,2,FALSE)</f>
        <v>0.6505378366256559</v>
      </c>
      <c r="J77">
        <f>(Table3[[#This Row],[HomeMargin]]-Table3[[#This Row],[HomeForecast]])^2</f>
        <v>2.7242751501328999</v>
      </c>
    </row>
    <row r="78" spans="4:10" x14ac:dyDescent="0.2">
      <c r="D78" t="s">
        <v>37</v>
      </c>
      <c r="E78">
        <f>'NHL2025-26Results'!C74</f>
        <v>1</v>
      </c>
      <c r="F78" t="s">
        <v>26</v>
      </c>
      <c r="G78">
        <f>'NHL2025-26Results'!E74</f>
        <v>2</v>
      </c>
      <c r="H78">
        <f>Table3[[#This Row],[G_1]]-Table3[[#This Row],[G]]</f>
        <v>1</v>
      </c>
      <c r="I78">
        <f>HomeEdge+VLOOKUP(Table3[[#This Row],[Home]],$A$6:$B$38,2,FALSE)-VLOOKUP(Table3[[#This Row],[Visitor]],$A$6:$B$38,2,FALSE)</f>
        <v>-0.73063465124764226</v>
      </c>
      <c r="J78">
        <f>(Table3[[#This Row],[HomeMargin]]-Table3[[#This Row],[HomeForecast]])^2</f>
        <v>2.9950962960990481</v>
      </c>
    </row>
    <row r="79" spans="4:10" x14ac:dyDescent="0.2">
      <c r="D79" t="s">
        <v>33</v>
      </c>
      <c r="E79">
        <f>'NHL2025-26Results'!C75</f>
        <v>3</v>
      </c>
      <c r="F79" t="s">
        <v>55</v>
      </c>
      <c r="G79">
        <f>'NHL2025-26Results'!E75</f>
        <v>6</v>
      </c>
      <c r="H79">
        <f>Table3[[#This Row],[G_1]]-Table3[[#This Row],[G]]</f>
        <v>3</v>
      </c>
      <c r="I79">
        <f>HomeEdge+VLOOKUP(Table3[[#This Row],[Home]],$A$6:$B$38,2,FALSE)-VLOOKUP(Table3[[#This Row],[Visitor]],$A$6:$B$38,2,FALSE)</f>
        <v>0.75114151818756192</v>
      </c>
      <c r="J79">
        <f>(Table3[[#This Row],[HomeMargin]]-Table3[[#This Row],[HomeForecast]])^2</f>
        <v>5.0573644712197448</v>
      </c>
    </row>
    <row r="80" spans="4:10" x14ac:dyDescent="0.2">
      <c r="D80" t="s">
        <v>34</v>
      </c>
      <c r="E80">
        <f>'NHL2025-26Results'!C76</f>
        <v>1</v>
      </c>
      <c r="F80" t="s">
        <v>22</v>
      </c>
      <c r="G80">
        <f>'NHL2025-26Results'!E76</f>
        <v>5</v>
      </c>
      <c r="H80">
        <f>Table3[[#This Row],[G_1]]-Table3[[#This Row],[G]]</f>
        <v>4</v>
      </c>
      <c r="I80">
        <f>HomeEdge+VLOOKUP(Table3[[#This Row],[Home]],$A$6:$B$38,2,FALSE)-VLOOKUP(Table3[[#This Row],[Visitor]],$A$6:$B$38,2,FALSE)</f>
        <v>-6.0690672837070431E-3</v>
      </c>
      <c r="J80">
        <f>(Table3[[#This Row],[HomeMargin]]-Table3[[#This Row],[HomeForecast]])^2</f>
        <v>16.048589371847349</v>
      </c>
    </row>
    <row r="81" spans="4:10" x14ac:dyDescent="0.2">
      <c r="D81" t="s">
        <v>11</v>
      </c>
      <c r="E81">
        <f>'NHL2025-26Results'!C77</f>
        <v>0</v>
      </c>
      <c r="F81" t="s">
        <v>23</v>
      </c>
      <c r="G81">
        <f>'NHL2025-26Results'!E77</f>
        <v>3</v>
      </c>
      <c r="H81">
        <f>Table3[[#This Row],[G_1]]-Table3[[#This Row],[G]]</f>
        <v>3</v>
      </c>
      <c r="I81">
        <f>HomeEdge+VLOOKUP(Table3[[#This Row],[Home]],$A$6:$B$38,2,FALSE)-VLOOKUP(Table3[[#This Row],[Visitor]],$A$6:$B$38,2,FALSE)</f>
        <v>0.54706962211011601</v>
      </c>
      <c r="J81">
        <f>(Table3[[#This Row],[HomeMargin]]-Table3[[#This Row],[HomeForecast]])^2</f>
        <v>6.0168674387750096</v>
      </c>
    </row>
    <row r="82" spans="4:10" x14ac:dyDescent="0.2">
      <c r="D82" t="s">
        <v>37</v>
      </c>
      <c r="E82">
        <f>'NHL2025-26Results'!C78</f>
        <v>2</v>
      </c>
      <c r="F82" t="s">
        <v>28</v>
      </c>
      <c r="G82">
        <f>'NHL2025-26Results'!E78</f>
        <v>3</v>
      </c>
      <c r="H82">
        <f>Table3[[#This Row],[G_1]]-Table3[[#This Row],[G]]</f>
        <v>1</v>
      </c>
      <c r="I82">
        <f>HomeEdge+VLOOKUP(Table3[[#This Row],[Home]],$A$6:$B$38,2,FALSE)-VLOOKUP(Table3[[#This Row],[Visitor]],$A$6:$B$38,2,FALSE)</f>
        <v>-0.98328207072995877</v>
      </c>
      <c r="J82">
        <f>(Table3[[#This Row],[HomeMargin]]-Table3[[#This Row],[HomeForecast]])^2</f>
        <v>3.9334077720789131</v>
      </c>
    </row>
    <row r="83" spans="4:10" x14ac:dyDescent="0.2">
      <c r="D83" t="s">
        <v>21</v>
      </c>
      <c r="E83">
        <f>'NHL2025-26Results'!C79</f>
        <v>1</v>
      </c>
      <c r="F83" t="s">
        <v>12</v>
      </c>
      <c r="G83">
        <f>'NHL2025-26Results'!E79</f>
        <v>4</v>
      </c>
      <c r="H83">
        <f>Table3[[#This Row],[G_1]]-Table3[[#This Row],[G]]</f>
        <v>3</v>
      </c>
      <c r="I83">
        <f>HomeEdge+VLOOKUP(Table3[[#This Row],[Home]],$A$6:$B$38,2,FALSE)-VLOOKUP(Table3[[#This Row],[Visitor]],$A$6:$B$38,2,FALSE)</f>
        <v>1.3262025543816862</v>
      </c>
      <c r="J83">
        <f>(Table3[[#This Row],[HomeMargin]]-Table3[[#This Row],[HomeForecast]])^2</f>
        <v>2.8015978889583919</v>
      </c>
    </row>
    <row r="84" spans="4:10" x14ac:dyDescent="0.2">
      <c r="D84" t="s">
        <v>25</v>
      </c>
      <c r="E84">
        <f>'NHL2025-26Results'!C80</f>
        <v>4</v>
      </c>
      <c r="F84" t="s">
        <v>13</v>
      </c>
      <c r="G84">
        <f>'NHL2025-26Results'!E80</f>
        <v>3</v>
      </c>
      <c r="H84">
        <f>Table3[[#This Row],[G_1]]-Table3[[#This Row],[G]]</f>
        <v>-1</v>
      </c>
      <c r="I84">
        <f>HomeEdge+VLOOKUP(Table3[[#This Row],[Home]],$A$6:$B$38,2,FALSE)-VLOOKUP(Table3[[#This Row],[Visitor]],$A$6:$B$38,2,FALSE)</f>
        <v>-0.635555337918008</v>
      </c>
      <c r="J84">
        <f>(Table3[[#This Row],[HomeMargin]]-Table3[[#This Row],[HomeForecast]])^2</f>
        <v>0.13281991172005733</v>
      </c>
    </row>
    <row r="85" spans="4:10" x14ac:dyDescent="0.2">
      <c r="D85" t="s">
        <v>15</v>
      </c>
      <c r="E85">
        <f>'NHL2025-26Results'!C81</f>
        <v>4</v>
      </c>
      <c r="F85" t="s">
        <v>18</v>
      </c>
      <c r="G85">
        <f>'NHL2025-26Results'!E81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0.49918155293624855</v>
      </c>
      <c r="J85">
        <f>(Table3[[#This Row],[HomeMargin]]-Table3[[#This Row],[HomeForecast]])^2</f>
        <v>2.2475453286643416</v>
      </c>
    </row>
    <row r="86" spans="4:10" x14ac:dyDescent="0.2">
      <c r="D86" t="s">
        <v>17</v>
      </c>
      <c r="E86">
        <f>'NHL2025-26Results'!C82</f>
        <v>3</v>
      </c>
      <c r="F86" t="s">
        <v>24</v>
      </c>
      <c r="G86">
        <f>'NHL2025-26Results'!E82</f>
        <v>5</v>
      </c>
      <c r="H86">
        <f>Table3[[#This Row],[G_1]]-Table3[[#This Row],[G]]</f>
        <v>2</v>
      </c>
      <c r="I86">
        <f>HomeEdge+VLOOKUP(Table3[[#This Row],[Home]],$A$6:$B$38,2,FALSE)-VLOOKUP(Table3[[#This Row],[Visitor]],$A$6:$B$38,2,FALSE)</f>
        <v>-0.23073875599648397</v>
      </c>
      <c r="J86">
        <f>(Table3[[#This Row],[HomeMargin]]-Table3[[#This Row],[HomeForecast]])^2</f>
        <v>4.9761953975047399</v>
      </c>
    </row>
    <row r="87" spans="4:10" x14ac:dyDescent="0.2">
      <c r="D87" t="s">
        <v>30</v>
      </c>
      <c r="E87">
        <f>'NHL2025-26Results'!C83</f>
        <v>5</v>
      </c>
      <c r="F87" t="s">
        <v>36</v>
      </c>
      <c r="G87">
        <f>'NHL2025-26Results'!E83</f>
        <v>4</v>
      </c>
      <c r="H87">
        <f>Table3[[#This Row],[G_1]]-Table3[[#This Row],[G]]</f>
        <v>-1</v>
      </c>
      <c r="I87">
        <f>HomeEdge+VLOOKUP(Table3[[#This Row],[Home]],$A$6:$B$38,2,FALSE)-VLOOKUP(Table3[[#This Row],[Visitor]],$A$6:$B$38,2,FALSE)</f>
        <v>-9.8849979531339116E-2</v>
      </c>
      <c r="J87">
        <f>(Table3[[#This Row],[HomeMargin]]-Table3[[#This Row],[HomeForecast]])^2</f>
        <v>0.81207135939066788</v>
      </c>
    </row>
    <row r="88" spans="4:10" x14ac:dyDescent="0.2">
      <c r="D88" t="s">
        <v>34</v>
      </c>
      <c r="E88">
        <f>'NHL2025-26Results'!C84</f>
        <v>1</v>
      </c>
      <c r="F88" t="s">
        <v>27</v>
      </c>
      <c r="G88">
        <f>'NHL2025-26Results'!E84</f>
        <v>2</v>
      </c>
      <c r="H88">
        <f>Table3[[#This Row],[G_1]]-Table3[[#This Row],[G]]</f>
        <v>1</v>
      </c>
      <c r="I88">
        <f>HomeEdge+VLOOKUP(Table3[[#This Row],[Home]],$A$6:$B$38,2,FALSE)-VLOOKUP(Table3[[#This Row],[Visitor]],$A$6:$B$38,2,FALSE)</f>
        <v>-0.23873238145836906</v>
      </c>
      <c r="J88">
        <f>(Table3[[#This Row],[HomeMargin]]-Table3[[#This Row],[HomeForecast]])^2</f>
        <v>1.5344579128735223</v>
      </c>
    </row>
    <row r="89" spans="4:10" x14ac:dyDescent="0.2">
      <c r="D89" t="s">
        <v>14</v>
      </c>
      <c r="E89">
        <f>'NHL2025-26Results'!C85</f>
        <v>3</v>
      </c>
      <c r="F89" t="s">
        <v>33</v>
      </c>
      <c r="G89">
        <f>'NHL2025-26Results'!E85</f>
        <v>0</v>
      </c>
      <c r="H89">
        <f>Table3[[#This Row],[G_1]]-Table3[[#This Row],[G]]</f>
        <v>-3</v>
      </c>
      <c r="I89">
        <f>HomeEdge+VLOOKUP(Table3[[#This Row],[Home]],$A$6:$B$38,2,FALSE)-VLOOKUP(Table3[[#This Row],[Visitor]],$A$6:$B$38,2,FALSE)</f>
        <v>-0.43868204420918067</v>
      </c>
      <c r="J89">
        <f>(Table3[[#This Row],[HomeMargin]]-Table3[[#This Row],[HomeForecast]])^2</f>
        <v>6.5603496706564606</v>
      </c>
    </row>
    <row r="90" spans="4:10" x14ac:dyDescent="0.2">
      <c r="D90" t="s">
        <v>39</v>
      </c>
      <c r="E90">
        <f>'NHL2025-26Results'!C86</f>
        <v>1</v>
      </c>
      <c r="F90" t="s">
        <v>35</v>
      </c>
      <c r="G90">
        <f>'NHL2025-26Results'!E86</f>
        <v>3</v>
      </c>
      <c r="H90">
        <f>Table3[[#This Row],[G_1]]-Table3[[#This Row],[G]]</f>
        <v>2</v>
      </c>
      <c r="I90">
        <f>HomeEdge+VLOOKUP(Table3[[#This Row],[Home]],$A$6:$B$38,2,FALSE)-VLOOKUP(Table3[[#This Row],[Visitor]],$A$6:$B$38,2,FALSE)</f>
        <v>-1.3829885997013995</v>
      </c>
      <c r="J90">
        <f>(Table3[[#This Row],[HomeMargin]]-Table3[[#This Row],[HomeForecast]])^2</f>
        <v>11.444611865709637</v>
      </c>
    </row>
    <row r="91" spans="4:10" x14ac:dyDescent="0.2">
      <c r="D91" t="s">
        <v>32</v>
      </c>
      <c r="E91">
        <f>'NHL2025-26Results'!C87</f>
        <v>4</v>
      </c>
      <c r="F91" t="s">
        <v>19</v>
      </c>
      <c r="G91">
        <f>'NHL2025-26Results'!E87</f>
        <v>3</v>
      </c>
      <c r="H91">
        <f>Table3[[#This Row],[G_1]]-Table3[[#This Row],[G]]</f>
        <v>-1</v>
      </c>
      <c r="I91">
        <f>HomeEdge+VLOOKUP(Table3[[#This Row],[Home]],$A$6:$B$38,2,FALSE)-VLOOKUP(Table3[[#This Row],[Visitor]],$A$6:$B$38,2,FALSE)</f>
        <v>0.34515875860293699</v>
      </c>
      <c r="J91">
        <f>(Table3[[#This Row],[HomeMargin]]-Table3[[#This Row],[HomeForecast]])^2</f>
        <v>1.8094520858461944</v>
      </c>
    </row>
    <row r="92" spans="4:10" x14ac:dyDescent="0.2">
      <c r="D92" t="s">
        <v>16</v>
      </c>
      <c r="E92">
        <f>'NHL2025-26Results'!C88</f>
        <v>1</v>
      </c>
      <c r="F92" t="s">
        <v>20</v>
      </c>
      <c r="G92">
        <f>'NHL2025-26Results'!E88</f>
        <v>6</v>
      </c>
      <c r="H92">
        <f>Table3[[#This Row],[G_1]]-Table3[[#This Row],[G]]</f>
        <v>5</v>
      </c>
      <c r="I92">
        <f>HomeEdge+VLOOKUP(Table3[[#This Row],[Home]],$A$6:$B$38,2,FALSE)-VLOOKUP(Table3[[#This Row],[Visitor]],$A$6:$B$38,2,FALSE)</f>
        <v>0.88268473151322069</v>
      </c>
      <c r="J92">
        <f>(Table3[[#This Row],[HomeMargin]]-Table3[[#This Row],[HomeForecast]])^2</f>
        <v>16.952285020114356</v>
      </c>
    </row>
    <row r="93" spans="4:10" x14ac:dyDescent="0.2">
      <c r="D93" t="s">
        <v>29</v>
      </c>
      <c r="E93">
        <f>'NHL2025-26Results'!C89</f>
        <v>1</v>
      </c>
      <c r="F93" t="s">
        <v>40</v>
      </c>
      <c r="G93">
        <f>'NHL2025-26Results'!E89</f>
        <v>4</v>
      </c>
      <c r="H93">
        <f>Table3[[#This Row],[G_1]]-Table3[[#This Row],[G]]</f>
        <v>3</v>
      </c>
      <c r="I93">
        <f>HomeEdge+VLOOKUP(Table3[[#This Row],[Home]],$A$6:$B$38,2,FALSE)-VLOOKUP(Table3[[#This Row],[Visitor]],$A$6:$B$38,2,FALSE)</f>
        <v>0.36518865648792553</v>
      </c>
      <c r="J93">
        <f>(Table3[[#This Row],[HomeMargin]]-Table3[[#This Row],[HomeForecast]])^2</f>
        <v>6.9422308158999027</v>
      </c>
    </row>
    <row r="94" spans="4:10" x14ac:dyDescent="0.2">
      <c r="D94" t="s">
        <v>31</v>
      </c>
      <c r="E94">
        <f>'NHL2025-26Results'!C90</f>
        <v>1</v>
      </c>
      <c r="F94" t="s">
        <v>10</v>
      </c>
      <c r="G94">
        <f>'NHL2025-26Results'!E90</f>
        <v>2</v>
      </c>
      <c r="H94">
        <f>Table3[[#This Row],[G_1]]-Table3[[#This Row],[G]]</f>
        <v>1</v>
      </c>
      <c r="I94">
        <f>HomeEdge+VLOOKUP(Table3[[#This Row],[Home]],$A$6:$B$38,2,FALSE)-VLOOKUP(Table3[[#This Row],[Visitor]],$A$6:$B$38,2,FALSE)</f>
        <v>-0.22569947857936468</v>
      </c>
      <c r="J94">
        <f>(Table3[[#This Row],[HomeMargin]]-Table3[[#This Row],[HomeForecast]])^2</f>
        <v>1.5023392117897265</v>
      </c>
    </row>
    <row r="95" spans="4:10" x14ac:dyDescent="0.2">
      <c r="D95" t="s">
        <v>17</v>
      </c>
      <c r="E95">
        <f>'NHL2025-26Results'!C91</f>
        <v>2</v>
      </c>
      <c r="F95" t="s">
        <v>26</v>
      </c>
      <c r="G95">
        <f>'NHL2025-26Results'!E91</f>
        <v>4</v>
      </c>
      <c r="H95">
        <f>Table3[[#This Row],[G_1]]-Table3[[#This Row],[G]]</f>
        <v>2</v>
      </c>
      <c r="I95">
        <f>HomeEdge+VLOOKUP(Table3[[#This Row],[Home]],$A$6:$B$38,2,FALSE)-VLOOKUP(Table3[[#This Row],[Visitor]],$A$6:$B$38,2,FALSE)</f>
        <v>0.12318213772534527</v>
      </c>
      <c r="J95">
        <f>(Table3[[#This Row],[HomeMargin]]-Table3[[#This Row],[HomeForecast]])^2</f>
        <v>3.5224452881532051</v>
      </c>
    </row>
    <row r="96" spans="4:10" x14ac:dyDescent="0.2">
      <c r="D96" t="s">
        <v>21</v>
      </c>
      <c r="E96">
        <f>'NHL2025-26Results'!C92</f>
        <v>2</v>
      </c>
      <c r="F96" t="s">
        <v>55</v>
      </c>
      <c r="G96">
        <f>'NHL2025-26Results'!E92</f>
        <v>3</v>
      </c>
      <c r="H96">
        <f>Table3[[#This Row],[G_1]]-Table3[[#This Row],[G]]</f>
        <v>1</v>
      </c>
      <c r="I96">
        <f>HomeEdge+VLOOKUP(Table3[[#This Row],[Home]],$A$6:$B$38,2,FALSE)-VLOOKUP(Table3[[#This Row],[Visitor]],$A$6:$B$38,2,FALSE)</f>
        <v>0.27156982376667138</v>
      </c>
      <c r="J96">
        <f>(Table3[[#This Row],[HomeMargin]]-Table3[[#This Row],[HomeForecast]])^2</f>
        <v>0.53061052164731815</v>
      </c>
    </row>
    <row r="97" spans="4:10" x14ac:dyDescent="0.2">
      <c r="D97" t="s">
        <v>38</v>
      </c>
      <c r="E97">
        <f>'NHL2025-26Results'!C93</f>
        <v>4</v>
      </c>
      <c r="F97" t="s">
        <v>22</v>
      </c>
      <c r="G97">
        <f>'NHL2025-26Results'!E93</f>
        <v>3</v>
      </c>
      <c r="H97">
        <f>Table3[[#This Row],[G_1]]-Table3[[#This Row],[G]]</f>
        <v>-1</v>
      </c>
      <c r="I97">
        <f>HomeEdge+VLOOKUP(Table3[[#This Row],[Home]],$A$6:$B$38,2,FALSE)-VLOOKUP(Table3[[#This Row],[Visitor]],$A$6:$B$38,2,FALSE)</f>
        <v>1.2659412285246718</v>
      </c>
      <c r="J97">
        <f>(Table3[[#This Row],[HomeMargin]]-Table3[[#This Row],[HomeForecast]])^2</f>
        <v>5.1344896511278995</v>
      </c>
    </row>
    <row r="98" spans="4:10" x14ac:dyDescent="0.2">
      <c r="D98" t="s">
        <v>40</v>
      </c>
      <c r="E98">
        <f>'NHL2025-26Results'!C94</f>
        <v>2</v>
      </c>
      <c r="F98" t="s">
        <v>16</v>
      </c>
      <c r="G98">
        <f>'NHL2025-26Results'!E94</f>
        <v>1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-0.22160118794072065</v>
      </c>
      <c r="J98">
        <f>(Table3[[#This Row],[HomeMargin]]-Table3[[#This Row],[HomeForecast]])^2</f>
        <v>0.60590471061529727</v>
      </c>
    </row>
    <row r="99" spans="4:10" x14ac:dyDescent="0.2">
      <c r="D99" t="s">
        <v>23</v>
      </c>
      <c r="E99">
        <f>'NHL2025-26Results'!C95</f>
        <v>2</v>
      </c>
      <c r="F99" t="s">
        <v>18</v>
      </c>
      <c r="G99">
        <f>'NHL2025-26Results'!E95</f>
        <v>4</v>
      </c>
      <c r="H99">
        <f>Table3[[#This Row],[G_1]]-Table3[[#This Row],[G]]</f>
        <v>2</v>
      </c>
      <c r="I99">
        <f>HomeEdge+VLOOKUP(Table3[[#This Row],[Home]],$A$6:$B$38,2,FALSE)-VLOOKUP(Table3[[#This Row],[Visitor]],$A$6:$B$38,2,FALSE)</f>
        <v>-0.16783161100663593</v>
      </c>
      <c r="J99">
        <f>(Table3[[#This Row],[HomeMargin]]-Table3[[#This Row],[HomeForecast]])^2</f>
        <v>4.6994938936796267</v>
      </c>
    </row>
    <row r="100" spans="4:10" x14ac:dyDescent="0.2">
      <c r="D100" t="s">
        <v>34</v>
      </c>
      <c r="E100">
        <f>'NHL2025-26Results'!C96</f>
        <v>3</v>
      </c>
      <c r="F100" t="s">
        <v>15</v>
      </c>
      <c r="G100">
        <f>'NHL2025-26Results'!E96</f>
        <v>1</v>
      </c>
      <c r="H100">
        <f>Table3[[#This Row],[G_1]]-Table3[[#This Row],[G]]</f>
        <v>-2</v>
      </c>
      <c r="I100">
        <f>HomeEdge+VLOOKUP(Table3[[#This Row],[Home]],$A$6:$B$38,2,FALSE)-VLOOKUP(Table3[[#This Row],[Visitor]],$A$6:$B$38,2,FALSE)</f>
        <v>-0.55657560899020275</v>
      </c>
      <c r="J100">
        <f>(Table3[[#This Row],[HomeMargin]]-Table3[[#This Row],[HomeForecast]])^2</f>
        <v>2.083473972562004</v>
      </c>
    </row>
    <row r="101" spans="4:10" x14ac:dyDescent="0.2">
      <c r="D101" t="s">
        <v>32</v>
      </c>
      <c r="E101">
        <f>'NHL2025-26Results'!C97</f>
        <v>2</v>
      </c>
      <c r="F101" t="s">
        <v>27</v>
      </c>
      <c r="G101">
        <f>'NHL2025-26Results'!E97</f>
        <v>5</v>
      </c>
      <c r="H101">
        <f>Table3[[#This Row],[G_1]]-Table3[[#This Row],[G]]</f>
        <v>3</v>
      </c>
      <c r="I101">
        <f>HomeEdge+VLOOKUP(Table3[[#This Row],[Home]],$A$6:$B$38,2,FALSE)-VLOOKUP(Table3[[#This Row],[Visitor]],$A$6:$B$38,2,FALSE)</f>
        <v>0.34509088493181256</v>
      </c>
      <c r="J101">
        <f>(Table3[[#This Row],[HomeMargin]]-Table3[[#This Row],[HomeForecast]])^2</f>
        <v>7.0485424092721463</v>
      </c>
    </row>
    <row r="102" spans="4:10" x14ac:dyDescent="0.2">
      <c r="D102" t="s">
        <v>25</v>
      </c>
      <c r="E102">
        <f>'NHL2025-26Results'!C98</f>
        <v>1</v>
      </c>
      <c r="F102" t="s">
        <v>20</v>
      </c>
      <c r="G102">
        <f>'NHL2025-26Results'!E98</f>
        <v>4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-0.20408015553743469</v>
      </c>
      <c r="J102">
        <f>(Table3[[#This Row],[HomeMargin]]-Table3[[#This Row],[HomeForecast]])^2</f>
        <v>10.266129643108792</v>
      </c>
    </row>
    <row r="103" spans="4:10" x14ac:dyDescent="0.2">
      <c r="D103" t="s">
        <v>11</v>
      </c>
      <c r="E103">
        <f>'NHL2025-26Results'!C99</f>
        <v>4</v>
      </c>
      <c r="F103" t="s">
        <v>21</v>
      </c>
      <c r="G103">
        <f>'NHL2025-26Results'!E99</f>
        <v>3</v>
      </c>
      <c r="H103">
        <f>Table3[[#This Row],[G_1]]-Table3[[#This Row],[G]]</f>
        <v>-1</v>
      </c>
      <c r="I103">
        <f>HomeEdge+VLOOKUP(Table3[[#This Row],[Home]],$A$6:$B$38,2,FALSE)-VLOOKUP(Table3[[#This Row],[Visitor]],$A$6:$B$38,2,FALSE)</f>
        <v>0.46467493652788061</v>
      </c>
      <c r="J103">
        <f>(Table3[[#This Row],[HomeMargin]]-Table3[[#This Row],[HomeForecast]])^2</f>
        <v>2.1452726696929512</v>
      </c>
    </row>
    <row r="104" spans="4:10" x14ac:dyDescent="0.2">
      <c r="D104" t="s">
        <v>28</v>
      </c>
      <c r="E104">
        <f>'NHL2025-26Results'!C100</f>
        <v>5</v>
      </c>
      <c r="F104" t="s">
        <v>39</v>
      </c>
      <c r="G104">
        <f>'NHL2025-26Results'!E100</f>
        <v>1</v>
      </c>
      <c r="H104">
        <f>Table3[[#This Row],[G_1]]-Table3[[#This Row],[G]]</f>
        <v>-4</v>
      </c>
      <c r="I104">
        <f>HomeEdge+VLOOKUP(Table3[[#This Row],[Home]],$A$6:$B$38,2,FALSE)-VLOOKUP(Table3[[#This Row],[Visitor]],$A$6:$B$38,2,FALSE)</f>
        <v>0.73441259646757395</v>
      </c>
      <c r="J104">
        <f>(Table3[[#This Row],[HomeMargin]]-Table3[[#This Row],[HomeForecast]])^2</f>
        <v>22.414662633590833</v>
      </c>
    </row>
    <row r="105" spans="4:10" x14ac:dyDescent="0.2">
      <c r="D105" t="s">
        <v>31</v>
      </c>
      <c r="E105">
        <f>'NHL2025-26Results'!C101</f>
        <v>5</v>
      </c>
      <c r="F105" t="s">
        <v>29</v>
      </c>
      <c r="G105">
        <f>'NHL2025-26Results'!E101</f>
        <v>2</v>
      </c>
      <c r="H105">
        <f>Table3[[#This Row],[G_1]]-Table3[[#This Row],[G]]</f>
        <v>-3</v>
      </c>
      <c r="I105">
        <f>HomeEdge+VLOOKUP(Table3[[#This Row],[Home]],$A$6:$B$38,2,FALSE)-VLOOKUP(Table3[[#This Row],[Visitor]],$A$6:$B$38,2,FALSE)</f>
        <v>-0.26427273851090494</v>
      </c>
      <c r="J105">
        <f>(Table3[[#This Row],[HomeMargin]]-Table3[[#This Row],[HomeForecast]])^2</f>
        <v>7.4842036492546233</v>
      </c>
    </row>
    <row r="106" spans="4:10" x14ac:dyDescent="0.2">
      <c r="D106" t="s">
        <v>33</v>
      </c>
      <c r="E106">
        <f>'NHL2025-26Results'!C102</f>
        <v>3</v>
      </c>
      <c r="F106" t="s">
        <v>30</v>
      </c>
      <c r="G106">
        <f>'NHL2025-26Results'!E102</f>
        <v>4</v>
      </c>
      <c r="H106">
        <f>Table3[[#This Row],[G_1]]-Table3[[#This Row],[G]]</f>
        <v>1</v>
      </c>
      <c r="I106">
        <f>HomeEdge+VLOOKUP(Table3[[#This Row],[Home]],$A$6:$B$38,2,FALSE)-VLOOKUP(Table3[[#This Row],[Visitor]],$A$6:$B$38,2,FALSE)</f>
        <v>0.42150223640863343</v>
      </c>
      <c r="J106">
        <f>(Table3[[#This Row],[HomeMargin]]-Table3[[#This Row],[HomeForecast]])^2</f>
        <v>0.33465966248021273</v>
      </c>
    </row>
    <row r="107" spans="4:10" x14ac:dyDescent="0.2">
      <c r="D107" t="s">
        <v>17</v>
      </c>
      <c r="E107">
        <f>'NHL2025-26Results'!C103</f>
        <v>3</v>
      </c>
      <c r="F107" t="s">
        <v>36</v>
      </c>
      <c r="G107">
        <f>'NHL2025-26Results'!E103</f>
        <v>2</v>
      </c>
      <c r="H107">
        <f>Table3[[#This Row],[G_1]]-Table3[[#This Row],[G]]</f>
        <v>-1</v>
      </c>
      <c r="I107">
        <f>HomeEdge+VLOOKUP(Table3[[#This Row],[Home]],$A$6:$B$38,2,FALSE)-VLOOKUP(Table3[[#This Row],[Visitor]],$A$6:$B$38,2,FALSE)</f>
        <v>-0.10752594581626523</v>
      </c>
      <c r="J107">
        <f>(Table3[[#This Row],[HomeMargin]]-Table3[[#This Row],[HomeForecast]])^2</f>
        <v>0.79650993739115206</v>
      </c>
    </row>
    <row r="108" spans="4:10" x14ac:dyDescent="0.2">
      <c r="D108" t="s">
        <v>38</v>
      </c>
      <c r="E108">
        <f>'NHL2025-26Results'!C104</f>
        <v>1</v>
      </c>
      <c r="F108" t="s">
        <v>14</v>
      </c>
      <c r="G108">
        <f>'NHL2025-26Results'!E104</f>
        <v>5</v>
      </c>
      <c r="H108">
        <f>Table3[[#This Row],[G_1]]-Table3[[#This Row],[G]]</f>
        <v>4</v>
      </c>
      <c r="I108">
        <f>HomeEdge+VLOOKUP(Table3[[#This Row],[Home]],$A$6:$B$38,2,FALSE)-VLOOKUP(Table3[[#This Row],[Visitor]],$A$6:$B$38,2,FALSE)</f>
        <v>1.3551335101377786</v>
      </c>
      <c r="J108">
        <f>(Table3[[#This Row],[HomeMargin]]-Table3[[#This Row],[HomeForecast]])^2</f>
        <v>6.995318749196108</v>
      </c>
    </row>
    <row r="109" spans="4:10" x14ac:dyDescent="0.2">
      <c r="D109" t="s">
        <v>13</v>
      </c>
      <c r="E109">
        <f>'NHL2025-26Results'!C105</f>
        <v>2</v>
      </c>
      <c r="F109" t="s">
        <v>35</v>
      </c>
      <c r="G109">
        <f>'NHL2025-26Results'!E105</f>
        <v>1</v>
      </c>
      <c r="H109">
        <f>Table3[[#This Row],[G_1]]-Table3[[#This Row],[G]]</f>
        <v>-1</v>
      </c>
      <c r="I109">
        <f>HomeEdge+VLOOKUP(Table3[[#This Row],[Home]],$A$6:$B$38,2,FALSE)-VLOOKUP(Table3[[#This Row],[Visitor]],$A$6:$B$38,2,FALSE)</f>
        <v>-0.73414320591327042</v>
      </c>
      <c r="J109">
        <f>(Table3[[#This Row],[HomeMargin]]-Table3[[#This Row],[HomeForecast]])^2</f>
        <v>7.0679834962073723E-2</v>
      </c>
    </row>
    <row r="110" spans="4:10" x14ac:dyDescent="0.2">
      <c r="D110" t="s">
        <v>24</v>
      </c>
      <c r="E110">
        <f>'NHL2025-26Results'!C106</f>
        <v>5</v>
      </c>
      <c r="F110" t="s">
        <v>19</v>
      </c>
      <c r="G110">
        <f>'NHL2025-26Results'!E106</f>
        <v>2</v>
      </c>
      <c r="H110">
        <f>Table3[[#This Row],[G_1]]-Table3[[#This Row],[G]]</f>
        <v>-3</v>
      </c>
      <c r="I110">
        <f>HomeEdge+VLOOKUP(Table3[[#This Row],[Home]],$A$6:$B$38,2,FALSE)-VLOOKUP(Table3[[#This Row],[Visitor]],$A$6:$B$38,2,FALSE)</f>
        <v>0.30133485607811372</v>
      </c>
      <c r="J110">
        <f>(Table3[[#This Row],[HomeMargin]]-Table3[[#This Row],[HomeForecast]])^2</f>
        <v>10.898811831956301</v>
      </c>
    </row>
    <row r="111" spans="4:10" x14ac:dyDescent="0.2">
      <c r="D111" t="s">
        <v>12</v>
      </c>
      <c r="E111">
        <f>'NHL2025-26Results'!C107</f>
        <v>3</v>
      </c>
      <c r="F111" t="s">
        <v>55</v>
      </c>
      <c r="G111">
        <f>'NHL2025-26Results'!E107</f>
        <v>4</v>
      </c>
      <c r="H111">
        <f>Table3[[#This Row],[G_1]]-Table3[[#This Row],[G]]</f>
        <v>1</v>
      </c>
      <c r="I111">
        <f>HomeEdge+VLOOKUP(Table3[[#This Row],[Home]],$A$6:$B$38,2,FALSE)-VLOOKUP(Table3[[#This Row],[Visitor]],$A$6:$B$38,2,FALSE)</f>
        <v>-0.95866273544435177</v>
      </c>
      <c r="J111">
        <f>(Table3[[#This Row],[HomeMargin]]-Table3[[#This Row],[HomeForecast]])^2</f>
        <v>3.8363597112183507</v>
      </c>
    </row>
    <row r="112" spans="4:10" x14ac:dyDescent="0.2">
      <c r="D112" t="s">
        <v>32</v>
      </c>
      <c r="E112">
        <f>'NHL2025-26Results'!C108</f>
        <v>1</v>
      </c>
      <c r="F112" t="s">
        <v>22</v>
      </c>
      <c r="G112">
        <f>'NHL2025-26Results'!E108</f>
        <v>4</v>
      </c>
      <c r="H112">
        <f>Table3[[#This Row],[G_1]]-Table3[[#This Row],[G]]</f>
        <v>3</v>
      </c>
      <c r="I112">
        <f>HomeEdge+VLOOKUP(Table3[[#This Row],[Home]],$A$6:$B$38,2,FALSE)-VLOOKUP(Table3[[#This Row],[Visitor]],$A$6:$B$38,2,FALSE)</f>
        <v>0.57775419910647452</v>
      </c>
      <c r="J112">
        <f>(Table3[[#This Row],[HomeMargin]]-Table3[[#This Row],[HomeForecast]])^2</f>
        <v>5.8672747199463169</v>
      </c>
    </row>
    <row r="113" spans="4:10" x14ac:dyDescent="0.2">
      <c r="D113" t="s">
        <v>26</v>
      </c>
      <c r="E113">
        <f>'NHL2025-26Results'!C109</f>
        <v>2</v>
      </c>
      <c r="F113" t="s">
        <v>23</v>
      </c>
      <c r="G113">
        <f>'NHL2025-26Results'!E109</f>
        <v>4</v>
      </c>
      <c r="H113">
        <f>Table3[[#This Row],[G_1]]-Table3[[#This Row],[G]]</f>
        <v>2</v>
      </c>
      <c r="I113">
        <f>HomeEdge+VLOOKUP(Table3[[#This Row],[Home]],$A$6:$B$38,2,FALSE)-VLOOKUP(Table3[[#This Row],[Visitor]],$A$6:$B$38,2,FALSE)</f>
        <v>0.29651602509621089</v>
      </c>
      <c r="J113">
        <f>(Table3[[#This Row],[HomeMargin]]-Table3[[#This Row],[HomeForecast]])^2</f>
        <v>2.9018576527540132</v>
      </c>
    </row>
    <row r="114" spans="4:10" x14ac:dyDescent="0.2">
      <c r="D114" t="s">
        <v>18</v>
      </c>
      <c r="E114">
        <f>'NHL2025-26Results'!C110</f>
        <v>2</v>
      </c>
      <c r="F114" t="s">
        <v>16</v>
      </c>
      <c r="G114">
        <f>'NHL2025-26Results'!E110</f>
        <v>1</v>
      </c>
      <c r="H114">
        <f>Table3[[#This Row],[G_1]]-Table3[[#This Row],[G]]</f>
        <v>-1</v>
      </c>
      <c r="I114">
        <f>HomeEdge+VLOOKUP(Table3[[#This Row],[Home]],$A$6:$B$38,2,FALSE)-VLOOKUP(Table3[[#This Row],[Visitor]],$A$6:$B$38,2,FALSE)</f>
        <v>-0.4590641945131041</v>
      </c>
      <c r="J114">
        <f>(Table3[[#This Row],[HomeMargin]]-Table3[[#This Row],[HomeForecast]])^2</f>
        <v>0.29261154565775688</v>
      </c>
    </row>
    <row r="115" spans="4:10" x14ac:dyDescent="0.2">
      <c r="D115" t="s">
        <v>34</v>
      </c>
      <c r="E115">
        <f>'NHL2025-26Results'!C111</f>
        <v>1</v>
      </c>
      <c r="F115" t="s">
        <v>24</v>
      </c>
      <c r="G115">
        <f>'NHL2025-26Results'!E111</f>
        <v>4</v>
      </c>
      <c r="H115">
        <f>Table3[[#This Row],[G_1]]-Table3[[#This Row],[G]]</f>
        <v>3</v>
      </c>
      <c r="I115">
        <f>HomeEdge+VLOOKUP(Table3[[#This Row],[Home]],$A$6:$B$38,2,FALSE)-VLOOKUP(Table3[[#This Row],[Visitor]],$A$6:$B$38,2,FALSE)</f>
        <v>-0.44402936869469511</v>
      </c>
      <c r="J115">
        <f>(Table3[[#This Row],[HomeMargin]]-Table3[[#This Row],[HomeForecast]])^2</f>
        <v>11.861338292431581</v>
      </c>
    </row>
    <row r="116" spans="4:10" x14ac:dyDescent="0.2">
      <c r="D116" t="s">
        <v>31</v>
      </c>
      <c r="E116">
        <f>'NHL2025-26Results'!C112</f>
        <v>7</v>
      </c>
      <c r="F116" t="s">
        <v>21</v>
      </c>
      <c r="G116">
        <f>'NHL2025-26Results'!E112</f>
        <v>5</v>
      </c>
      <c r="H116">
        <f>Table3[[#This Row],[G_1]]-Table3[[#This Row],[G]]</f>
        <v>-2</v>
      </c>
      <c r="I116">
        <f>HomeEdge+VLOOKUP(Table3[[#This Row],[Home]],$A$6:$B$38,2,FALSE)-VLOOKUP(Table3[[#This Row],[Visitor]],$A$6:$B$38,2,FALSE)</f>
        <v>0.42381584997380461</v>
      </c>
      <c r="J116">
        <f>(Table3[[#This Row],[HomeMargin]]-Table3[[#This Row],[HomeForecast]])^2</f>
        <v>5.8748832745842368</v>
      </c>
    </row>
    <row r="117" spans="4:10" x14ac:dyDescent="0.2">
      <c r="D117" t="s">
        <v>25</v>
      </c>
      <c r="E117">
        <f>'NHL2025-26Results'!C113</f>
        <v>5</v>
      </c>
      <c r="F117" t="s">
        <v>12</v>
      </c>
      <c r="G117">
        <f>'NHL2025-26Results'!E113</f>
        <v>4</v>
      </c>
      <c r="H117">
        <f>Table3[[#This Row],[G_1]]-Table3[[#This Row],[G]]</f>
        <v>-1</v>
      </c>
      <c r="I117">
        <f>HomeEdge+VLOOKUP(Table3[[#This Row],[Home]],$A$6:$B$38,2,FALSE)-VLOOKUP(Table3[[#This Row],[Visitor]],$A$6:$B$38,2,FALSE)</f>
        <v>0.97587877760986208</v>
      </c>
      <c r="J117">
        <f>(Table3[[#This Row],[HomeMargin]]-Table3[[#This Row],[HomeForecast]])^2</f>
        <v>3.9040969438090429</v>
      </c>
    </row>
    <row r="118" spans="4:10" x14ac:dyDescent="0.2">
      <c r="D118" t="s">
        <v>13</v>
      </c>
      <c r="E118">
        <f>'NHL2025-26Results'!C114</f>
        <v>3</v>
      </c>
      <c r="F118" t="s">
        <v>39</v>
      </c>
      <c r="G118">
        <f>'NHL2025-26Results'!E114</f>
        <v>2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0.74481538895879229</v>
      </c>
      <c r="J118">
        <f>(Table3[[#This Row],[HomeMargin]]-Table3[[#This Row],[HomeForecast]])^2</f>
        <v>3.0443807415474216</v>
      </c>
    </row>
    <row r="119" spans="4:10" x14ac:dyDescent="0.2">
      <c r="D119" t="s">
        <v>18</v>
      </c>
      <c r="E119">
        <f>'NHL2025-26Results'!C115</f>
        <v>5</v>
      </c>
      <c r="F119" t="s">
        <v>17</v>
      </c>
      <c r="G119">
        <f>'NHL2025-26Results'!E115</f>
        <v>6</v>
      </c>
      <c r="H119">
        <f>Table3[[#This Row],[G_1]]-Table3[[#This Row],[G]]</f>
        <v>1</v>
      </c>
      <c r="I119">
        <f>HomeEdge+VLOOKUP(Table3[[#This Row],[Home]],$A$6:$B$38,2,FALSE)-VLOOKUP(Table3[[#This Row],[Visitor]],$A$6:$B$38,2,FALSE)</f>
        <v>0.13201342886773282</v>
      </c>
      <c r="J119">
        <f>(Table3[[#This Row],[HomeMargin]]-Table3[[#This Row],[HomeForecast]])^2</f>
        <v>0.75340068766595036</v>
      </c>
    </row>
    <row r="120" spans="4:10" x14ac:dyDescent="0.2">
      <c r="D120" t="s">
        <v>14</v>
      </c>
      <c r="E120">
        <f>'NHL2025-26Results'!C116</f>
        <v>5</v>
      </c>
      <c r="F120" t="s">
        <v>11</v>
      </c>
      <c r="G120">
        <f>'NHL2025-26Results'!E116</f>
        <v>3</v>
      </c>
      <c r="H120">
        <f>Table3[[#This Row],[G_1]]-Table3[[#This Row],[G]]</f>
        <v>-2</v>
      </c>
      <c r="I120">
        <f>HomeEdge+VLOOKUP(Table3[[#This Row],[Home]],$A$6:$B$38,2,FALSE)-VLOOKUP(Table3[[#This Row],[Visitor]],$A$6:$B$38,2,FALSE)</f>
        <v>-0.32781529114550745</v>
      </c>
      <c r="J120">
        <f>(Table3[[#This Row],[HomeMargin]]-Table3[[#This Row],[HomeForecast]])^2</f>
        <v>2.7962017005267841</v>
      </c>
    </row>
    <row r="121" spans="4:10" x14ac:dyDescent="0.2">
      <c r="D121" t="s">
        <v>38</v>
      </c>
      <c r="E121">
        <f>'NHL2025-26Results'!C117</f>
        <v>1</v>
      </c>
      <c r="F121" t="s">
        <v>29</v>
      </c>
      <c r="G121">
        <f>'NHL2025-26Results'!E117</f>
        <v>2</v>
      </c>
      <c r="H121">
        <f>Table3[[#This Row],[G_1]]-Table3[[#This Row],[G]]</f>
        <v>1</v>
      </c>
      <c r="I121">
        <f>HomeEdge+VLOOKUP(Table3[[#This Row],[Home]],$A$6:$B$38,2,FALSE)-VLOOKUP(Table3[[#This Row],[Visitor]],$A$6:$B$38,2,FALSE)</f>
        <v>0.61196457669411564</v>
      </c>
      <c r="J121">
        <f>(Table3[[#This Row],[HomeMargin]]-Table3[[#This Row],[HomeForecast]])^2</f>
        <v>0.15057148974017687</v>
      </c>
    </row>
    <row r="122" spans="4:10" x14ac:dyDescent="0.2">
      <c r="D122" t="s">
        <v>26</v>
      </c>
      <c r="E122">
        <f>'NHL2025-26Results'!C118</f>
        <v>2</v>
      </c>
      <c r="F122" t="s">
        <v>30</v>
      </c>
      <c r="G122">
        <f>'NHL2025-26Results'!E118</f>
        <v>7</v>
      </c>
      <c r="H122">
        <f>Table3[[#This Row],[G_1]]-Table3[[#This Row],[G]]</f>
        <v>5</v>
      </c>
      <c r="I122">
        <f>HomeEdge+VLOOKUP(Table3[[#This Row],[Home]],$A$6:$B$38,2,FALSE)-VLOOKUP(Table3[[#This Row],[Visitor]],$A$6:$B$38,2,FALSE)</f>
        <v>6.0081886331055115E-2</v>
      </c>
      <c r="J122">
        <f>(Table3[[#This Row],[HomeMargin]]-Table3[[#This Row],[HomeForecast]])^2</f>
        <v>24.402790969754548</v>
      </c>
    </row>
    <row r="123" spans="4:10" x14ac:dyDescent="0.2">
      <c r="D123" t="s">
        <v>33</v>
      </c>
      <c r="E123">
        <f>'NHL2025-26Results'!C119</f>
        <v>6</v>
      </c>
      <c r="F123" t="s">
        <v>15</v>
      </c>
      <c r="G123">
        <f>'NHL2025-26Results'!E119</f>
        <v>5</v>
      </c>
      <c r="H123">
        <f>Table3[[#This Row],[G_1]]-Table3[[#This Row],[G]]</f>
        <v>-1</v>
      </c>
      <c r="I123">
        <f>HomeEdge+VLOOKUP(Table3[[#This Row],[Home]],$A$6:$B$38,2,FALSE)-VLOOKUP(Table3[[#This Row],[Visitor]],$A$6:$B$38,2,FALSE)</f>
        <v>-9.0767887690952342E-3</v>
      </c>
      <c r="J123">
        <f>(Table3[[#This Row],[HomeMargin]]-Table3[[#This Row],[HomeForecast]])^2</f>
        <v>0.98192881055616832</v>
      </c>
    </row>
    <row r="124" spans="4:10" x14ac:dyDescent="0.2">
      <c r="D124" t="s">
        <v>27</v>
      </c>
      <c r="E124">
        <f>'NHL2025-26Results'!C120</f>
        <v>1</v>
      </c>
      <c r="F124" t="s">
        <v>36</v>
      </c>
      <c r="G124">
        <f>'NHL2025-26Results'!E120</f>
        <v>2</v>
      </c>
      <c r="H124">
        <f>Table3[[#This Row],[G_1]]-Table3[[#This Row],[G]]</f>
        <v>1</v>
      </c>
      <c r="I124">
        <f>HomeEdge+VLOOKUP(Table3[[#This Row],[Home]],$A$6:$B$38,2,FALSE)-VLOOKUP(Table3[[#This Row],[Visitor]],$A$6:$B$38,2,FALSE)</f>
        <v>1.3885818114555915E-2</v>
      </c>
      <c r="J124">
        <f>(Table3[[#This Row],[HomeMargin]]-Table3[[#This Row],[HomeForecast]])^2</f>
        <v>0.97242117971559872</v>
      </c>
    </row>
    <row r="125" spans="4:10" x14ac:dyDescent="0.2">
      <c r="D125" t="s">
        <v>55</v>
      </c>
      <c r="E125">
        <f>'NHL2025-26Results'!C121</f>
        <v>7</v>
      </c>
      <c r="F125" t="s">
        <v>35</v>
      </c>
      <c r="G125">
        <f>'NHL2025-26Results'!E121</f>
        <v>4</v>
      </c>
      <c r="H125">
        <f>Table3[[#This Row],[G_1]]-Table3[[#This Row],[G]]</f>
        <v>-3</v>
      </c>
      <c r="I125">
        <f>HomeEdge+VLOOKUP(Table3[[#This Row],[Home]],$A$6:$B$38,2,FALSE)-VLOOKUP(Table3[[#This Row],[Visitor]],$A$6:$B$38,2,FALSE)</f>
        <v>-1.2909445908261257</v>
      </c>
      <c r="J125">
        <f>(Table3[[#This Row],[HomeMargin]]-Table3[[#This Row],[HomeForecast]])^2</f>
        <v>2.9208703916264791</v>
      </c>
    </row>
    <row r="126" spans="4:10" x14ac:dyDescent="0.2">
      <c r="D126" t="s">
        <v>10</v>
      </c>
      <c r="E126">
        <f>'NHL2025-26Results'!C122</f>
        <v>3</v>
      </c>
      <c r="F126" t="s">
        <v>37</v>
      </c>
      <c r="G126">
        <f>'NHL2025-26Results'!E122</f>
        <v>2</v>
      </c>
      <c r="H126">
        <f>Table3[[#This Row],[G_1]]-Table3[[#This Row],[G]]</f>
        <v>-1</v>
      </c>
      <c r="I126">
        <f>HomeEdge+VLOOKUP(Table3[[#This Row],[Home]],$A$6:$B$38,2,FALSE)-VLOOKUP(Table3[[#This Row],[Visitor]],$A$6:$B$38,2,FALSE)</f>
        <v>1.453938625798826</v>
      </c>
      <c r="J126">
        <f>(Table3[[#This Row],[HomeMargin]]-Table3[[#This Row],[HomeForecast]])^2</f>
        <v>6.021814779187431</v>
      </c>
    </row>
    <row r="127" spans="4:10" x14ac:dyDescent="0.2">
      <c r="D127" t="s">
        <v>32</v>
      </c>
      <c r="E127">
        <f>'NHL2025-26Results'!C123</f>
        <v>3</v>
      </c>
      <c r="F127" t="s">
        <v>40</v>
      </c>
      <c r="G127">
        <f>'NHL2025-26Results'!E123</f>
        <v>0</v>
      </c>
      <c r="H127">
        <f>Table3[[#This Row],[G_1]]-Table3[[#This Row],[G]]</f>
        <v>-3</v>
      </c>
      <c r="I127">
        <f>HomeEdge+VLOOKUP(Table3[[#This Row],[Home]],$A$6:$B$38,2,FALSE)-VLOOKUP(Table3[[#This Row],[Visitor]],$A$6:$B$38,2,FALSE)</f>
        <v>0.19299620859318067</v>
      </c>
      <c r="J127">
        <f>(Table3[[#This Row],[HomeMargin]]-Table3[[#This Row],[HomeForecast]])^2</f>
        <v>10.195224788090428</v>
      </c>
    </row>
    <row r="128" spans="4:10" x14ac:dyDescent="0.2">
      <c r="D128" t="s">
        <v>19</v>
      </c>
      <c r="E128">
        <f>'NHL2025-26Results'!C124</f>
        <v>3</v>
      </c>
      <c r="F128" t="s">
        <v>23</v>
      </c>
      <c r="G128">
        <f>'NHL2025-26Results'!E124</f>
        <v>5</v>
      </c>
      <c r="H128">
        <f>Table3[[#This Row],[G_1]]-Table3[[#This Row],[G]]</f>
        <v>2</v>
      </c>
      <c r="I128">
        <f>HomeEdge+VLOOKUP(Table3[[#This Row],[Home]],$A$6:$B$38,2,FALSE)-VLOOKUP(Table3[[#This Row],[Visitor]],$A$6:$B$38,2,FALSE)</f>
        <v>0.44507205791058962</v>
      </c>
      <c r="J128">
        <f>(Table3[[#This Row],[HomeMargin]]-Table3[[#This Row],[HomeForecast]])^2</f>
        <v>2.417800905090409</v>
      </c>
    </row>
    <row r="129" spans="4:10" x14ac:dyDescent="0.2">
      <c r="D129" t="s">
        <v>22</v>
      </c>
      <c r="E129">
        <f>'NHL2025-26Results'!C125</f>
        <v>5</v>
      </c>
      <c r="F129" t="s">
        <v>28</v>
      </c>
      <c r="G129">
        <f>'NHL2025-26Results'!E125</f>
        <v>1</v>
      </c>
      <c r="H129">
        <f>Table3[[#This Row],[G_1]]-Table3[[#This Row],[G]]</f>
        <v>-4</v>
      </c>
      <c r="I129">
        <f>HomeEdge+VLOOKUP(Table3[[#This Row],[Home]],$A$6:$B$38,2,FALSE)-VLOOKUP(Table3[[#This Row],[Visitor]],$A$6:$B$38,2,FALSE)</f>
        <v>-0.24071683200081201</v>
      </c>
      <c r="J129">
        <f>(Table3[[#This Row],[HomeMargin]]-Table3[[#This Row],[HomeForecast]])^2</f>
        <v>14.13220993720201</v>
      </c>
    </row>
    <row r="130" spans="4:10" x14ac:dyDescent="0.2">
      <c r="D130" t="s">
        <v>33</v>
      </c>
      <c r="E130">
        <f>'NHL2025-26Results'!C126</f>
        <v>1</v>
      </c>
      <c r="F130" t="s">
        <v>24</v>
      </c>
      <c r="G130">
        <f>'NHL2025-26Results'!E126</f>
        <v>3</v>
      </c>
      <c r="H130">
        <f>Table3[[#This Row],[G_1]]-Table3[[#This Row],[G]]</f>
        <v>2</v>
      </c>
      <c r="I130">
        <f>HomeEdge+VLOOKUP(Table3[[#This Row],[Home]],$A$6:$B$38,2,FALSE)-VLOOKUP(Table3[[#This Row],[Visitor]],$A$6:$B$38,2,FALSE)</f>
        <v>0.10346945152641235</v>
      </c>
      <c r="J130">
        <f>(Table3[[#This Row],[HomeMargin]]-Table3[[#This Row],[HomeForecast]])^2</f>
        <v>3.5968281212935276</v>
      </c>
    </row>
    <row r="131" spans="4:10" x14ac:dyDescent="0.2">
      <c r="D131" t="s">
        <v>16</v>
      </c>
      <c r="E131">
        <f>'NHL2025-26Results'!C127</f>
        <v>3</v>
      </c>
      <c r="F131" t="s">
        <v>40</v>
      </c>
      <c r="G131">
        <f>'NHL2025-26Results'!E127</f>
        <v>5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0.41354117828204717</v>
      </c>
      <c r="J131">
        <f>(Table3[[#This Row],[HomeMargin]]-Table3[[#This Row],[HomeForecast]])^2</f>
        <v>2.5168515930067148</v>
      </c>
    </row>
    <row r="132" spans="4:10" x14ac:dyDescent="0.2">
      <c r="D132" t="s">
        <v>12</v>
      </c>
      <c r="E132">
        <f>'NHL2025-26Results'!C128</f>
        <v>2</v>
      </c>
      <c r="F132" t="s">
        <v>21</v>
      </c>
      <c r="G132">
        <f>'NHL2025-26Results'!E128</f>
        <v>3</v>
      </c>
      <c r="H132">
        <f>Table3[[#This Row],[G_1]]-Table3[[#This Row],[G]]</f>
        <v>1</v>
      </c>
      <c r="I132">
        <f>HomeEdge+VLOOKUP(Table3[[#This Row],[Home]],$A$6:$B$38,2,FALSE)-VLOOKUP(Table3[[#This Row],[Visitor]],$A$6:$B$38,2,FALSE)</f>
        <v>-1.1342625640403599</v>
      </c>
      <c r="J132">
        <f>(Table3[[#This Row],[HomeMargin]]-Table3[[#This Row],[HomeForecast]])^2</f>
        <v>4.555076692264131</v>
      </c>
    </row>
    <row r="133" spans="4:10" x14ac:dyDescent="0.2">
      <c r="D133" t="s">
        <v>25</v>
      </c>
      <c r="E133">
        <f>'NHL2025-26Results'!C129</f>
        <v>2</v>
      </c>
      <c r="F133" t="s">
        <v>39</v>
      </c>
      <c r="G133">
        <f>'NHL2025-26Results'!E129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1.3290055870121109E-2</v>
      </c>
      <c r="J133">
        <f>(Table3[[#This Row],[HomeMargin]]-Table3[[#This Row],[HomeForecast]])^2</f>
        <v>0.97359651384478874</v>
      </c>
    </row>
    <row r="134" spans="4:10" x14ac:dyDescent="0.2">
      <c r="D134" t="s">
        <v>35</v>
      </c>
      <c r="E134">
        <f>'NHL2025-26Results'!C130</f>
        <v>4</v>
      </c>
      <c r="F134" t="s">
        <v>26</v>
      </c>
      <c r="G134">
        <f>'NHL2025-26Results'!E130</f>
        <v>6</v>
      </c>
      <c r="H134">
        <f>Table3[[#This Row],[G_1]]-Table3[[#This Row],[G]]</f>
        <v>2</v>
      </c>
      <c r="I134">
        <f>HomeEdge+VLOOKUP(Table3[[#This Row],[Home]],$A$6:$B$38,2,FALSE)-VLOOKUP(Table3[[#This Row],[Visitor]],$A$6:$B$38,2,FALSE)</f>
        <v>1.1891334082281317</v>
      </c>
      <c r="J134">
        <f>(Table3[[#This Row],[HomeMargin]]-Table3[[#This Row],[HomeForecast]])^2</f>
        <v>0.65750462965172563</v>
      </c>
    </row>
    <row r="135" spans="4:10" x14ac:dyDescent="0.2">
      <c r="D135" t="s">
        <v>20</v>
      </c>
      <c r="E135">
        <f>'NHL2025-26Results'!C131</f>
        <v>0</v>
      </c>
      <c r="F135" t="s">
        <v>11</v>
      </c>
      <c r="G135">
        <f>'NHL2025-26Results'!E131</f>
        <v>3</v>
      </c>
      <c r="H135">
        <f>Table3[[#This Row],[G_1]]-Table3[[#This Row],[G]]</f>
        <v>3</v>
      </c>
      <c r="I135">
        <f>HomeEdge+VLOOKUP(Table3[[#This Row],[Home]],$A$6:$B$38,2,FALSE)-VLOOKUP(Table3[[#This Row],[Visitor]],$A$6:$B$38,2,FALSE)</f>
        <v>-0.32300857225028035</v>
      </c>
      <c r="J135">
        <f>(Table3[[#This Row],[HomeMargin]]-Table3[[#This Row],[HomeForecast]])^2</f>
        <v>11.042385971248846</v>
      </c>
    </row>
    <row r="136" spans="4:10" x14ac:dyDescent="0.2">
      <c r="D136" t="s">
        <v>55</v>
      </c>
      <c r="E136">
        <f>'NHL2025-26Results'!C132</f>
        <v>6</v>
      </c>
      <c r="F136" t="s">
        <v>34</v>
      </c>
      <c r="G136">
        <f>'NHL2025-26Results'!E132</f>
        <v>2</v>
      </c>
      <c r="H136">
        <f>Table3[[#This Row],[G_1]]-Table3[[#This Row],[G]]</f>
        <v>-4</v>
      </c>
      <c r="I136">
        <f>HomeEdge+VLOOKUP(Table3[[#This Row],[Home]],$A$6:$B$38,2,FALSE)-VLOOKUP(Table3[[#This Row],[Visitor]],$A$6:$B$38,2,FALSE)</f>
        <v>-1.1702707625127984E-2</v>
      </c>
      <c r="J136">
        <f>(Table3[[#This Row],[HomeMargin]]-Table3[[#This Row],[HomeForecast]])^2</f>
        <v>15.906515292364736</v>
      </c>
    </row>
    <row r="137" spans="4:10" x14ac:dyDescent="0.2">
      <c r="D137" t="s">
        <v>13</v>
      </c>
      <c r="E137">
        <f>'NHL2025-26Results'!C133</f>
        <v>4</v>
      </c>
      <c r="F137" t="s">
        <v>29</v>
      </c>
      <c r="G137">
        <f>'NHL2025-26Results'!E133</f>
        <v>5</v>
      </c>
      <c r="H137">
        <f>Table3[[#This Row],[G_1]]-Table3[[#This Row],[G]]</f>
        <v>1</v>
      </c>
      <c r="I137">
        <f>HomeEdge+VLOOKUP(Table3[[#This Row],[Home]],$A$6:$B$38,2,FALSE)-VLOOKUP(Table3[[#This Row],[Visitor]],$A$6:$B$38,2,FALSE)</f>
        <v>-0.21091703699719927</v>
      </c>
      <c r="J137">
        <f>(Table3[[#This Row],[HomeMargin]]-Table3[[#This Row],[HomeForecast]])^2</f>
        <v>1.4663200704900765</v>
      </c>
    </row>
    <row r="138" spans="4:10" x14ac:dyDescent="0.2">
      <c r="D138" t="s">
        <v>30</v>
      </c>
      <c r="E138">
        <f>'NHL2025-26Results'!C134</f>
        <v>3</v>
      </c>
      <c r="F138" t="s">
        <v>27</v>
      </c>
      <c r="G138">
        <f>'NHL2025-26Results'!E134</f>
        <v>4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-1.6765802475231795E-2</v>
      </c>
      <c r="J138">
        <f>(Table3[[#This Row],[HomeMargin]]-Table3[[#This Row],[HomeForecast]])^2</f>
        <v>1.0338126970831019</v>
      </c>
    </row>
    <row r="139" spans="4:10" x14ac:dyDescent="0.2">
      <c r="D139" t="s">
        <v>28</v>
      </c>
      <c r="E139">
        <f>'NHL2025-26Results'!C135</f>
        <v>5</v>
      </c>
      <c r="F139" t="s">
        <v>14</v>
      </c>
      <c r="G139">
        <f>'NHL2025-26Results'!E135</f>
        <v>4</v>
      </c>
      <c r="H139">
        <f>Table3[[#This Row],[G_1]]-Table3[[#This Row],[G]]</f>
        <v>-1</v>
      </c>
      <c r="I139">
        <f>HomeEdge+VLOOKUP(Table3[[#This Row],[Home]],$A$6:$B$38,2,FALSE)-VLOOKUP(Table3[[#This Row],[Visitor]],$A$6:$B$38,2,FALSE)</f>
        <v>0.5218491039552452</v>
      </c>
      <c r="J139">
        <f>(Table3[[#This Row],[HomeMargin]]-Table3[[#This Row],[HomeForecast]])^2</f>
        <v>2.316024695209383</v>
      </c>
    </row>
    <row r="140" spans="4:10" x14ac:dyDescent="0.2">
      <c r="D140" t="s">
        <v>17</v>
      </c>
      <c r="E140">
        <f>'NHL2025-26Results'!C136</f>
        <v>2</v>
      </c>
      <c r="F140" t="s">
        <v>32</v>
      </c>
      <c r="G140">
        <f>'NHL2025-26Results'!E136</f>
        <v>3</v>
      </c>
      <c r="H140">
        <f>Table3[[#This Row],[G_1]]-Table3[[#This Row],[G]]</f>
        <v>1</v>
      </c>
      <c r="I140">
        <f>HomeEdge+VLOOKUP(Table3[[#This Row],[Home]],$A$6:$B$38,2,FALSE)-VLOOKUP(Table3[[#This Row],[Visitor]],$A$6:$B$38,2,FALSE)</f>
        <v>-0.27456265852130723</v>
      </c>
      <c r="J140">
        <f>(Table3[[#This Row],[HomeMargin]]-Table3[[#This Row],[HomeForecast]])^2</f>
        <v>1.6245099704969024</v>
      </c>
    </row>
    <row r="141" spans="4:10" x14ac:dyDescent="0.2">
      <c r="D141" t="s">
        <v>31</v>
      </c>
      <c r="E141">
        <f>'NHL2025-26Results'!C137</f>
        <v>3</v>
      </c>
      <c r="F141" t="s">
        <v>37</v>
      </c>
      <c r="G141">
        <f>'NHL2025-26Results'!E137</f>
        <v>4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1.132269152048798</v>
      </c>
      <c r="J141">
        <f>(Table3[[#This Row],[HomeMargin]]-Table3[[#This Row],[HomeForecast]])^2</f>
        <v>1.7495128583708035E-2</v>
      </c>
    </row>
    <row r="142" spans="4:10" x14ac:dyDescent="0.2">
      <c r="D142" t="s">
        <v>23</v>
      </c>
      <c r="E142">
        <f>'NHL2025-26Results'!C138</f>
        <v>3</v>
      </c>
      <c r="F142" t="s">
        <v>19</v>
      </c>
      <c r="G142">
        <f>'NHL2025-26Results'!E138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-0.25313206756926315</v>
      </c>
      <c r="J142">
        <f>(Table3[[#This Row],[HomeMargin]]-Table3[[#This Row],[HomeForecast]])^2</f>
        <v>1.5703399787704164</v>
      </c>
    </row>
    <row r="143" spans="4:10" x14ac:dyDescent="0.2">
      <c r="D143" t="s">
        <v>18</v>
      </c>
      <c r="E143">
        <f>'NHL2025-26Results'!C139</f>
        <v>4</v>
      </c>
      <c r="F143" t="s">
        <v>38</v>
      </c>
      <c r="G143">
        <f>'NHL2025-26Results'!E139</f>
        <v>3</v>
      </c>
      <c r="H143">
        <f>Table3[[#This Row],[G_1]]-Table3[[#This Row],[G]]</f>
        <v>-1</v>
      </c>
      <c r="I143">
        <f>HomeEdge+VLOOKUP(Table3[[#This Row],[Home]],$A$6:$B$38,2,FALSE)-VLOOKUP(Table3[[#This Row],[Visitor]],$A$6:$B$38,2,FALSE)</f>
        <v>-0.92670625424243491</v>
      </c>
      <c r="J143">
        <f>(Table3[[#This Row],[HomeMargin]]-Table3[[#This Row],[HomeForecast]])^2</f>
        <v>5.3719731671745905E-3</v>
      </c>
    </row>
    <row r="144" spans="4:10" x14ac:dyDescent="0.2">
      <c r="D144" t="s">
        <v>36</v>
      </c>
      <c r="E144">
        <f>'NHL2025-26Results'!C140</f>
        <v>7</v>
      </c>
      <c r="F144" t="s">
        <v>22</v>
      </c>
      <c r="G144">
        <f>'NHL2025-26Results'!E140</f>
        <v>1</v>
      </c>
      <c r="H144">
        <f>Table3[[#This Row],[G_1]]-Table3[[#This Row],[G]]</f>
        <v>-6</v>
      </c>
      <c r="I144">
        <f>HomeEdge+VLOOKUP(Table3[[#This Row],[Home]],$A$6:$B$38,2,FALSE)-VLOOKUP(Table3[[#This Row],[Visitor]],$A$6:$B$38,2,FALSE)</f>
        <v>0.41071748640143257</v>
      </c>
      <c r="J144">
        <f>(Table3[[#This Row],[HomeMargin]]-Table3[[#This Row],[HomeForecast]])^2</f>
        <v>41.097298690453108</v>
      </c>
    </row>
    <row r="145" spans="4:10" x14ac:dyDescent="0.2">
      <c r="D145" t="s">
        <v>15</v>
      </c>
      <c r="E145">
        <f>'NHL2025-26Results'!C141</f>
        <v>1</v>
      </c>
      <c r="F145" t="s">
        <v>16</v>
      </c>
      <c r="G145">
        <f>'NHL2025-26Results'!E141</f>
        <v>5</v>
      </c>
      <c r="H145">
        <f>Table3[[#This Row],[G_1]]-Table3[[#This Row],[G]]</f>
        <v>4</v>
      </c>
      <c r="I145">
        <f>HomeEdge+VLOOKUP(Table3[[#This Row],[Home]],$A$6:$B$38,2,FALSE)-VLOOKUP(Table3[[#This Row],[Visitor]],$A$6:$B$38,2,FALSE)</f>
        <v>-5.5852636747518836E-2</v>
      </c>
      <c r="J145">
        <f>(Table3[[#This Row],[HomeMargin]]-Table3[[#This Row],[HomeForecast]])^2</f>
        <v>16.449940611011797</v>
      </c>
    </row>
    <row r="146" spans="4:10" x14ac:dyDescent="0.2">
      <c r="D146" t="s">
        <v>13</v>
      </c>
      <c r="E146">
        <f>'NHL2025-26Results'!C142</f>
        <v>3</v>
      </c>
      <c r="F146" t="s">
        <v>10</v>
      </c>
      <c r="G146">
        <f>'NHL2025-26Results'!E142</f>
        <v>1</v>
      </c>
      <c r="H146">
        <f>Table3[[#This Row],[G_1]]-Table3[[#This Row],[G]]</f>
        <v>-2</v>
      </c>
      <c r="I146">
        <f>HomeEdge+VLOOKUP(Table3[[#This Row],[Home]],$A$6:$B$38,2,FALSE)-VLOOKUP(Table3[[#This Row],[Visitor]],$A$6:$B$38,2,FALSE)</f>
        <v>-0.17234377706565901</v>
      </c>
      <c r="J146">
        <f>(Table3[[#This Row],[HomeMargin]]-Table3[[#This Row],[HomeForecast]])^2</f>
        <v>3.3403272692306212</v>
      </c>
    </row>
    <row r="147" spans="4:10" x14ac:dyDescent="0.2">
      <c r="D147" t="s">
        <v>33</v>
      </c>
      <c r="E147">
        <f>'NHL2025-26Results'!C143</f>
        <v>6</v>
      </c>
      <c r="F147" t="s">
        <v>34</v>
      </c>
      <c r="G147">
        <f>'NHL2025-26Results'!E143</f>
        <v>5</v>
      </c>
      <c r="H147">
        <f>Table3[[#This Row],[G_1]]-Table3[[#This Row],[G]]</f>
        <v>-1</v>
      </c>
      <c r="I147">
        <f>HomeEdge+VLOOKUP(Table3[[#This Row],[Home]],$A$6:$B$38,2,FALSE)-VLOOKUP(Table3[[#This Row],[Visitor]],$A$6:$B$38,2,FALSE)</f>
        <v>0.6434688153917707</v>
      </c>
      <c r="J147">
        <f>(Table3[[#This Row],[HomeMargin]]-Table3[[#This Row],[HomeForecast]])^2</f>
        <v>2.70098974716523</v>
      </c>
    </row>
    <row r="148" spans="4:10" x14ac:dyDescent="0.2">
      <c r="D148" t="s">
        <v>12</v>
      </c>
      <c r="E148">
        <f>'NHL2025-26Results'!C144</f>
        <v>3</v>
      </c>
      <c r="F148" t="s">
        <v>24</v>
      </c>
      <c r="G148">
        <f>'NHL2025-26Results'!E144</f>
        <v>4</v>
      </c>
      <c r="H148">
        <f>Table3[[#This Row],[G_1]]-Table3[[#This Row],[G]]</f>
        <v>1</v>
      </c>
      <c r="I148">
        <f>HomeEdge+VLOOKUP(Table3[[#This Row],[Home]],$A$6:$B$38,2,FALSE)-VLOOKUP(Table3[[#This Row],[Visitor]],$A$6:$B$38,2,FALSE)</f>
        <v>-1.6063348021055013</v>
      </c>
      <c r="J148">
        <f>(Table3[[#This Row],[HomeMargin]]-Table3[[#This Row],[HomeForecast]])^2</f>
        <v>6.7929811006663234</v>
      </c>
    </row>
    <row r="149" spans="4:10" x14ac:dyDescent="0.2">
      <c r="D149" t="s">
        <v>39</v>
      </c>
      <c r="E149">
        <f>'NHL2025-26Results'!C145</f>
        <v>3</v>
      </c>
      <c r="F149" t="s">
        <v>29</v>
      </c>
      <c r="G149">
        <f>'NHL2025-26Results'!E145</f>
        <v>2</v>
      </c>
      <c r="H149">
        <f>Table3[[#This Row],[G_1]]-Table3[[#This Row],[G]]</f>
        <v>-1</v>
      </c>
      <c r="I149">
        <f>HomeEdge+VLOOKUP(Table3[[#This Row],[Home]],$A$6:$B$38,2,FALSE)-VLOOKUP(Table3[[#This Row],[Visitor]],$A$6:$B$38,2,FALSE)</f>
        <v>-0.85976243078532844</v>
      </c>
      <c r="J149">
        <f>(Table3[[#This Row],[HomeMargin]]-Table3[[#This Row],[HomeForecast]])^2</f>
        <v>1.9666575819239796E-2</v>
      </c>
    </row>
    <row r="150" spans="4:10" x14ac:dyDescent="0.2">
      <c r="D150" t="s">
        <v>20</v>
      </c>
      <c r="E150">
        <f>'NHL2025-26Results'!C146</f>
        <v>1</v>
      </c>
      <c r="F150" t="s">
        <v>37</v>
      </c>
      <c r="G150">
        <f>'NHL2025-26Results'!E146</f>
        <v>2</v>
      </c>
      <c r="H150">
        <f>Table3[[#This Row],[G_1]]-Table3[[#This Row],[G]]</f>
        <v>1</v>
      </c>
      <c r="I150">
        <f>HomeEdge+VLOOKUP(Table3[[#This Row],[Home]],$A$6:$B$38,2,FALSE)-VLOOKUP(Table3[[#This Row],[Visitor]],$A$6:$B$38,2,FALSE)</f>
        <v>0.75414967118193033</v>
      </c>
      <c r="J150">
        <f>(Table3[[#This Row],[HomeMargin]]-Table3[[#This Row],[HomeForecast]])^2</f>
        <v>6.0442384179952978E-2</v>
      </c>
    </row>
    <row r="151" spans="4:10" x14ac:dyDescent="0.2">
      <c r="D151" t="s">
        <v>17</v>
      </c>
      <c r="E151">
        <f>'NHL2025-26Results'!C147</f>
        <v>3</v>
      </c>
      <c r="F151" t="s">
        <v>38</v>
      </c>
      <c r="G151">
        <f>'NHL2025-26Results'!E147</f>
        <v>4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-0.96274968793950455</v>
      </c>
      <c r="J151">
        <f>(Table3[[#This Row],[HomeMargin]]-Table3[[#This Row],[HomeForecast]])^2</f>
        <v>3.8523863375066223</v>
      </c>
    </row>
    <row r="152" spans="4:10" x14ac:dyDescent="0.2">
      <c r="D152" t="s">
        <v>55</v>
      </c>
      <c r="E152">
        <f>'NHL2025-26Results'!C148</f>
        <v>3</v>
      </c>
      <c r="F152" t="s">
        <v>40</v>
      </c>
      <c r="G152">
        <f>'NHL2025-26Results'!E148</f>
        <v>2</v>
      </c>
      <c r="H152">
        <f>Table3[[#This Row],[G_1]]-Table3[[#This Row],[G]]</f>
        <v>-1</v>
      </c>
      <c r="I152">
        <f>HomeEdge+VLOOKUP(Table3[[#This Row],[Home]],$A$6:$B$38,2,FALSE)-VLOOKUP(Table3[[#This Row],[Visitor]],$A$6:$B$38,2,FALSE)</f>
        <v>-0.49849976059279216</v>
      </c>
      <c r="J152">
        <f>(Table3[[#This Row],[HomeMargin]]-Table3[[#This Row],[HomeForecast]])^2</f>
        <v>0.25150249012548681</v>
      </c>
    </row>
    <row r="153" spans="4:10" x14ac:dyDescent="0.2">
      <c r="D153" t="s">
        <v>21</v>
      </c>
      <c r="E153">
        <f>'NHL2025-26Results'!C149</f>
        <v>2</v>
      </c>
      <c r="F153" t="s">
        <v>36</v>
      </c>
      <c r="G153">
        <f>'NHL2025-26Results'!E149</f>
        <v>7</v>
      </c>
      <c r="H153">
        <f>Table3[[#This Row],[G_1]]-Table3[[#This Row],[G]]</f>
        <v>5</v>
      </c>
      <c r="I153">
        <f>HomeEdge+VLOOKUP(Table3[[#This Row],[Home]],$A$6:$B$38,2,FALSE)-VLOOKUP(Table3[[#This Row],[Visitor]],$A$6:$B$38,2,FALSE)</f>
        <v>-0.25288943271425951</v>
      </c>
      <c r="J153">
        <f>(Table3[[#This Row],[HomeMargin]]-Table3[[#This Row],[HomeForecast]])^2</f>
        <v>27.592847392321136</v>
      </c>
    </row>
    <row r="154" spans="4:10" x14ac:dyDescent="0.2">
      <c r="D154" t="s">
        <v>35</v>
      </c>
      <c r="E154">
        <f>'NHL2025-26Results'!C150</f>
        <v>3</v>
      </c>
      <c r="F154" t="s">
        <v>14</v>
      </c>
      <c r="G154">
        <f>'NHL2025-26Results'!E150</f>
        <v>6</v>
      </c>
      <c r="H154">
        <f>Table3[[#This Row],[G_1]]-Table3[[#This Row],[G]]</f>
        <v>3</v>
      </c>
      <c r="I154">
        <f>HomeEdge+VLOOKUP(Table3[[#This Row],[Home]],$A$6:$B$38,2,FALSE)-VLOOKUP(Table3[[#This Row],[Visitor]],$A$6:$B$38,2,FALSE)</f>
        <v>1.3623650975303971</v>
      </c>
      <c r="J154">
        <f>(Table3[[#This Row],[HomeMargin]]-Table3[[#This Row],[HomeForecast]])^2</f>
        <v>2.6818480737866257</v>
      </c>
    </row>
    <row r="155" spans="4:10" x14ac:dyDescent="0.2">
      <c r="D155" t="s">
        <v>30</v>
      </c>
      <c r="E155">
        <f>'NHL2025-26Results'!C151</f>
        <v>2</v>
      </c>
      <c r="F155" t="s">
        <v>21</v>
      </c>
      <c r="G155">
        <f>'NHL2025-26Results'!E151</f>
        <v>5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0.25000944835358363</v>
      </c>
      <c r="J155">
        <f>(Table3[[#This Row],[HomeMargin]]-Table3[[#This Row],[HomeForecast]])^2</f>
        <v>7.5624480341445617</v>
      </c>
    </row>
    <row r="156" spans="4:10" x14ac:dyDescent="0.2">
      <c r="D156" t="s">
        <v>28</v>
      </c>
      <c r="E156">
        <f>'NHL2025-26Results'!C152</f>
        <v>4</v>
      </c>
      <c r="F156" t="s">
        <v>23</v>
      </c>
      <c r="G156">
        <f>'NHL2025-26Results'!E152</f>
        <v>3</v>
      </c>
      <c r="H156">
        <f>Table3[[#This Row],[G_1]]-Table3[[#This Row],[G]]</f>
        <v>-1</v>
      </c>
      <c r="I156">
        <f>HomeEdge+VLOOKUP(Table3[[#This Row],[Home]],$A$6:$B$38,2,FALSE)-VLOOKUP(Table3[[#This Row],[Visitor]],$A$6:$B$38,2,FALSE)</f>
        <v>0.54916344457852728</v>
      </c>
      <c r="J156">
        <f>(Table3[[#This Row],[HomeMargin]]-Table3[[#This Row],[HomeForecast]])^2</f>
        <v>2.3999073780184079</v>
      </c>
    </row>
    <row r="157" spans="4:10" x14ac:dyDescent="0.2">
      <c r="D157" t="s">
        <v>20</v>
      </c>
      <c r="E157">
        <f>'NHL2025-26Results'!C153</f>
        <v>6</v>
      </c>
      <c r="F157" t="s">
        <v>25</v>
      </c>
      <c r="G157">
        <f>'NHL2025-26Results'!E153</f>
        <v>3</v>
      </c>
      <c r="H157">
        <f>Table3[[#This Row],[G_1]]-Table3[[#This Row],[G]]</f>
        <v>-3</v>
      </c>
      <c r="I157">
        <f>HomeEdge+VLOOKUP(Table3[[#This Row],[Home]],$A$6:$B$38,2,FALSE)-VLOOKUP(Table3[[#This Row],[Visitor]],$A$6:$B$38,2,FALSE)</f>
        <v>0.39602014587876122</v>
      </c>
      <c r="J157">
        <f>(Table3[[#This Row],[HomeMargin]]-Table3[[#This Row],[HomeForecast]])^2</f>
        <v>11.532952831214402</v>
      </c>
    </row>
    <row r="158" spans="4:10" x14ac:dyDescent="0.2">
      <c r="D158" t="s">
        <v>36</v>
      </c>
      <c r="E158">
        <f>'NHL2025-26Results'!C154</f>
        <v>3</v>
      </c>
      <c r="F158" t="s">
        <v>10</v>
      </c>
      <c r="G158">
        <f>'NHL2025-26Results'!E154</f>
        <v>7</v>
      </c>
      <c r="H158">
        <f>Table3[[#This Row],[G_1]]-Table3[[#This Row],[G]]</f>
        <v>4</v>
      </c>
      <c r="I158">
        <f>HomeEdge+VLOOKUP(Table3[[#This Row],[Home]],$A$6:$B$38,2,FALSE)-VLOOKUP(Table3[[#This Row],[Visitor]],$A$6:$B$38,2,FALSE)</f>
        <v>-0.20468590549758331</v>
      </c>
      <c r="J158">
        <f>(Table3[[#This Row],[HomeMargin]]-Table3[[#This Row],[HomeForecast]])^2</f>
        <v>17.679383563890031</v>
      </c>
    </row>
    <row r="159" spans="4:10" x14ac:dyDescent="0.2">
      <c r="D159" t="s">
        <v>24</v>
      </c>
      <c r="E159">
        <f>'NHL2025-26Results'!C155</f>
        <v>4</v>
      </c>
      <c r="F159" t="s">
        <v>12</v>
      </c>
      <c r="G159">
        <f>'NHL2025-26Results'!E155</f>
        <v>8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1.7982747924468279</v>
      </c>
      <c r="J159">
        <f>(Table3[[#This Row],[HomeMargin]]-Table3[[#This Row],[HomeForecast]])^2</f>
        <v>4.8475938895750588</v>
      </c>
    </row>
    <row r="160" spans="4:10" x14ac:dyDescent="0.2">
      <c r="D160" t="s">
        <v>22</v>
      </c>
      <c r="E160">
        <f>'NHL2025-26Results'!C156</f>
        <v>0</v>
      </c>
      <c r="F160" t="s">
        <v>39</v>
      </c>
      <c r="G160">
        <f>'NHL2025-26Results'!E156</f>
        <v>1</v>
      </c>
      <c r="H160">
        <f>Table3[[#This Row],[G_1]]-Table3[[#This Row],[G]]</f>
        <v>1</v>
      </c>
      <c r="I160">
        <f>HomeEdge+VLOOKUP(Table3[[#This Row],[Home]],$A$6:$B$38,2,FALSE)-VLOOKUP(Table3[[#This Row],[Visitor]],$A$6:$B$38,2,FALSE)</f>
        <v>0.39772576929609871</v>
      </c>
      <c r="J160">
        <f>(Table3[[#This Row],[HomeMargin]]-Table3[[#This Row],[HomeForecast]])^2</f>
        <v>0.36273424896997614</v>
      </c>
    </row>
    <row r="161" spans="4:10" x14ac:dyDescent="0.2">
      <c r="D161" t="s">
        <v>55</v>
      </c>
      <c r="E161">
        <f>'NHL2025-26Results'!C157</f>
        <v>3</v>
      </c>
      <c r="F161" t="s">
        <v>17</v>
      </c>
      <c r="G161">
        <f>'NHL2025-26Results'!E157</f>
        <v>6</v>
      </c>
      <c r="H161">
        <f>Table3[[#This Row],[G_1]]-Table3[[#This Row],[G]]</f>
        <v>3</v>
      </c>
      <c r="I161">
        <f>HomeEdge+VLOOKUP(Table3[[#This Row],[Home]],$A$6:$B$38,2,FALSE)-VLOOKUP(Table3[[#This Row],[Visitor]],$A$6:$B$38,2,FALSE)</f>
        <v>-0.22499332032333913</v>
      </c>
      <c r="J161">
        <f>(Table3[[#This Row],[HomeMargin]]-Table3[[#This Row],[HomeForecast]])^2</f>
        <v>10.400581916130154</v>
      </c>
    </row>
    <row r="162" spans="4:10" x14ac:dyDescent="0.2">
      <c r="D162" t="s">
        <v>31</v>
      </c>
      <c r="E162">
        <f>'NHL2025-26Results'!C158</f>
        <v>3</v>
      </c>
      <c r="F162" t="s">
        <v>11</v>
      </c>
      <c r="G162">
        <f>'NHL2025-26Results'!E158</f>
        <v>2</v>
      </c>
      <c r="H162">
        <f>Table3[[#This Row],[G_1]]-Table3[[#This Row],[G]]</f>
        <v>-1</v>
      </c>
      <c r="I162">
        <f>HomeEdge+VLOOKUP(Table3[[#This Row],[Home]],$A$6:$B$38,2,FALSE)-VLOOKUP(Table3[[#This Row],[Visitor]],$A$6:$B$38,2,FALSE)</f>
        <v>5.511090861658724E-2</v>
      </c>
      <c r="J162">
        <f>(Table3[[#This Row],[HomeMargin]]-Table3[[#This Row],[HomeForecast]])^2</f>
        <v>1.1132590294817204</v>
      </c>
    </row>
    <row r="163" spans="4:10" x14ac:dyDescent="0.2">
      <c r="D163" t="s">
        <v>40</v>
      </c>
      <c r="E163">
        <f>'NHL2025-26Results'!C159</f>
        <v>4</v>
      </c>
      <c r="F163" t="s">
        <v>34</v>
      </c>
      <c r="G163">
        <f>'NHL2025-26Results'!E159</f>
        <v>3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0.58276704813832747</v>
      </c>
      <c r="J163">
        <f>(Table3[[#This Row],[HomeMargin]]-Table3[[#This Row],[HomeForecast]])^2</f>
        <v>2.5051515286725148</v>
      </c>
    </row>
    <row r="164" spans="4:10" x14ac:dyDescent="0.2">
      <c r="D164" t="s">
        <v>37</v>
      </c>
      <c r="E164">
        <f>'NHL2025-26Results'!C160</f>
        <v>5</v>
      </c>
      <c r="F164" t="s">
        <v>29</v>
      </c>
      <c r="G164">
        <f>'NHL2025-26Results'!E160</f>
        <v>2</v>
      </c>
      <c r="H164">
        <f>Table3[[#This Row],[G_1]]-Table3[[#This Row],[G]]</f>
        <v>-3</v>
      </c>
      <c r="I164">
        <f>HomeEdge+VLOOKUP(Table3[[#This Row],[Home]],$A$6:$B$38,2,FALSE)-VLOOKUP(Table3[[#This Row],[Visitor]],$A$6:$B$38,2,FALSE)</f>
        <v>-1.3005718953890395</v>
      </c>
      <c r="J164">
        <f>(Table3[[#This Row],[HomeMargin]]-Table3[[#This Row],[HomeForecast]])^2</f>
        <v>2.8880558827416016</v>
      </c>
    </row>
    <row r="165" spans="4:10" x14ac:dyDescent="0.2">
      <c r="D165" t="s">
        <v>14</v>
      </c>
      <c r="E165">
        <f>'NHL2025-26Results'!C161</f>
        <v>2</v>
      </c>
      <c r="F165" t="s">
        <v>27</v>
      </c>
      <c r="G165">
        <f>'NHL2025-26Results'!E161</f>
        <v>3</v>
      </c>
      <c r="H165">
        <f>Table3[[#This Row],[G_1]]-Table3[[#This Row],[G]]</f>
        <v>1</v>
      </c>
      <c r="I165">
        <f>HomeEdge+VLOOKUP(Table3[[#This Row],[Home]],$A$6:$B$38,2,FALSE)-VLOOKUP(Table3[[#This Row],[Visitor]],$A$6:$B$38,2,FALSE)</f>
        <v>-0.22588560061710547</v>
      </c>
      <c r="J165">
        <f>(Table3[[#This Row],[HomeMargin]]-Table3[[#This Row],[HomeForecast]])^2</f>
        <v>1.5027955058003615</v>
      </c>
    </row>
    <row r="166" spans="4:10" x14ac:dyDescent="0.2">
      <c r="D166" t="s">
        <v>18</v>
      </c>
      <c r="E166">
        <f>'NHL2025-26Results'!C162</f>
        <v>4</v>
      </c>
      <c r="F166" t="s">
        <v>32</v>
      </c>
      <c r="G166">
        <f>'NHL2025-26Results'!E162</f>
        <v>3</v>
      </c>
      <c r="H166">
        <f>Table3[[#This Row],[G_1]]-Table3[[#This Row],[G]]</f>
        <v>-1</v>
      </c>
      <c r="I166">
        <f>HomeEdge+VLOOKUP(Table3[[#This Row],[Home]],$A$6:$B$38,2,FALSE)-VLOOKUP(Table3[[#This Row],[Visitor]],$A$6:$B$38,2,FALSE)</f>
        <v>-0.23851922482423768</v>
      </c>
      <c r="J166">
        <f>(Table3[[#This Row],[HomeMargin]]-Table3[[#This Row],[HomeForecast]])^2</f>
        <v>0.57985297096227983</v>
      </c>
    </row>
    <row r="167" spans="4:10" x14ac:dyDescent="0.2">
      <c r="D167" t="s">
        <v>13</v>
      </c>
      <c r="E167">
        <f>'NHL2025-26Results'!C163</f>
        <v>4</v>
      </c>
      <c r="F167" t="s">
        <v>33</v>
      </c>
      <c r="G167">
        <f>'NHL2025-26Results'!E163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-2.4001429333803115E-3</v>
      </c>
      <c r="J167">
        <f>(Table3[[#This Row],[HomeMargin]]-Table3[[#This Row],[HomeForecast]])^2</f>
        <v>0.99520547481934007</v>
      </c>
    </row>
    <row r="168" spans="4:10" x14ac:dyDescent="0.2">
      <c r="D168" t="s">
        <v>26</v>
      </c>
      <c r="E168">
        <f>'NHL2025-26Results'!C164</f>
        <v>5</v>
      </c>
      <c r="F168" t="s">
        <v>35</v>
      </c>
      <c r="G168">
        <f>'NHL2025-26Results'!E164</f>
        <v>2</v>
      </c>
      <c r="H168">
        <f>Table3[[#This Row],[G_1]]-Table3[[#This Row],[G]]</f>
        <v>-3</v>
      </c>
      <c r="I168">
        <f>HomeEdge+VLOOKUP(Table3[[#This Row],[Home]],$A$6:$B$38,2,FALSE)-VLOOKUP(Table3[[#This Row],[Visitor]],$A$6:$B$38,2,FALSE)</f>
        <v>-0.99719341788680527</v>
      </c>
      <c r="J168">
        <f>(Table3[[#This Row],[HomeMargin]]-Table3[[#This Row],[HomeForecast]])^2</f>
        <v>4.0112342053559367</v>
      </c>
    </row>
    <row r="169" spans="4:10" x14ac:dyDescent="0.2">
      <c r="D169" t="s">
        <v>16</v>
      </c>
      <c r="E169">
        <f>'NHL2025-26Results'!C165</f>
        <v>3</v>
      </c>
      <c r="F169" t="s">
        <v>19</v>
      </c>
      <c r="G169">
        <f>'NHL2025-26Results'!E165</f>
        <v>4</v>
      </c>
      <c r="H169">
        <f>Table3[[#This Row],[G_1]]-Table3[[#This Row],[G]]</f>
        <v>1</v>
      </c>
      <c r="I169">
        <f>HomeEdge+VLOOKUP(Table3[[#This Row],[Home]],$A$6:$B$38,2,FALSE)-VLOOKUP(Table3[[#This Row],[Visitor]],$A$6:$B$38,2,FALSE)</f>
        <v>0.56570372829180349</v>
      </c>
      <c r="J169">
        <f>(Table3[[#This Row],[HomeMargin]]-Table3[[#This Row],[HomeForecast]])^2</f>
        <v>0.18861325161963965</v>
      </c>
    </row>
    <row r="170" spans="4:10" x14ac:dyDescent="0.2">
      <c r="D170" t="s">
        <v>15</v>
      </c>
      <c r="E170">
        <f>'NHL2025-26Results'!C166</f>
        <v>2</v>
      </c>
      <c r="F170" t="s">
        <v>38</v>
      </c>
      <c r="G170">
        <f>'NHL2025-26Results'!E166</f>
        <v>0</v>
      </c>
      <c r="H170">
        <f>Table3[[#This Row],[G_1]]-Table3[[#This Row],[G]]</f>
        <v>-2</v>
      </c>
      <c r="I170">
        <f>HomeEdge+VLOOKUP(Table3[[#This Row],[Home]],$A$6:$B$38,2,FALSE)-VLOOKUP(Table3[[#This Row],[Visitor]],$A$6:$B$38,2,FALSE)</f>
        <v>-0.52349469647684965</v>
      </c>
      <c r="J170">
        <f>(Table3[[#This Row],[HomeMargin]]-Table3[[#This Row],[HomeForecast]])^2</f>
        <v>2.1800679113319905</v>
      </c>
    </row>
    <row r="171" spans="4:10" x14ac:dyDescent="0.2">
      <c r="D171" t="s">
        <v>19</v>
      </c>
      <c r="E171">
        <f>'NHL2025-26Results'!C167</f>
        <v>3</v>
      </c>
      <c r="F171" t="s">
        <v>28</v>
      </c>
      <c r="G171">
        <f>'NHL2025-26Results'!E167</f>
        <v>6</v>
      </c>
      <c r="H171">
        <f>Table3[[#This Row],[G_1]]-Table3[[#This Row],[G]]</f>
        <v>3</v>
      </c>
      <c r="I171">
        <f>HomeEdge+VLOOKUP(Table3[[#This Row],[Home]],$A$6:$B$38,2,FALSE)-VLOOKUP(Table3[[#This Row],[Visitor]],$A$6:$B$38,2,FALSE)</f>
        <v>-8.1213914972744217E-3</v>
      </c>
      <c r="J171">
        <f>(Table3[[#This Row],[HomeMargin]]-Table3[[#This Row],[HomeForecast]])^2</f>
        <v>9.048794305983499</v>
      </c>
    </row>
    <row r="172" spans="4:10" x14ac:dyDescent="0.2">
      <c r="D172" t="s">
        <v>23</v>
      </c>
      <c r="E172">
        <f>'NHL2025-26Results'!C168</f>
        <v>3</v>
      </c>
      <c r="F172" t="s">
        <v>21</v>
      </c>
      <c r="G172">
        <f>'NHL2025-26Results'!E168</f>
        <v>4</v>
      </c>
      <c r="H172">
        <f>Table3[[#This Row],[G_1]]-Table3[[#This Row],[G]]</f>
        <v>1</v>
      </c>
      <c r="I172">
        <f>HomeEdge+VLOOKUP(Table3[[#This Row],[Home]],$A$6:$B$38,2,FALSE)-VLOOKUP(Table3[[#This Row],[Visitor]],$A$6:$B$38,2,FALSE)</f>
        <v>1.3575309588427852E-2</v>
      </c>
      <c r="J172">
        <f>(Table3[[#This Row],[HomeMargin]]-Table3[[#This Row],[HomeForecast]])^2</f>
        <v>0.97303366985356587</v>
      </c>
    </row>
    <row r="173" spans="4:10" x14ac:dyDescent="0.2">
      <c r="D173" t="s">
        <v>30</v>
      </c>
      <c r="E173">
        <f>'NHL2025-26Results'!C169</f>
        <v>2</v>
      </c>
      <c r="F173" t="s">
        <v>25</v>
      </c>
      <c r="G173">
        <f>'NHL2025-26Results'!E169</f>
        <v>6</v>
      </c>
      <c r="H173">
        <f>Table3[[#This Row],[G_1]]-Table3[[#This Row],[G]]</f>
        <v>4</v>
      </c>
      <c r="I173">
        <f>HomeEdge+VLOOKUP(Table3[[#This Row],[Home]],$A$6:$B$38,2,FALSE)-VLOOKUP(Table3[[#This Row],[Visitor]],$A$6:$B$38,2,FALSE)</f>
        <v>0.60033322512540788</v>
      </c>
      <c r="J173">
        <f>(Table3[[#This Row],[HomeMargin]]-Table3[[#This Row],[HomeForecast]])^2</f>
        <v>11.557734180186209</v>
      </c>
    </row>
    <row r="174" spans="4:10" x14ac:dyDescent="0.2">
      <c r="D174" t="s">
        <v>15</v>
      </c>
      <c r="E174">
        <f>'NHL2025-26Results'!C170</f>
        <v>4</v>
      </c>
      <c r="F174" t="s">
        <v>17</v>
      </c>
      <c r="G174">
        <f>'NHL2025-26Results'!E170</f>
        <v>3</v>
      </c>
      <c r="H174">
        <f>Table3[[#This Row],[G_1]]-Table3[[#This Row],[G]]</f>
        <v>-1</v>
      </c>
      <c r="I174">
        <f>HomeEdge+VLOOKUP(Table3[[#This Row],[Home]],$A$6:$B$38,2,FALSE)-VLOOKUP(Table3[[#This Row],[Visitor]],$A$6:$B$38,2,FALSE)</f>
        <v>0.53522498663331808</v>
      </c>
      <c r="J174">
        <f>(Table3[[#This Row],[HomeMargin]]-Table3[[#This Row],[HomeForecast]])^2</f>
        <v>2.3569157595832717</v>
      </c>
    </row>
    <row r="175" spans="4:10" x14ac:dyDescent="0.2">
      <c r="D175" t="s">
        <v>26</v>
      </c>
      <c r="E175">
        <f>'NHL2025-26Results'!C171</f>
        <v>4</v>
      </c>
      <c r="F175" t="s">
        <v>13</v>
      </c>
      <c r="G175">
        <f>'NHL2025-26Results'!E171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-0.16708021680287155</v>
      </c>
      <c r="J175">
        <f>(Table3[[#This Row],[HomeMargin]]-Table3[[#This Row],[HomeForecast]])^2</f>
        <v>0.69375536524115144</v>
      </c>
    </row>
    <row r="176" spans="4:10" x14ac:dyDescent="0.2">
      <c r="D176" t="s">
        <v>14</v>
      </c>
      <c r="E176">
        <f>'NHL2025-26Results'!C172</f>
        <v>4</v>
      </c>
      <c r="F176" t="s">
        <v>34</v>
      </c>
      <c r="G176">
        <f>'NHL2025-26Results'!E172</f>
        <v>1</v>
      </c>
      <c r="H176">
        <f>Table3[[#This Row],[G_1]]-Table3[[#This Row],[G]]</f>
        <v>-3</v>
      </c>
      <c r="I176">
        <f>HomeEdge+VLOOKUP(Table3[[#This Row],[Home]],$A$6:$B$38,2,FALSE)-VLOOKUP(Table3[[#This Row],[Visitor]],$A$6:$B$38,2,FALSE)</f>
        <v>0.10881677601192682</v>
      </c>
      <c r="J176">
        <f>(Table3[[#This Row],[HomeMargin]]-Table3[[#This Row],[HomeForecast]])^2</f>
        <v>9.6647417468131902</v>
      </c>
    </row>
    <row r="177" spans="4:10" x14ac:dyDescent="0.2">
      <c r="D177" t="s">
        <v>16</v>
      </c>
      <c r="E177">
        <f>'NHL2025-26Results'!C173</f>
        <v>3</v>
      </c>
      <c r="F177" t="s">
        <v>36</v>
      </c>
      <c r="G177">
        <f>'NHL2025-26Results'!E173</f>
        <v>4</v>
      </c>
      <c r="H177">
        <f>Table3[[#This Row],[G_1]]-Table3[[#This Row],[G]]</f>
        <v>1</v>
      </c>
      <c r="I177">
        <f>HomeEdge+VLOOKUP(Table3[[#This Row],[Home]],$A$6:$B$38,2,FALSE)-VLOOKUP(Table3[[#This Row],[Visitor]],$A$6:$B$38,2,FALSE)</f>
        <v>0.48355167756457174</v>
      </c>
      <c r="J177">
        <f>(Table3[[#This Row],[HomeMargin]]-Table3[[#This Row],[HomeForecast]])^2</f>
        <v>0.2667188697463681</v>
      </c>
    </row>
    <row r="178" spans="4:10" x14ac:dyDescent="0.2">
      <c r="D178" t="s">
        <v>29</v>
      </c>
      <c r="E178">
        <f>'NHL2025-26Results'!C174</f>
        <v>1</v>
      </c>
      <c r="F178" t="s">
        <v>27</v>
      </c>
      <c r="G178">
        <f>'NHL2025-26Results'!E174</f>
        <v>4</v>
      </c>
      <c r="H178">
        <f>Table3[[#This Row],[G_1]]-Table3[[#This Row],[G]]</f>
        <v>3</v>
      </c>
      <c r="I178">
        <f>HomeEdge+VLOOKUP(Table3[[#This Row],[Home]],$A$6:$B$38,2,FALSE)-VLOOKUP(Table3[[#This Row],[Visitor]],$A$6:$B$38,2,FALSE)</f>
        <v>0.51728333282655736</v>
      </c>
      <c r="J178">
        <f>(Table3[[#This Row],[HomeMargin]]-Table3[[#This Row],[HomeForecast]])^2</f>
        <v>6.1638820494608071</v>
      </c>
    </row>
    <row r="179" spans="4:10" x14ac:dyDescent="0.2">
      <c r="D179" t="s">
        <v>24</v>
      </c>
      <c r="E179">
        <f>'NHL2025-26Results'!C175</f>
        <v>2</v>
      </c>
      <c r="F179" t="s">
        <v>33</v>
      </c>
      <c r="G179">
        <f>'NHL2025-26Results'!E175</f>
        <v>5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8.8470538814914124E-2</v>
      </c>
      <c r="J179">
        <f>(Table3[[#This Row],[HomeMargin]]-Table3[[#This Row],[HomeForecast]])^2</f>
        <v>8.4770038033487172</v>
      </c>
    </row>
    <row r="180" spans="4:10" x14ac:dyDescent="0.2">
      <c r="D180" t="s">
        <v>38</v>
      </c>
      <c r="E180">
        <f>'NHL2025-26Results'!C176</f>
        <v>4</v>
      </c>
      <c r="F180" t="s">
        <v>35</v>
      </c>
      <c r="G180">
        <f>'NHL2025-26Results'!E176</f>
        <v>3</v>
      </c>
      <c r="H180">
        <f>Table3[[#This Row],[G_1]]-Table3[[#This Row],[G]]</f>
        <v>-1</v>
      </c>
      <c r="I180">
        <f>HomeEdge+VLOOKUP(Table3[[#This Row],[Home]],$A$6:$B$38,2,FALSE)-VLOOKUP(Table3[[#This Row],[Visitor]],$A$6:$B$38,2,FALSE)</f>
        <v>8.8738407778044426E-2</v>
      </c>
      <c r="J180">
        <f>(Table3[[#This Row],[HomeMargin]]-Table3[[#This Row],[HomeForecast]])^2</f>
        <v>1.1853513205710713</v>
      </c>
    </row>
    <row r="181" spans="4:10" x14ac:dyDescent="0.2">
      <c r="D181" t="s">
        <v>39</v>
      </c>
      <c r="E181">
        <f>'NHL2025-26Results'!C177</f>
        <v>1</v>
      </c>
      <c r="F181" t="s">
        <v>37</v>
      </c>
      <c r="G181">
        <f>'NHL2025-26Results'!E177</f>
        <v>2</v>
      </c>
      <c r="H181">
        <f>Table3[[#This Row],[G_1]]-Table3[[#This Row],[G]]</f>
        <v>1</v>
      </c>
      <c r="I181">
        <f>HomeEdge+VLOOKUP(Table3[[#This Row],[Home]],$A$6:$B$38,2,FALSE)-VLOOKUP(Table3[[#This Row],[Visitor]],$A$6:$B$38,2,FALSE)</f>
        <v>0.53677945977437447</v>
      </c>
      <c r="J181">
        <f>(Table3[[#This Row],[HomeMargin]]-Table3[[#This Row],[HomeForecast]])^2</f>
        <v>0.21457326888692035</v>
      </c>
    </row>
    <row r="182" spans="4:10" x14ac:dyDescent="0.2">
      <c r="D182" t="s">
        <v>10</v>
      </c>
      <c r="E182">
        <f>'NHL2025-26Results'!C178</f>
        <v>3</v>
      </c>
      <c r="F182" t="s">
        <v>40</v>
      </c>
      <c r="G182">
        <f>'NHL2025-26Results'!E178</f>
        <v>6</v>
      </c>
      <c r="H182">
        <f>Table3[[#This Row],[G_1]]-Table3[[#This Row],[G]]</f>
        <v>3</v>
      </c>
      <c r="I182">
        <f>HomeEdge+VLOOKUP(Table3[[#This Row],[Home]],$A$6:$B$38,2,FALSE)-VLOOKUP(Table3[[#This Row],[Visitor]],$A$6:$B$38,2,FALSE)</f>
        <v>0.32661539655638527</v>
      </c>
      <c r="J182">
        <f>(Table3[[#This Row],[HomeMargin]]-Table3[[#This Row],[HomeForecast]])^2</f>
        <v>7.146985237929373</v>
      </c>
    </row>
    <row r="183" spans="4:10" x14ac:dyDescent="0.2">
      <c r="D183" t="s">
        <v>26</v>
      </c>
      <c r="E183">
        <f>'NHL2025-26Results'!C179</f>
        <v>2</v>
      </c>
      <c r="F183" t="s">
        <v>31</v>
      </c>
      <c r="G183">
        <f>'NHL2025-26Results'!E179</f>
        <v>5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-0.11372451528916588</v>
      </c>
      <c r="J183">
        <f>(Table3[[#This Row],[HomeMargin]]-Table3[[#This Row],[HomeForecast]])^2</f>
        <v>9.6952803571127522</v>
      </c>
    </row>
    <row r="184" spans="4:10" x14ac:dyDescent="0.2">
      <c r="D184" t="s">
        <v>12</v>
      </c>
      <c r="E184">
        <f>'NHL2025-26Results'!C180</f>
        <v>4</v>
      </c>
      <c r="F184" t="s">
        <v>20</v>
      </c>
      <c r="G184">
        <f>'NHL2025-26Results'!E180</f>
        <v>2</v>
      </c>
      <c r="H184">
        <f>Table3[[#This Row],[G_1]]-Table3[[#This Row],[G]]</f>
        <v>-2</v>
      </c>
      <c r="I184">
        <f>HomeEdge+VLOOKUP(Table3[[#This Row],[Home]],$A$6:$B$38,2,FALSE)-VLOOKUP(Table3[[#This Row],[Visitor]],$A$6:$B$38,2,FALSE)</f>
        <v>-1.0839889379766336</v>
      </c>
      <c r="J184">
        <f>(Table3[[#This Row],[HomeMargin]]-Table3[[#This Row],[HomeForecast]])^2</f>
        <v>0.83907626574917549</v>
      </c>
    </row>
    <row r="185" spans="4:10" x14ac:dyDescent="0.2">
      <c r="D185" t="s">
        <v>30</v>
      </c>
      <c r="E185">
        <f>'NHL2025-26Results'!C181</f>
        <v>3</v>
      </c>
      <c r="F185" t="s">
        <v>22</v>
      </c>
      <c r="G185">
        <f>'NHL2025-26Results'!E181</f>
        <v>1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0.21589751169943022</v>
      </c>
      <c r="J185">
        <f>(Table3[[#This Row],[HomeMargin]]-Table3[[#This Row],[HomeForecast]])^2</f>
        <v>4.9102017823557276</v>
      </c>
    </row>
    <row r="186" spans="4:10" x14ac:dyDescent="0.2">
      <c r="D186" t="s">
        <v>25</v>
      </c>
      <c r="E186">
        <f>'NHL2025-26Results'!C182</f>
        <v>1</v>
      </c>
      <c r="F186" t="s">
        <v>21</v>
      </c>
      <c r="G186">
        <f>'NHL2025-26Results'!E182</f>
        <v>2</v>
      </c>
      <c r="H186">
        <f>Table3[[#This Row],[G_1]]-Table3[[#This Row],[G]]</f>
        <v>1</v>
      </c>
      <c r="I186">
        <f>HomeEdge+VLOOKUP(Table3[[#This Row],[Home]],$A$6:$B$38,2,FALSE)-VLOOKUP(Table3[[#This Row],[Visitor]],$A$6:$B$38,2,FALSE)</f>
        <v>-0.25435378160116096</v>
      </c>
      <c r="J186">
        <f>(Table3[[#This Row],[HomeMargin]]-Table3[[#This Row],[HomeForecast]])^2</f>
        <v>1.573403409417133</v>
      </c>
    </row>
    <row r="187" spans="4:10" x14ac:dyDescent="0.2">
      <c r="D187" t="s">
        <v>22</v>
      </c>
      <c r="E187">
        <f>'NHL2025-26Results'!C183</f>
        <v>3</v>
      </c>
      <c r="F187" t="s">
        <v>23</v>
      </c>
      <c r="G187">
        <f>'NHL2025-26Results'!E183</f>
        <v>4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0.21247661740705204</v>
      </c>
      <c r="J187">
        <f>(Table3[[#This Row],[HomeMargin]]-Table3[[#This Row],[HomeForecast]])^2</f>
        <v>0.62019307813063873</v>
      </c>
    </row>
    <row r="188" spans="4:10" x14ac:dyDescent="0.2">
      <c r="D188" t="s">
        <v>35</v>
      </c>
      <c r="E188">
        <f>'NHL2025-26Results'!C184</f>
        <v>2</v>
      </c>
      <c r="F188" t="s">
        <v>28</v>
      </c>
      <c r="G188">
        <f>'NHL2025-26Results'!E184</f>
        <v>3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0.93648598874581523</v>
      </c>
      <c r="J188">
        <f>(Table3[[#This Row],[HomeMargin]]-Table3[[#This Row],[HomeForecast]])^2</f>
        <v>4.0340296255967087E-3</v>
      </c>
    </row>
    <row r="189" spans="4:10" x14ac:dyDescent="0.2">
      <c r="D189" t="s">
        <v>10</v>
      </c>
      <c r="E189">
        <f>'NHL2025-26Results'!C185</f>
        <v>2</v>
      </c>
      <c r="F189" t="s">
        <v>17</v>
      </c>
      <c r="G189">
        <f>'NHL2025-26Results'!E185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0.60012183682583831</v>
      </c>
      <c r="J189">
        <f>(Table3[[#This Row],[HomeMargin]]-Table3[[#This Row],[HomeForecast]])^2</f>
        <v>0.15990254538354148</v>
      </c>
    </row>
    <row r="190" spans="4:10" x14ac:dyDescent="0.2">
      <c r="D190" t="s">
        <v>39</v>
      </c>
      <c r="E190">
        <f>'NHL2025-26Results'!C186</f>
        <v>3</v>
      </c>
      <c r="F190" t="s">
        <v>11</v>
      </c>
      <c r="G190">
        <f>'NHL2025-26Results'!E186</f>
        <v>4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-0.5403787836578362</v>
      </c>
      <c r="J190">
        <f>(Table3[[#This Row],[HomeMargin]]-Table3[[#This Row],[HomeForecast]])^2</f>
        <v>2.3727667971431949</v>
      </c>
    </row>
    <row r="191" spans="4:10" x14ac:dyDescent="0.2">
      <c r="D191" t="s">
        <v>24</v>
      </c>
      <c r="E191">
        <f>'NHL2025-26Results'!C187</f>
        <v>4</v>
      </c>
      <c r="F191" t="s">
        <v>13</v>
      </c>
      <c r="G191">
        <f>'NHL2025-26Results'!E187</f>
        <v>1</v>
      </c>
      <c r="H191">
        <f>Table3[[#This Row],[G_1]]-Table3[[#This Row],[G]]</f>
        <v>-3</v>
      </c>
      <c r="I191">
        <f>HomeEdge+VLOOKUP(Table3[[#This Row],[Home]],$A$6:$B$38,2,FALSE)-VLOOKUP(Table3[[#This Row],[Visitor]],$A$6:$B$38,2,FALSE)</f>
        <v>0.18684067691895767</v>
      </c>
      <c r="J191">
        <f>(Table3[[#This Row],[HomeMargin]]-Table3[[#This Row],[HomeForecast]])^2</f>
        <v>10.155953500065278</v>
      </c>
    </row>
    <row r="192" spans="4:10" x14ac:dyDescent="0.2">
      <c r="D192" t="s">
        <v>38</v>
      </c>
      <c r="E192">
        <f>'NHL2025-26Results'!C188</f>
        <v>2</v>
      </c>
      <c r="F192" t="s">
        <v>34</v>
      </c>
      <c r="G192">
        <f>'NHL2025-26Results'!E188</f>
        <v>5</v>
      </c>
      <c r="H192">
        <f>Table3[[#This Row],[G_1]]-Table3[[#This Row],[G]]</f>
        <v>3</v>
      </c>
      <c r="I192">
        <f>HomeEdge+VLOOKUP(Table3[[#This Row],[Home]],$A$6:$B$38,2,FALSE)-VLOOKUP(Table3[[#This Row],[Visitor]],$A$6:$B$38,2,FALSE)</f>
        <v>1.3679802909790422</v>
      </c>
      <c r="J192">
        <f>(Table3[[#This Row],[HomeMargin]]-Table3[[#This Row],[HomeForecast]])^2</f>
        <v>2.6634883306328518</v>
      </c>
    </row>
    <row r="193" spans="4:10" x14ac:dyDescent="0.2">
      <c r="D193" t="s">
        <v>36</v>
      </c>
      <c r="E193">
        <f>'NHL2025-26Results'!C189</f>
        <v>3</v>
      </c>
      <c r="F193" t="s">
        <v>18</v>
      </c>
      <c r="G193">
        <f>'NHL2025-26Results'!E189</f>
        <v>4</v>
      </c>
      <c r="H193">
        <f>Table3[[#This Row],[G_1]]-Table3[[#This Row],[G]]</f>
        <v>1</v>
      </c>
      <c r="I193">
        <f>HomeEdge+VLOOKUP(Table3[[#This Row],[Home]],$A$6:$B$38,2,FALSE)-VLOOKUP(Table3[[#This Row],[Visitor]],$A$6:$B$38,2,FALSE)</f>
        <v>0.26342250246052218</v>
      </c>
      <c r="J193">
        <f>(Table3[[#This Row],[HomeMargin]]-Table3[[#This Row],[HomeForecast]])^2</f>
        <v>0.54254640988151959</v>
      </c>
    </row>
    <row r="194" spans="4:10" x14ac:dyDescent="0.2">
      <c r="D194" t="s">
        <v>16</v>
      </c>
      <c r="E194">
        <f>'NHL2025-26Results'!C190</f>
        <v>2</v>
      </c>
      <c r="F194" t="s">
        <v>29</v>
      </c>
      <c r="G194">
        <f>'NHL2025-26Results'!E190</f>
        <v>4</v>
      </c>
      <c r="H194">
        <f>Table3[[#This Row],[G_1]]-Table3[[#This Row],[G]]</f>
        <v>2</v>
      </c>
      <c r="I194">
        <f>HomeEdge+VLOOKUP(Table3[[#This Row],[Home]],$A$6:$B$38,2,FALSE)-VLOOKUP(Table3[[#This Row],[Visitor]],$A$6:$B$38,2,FALSE)</f>
        <v>0.14432251696478493</v>
      </c>
      <c r="J194">
        <f>(Table3[[#This Row],[HomeMargin]]-Table3[[#This Row],[HomeForecast]])^2</f>
        <v>3.4435389210439107</v>
      </c>
    </row>
    <row r="195" spans="4:10" x14ac:dyDescent="0.2">
      <c r="D195" t="s">
        <v>19</v>
      </c>
      <c r="E195">
        <f>'NHL2025-26Results'!C191</f>
        <v>5</v>
      </c>
      <c r="F195" t="s">
        <v>27</v>
      </c>
      <c r="G195">
        <f>'NHL2025-26Results'!E191</f>
        <v>2</v>
      </c>
      <c r="H195">
        <f>Table3[[#This Row],[G_1]]-Table3[[#This Row],[G]]</f>
        <v>-3</v>
      </c>
      <c r="I195">
        <f>HomeEdge+VLOOKUP(Table3[[#This Row],[Home]],$A$6:$B$38,2,FALSE)-VLOOKUP(Table3[[#This Row],[Visitor]],$A$6:$B$38,2,FALSE)</f>
        <v>9.5902121499538806E-2</v>
      </c>
      <c r="J195">
        <f>(Table3[[#This Row],[HomeMargin]]-Table3[[#This Row],[HomeForecast]])^2</f>
        <v>9.5846099459053473</v>
      </c>
    </row>
    <row r="196" spans="4:10" x14ac:dyDescent="0.2">
      <c r="D196" t="s">
        <v>15</v>
      </c>
      <c r="E196">
        <f>'NHL2025-26Results'!C192</f>
        <v>3</v>
      </c>
      <c r="F196" t="s">
        <v>32</v>
      </c>
      <c r="G196">
        <f>'NHL2025-26Results'!E192</f>
        <v>2</v>
      </c>
      <c r="H196">
        <f>Table3[[#This Row],[G_1]]-Table3[[#This Row],[G]]</f>
        <v>-1</v>
      </c>
      <c r="I196">
        <f>HomeEdge+VLOOKUP(Table3[[#This Row],[Home]],$A$6:$B$38,2,FALSE)-VLOOKUP(Table3[[#This Row],[Visitor]],$A$6:$B$38,2,FALSE)</f>
        <v>0.16469233294134761</v>
      </c>
      <c r="J196">
        <f>(Table3[[#This Row],[HomeMargin]]-Table3[[#This Row],[HomeForecast]])^2</f>
        <v>1.356508230412359</v>
      </c>
    </row>
    <row r="197" spans="4:10" x14ac:dyDescent="0.2">
      <c r="D197" t="s">
        <v>12</v>
      </c>
      <c r="E197">
        <f>'NHL2025-26Results'!C193</f>
        <v>2</v>
      </c>
      <c r="F197" t="s">
        <v>33</v>
      </c>
      <c r="G197">
        <f>'NHL2025-26Results'!E193</f>
        <v>3</v>
      </c>
      <c r="H197">
        <f>Table3[[#This Row],[G_1]]-Table3[[#This Row],[G]]</f>
        <v>1</v>
      </c>
      <c r="I197">
        <f>HomeEdge+VLOOKUP(Table3[[#This Row],[Home]],$A$6:$B$38,2,FALSE)-VLOOKUP(Table3[[#This Row],[Visitor]],$A$6:$B$38,2,FALSE)</f>
        <v>-1.6138342584612504</v>
      </c>
      <c r="J197">
        <f>(Table3[[#This Row],[HomeMargin]]-Table3[[#This Row],[HomeForecast]])^2</f>
        <v>6.8321295307056751</v>
      </c>
    </row>
    <row r="198" spans="4:10" x14ac:dyDescent="0.2">
      <c r="D198" t="s">
        <v>14</v>
      </c>
      <c r="E198">
        <f>'NHL2025-26Results'!C194</f>
        <v>2</v>
      </c>
      <c r="F198" t="s">
        <v>40</v>
      </c>
      <c r="G198">
        <f>'NHL2025-26Results'!E194</f>
        <v>5</v>
      </c>
      <c r="H198">
        <f>Table3[[#This Row],[G_1]]-Table3[[#This Row],[G]]</f>
        <v>3</v>
      </c>
      <c r="I198">
        <f>HomeEdge+VLOOKUP(Table3[[#This Row],[Home]],$A$6:$B$38,2,FALSE)-VLOOKUP(Table3[[#This Row],[Visitor]],$A$6:$B$38,2,FALSE)</f>
        <v>-0.37798027695573738</v>
      </c>
      <c r="J198">
        <f>(Table3[[#This Row],[HomeMargin]]-Table3[[#This Row],[HomeForecast]])^2</f>
        <v>11.410750751501961</v>
      </c>
    </row>
    <row r="199" spans="4:10" x14ac:dyDescent="0.2">
      <c r="D199" t="s">
        <v>24</v>
      </c>
      <c r="E199">
        <f>'NHL2025-26Results'!C195</f>
        <v>1</v>
      </c>
      <c r="F199" t="s">
        <v>31</v>
      </c>
      <c r="G199">
        <f>'NHL2025-26Results'!E195</f>
        <v>4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0.24019637843266334</v>
      </c>
      <c r="J199">
        <f>(Table3[[#This Row],[HomeMargin]]-Table3[[#This Row],[HomeForecast]])^2</f>
        <v>7.6165160296161867</v>
      </c>
    </row>
    <row r="200" spans="4:10" x14ac:dyDescent="0.2">
      <c r="D200" t="s">
        <v>28</v>
      </c>
      <c r="E200">
        <f>'NHL2025-26Results'!C196</f>
        <v>2</v>
      </c>
      <c r="F200" t="s">
        <v>30</v>
      </c>
      <c r="G200">
        <f>'NHL2025-26Results'!E196</f>
        <v>3</v>
      </c>
      <c r="H200">
        <f>Table3[[#This Row],[G_1]]-Table3[[#This Row],[G]]</f>
        <v>1</v>
      </c>
      <c r="I200">
        <f>HomeEdge+VLOOKUP(Table3[[#This Row],[Home]],$A$6:$B$38,2,FALSE)-VLOOKUP(Table3[[#This Row],[Visitor]],$A$6:$B$38,2,FALSE)</f>
        <v>0.31272930581337149</v>
      </c>
      <c r="J200">
        <f>(Table3[[#This Row],[HomeMargin]]-Table3[[#This Row],[HomeForecast]])^2</f>
        <v>0.47234100708777016</v>
      </c>
    </row>
    <row r="201" spans="4:10" x14ac:dyDescent="0.2">
      <c r="D201" t="s">
        <v>16</v>
      </c>
      <c r="E201">
        <f>'NHL2025-26Results'!C197</f>
        <v>2</v>
      </c>
      <c r="F201" t="s">
        <v>27</v>
      </c>
      <c r="G201">
        <f>'NHL2025-26Results'!E197</f>
        <v>1</v>
      </c>
      <c r="H201">
        <f>Table3[[#This Row],[G_1]]-Table3[[#This Row],[G]]</f>
        <v>-1</v>
      </c>
      <c r="I201">
        <f>HomeEdge+VLOOKUP(Table3[[#This Row],[Home]],$A$6:$B$38,2,FALSE)-VLOOKUP(Table3[[#This Row],[Visitor]],$A$6:$B$38,2,FALSE)</f>
        <v>0.565635854620679</v>
      </c>
      <c r="J201">
        <f>(Table3[[#This Row],[HomeMargin]]-Table3[[#This Row],[HomeForecast]])^2</f>
        <v>2.4512156292738241</v>
      </c>
    </row>
    <row r="202" spans="4:10" x14ac:dyDescent="0.2">
      <c r="D202" t="s">
        <v>26</v>
      </c>
      <c r="E202">
        <f>'NHL2025-26Results'!C198</f>
        <v>3</v>
      </c>
      <c r="F202" t="s">
        <v>33</v>
      </c>
      <c r="G202">
        <f>'NHL2025-26Results'!E198</f>
        <v>2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-0.2654503549069151</v>
      </c>
      <c r="J202">
        <f>(Table3[[#This Row],[HomeMargin]]-Table3[[#This Row],[HomeForecast]])^2</f>
        <v>0.53956318110637691</v>
      </c>
    </row>
    <row r="203" spans="4:10" x14ac:dyDescent="0.2">
      <c r="D203" t="s">
        <v>37</v>
      </c>
      <c r="E203">
        <f>'NHL2025-26Results'!C199</f>
        <v>4</v>
      </c>
      <c r="F203" t="s">
        <v>55</v>
      </c>
      <c r="G203">
        <f>'NHL2025-26Results'!E199</f>
        <v>2</v>
      </c>
      <c r="H203">
        <f>Table3[[#This Row],[G_1]]-Table3[[#This Row],[G]]</f>
        <v>-2</v>
      </c>
      <c r="I203">
        <f>HomeEdge+VLOOKUP(Table3[[#This Row],[Home]],$A$6:$B$38,2,FALSE)-VLOOKUP(Table3[[#This Row],[Visitor]],$A$6:$B$38,2,FALSE)</f>
        <v>-0.43688347830832197</v>
      </c>
      <c r="J203">
        <f>(Table3[[#This Row],[HomeMargin]]-Table3[[#This Row],[HomeForecast]])^2</f>
        <v>2.44333326038549</v>
      </c>
    </row>
    <row r="204" spans="4:10" x14ac:dyDescent="0.2">
      <c r="D204" t="s">
        <v>38</v>
      </c>
      <c r="E204">
        <f>'NHL2025-26Results'!C200</f>
        <v>5</v>
      </c>
      <c r="F204" t="s">
        <v>29</v>
      </c>
      <c r="G204">
        <f>'NHL2025-26Results'!E200</f>
        <v>4</v>
      </c>
      <c r="H204">
        <f>Table3[[#This Row],[G_1]]-Table3[[#This Row],[G]]</f>
        <v>-1</v>
      </c>
      <c r="I204">
        <f>HomeEdge+VLOOKUP(Table3[[#This Row],[Home]],$A$6:$B$38,2,FALSE)-VLOOKUP(Table3[[#This Row],[Visitor]],$A$6:$B$38,2,FALSE)</f>
        <v>0.61196457669411564</v>
      </c>
      <c r="J204">
        <f>(Table3[[#This Row],[HomeMargin]]-Table3[[#This Row],[HomeForecast]])^2</f>
        <v>2.5984297965166392</v>
      </c>
    </row>
    <row r="205" spans="4:10" x14ac:dyDescent="0.2">
      <c r="D205" t="s">
        <v>10</v>
      </c>
      <c r="E205">
        <f>'NHL2025-26Results'!C201</f>
        <v>1</v>
      </c>
      <c r="F205" t="s">
        <v>32</v>
      </c>
      <c r="G205">
        <f>'NHL2025-26Results'!E201</f>
        <v>3</v>
      </c>
      <c r="H205">
        <f>Table3[[#This Row],[G_1]]-Table3[[#This Row],[G]]</f>
        <v>2</v>
      </c>
      <c r="I205">
        <f>HomeEdge+VLOOKUP(Table3[[#This Row],[Home]],$A$6:$B$38,2,FALSE)-VLOOKUP(Table3[[#This Row],[Visitor]],$A$6:$B$38,2,FALSE)</f>
        <v>0.22958918313386784</v>
      </c>
      <c r="J205">
        <f>(Table3[[#This Row],[HomeMargin]]-Table3[[#This Row],[HomeForecast]])^2</f>
        <v>3.1343544604766054</v>
      </c>
    </row>
    <row r="206" spans="4:10" x14ac:dyDescent="0.2">
      <c r="D206" t="s">
        <v>17</v>
      </c>
      <c r="E206">
        <f>'NHL2025-26Results'!C202</f>
        <v>2</v>
      </c>
      <c r="F206" t="s">
        <v>35</v>
      </c>
      <c r="G206">
        <f>'NHL2025-26Results'!E202</f>
        <v>3</v>
      </c>
      <c r="H206">
        <f>Table3[[#This Row],[G_1]]-Table3[[#This Row],[G]]</f>
        <v>1</v>
      </c>
      <c r="I206">
        <f>HomeEdge+VLOOKUP(Table3[[#This Row],[Home]],$A$6:$B$38,2,FALSE)-VLOOKUP(Table3[[#This Row],[Visitor]],$A$6:$B$38,2,FALSE)</f>
        <v>-0.9699812753321233</v>
      </c>
      <c r="J206">
        <f>(Table3[[#This Row],[HomeMargin]]-Table3[[#This Row],[HomeForecast]])^2</f>
        <v>3.8808262251591792</v>
      </c>
    </row>
    <row r="207" spans="4:10" x14ac:dyDescent="0.2">
      <c r="D207" t="s">
        <v>14</v>
      </c>
      <c r="E207">
        <f>'NHL2025-26Results'!C203</f>
        <v>3</v>
      </c>
      <c r="F207" t="s">
        <v>19</v>
      </c>
      <c r="G207">
        <f>'NHL2025-26Results'!E203</f>
        <v>4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-0.22581772694598104</v>
      </c>
      <c r="J207">
        <f>(Table3[[#This Row],[HomeMargin]]-Table3[[#This Row],[HomeForecast]])^2</f>
        <v>1.502629099695012</v>
      </c>
    </row>
    <row r="208" spans="4:10" x14ac:dyDescent="0.2">
      <c r="D208" t="s">
        <v>11</v>
      </c>
      <c r="E208">
        <f>'NHL2025-26Results'!C204</f>
        <v>3</v>
      </c>
      <c r="F208" t="s">
        <v>31</v>
      </c>
      <c r="G208">
        <f>'NHL2025-26Results'!E204</f>
        <v>7</v>
      </c>
      <c r="H208">
        <f>Table3[[#This Row],[G_1]]-Table3[[#This Row],[G]]</f>
        <v>4</v>
      </c>
      <c r="I208">
        <f>HomeEdge+VLOOKUP(Table3[[#This Row],[Home]],$A$6:$B$38,2,FALSE)-VLOOKUP(Table3[[#This Row],[Visitor]],$A$6:$B$38,2,FALSE)</f>
        <v>0.13682908172473923</v>
      </c>
      <c r="J208">
        <f>(Table3[[#This Row],[HomeMargin]]-Table3[[#This Row],[HomeForecast]])^2</f>
        <v>14.924089543807723</v>
      </c>
    </row>
    <row r="209" spans="4:10" x14ac:dyDescent="0.2">
      <c r="D209" t="s">
        <v>55</v>
      </c>
      <c r="E209">
        <f>'NHL2025-26Results'!C205</f>
        <v>2</v>
      </c>
      <c r="F209" t="s">
        <v>23</v>
      </c>
      <c r="G209">
        <f>'NHL2025-26Results'!E205</f>
        <v>1</v>
      </c>
      <c r="H209">
        <f>Table3[[#This Row],[G_1]]-Table3[[#This Row],[G]]</f>
        <v>-1</v>
      </c>
      <c r="I209">
        <f>HomeEdge+VLOOKUP(Table3[[#This Row],[Home]],$A$6:$B$38,2,FALSE)-VLOOKUP(Table3[[#This Row],[Visitor]],$A$6:$B$38,2,FALSE)</f>
        <v>2.7648521568905265E-3</v>
      </c>
      <c r="J209">
        <f>(Table3[[#This Row],[HomeMargin]]-Table3[[#This Row],[HomeForecast]])^2</f>
        <v>1.0055373487212307</v>
      </c>
    </row>
    <row r="210" spans="4:10" x14ac:dyDescent="0.2">
      <c r="D210" t="s">
        <v>37</v>
      </c>
      <c r="E210">
        <f>'NHL2025-26Results'!C206</f>
        <v>2</v>
      </c>
      <c r="F210" t="s">
        <v>12</v>
      </c>
      <c r="G210">
        <f>'NHL2025-26Results'!E206</f>
        <v>3</v>
      </c>
      <c r="H210">
        <f>Table3[[#This Row],[G_1]]-Table3[[#This Row],[G]]</f>
        <v>1</v>
      </c>
      <c r="I210">
        <f>HomeEdge+VLOOKUP(Table3[[#This Row],[Home]],$A$6:$B$38,2,FALSE)-VLOOKUP(Table3[[#This Row],[Visitor]],$A$6:$B$38,2,FALSE)</f>
        <v>0.61774925230669298</v>
      </c>
      <c r="J210">
        <f>(Table3[[#This Row],[HomeMargin]]-Table3[[#This Row],[HomeForecast]])^2</f>
        <v>0.14611563411209227</v>
      </c>
    </row>
    <row r="211" spans="4:10" x14ac:dyDescent="0.2">
      <c r="D211" t="s">
        <v>17</v>
      </c>
      <c r="E211">
        <f>'NHL2025-26Results'!C207</f>
        <v>3</v>
      </c>
      <c r="F211" t="s">
        <v>39</v>
      </c>
      <c r="G211">
        <f>'NHL2025-26Results'!E207</f>
        <v>4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0.50897731953993963</v>
      </c>
      <c r="J211">
        <f>(Table3[[#This Row],[HomeMargin]]-Table3[[#This Row],[HomeForecast]])^2</f>
        <v>0.24110327272618254</v>
      </c>
    </row>
    <row r="212" spans="4:10" x14ac:dyDescent="0.2">
      <c r="D212" t="s">
        <v>40</v>
      </c>
      <c r="E212">
        <f>'NHL2025-26Results'!C208</f>
        <v>0</v>
      </c>
      <c r="F212" t="s">
        <v>13</v>
      </c>
      <c r="G212">
        <f>'NHL2025-26Results'!E208</f>
        <v>3</v>
      </c>
      <c r="H212">
        <f>Table3[[#This Row],[G_1]]-Table3[[#This Row],[G]]</f>
        <v>3</v>
      </c>
      <c r="I212">
        <f>HomeEdge+VLOOKUP(Table3[[#This Row],[Home]],$A$6:$B$38,2,FALSE)-VLOOKUP(Table3[[#This Row],[Visitor]],$A$6:$B$38,2,FALSE)</f>
        <v>0.1336383660212635</v>
      </c>
      <c r="J212">
        <f>(Table3[[#This Row],[HomeMargin]]-Table3[[#This Row],[HomeForecast]])^2</f>
        <v>8.216029016745253</v>
      </c>
    </row>
    <row r="213" spans="4:10" x14ac:dyDescent="0.2">
      <c r="D213" t="s">
        <v>29</v>
      </c>
      <c r="E213">
        <f>'NHL2025-26Results'!C209</f>
        <v>2</v>
      </c>
      <c r="F213" t="s">
        <v>34</v>
      </c>
      <c r="G213">
        <f>'NHL2025-26Results'!E209</f>
        <v>3</v>
      </c>
      <c r="H213">
        <f>Table3[[#This Row],[G_1]]-Table3[[#This Row],[G]]</f>
        <v>1</v>
      </c>
      <c r="I213">
        <f>HomeEdge+VLOOKUP(Table3[[#This Row],[Home]],$A$6:$B$38,2,FALSE)-VLOOKUP(Table3[[#This Row],[Visitor]],$A$6:$B$38,2,FALSE)</f>
        <v>0.85198570945558971</v>
      </c>
      <c r="J213">
        <f>(Table3[[#This Row],[HomeMargin]]-Table3[[#This Row],[HomeForecast]])^2</f>
        <v>2.1908230205365104E-2</v>
      </c>
    </row>
    <row r="214" spans="4:10" x14ac:dyDescent="0.2">
      <c r="D214" t="s">
        <v>27</v>
      </c>
      <c r="E214">
        <f>'NHL2025-26Results'!C210</f>
        <v>5</v>
      </c>
      <c r="F214" t="s">
        <v>18</v>
      </c>
      <c r="G214">
        <f>'NHL2025-26Results'!E210</f>
        <v>4</v>
      </c>
      <c r="H214">
        <f>Table3[[#This Row],[G_1]]-Table3[[#This Row],[G]]</f>
        <v>-1</v>
      </c>
      <c r="I214">
        <f>HomeEdge+VLOOKUP(Table3[[#This Row],[Home]],$A$6:$B$38,2,FALSE)-VLOOKUP(Table3[[#This Row],[Visitor]],$A$6:$B$38,2,FALSE)</f>
        <v>0.18133832540441486</v>
      </c>
      <c r="J214">
        <f>(Table3[[#This Row],[HomeMargin]]-Table3[[#This Row],[HomeForecast]])^2</f>
        <v>1.3955602390693069</v>
      </c>
    </row>
    <row r="215" spans="4:10" x14ac:dyDescent="0.2">
      <c r="D215" t="s">
        <v>21</v>
      </c>
      <c r="E215">
        <f>'NHL2025-26Results'!C211</f>
        <v>4</v>
      </c>
      <c r="F215" t="s">
        <v>30</v>
      </c>
      <c r="G215">
        <f>'NHL2025-26Results'!E211</f>
        <v>3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-5.8069458012257123E-2</v>
      </c>
      <c r="J215">
        <f>(Table3[[#This Row],[HomeMargin]]-Table3[[#This Row],[HomeForecast]])^2</f>
        <v>0.88723314592932301</v>
      </c>
    </row>
    <row r="216" spans="4:10" x14ac:dyDescent="0.2">
      <c r="D216" t="s">
        <v>25</v>
      </c>
      <c r="E216">
        <f>'NHL2025-26Results'!C212</f>
        <v>3</v>
      </c>
      <c r="F216" t="s">
        <v>15</v>
      </c>
      <c r="G216">
        <f>'NHL2025-26Results'!E212</f>
        <v>0</v>
      </c>
      <c r="H216">
        <f>Table3[[#This Row],[G_1]]-Table3[[#This Row],[G]]</f>
        <v>-3</v>
      </c>
      <c r="I216">
        <f>HomeEdge+VLOOKUP(Table3[[#This Row],[Home]],$A$6:$B$38,2,FALSE)-VLOOKUP(Table3[[#This Row],[Visitor]],$A$6:$B$38,2,FALSE)</f>
        <v>-0.83897225996181002</v>
      </c>
      <c r="J216">
        <f>(Table3[[#This Row],[HomeMargin]]-Table3[[#This Row],[HomeForecast]])^2</f>
        <v>4.6700408932145674</v>
      </c>
    </row>
    <row r="217" spans="4:10" x14ac:dyDescent="0.2">
      <c r="D217" t="s">
        <v>26</v>
      </c>
      <c r="E217">
        <f>'NHL2025-26Results'!C213</f>
        <v>0</v>
      </c>
      <c r="F217" t="s">
        <v>20</v>
      </c>
      <c r="G217">
        <f>'NHL2025-26Results'!E213</f>
        <v>1</v>
      </c>
      <c r="H217">
        <f>Table3[[#This Row],[G_1]]-Table3[[#This Row],[G]]</f>
        <v>1</v>
      </c>
      <c r="I217">
        <f>HomeEdge+VLOOKUP(Table3[[#This Row],[Home]],$A$6:$B$38,2,FALSE)-VLOOKUP(Table3[[#This Row],[Visitor]],$A$6:$B$38,2,FALSE)</f>
        <v>0.26439496557770176</v>
      </c>
      <c r="J217">
        <f>(Table3[[#This Row],[HomeMargin]]-Table3[[#This Row],[HomeForecast]])^2</f>
        <v>0.54111476666743052</v>
      </c>
    </row>
    <row r="218" spans="4:10" x14ac:dyDescent="0.2">
      <c r="D218" t="s">
        <v>28</v>
      </c>
      <c r="E218">
        <f>'NHL2025-26Results'!C214</f>
        <v>1</v>
      </c>
      <c r="F218" t="s">
        <v>16</v>
      </c>
      <c r="G218">
        <f>'NHL2025-26Results'!E214</f>
        <v>5</v>
      </c>
      <c r="H218">
        <f>Table3[[#This Row],[G_1]]-Table3[[#This Row],[G]]</f>
        <v>4</v>
      </c>
      <c r="I218">
        <f>HomeEdge+VLOOKUP(Table3[[#This Row],[Home]],$A$6:$B$38,2,FALSE)-VLOOKUP(Table3[[#This Row],[Visitor]],$A$6:$B$38,2,FALSE)</f>
        <v>-0.2696723512825393</v>
      </c>
      <c r="J218">
        <f>(Table3[[#This Row],[HomeMargin]]-Table3[[#This Row],[HomeForecast]])^2</f>
        <v>18.230101987306565</v>
      </c>
    </row>
    <row r="219" spans="4:10" x14ac:dyDescent="0.2">
      <c r="D219" t="s">
        <v>33</v>
      </c>
      <c r="E219">
        <f>'NHL2025-26Results'!C215</f>
        <v>6</v>
      </c>
      <c r="F219" t="s">
        <v>32</v>
      </c>
      <c r="G219">
        <f>'NHL2025-26Results'!E215</f>
        <v>1</v>
      </c>
      <c r="H219">
        <f>Table3[[#This Row],[G_1]]-Table3[[#This Row],[G]]</f>
        <v>-5</v>
      </c>
      <c r="I219">
        <f>HomeEdge+VLOOKUP(Table3[[#This Row],[Home]],$A$6:$B$38,2,FALSE)-VLOOKUP(Table3[[#This Row],[Visitor]],$A$6:$B$38,2,FALSE)</f>
        <v>5.9645549001589082E-2</v>
      </c>
      <c r="J219">
        <f>(Table3[[#This Row],[HomeMargin]]-Table3[[#This Row],[HomeForecast]])^2</f>
        <v>25.600013081531589</v>
      </c>
    </row>
    <row r="220" spans="4:10" x14ac:dyDescent="0.2">
      <c r="D220" t="s">
        <v>55</v>
      </c>
      <c r="E220">
        <f>'NHL2025-26Results'!C216</f>
        <v>3</v>
      </c>
      <c r="F220" t="s">
        <v>19</v>
      </c>
      <c r="G220">
        <f>'NHL2025-26Results'!E216</f>
        <v>5</v>
      </c>
      <c r="H220">
        <f>Table3[[#This Row],[G_1]]-Table3[[#This Row],[G]]</f>
        <v>2</v>
      </c>
      <c r="I220">
        <f>HomeEdge+VLOOKUP(Table3[[#This Row],[Home]],$A$6:$B$38,2,FALSE)-VLOOKUP(Table3[[#This Row],[Visitor]],$A$6:$B$38,2,FALSE)</f>
        <v>-0.34633721058303585</v>
      </c>
      <c r="J220">
        <f>(Table3[[#This Row],[HomeMargin]]-Table3[[#This Row],[HomeForecast]])^2</f>
        <v>5.5052983057665825</v>
      </c>
    </row>
    <row r="221" spans="4:10" x14ac:dyDescent="0.2">
      <c r="D221" t="s">
        <v>10</v>
      </c>
      <c r="E221">
        <f>'NHL2025-26Results'!C217</f>
        <v>5</v>
      </c>
      <c r="F221" t="s">
        <v>38</v>
      </c>
      <c r="G221">
        <f>'NHL2025-26Results'!E217</f>
        <v>2</v>
      </c>
      <c r="H221">
        <f>Table3[[#This Row],[G_1]]-Table3[[#This Row],[G]]</f>
        <v>-3</v>
      </c>
      <c r="I221">
        <f>HomeEdge+VLOOKUP(Table3[[#This Row],[Home]],$A$6:$B$38,2,FALSE)-VLOOKUP(Table3[[#This Row],[Visitor]],$A$6:$B$38,2,FALSE)</f>
        <v>-0.45859784628432942</v>
      </c>
      <c r="J221">
        <f>(Table3[[#This Row],[HomeMargin]]-Table3[[#This Row],[HomeForecast]])^2</f>
        <v>6.4587249069106489</v>
      </c>
    </row>
    <row r="222" spans="4:10" x14ac:dyDescent="0.2">
      <c r="D222" t="s">
        <v>35</v>
      </c>
      <c r="E222">
        <f>'NHL2025-26Results'!C218</f>
        <v>1</v>
      </c>
      <c r="F222" t="s">
        <v>22</v>
      </c>
      <c r="G222">
        <f>'NHL2025-26Results'!E218</f>
        <v>6</v>
      </c>
      <c r="H222">
        <f>Table3[[#This Row],[G_1]]-Table3[[#This Row],[G]]</f>
        <v>5</v>
      </c>
      <c r="I222">
        <f>HomeEdge+VLOOKUP(Table3[[#This Row],[Home]],$A$6:$B$38,2,FALSE)-VLOOKUP(Table3[[#This Row],[Visitor]],$A$6:$B$38,2,FALSE)</f>
        <v>1.2731728159172906</v>
      </c>
      <c r="J222">
        <f>(Table3[[#This Row],[HomeMargin]]-Table3[[#This Row],[HomeForecast]])^2</f>
        <v>13.889240860017855</v>
      </c>
    </row>
    <row r="223" spans="4:10" x14ac:dyDescent="0.2">
      <c r="D223" t="s">
        <v>36</v>
      </c>
      <c r="E223">
        <f>'NHL2025-26Results'!C219</f>
        <v>2</v>
      </c>
      <c r="F223" t="s">
        <v>21</v>
      </c>
      <c r="G223">
        <f>'NHL2025-26Results'!E219</f>
        <v>3</v>
      </c>
      <c r="H223">
        <f>Table3[[#This Row],[G_1]]-Table3[[#This Row],[G]]</f>
        <v>1</v>
      </c>
      <c r="I223">
        <f>HomeEdge+VLOOKUP(Table3[[#This Row],[Home]],$A$6:$B$38,2,FALSE)-VLOOKUP(Table3[[#This Row],[Visitor]],$A$6:$B$38,2,FALSE)</f>
        <v>0.44482942305558598</v>
      </c>
      <c r="J223">
        <f>(Table3[[#This Row],[HomeMargin]]-Table3[[#This Row],[HomeForecast]])^2</f>
        <v>0.30821436950479347</v>
      </c>
    </row>
    <row r="224" spans="4:10" x14ac:dyDescent="0.2">
      <c r="D224" t="s">
        <v>35</v>
      </c>
      <c r="E224">
        <f>'NHL2025-26Results'!C220</f>
        <v>3</v>
      </c>
      <c r="F224" t="s">
        <v>23</v>
      </c>
      <c r="G224">
        <f>'NHL2025-26Results'!E220</f>
        <v>0</v>
      </c>
      <c r="H224">
        <f>Table3[[#This Row],[G_1]]-Table3[[#This Row],[G]]</f>
        <v>-3</v>
      </c>
      <c r="I224">
        <f>HomeEdge+VLOOKUP(Table3[[#This Row],[Home]],$A$6:$B$38,2,FALSE)-VLOOKUP(Table3[[#This Row],[Visitor]],$A$6:$B$38,2,FALSE)</f>
        <v>1.3896794381536792</v>
      </c>
      <c r="J224">
        <f>(Table3[[#This Row],[HomeMargin]]-Table3[[#This Row],[HomeForecast]])^2</f>
        <v>19.269285569749204</v>
      </c>
    </row>
    <row r="225" spans="4:10" x14ac:dyDescent="0.2">
      <c r="D225" t="s">
        <v>34</v>
      </c>
      <c r="E225">
        <f>'NHL2025-26Results'!C221</f>
        <v>3</v>
      </c>
      <c r="F225" t="s">
        <v>25</v>
      </c>
      <c r="G225">
        <f>'NHL2025-26Results'!E221</f>
        <v>4</v>
      </c>
      <c r="H225">
        <f>Table3[[#This Row],[G_1]]-Table3[[#This Row],[G]]</f>
        <v>1</v>
      </c>
      <c r="I225">
        <f>HomeEdge+VLOOKUP(Table3[[#This Row],[Home]],$A$6:$B$38,2,FALSE)-VLOOKUP(Table3[[#This Row],[Visitor]],$A$6:$B$38,2,FALSE)</f>
        <v>0.37836664614227056</v>
      </c>
      <c r="J225">
        <f>(Table3[[#This Row],[HomeMargin]]-Table3[[#This Row],[HomeForecast]])^2</f>
        <v>0.38642802662840908</v>
      </c>
    </row>
    <row r="226" spans="4:10" x14ac:dyDescent="0.2">
      <c r="D226" t="s">
        <v>31</v>
      </c>
      <c r="E226">
        <f>'NHL2025-26Results'!C222</f>
        <v>7</v>
      </c>
      <c r="F226" t="s">
        <v>39</v>
      </c>
      <c r="G226">
        <f>'NHL2025-26Results'!E222</f>
        <v>5</v>
      </c>
      <c r="H226">
        <f>Table3[[#This Row],[G_1]]-Table3[[#This Row],[G]]</f>
        <v>-2</v>
      </c>
      <c r="I226">
        <f>HomeEdge+VLOOKUP(Table3[[#This Row],[Home]],$A$6:$B$38,2,FALSE)-VLOOKUP(Table3[[#This Row],[Visitor]],$A$6:$B$38,2,FALSE)</f>
        <v>0.69145968744508668</v>
      </c>
      <c r="J226">
        <f>(Table3[[#This Row],[HomeMargin]]-Table3[[#This Row],[HomeForecast]])^2</f>
        <v>7.2439552491420036</v>
      </c>
    </row>
    <row r="227" spans="4:10" x14ac:dyDescent="0.2">
      <c r="D227" t="s">
        <v>11</v>
      </c>
      <c r="E227">
        <f>'NHL2025-26Results'!C223</f>
        <v>5</v>
      </c>
      <c r="F227" t="s">
        <v>13</v>
      </c>
      <c r="G227">
        <f>'NHL2025-26Results'!E223</f>
        <v>2</v>
      </c>
      <c r="H227">
        <f>Table3[[#This Row],[G_1]]-Table3[[#This Row],[G]]</f>
        <v>-3</v>
      </c>
      <c r="I227">
        <f>HomeEdge+VLOOKUP(Table3[[#This Row],[Home]],$A$6:$B$38,2,FALSE)-VLOOKUP(Table3[[#This Row],[Visitor]],$A$6:$B$38,2,FALSE)</f>
        <v>8.3473380211033565E-2</v>
      </c>
      <c r="J227">
        <f>(Table3[[#This Row],[HomeMargin]]-Table3[[#This Row],[HomeForecast]])^2</f>
        <v>9.5078080864700567</v>
      </c>
    </row>
    <row r="228" spans="4:10" x14ac:dyDescent="0.2">
      <c r="D228" t="s">
        <v>18</v>
      </c>
      <c r="E228">
        <f>'NHL2025-26Results'!C224</f>
        <v>3</v>
      </c>
      <c r="F228" t="s">
        <v>24</v>
      </c>
      <c r="G228">
        <f>'NHL2025-26Results'!E224</f>
        <v>4</v>
      </c>
      <c r="H228">
        <f>Table3[[#This Row],[G_1]]-Table3[[#This Row],[G]]</f>
        <v>1</v>
      </c>
      <c r="I228">
        <f>HomeEdge+VLOOKUP(Table3[[#This Row],[Home]],$A$6:$B$38,2,FALSE)-VLOOKUP(Table3[[#This Row],[Visitor]],$A$6:$B$38,2,FALSE)</f>
        <v>-0.19469532229941441</v>
      </c>
      <c r="J228">
        <f>(Table3[[#This Row],[HomeMargin]]-Table3[[#This Row],[HomeForecast]])^2</f>
        <v>1.4272969131241016</v>
      </c>
    </row>
    <row r="229" spans="4:10" x14ac:dyDescent="0.2">
      <c r="D229" t="s">
        <v>27</v>
      </c>
      <c r="E229">
        <f>'NHL2025-26Results'!C225</f>
        <v>3</v>
      </c>
      <c r="F229" t="s">
        <v>29</v>
      </c>
      <c r="G229">
        <f>'NHL2025-26Results'!E225</f>
        <v>1</v>
      </c>
      <c r="H229">
        <f>Table3[[#This Row],[G_1]]-Table3[[#This Row],[G]]</f>
        <v>-2</v>
      </c>
      <c r="I229">
        <f>HomeEdge+VLOOKUP(Table3[[#This Row],[Home]],$A$6:$B$38,2,FALSE)-VLOOKUP(Table3[[#This Row],[Visitor]],$A$6:$B$38,2,FALSE)</f>
        <v>-0.32534334248523089</v>
      </c>
      <c r="J229">
        <f>(Table3[[#This Row],[HomeMargin]]-Table3[[#This Row],[HomeForecast]])^2</f>
        <v>2.8044749205585382</v>
      </c>
    </row>
    <row r="230" spans="4:10" x14ac:dyDescent="0.2">
      <c r="D230" t="s">
        <v>22</v>
      </c>
      <c r="E230">
        <f>'NHL2025-26Results'!C226</f>
        <v>3</v>
      </c>
      <c r="F230" t="s">
        <v>14</v>
      </c>
      <c r="G230">
        <f>'NHL2025-26Results'!E226</f>
        <v>5</v>
      </c>
      <c r="H230">
        <f>Table3[[#This Row],[G_1]]-Table3[[#This Row],[G]]</f>
        <v>2</v>
      </c>
      <c r="I230">
        <f>HomeEdge+VLOOKUP(Table3[[#This Row],[Home]],$A$6:$B$38,2,FALSE)-VLOOKUP(Table3[[#This Row],[Visitor]],$A$6:$B$38,2,FALSE)</f>
        <v>0.18516227678376995</v>
      </c>
      <c r="J230">
        <f>(Table3[[#This Row],[HomeMargin]]-Table3[[#This Row],[HomeForecast]])^2</f>
        <v>3.2936359616086697</v>
      </c>
    </row>
    <row r="231" spans="4:10" x14ac:dyDescent="0.2">
      <c r="D231" t="s">
        <v>37</v>
      </c>
      <c r="E231">
        <f>'NHL2025-26Results'!C227</f>
        <v>6</v>
      </c>
      <c r="F231" t="s">
        <v>20</v>
      </c>
      <c r="G231">
        <f>'NHL2025-26Results'!E227</f>
        <v>3</v>
      </c>
      <c r="H231">
        <f>Table3[[#This Row],[G_1]]-Table3[[#This Row],[G]]</f>
        <v>-3</v>
      </c>
      <c r="I231">
        <f>HomeEdge+VLOOKUP(Table3[[#This Row],[Home]],$A$6:$B$38,2,FALSE)-VLOOKUP(Table3[[#This Row],[Visitor]],$A$6:$B$38,2,FALSE)</f>
        <v>-0.56220968084060385</v>
      </c>
      <c r="J231">
        <f>(Table3[[#This Row],[HomeMargin]]-Table3[[#This Row],[HomeForecast]])^2</f>
        <v>5.9428216401872715</v>
      </c>
    </row>
    <row r="232" spans="4:10" x14ac:dyDescent="0.2">
      <c r="D232" t="s">
        <v>10</v>
      </c>
      <c r="E232">
        <f>'NHL2025-26Results'!C228</f>
        <v>4</v>
      </c>
      <c r="F232" t="s">
        <v>16</v>
      </c>
      <c r="G232">
        <f>'NHL2025-26Results'!E228</f>
        <v>0</v>
      </c>
      <c r="H232">
        <f>Table3[[#This Row],[G_1]]-Table3[[#This Row],[G]]</f>
        <v>-4</v>
      </c>
      <c r="I232">
        <f>HomeEdge+VLOOKUP(Table3[[#This Row],[Home]],$A$6:$B$38,2,FALSE)-VLOOKUP(Table3[[#This Row],[Visitor]],$A$6:$B$38,2,FALSE)</f>
        <v>9.0442134450013922E-3</v>
      </c>
      <c r="J232">
        <f>(Table3[[#This Row],[HomeMargin]]-Table3[[#This Row],[HomeForecast]])^2</f>
        <v>16.07243550535685</v>
      </c>
    </row>
    <row r="233" spans="4:10" x14ac:dyDescent="0.2">
      <c r="D233" t="s">
        <v>15</v>
      </c>
      <c r="E233">
        <f>'NHL2025-26Results'!C229</f>
        <v>4</v>
      </c>
      <c r="F233" t="s">
        <v>26</v>
      </c>
      <c r="G233">
        <f>'NHL2025-26Results'!E229</f>
        <v>1</v>
      </c>
      <c r="H233">
        <f>Table3[[#This Row],[G_1]]-Table3[[#This Row],[G]]</f>
        <v>-3</v>
      </c>
      <c r="I233">
        <f>HomeEdge+VLOOKUP(Table3[[#This Row],[Home]],$A$6:$B$38,2,FALSE)-VLOOKUP(Table3[[#This Row],[Visitor]],$A$6:$B$38,2,FALSE)</f>
        <v>0.56243712918800015</v>
      </c>
      <c r="J233">
        <f>(Table3[[#This Row],[HomeMargin]]-Table3[[#This Row],[HomeForecast]])^2</f>
        <v>12.690958299417238</v>
      </c>
    </row>
    <row r="234" spans="4:10" x14ac:dyDescent="0.2">
      <c r="D234" t="s">
        <v>34</v>
      </c>
      <c r="E234">
        <f>'NHL2025-26Results'!C230</f>
        <v>5</v>
      </c>
      <c r="F234" t="s">
        <v>30</v>
      </c>
      <c r="G234">
        <f>'NHL2025-26Results'!E230</f>
        <v>2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-0.12599658381247403</v>
      </c>
      <c r="J234">
        <f>(Table3[[#This Row],[HomeMargin]]-Table3[[#This Row],[HomeForecast]])^2</f>
        <v>8.2598956362575695</v>
      </c>
    </row>
    <row r="235" spans="4:10" x14ac:dyDescent="0.2">
      <c r="D235" t="s">
        <v>40</v>
      </c>
      <c r="E235">
        <f>'NHL2025-26Results'!C231</f>
        <v>1</v>
      </c>
      <c r="F235" t="s">
        <v>33</v>
      </c>
      <c r="G235">
        <f>'NHL2025-26Results'!E231</f>
        <v>2</v>
      </c>
      <c r="H235">
        <f>Table3[[#This Row],[G_1]]-Table3[[#This Row],[G]]</f>
        <v>1</v>
      </c>
      <c r="I235">
        <f>HomeEdge+VLOOKUP(Table3[[#This Row],[Home]],$A$6:$B$38,2,FALSE)-VLOOKUP(Table3[[#This Row],[Visitor]],$A$6:$B$38,2,FALSE)</f>
        <v>3.5268227917219952E-2</v>
      </c>
      <c r="J235">
        <f>(Table3[[#This Row],[HomeMargin]]-Table3[[#This Row],[HomeForecast]])^2</f>
        <v>0.93070739206598108</v>
      </c>
    </row>
    <row r="236" spans="4:10" x14ac:dyDescent="0.2">
      <c r="D236" t="s">
        <v>23</v>
      </c>
      <c r="E236">
        <f>'NHL2025-26Results'!C232</f>
        <v>3</v>
      </c>
      <c r="F236" t="s">
        <v>25</v>
      </c>
      <c r="G236">
        <f>'NHL2025-26Results'!E232</f>
        <v>6</v>
      </c>
      <c r="H236">
        <f>Table3[[#This Row],[G_1]]-Table3[[#This Row],[G]]</f>
        <v>3</v>
      </c>
      <c r="I236">
        <f>HomeEdge+VLOOKUP(Table3[[#This Row],[Home]],$A$6:$B$38,2,FALSE)-VLOOKUP(Table3[[#This Row],[Visitor]],$A$6:$B$38,2,FALSE)</f>
        <v>0.36389908636025203</v>
      </c>
      <c r="J236">
        <f>(Table3[[#This Row],[HomeMargin]]-Table3[[#This Row],[HomeForecast]])^2</f>
        <v>6.9490280268923126</v>
      </c>
    </row>
    <row r="237" spans="4:10" x14ac:dyDescent="0.2">
      <c r="D237" t="s">
        <v>12</v>
      </c>
      <c r="E237">
        <f>'NHL2025-26Results'!C233</f>
        <v>9</v>
      </c>
      <c r="F237" t="s">
        <v>17</v>
      </c>
      <c r="G237">
        <f>'NHL2025-26Results'!E233</f>
        <v>1</v>
      </c>
      <c r="H237">
        <f>Table3[[#This Row],[G_1]]-Table3[[#This Row],[G]]</f>
        <v>-8</v>
      </c>
      <c r="I237">
        <f>HomeEdge+VLOOKUP(Table3[[#This Row],[Home]],$A$6:$B$38,2,FALSE)-VLOOKUP(Table3[[#This Row],[Visitor]],$A$6:$B$38,2,FALSE)</f>
        <v>-1.2796260509383541</v>
      </c>
      <c r="J237">
        <f>(Table3[[#This Row],[HomeMargin]]-Table3[[#This Row],[HomeForecast]])^2</f>
        <v>45.16342601522642</v>
      </c>
    </row>
    <row r="238" spans="4:10" x14ac:dyDescent="0.2">
      <c r="D238" t="s">
        <v>55</v>
      </c>
      <c r="E238">
        <f>'NHL2025-26Results'!C234</f>
        <v>2</v>
      </c>
      <c r="F238" t="s">
        <v>18</v>
      </c>
      <c r="G238">
        <f>'NHL2025-26Results'!E234</f>
        <v>6</v>
      </c>
      <c r="H238">
        <f>Table3[[#This Row],[G_1]]-Table3[[#This Row],[G]]</f>
        <v>4</v>
      </c>
      <c r="I238">
        <f>HomeEdge+VLOOKUP(Table3[[#This Row],[Home]],$A$6:$B$38,2,FALSE)-VLOOKUP(Table3[[#This Row],[Visitor]],$A$6:$B$38,2,FALSE)</f>
        <v>-0.26103675402040866</v>
      </c>
      <c r="J238">
        <f>(Table3[[#This Row],[HomeMargin]]-Table3[[#This Row],[HomeForecast]])^2</f>
        <v>18.156434219112779</v>
      </c>
    </row>
    <row r="239" spans="4:10" x14ac:dyDescent="0.2">
      <c r="D239" t="s">
        <v>14</v>
      </c>
      <c r="E239">
        <f>'NHL2025-26Results'!C235</f>
        <v>1</v>
      </c>
      <c r="F239" t="s">
        <v>24</v>
      </c>
      <c r="G239">
        <f>'NHL2025-26Results'!E235</f>
        <v>2</v>
      </c>
      <c r="H239">
        <f>Table3[[#This Row],[G_1]]-Table3[[#This Row],[G]]</f>
        <v>1</v>
      </c>
      <c r="I239">
        <f>HomeEdge+VLOOKUP(Table3[[#This Row],[Home]],$A$6:$B$38,2,FALSE)-VLOOKUP(Table3[[#This Row],[Visitor]],$A$6:$B$38,2,FALSE)</f>
        <v>-0.43118258785343155</v>
      </c>
      <c r="J239">
        <f>(Table3[[#This Row],[HomeMargin]]-Table3[[#This Row],[HomeForecast]])^2</f>
        <v>2.048283599774845</v>
      </c>
    </row>
    <row r="240" spans="4:10" x14ac:dyDescent="0.2">
      <c r="D240" t="s">
        <v>39</v>
      </c>
      <c r="E240">
        <f>'NHL2025-26Results'!C236</f>
        <v>5</v>
      </c>
      <c r="F240" t="s">
        <v>29</v>
      </c>
      <c r="G240">
        <f>'NHL2025-26Results'!E236</f>
        <v>4</v>
      </c>
      <c r="H240">
        <f>Table3[[#This Row],[G_1]]-Table3[[#This Row],[G]]</f>
        <v>-1</v>
      </c>
      <c r="I240">
        <f>HomeEdge+VLOOKUP(Table3[[#This Row],[Home]],$A$6:$B$38,2,FALSE)-VLOOKUP(Table3[[#This Row],[Visitor]],$A$6:$B$38,2,FALSE)</f>
        <v>-0.85976243078532844</v>
      </c>
      <c r="J240">
        <f>(Table3[[#This Row],[HomeMargin]]-Table3[[#This Row],[HomeForecast]])^2</f>
        <v>1.9666575819239796E-2</v>
      </c>
    </row>
    <row r="241" spans="4:10" x14ac:dyDescent="0.2">
      <c r="D241" t="s">
        <v>30</v>
      </c>
      <c r="E241">
        <f>'NHL2025-26Results'!C237</f>
        <v>5</v>
      </c>
      <c r="F241" t="s">
        <v>15</v>
      </c>
      <c r="G241">
        <f>'NHL2025-26Results'!E237</f>
        <v>0</v>
      </c>
      <c r="H241">
        <f>Table3[[#This Row],[G_1]]-Table3[[#This Row],[G]]</f>
        <v>-5</v>
      </c>
      <c r="I241">
        <f>HomeEdge+VLOOKUP(Table3[[#This Row],[Home]],$A$6:$B$38,2,FALSE)-VLOOKUP(Table3[[#This Row],[Visitor]],$A$6:$B$38,2,FALSE)</f>
        <v>-0.33460903000706543</v>
      </c>
      <c r="J241">
        <f>(Table3[[#This Row],[HomeMargin]]-Table3[[#This Row],[HomeForecast]])^2</f>
        <v>21.765872902891612</v>
      </c>
    </row>
    <row r="242" spans="4:10" x14ac:dyDescent="0.2">
      <c r="D242" t="s">
        <v>36</v>
      </c>
      <c r="E242">
        <f>'NHL2025-26Results'!C238</f>
        <v>3</v>
      </c>
      <c r="F242" t="s">
        <v>27</v>
      </c>
      <c r="G242">
        <f>'NHL2025-26Results'!E238</f>
        <v>2</v>
      </c>
      <c r="H242">
        <f>Table3[[#This Row],[G_1]]-Table3[[#This Row],[G]]</f>
        <v>-1</v>
      </c>
      <c r="I242">
        <f>HomeEdge+VLOOKUP(Table3[[#This Row],[Home]],$A$6:$B$38,2,FALSE)-VLOOKUP(Table3[[#This Row],[Visitor]],$A$6:$B$38,2,FALSE)</f>
        <v>0.17805417222677056</v>
      </c>
      <c r="J242">
        <f>(Table3[[#This Row],[HomeMargin]]-Table3[[#This Row],[HomeForecast]])^2</f>
        <v>1.3878116327009016</v>
      </c>
    </row>
    <row r="243" spans="4:10" x14ac:dyDescent="0.2">
      <c r="D243" t="s">
        <v>11</v>
      </c>
      <c r="E243">
        <f>'NHL2025-26Results'!C239</f>
        <v>1</v>
      </c>
      <c r="F243" t="s">
        <v>33</v>
      </c>
      <c r="G243">
        <f>'NHL2025-26Results'!E239</f>
        <v>3</v>
      </c>
      <c r="H243">
        <f>Table3[[#This Row],[G_1]]-Table3[[#This Row],[G]]</f>
        <v>2</v>
      </c>
      <c r="I243">
        <f>HomeEdge+VLOOKUP(Table3[[#This Row],[Home]],$A$6:$B$38,2,FALSE)-VLOOKUP(Table3[[#This Row],[Visitor]],$A$6:$B$38,2,FALSE)</f>
        <v>-1.4896757893009982E-2</v>
      </c>
      <c r="J243">
        <f>(Table3[[#This Row],[HomeMargin]]-Table3[[#This Row],[HomeForecast]])^2</f>
        <v>4.059808944967763</v>
      </c>
    </row>
    <row r="244" spans="4:10" x14ac:dyDescent="0.2">
      <c r="D244" t="s">
        <v>32</v>
      </c>
      <c r="E244">
        <f>'NHL2025-26Results'!C240</f>
        <v>4</v>
      </c>
      <c r="F244" t="s">
        <v>35</v>
      </c>
      <c r="G244">
        <f>'NHL2025-26Results'!E240</f>
        <v>3</v>
      </c>
      <c r="H244">
        <f>Table3[[#This Row],[G_1]]-Table3[[#This Row],[G]]</f>
        <v>-1</v>
      </c>
      <c r="I244">
        <f>HomeEdge+VLOOKUP(Table3[[#This Row],[Home]],$A$6:$B$38,2,FALSE)-VLOOKUP(Table3[[#This Row],[Visitor]],$A$6:$B$38,2,FALSE)</f>
        <v>-0.59944862164015278</v>
      </c>
      <c r="J244">
        <f>(Table3[[#This Row],[HomeMargin]]-Table3[[#This Row],[HomeForecast]])^2</f>
        <v>0.16044140670597348</v>
      </c>
    </row>
    <row r="245" spans="4:10" x14ac:dyDescent="0.2">
      <c r="D245" t="s">
        <v>22</v>
      </c>
      <c r="E245">
        <f>'NHL2025-26Results'!C241</f>
        <v>2</v>
      </c>
      <c r="F245" t="s">
        <v>37</v>
      </c>
      <c r="G245">
        <f>'NHL2025-26Results'!E241</f>
        <v>3</v>
      </c>
      <c r="H245">
        <f>Table3[[#This Row],[G_1]]-Table3[[#This Row],[G]]</f>
        <v>1</v>
      </c>
      <c r="I245">
        <f>HomeEdge+VLOOKUP(Table3[[#This Row],[Home]],$A$6:$B$38,2,FALSE)-VLOOKUP(Table3[[#This Row],[Visitor]],$A$6:$B$38,2,FALSE)</f>
        <v>0.83853523389981</v>
      </c>
      <c r="J245">
        <f>(Table3[[#This Row],[HomeMargin]]-Table3[[#This Row],[HomeForecast]])^2</f>
        <v>2.6070870691789066E-2</v>
      </c>
    </row>
    <row r="246" spans="4:10" x14ac:dyDescent="0.2">
      <c r="D246" t="s">
        <v>21</v>
      </c>
      <c r="E246">
        <f>'NHL2025-26Results'!C242</f>
        <v>5</v>
      </c>
      <c r="F246" t="s">
        <v>19</v>
      </c>
      <c r="G246">
        <f>'NHL2025-26Results'!E242</f>
        <v>3</v>
      </c>
      <c r="H246">
        <f>Table3[[#This Row],[G_1]]-Table3[[#This Row],[G]]</f>
        <v>-2</v>
      </c>
      <c r="I246">
        <f>HomeEdge+VLOOKUP(Table3[[#This Row],[Home]],$A$6:$B$38,2,FALSE)-VLOOKUP(Table3[[#This Row],[Visitor]],$A$6:$B$38,2,FALSE)</f>
        <v>-0.17073738198702773</v>
      </c>
      <c r="J246">
        <f>(Table3[[#This Row],[HomeMargin]]-Table3[[#This Row],[HomeForecast]])^2</f>
        <v>3.3462017256596734</v>
      </c>
    </row>
    <row r="247" spans="4:10" x14ac:dyDescent="0.2">
      <c r="D247" t="s">
        <v>28</v>
      </c>
      <c r="E247">
        <f>'NHL2025-26Results'!C243</f>
        <v>3</v>
      </c>
      <c r="F247" t="s">
        <v>38</v>
      </c>
      <c r="G247">
        <f>'NHL2025-26Results'!E243</f>
        <v>4</v>
      </c>
      <c r="H247">
        <f>Table3[[#This Row],[G_1]]-Table3[[#This Row],[G]]</f>
        <v>1</v>
      </c>
      <c r="I247">
        <f>HomeEdge+VLOOKUP(Table3[[#This Row],[Home]],$A$6:$B$38,2,FALSE)-VLOOKUP(Table3[[#This Row],[Visitor]],$A$6:$B$38,2,FALSE)</f>
        <v>-0.73731441101187012</v>
      </c>
      <c r="J247">
        <f>(Table3[[#This Row],[HomeMargin]]-Table3[[#This Row],[HomeForecast]])^2</f>
        <v>3.0182613627095214</v>
      </c>
    </row>
    <row r="248" spans="4:10" x14ac:dyDescent="0.2">
      <c r="D248" t="s">
        <v>31</v>
      </c>
      <c r="E248">
        <f>'NHL2025-26Results'!C244</f>
        <v>4</v>
      </c>
      <c r="F248" t="s">
        <v>20</v>
      </c>
      <c r="G248">
        <f>'NHL2025-26Results'!E244</f>
        <v>3</v>
      </c>
      <c r="H248">
        <f>Table3[[#This Row],[G_1]]-Table3[[#This Row],[G]]</f>
        <v>-1</v>
      </c>
      <c r="I248">
        <f>HomeEdge+VLOOKUP(Table3[[#This Row],[Home]],$A$6:$B$38,2,FALSE)-VLOOKUP(Table3[[#This Row],[Visitor]],$A$6:$B$38,2,FALSE)</f>
        <v>0.47408947603753088</v>
      </c>
      <c r="J248">
        <f>(Table3[[#This Row],[HomeMargin]]-Table3[[#This Row],[HomeForecast]])^2</f>
        <v>2.1729397833646025</v>
      </c>
    </row>
    <row r="249" spans="4:10" x14ac:dyDescent="0.2">
      <c r="D249" t="s">
        <v>40</v>
      </c>
      <c r="E249">
        <f>'NHL2025-26Results'!C245</f>
        <v>1</v>
      </c>
      <c r="F249" t="s">
        <v>31</v>
      </c>
      <c r="G249">
        <f>'NHL2025-26Results'!E245</f>
        <v>4</v>
      </c>
      <c r="H249">
        <f>Table3[[#This Row],[G_1]]-Table3[[#This Row],[G]]</f>
        <v>3</v>
      </c>
      <c r="I249">
        <f>HomeEdge+VLOOKUP(Table3[[#This Row],[Home]],$A$6:$B$38,2,FALSE)-VLOOKUP(Table3[[#This Row],[Visitor]],$A$6:$B$38,2,FALSE)</f>
        <v>0.18699406753496917</v>
      </c>
      <c r="J249">
        <f>(Table3[[#This Row],[HomeMargin]]-Table3[[#This Row],[HomeForecast]])^2</f>
        <v>7.9130023760834582</v>
      </c>
    </row>
    <row r="250" spans="4:10" x14ac:dyDescent="0.2">
      <c r="D250" t="s">
        <v>32</v>
      </c>
      <c r="E250">
        <f>'NHL2025-26Results'!C246</f>
        <v>1</v>
      </c>
      <c r="F250" t="s">
        <v>39</v>
      </c>
      <c r="G250">
        <f>'NHL2025-26Results'!E246</f>
        <v>2</v>
      </c>
      <c r="H250">
        <f>Table3[[#This Row],[G_1]]-Table3[[#This Row],[G]]</f>
        <v>1</v>
      </c>
      <c r="I250">
        <f>HomeEdge+VLOOKUP(Table3[[#This Row],[Home]],$A$6:$B$38,2,FALSE)-VLOOKUP(Table3[[#This Row],[Visitor]],$A$6:$B$38,2,FALSE)</f>
        <v>0.87950997323191005</v>
      </c>
      <c r="J250">
        <f>(Table3[[#This Row],[HomeMargin]]-Table3[[#This Row],[HomeForecast]])^2</f>
        <v>1.4517846550575033E-2</v>
      </c>
    </row>
    <row r="251" spans="4:10" x14ac:dyDescent="0.2">
      <c r="D251" t="s">
        <v>10</v>
      </c>
      <c r="E251">
        <f>'NHL2025-26Results'!C247</f>
        <v>5</v>
      </c>
      <c r="F251" t="s">
        <v>26</v>
      </c>
      <c r="G251">
        <f>'NHL2025-26Results'!E247</f>
        <v>1</v>
      </c>
      <c r="H251">
        <f>Table3[[#This Row],[G_1]]-Table3[[#This Row],[G]]</f>
        <v>-4</v>
      </c>
      <c r="I251">
        <f>HomeEdge+VLOOKUP(Table3[[#This Row],[Home]],$A$6:$B$38,2,FALSE)-VLOOKUP(Table3[[#This Row],[Visitor]],$A$6:$B$38,2,FALSE)</f>
        <v>0.62733397938052038</v>
      </c>
      <c r="J251">
        <f>(Table3[[#This Row],[HomeMargin]]-Table3[[#This Row],[HomeForecast]])^2</f>
        <v>21.412219756729559</v>
      </c>
    </row>
    <row r="252" spans="4:10" x14ac:dyDescent="0.2">
      <c r="D252" t="s">
        <v>16</v>
      </c>
      <c r="E252">
        <f>'NHL2025-26Results'!C248</f>
        <v>0</v>
      </c>
      <c r="F252" t="s">
        <v>34</v>
      </c>
      <c r="G252">
        <f>'NHL2025-26Results'!E248</f>
        <v>2</v>
      </c>
      <c r="H252">
        <f>Table3[[#This Row],[G_1]]-Table3[[#This Row],[G]]</f>
        <v>2</v>
      </c>
      <c r="I252">
        <f>HomeEdge+VLOOKUP(Table3[[#This Row],[Home]],$A$6:$B$38,2,FALSE)-VLOOKUP(Table3[[#This Row],[Visitor]],$A$6:$B$38,2,FALSE)</f>
        <v>0.90033823124971135</v>
      </c>
      <c r="J252">
        <f>(Table3[[#This Row],[HomeMargin]]-Table3[[#This Row],[HomeForecast]])^2</f>
        <v>1.2092560056510131</v>
      </c>
    </row>
    <row r="253" spans="4:10" x14ac:dyDescent="0.2">
      <c r="D253" t="s">
        <v>55</v>
      </c>
      <c r="E253">
        <f>'NHL2025-26Results'!C249</f>
        <v>2</v>
      </c>
      <c r="F253" t="s">
        <v>36</v>
      </c>
      <c r="G253">
        <f>'NHL2025-26Results'!E249</f>
        <v>4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-0.4284892613102676</v>
      </c>
      <c r="J253">
        <f>(Table3[[#This Row],[HomeMargin]]-Table3[[#This Row],[HomeForecast]])^2</f>
        <v>5.8975600922992886</v>
      </c>
    </row>
    <row r="254" spans="4:10" x14ac:dyDescent="0.2">
      <c r="D254" t="s">
        <v>13</v>
      </c>
      <c r="E254">
        <f>'NHL2025-26Results'!C250</f>
        <v>3</v>
      </c>
      <c r="F254" t="s">
        <v>14</v>
      </c>
      <c r="G254">
        <f>'NHL2025-26Results'!E250</f>
        <v>2</v>
      </c>
      <c r="H254">
        <f>Table3[[#This Row],[G_1]]-Table3[[#This Row],[G]]</f>
        <v>-1</v>
      </c>
      <c r="I254">
        <f>HomeEdge+VLOOKUP(Table3[[#This Row],[Home]],$A$6:$B$38,2,FALSE)-VLOOKUP(Table3[[#This Row],[Visitor]],$A$6:$B$38,2,FALSE)</f>
        <v>0.53225189644646353</v>
      </c>
      <c r="J254">
        <f>(Table3[[#This Row],[HomeMargin]]-Table3[[#This Row],[HomeForecast]])^2</f>
        <v>2.3477958741637841</v>
      </c>
    </row>
    <row r="255" spans="4:10" x14ac:dyDescent="0.2">
      <c r="D255" t="s">
        <v>25</v>
      </c>
      <c r="E255">
        <f>'NHL2025-26Results'!C251</f>
        <v>5</v>
      </c>
      <c r="F255" t="s">
        <v>19</v>
      </c>
      <c r="G255">
        <f>'NHL2025-26Results'!E251</f>
        <v>4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-0.52106115875885195</v>
      </c>
      <c r="J255">
        <f>(Table3[[#This Row],[HomeMargin]]-Table3[[#This Row],[HomeForecast]])^2</f>
        <v>0.22938241364941361</v>
      </c>
    </row>
    <row r="256" spans="4:10" x14ac:dyDescent="0.2">
      <c r="D256" t="s">
        <v>12</v>
      </c>
      <c r="E256">
        <f>'NHL2025-26Results'!C252</f>
        <v>5</v>
      </c>
      <c r="F256" t="s">
        <v>38</v>
      </c>
      <c r="G256">
        <f>'NHL2025-26Results'!E252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-2.3383457340485219</v>
      </c>
      <c r="J256">
        <f>(Table3[[#This Row],[HomeMargin]]-Table3[[#This Row],[HomeForecast]])^2</f>
        <v>1.7911693038458769</v>
      </c>
    </row>
    <row r="257" spans="4:10" x14ac:dyDescent="0.2">
      <c r="D257" t="s">
        <v>28</v>
      </c>
      <c r="E257">
        <f>'NHL2025-26Results'!C253</f>
        <v>4</v>
      </c>
      <c r="F257" t="s">
        <v>17</v>
      </c>
      <c r="G257">
        <f>'NHL2025-26Results'!E253</f>
        <v>5</v>
      </c>
      <c r="H257">
        <f>Table3[[#This Row],[G_1]]-Table3[[#This Row],[G]]</f>
        <v>1</v>
      </c>
      <c r="I257">
        <f>HomeEdge+VLOOKUP(Table3[[#This Row],[Home]],$A$6:$B$38,2,FALSE)-VLOOKUP(Table3[[#This Row],[Visitor]],$A$6:$B$38,2,FALSE)</f>
        <v>0.32140527209829761</v>
      </c>
      <c r="J257">
        <f>(Table3[[#This Row],[HomeMargin]]-Table3[[#This Row],[HomeForecast]])^2</f>
        <v>0.46049080473598553</v>
      </c>
    </row>
    <row r="258" spans="4:10" x14ac:dyDescent="0.2">
      <c r="D258" t="s">
        <v>30</v>
      </c>
      <c r="E258">
        <f>'NHL2025-26Results'!C254</f>
        <v>3</v>
      </c>
      <c r="F258" t="s">
        <v>24</v>
      </c>
      <c r="G258">
        <f>'NHL2025-26Results'!E254</f>
        <v>2</v>
      </c>
      <c r="H258">
        <f>Table3[[#This Row],[G_1]]-Table3[[#This Row],[G]]</f>
        <v>-1</v>
      </c>
      <c r="I258">
        <f>HomeEdge+VLOOKUP(Table3[[#This Row],[Home]],$A$6:$B$38,2,FALSE)-VLOOKUP(Table3[[#This Row],[Visitor]],$A$6:$B$38,2,FALSE)</f>
        <v>-0.22206278971155785</v>
      </c>
      <c r="J258">
        <f>(Table3[[#This Row],[HomeMargin]]-Table3[[#This Row],[HomeForecast]])^2</f>
        <v>0.60518630315136379</v>
      </c>
    </row>
    <row r="259" spans="4:10" x14ac:dyDescent="0.2">
      <c r="D259" t="s">
        <v>29</v>
      </c>
      <c r="E259">
        <f>'NHL2025-26Results'!C255</f>
        <v>3</v>
      </c>
      <c r="F259" t="s">
        <v>15</v>
      </c>
      <c r="G259">
        <f>'NHL2025-26Results'!E255</f>
        <v>6</v>
      </c>
      <c r="H259">
        <f>Table3[[#This Row],[G_1]]-Table3[[#This Row],[G]]</f>
        <v>3</v>
      </c>
      <c r="I259">
        <f>HomeEdge+VLOOKUP(Table3[[#This Row],[Home]],$A$6:$B$38,2,FALSE)-VLOOKUP(Table3[[#This Row],[Visitor]],$A$6:$B$38,2,FALSE)</f>
        <v>0.19944010529472378</v>
      </c>
      <c r="J259">
        <f>(Table3[[#This Row],[HomeMargin]]-Table3[[#This Row],[HomeForecast]])^2</f>
        <v>7.8431357238316286</v>
      </c>
    </row>
    <row r="260" spans="4:10" x14ac:dyDescent="0.2">
      <c r="D260" t="s">
        <v>11</v>
      </c>
      <c r="E260">
        <f>'NHL2025-26Results'!C256</f>
        <v>3</v>
      </c>
      <c r="F260" t="s">
        <v>20</v>
      </c>
      <c r="G260">
        <f>'NHL2025-26Results'!E256</f>
        <v>2</v>
      </c>
      <c r="H260">
        <f>Table3[[#This Row],[G_1]]-Table3[[#This Row],[G]]</f>
        <v>-1</v>
      </c>
      <c r="I260">
        <f>HomeEdge+VLOOKUP(Table3[[#This Row],[Home]],$A$6:$B$38,2,FALSE)-VLOOKUP(Table3[[#This Row],[Visitor]],$A$6:$B$38,2,FALSE)</f>
        <v>0.51494856259160682</v>
      </c>
      <c r="J260">
        <f>(Table3[[#This Row],[HomeMargin]]-Table3[[#This Row],[HomeForecast]])^2</f>
        <v>2.2950691472983755</v>
      </c>
    </row>
    <row r="261" spans="4:10" x14ac:dyDescent="0.2">
      <c r="D261" t="s">
        <v>19</v>
      </c>
      <c r="E261">
        <f>'NHL2025-26Results'!C257</f>
        <v>3</v>
      </c>
      <c r="F261" t="s">
        <v>21</v>
      </c>
      <c r="G261">
        <f>'NHL2025-26Results'!E257</f>
        <v>5</v>
      </c>
      <c r="H261">
        <f>Table3[[#This Row],[G_1]]-Table3[[#This Row],[G]]</f>
        <v>2</v>
      </c>
      <c r="I261">
        <f>HomeEdge+VLOOKUP(Table3[[#This Row],[Home]],$A$6:$B$38,2,FALSE)-VLOOKUP(Table3[[#This Row],[Visitor]],$A$6:$B$38,2,FALSE)</f>
        <v>0.36267737232835423</v>
      </c>
      <c r="J261">
        <f>(Table3[[#This Row],[HomeMargin]]-Table3[[#This Row],[HomeForecast]])^2</f>
        <v>2.6808253870855827</v>
      </c>
    </row>
    <row r="262" spans="4:10" x14ac:dyDescent="0.2">
      <c r="D262" t="s">
        <v>22</v>
      </c>
      <c r="E262">
        <f>'NHL2025-26Results'!C258</f>
        <v>4</v>
      </c>
      <c r="F262" t="s">
        <v>25</v>
      </c>
      <c r="G262">
        <f>'NHL2025-26Results'!E258</f>
        <v>1</v>
      </c>
      <c r="H262">
        <f>Table3[[#This Row],[G_1]]-Table3[[#This Row],[G]]</f>
        <v>-3</v>
      </c>
      <c r="I262">
        <f>HomeEdge+VLOOKUP(Table3[[#This Row],[Home]],$A$6:$B$38,2,FALSE)-VLOOKUP(Table3[[#This Row],[Visitor]],$A$6:$B$38,2,FALSE)</f>
        <v>0.48040570859664083</v>
      </c>
      <c r="J262">
        <f>(Table3[[#This Row],[HomeMargin]]-Table3[[#This Row],[HomeForecast]])^2</f>
        <v>12.113223896432084</v>
      </c>
    </row>
    <row r="263" spans="4:10" x14ac:dyDescent="0.2">
      <c r="D263" t="s">
        <v>31</v>
      </c>
      <c r="E263">
        <f>'NHL2025-26Results'!C259</f>
        <v>1</v>
      </c>
      <c r="F263" t="s">
        <v>12</v>
      </c>
      <c r="G263">
        <f>'NHL2025-26Results'!E259</f>
        <v>4</v>
      </c>
      <c r="H263">
        <f>Table3[[#This Row],[G_1]]-Table3[[#This Row],[G]]</f>
        <v>3</v>
      </c>
      <c r="I263">
        <f>HomeEdge+VLOOKUP(Table3[[#This Row],[Home]],$A$6:$B$38,2,FALSE)-VLOOKUP(Table3[[#This Row],[Visitor]],$A$6:$B$38,2,FALSE)</f>
        <v>1.6540484091848278</v>
      </c>
      <c r="J263">
        <f>(Table3[[#This Row],[HomeMargin]]-Table3[[#This Row],[HomeForecast]])^2</f>
        <v>1.8115856848178928</v>
      </c>
    </row>
    <row r="264" spans="4:10" x14ac:dyDescent="0.2">
      <c r="D264" t="s">
        <v>33</v>
      </c>
      <c r="E264">
        <f>'NHL2025-26Results'!C260</f>
        <v>2</v>
      </c>
      <c r="F264" t="s">
        <v>34</v>
      </c>
      <c r="G264">
        <f>'NHL2025-26Results'!E260</f>
        <v>1</v>
      </c>
      <c r="H264">
        <f>Table3[[#This Row],[G_1]]-Table3[[#This Row],[G]]</f>
        <v>-1</v>
      </c>
      <c r="I264">
        <f>HomeEdge+VLOOKUP(Table3[[#This Row],[Home]],$A$6:$B$38,2,FALSE)-VLOOKUP(Table3[[#This Row],[Visitor]],$A$6:$B$38,2,FALSE)</f>
        <v>0.6434688153917707</v>
      </c>
      <c r="J264">
        <f>(Table3[[#This Row],[HomeMargin]]-Table3[[#This Row],[HomeForecast]])^2</f>
        <v>2.70098974716523</v>
      </c>
    </row>
    <row r="265" spans="4:10" x14ac:dyDescent="0.2">
      <c r="D265" t="s">
        <v>13</v>
      </c>
      <c r="E265">
        <f>'NHL2025-26Results'!C261</f>
        <v>5</v>
      </c>
      <c r="F265" t="s">
        <v>18</v>
      </c>
      <c r="G265">
        <f>'NHL2025-26Results'!E261</f>
        <v>1</v>
      </c>
      <c r="H265">
        <f>Table3[[#This Row],[G_1]]-Table3[[#This Row],[G]]</f>
        <v>-4</v>
      </c>
      <c r="I265">
        <f>HomeEdge+VLOOKUP(Table3[[#This Row],[Home]],$A$6:$B$38,2,FALSE)-VLOOKUP(Table3[[#This Row],[Visitor]],$A$6:$B$38,2,FALSE)</f>
        <v>0.29576463089244648</v>
      </c>
      <c r="J265">
        <f>(Table3[[#This Row],[HomeMargin]]-Table3[[#This Row],[HomeForecast]])^2</f>
        <v>18.453593764026522</v>
      </c>
    </row>
    <row r="266" spans="4:10" x14ac:dyDescent="0.2">
      <c r="D266" t="s">
        <v>39</v>
      </c>
      <c r="E266">
        <f>'NHL2025-26Results'!C262</f>
        <v>3</v>
      </c>
      <c r="F266" t="s">
        <v>36</v>
      </c>
      <c r="G266">
        <f>'NHL2025-26Results'!E262</f>
        <v>2</v>
      </c>
      <c r="H266">
        <f>Table3[[#This Row],[G_1]]-Table3[[#This Row],[G]]</f>
        <v>-1</v>
      </c>
      <c r="I266">
        <f>HomeEdge+VLOOKUP(Table3[[#This Row],[Home]],$A$6:$B$38,2,FALSE)-VLOOKUP(Table3[[#This Row],[Visitor]],$A$6:$B$38,2,FALSE)</f>
        <v>-0.52053327018554163</v>
      </c>
      <c r="J266">
        <f>(Table3[[#This Row],[HomeMargin]]-Table3[[#This Row],[HomeForecast]])^2</f>
        <v>0.22988834499897082</v>
      </c>
    </row>
    <row r="267" spans="4:10" x14ac:dyDescent="0.2">
      <c r="D267" t="s">
        <v>28</v>
      </c>
      <c r="E267">
        <f>'NHL2025-26Results'!C263</f>
        <v>2</v>
      </c>
      <c r="F267" t="s">
        <v>32</v>
      </c>
      <c r="G267">
        <f>'NHL2025-26Results'!E263</f>
        <v>1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-4.9127381593672859E-2</v>
      </c>
      <c r="J267">
        <f>(Table3[[#This Row],[HomeMargin]]-Table3[[#This Row],[HomeForecast]])^2</f>
        <v>0.90415873643490474</v>
      </c>
    </row>
    <row r="268" spans="4:10" x14ac:dyDescent="0.2">
      <c r="D268" t="s">
        <v>16</v>
      </c>
      <c r="E268">
        <f>'NHL2025-26Results'!C264</f>
        <v>2</v>
      </c>
      <c r="F268" t="s">
        <v>35</v>
      </c>
      <c r="G268">
        <f>'NHL2025-26Results'!E264</f>
        <v>3</v>
      </c>
      <c r="H268">
        <f>Table3[[#This Row],[G_1]]-Table3[[#This Row],[G]]</f>
        <v>1</v>
      </c>
      <c r="I268">
        <f>HomeEdge+VLOOKUP(Table3[[#This Row],[Home]],$A$6:$B$38,2,FALSE)-VLOOKUP(Table3[[#This Row],[Visitor]],$A$6:$B$38,2,FALSE)</f>
        <v>-0.37890365195128628</v>
      </c>
      <c r="J268">
        <f>(Table3[[#This Row],[HomeMargin]]-Table3[[#This Row],[HomeForecast]])^2</f>
        <v>1.9013752813645941</v>
      </c>
    </row>
    <row r="269" spans="4:10" x14ac:dyDescent="0.2">
      <c r="D269" t="s">
        <v>40</v>
      </c>
      <c r="E269">
        <f>'NHL2025-26Results'!C265</f>
        <v>5</v>
      </c>
      <c r="F269" t="s">
        <v>38</v>
      </c>
      <c r="G269">
        <f>'NHL2025-26Results'!E265</f>
        <v>3</v>
      </c>
      <c r="H269">
        <f>Table3[[#This Row],[G_1]]-Table3[[#This Row],[G]]</f>
        <v>-2</v>
      </c>
      <c r="I269">
        <f>HomeEdge+VLOOKUP(Table3[[#This Row],[Home]],$A$6:$B$38,2,FALSE)-VLOOKUP(Table3[[#This Row],[Visitor]],$A$6:$B$38,2,FALSE)</f>
        <v>-0.68924324767005141</v>
      </c>
      <c r="J269">
        <f>(Table3[[#This Row],[HomeMargin]]-Table3[[#This Row],[HomeForecast]])^2</f>
        <v>1.7180832637785541</v>
      </c>
    </row>
    <row r="270" spans="4:10" x14ac:dyDescent="0.2">
      <c r="D270" t="s">
        <v>24</v>
      </c>
      <c r="E270">
        <f>'NHL2025-26Results'!C266</f>
        <v>4</v>
      </c>
      <c r="F270" t="s">
        <v>10</v>
      </c>
      <c r="G270">
        <f>'NHL2025-26Results'!E266</f>
        <v>3</v>
      </c>
      <c r="H270">
        <f>Table3[[#This Row],[G_1]]-Table3[[#This Row],[G]]</f>
        <v>-1</v>
      </c>
      <c r="I270">
        <f>HomeEdge+VLOOKUP(Table3[[#This Row],[Home]],$A$6:$B$38,2,FALSE)-VLOOKUP(Table3[[#This Row],[Visitor]],$A$6:$B$38,2,FALSE)</f>
        <v>-8.1473095317364574E-2</v>
      </c>
      <c r="J270">
        <f>(Table3[[#This Row],[HomeMargin]]-Table3[[#This Row],[HomeForecast]])^2</f>
        <v>0.84369167462586325</v>
      </c>
    </row>
    <row r="271" spans="4:10" x14ac:dyDescent="0.2">
      <c r="D271" t="s">
        <v>17</v>
      </c>
      <c r="E271">
        <f>'NHL2025-26Results'!C267</f>
        <v>2</v>
      </c>
      <c r="F271" t="s">
        <v>27</v>
      </c>
      <c r="G271">
        <f>'NHL2025-26Results'!E267</f>
        <v>1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-2.5441768760157912E-2</v>
      </c>
      <c r="J271">
        <f>(Table3[[#This Row],[HomeMargin]]-Table3[[#This Row],[HomeForecast]])^2</f>
        <v>0.9497637460773295</v>
      </c>
    </row>
    <row r="272" spans="4:10" x14ac:dyDescent="0.2">
      <c r="D272" t="s">
        <v>15</v>
      </c>
      <c r="E272">
        <f>'NHL2025-26Results'!C268</f>
        <v>7</v>
      </c>
      <c r="F272" t="s">
        <v>37</v>
      </c>
      <c r="G272">
        <f>'NHL2025-26Results'!E268</f>
        <v>3</v>
      </c>
      <c r="H272">
        <f>Table3[[#This Row],[G_1]]-Table3[[#This Row],[G]]</f>
        <v>-4</v>
      </c>
      <c r="I272">
        <f>HomeEdge+VLOOKUP(Table3[[#This Row],[Home]],$A$6:$B$38,2,FALSE)-VLOOKUP(Table3[[#This Row],[Visitor]],$A$6:$B$38,2,FALSE)</f>
        <v>1.3890417756063056</v>
      </c>
      <c r="J272">
        <f>(Table3[[#This Row],[HomeMargin]]-Table3[[#This Row],[HomeForecast]])^2</f>
        <v>29.041771259229957</v>
      </c>
    </row>
    <row r="273" spans="4:10" x14ac:dyDescent="0.2">
      <c r="D273" t="s">
        <v>23</v>
      </c>
      <c r="E273">
        <f>'NHL2025-26Results'!C269</f>
        <v>2</v>
      </c>
      <c r="F273" t="s">
        <v>55</v>
      </c>
      <c r="G273">
        <f>'NHL2025-26Results'!E269</f>
        <v>5</v>
      </c>
      <c r="H273">
        <f>Table3[[#This Row],[G_1]]-Table3[[#This Row],[G]]</f>
        <v>3</v>
      </c>
      <c r="I273">
        <f>HomeEdge+VLOOKUP(Table3[[#This Row],[Home]],$A$6:$B$38,2,FALSE)-VLOOKUP(Table3[[#This Row],[Visitor]],$A$6:$B$38,2,FALSE)</f>
        <v>0.18917513818443599</v>
      </c>
      <c r="J273">
        <f>(Table3[[#This Row],[HomeMargin]]-Table3[[#This Row],[HomeForecast]])^2</f>
        <v>7.9007364038004848</v>
      </c>
    </row>
    <row r="274" spans="4:10" x14ac:dyDescent="0.2">
      <c r="D274" t="s">
        <v>17</v>
      </c>
      <c r="E274">
        <f>'NHL2025-26Results'!C270</f>
        <v>4</v>
      </c>
      <c r="F274" t="s">
        <v>28</v>
      </c>
      <c r="G274">
        <f>'NHL2025-26Results'!E270</f>
        <v>5</v>
      </c>
      <c r="H274">
        <f>Table3[[#This Row],[G_1]]-Table3[[#This Row],[G]]</f>
        <v>1</v>
      </c>
      <c r="I274">
        <f>HomeEdge+VLOOKUP(Table3[[#This Row],[Home]],$A$6:$B$38,2,FALSE)-VLOOKUP(Table3[[#This Row],[Visitor]],$A$6:$B$38,2,FALSE)</f>
        <v>-0.12946528175697114</v>
      </c>
      <c r="J274">
        <f>(Table3[[#This Row],[HomeMargin]]-Table3[[#This Row],[HomeForecast]])^2</f>
        <v>1.2756918226943545</v>
      </c>
    </row>
    <row r="275" spans="4:10" x14ac:dyDescent="0.2">
      <c r="D275" t="s">
        <v>33</v>
      </c>
      <c r="E275">
        <f>'NHL2025-26Results'!C271</f>
        <v>0</v>
      </c>
      <c r="F275" t="s">
        <v>16</v>
      </c>
      <c r="G275">
        <f>'NHL2025-26Results'!E271</f>
        <v>2</v>
      </c>
      <c r="H275">
        <f>Table3[[#This Row],[G_1]]-Table3[[#This Row],[G]]</f>
        <v>2</v>
      </c>
      <c r="I275">
        <f>HomeEdge+VLOOKUP(Table3[[#This Row],[Home]],$A$6:$B$38,2,FALSE)-VLOOKUP(Table3[[#This Row],[Visitor]],$A$6:$B$38,2,FALSE)</f>
        <v>-0.16089942068727736</v>
      </c>
      <c r="J275">
        <f>(Table3[[#This Row],[HomeMargin]]-Table3[[#This Row],[HomeForecast]])^2</f>
        <v>4.6694863063266121</v>
      </c>
    </row>
    <row r="276" spans="4:10" x14ac:dyDescent="0.2">
      <c r="D276" t="s">
        <v>23</v>
      </c>
      <c r="E276">
        <f>'NHL2025-26Results'!C272</f>
        <v>3</v>
      </c>
      <c r="F276" t="s">
        <v>12</v>
      </c>
      <c r="G276">
        <f>'NHL2025-26Results'!E272</f>
        <v>6</v>
      </c>
      <c r="H276">
        <f>Table3[[#This Row],[G_1]]-Table3[[#This Row],[G]]</f>
        <v>3</v>
      </c>
      <c r="I276">
        <f>HomeEdge+VLOOKUP(Table3[[#This Row],[Home]],$A$6:$B$38,2,FALSE)-VLOOKUP(Table3[[#This Row],[Visitor]],$A$6:$B$38,2,FALSE)</f>
        <v>1.2438078687994509</v>
      </c>
      <c r="J276">
        <f>(Table3[[#This Row],[HomeMargin]]-Table3[[#This Row],[HomeForecast]])^2</f>
        <v>3.0842108016907264</v>
      </c>
    </row>
    <row r="277" spans="4:10" x14ac:dyDescent="0.2">
      <c r="D277" t="s">
        <v>31</v>
      </c>
      <c r="E277">
        <f>'NHL2025-26Results'!C273</f>
        <v>3</v>
      </c>
      <c r="F277" t="s">
        <v>26</v>
      </c>
      <c r="G277">
        <f>'NHL2025-26Results'!E273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0.30566450563049236</v>
      </c>
      <c r="J277">
        <f>(Table3[[#This Row],[HomeMargin]]-Table3[[#This Row],[HomeForecast]])^2</f>
        <v>7.2594437562193797</v>
      </c>
    </row>
    <row r="278" spans="4:10" x14ac:dyDescent="0.2">
      <c r="D278" t="s">
        <v>22</v>
      </c>
      <c r="E278">
        <f>'NHL2025-26Results'!C274</f>
        <v>3</v>
      </c>
      <c r="F278" t="s">
        <v>11</v>
      </c>
      <c r="G278">
        <f>'NHL2025-26Results'!E274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-0.23862300953240073</v>
      </c>
      <c r="J278">
        <f>(Table3[[#This Row],[HomeMargin]]-Table3[[#This Row],[HomeForecast]])^2</f>
        <v>10.488678997872704</v>
      </c>
    </row>
    <row r="279" spans="4:10" x14ac:dyDescent="0.2">
      <c r="D279" t="s">
        <v>39</v>
      </c>
      <c r="E279">
        <f>'NHL2025-26Results'!C275</f>
        <v>7</v>
      </c>
      <c r="F279" t="s">
        <v>18</v>
      </c>
      <c r="G279">
        <f>'NHL2025-26Results'!E275</f>
        <v>0</v>
      </c>
      <c r="H279">
        <f>Table3[[#This Row],[G_1]]-Table3[[#This Row],[G]]</f>
        <v>-7</v>
      </c>
      <c r="I279">
        <f>HomeEdge+VLOOKUP(Table3[[#This Row],[Home]],$A$6:$B$38,2,FALSE)-VLOOKUP(Table3[[#This Row],[Visitor]],$A$6:$B$38,2,FALSE)</f>
        <v>-0.35308076289568263</v>
      </c>
      <c r="J279">
        <f>(Table3[[#This Row],[HomeMargin]]-Table3[[#This Row],[HomeForecast]])^2</f>
        <v>44.181535344587438</v>
      </c>
    </row>
    <row r="280" spans="4:10" x14ac:dyDescent="0.2">
      <c r="D280" t="s">
        <v>21</v>
      </c>
      <c r="E280">
        <f>'NHL2025-26Results'!C276</f>
        <v>3</v>
      </c>
      <c r="F280" t="s">
        <v>36</v>
      </c>
      <c r="G280">
        <f>'NHL2025-26Results'!E276</f>
        <v>5</v>
      </c>
      <c r="H280">
        <f>Table3[[#This Row],[G_1]]-Table3[[#This Row],[G]]</f>
        <v>2</v>
      </c>
      <c r="I280">
        <f>HomeEdge+VLOOKUP(Table3[[#This Row],[Home]],$A$6:$B$38,2,FALSE)-VLOOKUP(Table3[[#This Row],[Visitor]],$A$6:$B$38,2,FALSE)</f>
        <v>-0.25288943271425951</v>
      </c>
      <c r="J280">
        <f>(Table3[[#This Row],[HomeMargin]]-Table3[[#This Row],[HomeForecast]])^2</f>
        <v>5.0755107960355792</v>
      </c>
    </row>
    <row r="281" spans="4:10" x14ac:dyDescent="0.2">
      <c r="D281" t="s">
        <v>40</v>
      </c>
      <c r="E281">
        <f>'NHL2025-26Results'!C277</f>
        <v>3</v>
      </c>
      <c r="F281" t="s">
        <v>32</v>
      </c>
      <c r="G281">
        <f>'NHL2025-26Results'!E277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-1.0562182518542018E-3</v>
      </c>
      <c r="J281">
        <f>(Table3[[#This Row],[HomeMargin]]-Table3[[#This Row],[HomeForecast]])^2</f>
        <v>4.0042259886044116</v>
      </c>
    </row>
    <row r="282" spans="4:10" x14ac:dyDescent="0.2">
      <c r="D282" t="s">
        <v>13</v>
      </c>
      <c r="E282">
        <f>'NHL2025-26Results'!C278</f>
        <v>4</v>
      </c>
      <c r="F282" t="s">
        <v>19</v>
      </c>
      <c r="G282">
        <f>'NHL2025-26Results'!E278</f>
        <v>3</v>
      </c>
      <c r="H282">
        <f>Table3[[#This Row],[G_1]]-Table3[[#This Row],[G]]</f>
        <v>-1</v>
      </c>
      <c r="I282">
        <f>HomeEdge+VLOOKUP(Table3[[#This Row],[Home]],$A$6:$B$38,2,FALSE)-VLOOKUP(Table3[[#This Row],[Visitor]],$A$6:$B$38,2,FALSE)</f>
        <v>0.21046417432981929</v>
      </c>
      <c r="J282">
        <f>(Table3[[#This Row],[HomeMargin]]-Table3[[#This Row],[HomeForecast]])^2</f>
        <v>1.4652235173359709</v>
      </c>
    </row>
    <row r="283" spans="4:10" x14ac:dyDescent="0.2">
      <c r="D283" t="s">
        <v>30</v>
      </c>
      <c r="E283">
        <f>'NHL2025-26Results'!C279</f>
        <v>4</v>
      </c>
      <c r="F283" t="s">
        <v>20</v>
      </c>
      <c r="G283">
        <f>'NHL2025-26Results'!E279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0.30028307441730989</v>
      </c>
      <c r="J283">
        <f>(Table3[[#This Row],[HomeMargin]]-Table3[[#This Row],[HomeForecast]])^2</f>
        <v>1.6907360736161317</v>
      </c>
    </row>
    <row r="284" spans="4:10" x14ac:dyDescent="0.2">
      <c r="D284" t="s">
        <v>38</v>
      </c>
      <c r="E284">
        <f>'NHL2025-26Results'!C280</f>
        <v>3</v>
      </c>
      <c r="F284" t="s">
        <v>25</v>
      </c>
      <c r="G284">
        <f>'NHL2025-26Results'!E280</f>
        <v>4</v>
      </c>
      <c r="H284">
        <f>Table3[[#This Row],[G_1]]-Table3[[#This Row],[G]]</f>
        <v>1</v>
      </c>
      <c r="I284">
        <f>HomeEdge+VLOOKUP(Table3[[#This Row],[Home]],$A$6:$B$38,2,FALSE)-VLOOKUP(Table3[[#This Row],[Visitor]],$A$6:$B$38,2,FALSE)</f>
        <v>1.6503769419506493</v>
      </c>
      <c r="J284">
        <f>(Table3[[#This Row],[HomeMargin]]-Table3[[#This Row],[HomeForecast]])^2</f>
        <v>0.4229901666210783</v>
      </c>
    </row>
    <row r="285" spans="4:10" x14ac:dyDescent="0.2">
      <c r="D285" t="s">
        <v>14</v>
      </c>
      <c r="E285">
        <f>'NHL2025-26Results'!C281</f>
        <v>1</v>
      </c>
      <c r="F285" t="s">
        <v>29</v>
      </c>
      <c r="G285">
        <f>'NHL2025-26Results'!E281</f>
        <v>2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-0.64719893827299957</v>
      </c>
      <c r="J285">
        <f>(Table3[[#This Row],[HomeMargin]]-Table3[[#This Row],[HomeForecast]])^2</f>
        <v>2.7132643422476974</v>
      </c>
    </row>
    <row r="286" spans="4:10" x14ac:dyDescent="0.2">
      <c r="D286" t="s">
        <v>27</v>
      </c>
      <c r="E286">
        <f>'NHL2025-26Results'!C282</f>
        <v>6</v>
      </c>
      <c r="F286" t="s">
        <v>35</v>
      </c>
      <c r="G286">
        <f>'NHL2025-26Results'!E282</f>
        <v>5</v>
      </c>
      <c r="H286">
        <f>Table3[[#This Row],[G_1]]-Table3[[#This Row],[G]]</f>
        <v>-1</v>
      </c>
      <c r="I286">
        <f>HomeEdge+VLOOKUP(Table3[[#This Row],[Home]],$A$6:$B$38,2,FALSE)-VLOOKUP(Table3[[#This Row],[Visitor]],$A$6:$B$38,2,FALSE)</f>
        <v>-0.8485695114013021</v>
      </c>
      <c r="J286">
        <f>(Table3[[#This Row],[HomeMargin]]-Table3[[#This Row],[HomeForecast]])^2</f>
        <v>2.2931192877240374E-2</v>
      </c>
    </row>
    <row r="287" spans="4:10" x14ac:dyDescent="0.2">
      <c r="D287" t="s">
        <v>30</v>
      </c>
      <c r="E287">
        <f>'NHL2025-26Results'!C283</f>
        <v>3</v>
      </c>
      <c r="F287" t="s">
        <v>55</v>
      </c>
      <c r="G287">
        <f>'NHL2025-26Results'!E283</f>
        <v>2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0.42560927694959172</v>
      </c>
      <c r="J287">
        <f>(Table3[[#This Row],[HomeMargin]]-Table3[[#This Row],[HomeForecast]])^2</f>
        <v>2.0323618105247379</v>
      </c>
    </row>
    <row r="288" spans="4:10" x14ac:dyDescent="0.2">
      <c r="D288" t="s">
        <v>17</v>
      </c>
      <c r="E288">
        <f>'NHL2025-26Results'!C284</f>
        <v>4</v>
      </c>
      <c r="F288" t="s">
        <v>25</v>
      </c>
      <c r="G288">
        <f>'NHL2025-26Results'!E284</f>
        <v>3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0.5916572588404817</v>
      </c>
      <c r="J288">
        <f>(Table3[[#This Row],[HomeMargin]]-Table3[[#This Row],[HomeForecast]])^2</f>
        <v>2.5333728296195956</v>
      </c>
    </row>
    <row r="289" spans="4:10" x14ac:dyDescent="0.2">
      <c r="D289" t="s">
        <v>15</v>
      </c>
      <c r="E289">
        <f>'NHL2025-26Results'!C285</f>
        <v>2</v>
      </c>
      <c r="F289" t="s">
        <v>28</v>
      </c>
      <c r="G289">
        <f>'NHL2025-26Results'!E285</f>
        <v>1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0.3097897097056837</v>
      </c>
      <c r="J289">
        <f>(Table3[[#This Row],[HomeMargin]]-Table3[[#This Row],[HomeForecast]])^2</f>
        <v>1.7155490836508991</v>
      </c>
    </row>
    <row r="290" spans="4:10" x14ac:dyDescent="0.2">
      <c r="D290" t="s">
        <v>40</v>
      </c>
      <c r="E290">
        <f>'NHL2025-26Results'!C286</f>
        <v>4</v>
      </c>
      <c r="F290" t="s">
        <v>16</v>
      </c>
      <c r="G290">
        <f>'NHL2025-26Results'!E286</f>
        <v>3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-0.22160118794072065</v>
      </c>
      <c r="J290">
        <f>(Table3[[#This Row],[HomeMargin]]-Table3[[#This Row],[HomeForecast]])^2</f>
        <v>0.60590471061529727</v>
      </c>
    </row>
    <row r="291" spans="4:10" x14ac:dyDescent="0.2">
      <c r="D291" t="s">
        <v>19</v>
      </c>
      <c r="E291">
        <f>'NHL2025-26Results'!C287</f>
        <v>2</v>
      </c>
      <c r="F291" t="s">
        <v>10</v>
      </c>
      <c r="G291">
        <f>'NHL2025-26Results'!E287</f>
        <v>3</v>
      </c>
      <c r="H291">
        <f>Table3[[#This Row],[G_1]]-Table3[[#This Row],[G]]</f>
        <v>1</v>
      </c>
      <c r="I291">
        <f>HomeEdge+VLOOKUP(Table3[[#This Row],[Home]],$A$6:$B$38,2,FALSE)-VLOOKUP(Table3[[#This Row],[Visitor]],$A$6:$B$38,2,FALSE)</f>
        <v>-0.28683795622481506</v>
      </c>
      <c r="J291">
        <f>(Table3[[#This Row],[HomeMargin]]-Table3[[#This Row],[HomeForecast]])^2</f>
        <v>1.6559519255808592</v>
      </c>
    </row>
    <row r="292" spans="4:10" x14ac:dyDescent="0.2">
      <c r="D292" t="s">
        <v>27</v>
      </c>
      <c r="E292">
        <f>'NHL2025-26Results'!C288</f>
        <v>1</v>
      </c>
      <c r="F292" t="s">
        <v>39</v>
      </c>
      <c r="G292">
        <f>'NHL2025-26Results'!E288</f>
        <v>5</v>
      </c>
      <c r="H292">
        <f>Table3[[#This Row],[G_1]]-Table3[[#This Row],[G]]</f>
        <v>4</v>
      </c>
      <c r="I292">
        <f>HomeEdge+VLOOKUP(Table3[[#This Row],[Home]],$A$6:$B$38,2,FALSE)-VLOOKUP(Table3[[#This Row],[Visitor]],$A$6:$B$38,2,FALSE)</f>
        <v>0.63038908347076072</v>
      </c>
      <c r="J292">
        <f>(Table3[[#This Row],[HomeMargin]]-Table3[[#This Row],[HomeForecast]])^2</f>
        <v>11.35427772879302</v>
      </c>
    </row>
    <row r="293" spans="4:10" x14ac:dyDescent="0.2">
      <c r="D293" t="s">
        <v>23</v>
      </c>
      <c r="E293">
        <f>'NHL2025-26Results'!C289</f>
        <v>5</v>
      </c>
      <c r="F293" t="s">
        <v>26</v>
      </c>
      <c r="G293">
        <f>'NHL2025-26Results'!E289</f>
        <v>4</v>
      </c>
      <c r="H293">
        <f>Table3[[#This Row],[G_1]]-Table3[[#This Row],[G]]</f>
        <v>-1</v>
      </c>
      <c r="I293">
        <f>HomeEdge+VLOOKUP(Table3[[#This Row],[Home]],$A$6:$B$38,2,FALSE)-VLOOKUP(Table3[[#This Row],[Visitor]],$A$6:$B$38,2,FALSE)</f>
        <v>-0.10457603475488439</v>
      </c>
      <c r="J293">
        <f>(Table3[[#This Row],[HomeMargin]]-Table3[[#This Row],[HomeForecast]])^2</f>
        <v>0.80178407753528591</v>
      </c>
    </row>
    <row r="294" spans="4:10" x14ac:dyDescent="0.2">
      <c r="D294" t="s">
        <v>37</v>
      </c>
      <c r="E294">
        <f>'NHL2025-26Results'!C290</f>
        <v>3</v>
      </c>
      <c r="F294" t="s">
        <v>11</v>
      </c>
      <c r="G294">
        <f>'NHL2025-26Results'!E290</f>
        <v>1</v>
      </c>
      <c r="H294">
        <f>Table3[[#This Row],[G_1]]-Table3[[#This Row],[G]]</f>
        <v>-2</v>
      </c>
      <c r="I294">
        <f>HomeEdge+VLOOKUP(Table3[[#This Row],[Home]],$A$6:$B$38,2,FALSE)-VLOOKUP(Table3[[#This Row],[Visitor]],$A$6:$B$38,2,FALSE)</f>
        <v>-0.98118824826154749</v>
      </c>
      <c r="J294">
        <f>(Table3[[#This Row],[HomeMargin]]-Table3[[#This Row],[HomeForecast]])^2</f>
        <v>1.0379773854803742</v>
      </c>
    </row>
    <row r="295" spans="4:10" x14ac:dyDescent="0.2">
      <c r="D295" t="s">
        <v>31</v>
      </c>
      <c r="E295">
        <f>'NHL2025-26Results'!C291</f>
        <v>0</v>
      </c>
      <c r="F295" t="s">
        <v>34</v>
      </c>
      <c r="G295">
        <f>'NHL2025-26Results'!E291</f>
        <v>2</v>
      </c>
      <c r="H295">
        <f>Table3[[#This Row],[G_1]]-Table3[[#This Row],[G]]</f>
        <v>2</v>
      </c>
      <c r="I295">
        <f>HomeEdge+VLOOKUP(Table3[[#This Row],[Home]],$A$6:$B$38,2,FALSE)-VLOOKUP(Table3[[#This Row],[Visitor]],$A$6:$B$38,2,FALSE)</f>
        <v>0.49174297577402148</v>
      </c>
      <c r="J295">
        <f>(Table3[[#This Row],[HomeMargin]]-Table3[[#This Row],[HomeForecast]])^2</f>
        <v>2.2748392511270041</v>
      </c>
    </row>
    <row r="296" spans="4:10" x14ac:dyDescent="0.2">
      <c r="D296" t="s">
        <v>21</v>
      </c>
      <c r="E296">
        <f>'NHL2025-26Results'!C292</f>
        <v>3</v>
      </c>
      <c r="F296" t="s">
        <v>18</v>
      </c>
      <c r="G296">
        <f>'NHL2025-26Results'!E292</f>
        <v>2</v>
      </c>
      <c r="H296">
        <f>Table3[[#This Row],[G_1]]-Table3[[#This Row],[G]]</f>
        <v>-1</v>
      </c>
      <c r="I296">
        <f>HomeEdge+VLOOKUP(Table3[[#This Row],[Home]],$A$6:$B$38,2,FALSE)-VLOOKUP(Table3[[#This Row],[Visitor]],$A$6:$B$38,2,FALSE)</f>
        <v>-8.5436925424400539E-2</v>
      </c>
      <c r="J296">
        <f>(Table3[[#This Row],[HomeMargin]]-Table3[[#This Row],[HomeForecast]])^2</f>
        <v>0.83642561737717358</v>
      </c>
    </row>
    <row r="297" spans="4:10" x14ac:dyDescent="0.2">
      <c r="D297" t="s">
        <v>13</v>
      </c>
      <c r="E297">
        <f>'NHL2025-26Results'!C293</f>
        <v>1</v>
      </c>
      <c r="F297" t="s">
        <v>36</v>
      </c>
      <c r="G297">
        <f>'NHL2025-26Results'!E293</f>
        <v>0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0.12831212360258754</v>
      </c>
      <c r="J297">
        <f>(Table3[[#This Row],[HomeMargin]]-Table3[[#This Row],[HomeForecast]])^2</f>
        <v>1.2730882482685806</v>
      </c>
    </row>
    <row r="298" spans="4:10" x14ac:dyDescent="0.2">
      <c r="D298" t="s">
        <v>33</v>
      </c>
      <c r="E298">
        <f>'NHL2025-26Results'!C294</f>
        <v>1</v>
      </c>
      <c r="F298" t="s">
        <v>32</v>
      </c>
      <c r="G298">
        <f>'NHL2025-26Results'!E294</f>
        <v>4</v>
      </c>
      <c r="H298">
        <f>Table3[[#This Row],[G_1]]-Table3[[#This Row],[G]]</f>
        <v>3</v>
      </c>
      <c r="I298">
        <f>HomeEdge+VLOOKUP(Table3[[#This Row],[Home]],$A$6:$B$38,2,FALSE)-VLOOKUP(Table3[[#This Row],[Visitor]],$A$6:$B$38,2,FALSE)</f>
        <v>5.9645549001589082E-2</v>
      </c>
      <c r="J298">
        <f>(Table3[[#This Row],[HomeMargin]]-Table3[[#This Row],[HomeForecast]])^2</f>
        <v>8.6456842975061647</v>
      </c>
    </row>
    <row r="299" spans="4:10" x14ac:dyDescent="0.2">
      <c r="D299" t="s">
        <v>20</v>
      </c>
      <c r="E299">
        <f>'NHL2025-26Results'!C295</f>
        <v>4</v>
      </c>
      <c r="F299" t="s">
        <v>35</v>
      </c>
      <c r="G299">
        <f>'NHL2025-26Results'!E295</f>
        <v>1</v>
      </c>
      <c r="H299">
        <f>Table3[[#This Row],[G_1]]-Table3[[#This Row],[G]]</f>
        <v>-3</v>
      </c>
      <c r="I299">
        <f>HomeEdge+VLOOKUP(Table3[[#This Row],[Home]],$A$6:$B$38,2,FALSE)-VLOOKUP(Table3[[#This Row],[Visitor]],$A$6:$B$38,2,FALSE)</f>
        <v>-1.1656183882938438</v>
      </c>
      <c r="J299">
        <f>(Table3[[#This Row],[HomeMargin]]-Table3[[#This Row],[HomeForecast]])^2</f>
        <v>3.3649558973656752</v>
      </c>
    </row>
    <row r="300" spans="4:10" x14ac:dyDescent="0.2">
      <c r="D300" t="s">
        <v>24</v>
      </c>
      <c r="E300">
        <f>'NHL2025-26Results'!C296</f>
        <v>3</v>
      </c>
      <c r="F300" t="s">
        <v>22</v>
      </c>
      <c r="G300">
        <f>'NHL2025-26Results'!E296</f>
        <v>2</v>
      </c>
      <c r="H300">
        <f>Table3[[#This Row],[G_1]]-Table3[[#This Row],[G]]</f>
        <v>-1</v>
      </c>
      <c r="I300">
        <f>HomeEdge+VLOOKUP(Table3[[#This Row],[Home]],$A$6:$B$38,2,FALSE)-VLOOKUP(Table3[[#This Row],[Visitor]],$A$6:$B$38,2,FALSE)</f>
        <v>0.53393029658165125</v>
      </c>
      <c r="J300">
        <f>(Table3[[#This Row],[HomeMargin]]-Table3[[#This Row],[HomeForecast]])^2</f>
        <v>2.3529421547710725</v>
      </c>
    </row>
    <row r="301" spans="4:10" x14ac:dyDescent="0.2">
      <c r="D301" t="s">
        <v>30</v>
      </c>
      <c r="E301">
        <f>'NHL2025-26Results'!C297</f>
        <v>1</v>
      </c>
      <c r="F301" t="s">
        <v>12</v>
      </c>
      <c r="G301">
        <f>'NHL2025-26Results'!E297</f>
        <v>4</v>
      </c>
      <c r="H301">
        <f>Table3[[#This Row],[G_1]]-Table3[[#This Row],[G]]</f>
        <v>3</v>
      </c>
      <c r="I301">
        <f>HomeEdge+VLOOKUP(Table3[[#This Row],[Home]],$A$6:$B$38,2,FALSE)-VLOOKUP(Table3[[#This Row],[Visitor]],$A$6:$B$38,2,FALSE)</f>
        <v>1.4802420075646068</v>
      </c>
      <c r="J301">
        <f>(Table3[[#This Row],[HomeMargin]]-Table3[[#This Row],[HomeForecast]])^2</f>
        <v>2.3096643555712566</v>
      </c>
    </row>
    <row r="302" spans="4:10" x14ac:dyDescent="0.2">
      <c r="D302" t="s">
        <v>20</v>
      </c>
      <c r="E302">
        <f>'NHL2025-26Results'!C298</f>
        <v>2</v>
      </c>
      <c r="F302" t="s">
        <v>34</v>
      </c>
      <c r="G302">
        <f>'NHL2025-26Results'!E298</f>
        <v>3</v>
      </c>
      <c r="H302">
        <f>Table3[[#This Row],[G_1]]-Table3[[#This Row],[G]]</f>
        <v>1</v>
      </c>
      <c r="I302">
        <f>HomeEdge+VLOOKUP(Table3[[#This Row],[Home]],$A$6:$B$38,2,FALSE)-VLOOKUP(Table3[[#This Row],[Visitor]],$A$6:$B$38,2,FALSE)</f>
        <v>0.11362349490715389</v>
      </c>
      <c r="J302">
        <f>(Table3[[#This Row],[HomeMargin]]-Table3[[#This Row],[HomeForecast]])^2</f>
        <v>0.7856633087806083</v>
      </c>
    </row>
    <row r="303" spans="4:10" x14ac:dyDescent="0.2">
      <c r="D303" t="s">
        <v>26</v>
      </c>
      <c r="E303">
        <f>'NHL2025-26Results'!C299</f>
        <v>2</v>
      </c>
      <c r="F303" t="s">
        <v>15</v>
      </c>
      <c r="G303">
        <f>'NHL2025-26Results'!E299</f>
        <v>1</v>
      </c>
      <c r="H303">
        <f>Table3[[#This Row],[G_1]]-Table3[[#This Row],[G]]</f>
        <v>-1</v>
      </c>
      <c r="I303">
        <f>HomeEdge+VLOOKUP(Table3[[#This Row],[Home]],$A$6:$B$38,2,FALSE)-VLOOKUP(Table3[[#This Row],[Visitor]],$A$6:$B$38,2,FALSE)</f>
        <v>-0.37049713884667357</v>
      </c>
      <c r="J303">
        <f>(Table3[[#This Row],[HomeMargin]]-Table3[[#This Row],[HomeForecast]])^2</f>
        <v>0.39627385220022415</v>
      </c>
    </row>
    <row r="304" spans="4:10" x14ac:dyDescent="0.2">
      <c r="D304" t="s">
        <v>29</v>
      </c>
      <c r="E304">
        <f>'NHL2025-26Results'!C300</f>
        <v>0</v>
      </c>
      <c r="F304" t="s">
        <v>14</v>
      </c>
      <c r="G304">
        <f>'NHL2025-26Results'!E300</f>
        <v>4</v>
      </c>
      <c r="H304">
        <f>Table3[[#This Row],[G_1]]-Table3[[#This Row],[G]]</f>
        <v>4</v>
      </c>
      <c r="I304">
        <f>HomeEdge+VLOOKUP(Table3[[#This Row],[Home]],$A$6:$B$38,2,FALSE)-VLOOKUP(Table3[[#This Row],[Visitor]],$A$6:$B$38,2,FALSE)</f>
        <v>0.83913892861432615</v>
      </c>
      <c r="J304">
        <f>(Table3[[#This Row],[HomeMargin]]-Table3[[#This Row],[HomeForecast]])^2</f>
        <v>9.9910427126013914</v>
      </c>
    </row>
    <row r="305" spans="4:10" x14ac:dyDescent="0.2">
      <c r="D305" t="s">
        <v>38</v>
      </c>
      <c r="E305">
        <f>'NHL2025-26Results'!C301</f>
        <v>6</v>
      </c>
      <c r="F305" t="s">
        <v>37</v>
      </c>
      <c r="G305">
        <f>'NHL2025-26Results'!E301</f>
        <v>2</v>
      </c>
      <c r="H305">
        <f>Table3[[#This Row],[G_1]]-Table3[[#This Row],[G]]</f>
        <v>-4</v>
      </c>
      <c r="I305">
        <f>HomeEdge+VLOOKUP(Table3[[#This Row],[Home]],$A$6:$B$38,2,FALSE)-VLOOKUP(Table3[[#This Row],[Visitor]],$A$6:$B$38,2,FALSE)</f>
        <v>2.0085064672538184</v>
      </c>
      <c r="J305">
        <f>(Table3[[#This Row],[HomeMargin]]-Table3[[#This Row],[HomeForecast]])^2</f>
        <v>36.102149967030961</v>
      </c>
    </row>
    <row r="306" spans="4:10" x14ac:dyDescent="0.2">
      <c r="D306" t="s">
        <v>55</v>
      </c>
      <c r="E306">
        <f>'NHL2025-26Results'!C302</f>
        <v>2</v>
      </c>
      <c r="F306" t="s">
        <v>31</v>
      </c>
      <c r="G306">
        <f>'NHL2025-26Results'!E302</f>
        <v>3</v>
      </c>
      <c r="H306">
        <f>Table3[[#This Row],[G_1]]-Table3[[#This Row],[G]]</f>
        <v>1</v>
      </c>
      <c r="I306">
        <f>HomeEdge+VLOOKUP(Table3[[#This Row],[Home]],$A$6:$B$38,2,FALSE)-VLOOKUP(Table3[[#This Row],[Visitor]],$A$6:$B$38,2,FALSE)</f>
        <v>-0.40747568822848623</v>
      </c>
      <c r="J306">
        <f>(Table3[[#This Row],[HomeMargin]]-Table3[[#This Row],[HomeForecast]])^2</f>
        <v>1.9809878129542511</v>
      </c>
    </row>
    <row r="307" spans="4:10" x14ac:dyDescent="0.2">
      <c r="D307" t="s">
        <v>25</v>
      </c>
      <c r="E307">
        <f>'NHL2025-26Results'!C303</f>
        <v>3</v>
      </c>
      <c r="F307" t="s">
        <v>21</v>
      </c>
      <c r="G307">
        <f>'NHL2025-26Results'!E303</f>
        <v>1</v>
      </c>
      <c r="H307">
        <f>Table3[[#This Row],[G_1]]-Table3[[#This Row],[G]]</f>
        <v>-2</v>
      </c>
      <c r="I307">
        <f>HomeEdge+VLOOKUP(Table3[[#This Row],[Home]],$A$6:$B$38,2,FALSE)-VLOOKUP(Table3[[#This Row],[Visitor]],$A$6:$B$38,2,FALSE)</f>
        <v>-0.25435378160116096</v>
      </c>
      <c r="J307">
        <f>(Table3[[#This Row],[HomeMargin]]-Table3[[#This Row],[HomeForecast]])^2</f>
        <v>3.0472807198101672</v>
      </c>
    </row>
    <row r="308" spans="4:10" x14ac:dyDescent="0.2">
      <c r="D308" t="s">
        <v>17</v>
      </c>
      <c r="E308">
        <f>'NHL2025-26Results'!C304</f>
        <v>1</v>
      </c>
      <c r="F308" t="s">
        <v>23</v>
      </c>
      <c r="G308">
        <f>'NHL2025-26Results'!E304</f>
        <v>5</v>
      </c>
      <c r="H308">
        <f>Table3[[#This Row],[G_1]]-Table3[[#This Row],[G]]</f>
        <v>4</v>
      </c>
      <c r="I308">
        <f>HomeEdge+VLOOKUP(Table3[[#This Row],[Home]],$A$6:$B$38,2,FALSE)-VLOOKUP(Table3[[#This Row],[Visitor]],$A$6:$B$38,2,FALSE)</f>
        <v>0.32372816765089291</v>
      </c>
      <c r="J308">
        <f>(Table3[[#This Row],[HomeMargin]]-Table3[[#This Row],[HomeForecast]])^2</f>
        <v>13.514974585323463</v>
      </c>
    </row>
    <row r="309" spans="4:10" x14ac:dyDescent="0.2">
      <c r="D309" t="s">
        <v>18</v>
      </c>
      <c r="E309">
        <f>'NHL2025-26Results'!C305</f>
        <v>3</v>
      </c>
      <c r="F309" t="s">
        <v>28</v>
      </c>
      <c r="G309">
        <f>'NHL2025-26Results'!E305</f>
        <v>4</v>
      </c>
      <c r="H309">
        <f>Table3[[#This Row],[G_1]]-Table3[[#This Row],[G]]</f>
        <v>1</v>
      </c>
      <c r="I309">
        <f>HomeEdge+VLOOKUP(Table3[[#This Row],[Home]],$A$6:$B$38,2,FALSE)-VLOOKUP(Table3[[#This Row],[Visitor]],$A$6:$B$38,2,FALSE)</f>
        <v>-9.3421848059901585E-2</v>
      </c>
      <c r="J309">
        <f>(Table3[[#This Row],[HomeMargin]]-Table3[[#This Row],[HomeForecast]])^2</f>
        <v>1.1955713378147306</v>
      </c>
    </row>
    <row r="310" spans="4:10" x14ac:dyDescent="0.2">
      <c r="D310" t="s">
        <v>38</v>
      </c>
      <c r="E310">
        <f>'NHL2025-26Results'!C306</f>
        <v>5</v>
      </c>
      <c r="F310" t="s">
        <v>11</v>
      </c>
      <c r="G310">
        <f>'NHL2025-26Results'!E306</f>
        <v>8</v>
      </c>
      <c r="H310">
        <f>Table3[[#This Row],[G_1]]-Table3[[#This Row],[G]]</f>
        <v>3</v>
      </c>
      <c r="I310">
        <f>HomeEdge+VLOOKUP(Table3[[#This Row],[Home]],$A$6:$B$38,2,FALSE)-VLOOKUP(Table3[[#This Row],[Visitor]],$A$6:$B$38,2,FALSE)</f>
        <v>0.93134822382160776</v>
      </c>
      <c r="J310">
        <f>(Table3[[#This Row],[HomeMargin]]-Table3[[#This Row],[HomeForecast]])^2</f>
        <v>4.2793201710860167</v>
      </c>
    </row>
    <row r="311" spans="4:10" x14ac:dyDescent="0.2">
      <c r="D311" t="s">
        <v>13</v>
      </c>
      <c r="E311">
        <f>'NHL2025-26Results'!C307</f>
        <v>1</v>
      </c>
      <c r="F311" t="s">
        <v>22</v>
      </c>
      <c r="G311">
        <f>'NHL2025-26Results'!E307</f>
        <v>2</v>
      </c>
      <c r="H311">
        <f>Table3[[#This Row],[G_1]]-Table3[[#This Row],[G]]</f>
        <v>1</v>
      </c>
      <c r="I311">
        <f>HomeEdge+VLOOKUP(Table3[[#This Row],[Home]],$A$6:$B$38,2,FALSE)-VLOOKUP(Table3[[#This Row],[Visitor]],$A$6:$B$38,2,FALSE)</f>
        <v>0.44305961483335687</v>
      </c>
      <c r="J311">
        <f>(Table3[[#This Row],[HomeMargin]]-Table3[[#This Row],[HomeForecast]])^2</f>
        <v>0.31018259262956882</v>
      </c>
    </row>
    <row r="312" spans="4:10" x14ac:dyDescent="0.2">
      <c r="D312" t="s">
        <v>16</v>
      </c>
      <c r="E312">
        <f>'NHL2025-26Results'!C308</f>
        <v>2</v>
      </c>
      <c r="F312" t="s">
        <v>10</v>
      </c>
      <c r="G312">
        <f>'NHL2025-26Results'!E308</f>
        <v>5</v>
      </c>
      <c r="H312">
        <f>Table3[[#This Row],[G_1]]-Table3[[#This Row],[G]]</f>
        <v>3</v>
      </c>
      <c r="I312">
        <f>HomeEdge+VLOOKUP(Table3[[#This Row],[Home]],$A$6:$B$38,2,FALSE)-VLOOKUP(Table3[[#This Row],[Visitor]],$A$6:$B$38,2,FALSE)</f>
        <v>0.18289577689632519</v>
      </c>
      <c r="J312">
        <f>(Table3[[#This Row],[HomeMargin]]-Table3[[#This Row],[HomeForecast]])^2</f>
        <v>7.9360762038285584</v>
      </c>
    </row>
    <row r="313" spans="4:10" x14ac:dyDescent="0.2">
      <c r="D313" t="s">
        <v>30</v>
      </c>
      <c r="E313">
        <f>'NHL2025-26Results'!C309</f>
        <v>3</v>
      </c>
      <c r="F313" t="s">
        <v>39</v>
      </c>
      <c r="G313">
        <f>'NHL2025-26Results'!E309</f>
        <v>2</v>
      </c>
      <c r="H313">
        <f>Table3[[#This Row],[G_1]]-Table3[[#This Row],[G]]</f>
        <v>-1</v>
      </c>
      <c r="I313">
        <f>HomeEdge+VLOOKUP(Table3[[#This Row],[Home]],$A$6:$B$38,2,FALSE)-VLOOKUP(Table3[[#This Row],[Visitor]],$A$6:$B$38,2,FALSE)</f>
        <v>0.51765328582486569</v>
      </c>
      <c r="J313">
        <f>(Table3[[#This Row],[HomeMargin]]-Table3[[#This Row],[HomeForecast]])^2</f>
        <v>2.3032714959750114</v>
      </c>
    </row>
    <row r="314" spans="4:10" x14ac:dyDescent="0.2">
      <c r="D314" t="s">
        <v>32</v>
      </c>
      <c r="E314">
        <f>'NHL2025-26Results'!C310</f>
        <v>2</v>
      </c>
      <c r="F314" t="s">
        <v>26</v>
      </c>
      <c r="G314">
        <f>'NHL2025-26Results'!E310</f>
        <v>4</v>
      </c>
      <c r="H314">
        <f>Table3[[#This Row],[G_1]]-Table3[[#This Row],[G]]</f>
        <v>2</v>
      </c>
      <c r="I314">
        <f>HomeEdge+VLOOKUP(Table3[[#This Row],[Home]],$A$6:$B$38,2,FALSE)-VLOOKUP(Table3[[#This Row],[Visitor]],$A$6:$B$38,2,FALSE)</f>
        <v>0.49371479141731572</v>
      </c>
      <c r="J314">
        <f>(Table3[[#This Row],[HomeMargin]]-Table3[[#This Row],[HomeForecast]])^2</f>
        <v>2.2688951295949806</v>
      </c>
    </row>
    <row r="315" spans="4:10" x14ac:dyDescent="0.2">
      <c r="D315" t="s">
        <v>55</v>
      </c>
      <c r="E315">
        <f>'NHL2025-26Results'!C311</f>
        <v>2</v>
      </c>
      <c r="F315" t="s">
        <v>33</v>
      </c>
      <c r="G315">
        <f>'NHL2025-26Results'!E311</f>
        <v>3</v>
      </c>
      <c r="H315">
        <f>Table3[[#This Row],[G_1]]-Table3[[#This Row],[G]]</f>
        <v>1</v>
      </c>
      <c r="I315">
        <f>HomeEdge+VLOOKUP(Table3[[#This Row],[Home]],$A$6:$B$38,2,FALSE)-VLOOKUP(Table3[[#This Row],[Visitor]],$A$6:$B$38,2,FALSE)</f>
        <v>-0.55920152784623545</v>
      </c>
      <c r="J315">
        <f>(Table3[[#This Row],[HomeMargin]]-Table3[[#This Row],[HomeForecast]])^2</f>
        <v>2.4311094044380348</v>
      </c>
    </row>
    <row r="316" spans="4:10" x14ac:dyDescent="0.2">
      <c r="D316" t="s">
        <v>24</v>
      </c>
      <c r="E316">
        <f>'NHL2025-26Results'!C312</f>
        <v>1</v>
      </c>
      <c r="F316" t="s">
        <v>37</v>
      </c>
      <c r="G316">
        <f>'NHL2025-26Results'!E312</f>
        <v>5</v>
      </c>
      <c r="H316">
        <f>Table3[[#This Row],[G_1]]-Table3[[#This Row],[G]]</f>
        <v>4</v>
      </c>
      <c r="I316">
        <f>HomeEdge+VLOOKUP(Table3[[#This Row],[Home]],$A$6:$B$38,2,FALSE)-VLOOKUP(Table3[[#This Row],[Visitor]],$A$6:$B$38,2,FALSE)</f>
        <v>1.2764955353107981</v>
      </c>
      <c r="J316">
        <f>(Table3[[#This Row],[HomeMargin]]-Table3[[#This Row],[HomeForecast]])^2</f>
        <v>7.4174765691820168</v>
      </c>
    </row>
    <row r="317" spans="4:10" x14ac:dyDescent="0.2">
      <c r="D317" t="s">
        <v>35</v>
      </c>
      <c r="E317">
        <f>'NHL2025-26Results'!C313</f>
        <v>2</v>
      </c>
      <c r="F317" t="s">
        <v>19</v>
      </c>
      <c r="G317">
        <f>'NHL2025-26Results'!E313</f>
        <v>3</v>
      </c>
      <c r="H317">
        <f>Table3[[#This Row],[G_1]]-Table3[[#This Row],[G]]</f>
        <v>1</v>
      </c>
      <c r="I317">
        <f>HomeEdge+VLOOKUP(Table3[[#This Row],[Home]],$A$6:$B$38,2,FALSE)-VLOOKUP(Table3[[#This Row],[Visitor]],$A$6:$B$38,2,FALSE)</f>
        <v>1.0405773754137528</v>
      </c>
      <c r="J317">
        <f>(Table3[[#This Row],[HomeMargin]]-Table3[[#This Row],[HomeForecast]])^2</f>
        <v>1.6465233954686331E-3</v>
      </c>
    </row>
    <row r="318" spans="4:10" x14ac:dyDescent="0.2">
      <c r="D318" t="s">
        <v>15</v>
      </c>
      <c r="E318">
        <f>'NHL2025-26Results'!C314</f>
        <v>2</v>
      </c>
      <c r="F318" t="s">
        <v>20</v>
      </c>
      <c r="G318">
        <f>'NHL2025-26Results'!E314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0.73086209959503856</v>
      </c>
      <c r="J318">
        <f>(Table3[[#This Row],[HomeMargin]]-Table3[[#This Row],[HomeForecast]])^2</f>
        <v>7.243520943439094E-2</v>
      </c>
    </row>
    <row r="319" spans="4:10" x14ac:dyDescent="0.2">
      <c r="D319" t="s">
        <v>28</v>
      </c>
      <c r="E319">
        <f>'NHL2025-26Results'!C315</f>
        <v>2</v>
      </c>
      <c r="F319" t="s">
        <v>40</v>
      </c>
      <c r="G319">
        <f>'NHL2025-26Results'!E315</f>
        <v>5</v>
      </c>
      <c r="H319">
        <f>Table3[[#This Row],[G_1]]-Table3[[#This Row],[G]]</f>
        <v>3</v>
      </c>
      <c r="I319">
        <f>HomeEdge+VLOOKUP(Table3[[#This Row],[Home]],$A$6:$B$38,2,FALSE)-VLOOKUP(Table3[[#This Row],[Visitor]],$A$6:$B$38,2,FALSE)</f>
        <v>4.7898831828844579E-2</v>
      </c>
      <c r="J319">
        <f>(Table3[[#This Row],[HomeMargin]]-Table3[[#This Row],[HomeForecast]])^2</f>
        <v>8.7149013071175006</v>
      </c>
    </row>
    <row r="320" spans="4:10" x14ac:dyDescent="0.2">
      <c r="D320" t="s">
        <v>21</v>
      </c>
      <c r="E320">
        <f>'NHL2025-26Results'!C316</f>
        <v>3</v>
      </c>
      <c r="F320" t="s">
        <v>31</v>
      </c>
      <c r="G320">
        <f>'NHL2025-26Results'!E316</f>
        <v>4</v>
      </c>
      <c r="H320">
        <f>Table3[[#This Row],[G_1]]-Table3[[#This Row],[G]]</f>
        <v>1</v>
      </c>
      <c r="I320">
        <f>HomeEdge+VLOOKUP(Table3[[#This Row],[Home]],$A$6:$B$38,2,FALSE)-VLOOKUP(Table3[[#This Row],[Visitor]],$A$6:$B$38,2,FALSE)</f>
        <v>-0.23187585963247812</v>
      </c>
      <c r="J320">
        <f>(Table3[[#This Row],[HomeMargin]]-Table3[[#This Row],[HomeForecast]])^2</f>
        <v>1.517518133545257</v>
      </c>
    </row>
    <row r="321" spans="4:10" x14ac:dyDescent="0.2">
      <c r="D321" t="s">
        <v>16</v>
      </c>
      <c r="E321">
        <f>'NHL2025-26Results'!C317</f>
        <v>6</v>
      </c>
      <c r="F321" t="s">
        <v>23</v>
      </c>
      <c r="G321">
        <f>'NHL2025-26Results'!E317</f>
        <v>2</v>
      </c>
      <c r="H321">
        <f>Table3[[#This Row],[G_1]]-Table3[[#This Row],[G]]</f>
        <v>-4</v>
      </c>
      <c r="I321">
        <f>HomeEdge+VLOOKUP(Table3[[#This Row],[Home]],$A$6:$B$38,2,FALSE)-VLOOKUP(Table3[[#This Row],[Visitor]],$A$6:$B$38,2,FALSE)</f>
        <v>0.91480579103172988</v>
      </c>
      <c r="J321">
        <f>(Table3[[#This Row],[HomeMargin]]-Table3[[#This Row],[HomeForecast]])^2</f>
        <v>24.15531596355903</v>
      </c>
    </row>
    <row r="322" spans="4:10" x14ac:dyDescent="0.2">
      <c r="D322" t="s">
        <v>25</v>
      </c>
      <c r="E322">
        <f>'NHL2025-26Results'!C318</f>
        <v>3</v>
      </c>
      <c r="F322" t="s">
        <v>34</v>
      </c>
      <c r="G322">
        <f>'NHL2025-26Results'!E318</f>
        <v>4</v>
      </c>
      <c r="H322">
        <f>Table3[[#This Row],[G_1]]-Table3[[#This Row],[G]]</f>
        <v>1</v>
      </c>
      <c r="I322">
        <f>HomeEdge+VLOOKUP(Table3[[#This Row],[Home]],$A$6:$B$38,2,FALSE)-VLOOKUP(Table3[[#This Row],[Visitor]],$A$6:$B$38,2,FALSE)</f>
        <v>-0.18642665580094409</v>
      </c>
      <c r="J322">
        <f>(Table3[[#This Row],[HomeMargin]]-Table3[[#This Row],[HomeForecast]])^2</f>
        <v>1.4076082095950122</v>
      </c>
    </row>
    <row r="323" spans="4:10" x14ac:dyDescent="0.2">
      <c r="D323" t="s">
        <v>17</v>
      </c>
      <c r="E323">
        <f>'NHL2025-26Results'!C319</f>
        <v>4</v>
      </c>
      <c r="F323" t="s">
        <v>22</v>
      </c>
      <c r="G323">
        <f>'NHL2025-26Results'!E319</f>
        <v>7</v>
      </c>
      <c r="H323">
        <f>Table3[[#This Row],[G_1]]-Table3[[#This Row],[G]]</f>
        <v>3</v>
      </c>
      <c r="I323">
        <f>HomeEdge+VLOOKUP(Table3[[#This Row],[Home]],$A$6:$B$38,2,FALSE)-VLOOKUP(Table3[[#This Row],[Visitor]],$A$6:$B$38,2,FALSE)</f>
        <v>0.2072215454145041</v>
      </c>
      <c r="J323">
        <f>(Table3[[#This Row],[HomeMargin]]-Table3[[#This Row],[HomeForecast]])^2</f>
        <v>7.7996114963969498</v>
      </c>
    </row>
    <row r="324" spans="4:10" x14ac:dyDescent="0.2">
      <c r="D324" t="s">
        <v>36</v>
      </c>
      <c r="E324">
        <f>'NHL2025-26Results'!C320</f>
        <v>3</v>
      </c>
      <c r="F324" t="s">
        <v>31</v>
      </c>
      <c r="G324">
        <f>'NHL2025-26Results'!E320</f>
        <v>2</v>
      </c>
      <c r="H324">
        <f>Table3[[#This Row],[G_1]]-Table3[[#This Row],[G]]</f>
        <v>-1</v>
      </c>
      <c r="I324">
        <f>HomeEdge+VLOOKUP(Table3[[#This Row],[Home]],$A$6:$B$38,2,FALSE)-VLOOKUP(Table3[[#This Row],[Visitor]],$A$6:$B$38,2,FALSE)</f>
        <v>0.1169835682524446</v>
      </c>
      <c r="J324">
        <f>(Table3[[#This Row],[HomeMargin]]-Table3[[#This Row],[HomeForecast]])^2</f>
        <v>1.2476522917459634</v>
      </c>
    </row>
    <row r="325" spans="4:10" x14ac:dyDescent="0.2">
      <c r="D325" t="s">
        <v>32</v>
      </c>
      <c r="E325">
        <f>'NHL2025-26Results'!C321</f>
        <v>3</v>
      </c>
      <c r="F325" t="s">
        <v>10</v>
      </c>
      <c r="G325">
        <f>'NHL2025-26Results'!E321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-3.7649192792541308E-2</v>
      </c>
      <c r="J325">
        <f>(Table3[[#This Row],[HomeMargin]]-Table3[[#This Row],[HomeForecast]])^2</f>
        <v>0.92611907613284727</v>
      </c>
    </row>
    <row r="326" spans="4:10" x14ac:dyDescent="0.2">
      <c r="D326" t="s">
        <v>15</v>
      </c>
      <c r="E326">
        <f>'NHL2025-26Results'!C322</f>
        <v>3</v>
      </c>
      <c r="F326" t="s">
        <v>12</v>
      </c>
      <c r="G326">
        <f>'NHL2025-26Results'!E322</f>
        <v>6</v>
      </c>
      <c r="H326">
        <f>Table3[[#This Row],[G_1]]-Table3[[#This Row],[G]]</f>
        <v>3</v>
      </c>
      <c r="I326">
        <f>HomeEdge+VLOOKUP(Table3[[#This Row],[Home]],$A$6:$B$38,2,FALSE)-VLOOKUP(Table3[[#This Row],[Visitor]],$A$6:$B$38,2,FALSE)</f>
        <v>1.9108210327423354</v>
      </c>
      <c r="J326">
        <f>(Table3[[#This Row],[HomeMargin]]-Table3[[#This Row],[HomeForecast]])^2</f>
        <v>1.1863108227164729</v>
      </c>
    </row>
    <row r="327" spans="4:10" x14ac:dyDescent="0.2">
      <c r="D327" t="s">
        <v>30</v>
      </c>
      <c r="E327">
        <f>'NHL2025-26Results'!C323</f>
        <v>5</v>
      </c>
      <c r="F327" t="s">
        <v>26</v>
      </c>
      <c r="G327">
        <f>'NHL2025-26Results'!E323</f>
        <v>0</v>
      </c>
      <c r="H327">
        <f>Table3[[#This Row],[G_1]]-Table3[[#This Row],[G]]</f>
        <v>-5</v>
      </c>
      <c r="I327">
        <f>HomeEdge+VLOOKUP(Table3[[#This Row],[Home]],$A$6:$B$38,2,FALSE)-VLOOKUP(Table3[[#This Row],[Visitor]],$A$6:$B$38,2,FALSE)</f>
        <v>0.13185810401027137</v>
      </c>
      <c r="J327">
        <f>(Table3[[#This Row],[HomeMargin]]-Table3[[#This Row],[HomeForecast]])^2</f>
        <v>26.335967599695902</v>
      </c>
    </row>
    <row r="328" spans="4:10" x14ac:dyDescent="0.2">
      <c r="D328" t="s">
        <v>24</v>
      </c>
      <c r="E328">
        <f>'NHL2025-26Results'!C324</f>
        <v>0</v>
      </c>
      <c r="F328" t="s">
        <v>11</v>
      </c>
      <c r="G328">
        <f>'NHL2025-26Results'!E324</f>
        <v>1</v>
      </c>
      <c r="H328">
        <f>Table3[[#This Row],[G_1]]-Table3[[#This Row],[G]]</f>
        <v>1</v>
      </c>
      <c r="I328">
        <f>HomeEdge+VLOOKUP(Table3[[#This Row],[Home]],$A$6:$B$38,2,FALSE)-VLOOKUP(Table3[[#This Row],[Visitor]],$A$6:$B$38,2,FALSE)</f>
        <v>0.19933729187858734</v>
      </c>
      <c r="J328">
        <f>(Table3[[#This Row],[HomeMargin]]-Table3[[#This Row],[HomeForecast]])^2</f>
        <v>0.6410607721763143</v>
      </c>
    </row>
    <row r="329" spans="4:10" x14ac:dyDescent="0.2">
      <c r="D329" t="s">
        <v>22</v>
      </c>
      <c r="E329">
        <f>'NHL2025-26Results'!C325</f>
        <v>8</v>
      </c>
      <c r="F329" t="s">
        <v>18</v>
      </c>
      <c r="G329">
        <f>'NHL2025-26Results'!E325</f>
        <v>4</v>
      </c>
      <c r="H329">
        <f>Table3[[#This Row],[G_1]]-Table3[[#This Row],[G]]</f>
        <v>-4</v>
      </c>
      <c r="I329">
        <f>HomeEdge+VLOOKUP(Table3[[#This Row],[Home]],$A$6:$B$38,2,FALSE)-VLOOKUP(Table3[[#This Row],[Visitor]],$A$6:$B$38,2,FALSE)</f>
        <v>-5.1324988770247146E-2</v>
      </c>
      <c r="J329">
        <f>(Table3[[#This Row],[HomeMargin]]-Table3[[#This Row],[HomeForecast]])^2</f>
        <v>15.592034344310289</v>
      </c>
    </row>
    <row r="330" spans="4:10" x14ac:dyDescent="0.2">
      <c r="D330" t="s">
        <v>35</v>
      </c>
      <c r="E330">
        <f>'NHL2025-26Results'!C326</f>
        <v>2</v>
      </c>
      <c r="F330" t="s">
        <v>27</v>
      </c>
      <c r="G330">
        <f>'NHL2025-26Results'!E326</f>
        <v>3</v>
      </c>
      <c r="H330">
        <f>Table3[[#This Row],[G_1]]-Table3[[#This Row],[G]]</f>
        <v>1</v>
      </c>
      <c r="I330">
        <f>HomeEdge+VLOOKUP(Table3[[#This Row],[Home]],$A$6:$B$38,2,FALSE)-VLOOKUP(Table3[[#This Row],[Visitor]],$A$6:$B$38,2,FALSE)</f>
        <v>1.0405095017426285</v>
      </c>
      <c r="J330">
        <f>(Table3[[#This Row],[HomeMargin]]-Table3[[#This Row],[HomeForecast]])^2</f>
        <v>1.6410197314360184E-3</v>
      </c>
    </row>
    <row r="331" spans="4:10" x14ac:dyDescent="0.2">
      <c r="D331" t="s">
        <v>13</v>
      </c>
      <c r="E331">
        <f>'NHL2025-26Results'!C327</f>
        <v>3</v>
      </c>
      <c r="F331" t="s">
        <v>33</v>
      </c>
      <c r="G331">
        <f>'NHL2025-26Results'!E327</f>
        <v>4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-2.4001429333803115E-3</v>
      </c>
      <c r="J331">
        <f>(Table3[[#This Row],[HomeMargin]]-Table3[[#This Row],[HomeForecast]])^2</f>
        <v>1.0048060465528614</v>
      </c>
    </row>
    <row r="332" spans="4:10" x14ac:dyDescent="0.2">
      <c r="D332" t="s">
        <v>17</v>
      </c>
      <c r="E332">
        <f>'NHL2025-26Results'!C328</f>
        <v>1</v>
      </c>
      <c r="F332" t="s">
        <v>37</v>
      </c>
      <c r="G332">
        <f>'NHL2025-26Results'!E328</f>
        <v>2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0.94978678414365092</v>
      </c>
      <c r="J332">
        <f>(Table3[[#This Row],[HomeMargin]]-Table3[[#This Row],[HomeForecast]])^2</f>
        <v>2.5213670466363068E-3</v>
      </c>
    </row>
    <row r="333" spans="4:10" x14ac:dyDescent="0.2">
      <c r="D333" t="s">
        <v>28</v>
      </c>
      <c r="E333">
        <f>'NHL2025-26Results'!C329</f>
        <v>3</v>
      </c>
      <c r="F333" t="s">
        <v>19</v>
      </c>
      <c r="G333">
        <f>'NHL2025-26Results'!E329</f>
        <v>2</v>
      </c>
      <c r="H333">
        <f>Table3[[#This Row],[G_1]]-Table3[[#This Row],[G]]</f>
        <v>-1</v>
      </c>
      <c r="I333">
        <f>HomeEdge+VLOOKUP(Table3[[#This Row],[Home]],$A$6:$B$38,2,FALSE)-VLOOKUP(Table3[[#This Row],[Visitor]],$A$6:$B$38,2,FALSE)</f>
        <v>0.20006138183860089</v>
      </c>
      <c r="J333">
        <f>(Table3[[#This Row],[HomeMargin]]-Table3[[#This Row],[HomeForecast]])^2</f>
        <v>1.4401473201803725</v>
      </c>
    </row>
    <row r="334" spans="4:10" x14ac:dyDescent="0.2">
      <c r="D334" t="s">
        <v>20</v>
      </c>
      <c r="E334">
        <f>'NHL2025-26Results'!C330</f>
        <v>4</v>
      </c>
      <c r="F334" t="s">
        <v>55</v>
      </c>
      <c r="G334">
        <f>'NHL2025-26Results'!E330</f>
        <v>1</v>
      </c>
      <c r="H334">
        <f>Table3[[#This Row],[G_1]]-Table3[[#This Row],[G]]</f>
        <v>-3</v>
      </c>
      <c r="I334">
        <f>HomeEdge+VLOOKUP(Table3[[#This Row],[Home]],$A$6:$B$38,2,FALSE)-VLOOKUP(Table3[[#This Row],[Visitor]],$A$6:$B$38,2,FALSE)</f>
        <v>0.22129619770294512</v>
      </c>
      <c r="J334">
        <f>(Table3[[#This Row],[HomeMargin]]-Table3[[#This Row],[HomeForecast]])^2</f>
        <v>10.376749193335453</v>
      </c>
    </row>
    <row r="335" spans="4:10" x14ac:dyDescent="0.2">
      <c r="D335" t="s">
        <v>39</v>
      </c>
      <c r="E335">
        <f>'NHL2025-26Results'!C331</f>
        <v>4</v>
      </c>
      <c r="F335" t="s">
        <v>38</v>
      </c>
      <c r="G335">
        <f>'NHL2025-26Results'!E331</f>
        <v>2</v>
      </c>
      <c r="H335">
        <f>Table3[[#This Row],[G_1]]-Table3[[#This Row],[G]]</f>
        <v>-2</v>
      </c>
      <c r="I335">
        <f>HomeEdge+VLOOKUP(Table3[[#This Row],[Home]],$A$6:$B$38,2,FALSE)-VLOOKUP(Table3[[#This Row],[Visitor]],$A$6:$B$38,2,FALSE)</f>
        <v>-1.3757570123087808</v>
      </c>
      <c r="J335">
        <f>(Table3[[#This Row],[HomeMargin]]-Table3[[#This Row],[HomeForecast]])^2</f>
        <v>0.38967930768165965</v>
      </c>
    </row>
    <row r="336" spans="4:10" x14ac:dyDescent="0.2">
      <c r="D336" t="s">
        <v>10</v>
      </c>
      <c r="E336">
        <f>'NHL2025-26Results'!C332</f>
        <v>3</v>
      </c>
      <c r="F336" t="s">
        <v>23</v>
      </c>
      <c r="G336">
        <f>'NHL2025-26Results'!E332</f>
        <v>9</v>
      </c>
      <c r="H336">
        <f>Table3[[#This Row],[G_1]]-Table3[[#This Row],[G]]</f>
        <v>6</v>
      </c>
      <c r="I336">
        <f>HomeEdge+VLOOKUP(Table3[[#This Row],[Home]],$A$6:$B$38,2,FALSE)-VLOOKUP(Table3[[#This Row],[Visitor]],$A$6:$B$38,2,FALSE)</f>
        <v>0.82788000930606798</v>
      </c>
      <c r="J336">
        <f>(Table3[[#This Row],[HomeMargin]]-Table3[[#This Row],[HomeForecast]])^2</f>
        <v>26.750825198135797</v>
      </c>
    </row>
    <row r="337" spans="4:10" x14ac:dyDescent="0.2">
      <c r="D337" t="s">
        <v>21</v>
      </c>
      <c r="E337">
        <f>'NHL2025-26Results'!C333</f>
        <v>2</v>
      </c>
      <c r="F337" t="s">
        <v>13</v>
      </c>
      <c r="G337">
        <f>'NHL2025-26Results'!E333</f>
        <v>1</v>
      </c>
      <c r="H337">
        <f>Table3[[#This Row],[G_1]]-Table3[[#This Row],[G]]</f>
        <v>-1</v>
      </c>
      <c r="I337">
        <f>HomeEdge+VLOOKUP(Table3[[#This Row],[Home]],$A$6:$B$38,2,FALSE)-VLOOKUP(Table3[[#This Row],[Visitor]],$A$6:$B$38,2,FALSE)</f>
        <v>-0.28523156114618381</v>
      </c>
      <c r="J337">
        <f>(Table3[[#This Row],[HomeMargin]]-Table3[[#This Row],[HomeForecast]])^2</f>
        <v>0.51089392118152166</v>
      </c>
    </row>
    <row r="338" spans="4:10" x14ac:dyDescent="0.2">
      <c r="D338" t="s">
        <v>34</v>
      </c>
      <c r="E338">
        <f>'NHL2025-26Results'!C334</f>
        <v>5</v>
      </c>
      <c r="F338" t="s">
        <v>14</v>
      </c>
      <c r="G338">
        <f>'NHL2025-26Results'!E334</f>
        <v>0</v>
      </c>
      <c r="H338">
        <f>Table3[[#This Row],[G_1]]-Table3[[#This Row],[G]]</f>
        <v>-5</v>
      </c>
      <c r="I338">
        <f>HomeEdge+VLOOKUP(Table3[[#This Row],[Home]],$A$6:$B$38,2,FALSE)-VLOOKUP(Table3[[#This Row],[Visitor]],$A$6:$B$38,2,FALSE)</f>
        <v>8.3123214329399675E-2</v>
      </c>
      <c r="J338">
        <f>(Table3[[#This Row],[HomeMargin]]-Table3[[#This Row],[HomeForecast]])^2</f>
        <v>25.838141612054454</v>
      </c>
    </row>
    <row r="339" spans="4:10" x14ac:dyDescent="0.2">
      <c r="D339" t="s">
        <v>25</v>
      </c>
      <c r="E339">
        <f>'NHL2025-26Results'!C335</f>
        <v>4</v>
      </c>
      <c r="F339" t="s">
        <v>40</v>
      </c>
      <c r="G339">
        <f>'NHL2025-26Results'!E335</f>
        <v>3</v>
      </c>
      <c r="H339">
        <f>Table3[[#This Row],[G_1]]-Table3[[#This Row],[G]]</f>
        <v>-1</v>
      </c>
      <c r="I339">
        <f>HomeEdge+VLOOKUP(Table3[[#This Row],[Home]],$A$6:$B$38,2,FALSE)-VLOOKUP(Table3[[#This Row],[Visitor]],$A$6:$B$38,2,FALSE)</f>
        <v>-0.67322370876860826</v>
      </c>
      <c r="J339">
        <f>(Table3[[#This Row],[HomeMargin]]-Table3[[#This Row],[HomeForecast]])^2</f>
        <v>0.10678274451094334</v>
      </c>
    </row>
    <row r="340" spans="4:10" x14ac:dyDescent="0.2">
      <c r="D340" t="s">
        <v>20</v>
      </c>
      <c r="E340">
        <f>'NHL2025-26Results'!C336</f>
        <v>3</v>
      </c>
      <c r="F340" t="s">
        <v>31</v>
      </c>
      <c r="G340">
        <f>'NHL2025-26Results'!E336</f>
        <v>4</v>
      </c>
      <c r="H340">
        <f>Table3[[#This Row],[G_1]]-Table3[[#This Row],[G]]</f>
        <v>1</v>
      </c>
      <c r="I340">
        <f>HomeEdge+VLOOKUP(Table3[[#This Row],[Home]],$A$6:$B$38,2,FALSE)-VLOOKUP(Table3[[#This Row],[Visitor]],$A$6:$B$38,2,FALSE)</f>
        <v>-0.28214948569620435</v>
      </c>
      <c r="J340">
        <f>(Table3[[#This Row],[HomeMargin]]-Table3[[#This Row],[HomeForecast]])^2</f>
        <v>1.6439073036710414</v>
      </c>
    </row>
    <row r="341" spans="4:10" x14ac:dyDescent="0.2">
      <c r="D341" t="s">
        <v>39</v>
      </c>
      <c r="E341">
        <f>'NHL2025-26Results'!C337</f>
        <v>2</v>
      </c>
      <c r="F341" t="s">
        <v>16</v>
      </c>
      <c r="G341">
        <f>'NHL2025-26Results'!E337</f>
        <v>3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-0.90811495257945007</v>
      </c>
      <c r="J341">
        <f>(Table3[[#This Row],[HomeMargin]]-Table3[[#This Row],[HomeForecast]])^2</f>
        <v>3.640902672257277</v>
      </c>
    </row>
    <row r="342" spans="4:10" x14ac:dyDescent="0.2">
      <c r="D342" t="s">
        <v>28</v>
      </c>
      <c r="E342">
        <f>'NHL2025-26Results'!C338</f>
        <v>3</v>
      </c>
      <c r="F342" t="s">
        <v>26</v>
      </c>
      <c r="G342">
        <f>'NHL2025-26Results'!E338</f>
        <v>4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0.34861741465297963</v>
      </c>
      <c r="J342">
        <f>(Table3[[#This Row],[HomeMargin]]-Table3[[#This Row],[HomeForecast]])^2</f>
        <v>0.42429927249336818</v>
      </c>
    </row>
    <row r="343" spans="4:10" x14ac:dyDescent="0.2">
      <c r="D343" t="s">
        <v>17</v>
      </c>
      <c r="E343">
        <f>'NHL2025-26Results'!C339</f>
        <v>6</v>
      </c>
      <c r="F343" t="s">
        <v>11</v>
      </c>
      <c r="G343">
        <f>'NHL2025-26Results'!E339</f>
        <v>3</v>
      </c>
      <c r="H343">
        <f>Table3[[#This Row],[G_1]]-Table3[[#This Row],[G]]</f>
        <v>-3</v>
      </c>
      <c r="I343">
        <f>HomeEdge+VLOOKUP(Table3[[#This Row],[Home]],$A$6:$B$38,2,FALSE)-VLOOKUP(Table3[[#This Row],[Visitor]],$A$6:$B$38,2,FALSE)</f>
        <v>-0.12737145928855986</v>
      </c>
      <c r="J343">
        <f>(Table3[[#This Row],[HomeMargin]]-Table3[[#This Row],[HomeForecast]])^2</f>
        <v>8.2519947329099388</v>
      </c>
    </row>
    <row r="344" spans="4:10" x14ac:dyDescent="0.2">
      <c r="D344" t="s">
        <v>19</v>
      </c>
      <c r="E344">
        <f>'NHL2025-26Results'!C340</f>
        <v>2</v>
      </c>
      <c r="F344" t="s">
        <v>18</v>
      </c>
      <c r="G344">
        <f>'NHL2025-26Results'!E340</f>
        <v>5</v>
      </c>
      <c r="H344">
        <f>Table3[[#This Row],[G_1]]-Table3[[#This Row],[G]]</f>
        <v>3</v>
      </c>
      <c r="I344">
        <f>HomeEdge+VLOOKUP(Table3[[#This Row],[Home]],$A$6:$B$38,2,FALSE)-VLOOKUP(Table3[[#This Row],[Visitor]],$A$6:$B$38,2,FALSE)</f>
        <v>0.18127045173329043</v>
      </c>
      <c r="J344">
        <f>(Table3[[#This Row],[HomeMargin]]-Table3[[#This Row],[HomeForecast]])^2</f>
        <v>7.9452362662718485</v>
      </c>
    </row>
    <row r="345" spans="4:10" x14ac:dyDescent="0.2">
      <c r="D345" t="s">
        <v>12</v>
      </c>
      <c r="E345">
        <f>'NHL2025-26Results'!C341</f>
        <v>3</v>
      </c>
      <c r="F345" t="s">
        <v>29</v>
      </c>
      <c r="G345">
        <f>'NHL2025-26Results'!E341</f>
        <v>0</v>
      </c>
      <c r="H345">
        <f>Table3[[#This Row],[G_1]]-Table3[[#This Row],[G]]</f>
        <v>-3</v>
      </c>
      <c r="I345">
        <f>HomeEdge+VLOOKUP(Table3[[#This Row],[Home]],$A$6:$B$38,2,FALSE)-VLOOKUP(Table3[[#This Row],[Visitor]],$A$6:$B$38,2,FALSE)</f>
        <v>-1.8223511525250693</v>
      </c>
      <c r="J345">
        <f>(Table3[[#This Row],[HomeMargin]]-Table3[[#This Row],[HomeForecast]])^2</f>
        <v>1.3868568079590327</v>
      </c>
    </row>
    <row r="346" spans="4:10" x14ac:dyDescent="0.2">
      <c r="D346" t="s">
        <v>35</v>
      </c>
      <c r="E346">
        <f>'NHL2025-26Results'!C342</f>
        <v>2</v>
      </c>
      <c r="F346" t="s">
        <v>30</v>
      </c>
      <c r="G346">
        <f>'NHL2025-26Results'!E342</f>
        <v>1</v>
      </c>
      <c r="H346">
        <f>Table3[[#This Row],[G_1]]-Table3[[#This Row],[G]]</f>
        <v>-1</v>
      </c>
      <c r="I346">
        <f>HomeEdge+VLOOKUP(Table3[[#This Row],[Home]],$A$6:$B$38,2,FALSE)-VLOOKUP(Table3[[#This Row],[Visitor]],$A$6:$B$38,2,FALSE)</f>
        <v>1.1532452993885236</v>
      </c>
      <c r="J346">
        <f>(Table3[[#This Row],[HomeMargin]]-Table3[[#This Row],[HomeForecast]])^2</f>
        <v>4.6364653193387735</v>
      </c>
    </row>
    <row r="347" spans="4:10" x14ac:dyDescent="0.2">
      <c r="D347" t="s">
        <v>24</v>
      </c>
      <c r="E347">
        <f>'NHL2025-26Results'!C343</f>
        <v>3</v>
      </c>
      <c r="F347" t="s">
        <v>27</v>
      </c>
      <c r="G347">
        <f>'NHL2025-26Results'!E343</f>
        <v>6</v>
      </c>
      <c r="H347">
        <f>Table3[[#This Row],[G_1]]-Table3[[#This Row],[G]]</f>
        <v>3</v>
      </c>
      <c r="I347">
        <f>HomeEdge+VLOOKUP(Table3[[#This Row],[Home]],$A$6:$B$38,2,FALSE)-VLOOKUP(Table3[[#This Row],[Visitor]],$A$6:$B$38,2,FALSE)</f>
        <v>0.30126698240698929</v>
      </c>
      <c r="J347">
        <f>(Table3[[#This Row],[HomeMargin]]-Table3[[#This Row],[HomeForecast]])^2</f>
        <v>7.2831599002466785</v>
      </c>
    </row>
    <row r="348" spans="4:10" x14ac:dyDescent="0.2">
      <c r="D348" t="s">
        <v>32</v>
      </c>
      <c r="E348">
        <f>'NHL2025-26Results'!C344</f>
        <v>3</v>
      </c>
      <c r="F348" t="s">
        <v>14</v>
      </c>
      <c r="G348">
        <f>'NHL2025-26Results'!E344</f>
        <v>2</v>
      </c>
      <c r="H348">
        <f>Table3[[#This Row],[G_1]]-Table3[[#This Row],[G]]</f>
        <v>-1</v>
      </c>
      <c r="I348">
        <f>HomeEdge+VLOOKUP(Table3[[#This Row],[Home]],$A$6:$B$38,2,FALSE)-VLOOKUP(Table3[[#This Row],[Visitor]],$A$6:$B$38,2,FALSE)</f>
        <v>0.66694648071958129</v>
      </c>
      <c r="J348">
        <f>(Table3[[#This Row],[HomeMargin]]-Table3[[#This Row],[HomeForecast]])^2</f>
        <v>2.7787105695833976</v>
      </c>
    </row>
    <row r="349" spans="4:10" x14ac:dyDescent="0.2">
      <c r="D349" t="s">
        <v>36</v>
      </c>
      <c r="E349">
        <f>'NHL2025-26Results'!C345</f>
        <v>3</v>
      </c>
      <c r="F349" t="s">
        <v>33</v>
      </c>
      <c r="G349">
        <f>'NHL2025-26Results'!E345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-3.4742271365304611E-2</v>
      </c>
      <c r="J349">
        <f>(Table3[[#This Row],[HomeMargin]]-Table3[[#This Row],[HomeForecast]])^2</f>
        <v>0.93172248268901126</v>
      </c>
    </row>
    <row r="350" spans="4:10" x14ac:dyDescent="0.2">
      <c r="D350" t="s">
        <v>15</v>
      </c>
      <c r="E350">
        <f>'NHL2025-26Results'!C346</f>
        <v>2</v>
      </c>
      <c r="F350" t="s">
        <v>55</v>
      </c>
      <c r="G350">
        <f>'NHL2025-26Results'!E346</f>
        <v>3</v>
      </c>
      <c r="H350">
        <f>Table3[[#This Row],[G_1]]-Table3[[#This Row],[G]]</f>
        <v>1</v>
      </c>
      <c r="I350">
        <f>HomeEdge+VLOOKUP(Table3[[#This Row],[Home]],$A$6:$B$38,2,FALSE)-VLOOKUP(Table3[[#This Row],[Visitor]],$A$6:$B$38,2,FALSE)</f>
        <v>0.85618830212732044</v>
      </c>
      <c r="J350">
        <f>(Table3[[#This Row],[HomeMargin]]-Table3[[#This Row],[HomeForecast]])^2</f>
        <v>2.0681804445022864E-2</v>
      </c>
    </row>
    <row r="351" spans="4:10" x14ac:dyDescent="0.2">
      <c r="D351" t="s">
        <v>37</v>
      </c>
      <c r="E351">
        <f>'NHL2025-26Results'!C347</f>
        <v>5</v>
      </c>
      <c r="F351" t="s">
        <v>22</v>
      </c>
      <c r="G351">
        <f>'NHL2025-26Results'!E347</f>
        <v>3</v>
      </c>
      <c r="H351">
        <f>Table3[[#This Row],[G_1]]-Table3[[#This Row],[G]]</f>
        <v>-2</v>
      </c>
      <c r="I351">
        <f>HomeEdge+VLOOKUP(Table3[[#This Row],[Home]],$A$6:$B$38,2,FALSE)-VLOOKUP(Table3[[#This Row],[Visitor]],$A$6:$B$38,2,FALSE)</f>
        <v>-0.64659524355848341</v>
      </c>
      <c r="J351">
        <f>(Table3[[#This Row],[HomeMargin]]-Table3[[#This Row],[HomeForecast]])^2</f>
        <v>1.8317044347585207</v>
      </c>
    </row>
    <row r="352" spans="4:10" x14ac:dyDescent="0.2">
      <c r="D352" t="s">
        <v>25</v>
      </c>
      <c r="E352">
        <f>'NHL2025-26Results'!C348</f>
        <v>1</v>
      </c>
      <c r="F352" t="s">
        <v>23</v>
      </c>
      <c r="G352">
        <f>'NHL2025-26Results'!E348</f>
        <v>4</v>
      </c>
      <c r="H352">
        <f>Table3[[#This Row],[G_1]]-Table3[[#This Row],[G]]</f>
        <v>3</v>
      </c>
      <c r="I352">
        <f>HomeEdge+VLOOKUP(Table3[[#This Row],[Home]],$A$6:$B$38,2,FALSE)-VLOOKUP(Table3[[#This Row],[Visitor]],$A$6:$B$38,2,FALSE)</f>
        <v>-0.17195909601892556</v>
      </c>
      <c r="J352">
        <f>(Table3[[#This Row],[HomeMargin]]-Table3[[#This Row],[HomeForecast]])^2</f>
        <v>10.061324506817199</v>
      </c>
    </row>
    <row r="353" spans="4:10" x14ac:dyDescent="0.2">
      <c r="D353" t="s">
        <v>12</v>
      </c>
      <c r="E353">
        <f>'NHL2025-26Results'!C349</f>
        <v>1</v>
      </c>
      <c r="F353" t="s">
        <v>10</v>
      </c>
      <c r="G353">
        <f>'NHL2025-26Results'!E349</f>
        <v>0</v>
      </c>
      <c r="H353">
        <f>Table3[[#This Row],[G_1]]-Table3[[#This Row],[G]]</f>
        <v>-1</v>
      </c>
      <c r="I353">
        <f>HomeEdge+VLOOKUP(Table3[[#This Row],[Home]],$A$6:$B$38,2,FALSE)-VLOOKUP(Table3[[#This Row],[Visitor]],$A$6:$B$38,2,FALSE)</f>
        <v>-1.783777892593529</v>
      </c>
      <c r="J353">
        <f>(Table3[[#This Row],[HomeMargin]]-Table3[[#This Row],[HomeForecast]])^2</f>
        <v>0.61430778491835358</v>
      </c>
    </row>
    <row r="354" spans="4:10" x14ac:dyDescent="0.2">
      <c r="D354" t="s">
        <v>32</v>
      </c>
      <c r="E354">
        <f>'NHL2025-26Results'!C350</f>
        <v>0</v>
      </c>
      <c r="F354" t="s">
        <v>30</v>
      </c>
      <c r="G354">
        <f>'NHL2025-26Results'!E350</f>
        <v>1</v>
      </c>
      <c r="H354">
        <f>Table3[[#This Row],[G_1]]-Table3[[#This Row],[G]]</f>
        <v>1</v>
      </c>
      <c r="I354">
        <f>HomeEdge+VLOOKUP(Table3[[#This Row],[Home]],$A$6:$B$38,2,FALSE)-VLOOKUP(Table3[[#This Row],[Visitor]],$A$6:$B$38,2,FALSE)</f>
        <v>0.45782668257770759</v>
      </c>
      <c r="J354">
        <f>(Table3[[#This Row],[HomeMargin]]-Table3[[#This Row],[HomeForecast]])^2</f>
        <v>0.29395190612469391</v>
      </c>
    </row>
    <row r="355" spans="4:10" x14ac:dyDescent="0.2">
      <c r="D355" t="s">
        <v>21</v>
      </c>
      <c r="E355">
        <f>'NHL2025-26Results'!C351</f>
        <v>1</v>
      </c>
      <c r="F355" t="s">
        <v>33</v>
      </c>
      <c r="G355">
        <f>'NHL2025-26Results'!E351</f>
        <v>3</v>
      </c>
      <c r="H355">
        <f>Table3[[#This Row],[G_1]]-Table3[[#This Row],[G]]</f>
        <v>2</v>
      </c>
      <c r="I355">
        <f>HomeEdge+VLOOKUP(Table3[[#This Row],[Home]],$A$6:$B$38,2,FALSE)-VLOOKUP(Table3[[#This Row],[Visitor]],$A$6:$B$38,2,FALSE)</f>
        <v>-0.38360169925022736</v>
      </c>
      <c r="J355">
        <f>(Table3[[#This Row],[HomeMargin]]-Table3[[#This Row],[HomeForecast]])^2</f>
        <v>5.6815570606685704</v>
      </c>
    </row>
    <row r="356" spans="4:10" x14ac:dyDescent="0.2">
      <c r="D356" t="s">
        <v>16</v>
      </c>
      <c r="E356">
        <f>'NHL2025-26Results'!C352</f>
        <v>5</v>
      </c>
      <c r="F356" t="s">
        <v>38</v>
      </c>
      <c r="G356">
        <f>'NHL2025-26Results'!E352</f>
        <v>2</v>
      </c>
      <c r="H356">
        <f>Table3[[#This Row],[G_1]]-Table3[[#This Row],[G]]</f>
        <v>-3</v>
      </c>
      <c r="I356">
        <f>HomeEdge+VLOOKUP(Table3[[#This Row],[Home]],$A$6:$B$38,2,FALSE)-VLOOKUP(Table3[[#This Row],[Visitor]],$A$6:$B$38,2,FALSE)</f>
        <v>-0.37167206455866753</v>
      </c>
      <c r="J356">
        <f>(Table3[[#This Row],[HomeMargin]]-Table3[[#This Row],[HomeForecast]])^2</f>
        <v>6.9081077362212975</v>
      </c>
    </row>
    <row r="357" spans="4:10" x14ac:dyDescent="0.2">
      <c r="D357" t="s">
        <v>34</v>
      </c>
      <c r="E357">
        <f>'NHL2025-26Results'!C353</f>
        <v>3</v>
      </c>
      <c r="F357" t="s">
        <v>40</v>
      </c>
      <c r="G357">
        <f>'NHL2025-26Results'!E353</f>
        <v>0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-0.39082705779700094</v>
      </c>
      <c r="J357">
        <f>(Table3[[#This Row],[HomeMargin]]-Table3[[#This Row],[HomeForecast]])^2</f>
        <v>6.8077834423242551</v>
      </c>
    </row>
    <row r="358" spans="4:10" x14ac:dyDescent="0.2">
      <c r="D358" t="s">
        <v>36</v>
      </c>
      <c r="E358">
        <f>'NHL2025-26Results'!C354</f>
        <v>1</v>
      </c>
      <c r="F358" t="s">
        <v>13</v>
      </c>
      <c r="G358">
        <f>'NHL2025-26Results'!E354</f>
        <v>2</v>
      </c>
      <c r="H358">
        <f>Table3[[#This Row],[G_1]]-Table3[[#This Row],[G]]</f>
        <v>1</v>
      </c>
      <c r="I358">
        <f>HomeEdge+VLOOKUP(Table3[[#This Row],[Home]],$A$6:$B$38,2,FALSE)-VLOOKUP(Table3[[#This Row],[Visitor]],$A$6:$B$38,2,FALSE)</f>
        <v>6.3627866738738936E-2</v>
      </c>
      <c r="J358">
        <f>(Table3[[#This Row],[HomeMargin]]-Table3[[#This Row],[HomeForecast]])^2</f>
        <v>0.8767927719482449</v>
      </c>
    </row>
    <row r="359" spans="4:10" x14ac:dyDescent="0.2">
      <c r="D359" t="s">
        <v>26</v>
      </c>
      <c r="E359">
        <f>'NHL2025-26Results'!C355</f>
        <v>3</v>
      </c>
      <c r="F359" t="s">
        <v>24</v>
      </c>
      <c r="G359">
        <f>'NHL2025-26Results'!E355</f>
        <v>4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-0.25795089855116599</v>
      </c>
      <c r="J359">
        <f>(Table3[[#This Row],[HomeMargin]]-Table3[[#This Row],[HomeForecast]])^2</f>
        <v>1.5824404631656861</v>
      </c>
    </row>
    <row r="360" spans="4:10" x14ac:dyDescent="0.2">
      <c r="D360" t="s">
        <v>11</v>
      </c>
      <c r="E360">
        <f>'NHL2025-26Results'!C356</f>
        <v>8</v>
      </c>
      <c r="F360" t="s">
        <v>29</v>
      </c>
      <c r="G360">
        <f>'NHL2025-26Results'!E356</f>
        <v>3</v>
      </c>
      <c r="H360">
        <f>Table3[[#This Row],[G_1]]-Table3[[#This Row],[G]]</f>
        <v>-5</v>
      </c>
      <c r="I360">
        <f>HomeEdge+VLOOKUP(Table3[[#This Row],[Home]],$A$6:$B$38,2,FALSE)-VLOOKUP(Table3[[#This Row],[Visitor]],$A$6:$B$38,2,FALSE)</f>
        <v>-0.22341365195682894</v>
      </c>
      <c r="J360">
        <f>(Table3[[#This Row],[HomeMargin]]-Table3[[#This Row],[HomeForecast]])^2</f>
        <v>22.815777140312399</v>
      </c>
    </row>
    <row r="361" spans="4:10" x14ac:dyDescent="0.2">
      <c r="D361" t="s">
        <v>35</v>
      </c>
      <c r="E361">
        <f>'NHL2025-26Results'!C357</f>
        <v>2</v>
      </c>
      <c r="F361" t="s">
        <v>15</v>
      </c>
      <c r="G361">
        <f>'NHL2025-26Results'!E357</f>
        <v>3</v>
      </c>
      <c r="H361">
        <f>Table3[[#This Row],[G_1]]-Table3[[#This Row],[G]]</f>
        <v>1</v>
      </c>
      <c r="I361">
        <f>HomeEdge+VLOOKUP(Table3[[#This Row],[Home]],$A$6:$B$38,2,FALSE)-VLOOKUP(Table3[[#This Row],[Visitor]],$A$6:$B$38,2,FALSE)</f>
        <v>0.72266627421079488</v>
      </c>
      <c r="J361">
        <f>(Table3[[#This Row],[HomeMargin]]-Table3[[#This Row],[HomeForecast]])^2</f>
        <v>7.6913995460122023E-2</v>
      </c>
    </row>
    <row r="362" spans="4:10" x14ac:dyDescent="0.2">
      <c r="D362" t="s">
        <v>27</v>
      </c>
      <c r="E362">
        <f>'NHL2025-26Results'!C358</f>
        <v>0</v>
      </c>
      <c r="F362" t="s">
        <v>37</v>
      </c>
      <c r="G362">
        <f>'NHL2025-26Results'!E358</f>
        <v>3</v>
      </c>
      <c r="H362">
        <f>Table3[[#This Row],[G_1]]-Table3[[#This Row],[G]]</f>
        <v>3</v>
      </c>
      <c r="I362">
        <f>HomeEdge+VLOOKUP(Table3[[#This Row],[Home]],$A$6:$B$38,2,FALSE)-VLOOKUP(Table3[[#This Row],[Visitor]],$A$6:$B$38,2,FALSE)</f>
        <v>1.0711985480744719</v>
      </c>
      <c r="J362">
        <f>(Table3[[#This Row],[HomeMargin]]-Table3[[#This Row],[HomeForecast]])^2</f>
        <v>3.7202750409500251</v>
      </c>
    </row>
    <row r="363" spans="4:10" x14ac:dyDescent="0.2">
      <c r="D363" t="s">
        <v>20</v>
      </c>
      <c r="E363">
        <f>'NHL2025-26Results'!C359</f>
        <v>1</v>
      </c>
      <c r="F363" t="s">
        <v>55</v>
      </c>
      <c r="G363">
        <f>'NHL2025-26Results'!E359</f>
        <v>5</v>
      </c>
      <c r="H363">
        <f>Table3[[#This Row],[G_1]]-Table3[[#This Row],[G]]</f>
        <v>4</v>
      </c>
      <c r="I363">
        <f>HomeEdge+VLOOKUP(Table3[[#This Row],[Home]],$A$6:$B$38,2,FALSE)-VLOOKUP(Table3[[#This Row],[Visitor]],$A$6:$B$38,2,FALSE)</f>
        <v>0.22129619770294512</v>
      </c>
      <c r="J363">
        <f>(Table3[[#This Row],[HomeMargin]]-Table3[[#This Row],[HomeForecast]])^2</f>
        <v>14.278602425494219</v>
      </c>
    </row>
    <row r="364" spans="4:10" x14ac:dyDescent="0.2">
      <c r="D364" t="s">
        <v>28</v>
      </c>
      <c r="E364">
        <f>'NHL2025-26Results'!C360</f>
        <v>1</v>
      </c>
      <c r="F364" t="s">
        <v>22</v>
      </c>
      <c r="G364">
        <f>'NHL2025-26Results'!E360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0.43265682234213848</v>
      </c>
      <c r="J364">
        <f>(Table3[[#This Row],[HomeMargin]]-Table3[[#This Row],[HomeForecast]])^2</f>
        <v>12.725937347182089</v>
      </c>
    </row>
    <row r="365" spans="4:10" x14ac:dyDescent="0.2">
      <c r="D365" t="s">
        <v>39</v>
      </c>
      <c r="E365">
        <f>'NHL2025-26Results'!C361</f>
        <v>8</v>
      </c>
      <c r="F365" t="s">
        <v>17</v>
      </c>
      <c r="G365">
        <f>'NHL2025-26Results'!E361</f>
        <v>3</v>
      </c>
      <c r="H365">
        <f>Table3[[#This Row],[G_1]]-Table3[[#This Row],[G]]</f>
        <v>-5</v>
      </c>
      <c r="I365">
        <f>HomeEdge+VLOOKUP(Table3[[#This Row],[Home]],$A$6:$B$38,2,FALSE)-VLOOKUP(Table3[[#This Row],[Visitor]],$A$6:$B$38,2,FALSE)</f>
        <v>-0.3170373291986131</v>
      </c>
      <c r="J365">
        <f>(Table3[[#This Row],[HomeMargin]]-Table3[[#This Row],[HomeForecast]])^2</f>
        <v>21.930139376119257</v>
      </c>
    </row>
    <row r="366" spans="4:10" x14ac:dyDescent="0.2">
      <c r="D366" t="s">
        <v>38</v>
      </c>
      <c r="E366">
        <f>'NHL2025-26Results'!C362</f>
        <v>5</v>
      </c>
      <c r="F366" t="s">
        <v>31</v>
      </c>
      <c r="G366">
        <f>'NHL2025-26Results'!E362</f>
        <v>4</v>
      </c>
      <c r="H366">
        <f>Table3[[#This Row],[G_1]]-Table3[[#This Row],[G]]</f>
        <v>-1</v>
      </c>
      <c r="I366">
        <f>HomeEdge+VLOOKUP(Table3[[#This Row],[Home]],$A$6:$B$38,2,FALSE)-VLOOKUP(Table3[[#This Row],[Visitor]],$A$6:$B$38,2,FALSE)</f>
        <v>0.97220731037568386</v>
      </c>
      <c r="J366">
        <f>(Table3[[#This Row],[HomeMargin]]-Table3[[#This Row],[HomeForecast]])^2</f>
        <v>3.8896016750992892</v>
      </c>
    </row>
    <row r="367" spans="4:10" x14ac:dyDescent="0.2">
      <c r="D367" t="s">
        <v>15</v>
      </c>
      <c r="E367">
        <f>'NHL2025-26Results'!C363</f>
        <v>4</v>
      </c>
      <c r="F367" t="s">
        <v>25</v>
      </c>
      <c r="G367">
        <f>'NHL2025-26Results'!E363</f>
        <v>2</v>
      </c>
      <c r="H367">
        <f>Table3[[#This Row],[G_1]]-Table3[[#This Row],[G]]</f>
        <v>-2</v>
      </c>
      <c r="I367">
        <f>HomeEdge+VLOOKUP(Table3[[#This Row],[Home]],$A$6:$B$38,2,FALSE)-VLOOKUP(Table3[[#This Row],[Visitor]],$A$6:$B$38,2,FALSE)</f>
        <v>1.0309122503031365</v>
      </c>
      <c r="J367">
        <f>(Table3[[#This Row],[HomeMargin]]-Table3[[#This Row],[HomeForecast]])^2</f>
        <v>9.1864290690376222</v>
      </c>
    </row>
    <row r="368" spans="4:10" x14ac:dyDescent="0.2">
      <c r="D368" t="s">
        <v>19</v>
      </c>
      <c r="E368">
        <f>'NHL2025-26Results'!C364</f>
        <v>2</v>
      </c>
      <c r="F368" t="s">
        <v>28</v>
      </c>
      <c r="G368">
        <f>'NHL2025-26Results'!E364</f>
        <v>1</v>
      </c>
      <c r="H368">
        <f>Table3[[#This Row],[G_1]]-Table3[[#This Row],[G]]</f>
        <v>-1</v>
      </c>
      <c r="I368">
        <f>HomeEdge+VLOOKUP(Table3[[#This Row],[Home]],$A$6:$B$38,2,FALSE)-VLOOKUP(Table3[[#This Row],[Visitor]],$A$6:$B$38,2,FALSE)</f>
        <v>-8.1213914972744217E-3</v>
      </c>
      <c r="J368">
        <f>(Table3[[#This Row],[HomeMargin]]-Table3[[#This Row],[HomeForecast]])^2</f>
        <v>0.98382317400530317</v>
      </c>
    </row>
    <row r="369" spans="4:10" x14ac:dyDescent="0.2">
      <c r="D369" t="s">
        <v>34</v>
      </c>
      <c r="E369">
        <f>'NHL2025-26Results'!C365</f>
        <v>4</v>
      </c>
      <c r="F369" t="s">
        <v>10</v>
      </c>
      <c r="G369">
        <f>'NHL2025-26Results'!E365</f>
        <v>3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-0.62147245918272298</v>
      </c>
      <c r="J369">
        <f>(Table3[[#This Row],[HomeMargin]]-Table3[[#This Row],[HomeForecast]])^2</f>
        <v>0.14328309915717533</v>
      </c>
    </row>
    <row r="370" spans="4:10" x14ac:dyDescent="0.2">
      <c r="D370" t="s">
        <v>33</v>
      </c>
      <c r="E370">
        <f>'NHL2025-26Results'!C366</f>
        <v>0</v>
      </c>
      <c r="F370" t="s">
        <v>12</v>
      </c>
      <c r="G370">
        <f>'NHL2025-26Results'!E366</f>
        <v>6</v>
      </c>
      <c r="H370">
        <f>Table3[[#This Row],[G_1]]-Table3[[#This Row],[G]]</f>
        <v>6</v>
      </c>
      <c r="I370">
        <f>HomeEdge+VLOOKUP(Table3[[#This Row],[Home]],$A$6:$B$38,2,FALSE)-VLOOKUP(Table3[[#This Row],[Visitor]],$A$6:$B$38,2,FALSE)</f>
        <v>1.8057742488025768</v>
      </c>
      <c r="J370">
        <f>(Table3[[#This Row],[HomeMargin]]-Table3[[#This Row],[HomeForecast]])^2</f>
        <v>17.591529652007594</v>
      </c>
    </row>
    <row r="371" spans="4:10" x14ac:dyDescent="0.2">
      <c r="D371" t="s">
        <v>29</v>
      </c>
      <c r="E371">
        <f>'NHL2025-26Results'!C367</f>
        <v>6</v>
      </c>
      <c r="F371" t="s">
        <v>26</v>
      </c>
      <c r="G371">
        <f>'NHL2025-26Results'!E367</f>
        <v>3</v>
      </c>
      <c r="H371">
        <f>Table3[[#This Row],[G_1]]-Table3[[#This Row],[G]]</f>
        <v>-3</v>
      </c>
      <c r="I371">
        <f>HomeEdge+VLOOKUP(Table3[[#This Row],[Home]],$A$6:$B$38,2,FALSE)-VLOOKUP(Table3[[#This Row],[Visitor]],$A$6:$B$38,2,FALSE)</f>
        <v>0.66590723931206064</v>
      </c>
      <c r="J371">
        <f>(Table3[[#This Row],[HomeMargin]]-Table3[[#This Row],[HomeForecast]])^2</f>
        <v>13.438875887240574</v>
      </c>
    </row>
    <row r="372" spans="4:10" x14ac:dyDescent="0.2">
      <c r="D372" t="s">
        <v>27</v>
      </c>
      <c r="E372">
        <f>'NHL2025-26Results'!C368</f>
        <v>4</v>
      </c>
      <c r="F372" t="s">
        <v>11</v>
      </c>
      <c r="G372">
        <f>'NHL2025-26Results'!E368</f>
        <v>2</v>
      </c>
      <c r="H372">
        <f>Table3[[#This Row],[G_1]]-Table3[[#This Row],[G]]</f>
        <v>-2</v>
      </c>
      <c r="I372">
        <f>HomeEdge+VLOOKUP(Table3[[#This Row],[Home]],$A$6:$B$38,2,FALSE)-VLOOKUP(Table3[[#This Row],[Visitor]],$A$6:$B$38,2,FALSE)</f>
        <v>-5.9596953577387146E-3</v>
      </c>
      <c r="J372">
        <f>(Table3[[#This Row],[HomeMargin]]-Table3[[#This Row],[HomeForecast]])^2</f>
        <v>3.9761967365378021</v>
      </c>
    </row>
    <row r="373" spans="4:10" x14ac:dyDescent="0.2">
      <c r="D373" t="s">
        <v>35</v>
      </c>
      <c r="E373">
        <f>'NHL2025-26Results'!C369</f>
        <v>2</v>
      </c>
      <c r="F373" t="s">
        <v>24</v>
      </c>
      <c r="G373">
        <f>'NHL2025-26Results'!E369</f>
        <v>3</v>
      </c>
      <c r="H373">
        <f>Table3[[#This Row],[G_1]]-Table3[[#This Row],[G]]</f>
        <v>1</v>
      </c>
      <c r="I373">
        <f>HomeEdge+VLOOKUP(Table3[[#This Row],[Home]],$A$6:$B$38,2,FALSE)-VLOOKUP(Table3[[#This Row],[Visitor]],$A$6:$B$38,2,FALSE)</f>
        <v>0.83521251450630252</v>
      </c>
      <c r="J373">
        <f>(Table3[[#This Row],[HomeMargin]]-Table3[[#This Row],[HomeForecast]])^2</f>
        <v>2.7154915375335559E-2</v>
      </c>
    </row>
    <row r="374" spans="4:10" x14ac:dyDescent="0.2">
      <c r="D374" t="s">
        <v>21</v>
      </c>
      <c r="E374">
        <f>'NHL2025-26Results'!C370</f>
        <v>3</v>
      </c>
      <c r="F374" t="s">
        <v>30</v>
      </c>
      <c r="G374">
        <f>'NHL2025-26Results'!E370</f>
        <v>1</v>
      </c>
      <c r="H374">
        <f>Table3[[#This Row],[G_1]]-Table3[[#This Row],[G]]</f>
        <v>-2</v>
      </c>
      <c r="I374">
        <f>HomeEdge+VLOOKUP(Table3[[#This Row],[Home]],$A$6:$B$38,2,FALSE)-VLOOKUP(Table3[[#This Row],[Visitor]],$A$6:$B$38,2,FALSE)</f>
        <v>-5.8069458012257123E-2</v>
      </c>
      <c r="J374">
        <f>(Table3[[#This Row],[HomeMargin]]-Table3[[#This Row],[HomeForecast]])^2</f>
        <v>3.7710942299048087</v>
      </c>
    </row>
    <row r="375" spans="4:10" x14ac:dyDescent="0.2">
      <c r="D375" t="s">
        <v>23</v>
      </c>
      <c r="E375">
        <f>'NHL2025-26Results'!C371</f>
        <v>2</v>
      </c>
      <c r="F375" t="s">
        <v>14</v>
      </c>
      <c r="G375">
        <f>'NHL2025-26Results'!E371</f>
        <v>4</v>
      </c>
      <c r="H375">
        <f>Table3[[#This Row],[G_1]]-Table3[[#This Row],[G]]</f>
        <v>2</v>
      </c>
      <c r="I375">
        <f>HomeEdge+VLOOKUP(Table3[[#This Row],[Home]],$A$6:$B$38,2,FALSE)-VLOOKUP(Table3[[#This Row],[Visitor]],$A$6:$B$38,2,FALSE)</f>
        <v>6.8655654547381165E-2</v>
      </c>
      <c r="J375">
        <f>(Table3[[#This Row],[HomeMargin]]-Table3[[#This Row],[HomeForecast]])^2</f>
        <v>3.7300909807118048</v>
      </c>
    </row>
    <row r="376" spans="4:10" x14ac:dyDescent="0.2">
      <c r="D376" t="s">
        <v>39</v>
      </c>
      <c r="E376">
        <f>'NHL2025-26Results'!C372</f>
        <v>3</v>
      </c>
      <c r="F376" t="s">
        <v>32</v>
      </c>
      <c r="G376">
        <f>'NHL2025-26Results'!E372</f>
        <v>2</v>
      </c>
      <c r="H376">
        <f>Table3[[#This Row],[G_1]]-Table3[[#This Row],[G]]</f>
        <v>-1</v>
      </c>
      <c r="I376">
        <f>HomeEdge+VLOOKUP(Table3[[#This Row],[Home]],$A$6:$B$38,2,FALSE)-VLOOKUP(Table3[[#This Row],[Visitor]],$A$6:$B$38,2,FALSE)</f>
        <v>-0.68756998289058358</v>
      </c>
      <c r="J376">
        <f>(Table3[[#This Row],[HomeMargin]]-Table3[[#This Row],[HomeForecast]])^2</f>
        <v>9.761251559099024E-2</v>
      </c>
    </row>
    <row r="377" spans="4:10" x14ac:dyDescent="0.2">
      <c r="D377" t="s">
        <v>16</v>
      </c>
      <c r="E377">
        <f>'NHL2025-26Results'!C373</f>
        <v>1</v>
      </c>
      <c r="F377" t="s">
        <v>37</v>
      </c>
      <c r="G377">
        <f>'NHL2025-26Results'!E373</f>
        <v>5</v>
      </c>
      <c r="H377">
        <f>Table3[[#This Row],[G_1]]-Table3[[#This Row],[G]]</f>
        <v>4</v>
      </c>
      <c r="I377">
        <f>HomeEdge+VLOOKUP(Table3[[#This Row],[Home]],$A$6:$B$38,2,FALSE)-VLOOKUP(Table3[[#This Row],[Visitor]],$A$6:$B$38,2,FALSE)</f>
        <v>1.5408644075244879</v>
      </c>
      <c r="J377">
        <f>(Table3[[#This Row],[HomeMargin]]-Table3[[#This Row],[HomeForecast]])^2</f>
        <v>6.0473478621798877</v>
      </c>
    </row>
    <row r="378" spans="4:10" x14ac:dyDescent="0.2">
      <c r="D378" t="s">
        <v>18</v>
      </c>
      <c r="E378">
        <f>'NHL2025-26Results'!C374</f>
        <v>4</v>
      </c>
      <c r="F378" t="s">
        <v>55</v>
      </c>
      <c r="G378">
        <f>'NHL2025-26Results'!E374</f>
        <v>3</v>
      </c>
      <c r="H378">
        <f>Table3[[#This Row],[G_1]]-Table3[[#This Row],[G]]</f>
        <v>-1</v>
      </c>
      <c r="I378">
        <f>HomeEdge+VLOOKUP(Table3[[#This Row],[Home]],$A$6:$B$38,2,FALSE)-VLOOKUP(Table3[[#This Row],[Visitor]],$A$6:$B$38,2,FALSE)</f>
        <v>0.45297674436173518</v>
      </c>
      <c r="J378">
        <f>(Table3[[#This Row],[HomeMargin]]-Table3[[#This Row],[HomeForecast]])^2</f>
        <v>2.1111414196560272</v>
      </c>
    </row>
    <row r="379" spans="4:10" x14ac:dyDescent="0.2">
      <c r="D379" t="s">
        <v>36</v>
      </c>
      <c r="E379">
        <f>'NHL2025-26Results'!C375</f>
        <v>4</v>
      </c>
      <c r="F379" t="s">
        <v>20</v>
      </c>
      <c r="G379">
        <f>'NHL2025-26Results'!E375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0.49510304911931224</v>
      </c>
      <c r="J379">
        <f>(Table3[[#This Row],[HomeMargin]]-Table3[[#This Row],[HomeForecast]])^2</f>
        <v>2.2353331274858648</v>
      </c>
    </row>
    <row r="380" spans="4:10" x14ac:dyDescent="0.2">
      <c r="D380" t="s">
        <v>40</v>
      </c>
      <c r="E380">
        <f>'NHL2025-26Results'!C376</f>
        <v>3</v>
      </c>
      <c r="F380" t="s">
        <v>22</v>
      </c>
      <c r="G380">
        <f>'NHL2025-26Results'!E376</f>
        <v>4</v>
      </c>
      <c r="H380">
        <f>Table3[[#This Row],[G_1]]-Table3[[#This Row],[G]]</f>
        <v>1</v>
      </c>
      <c r="I380">
        <f>HomeEdge+VLOOKUP(Table3[[#This Row],[Home]],$A$6:$B$38,2,FALSE)-VLOOKUP(Table3[[#This Row],[Visitor]],$A$6:$B$38,2,FALSE)</f>
        <v>0.48072798568395714</v>
      </c>
      <c r="J380">
        <f>(Table3[[#This Row],[HomeMargin]]-Table3[[#This Row],[HomeForecast]])^2</f>
        <v>0.26964342485184062</v>
      </c>
    </row>
    <row r="381" spans="4:10" x14ac:dyDescent="0.2">
      <c r="D381" t="s">
        <v>13</v>
      </c>
      <c r="E381">
        <f>'NHL2025-26Results'!C377</f>
        <v>4</v>
      </c>
      <c r="F381" t="s">
        <v>31</v>
      </c>
      <c r="G381">
        <f>'NHL2025-26Results'!E377</f>
        <v>5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0.1493256966843689</v>
      </c>
      <c r="J381">
        <f>(Table3[[#This Row],[HomeMargin]]-Table3[[#This Row],[HomeForecast]])^2</f>
        <v>0.72364677032153435</v>
      </c>
    </row>
    <row r="382" spans="4:10" x14ac:dyDescent="0.2">
      <c r="D382" t="s">
        <v>15</v>
      </c>
      <c r="E382">
        <f>'NHL2025-26Results'!C378</f>
        <v>6</v>
      </c>
      <c r="F382" t="s">
        <v>21</v>
      </c>
      <c r="G382">
        <f>'NHL2025-26Results'!E378</f>
        <v>2</v>
      </c>
      <c r="H382">
        <f>Table3[[#This Row],[G_1]]-Table3[[#This Row],[G]]</f>
        <v>-4</v>
      </c>
      <c r="I382">
        <f>HomeEdge+VLOOKUP(Table3[[#This Row],[Home]],$A$6:$B$38,2,FALSE)-VLOOKUP(Table3[[#This Row],[Visitor]],$A$6:$B$38,2,FALSE)</f>
        <v>0.68058847353131235</v>
      </c>
      <c r="J382">
        <f>(Table3[[#This Row],[HomeMargin]]-Table3[[#This Row],[HomeForecast]])^2</f>
        <v>21.907908458554179</v>
      </c>
    </row>
    <row r="383" spans="4:10" x14ac:dyDescent="0.2">
      <c r="D383" t="s">
        <v>24</v>
      </c>
      <c r="E383">
        <f>'NHL2025-26Results'!C379</f>
        <v>5</v>
      </c>
      <c r="F383" t="s">
        <v>23</v>
      </c>
      <c r="G383">
        <f>'NHL2025-26Results'!E379</f>
        <v>0</v>
      </c>
      <c r="H383">
        <f>Table3[[#This Row],[G_1]]-Table3[[#This Row],[G]]</f>
        <v>-5</v>
      </c>
      <c r="I383">
        <f>HomeEdge+VLOOKUP(Table3[[#This Row],[Home]],$A$6:$B$38,2,FALSE)-VLOOKUP(Table3[[#This Row],[Visitor]],$A$6:$B$38,2,FALSE)</f>
        <v>0.65043691881804011</v>
      </c>
      <c r="J383">
        <f>(Table3[[#This Row],[HomeMargin]]-Table3[[#This Row],[HomeForecast]])^2</f>
        <v>31.92743737354191</v>
      </c>
    </row>
    <row r="384" spans="4:10" x14ac:dyDescent="0.2">
      <c r="D384" t="s">
        <v>40</v>
      </c>
      <c r="E384">
        <f>'NHL2025-26Results'!C380</f>
        <v>1</v>
      </c>
      <c r="F384" t="s">
        <v>25</v>
      </c>
      <c r="G384">
        <f>'NHL2025-26Results'!E380</f>
        <v>5</v>
      </c>
      <c r="H384">
        <f>Table3[[#This Row],[G_1]]-Table3[[#This Row],[G]]</f>
        <v>4</v>
      </c>
      <c r="I384">
        <f>HomeEdge+VLOOKUP(Table3[[#This Row],[Home]],$A$6:$B$38,2,FALSE)-VLOOKUP(Table3[[#This Row],[Visitor]],$A$6:$B$38,2,FALSE)</f>
        <v>0.86516369910993474</v>
      </c>
      <c r="J384">
        <f>(Table3[[#This Row],[HomeMargin]]-Table3[[#This Row],[HomeForecast]])^2</f>
        <v>9.8271986333781083</v>
      </c>
    </row>
    <row r="385" spans="4:10" x14ac:dyDescent="0.2">
      <c r="D385" t="s">
        <v>14</v>
      </c>
      <c r="E385">
        <f>'NHL2025-26Results'!C381</f>
        <v>4</v>
      </c>
      <c r="F385" t="s">
        <v>28</v>
      </c>
      <c r="G385">
        <f>'NHL2025-26Results'!E381</f>
        <v>3</v>
      </c>
      <c r="H385">
        <f>Table3[[#This Row],[G_1]]-Table3[[#This Row],[G]]</f>
        <v>-1</v>
      </c>
      <c r="I385">
        <f>HomeEdge+VLOOKUP(Table3[[#This Row],[Home]],$A$6:$B$38,2,FALSE)-VLOOKUP(Table3[[#This Row],[Visitor]],$A$6:$B$38,2,FALSE)</f>
        <v>-0.32990911361391873</v>
      </c>
      <c r="J385">
        <f>(Table3[[#This Row],[HomeMargin]]-Table3[[#This Row],[HomeForecast]])^2</f>
        <v>0.4490217960176841</v>
      </c>
    </row>
    <row r="386" spans="4:10" x14ac:dyDescent="0.2">
      <c r="D386" t="s">
        <v>29</v>
      </c>
      <c r="E386">
        <f>'NHL2025-26Results'!C382</f>
        <v>4</v>
      </c>
      <c r="F386" t="s">
        <v>10</v>
      </c>
      <c r="G386">
        <f>'NHL2025-26Results'!E382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0.13454325510220355</v>
      </c>
      <c r="J386">
        <f>(Table3[[#This Row],[HomeMargin]]-Table3[[#This Row],[HomeForecast]])^2</f>
        <v>1.2871883976979039</v>
      </c>
    </row>
    <row r="387" spans="4:10" x14ac:dyDescent="0.2">
      <c r="D387" t="s">
        <v>55</v>
      </c>
      <c r="E387">
        <f>'NHL2025-26Results'!C383</f>
        <v>3</v>
      </c>
      <c r="F387" t="s">
        <v>39</v>
      </c>
      <c r="G387">
        <f>'NHL2025-26Results'!E383</f>
        <v>4</v>
      </c>
      <c r="H387">
        <f>Table3[[#This Row],[G_1]]-Table3[[#This Row],[G]]</f>
        <v>1</v>
      </c>
      <c r="I387">
        <f>HomeEdge+VLOOKUP(Table3[[#This Row],[Home]],$A$6:$B$38,2,FALSE)-VLOOKUP(Table3[[#This Row],[Visitor]],$A$6:$B$38,2,FALSE)</f>
        <v>0.18801400404593721</v>
      </c>
      <c r="J387">
        <f>(Table3[[#This Row],[HomeMargin]]-Table3[[#This Row],[HomeForecast]])^2</f>
        <v>0.65932125762551119</v>
      </c>
    </row>
    <row r="388" spans="4:10" x14ac:dyDescent="0.2">
      <c r="D388" t="s">
        <v>37</v>
      </c>
      <c r="E388">
        <f>'NHL2025-26Results'!C384</f>
        <v>6</v>
      </c>
      <c r="F388" t="s">
        <v>26</v>
      </c>
      <c r="G388">
        <f>'NHL2025-26Results'!E384</f>
        <v>3</v>
      </c>
      <c r="H388">
        <f>Table3[[#This Row],[G_1]]-Table3[[#This Row],[G]]</f>
        <v>-3</v>
      </c>
      <c r="I388">
        <f>HomeEdge+VLOOKUP(Table3[[#This Row],[Home]],$A$6:$B$38,2,FALSE)-VLOOKUP(Table3[[#This Row],[Visitor]],$A$6:$B$38,2,FALSE)</f>
        <v>-0.73063465124764226</v>
      </c>
      <c r="J388">
        <f>(Table3[[#This Row],[HomeMargin]]-Table3[[#This Row],[HomeForecast]])^2</f>
        <v>5.1500190861179105</v>
      </c>
    </row>
    <row r="389" spans="4:10" x14ac:dyDescent="0.2">
      <c r="D389" t="s">
        <v>16</v>
      </c>
      <c r="E389">
        <f>'NHL2025-26Results'!C385</f>
        <v>5</v>
      </c>
      <c r="F389" t="s">
        <v>11</v>
      </c>
      <c r="G389">
        <f>'NHL2025-26Results'!E385</f>
        <v>3</v>
      </c>
      <c r="H389">
        <f>Table3[[#This Row],[G_1]]-Table3[[#This Row],[G]]</f>
        <v>-2</v>
      </c>
      <c r="I389">
        <f>HomeEdge+VLOOKUP(Table3[[#This Row],[Home]],$A$6:$B$38,2,FALSE)-VLOOKUP(Table3[[#This Row],[Visitor]],$A$6:$B$38,2,FALSE)</f>
        <v>0.46370616409227711</v>
      </c>
      <c r="J389">
        <f>(Table3[[#This Row],[HomeMargin]]-Table3[[#This Row],[HomeForecast]])^2</f>
        <v>6.0698480629862832</v>
      </c>
    </row>
    <row r="390" spans="4:10" x14ac:dyDescent="0.2">
      <c r="D390" t="s">
        <v>12</v>
      </c>
      <c r="E390">
        <f>'NHL2025-26Results'!C386</f>
        <v>2</v>
      </c>
      <c r="F390" t="s">
        <v>34</v>
      </c>
      <c r="G390">
        <f>'NHL2025-26Results'!E386</f>
        <v>3</v>
      </c>
      <c r="H390">
        <f>Table3[[#This Row],[G_1]]-Table3[[#This Row],[G]]</f>
        <v>1</v>
      </c>
      <c r="I390">
        <f>HomeEdge+VLOOKUP(Table3[[#This Row],[Home]],$A$6:$B$38,2,FALSE)-VLOOKUP(Table3[[#This Row],[Visitor]],$A$6:$B$38,2,FALSE)</f>
        <v>-1.0663354382401429</v>
      </c>
      <c r="J390">
        <f>(Table3[[#This Row],[HomeMargin]]-Table3[[#This Row],[HomeForecast]])^2</f>
        <v>4.2697421433270835</v>
      </c>
    </row>
    <row r="391" spans="4:10" x14ac:dyDescent="0.2">
      <c r="D391" t="s">
        <v>27</v>
      </c>
      <c r="E391">
        <f>'NHL2025-26Results'!C387</f>
        <v>4</v>
      </c>
      <c r="F391" t="s">
        <v>30</v>
      </c>
      <c r="G391">
        <f>'NHL2025-26Results'!E387</f>
        <v>3</v>
      </c>
      <c r="H391">
        <f>Table3[[#This Row],[G_1]]-Table3[[#This Row],[G]]</f>
        <v>-1</v>
      </c>
      <c r="I391">
        <f>HomeEdge+VLOOKUP(Table3[[#This Row],[Home]],$A$6:$B$38,2,FALSE)-VLOOKUP(Table3[[#This Row],[Visitor]],$A$6:$B$38,2,FALSE)</f>
        <v>0.20870579281655827</v>
      </c>
      <c r="J391">
        <f>(Table3[[#This Row],[HomeMargin]]-Table3[[#This Row],[HomeForecast]])^2</f>
        <v>1.4609696935883048</v>
      </c>
    </row>
    <row r="392" spans="4:10" x14ac:dyDescent="0.2">
      <c r="D392" t="s">
        <v>38</v>
      </c>
      <c r="E392">
        <f>'NHL2025-26Results'!C388</f>
        <v>2</v>
      </c>
      <c r="F392" t="s">
        <v>33</v>
      </c>
      <c r="G392">
        <f>'NHL2025-26Results'!E388</f>
        <v>3</v>
      </c>
      <c r="H392">
        <f>Table3[[#This Row],[G_1]]-Table3[[#This Row],[G]]</f>
        <v>1</v>
      </c>
      <c r="I392">
        <f>HomeEdge+VLOOKUP(Table3[[#This Row],[Home]],$A$6:$B$38,2,FALSE)-VLOOKUP(Table3[[#This Row],[Visitor]],$A$6:$B$38,2,FALSE)</f>
        <v>0.82048147075793465</v>
      </c>
      <c r="J392">
        <f>(Table3[[#This Row],[HomeMargin]]-Table3[[#This Row],[HomeForecast]])^2</f>
        <v>3.2226902341234272E-2</v>
      </c>
    </row>
    <row r="393" spans="4:10" x14ac:dyDescent="0.2">
      <c r="D393" t="s">
        <v>36</v>
      </c>
      <c r="E393">
        <f>'NHL2025-26Results'!C389</f>
        <v>3</v>
      </c>
      <c r="F393" t="s">
        <v>35</v>
      </c>
      <c r="G393">
        <f>'NHL2025-26Results'!E389</f>
        <v>4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-0.76648533434519472</v>
      </c>
      <c r="J393">
        <f>(Table3[[#This Row],[HomeMargin]]-Table3[[#This Row],[HomeForecast]])^2</f>
        <v>3.1204704364566545</v>
      </c>
    </row>
    <row r="394" spans="4:10" x14ac:dyDescent="0.2">
      <c r="D394" t="s">
        <v>18</v>
      </c>
      <c r="E394">
        <f>'NHL2025-26Results'!C390</f>
        <v>4</v>
      </c>
      <c r="F394" t="s">
        <v>20</v>
      </c>
      <c r="G394">
        <f>'NHL2025-26Results'!E390</f>
        <v>1</v>
      </c>
      <c r="H394">
        <f>Table3[[#This Row],[G_1]]-Table3[[#This Row],[G]]</f>
        <v>-3</v>
      </c>
      <c r="I394">
        <f>HomeEdge+VLOOKUP(Table3[[#This Row],[Home]],$A$6:$B$38,2,FALSE)-VLOOKUP(Table3[[#This Row],[Visitor]],$A$6:$B$38,2,FALSE)</f>
        <v>0.3276505418294533</v>
      </c>
      <c r="J394">
        <f>(Table3[[#This Row],[HomeMargin]]-Table3[[#This Row],[HomeForecast]])^2</f>
        <v>11.073258128537855</v>
      </c>
    </row>
    <row r="395" spans="4:10" x14ac:dyDescent="0.2">
      <c r="D395" t="s">
        <v>19</v>
      </c>
      <c r="E395">
        <f>'NHL2025-26Results'!C391</f>
        <v>2</v>
      </c>
      <c r="F395" t="s">
        <v>22</v>
      </c>
      <c r="G395">
        <f>'NHL2025-26Results'!E391</f>
        <v>4</v>
      </c>
      <c r="H395">
        <f>Table3[[#This Row],[G_1]]-Table3[[#This Row],[G]]</f>
        <v>2</v>
      </c>
      <c r="I395">
        <f>HomeEdge+VLOOKUP(Table3[[#This Row],[Home]],$A$6:$B$38,2,FALSE)-VLOOKUP(Table3[[#This Row],[Visitor]],$A$6:$B$38,2,FALSE)</f>
        <v>0.32856543567420082</v>
      </c>
      <c r="J395">
        <f>(Table3[[#This Row],[HomeMargin]]-Table3[[#This Row],[HomeForecast]])^2</f>
        <v>2.7936935028229737</v>
      </c>
    </row>
    <row r="396" spans="4:10" x14ac:dyDescent="0.2">
      <c r="D396" t="s">
        <v>26</v>
      </c>
      <c r="E396">
        <f>'NHL2025-26Results'!C392</f>
        <v>2</v>
      </c>
      <c r="F396" t="s">
        <v>21</v>
      </c>
      <c r="G396">
        <f>'NHL2025-26Results'!E392</f>
        <v>3</v>
      </c>
      <c r="H396">
        <f>Table3[[#This Row],[G_1]]-Table3[[#This Row],[G]]</f>
        <v>1</v>
      </c>
      <c r="I396">
        <f>HomeEdge+VLOOKUP(Table3[[#This Row],[Home]],$A$6:$B$38,2,FALSE)-VLOOKUP(Table3[[#This Row],[Visitor]],$A$6:$B$38,2,FALSE)</f>
        <v>0.21412133951397549</v>
      </c>
      <c r="J396">
        <f>(Table3[[#This Row],[HomeMargin]]-Table3[[#This Row],[HomeForecast]])^2</f>
        <v>0.61760526900730817</v>
      </c>
    </row>
    <row r="397" spans="4:10" x14ac:dyDescent="0.2">
      <c r="D397" t="s">
        <v>18</v>
      </c>
      <c r="E397">
        <f>'NHL2025-26Results'!C393</f>
        <v>2</v>
      </c>
      <c r="F397" t="s">
        <v>12</v>
      </c>
      <c r="G397">
        <f>'NHL2025-26Results'!E393</f>
        <v>7</v>
      </c>
      <c r="H397">
        <f>Table3[[#This Row],[G_1]]-Table3[[#This Row],[G]]</f>
        <v>5</v>
      </c>
      <c r="I397">
        <f>HomeEdge+VLOOKUP(Table3[[#This Row],[Home]],$A$6:$B$38,2,FALSE)-VLOOKUP(Table3[[#This Row],[Visitor]],$A$6:$B$38,2,FALSE)</f>
        <v>1.5076094749767501</v>
      </c>
      <c r="J397">
        <f>(Table3[[#This Row],[HomeMargin]]-Table3[[#This Row],[HomeForecast]])^2</f>
        <v>12.196791579272173</v>
      </c>
    </row>
    <row r="398" spans="4:10" x14ac:dyDescent="0.2">
      <c r="D398" t="s">
        <v>38</v>
      </c>
      <c r="E398">
        <f>'NHL2025-26Results'!C394</f>
        <v>1</v>
      </c>
      <c r="F398" t="s">
        <v>13</v>
      </c>
      <c r="G398">
        <f>'NHL2025-26Results'!E394</f>
        <v>2</v>
      </c>
      <c r="H398">
        <f>Table3[[#This Row],[G_1]]-Table3[[#This Row],[G]]</f>
        <v>1</v>
      </c>
      <c r="I398">
        <f>HomeEdge+VLOOKUP(Table3[[#This Row],[Home]],$A$6:$B$38,2,FALSE)-VLOOKUP(Table3[[#This Row],[Visitor]],$A$6:$B$38,2,FALSE)</f>
        <v>0.91885160886197814</v>
      </c>
      <c r="J398">
        <f>(Table3[[#This Row],[HomeMargin]]-Table3[[#This Row],[HomeForecast]])^2</f>
        <v>6.5850613842893847E-3</v>
      </c>
    </row>
    <row r="399" spans="4:10" x14ac:dyDescent="0.2">
      <c r="D399" t="s">
        <v>23</v>
      </c>
      <c r="E399">
        <f>'NHL2025-26Results'!C395</f>
        <v>3</v>
      </c>
      <c r="F399" t="s">
        <v>34</v>
      </c>
      <c r="G399">
        <f>'NHL2025-26Results'!E395</f>
        <v>2</v>
      </c>
      <c r="H399">
        <f>Table3[[#This Row],[G_1]]-Table3[[#This Row],[G]]</f>
        <v>-1</v>
      </c>
      <c r="I399">
        <f>HomeEdge+VLOOKUP(Table3[[#This Row],[Home]],$A$6:$B$38,2,FALSE)-VLOOKUP(Table3[[#This Row],[Visitor]],$A$6:$B$38,2,FALSE)</f>
        <v>8.1502435388644739E-2</v>
      </c>
      <c r="J399">
        <f>(Table3[[#This Row],[HomeMargin]]-Table3[[#This Row],[HomeForecast]])^2</f>
        <v>1.1696475177515695</v>
      </c>
    </row>
    <row r="400" spans="4:10" x14ac:dyDescent="0.2">
      <c r="D400" t="s">
        <v>27</v>
      </c>
      <c r="E400">
        <f>'NHL2025-26Results'!C396</f>
        <v>5</v>
      </c>
      <c r="F400" t="s">
        <v>24</v>
      </c>
      <c r="G400">
        <f>'NHL2025-26Results'!E396</f>
        <v>3</v>
      </c>
      <c r="H400">
        <f>Table3[[#This Row],[G_1]]-Table3[[#This Row],[G]]</f>
        <v>-2</v>
      </c>
      <c r="I400">
        <f>HomeEdge+VLOOKUP(Table3[[#This Row],[Home]],$A$6:$B$38,2,FALSE)-VLOOKUP(Table3[[#This Row],[Visitor]],$A$6:$B$38,2,FALSE)</f>
        <v>-0.10932699206566282</v>
      </c>
      <c r="J400">
        <f>(Table3[[#This Row],[HomeMargin]]-Table3[[#This Row],[HomeForecast]])^2</f>
        <v>3.5746444229314744</v>
      </c>
    </row>
    <row r="401" spans="4:10" x14ac:dyDescent="0.2">
      <c r="D401" t="s">
        <v>40</v>
      </c>
      <c r="E401">
        <f>'NHL2025-26Results'!C397</f>
        <v>5</v>
      </c>
      <c r="F401" t="s">
        <v>29</v>
      </c>
      <c r="G401">
        <f>'NHL2025-26Results'!E397</f>
        <v>2</v>
      </c>
      <c r="H401">
        <f>Table3[[#This Row],[G_1]]-Table3[[#This Row],[G]]</f>
        <v>-3</v>
      </c>
      <c r="I401">
        <f>HomeEdge+VLOOKUP(Table3[[#This Row],[Home]],$A$6:$B$38,2,FALSE)-VLOOKUP(Table3[[#This Row],[Visitor]],$A$6:$B$38,2,FALSE)</f>
        <v>-0.17324866614659901</v>
      </c>
      <c r="J401">
        <f>(Table3[[#This Row],[HomeMargin]]-Table3[[#This Row],[HomeForecast]])^2</f>
        <v>7.9905231034419826</v>
      </c>
    </row>
    <row r="402" spans="4:10" x14ac:dyDescent="0.2">
      <c r="D402" t="s">
        <v>37</v>
      </c>
      <c r="E402">
        <f>'NHL2025-26Results'!C398</f>
        <v>4</v>
      </c>
      <c r="F402" t="s">
        <v>15</v>
      </c>
      <c r="G402">
        <f>'NHL2025-26Results'!E398</f>
        <v>1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-1.1971017852649792</v>
      </c>
      <c r="J402">
        <f>(Table3[[#This Row],[HomeMargin]]-Table3[[#This Row],[HomeForecast]])^2</f>
        <v>3.2504419726947251</v>
      </c>
    </row>
    <row r="403" spans="4:10" x14ac:dyDescent="0.2">
      <c r="D403" t="s">
        <v>19</v>
      </c>
      <c r="E403">
        <f>'NHL2025-26Results'!C399</f>
        <v>7</v>
      </c>
      <c r="F403" t="s">
        <v>14</v>
      </c>
      <c r="G403">
        <f>'NHL2025-26Results'!E399</f>
        <v>2</v>
      </c>
      <c r="H403">
        <f>Table3[[#This Row],[G_1]]-Table3[[#This Row],[G]]</f>
        <v>-5</v>
      </c>
      <c r="I403">
        <f>HomeEdge+VLOOKUP(Table3[[#This Row],[Home]],$A$6:$B$38,2,FALSE)-VLOOKUP(Table3[[#This Row],[Visitor]],$A$6:$B$38,2,FALSE)</f>
        <v>0.41775771728730754</v>
      </c>
      <c r="J403">
        <f>(Table3[[#This Row],[HomeMargin]]-Table3[[#This Row],[HomeForecast]])^2</f>
        <v>29.352098683226178</v>
      </c>
    </row>
    <row r="404" spans="4:10" x14ac:dyDescent="0.2">
      <c r="D404" t="s">
        <v>17</v>
      </c>
      <c r="E404">
        <f>'NHL2025-26Results'!C400</f>
        <v>4</v>
      </c>
      <c r="F404" t="s">
        <v>32</v>
      </c>
      <c r="G404">
        <f>'NHL2025-26Results'!E400</f>
        <v>0</v>
      </c>
      <c r="H404">
        <f>Table3[[#This Row],[G_1]]-Table3[[#This Row],[G]]</f>
        <v>-4</v>
      </c>
      <c r="I404">
        <f>HomeEdge+VLOOKUP(Table3[[#This Row],[Home]],$A$6:$B$38,2,FALSE)-VLOOKUP(Table3[[#This Row],[Visitor]],$A$6:$B$38,2,FALSE)</f>
        <v>-0.27456265852130723</v>
      </c>
      <c r="J404">
        <f>(Table3[[#This Row],[HomeMargin]]-Table3[[#This Row],[HomeForecast]])^2</f>
        <v>13.87888338528383</v>
      </c>
    </row>
    <row r="405" spans="4:10" x14ac:dyDescent="0.2">
      <c r="D405" t="s">
        <v>55</v>
      </c>
      <c r="E405">
        <f>'NHL2025-26Results'!C401</f>
        <v>0</v>
      </c>
      <c r="F405" t="s">
        <v>35</v>
      </c>
      <c r="G405">
        <f>'NHL2025-26Results'!E401</f>
        <v>1</v>
      </c>
      <c r="H405">
        <f>Table3[[#This Row],[G_1]]-Table3[[#This Row],[G]]</f>
        <v>1</v>
      </c>
      <c r="I405">
        <f>HomeEdge+VLOOKUP(Table3[[#This Row],[Home]],$A$6:$B$38,2,FALSE)-VLOOKUP(Table3[[#This Row],[Visitor]],$A$6:$B$38,2,FALSE)</f>
        <v>-1.2909445908261257</v>
      </c>
      <c r="J405">
        <f>(Table3[[#This Row],[HomeMargin]]-Table3[[#This Row],[HomeForecast]])^2</f>
        <v>5.2484271182354831</v>
      </c>
    </row>
    <row r="406" spans="4:10" x14ac:dyDescent="0.2">
      <c r="D406" t="s">
        <v>33</v>
      </c>
      <c r="E406">
        <f>'NHL2025-26Results'!C402</f>
        <v>3</v>
      </c>
      <c r="F406" t="s">
        <v>20</v>
      </c>
      <c r="G406">
        <f>'NHL2025-26Results'!E402</f>
        <v>4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0.62581531565528004</v>
      </c>
      <c r="J406">
        <f>(Table3[[#This Row],[HomeMargin]]-Table3[[#This Row],[HomeForecast]])^2</f>
        <v>0.14001417799815771</v>
      </c>
    </row>
    <row r="407" spans="4:10" x14ac:dyDescent="0.2">
      <c r="D407" t="s">
        <v>16</v>
      </c>
      <c r="E407">
        <f>'NHL2025-26Results'!C403</f>
        <v>0</v>
      </c>
      <c r="F407" t="s">
        <v>25</v>
      </c>
      <c r="G407">
        <f>'NHL2025-26Results'!E403</f>
        <v>1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1.1827348822213186</v>
      </c>
      <c r="J407">
        <f>(Table3[[#This Row],[HomeMargin]]-Table3[[#This Row],[HomeForecast]])^2</f>
        <v>3.3392037180439184E-2</v>
      </c>
    </row>
    <row r="408" spans="4:10" x14ac:dyDescent="0.2">
      <c r="D408" t="s">
        <v>31</v>
      </c>
      <c r="E408">
        <f>'NHL2025-26Results'!C404</f>
        <v>3</v>
      </c>
      <c r="F408" t="s">
        <v>10</v>
      </c>
      <c r="G408">
        <f>'NHL2025-26Results'!E404</f>
        <v>5</v>
      </c>
      <c r="H408">
        <f>Table3[[#This Row],[G_1]]-Table3[[#This Row],[G]]</f>
        <v>2</v>
      </c>
      <c r="I408">
        <f>HomeEdge+VLOOKUP(Table3[[#This Row],[Home]],$A$6:$B$38,2,FALSE)-VLOOKUP(Table3[[#This Row],[Visitor]],$A$6:$B$38,2,FALSE)</f>
        <v>-0.22569947857936468</v>
      </c>
      <c r="J408">
        <f>(Table3[[#This Row],[HomeMargin]]-Table3[[#This Row],[HomeForecast]])^2</f>
        <v>4.9537381689484556</v>
      </c>
    </row>
    <row r="409" spans="4:10" x14ac:dyDescent="0.2">
      <c r="D409" t="s">
        <v>36</v>
      </c>
      <c r="E409">
        <f>'NHL2025-26Results'!C405</f>
        <v>1</v>
      </c>
      <c r="F409" t="s">
        <v>39</v>
      </c>
      <c r="G409">
        <f>'NHL2025-26Results'!E405</f>
        <v>6</v>
      </c>
      <c r="H409">
        <f>Table3[[#This Row],[G_1]]-Table3[[#This Row],[G]]</f>
        <v>5</v>
      </c>
      <c r="I409">
        <f>HomeEdge+VLOOKUP(Table3[[#This Row],[Home]],$A$6:$B$38,2,FALSE)-VLOOKUP(Table3[[#This Row],[Visitor]],$A$6:$B$38,2,FALSE)</f>
        <v>0.71247326052686799</v>
      </c>
      <c r="J409">
        <f>(Table3[[#This Row],[HomeMargin]]-Table3[[#This Row],[HomeForecast]])^2</f>
        <v>18.382885541697107</v>
      </c>
    </row>
    <row r="410" spans="4:10" x14ac:dyDescent="0.2">
      <c r="D410" t="s">
        <v>22</v>
      </c>
      <c r="E410">
        <f>'NHL2025-26Results'!C406</f>
        <v>4</v>
      </c>
      <c r="F410" t="s">
        <v>30</v>
      </c>
      <c r="G410">
        <f>'NHL2025-26Results'!E406</f>
        <v>1</v>
      </c>
      <c r="H410">
        <f>Table3[[#This Row],[G_1]]-Table3[[#This Row],[G]]</f>
        <v>-3</v>
      </c>
      <c r="I410">
        <f>HomeEdge+VLOOKUP(Table3[[#This Row],[Home]],$A$6:$B$38,2,FALSE)-VLOOKUP(Table3[[#This Row],[Visitor]],$A$6:$B$38,2,FALSE)</f>
        <v>-2.3957521358103723E-2</v>
      </c>
      <c r="J410">
        <f>(Table3[[#This Row],[HomeMargin]]-Table3[[#This Row],[HomeForecast]])^2</f>
        <v>8.8568288346810018</v>
      </c>
    </row>
    <row r="411" spans="4:10" x14ac:dyDescent="0.2">
      <c r="D411" t="s">
        <v>40</v>
      </c>
      <c r="E411">
        <f>'NHL2025-26Results'!C407</f>
        <v>1</v>
      </c>
      <c r="F411" t="s">
        <v>23</v>
      </c>
      <c r="G411">
        <f>'NHL2025-26Results'!E407</f>
        <v>5</v>
      </c>
      <c r="H411">
        <f>Table3[[#This Row],[G_1]]-Table3[[#This Row],[G]]</f>
        <v>4</v>
      </c>
      <c r="I411">
        <f>HomeEdge+VLOOKUP(Table3[[#This Row],[Home]],$A$6:$B$38,2,FALSE)-VLOOKUP(Table3[[#This Row],[Visitor]],$A$6:$B$38,2,FALSE)</f>
        <v>0.59723460792034588</v>
      </c>
      <c r="J411">
        <f>(Table3[[#This Row],[HomeMargin]]-Table3[[#This Row],[HomeForecast]])^2</f>
        <v>11.578812313535002</v>
      </c>
    </row>
    <row r="412" spans="4:10" x14ac:dyDescent="0.2">
      <c r="D412" t="s">
        <v>28</v>
      </c>
      <c r="E412">
        <f>'NHL2025-26Results'!C408</f>
        <v>5</v>
      </c>
      <c r="F412" t="s">
        <v>24</v>
      </c>
      <c r="G412">
        <f>'NHL2025-26Results'!E408</f>
        <v>3</v>
      </c>
      <c r="H412">
        <f>Table3[[#This Row],[G_1]]-Table3[[#This Row],[G]]</f>
        <v>-2</v>
      </c>
      <c r="I412">
        <f>HomeEdge+VLOOKUP(Table3[[#This Row],[Home]],$A$6:$B$38,2,FALSE)-VLOOKUP(Table3[[#This Row],[Visitor]],$A$6:$B$38,2,FALSE)</f>
        <v>-5.3034790688495925E-3</v>
      </c>
      <c r="J412">
        <f>(Table3[[#This Row],[HomeMargin]]-Table3[[#This Row],[HomeForecast]])^2</f>
        <v>3.9788142106148356</v>
      </c>
    </row>
    <row r="413" spans="4:10" x14ac:dyDescent="0.2">
      <c r="D413" t="s">
        <v>14</v>
      </c>
      <c r="E413">
        <f>'NHL2025-26Results'!C409</f>
        <v>5</v>
      </c>
      <c r="F413" t="s">
        <v>27</v>
      </c>
      <c r="G413">
        <f>'NHL2025-26Results'!E409</f>
        <v>1</v>
      </c>
      <c r="H413">
        <f>Table3[[#This Row],[G_1]]-Table3[[#This Row],[G]]</f>
        <v>-4</v>
      </c>
      <c r="I413">
        <f>HomeEdge+VLOOKUP(Table3[[#This Row],[Home]],$A$6:$B$38,2,FALSE)-VLOOKUP(Table3[[#This Row],[Visitor]],$A$6:$B$38,2,FALSE)</f>
        <v>-0.22588560061710547</v>
      </c>
      <c r="J413">
        <f>(Table3[[#This Row],[HomeMargin]]-Table3[[#This Row],[HomeForecast]])^2</f>
        <v>14.243939499629308</v>
      </c>
    </row>
    <row r="414" spans="4:10" x14ac:dyDescent="0.2">
      <c r="D414" t="s">
        <v>55</v>
      </c>
      <c r="E414">
        <f>'NHL2025-26Results'!C410</f>
        <v>3</v>
      </c>
      <c r="F414" t="s">
        <v>33</v>
      </c>
      <c r="G414">
        <f>'NHL2025-26Results'!E410</f>
        <v>6</v>
      </c>
      <c r="H414">
        <f>Table3[[#This Row],[G_1]]-Table3[[#This Row],[G]]</f>
        <v>3</v>
      </c>
      <c r="I414">
        <f>HomeEdge+VLOOKUP(Table3[[#This Row],[Home]],$A$6:$B$38,2,FALSE)-VLOOKUP(Table3[[#This Row],[Visitor]],$A$6:$B$38,2,FALSE)</f>
        <v>-0.55920152784623545</v>
      </c>
      <c r="J414">
        <f>(Table3[[#This Row],[HomeMargin]]-Table3[[#This Row],[HomeForecast]])^2</f>
        <v>12.667915515822976</v>
      </c>
    </row>
    <row r="415" spans="4:10" x14ac:dyDescent="0.2">
      <c r="D415" t="s">
        <v>31</v>
      </c>
      <c r="E415">
        <f>'NHL2025-26Results'!C411</f>
        <v>4</v>
      </c>
      <c r="F415" t="s">
        <v>35</v>
      </c>
      <c r="G415">
        <f>'NHL2025-26Results'!E411</f>
        <v>1</v>
      </c>
      <c r="H415">
        <f>Table3[[#This Row],[G_1]]-Table3[[#This Row],[G]]</f>
        <v>-3</v>
      </c>
      <c r="I415">
        <f>HomeEdge+VLOOKUP(Table3[[#This Row],[Home]],$A$6:$B$38,2,FALSE)-VLOOKUP(Table3[[#This Row],[Visitor]],$A$6:$B$38,2,FALSE)</f>
        <v>-0.78749890742697615</v>
      </c>
      <c r="J415">
        <f>(Table3[[#This Row],[HomeMargin]]-Table3[[#This Row],[HomeForecast]])^2</f>
        <v>4.8951610846368245</v>
      </c>
    </row>
    <row r="416" spans="4:10" x14ac:dyDescent="0.2">
      <c r="D416" t="s">
        <v>38</v>
      </c>
      <c r="E416">
        <f>'NHL2025-26Results'!C412</f>
        <v>1</v>
      </c>
      <c r="F416" t="s">
        <v>12</v>
      </c>
      <c r="G416">
        <f>'NHL2025-26Results'!E412</f>
        <v>3</v>
      </c>
      <c r="H416">
        <f>Table3[[#This Row],[G_1]]-Table3[[#This Row],[G]]</f>
        <v>2</v>
      </c>
      <c r="I416">
        <f>HomeEdge+VLOOKUP(Table3[[#This Row],[Home]],$A$6:$B$38,2,FALSE)-VLOOKUP(Table3[[#This Row],[Visitor]],$A$6:$B$38,2,FALSE)</f>
        <v>2.5302857243898482</v>
      </c>
      <c r="J416">
        <f>(Table3[[#This Row],[HomeMargin]]-Table3[[#This Row],[HomeForecast]])^2</f>
        <v>0.28120294949166608</v>
      </c>
    </row>
    <row r="417" spans="4:10" x14ac:dyDescent="0.2">
      <c r="D417" t="s">
        <v>21</v>
      </c>
      <c r="E417">
        <f>'NHL2025-26Results'!C413</f>
        <v>4</v>
      </c>
      <c r="F417" t="s">
        <v>26</v>
      </c>
      <c r="G417">
        <f>'NHL2025-26Results'!E413</f>
        <v>5</v>
      </c>
      <c r="H417">
        <f>Table3[[#This Row],[G_1]]-Table3[[#This Row],[G]]</f>
        <v>1</v>
      </c>
      <c r="I417">
        <f>HomeEdge+VLOOKUP(Table3[[#This Row],[Home]],$A$6:$B$38,2,FALSE)-VLOOKUP(Table3[[#This Row],[Visitor]],$A$6:$B$38,2,FALSE)</f>
        <v>-2.2181349172648988E-2</v>
      </c>
      <c r="J417">
        <f>(Table3[[#This Row],[HomeMargin]]-Table3[[#This Row],[HomeForecast]])^2</f>
        <v>1.044854710596417</v>
      </c>
    </row>
    <row r="418" spans="4:10" x14ac:dyDescent="0.2">
      <c r="D418" t="s">
        <v>34</v>
      </c>
      <c r="E418">
        <f>'NHL2025-26Results'!C414</f>
        <v>1</v>
      </c>
      <c r="F418" t="s">
        <v>17</v>
      </c>
      <c r="G418">
        <f>'NHL2025-26Results'!E414</f>
        <v>0</v>
      </c>
      <c r="H418">
        <f>Table3[[#This Row],[G_1]]-Table3[[#This Row],[G]]</f>
        <v>-1</v>
      </c>
      <c r="I418">
        <f>HomeEdge+VLOOKUP(Table3[[#This Row],[Home]],$A$6:$B$38,2,FALSE)-VLOOKUP(Table3[[#This Row],[Visitor]],$A$6:$B$38,2,FALSE)</f>
        <v>-0.1173206175275479</v>
      </c>
      <c r="J418">
        <f>(Table3[[#This Row],[HomeMargin]]-Table3[[#This Row],[HomeForecast]])^2</f>
        <v>0.77912289224194942</v>
      </c>
    </row>
    <row r="419" spans="4:10" x14ac:dyDescent="0.2">
      <c r="D419" t="s">
        <v>19</v>
      </c>
      <c r="E419">
        <f>'NHL2025-26Results'!C415</f>
        <v>4</v>
      </c>
      <c r="F419" t="s">
        <v>11</v>
      </c>
      <c r="G419">
        <f>'NHL2025-26Results'!E415</f>
        <v>1</v>
      </c>
      <c r="H419">
        <f>Table3[[#This Row],[G_1]]-Table3[[#This Row],[G]]</f>
        <v>-3</v>
      </c>
      <c r="I419">
        <f>HomeEdge+VLOOKUP(Table3[[#This Row],[Home]],$A$6:$B$38,2,FALSE)-VLOOKUP(Table3[[#This Row],[Visitor]],$A$6:$B$38,2,FALSE)</f>
        <v>-6.0275690288631445E-3</v>
      </c>
      <c r="J419">
        <f>(Table3[[#This Row],[HomeMargin]]-Table3[[#This Row],[HomeForecast]])^2</f>
        <v>8.9638709174152194</v>
      </c>
    </row>
    <row r="420" spans="4:10" x14ac:dyDescent="0.2">
      <c r="D420" t="s">
        <v>22</v>
      </c>
      <c r="E420">
        <f>'NHL2025-26Results'!C416</f>
        <v>3</v>
      </c>
      <c r="F420" t="s">
        <v>13</v>
      </c>
      <c r="G420">
        <f>'NHL2025-26Results'!E416</f>
        <v>1</v>
      </c>
      <c r="H420">
        <f>Table3[[#This Row],[G_1]]-Table3[[#This Row],[G]]</f>
        <v>-2</v>
      </c>
      <c r="I420">
        <f>HomeEdge+VLOOKUP(Table3[[#This Row],[Home]],$A$6:$B$38,2,FALSE)-VLOOKUP(Table3[[#This Row],[Visitor]],$A$6:$B$38,2,FALSE)</f>
        <v>-0.2511196244920304</v>
      </c>
      <c r="J420">
        <f>(Table3[[#This Row],[HomeMargin]]-Table3[[#This Row],[HomeForecast]])^2</f>
        <v>3.0585825678368965</v>
      </c>
    </row>
    <row r="421" spans="4:10" x14ac:dyDescent="0.2">
      <c r="D421" t="s">
        <v>36</v>
      </c>
      <c r="E421">
        <f>'NHL2025-26Results'!C417</f>
        <v>5</v>
      </c>
      <c r="F421" t="s">
        <v>18</v>
      </c>
      <c r="G421">
        <f>'NHL2025-26Results'!E417</f>
        <v>2</v>
      </c>
      <c r="H421">
        <f>Table3[[#This Row],[G_1]]-Table3[[#This Row],[G]]</f>
        <v>-3</v>
      </c>
      <c r="I421">
        <f>HomeEdge+VLOOKUP(Table3[[#This Row],[Home]],$A$6:$B$38,2,FALSE)-VLOOKUP(Table3[[#This Row],[Visitor]],$A$6:$B$38,2,FALSE)</f>
        <v>0.26342250246052218</v>
      </c>
      <c r="J421">
        <f>(Table3[[#This Row],[HomeMargin]]-Table3[[#This Row],[HomeForecast]])^2</f>
        <v>10.649926429565697</v>
      </c>
    </row>
    <row r="422" spans="4:10" x14ac:dyDescent="0.2">
      <c r="D422" t="s">
        <v>16</v>
      </c>
      <c r="E422">
        <f>'NHL2025-26Results'!C418</f>
        <v>1</v>
      </c>
      <c r="F422" t="s">
        <v>29</v>
      </c>
      <c r="G422">
        <f>'NHL2025-26Results'!E418</f>
        <v>5</v>
      </c>
      <c r="H422">
        <f>Table3[[#This Row],[G_1]]-Table3[[#This Row],[G]]</f>
        <v>4</v>
      </c>
      <c r="I422">
        <f>HomeEdge+VLOOKUP(Table3[[#This Row],[Home]],$A$6:$B$38,2,FALSE)-VLOOKUP(Table3[[#This Row],[Visitor]],$A$6:$B$38,2,FALSE)</f>
        <v>0.14432251696478493</v>
      </c>
      <c r="J422">
        <f>(Table3[[#This Row],[HomeMargin]]-Table3[[#This Row],[HomeForecast]])^2</f>
        <v>14.86624885318477</v>
      </c>
    </row>
    <row r="423" spans="4:10" x14ac:dyDescent="0.2">
      <c r="D423" t="s">
        <v>37</v>
      </c>
      <c r="E423">
        <f>'NHL2025-26Results'!C419</f>
        <v>1</v>
      </c>
      <c r="F423" t="s">
        <v>30</v>
      </c>
      <c r="G423">
        <f>'NHL2025-26Results'!E419</f>
        <v>2</v>
      </c>
      <c r="H423">
        <f>Table3[[#This Row],[G_1]]-Table3[[#This Row],[G]]</f>
        <v>1</v>
      </c>
      <c r="I423">
        <f>HomeEdge+VLOOKUP(Table3[[#This Row],[Home]],$A$6:$B$38,2,FALSE)-VLOOKUP(Table3[[#This Row],[Visitor]],$A$6:$B$38,2,FALSE)</f>
        <v>-0.7665227600872504</v>
      </c>
      <c r="J423">
        <f>(Table3[[#This Row],[HomeMargin]]-Table3[[#This Row],[HomeForecast]])^2</f>
        <v>3.1206026619062772</v>
      </c>
    </row>
    <row r="424" spans="4:10" x14ac:dyDescent="0.2">
      <c r="D424" t="s">
        <v>39</v>
      </c>
      <c r="E424">
        <f>'NHL2025-26Results'!C420</f>
        <v>2</v>
      </c>
      <c r="F424" t="s">
        <v>15</v>
      </c>
      <c r="G424">
        <f>'NHL2025-26Results'!E420</f>
        <v>3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-0.75629232066126795</v>
      </c>
      <c r="J424">
        <f>(Table3[[#This Row],[HomeMargin]]-Table3[[#This Row],[HomeForecast]])^2</f>
        <v>3.0845627156137421</v>
      </c>
    </row>
    <row r="425" spans="4:10" x14ac:dyDescent="0.2">
      <c r="D425" t="s">
        <v>10</v>
      </c>
      <c r="E425">
        <f>'NHL2025-26Results'!C421</f>
        <v>3</v>
      </c>
      <c r="F425" t="s">
        <v>20</v>
      </c>
      <c r="G425">
        <f>'NHL2025-26Results'!E421</f>
        <v>4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0.79575894978755879</v>
      </c>
      <c r="J425">
        <f>(Table3[[#This Row],[HomeMargin]]-Table3[[#This Row],[HomeForecast]])^2</f>
        <v>4.1714406591880929E-2</v>
      </c>
    </row>
    <row r="426" spans="4:10" x14ac:dyDescent="0.2">
      <c r="D426" t="s">
        <v>55</v>
      </c>
      <c r="E426">
        <f>'NHL2025-26Results'!C422</f>
        <v>7</v>
      </c>
      <c r="F426" t="s">
        <v>31</v>
      </c>
      <c r="G426">
        <f>'NHL2025-26Results'!E422</f>
        <v>0</v>
      </c>
      <c r="H426">
        <f>Table3[[#This Row],[G_1]]-Table3[[#This Row],[G]]</f>
        <v>-7</v>
      </c>
      <c r="I426">
        <f>HomeEdge+VLOOKUP(Table3[[#This Row],[Home]],$A$6:$B$38,2,FALSE)-VLOOKUP(Table3[[#This Row],[Visitor]],$A$6:$B$38,2,FALSE)</f>
        <v>-0.40747568822848623</v>
      </c>
      <c r="J426">
        <f>(Table3[[#This Row],[HomeMargin]]-Table3[[#This Row],[HomeForecast]])^2</f>
        <v>43.461376801298471</v>
      </c>
    </row>
    <row r="427" spans="4:10" x14ac:dyDescent="0.2">
      <c r="D427" t="s">
        <v>40</v>
      </c>
      <c r="E427">
        <f>'NHL2025-26Results'!C423</f>
        <v>2</v>
      </c>
      <c r="F427" t="s">
        <v>18</v>
      </c>
      <c r="G427">
        <f>'NHL2025-26Results'!E423</f>
        <v>3</v>
      </c>
      <c r="H427">
        <f>Table3[[#This Row],[G_1]]-Table3[[#This Row],[G]]</f>
        <v>1</v>
      </c>
      <c r="I427">
        <f>HomeEdge+VLOOKUP(Table3[[#This Row],[Home]],$A$6:$B$38,2,FALSE)-VLOOKUP(Table3[[#This Row],[Visitor]],$A$6:$B$38,2,FALSE)</f>
        <v>0.33343300174304674</v>
      </c>
      <c r="J427">
        <f>(Table3[[#This Row],[HomeMargin]]-Table3[[#This Row],[HomeForecast]])^2</f>
        <v>0.44431156316528519</v>
      </c>
    </row>
    <row r="428" spans="4:10" x14ac:dyDescent="0.2">
      <c r="D428" t="s">
        <v>39</v>
      </c>
      <c r="E428">
        <f>'NHL2025-26Results'!C424</f>
        <v>3</v>
      </c>
      <c r="F428" t="s">
        <v>24</v>
      </c>
      <c r="G428">
        <f>'NHL2025-26Results'!E424</f>
        <v>0</v>
      </c>
      <c r="H428">
        <f>Table3[[#This Row],[G_1]]-Table3[[#This Row],[G]]</f>
        <v>-3</v>
      </c>
      <c r="I428">
        <f>HomeEdge+VLOOKUP(Table3[[#This Row],[Home]],$A$6:$B$38,2,FALSE)-VLOOKUP(Table3[[#This Row],[Visitor]],$A$6:$B$38,2,FALSE)</f>
        <v>-0.64374608036576031</v>
      </c>
      <c r="J428">
        <f>(Table3[[#This Row],[HomeMargin]]-Table3[[#This Row],[HomeForecast]])^2</f>
        <v>5.5519325337917174</v>
      </c>
    </row>
    <row r="429" spans="4:10" x14ac:dyDescent="0.2">
      <c r="D429" t="s">
        <v>23</v>
      </c>
      <c r="E429">
        <f>'NHL2025-26Results'!C425</f>
        <v>2</v>
      </c>
      <c r="F429" t="s">
        <v>27</v>
      </c>
      <c r="G429">
        <f>'NHL2025-26Results'!E425</f>
        <v>5</v>
      </c>
      <c r="H429">
        <f>Table3[[#This Row],[G_1]]-Table3[[#This Row],[G]]</f>
        <v>3</v>
      </c>
      <c r="I429">
        <f>HomeEdge+VLOOKUP(Table3[[#This Row],[Home]],$A$6:$B$38,2,FALSE)-VLOOKUP(Table3[[#This Row],[Visitor]],$A$6:$B$38,2,FALSE)</f>
        <v>-0.25319994124038758</v>
      </c>
      <c r="J429">
        <f>(Table3[[#This Row],[HomeMargin]]-Table3[[#This Row],[HomeForecast]])^2</f>
        <v>10.58330985768646</v>
      </c>
    </row>
    <row r="430" spans="4:10" x14ac:dyDescent="0.2">
      <c r="D430" t="s">
        <v>22</v>
      </c>
      <c r="E430">
        <f>'NHL2025-26Results'!C426</f>
        <v>7</v>
      </c>
      <c r="F430" t="s">
        <v>33</v>
      </c>
      <c r="G430">
        <f>'NHL2025-26Results'!E426</f>
        <v>1</v>
      </c>
      <c r="H430">
        <f>Table3[[#This Row],[G_1]]-Table3[[#This Row],[G]]</f>
        <v>-6</v>
      </c>
      <c r="I430">
        <f>HomeEdge+VLOOKUP(Table3[[#This Row],[Home]],$A$6:$B$38,2,FALSE)-VLOOKUP(Table3[[#This Row],[Visitor]],$A$6:$B$38,2,FALSE)</f>
        <v>-0.34948976259607395</v>
      </c>
      <c r="J430">
        <f>(Table3[[#This Row],[HomeMargin]]-Table3[[#This Row],[HomeForecast]])^2</f>
        <v>31.928265943006576</v>
      </c>
    </row>
    <row r="431" spans="4:10" x14ac:dyDescent="0.2">
      <c r="D431" t="s">
        <v>35</v>
      </c>
      <c r="E431">
        <f>'NHL2025-26Results'!C427</f>
        <v>2</v>
      </c>
      <c r="F431" t="s">
        <v>21</v>
      </c>
      <c r="G431">
        <f>'NHL2025-26Results'!E427</f>
        <v>5</v>
      </c>
      <c r="H431">
        <f>Table3[[#This Row],[G_1]]-Table3[[#This Row],[G]]</f>
        <v>3</v>
      </c>
      <c r="I431">
        <f>HomeEdge+VLOOKUP(Table3[[#This Row],[Home]],$A$6:$B$38,2,FALSE)-VLOOKUP(Table3[[#This Row],[Visitor]],$A$6:$B$38,2,FALSE)</f>
        <v>1.3072847525714439</v>
      </c>
      <c r="J431">
        <f>(Table3[[#This Row],[HomeMargin]]-Table3[[#This Row],[HomeForecast]])^2</f>
        <v>2.865284908877118</v>
      </c>
    </row>
    <row r="432" spans="4:10" x14ac:dyDescent="0.2">
      <c r="D432" t="s">
        <v>19</v>
      </c>
      <c r="E432">
        <f>'NHL2025-26Results'!C428</f>
        <v>5</v>
      </c>
      <c r="F432" t="s">
        <v>25</v>
      </c>
      <c r="G432">
        <f>'NHL2025-26Results'!E428</f>
        <v>1</v>
      </c>
      <c r="H432">
        <f>Table3[[#This Row],[G_1]]-Table3[[#This Row],[G]]</f>
        <v>-4</v>
      </c>
      <c r="I432">
        <f>HomeEdge+VLOOKUP(Table3[[#This Row],[Home]],$A$6:$B$38,2,FALSE)-VLOOKUP(Table3[[#This Row],[Visitor]],$A$6:$B$38,2,FALSE)</f>
        <v>0.71300114910017842</v>
      </c>
      <c r="J432">
        <f>(Table3[[#This Row],[HomeMargin]]-Table3[[#This Row],[HomeForecast]])^2</f>
        <v>22.212379831419604</v>
      </c>
    </row>
    <row r="433" spans="4:10" x14ac:dyDescent="0.2">
      <c r="D433" t="s">
        <v>26</v>
      </c>
      <c r="E433">
        <f>'NHL2025-26Results'!C429</f>
        <v>5</v>
      </c>
      <c r="F433" t="s">
        <v>28</v>
      </c>
      <c r="G433">
        <f>'NHL2025-26Results'!E429</f>
        <v>6</v>
      </c>
      <c r="H433">
        <f>Table3[[#This Row],[G_1]]-Table3[[#This Row],[G]]</f>
        <v>1</v>
      </c>
      <c r="I433">
        <f>HomeEdge+VLOOKUP(Table3[[#This Row],[Home]],$A$6:$B$38,2,FALSE)-VLOOKUP(Table3[[#This Row],[Visitor]],$A$6:$B$38,2,FALSE)</f>
        <v>-0.15667742431165316</v>
      </c>
      <c r="J433">
        <f>(Table3[[#This Row],[HomeMargin]]-Table3[[#This Row],[HomeForecast]])^2</f>
        <v>1.33790266391224</v>
      </c>
    </row>
    <row r="434" spans="4:10" x14ac:dyDescent="0.2">
      <c r="D434" t="s">
        <v>34</v>
      </c>
      <c r="E434">
        <f>'NHL2025-26Results'!C430</f>
        <v>1</v>
      </c>
      <c r="F434" t="s">
        <v>16</v>
      </c>
      <c r="G434">
        <f>'NHL2025-26Results'!E430</f>
        <v>4</v>
      </c>
      <c r="H434">
        <f>Table3[[#This Row],[G_1]]-Table3[[#This Row],[G]]</f>
        <v>3</v>
      </c>
      <c r="I434">
        <f>HomeEdge+VLOOKUP(Table3[[#This Row],[Home]],$A$6:$B$38,2,FALSE)-VLOOKUP(Table3[[#This Row],[Visitor]],$A$6:$B$38,2,FALSE)</f>
        <v>-0.70839824090838488</v>
      </c>
      <c r="J434">
        <f>(Table3[[#This Row],[HomeMargin]]-Table3[[#This Row],[HomeForecast]])^2</f>
        <v>13.752217513172402</v>
      </c>
    </row>
    <row r="435" spans="4:10" x14ac:dyDescent="0.2">
      <c r="D435" t="s">
        <v>32</v>
      </c>
      <c r="E435">
        <f>'NHL2025-26Results'!C431</f>
        <v>4</v>
      </c>
      <c r="F435" t="s">
        <v>17</v>
      </c>
      <c r="G435">
        <f>'NHL2025-26Results'!E431</f>
        <v>9</v>
      </c>
      <c r="H435">
        <f>Table3[[#This Row],[G_1]]-Table3[[#This Row],[G]]</f>
        <v>5</v>
      </c>
      <c r="I435">
        <f>HomeEdge+VLOOKUP(Table3[[#This Row],[Home]],$A$6:$B$38,2,FALSE)-VLOOKUP(Table3[[#This Row],[Visitor]],$A$6:$B$38,2,FALSE)</f>
        <v>0.46650264886263371</v>
      </c>
      <c r="J435">
        <f>(Table3[[#This Row],[HomeMargin]]-Table3[[#This Row],[HomeForecast]])^2</f>
        <v>20.552598232769515</v>
      </c>
    </row>
    <row r="436" spans="4:10" x14ac:dyDescent="0.2">
      <c r="D436" t="s">
        <v>29</v>
      </c>
      <c r="E436">
        <f>'NHL2025-26Results'!C432</f>
        <v>2</v>
      </c>
      <c r="F436" t="s">
        <v>11</v>
      </c>
      <c r="G436">
        <f>'NHL2025-26Results'!E432</f>
        <v>1</v>
      </c>
      <c r="H436">
        <f>Table3[[#This Row],[G_1]]-Table3[[#This Row],[G]]</f>
        <v>-1</v>
      </c>
      <c r="I436">
        <f>HomeEdge+VLOOKUP(Table3[[#This Row],[Home]],$A$6:$B$38,2,FALSE)-VLOOKUP(Table3[[#This Row],[Visitor]],$A$6:$B$38,2,FALSE)</f>
        <v>0.41535364229815547</v>
      </c>
      <c r="J436">
        <f>(Table3[[#This Row],[HomeMargin]]-Table3[[#This Row],[HomeForecast]])^2</f>
        <v>2.0032259327666551</v>
      </c>
    </row>
    <row r="437" spans="4:10" x14ac:dyDescent="0.2">
      <c r="D437" t="s">
        <v>10</v>
      </c>
      <c r="E437">
        <f>'NHL2025-26Results'!C433</f>
        <v>2</v>
      </c>
      <c r="F437" t="s">
        <v>13</v>
      </c>
      <c r="G437">
        <f>'NHL2025-26Results'!E433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0.36428376740698554</v>
      </c>
      <c r="J437">
        <f>(Table3[[#This Row],[HomeMargin]]-Table3[[#This Row],[HomeForecast]])^2</f>
        <v>1.8612701980101976</v>
      </c>
    </row>
    <row r="438" spans="4:10" x14ac:dyDescent="0.2">
      <c r="D438" t="s">
        <v>12</v>
      </c>
      <c r="E438">
        <f>'NHL2025-26Results'!C434</f>
        <v>3</v>
      </c>
      <c r="F438" t="s">
        <v>30</v>
      </c>
      <c r="G438">
        <f>'NHL2025-26Results'!E434</f>
        <v>6</v>
      </c>
      <c r="H438">
        <f>Table3[[#This Row],[G_1]]-Table3[[#This Row],[G]]</f>
        <v>3</v>
      </c>
      <c r="I438">
        <f>HomeEdge+VLOOKUP(Table3[[#This Row],[Home]],$A$6:$B$38,2,FALSE)-VLOOKUP(Table3[[#This Row],[Visitor]],$A$6:$B$38,2,FALSE)</f>
        <v>-1.2883020172232802</v>
      </c>
      <c r="J438">
        <f>(Table3[[#This Row],[HomeMargin]]-Table3[[#This Row],[HomeForecast]])^2</f>
        <v>18.389534190921257</v>
      </c>
    </row>
    <row r="439" spans="4:10" x14ac:dyDescent="0.2">
      <c r="D439" t="s">
        <v>15</v>
      </c>
      <c r="E439">
        <f>'NHL2025-26Results'!C435</f>
        <v>4</v>
      </c>
      <c r="F439" t="s">
        <v>36</v>
      </c>
      <c r="G439">
        <f>'NHL2025-26Results'!E435</f>
        <v>2</v>
      </c>
      <c r="H439">
        <f>Table3[[#This Row],[G_1]]-Table3[[#This Row],[G]]</f>
        <v>-2</v>
      </c>
      <c r="I439">
        <f>HomeEdge+VLOOKUP(Table3[[#This Row],[Home]],$A$6:$B$38,2,FALSE)-VLOOKUP(Table3[[#This Row],[Visitor]],$A$6:$B$38,2,FALSE)</f>
        <v>0.33172904564638961</v>
      </c>
      <c r="J439">
        <f>(Table3[[#This Row],[HomeMargin]]-Table3[[#This Row],[HomeForecast]])^2</f>
        <v>5.4369603423110222</v>
      </c>
    </row>
    <row r="440" spans="4:10" x14ac:dyDescent="0.2">
      <c r="D440" t="s">
        <v>14</v>
      </c>
      <c r="E440">
        <f>'NHL2025-26Results'!C436</f>
        <v>4</v>
      </c>
      <c r="F440" t="s">
        <v>37</v>
      </c>
      <c r="G440">
        <f>'NHL2025-26Results'!E436</f>
        <v>3</v>
      </c>
      <c r="H440">
        <f>Table3[[#This Row],[G_1]]-Table3[[#This Row],[G]]</f>
        <v>-1</v>
      </c>
      <c r="I440">
        <f>HomeEdge+VLOOKUP(Table3[[#This Row],[Home]],$A$6:$B$38,2,FALSE)-VLOOKUP(Table3[[#This Row],[Visitor]],$A$6:$B$38,2,FALSE)</f>
        <v>0.74934295228670333</v>
      </c>
      <c r="J440">
        <f>(Table3[[#This Row],[HomeMargin]]-Table3[[#This Row],[HomeForecast]])^2</f>
        <v>3.0602007647151588</v>
      </c>
    </row>
    <row r="441" spans="4:10" x14ac:dyDescent="0.2">
      <c r="D441" t="s">
        <v>22</v>
      </c>
      <c r="E441">
        <f>'NHL2025-26Results'!C437</f>
        <v>3</v>
      </c>
      <c r="F441" t="s">
        <v>31</v>
      </c>
      <c r="G441">
        <f>'NHL2025-26Results'!E437</f>
        <v>4</v>
      </c>
      <c r="H441">
        <f>Table3[[#This Row],[G_1]]-Table3[[#This Row],[G]]</f>
        <v>1</v>
      </c>
      <c r="I441">
        <f>HomeEdge+VLOOKUP(Table3[[#This Row],[Home]],$A$6:$B$38,2,FALSE)-VLOOKUP(Table3[[#This Row],[Visitor]],$A$6:$B$38,2,FALSE)</f>
        <v>-0.19776392297832474</v>
      </c>
      <c r="J441">
        <f>(Table3[[#This Row],[HomeMargin]]-Table3[[#This Row],[HomeForecast]])^2</f>
        <v>1.4346384151884264</v>
      </c>
    </row>
    <row r="442" spans="4:10" x14ac:dyDescent="0.2">
      <c r="D442" t="s">
        <v>33</v>
      </c>
      <c r="E442">
        <f>'NHL2025-26Results'!C438</f>
        <v>1</v>
      </c>
      <c r="F442" t="s">
        <v>39</v>
      </c>
      <c r="G442">
        <f>'NHL2025-26Results'!E438</f>
        <v>4</v>
      </c>
      <c r="H442">
        <f>Table3[[#This Row],[G_1]]-Table3[[#This Row],[G]]</f>
        <v>3</v>
      </c>
      <c r="I442">
        <f>HomeEdge+VLOOKUP(Table3[[#This Row],[Home]],$A$6:$B$38,2,FALSE)-VLOOKUP(Table3[[#This Row],[Visitor]],$A$6:$B$38,2,FALSE)</f>
        <v>0.84318552706283589</v>
      </c>
      <c r="J442">
        <f>(Table3[[#This Row],[HomeMargin]]-Table3[[#This Row],[HomeForecast]])^2</f>
        <v>4.6518486706712157</v>
      </c>
    </row>
    <row r="443" spans="4:10" x14ac:dyDescent="0.2">
      <c r="D443" t="s">
        <v>20</v>
      </c>
      <c r="E443">
        <f>'NHL2025-26Results'!C439</f>
        <v>3</v>
      </c>
      <c r="F443" t="s">
        <v>24</v>
      </c>
      <c r="G443">
        <f>'NHL2025-26Results'!E439</f>
        <v>0</v>
      </c>
      <c r="H443">
        <f>Table3[[#This Row],[G_1]]-Table3[[#This Row],[G]]</f>
        <v>-3</v>
      </c>
      <c r="I443">
        <f>HomeEdge+VLOOKUP(Table3[[#This Row],[Home]],$A$6:$B$38,2,FALSE)-VLOOKUP(Table3[[#This Row],[Visitor]],$A$6:$B$38,2,FALSE)</f>
        <v>-0.42637586895820445</v>
      </c>
      <c r="J443">
        <f>(Table3[[#This Row],[HomeMargin]]-Table3[[#This Row],[HomeForecast]])^2</f>
        <v>6.6235411678806386</v>
      </c>
    </row>
    <row r="444" spans="4:10" x14ac:dyDescent="0.2">
      <c r="D444" t="s">
        <v>55</v>
      </c>
      <c r="E444">
        <f>'NHL2025-26Results'!C440</f>
        <v>4</v>
      </c>
      <c r="F444" t="s">
        <v>38</v>
      </c>
      <c r="G444">
        <f>'NHL2025-26Results'!E440</f>
        <v>1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-1.2837130034335069</v>
      </c>
      <c r="J444">
        <f>(Table3[[#This Row],[HomeMargin]]-Table3[[#This Row],[HomeForecast]])^2</f>
        <v>2.9456410545832332</v>
      </c>
    </row>
    <row r="445" spans="4:10" x14ac:dyDescent="0.2">
      <c r="D445" t="s">
        <v>23</v>
      </c>
      <c r="E445">
        <f>'NHL2025-26Results'!C441</f>
        <v>1</v>
      </c>
      <c r="F445" t="s">
        <v>40</v>
      </c>
      <c r="G445">
        <f>'NHL2025-26Results'!E441</f>
        <v>4</v>
      </c>
      <c r="H445">
        <f>Table3[[#This Row],[G_1]]-Table3[[#This Row],[G]]</f>
        <v>3</v>
      </c>
      <c r="I445">
        <f>HomeEdge+VLOOKUP(Table3[[#This Row],[Home]],$A$6:$B$38,2,FALSE)-VLOOKUP(Table3[[#This Row],[Visitor]],$A$6:$B$38,2,FALSE)</f>
        <v>-0.40529461757901947</v>
      </c>
      <c r="J445">
        <f>(Table3[[#This Row],[HomeMargin]]-Table3[[#This Row],[HomeForecast]])^2</f>
        <v>11.596031432512641</v>
      </c>
    </row>
    <row r="446" spans="4:10" x14ac:dyDescent="0.2">
      <c r="D446" t="s">
        <v>24</v>
      </c>
      <c r="E446">
        <f>'NHL2025-26Results'!C442</f>
        <v>1</v>
      </c>
      <c r="F446" t="s">
        <v>21</v>
      </c>
      <c r="G446">
        <f>'NHL2025-26Results'!E442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0.56804223323580472</v>
      </c>
      <c r="J446">
        <f>(Table3[[#This Row],[HomeMargin]]-Table3[[#This Row],[HomeForecast]])^2</f>
        <v>5.9144185793246926</v>
      </c>
    </row>
    <row r="447" spans="4:10" x14ac:dyDescent="0.2">
      <c r="D447" t="s">
        <v>29</v>
      </c>
      <c r="E447">
        <f>'NHL2025-26Results'!C443</f>
        <v>3</v>
      </c>
      <c r="F447" t="s">
        <v>25</v>
      </c>
      <c r="G447">
        <f>'NHL2025-26Results'!E443</f>
        <v>6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1.134382360427197</v>
      </c>
      <c r="J447">
        <f>(Table3[[#This Row],[HomeMargin]]-Table3[[#This Row],[HomeForecast]])^2</f>
        <v>3.4805291770851974</v>
      </c>
    </row>
    <row r="448" spans="4:10" x14ac:dyDescent="0.2">
      <c r="D448" t="s">
        <v>55</v>
      </c>
      <c r="E448">
        <f>'NHL2025-26Results'!C444</f>
        <v>0</v>
      </c>
      <c r="F448" t="s">
        <v>16</v>
      </c>
      <c r="G448">
        <f>'NHL2025-26Results'!E444</f>
        <v>2</v>
      </c>
      <c r="H448">
        <f>Table3[[#This Row],[G_1]]-Table3[[#This Row],[G]]</f>
        <v>2</v>
      </c>
      <c r="I448">
        <f>HomeEdge+VLOOKUP(Table3[[#This Row],[Home]],$A$6:$B$38,2,FALSE)-VLOOKUP(Table3[[#This Row],[Visitor]],$A$6:$B$38,2,FALSE)</f>
        <v>-0.8160709437041761</v>
      </c>
      <c r="J448">
        <f>(Table3[[#This Row],[HomeMargin]]-Table3[[#This Row],[HomeForecast]])^2</f>
        <v>7.9302555599749285</v>
      </c>
    </row>
    <row r="449" spans="4:10" x14ac:dyDescent="0.2">
      <c r="D449" t="s">
        <v>40</v>
      </c>
      <c r="E449">
        <f>'NHL2025-26Results'!C445</f>
        <v>2</v>
      </c>
      <c r="F449" t="s">
        <v>17</v>
      </c>
      <c r="G449">
        <f>'NHL2025-26Results'!E445</f>
        <v>6</v>
      </c>
      <c r="H449">
        <f>Table3[[#This Row],[G_1]]-Table3[[#This Row],[G]]</f>
        <v>4</v>
      </c>
      <c r="I449">
        <f>HomeEdge+VLOOKUP(Table3[[#This Row],[Home]],$A$6:$B$38,2,FALSE)-VLOOKUP(Table3[[#This Row],[Visitor]],$A$6:$B$38,2,FALSE)</f>
        <v>0.36947643544011627</v>
      </c>
      <c r="J449">
        <f>(Table3[[#This Row],[HomeMargin]]-Table3[[#This Row],[HomeForecast]])^2</f>
        <v>13.180701352824606</v>
      </c>
    </row>
    <row r="450" spans="4:10" x14ac:dyDescent="0.2">
      <c r="D450" t="s">
        <v>28</v>
      </c>
      <c r="E450">
        <f>'NHL2025-26Results'!C446</f>
        <v>6</v>
      </c>
      <c r="F450" t="s">
        <v>11</v>
      </c>
      <c r="G450">
        <f>'NHL2025-26Results'!E446</f>
        <v>7</v>
      </c>
      <c r="H450">
        <f>Table3[[#This Row],[G_1]]-Table3[[#This Row],[G]]</f>
        <v>1</v>
      </c>
      <c r="I450">
        <f>HomeEdge+VLOOKUP(Table3[[#This Row],[Home]],$A$6:$B$38,2,FALSE)-VLOOKUP(Table3[[#This Row],[Visitor]],$A$6:$B$38,2,FALSE)</f>
        <v>9.8063817639074513E-2</v>
      </c>
      <c r="J450">
        <f>(Table3[[#This Row],[HomeMargin]]-Table3[[#This Row],[HomeForecast]])^2</f>
        <v>0.81348887705180073</v>
      </c>
    </row>
    <row r="451" spans="4:10" x14ac:dyDescent="0.2">
      <c r="D451" t="s">
        <v>10</v>
      </c>
      <c r="E451">
        <f>'NHL2025-26Results'!C447</f>
        <v>0</v>
      </c>
      <c r="F451" t="s">
        <v>13</v>
      </c>
      <c r="G451">
        <f>'NHL2025-26Results'!E447</f>
        <v>6</v>
      </c>
      <c r="H451">
        <f>Table3[[#This Row],[G_1]]-Table3[[#This Row],[G]]</f>
        <v>6</v>
      </c>
      <c r="I451">
        <f>HomeEdge+VLOOKUP(Table3[[#This Row],[Home]],$A$6:$B$38,2,FALSE)-VLOOKUP(Table3[[#This Row],[Visitor]],$A$6:$B$38,2,FALSE)</f>
        <v>0.36428376740698554</v>
      </c>
      <c r="J451">
        <f>(Table3[[#This Row],[HomeMargin]]-Table3[[#This Row],[HomeForecast]])^2</f>
        <v>31.761297454312402</v>
      </c>
    </row>
    <row r="452" spans="4:10" x14ac:dyDescent="0.2">
      <c r="D452" t="s">
        <v>12</v>
      </c>
      <c r="E452">
        <f>'NHL2025-26Results'!C448</f>
        <v>3</v>
      </c>
      <c r="F452" t="s">
        <v>15</v>
      </c>
      <c r="G452">
        <f>'NHL2025-26Results'!E448</f>
        <v>2</v>
      </c>
      <c r="H452">
        <f>Table3[[#This Row],[G_1]]-Table3[[#This Row],[G]]</f>
        <v>-1</v>
      </c>
      <c r="I452">
        <f>HomeEdge+VLOOKUP(Table3[[#This Row],[Home]],$A$6:$B$38,2,FALSE)-VLOOKUP(Table3[[#This Row],[Visitor]],$A$6:$B$38,2,FALSE)</f>
        <v>-1.718881042401009</v>
      </c>
      <c r="J452">
        <f>(Table3[[#This Row],[HomeMargin]]-Table3[[#This Row],[HomeForecast]])^2</f>
        <v>0.51678995312356135</v>
      </c>
    </row>
    <row r="453" spans="4:10" x14ac:dyDescent="0.2">
      <c r="D453" t="s">
        <v>35</v>
      </c>
      <c r="E453">
        <f>'NHL2025-26Results'!C449</f>
        <v>2</v>
      </c>
      <c r="F453" t="s">
        <v>36</v>
      </c>
      <c r="G453">
        <f>'NHL2025-26Results'!E449</f>
        <v>1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0.9584253246865212</v>
      </c>
      <c r="J453">
        <f>(Table3[[#This Row],[HomeMargin]]-Table3[[#This Row],[HomeForecast]])^2</f>
        <v>3.8354297523735066</v>
      </c>
    </row>
    <row r="454" spans="4:10" x14ac:dyDescent="0.2">
      <c r="D454" t="s">
        <v>26</v>
      </c>
      <c r="E454">
        <f>'NHL2025-26Results'!C450</f>
        <v>4</v>
      </c>
      <c r="F454" t="s">
        <v>32</v>
      </c>
      <c r="G454">
        <f>'NHL2025-26Results'!E450</f>
        <v>3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-0.30177480107598925</v>
      </c>
      <c r="J454">
        <f>(Table3[[#This Row],[HomeMargin]]-Table3[[#This Row],[HomeForecast]])^2</f>
        <v>0.48751842841247428</v>
      </c>
    </row>
    <row r="455" spans="4:10" x14ac:dyDescent="0.2">
      <c r="D455" t="s">
        <v>30</v>
      </c>
      <c r="E455">
        <f>'NHL2025-26Results'!C451</f>
        <v>2</v>
      </c>
      <c r="F455" t="s">
        <v>37</v>
      </c>
      <c r="G455">
        <f>'NHL2025-26Results'!E451</f>
        <v>0</v>
      </c>
      <c r="H455">
        <f>Table3[[#This Row],[G_1]]-Table3[[#This Row],[G]]</f>
        <v>-2</v>
      </c>
      <c r="I455">
        <f>HomeEdge+VLOOKUP(Table3[[#This Row],[Home]],$A$6:$B$38,2,FALSE)-VLOOKUP(Table3[[#This Row],[Visitor]],$A$6:$B$38,2,FALSE)</f>
        <v>0.95846275042857698</v>
      </c>
      <c r="J455">
        <f>(Table3[[#This Row],[HomeMargin]]-Table3[[#This Row],[HomeForecast]])^2</f>
        <v>8.7525018456734198</v>
      </c>
    </row>
    <row r="456" spans="4:10" x14ac:dyDescent="0.2">
      <c r="D456" t="s">
        <v>18</v>
      </c>
      <c r="E456">
        <f>'NHL2025-26Results'!C452</f>
        <v>2</v>
      </c>
      <c r="F456" t="s">
        <v>19</v>
      </c>
      <c r="G456">
        <f>'NHL2025-26Results'!E452</f>
        <v>1</v>
      </c>
      <c r="H456">
        <f>Table3[[#This Row],[G_1]]-Table3[[#This Row],[G]]</f>
        <v>-1</v>
      </c>
      <c r="I456">
        <f>HomeEdge+VLOOKUP(Table3[[#This Row],[Home]],$A$6:$B$38,2,FALSE)-VLOOKUP(Table3[[#This Row],[Visitor]],$A$6:$B$38,2,FALSE)</f>
        <v>1.0669538608036072E-2</v>
      </c>
      <c r="J456">
        <f>(Table3[[#This Row],[HomeMargin]]-Table3[[#This Row],[HomeForecast]])^2</f>
        <v>1.0214529162701804</v>
      </c>
    </row>
    <row r="457" spans="4:10" x14ac:dyDescent="0.2">
      <c r="D457" t="s">
        <v>34</v>
      </c>
      <c r="E457">
        <f>'NHL2025-26Results'!C453</f>
        <v>2</v>
      </c>
      <c r="F457" t="s">
        <v>38</v>
      </c>
      <c r="G457">
        <f>'NHL2025-26Results'!E453</f>
        <v>4</v>
      </c>
      <c r="H457">
        <f>Table3[[#This Row],[G_1]]-Table3[[#This Row],[G]]</f>
        <v>2</v>
      </c>
      <c r="I457">
        <f>HomeEdge+VLOOKUP(Table3[[#This Row],[Home]],$A$6:$B$38,2,FALSE)-VLOOKUP(Table3[[#This Row],[Visitor]],$A$6:$B$38,2,FALSE)</f>
        <v>-1.1760403006377156</v>
      </c>
      <c r="J457">
        <f>(Table3[[#This Row],[HomeMargin]]-Table3[[#This Row],[HomeForecast]])^2</f>
        <v>10.08723199127491</v>
      </c>
    </row>
    <row r="458" spans="4:10" x14ac:dyDescent="0.2">
      <c r="D458" t="s">
        <v>10</v>
      </c>
      <c r="E458">
        <f>'NHL2025-26Results'!C454</f>
        <v>1</v>
      </c>
      <c r="F458" t="s">
        <v>31</v>
      </c>
      <c r="G458">
        <f>'NHL2025-26Results'!E454</f>
        <v>7</v>
      </c>
      <c r="H458">
        <f>Table3[[#This Row],[G_1]]-Table3[[#This Row],[G]]</f>
        <v>6</v>
      </c>
      <c r="I458">
        <f>HomeEdge+VLOOKUP(Table3[[#This Row],[Home]],$A$6:$B$38,2,FALSE)-VLOOKUP(Table3[[#This Row],[Visitor]],$A$6:$B$38,2,FALSE)</f>
        <v>0.4176394689206912</v>
      </c>
      <c r="J458">
        <f>(Table3[[#This Row],[HomeMargin]]-Table3[[#This Row],[HomeForecast]])^2</f>
        <v>31.162749098952066</v>
      </c>
    </row>
    <row r="459" spans="4:10" x14ac:dyDescent="0.2">
      <c r="D459" t="s">
        <v>33</v>
      </c>
      <c r="E459">
        <f>'NHL2025-26Results'!C455</f>
        <v>4</v>
      </c>
      <c r="F459" t="s">
        <v>25</v>
      </c>
      <c r="G459">
        <f>'NHL2025-26Results'!E455</f>
        <v>1</v>
      </c>
      <c r="H459">
        <f>Table3[[#This Row],[G_1]]-Table3[[#This Row],[G]]</f>
        <v>-3</v>
      </c>
      <c r="I459">
        <f>HomeEdge+VLOOKUP(Table3[[#This Row],[Home]],$A$6:$B$38,2,FALSE)-VLOOKUP(Table3[[#This Row],[Visitor]],$A$6:$B$38,2,FALSE)</f>
        <v>0.92586546636337808</v>
      </c>
      <c r="J459">
        <f>(Table3[[#This Row],[HomeMargin]]-Table3[[#This Row],[HomeForecast]])^2</f>
        <v>15.412419659984543</v>
      </c>
    </row>
    <row r="460" spans="4:10" x14ac:dyDescent="0.2">
      <c r="D460" t="s">
        <v>14</v>
      </c>
      <c r="E460">
        <f>'NHL2025-26Results'!C456</f>
        <v>2</v>
      </c>
      <c r="F460" t="s">
        <v>39</v>
      </c>
      <c r="G460">
        <f>'NHL2025-26Results'!E456</f>
        <v>3</v>
      </c>
      <c r="H460">
        <f>Table3[[#This Row],[G_1]]-Table3[[#This Row],[G]]</f>
        <v>1</v>
      </c>
      <c r="I460">
        <f>HomeEdge+VLOOKUP(Table3[[#This Row],[Home]],$A$6:$B$38,2,FALSE)-VLOOKUP(Table3[[#This Row],[Visitor]],$A$6:$B$38,2,FALSE)</f>
        <v>0.30853348768299199</v>
      </c>
      <c r="J460">
        <f>(Table3[[#This Row],[HomeMargin]]-Table3[[#This Row],[HomeForecast]])^2</f>
        <v>0.47812593765584704</v>
      </c>
    </row>
    <row r="461" spans="4:10" x14ac:dyDescent="0.2">
      <c r="D461" t="s">
        <v>30</v>
      </c>
      <c r="E461">
        <f>'NHL2025-26Results'!C457</f>
        <v>1</v>
      </c>
      <c r="F461" t="s">
        <v>11</v>
      </c>
      <c r="G461">
        <f>'NHL2025-26Results'!E457</f>
        <v>4</v>
      </c>
      <c r="H461">
        <f>Table3[[#This Row],[G_1]]-Table3[[#This Row],[G]]</f>
        <v>3</v>
      </c>
      <c r="I461">
        <f>HomeEdge+VLOOKUP(Table3[[#This Row],[Home]],$A$6:$B$38,2,FALSE)-VLOOKUP(Table3[[#This Row],[Visitor]],$A$6:$B$38,2,FALSE)</f>
        <v>-0.11869549300363375</v>
      </c>
      <c r="J461">
        <f>(Table3[[#This Row],[HomeMargin]]-Table3[[#This Row],[HomeForecast]])^2</f>
        <v>9.7262615780811785</v>
      </c>
    </row>
    <row r="462" spans="4:10" x14ac:dyDescent="0.2">
      <c r="D462" t="s">
        <v>35</v>
      </c>
      <c r="E462">
        <f>'NHL2025-26Results'!C458</f>
        <v>4</v>
      </c>
      <c r="F462" t="s">
        <v>18</v>
      </c>
      <c r="G462">
        <f>'NHL2025-26Results'!E458</f>
        <v>3</v>
      </c>
      <c r="H462">
        <f>Table3[[#This Row],[G_1]]-Table3[[#This Row],[G]]</f>
        <v>-1</v>
      </c>
      <c r="I462">
        <f>HomeEdge+VLOOKUP(Table3[[#This Row],[Home]],$A$6:$B$38,2,FALSE)-VLOOKUP(Table3[[#This Row],[Visitor]],$A$6:$B$38,2,FALSE)</f>
        <v>1.1258778319763803</v>
      </c>
      <c r="J462">
        <f>(Table3[[#This Row],[HomeMargin]]-Table3[[#This Row],[HomeForecast]])^2</f>
        <v>4.5193565564885949</v>
      </c>
    </row>
    <row r="463" spans="4:10" x14ac:dyDescent="0.2">
      <c r="D463" t="s">
        <v>20</v>
      </c>
      <c r="E463">
        <f>'NHL2025-26Results'!C459</f>
        <v>3</v>
      </c>
      <c r="F463" t="s">
        <v>15</v>
      </c>
      <c r="G463">
        <f>'NHL2025-26Results'!E459</f>
        <v>2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-0.53892210925371209</v>
      </c>
      <c r="J463">
        <f>(Table3[[#This Row],[HomeMargin]]-Table3[[#This Row],[HomeForecast]])^2</f>
        <v>0.21259282133504581</v>
      </c>
    </row>
    <row r="464" spans="4:10" x14ac:dyDescent="0.2">
      <c r="D464" t="s">
        <v>12</v>
      </c>
      <c r="E464">
        <f>'NHL2025-26Results'!C460</f>
        <v>3</v>
      </c>
      <c r="F464" t="s">
        <v>27</v>
      </c>
      <c r="G464">
        <f>'NHL2025-26Results'!E460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-1.4010378148691753</v>
      </c>
      <c r="J464">
        <f>(Table3[[#This Row],[HomeMargin]]-Table3[[#This Row],[HomeForecast]])^2</f>
        <v>0.16083132895504296</v>
      </c>
    </row>
    <row r="465" spans="4:10" x14ac:dyDescent="0.2">
      <c r="D465" t="s">
        <v>28</v>
      </c>
      <c r="E465">
        <f>'NHL2025-26Results'!C461</f>
        <v>0</v>
      </c>
      <c r="F465" t="s">
        <v>22</v>
      </c>
      <c r="G465">
        <f>'NHL2025-26Results'!E461</f>
        <v>2</v>
      </c>
      <c r="H465">
        <f>Table3[[#This Row],[G_1]]-Table3[[#This Row],[G]]</f>
        <v>2</v>
      </c>
      <c r="I465">
        <f>HomeEdge+VLOOKUP(Table3[[#This Row],[Home]],$A$6:$B$38,2,FALSE)-VLOOKUP(Table3[[#This Row],[Visitor]],$A$6:$B$38,2,FALSE)</f>
        <v>0.43265682234213848</v>
      </c>
      <c r="J465">
        <f>(Table3[[#This Row],[HomeMargin]]-Table3[[#This Row],[HomeForecast]])^2</f>
        <v>2.4565646365506426</v>
      </c>
    </row>
    <row r="466" spans="4:10" x14ac:dyDescent="0.2">
      <c r="D466" t="s">
        <v>23</v>
      </c>
      <c r="E466">
        <f>'NHL2025-26Results'!C462</f>
        <v>4</v>
      </c>
      <c r="F466" t="s">
        <v>16</v>
      </c>
      <c r="G466">
        <f>'NHL2025-26Results'!E462</f>
        <v>7</v>
      </c>
      <c r="H466">
        <f>Table3[[#This Row],[G_1]]-Table3[[#This Row],[G]]</f>
        <v>3</v>
      </c>
      <c r="I466">
        <f>HomeEdge+VLOOKUP(Table3[[#This Row],[Home]],$A$6:$B$38,2,FALSE)-VLOOKUP(Table3[[#This Row],[Visitor]],$A$6:$B$38,2,FALSE)</f>
        <v>-0.72286580069040329</v>
      </c>
      <c r="J466">
        <f>(Table3[[#This Row],[HomeMargin]]-Table3[[#This Row],[HomeForecast]])^2</f>
        <v>13.859729769950198</v>
      </c>
    </row>
    <row r="467" spans="4:10" x14ac:dyDescent="0.2">
      <c r="D467" t="s">
        <v>34</v>
      </c>
      <c r="E467">
        <f>'NHL2025-26Results'!C463</f>
        <v>4</v>
      </c>
      <c r="F467" t="s">
        <v>32</v>
      </c>
      <c r="G467">
        <f>'NHL2025-26Results'!E463</f>
        <v>1</v>
      </c>
      <c r="H467">
        <f>Table3[[#This Row],[G_1]]-Table3[[#This Row],[G]]</f>
        <v>-3</v>
      </c>
      <c r="I467">
        <f>HomeEdge+VLOOKUP(Table3[[#This Row],[Home]],$A$6:$B$38,2,FALSE)-VLOOKUP(Table3[[#This Row],[Visitor]],$A$6:$B$38,2,FALSE)</f>
        <v>-0.48785327121951838</v>
      </c>
      <c r="J467">
        <f>(Table3[[#This Row],[HomeMargin]]-Table3[[#This Row],[HomeForecast]])^2</f>
        <v>6.310881186922475</v>
      </c>
    </row>
    <row r="468" spans="4:10" x14ac:dyDescent="0.2">
      <c r="D468" t="s">
        <v>37</v>
      </c>
      <c r="E468">
        <f>'NHL2025-26Results'!C464</f>
        <v>0</v>
      </c>
      <c r="F468" t="s">
        <v>19</v>
      </c>
      <c r="G468">
        <f>'NHL2025-26Results'!E464</f>
        <v>2</v>
      </c>
      <c r="H468">
        <f>Table3[[#This Row],[G_1]]-Table3[[#This Row],[G]]</f>
        <v>2</v>
      </c>
      <c r="I468">
        <f>HomeEdge+VLOOKUP(Table3[[#This Row],[Home]],$A$6:$B$38,2,FALSE)-VLOOKUP(Table3[[#This Row],[Visitor]],$A$6:$B$38,2,FALSE)</f>
        <v>-0.87919068406202106</v>
      </c>
      <c r="J468">
        <f>(Table3[[#This Row],[HomeMargin]]-Table3[[#This Row],[HomeForecast]])^2</f>
        <v>8.2897389951895288</v>
      </c>
    </row>
    <row r="469" spans="4:10" x14ac:dyDescent="0.2">
      <c r="D469" t="s">
        <v>13</v>
      </c>
      <c r="E469">
        <f>'NHL2025-26Results'!C465</f>
        <v>4</v>
      </c>
      <c r="F469" t="s">
        <v>55</v>
      </c>
      <c r="G469">
        <f>'NHL2025-26Results'!E465</f>
        <v>2</v>
      </c>
      <c r="H469">
        <f>Table3[[#This Row],[G_1]]-Table3[[#This Row],[G]]</f>
        <v>-2</v>
      </c>
      <c r="I469">
        <f>HomeEdge+VLOOKUP(Table3[[#This Row],[Home]],$A$6:$B$38,2,FALSE)-VLOOKUP(Table3[[#This Row],[Visitor]],$A$6:$B$38,2,FALSE)</f>
        <v>0.65277138008351843</v>
      </c>
      <c r="J469">
        <f>(Table3[[#This Row],[HomeMargin]]-Table3[[#This Row],[HomeForecast]])^2</f>
        <v>7.0371959949902152</v>
      </c>
    </row>
    <row r="470" spans="4:10" x14ac:dyDescent="0.2">
      <c r="D470" t="s">
        <v>26</v>
      </c>
      <c r="E470">
        <f>'NHL2025-26Results'!C466</f>
        <v>4</v>
      </c>
      <c r="F470" t="s">
        <v>38</v>
      </c>
      <c r="G470">
        <f>'NHL2025-26Results'!E466</f>
        <v>0</v>
      </c>
      <c r="H470">
        <f>Table3[[#This Row],[G_1]]-Table3[[#This Row],[G]]</f>
        <v>-4</v>
      </c>
      <c r="I470">
        <f>HomeEdge+VLOOKUP(Table3[[#This Row],[Home]],$A$6:$B$38,2,FALSE)-VLOOKUP(Table3[[#This Row],[Visitor]],$A$6:$B$38,2,FALSE)</f>
        <v>-0.98996183049418651</v>
      </c>
      <c r="J470">
        <f>(Table3[[#This Row],[HomeMargin]]-Table3[[#This Row],[HomeForecast]])^2</f>
        <v>9.0603297818819097</v>
      </c>
    </row>
    <row r="471" spans="4:10" x14ac:dyDescent="0.2">
      <c r="D471" t="s">
        <v>28</v>
      </c>
      <c r="E471">
        <f>'NHL2025-26Results'!C467</f>
        <v>1</v>
      </c>
      <c r="F471" t="s">
        <v>25</v>
      </c>
      <c r="G471">
        <f>'NHL2025-26Results'!E467</f>
        <v>4</v>
      </c>
      <c r="H471">
        <f>Table3[[#This Row],[G_1]]-Table3[[#This Row],[G]]</f>
        <v>3</v>
      </c>
      <c r="I471">
        <f>HomeEdge+VLOOKUP(Table3[[#This Row],[Home]],$A$6:$B$38,2,FALSE)-VLOOKUP(Table3[[#This Row],[Visitor]],$A$6:$B$38,2,FALSE)</f>
        <v>0.81709253576811602</v>
      </c>
      <c r="J471">
        <f>(Table3[[#This Row],[HomeMargin]]-Table3[[#This Row],[HomeForecast]])^2</f>
        <v>4.765084997399275</v>
      </c>
    </row>
    <row r="472" spans="4:10" x14ac:dyDescent="0.2">
      <c r="D472" t="s">
        <v>23</v>
      </c>
      <c r="E472">
        <f>'NHL2025-26Results'!C468</f>
        <v>4</v>
      </c>
      <c r="F472" t="s">
        <v>17</v>
      </c>
      <c r="G472">
        <f>'NHL2025-26Results'!E468</f>
        <v>3</v>
      </c>
      <c r="H472">
        <f>Table3[[#This Row],[G_1]]-Table3[[#This Row],[G]]</f>
        <v>-1</v>
      </c>
      <c r="I472">
        <f>HomeEdge+VLOOKUP(Table3[[#This Row],[Home]],$A$6:$B$38,2,FALSE)-VLOOKUP(Table3[[#This Row],[Visitor]],$A$6:$B$38,2,FALSE)</f>
        <v>-0.13178817730956641</v>
      </c>
      <c r="J472">
        <f>(Table3[[#This Row],[HomeMargin]]-Table3[[#This Row],[HomeForecast]])^2</f>
        <v>0.75379176905944489</v>
      </c>
    </row>
    <row r="473" spans="4:10" x14ac:dyDescent="0.2">
      <c r="D473" t="s">
        <v>37</v>
      </c>
      <c r="E473">
        <f>'NHL2025-26Results'!C469</f>
        <v>6</v>
      </c>
      <c r="F473" t="s">
        <v>18</v>
      </c>
      <c r="G473">
        <f>'NHL2025-26Results'!E469</f>
        <v>1</v>
      </c>
      <c r="H473">
        <f>Table3[[#This Row],[G_1]]-Table3[[#This Row],[G]]</f>
        <v>-5</v>
      </c>
      <c r="I473">
        <f>HomeEdge+VLOOKUP(Table3[[#This Row],[Home]],$A$6:$B$38,2,FALSE)-VLOOKUP(Table3[[#This Row],[Visitor]],$A$6:$B$38,2,FALSE)</f>
        <v>-0.79389022749939386</v>
      </c>
      <c r="J473">
        <f>(Table3[[#This Row],[HomeMargin]]-Table3[[#This Row],[HomeForecast]])^2</f>
        <v>17.691359418325103</v>
      </c>
    </row>
    <row r="474" spans="4:10" x14ac:dyDescent="0.2">
      <c r="D474" t="s">
        <v>12</v>
      </c>
      <c r="E474">
        <f>'NHL2025-26Results'!C470</f>
        <v>3</v>
      </c>
      <c r="F474" t="s">
        <v>29</v>
      </c>
      <c r="G474">
        <f>'NHL2025-26Results'!E470</f>
        <v>4</v>
      </c>
      <c r="H474">
        <f>Table3[[#This Row],[G_1]]-Table3[[#This Row],[G]]</f>
        <v>1</v>
      </c>
      <c r="I474">
        <f>HomeEdge+VLOOKUP(Table3[[#This Row],[Home]],$A$6:$B$38,2,FALSE)-VLOOKUP(Table3[[#This Row],[Visitor]],$A$6:$B$38,2,FALSE)</f>
        <v>-1.8223511525250693</v>
      </c>
      <c r="J474">
        <f>(Table3[[#This Row],[HomeMargin]]-Table3[[#This Row],[HomeForecast]])^2</f>
        <v>7.9656660281595872</v>
      </c>
    </row>
    <row r="475" spans="4:10" x14ac:dyDescent="0.2">
      <c r="D475" t="s">
        <v>20</v>
      </c>
      <c r="E475">
        <f>'NHL2025-26Results'!C471</f>
        <v>4</v>
      </c>
      <c r="F475" t="s">
        <v>30</v>
      </c>
      <c r="G475">
        <f>'NHL2025-26Results'!E471</f>
        <v>5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-0.10834308407598338</v>
      </c>
      <c r="J475">
        <f>(Table3[[#This Row],[HomeMargin]]-Table3[[#This Row],[HomeForecast]])^2</f>
        <v>1.2284243920190623</v>
      </c>
    </row>
    <row r="476" spans="4:10" x14ac:dyDescent="0.2">
      <c r="D476" t="s">
        <v>24</v>
      </c>
      <c r="E476">
        <f>'NHL2025-26Results'!C472</f>
        <v>4</v>
      </c>
      <c r="F476" t="s">
        <v>36</v>
      </c>
      <c r="G476">
        <f>'NHL2025-26Results'!E472</f>
        <v>3</v>
      </c>
      <c r="H476">
        <f>Table3[[#This Row],[G_1]]-Table3[[#This Row],[G]]</f>
        <v>-1</v>
      </c>
      <c r="I476">
        <f>HomeEdge+VLOOKUP(Table3[[#This Row],[Home]],$A$6:$B$38,2,FALSE)-VLOOKUP(Table3[[#This Row],[Visitor]],$A$6:$B$38,2,FALSE)</f>
        <v>0.21918280535088197</v>
      </c>
      <c r="J476">
        <f>(Table3[[#This Row],[HomeMargin]]-Table3[[#This Row],[HomeForecast]])^2</f>
        <v>1.4864067128632465</v>
      </c>
    </row>
    <row r="477" spans="4:10" x14ac:dyDescent="0.2">
      <c r="D477" t="s">
        <v>33</v>
      </c>
      <c r="E477">
        <f>'NHL2025-26Results'!C473</f>
        <v>1</v>
      </c>
      <c r="F477" t="s">
        <v>27</v>
      </c>
      <c r="G477">
        <f>'NHL2025-26Results'!E473</f>
        <v>4</v>
      </c>
      <c r="H477">
        <f>Table3[[#This Row],[G_1]]-Table3[[#This Row],[G]]</f>
        <v>3</v>
      </c>
      <c r="I477">
        <f>HomeEdge+VLOOKUP(Table3[[#This Row],[Home]],$A$6:$B$38,2,FALSE)-VLOOKUP(Table3[[#This Row],[Visitor]],$A$6:$B$38,2,FALSE)</f>
        <v>0.3087664387627384</v>
      </c>
      <c r="J477">
        <f>(Table3[[#This Row],[HomeMargin]]-Table3[[#This Row],[HomeForecast]])^2</f>
        <v>7.2427380811297928</v>
      </c>
    </row>
    <row r="478" spans="4:10" x14ac:dyDescent="0.2">
      <c r="D478" t="s">
        <v>31</v>
      </c>
      <c r="E478">
        <f>'NHL2025-26Results'!C474</f>
        <v>4</v>
      </c>
      <c r="F478" t="s">
        <v>14</v>
      </c>
      <c r="G478">
        <f>'NHL2025-26Results'!E474</f>
        <v>3</v>
      </c>
      <c r="H478">
        <f>Table3[[#This Row],[G_1]]-Table3[[#This Row],[G]]</f>
        <v>-1</v>
      </c>
      <c r="I478">
        <f>HomeEdge+VLOOKUP(Table3[[#This Row],[Home]],$A$6:$B$38,2,FALSE)-VLOOKUP(Table3[[#This Row],[Visitor]],$A$6:$B$38,2,FALSE)</f>
        <v>0.47889619493275792</v>
      </c>
      <c r="J478">
        <f>(Table3[[#This Row],[HomeMargin]]-Table3[[#This Row],[HomeForecast]])^2</f>
        <v>2.1871339553865901</v>
      </c>
    </row>
    <row r="479" spans="4:10" x14ac:dyDescent="0.2">
      <c r="D479" t="s">
        <v>21</v>
      </c>
      <c r="E479">
        <f>'NHL2025-26Results'!C475</f>
        <v>5</v>
      </c>
      <c r="F479" t="s">
        <v>35</v>
      </c>
      <c r="G479">
        <f>'NHL2025-26Results'!E475</f>
        <v>2</v>
      </c>
      <c r="H479">
        <f>Table3[[#This Row],[G_1]]-Table3[[#This Row],[G]]</f>
        <v>-3</v>
      </c>
      <c r="I479">
        <f>HomeEdge+VLOOKUP(Table3[[#This Row],[Home]],$A$6:$B$38,2,FALSE)-VLOOKUP(Table3[[#This Row],[Visitor]],$A$6:$B$38,2,FALSE)</f>
        <v>-1.1153447622301176</v>
      </c>
      <c r="J479">
        <f>(Table3[[#This Row],[HomeMargin]]-Table3[[#This Row],[HomeForecast]])^2</f>
        <v>3.5519253652534521</v>
      </c>
    </row>
    <row r="480" spans="4:10" x14ac:dyDescent="0.2">
      <c r="D480" t="s">
        <v>39</v>
      </c>
      <c r="E480">
        <f>'NHL2025-26Results'!C476</f>
        <v>4</v>
      </c>
      <c r="F480" t="s">
        <v>40</v>
      </c>
      <c r="G480">
        <f>'NHL2025-26Results'!E476</f>
        <v>3</v>
      </c>
      <c r="H480">
        <f>Table3[[#This Row],[G_1]]-Table3[[#This Row],[G]]</f>
        <v>-1</v>
      </c>
      <c r="I480">
        <f>HomeEdge+VLOOKUP(Table3[[#This Row],[Home]],$A$6:$B$38,2,FALSE)-VLOOKUP(Table3[[#This Row],[Visitor]],$A$6:$B$38,2,FALSE)</f>
        <v>-0.59054376946806619</v>
      </c>
      <c r="J480">
        <f>(Table3[[#This Row],[HomeMargin]]-Table3[[#This Row],[HomeForecast]])^2</f>
        <v>0.16765440472142012</v>
      </c>
    </row>
    <row r="481" spans="4:10" x14ac:dyDescent="0.2">
      <c r="D481" t="s">
        <v>26</v>
      </c>
      <c r="E481">
        <f>'NHL2025-26Results'!C477</f>
        <v>4</v>
      </c>
      <c r="F481" t="s">
        <v>16</v>
      </c>
      <c r="G481">
        <f>'NHL2025-26Results'!E477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-0.5223197707648557</v>
      </c>
      <c r="J481">
        <f>(Table3[[#This Row],[HomeMargin]]-Table3[[#This Row],[HomeForecast]])^2</f>
        <v>0.22817840140214002</v>
      </c>
    </row>
    <row r="482" spans="4:10" x14ac:dyDescent="0.2">
      <c r="D482" t="s">
        <v>15</v>
      </c>
      <c r="E482">
        <f>'NHL2025-26Results'!C478</f>
        <v>0</v>
      </c>
      <c r="F482" t="s">
        <v>10</v>
      </c>
      <c r="G482">
        <f>'NHL2025-26Results'!E478</f>
        <v>3</v>
      </c>
      <c r="H482">
        <f>Table3[[#This Row],[G_1]]-Table3[[#This Row],[G]]</f>
        <v>3</v>
      </c>
      <c r="I482">
        <f>HomeEdge+VLOOKUP(Table3[[#This Row],[Home]],$A$6:$B$38,2,FALSE)-VLOOKUP(Table3[[#This Row],[Visitor]],$A$6:$B$38,2,FALSE)</f>
        <v>3.1073144978143064E-2</v>
      </c>
      <c r="J482">
        <f>(Table3[[#This Row],[HomeMargin]]-Table3[[#This Row],[HomeForecast]])^2</f>
        <v>8.8145266704699754</v>
      </c>
    </row>
    <row r="483" spans="4:10" x14ac:dyDescent="0.2">
      <c r="D483" t="s">
        <v>13</v>
      </c>
      <c r="E483">
        <f>'NHL2025-26Results'!C479</f>
        <v>2</v>
      </c>
      <c r="F483" t="s">
        <v>32</v>
      </c>
      <c r="G483">
        <f>'NHL2025-26Results'!E479</f>
        <v>3</v>
      </c>
      <c r="H483">
        <f>Table3[[#This Row],[G_1]]-Table3[[#This Row],[G]]</f>
        <v>1</v>
      </c>
      <c r="I483">
        <f>HomeEdge+VLOOKUP(Table3[[#This Row],[Home]],$A$6:$B$38,2,FALSE)-VLOOKUP(Table3[[#This Row],[Visitor]],$A$6:$B$38,2,FALSE)</f>
        <v>-3.8724589102454465E-2</v>
      </c>
      <c r="J483">
        <f>(Table3[[#This Row],[HomeMargin]]-Table3[[#This Row],[HomeForecast]])^2</f>
        <v>1.0789487720060631</v>
      </c>
    </row>
    <row r="484" spans="4:10" x14ac:dyDescent="0.2">
      <c r="D484" t="s">
        <v>11</v>
      </c>
      <c r="E484">
        <f>'NHL2025-26Results'!C480</f>
        <v>4</v>
      </c>
      <c r="F484" t="s">
        <v>55</v>
      </c>
      <c r="G484">
        <f>'NHL2025-26Results'!E480</f>
        <v>3</v>
      </c>
      <c r="H484">
        <f>Table3[[#This Row],[G_1]]-Table3[[#This Row],[G]]</f>
        <v>-1</v>
      </c>
      <c r="I484">
        <f>HomeEdge+VLOOKUP(Table3[[#This Row],[Home]],$A$6:$B$38,2,FALSE)-VLOOKUP(Table3[[#This Row],[Visitor]],$A$6:$B$38,2,FALSE)</f>
        <v>0.6402747651238887</v>
      </c>
      <c r="J484">
        <f>(Table3[[#This Row],[HomeMargin]]-Table3[[#This Row],[HomeForecast]])^2</f>
        <v>2.6905013051022282</v>
      </c>
    </row>
    <row r="485" spans="4:10" x14ac:dyDescent="0.2">
      <c r="D485" t="s">
        <v>36</v>
      </c>
      <c r="E485">
        <f>'NHL2025-26Results'!C481</f>
        <v>6</v>
      </c>
      <c r="F485" t="s">
        <v>28</v>
      </c>
      <c r="G485">
        <f>'NHL2025-26Results'!E481</f>
        <v>3</v>
      </c>
      <c r="H485">
        <f>Table3[[#This Row],[G_1]]-Table3[[#This Row],[G]]</f>
        <v>-3</v>
      </c>
      <c r="I485">
        <f>HomeEdge+VLOOKUP(Table3[[#This Row],[Home]],$A$6:$B$38,2,FALSE)-VLOOKUP(Table3[[#This Row],[Visitor]],$A$6:$B$38,2,FALSE)</f>
        <v>7.403065922995733E-2</v>
      </c>
      <c r="J485">
        <f>(Table3[[#This Row],[HomeMargin]]-Table3[[#This Row],[HomeForecast]])^2</f>
        <v>9.4496644938857663</v>
      </c>
    </row>
    <row r="486" spans="4:10" x14ac:dyDescent="0.2">
      <c r="D486" t="s">
        <v>11</v>
      </c>
      <c r="E486">
        <f>'NHL2025-26Results'!C482</f>
        <v>2</v>
      </c>
      <c r="F486" t="s">
        <v>12</v>
      </c>
      <c r="G486">
        <f>'NHL2025-26Results'!E482</f>
        <v>6</v>
      </c>
      <c r="H486">
        <f>Table3[[#This Row],[G_1]]-Table3[[#This Row],[G]]</f>
        <v>4</v>
      </c>
      <c r="I486">
        <f>HomeEdge+VLOOKUP(Table3[[#This Row],[Home]],$A$6:$B$38,2,FALSE)-VLOOKUP(Table3[[#This Row],[Visitor]],$A$6:$B$38,2,FALSE)</f>
        <v>1.6949074957389036</v>
      </c>
      <c r="J486">
        <f>(Table3[[#This Row],[HomeMargin]]-Table3[[#This Row],[HomeForecast]])^2</f>
        <v>5.3134514532006918</v>
      </c>
    </row>
    <row r="487" spans="4:10" x14ac:dyDescent="0.2">
      <c r="D487" t="s">
        <v>26</v>
      </c>
      <c r="E487">
        <f>'NHL2025-26Results'!C483</f>
        <v>1</v>
      </c>
      <c r="F487" t="s">
        <v>17</v>
      </c>
      <c r="G487">
        <f>'NHL2025-26Results'!E483</f>
        <v>4</v>
      </c>
      <c r="H487">
        <f>Table3[[#This Row],[G_1]]-Table3[[#This Row],[G]]</f>
        <v>3</v>
      </c>
      <c r="I487">
        <f>HomeEdge+VLOOKUP(Table3[[#This Row],[Home]],$A$6:$B$38,2,FALSE)-VLOOKUP(Table3[[#This Row],[Visitor]],$A$6:$B$38,2,FALSE)</f>
        <v>6.8757852615981233E-2</v>
      </c>
      <c r="J487">
        <f>(Table3[[#This Row],[HomeMargin]]-Table3[[#This Row],[HomeForecast]])^2</f>
        <v>8.5921805266004743</v>
      </c>
    </row>
    <row r="488" spans="4:10" x14ac:dyDescent="0.2">
      <c r="D488" t="s">
        <v>39</v>
      </c>
      <c r="E488">
        <f>'NHL2025-26Results'!C484</f>
        <v>2</v>
      </c>
      <c r="F488" t="s">
        <v>34</v>
      </c>
      <c r="G488">
        <f>'NHL2025-26Results'!E484</f>
        <v>5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-0.10374671650040194</v>
      </c>
      <c r="J488">
        <f>(Table3[[#This Row],[HomeMargin]]-Table3[[#This Row],[HomeForecast]])^2</f>
        <v>9.6332436801870251</v>
      </c>
    </row>
    <row r="489" spans="4:10" x14ac:dyDescent="0.2">
      <c r="D489" t="s">
        <v>37</v>
      </c>
      <c r="E489">
        <f>'NHL2025-26Results'!C485</f>
        <v>8</v>
      </c>
      <c r="F489" t="s">
        <v>24</v>
      </c>
      <c r="G489">
        <f>'NHL2025-26Results'!E485</f>
        <v>4</v>
      </c>
      <c r="H489">
        <f>Table3[[#This Row],[G_1]]-Table3[[#This Row],[G]]</f>
        <v>-4</v>
      </c>
      <c r="I489">
        <f>HomeEdge+VLOOKUP(Table3[[#This Row],[Home]],$A$6:$B$38,2,FALSE)-VLOOKUP(Table3[[#This Row],[Visitor]],$A$6:$B$38,2,FALSE)</f>
        <v>-1.0845555449694715</v>
      </c>
      <c r="J489">
        <f>(Table3[[#This Row],[HomeMargin]]-Table3[[#This Row],[HomeForecast]])^2</f>
        <v>8.4998163703682561</v>
      </c>
    </row>
    <row r="490" spans="4:10" x14ac:dyDescent="0.2">
      <c r="D490" t="s">
        <v>35</v>
      </c>
      <c r="E490">
        <f>'NHL2025-26Results'!C486</f>
        <v>2</v>
      </c>
      <c r="F490" t="s">
        <v>29</v>
      </c>
      <c r="G490">
        <f>'NHL2025-26Results'!E486</f>
        <v>7</v>
      </c>
      <c r="H490">
        <f>Table3[[#This Row],[G_1]]-Table3[[#This Row],[G]]</f>
        <v>5</v>
      </c>
      <c r="I490">
        <f>HomeEdge+VLOOKUP(Table3[[#This Row],[Home]],$A$6:$B$38,2,FALSE)-VLOOKUP(Table3[[#This Row],[Visitor]],$A$6:$B$38,2,FALSE)</f>
        <v>0.61919616408673439</v>
      </c>
      <c r="J490">
        <f>(Table3[[#This Row],[HomeMargin]]-Table3[[#This Row],[HomeForecast]])^2</f>
        <v>19.191442248752384</v>
      </c>
    </row>
    <row r="491" spans="4:10" x14ac:dyDescent="0.2">
      <c r="D491" t="s">
        <v>31</v>
      </c>
      <c r="E491">
        <f>'NHL2025-26Results'!C487</f>
        <v>2</v>
      </c>
      <c r="F491" t="s">
        <v>30</v>
      </c>
      <c r="G491">
        <f>'NHL2025-26Results'!E487</f>
        <v>5</v>
      </c>
      <c r="H491">
        <f>Table3[[#This Row],[G_1]]-Table3[[#This Row],[G]]</f>
        <v>3</v>
      </c>
      <c r="I491">
        <f>HomeEdge+VLOOKUP(Table3[[#This Row],[Home]],$A$6:$B$38,2,FALSE)-VLOOKUP(Table3[[#This Row],[Visitor]],$A$6:$B$38,2,FALSE)</f>
        <v>0.26977639679088422</v>
      </c>
      <c r="J491">
        <f>(Table3[[#This Row],[HomeMargin]]-Table3[[#This Row],[HomeForecast]])^2</f>
        <v>7.4541209235201666</v>
      </c>
    </row>
    <row r="492" spans="4:10" x14ac:dyDescent="0.2">
      <c r="D492" t="s">
        <v>20</v>
      </c>
      <c r="E492">
        <f>'NHL2025-26Results'!C488</f>
        <v>3</v>
      </c>
      <c r="F492" t="s">
        <v>27</v>
      </c>
      <c r="G492">
        <f>'NHL2025-26Results'!E488</f>
        <v>2</v>
      </c>
      <c r="H492">
        <f>Table3[[#This Row],[G_1]]-Table3[[#This Row],[G]]</f>
        <v>-1</v>
      </c>
      <c r="I492">
        <f>HomeEdge+VLOOKUP(Table3[[#This Row],[Home]],$A$6:$B$38,2,FALSE)-VLOOKUP(Table3[[#This Row],[Visitor]],$A$6:$B$38,2,FALSE)</f>
        <v>-0.22107888172187842</v>
      </c>
      <c r="J492">
        <f>(Table3[[#This Row],[HomeMargin]]-Table3[[#This Row],[HomeForecast]])^2</f>
        <v>0.60671810849963947</v>
      </c>
    </row>
    <row r="493" spans="4:10" x14ac:dyDescent="0.2">
      <c r="D493" t="s">
        <v>18</v>
      </c>
      <c r="E493">
        <f>'NHL2025-26Results'!C489</f>
        <v>4</v>
      </c>
      <c r="F493" t="s">
        <v>14</v>
      </c>
      <c r="G493">
        <f>'NHL2025-26Results'!E489</f>
        <v>2</v>
      </c>
      <c r="H493">
        <f>Table3[[#This Row],[G_1]]-Table3[[#This Row],[G]]</f>
        <v>-2</v>
      </c>
      <c r="I493">
        <f>HomeEdge+VLOOKUP(Table3[[#This Row],[Home]],$A$6:$B$38,2,FALSE)-VLOOKUP(Table3[[#This Row],[Visitor]],$A$6:$B$38,2,FALSE)</f>
        <v>0.3324572607246804</v>
      </c>
      <c r="J493">
        <f>(Table3[[#This Row],[HomeMargin]]-Table3[[#This Row],[HomeForecast]])^2</f>
        <v>5.4403568731072793</v>
      </c>
    </row>
    <row r="494" spans="4:10" x14ac:dyDescent="0.2">
      <c r="D494" t="s">
        <v>33</v>
      </c>
      <c r="E494">
        <f>'NHL2025-26Results'!C490</f>
        <v>3</v>
      </c>
      <c r="F494" t="s">
        <v>19</v>
      </c>
      <c r="G494">
        <f>'NHL2025-26Results'!E490</f>
        <v>2</v>
      </c>
      <c r="H494">
        <f>Table3[[#This Row],[G_1]]-Table3[[#This Row],[G]]</f>
        <v>-1</v>
      </c>
      <c r="I494">
        <f>HomeEdge+VLOOKUP(Table3[[#This Row],[Home]],$A$6:$B$38,2,FALSE)-VLOOKUP(Table3[[#This Row],[Visitor]],$A$6:$B$38,2,FALSE)</f>
        <v>0.30883431243386283</v>
      </c>
      <c r="J494">
        <f>(Table3[[#This Row],[HomeMargin]]-Table3[[#This Row],[HomeForecast]])^2</f>
        <v>1.7130472574042224</v>
      </c>
    </row>
    <row r="495" spans="4:10" x14ac:dyDescent="0.2">
      <c r="D495" t="s">
        <v>23</v>
      </c>
      <c r="E495">
        <f>'NHL2025-26Results'!C491</f>
        <v>3</v>
      </c>
      <c r="F495" t="s">
        <v>38</v>
      </c>
      <c r="G495">
        <f>'NHL2025-26Results'!E491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-1.1905078604197341</v>
      </c>
      <c r="J495">
        <f>(Table3[[#This Row],[HomeMargin]]-Table3[[#This Row],[HomeForecast]])^2</f>
        <v>3.6293244881704892E-2</v>
      </c>
    </row>
    <row r="496" spans="4:10" x14ac:dyDescent="0.2">
      <c r="D496" t="s">
        <v>21</v>
      </c>
      <c r="E496">
        <f>'NHL2025-26Results'!C492</f>
        <v>6</v>
      </c>
      <c r="F496" t="s">
        <v>40</v>
      </c>
      <c r="G496">
        <f>'NHL2025-26Results'!E492</f>
        <v>3</v>
      </c>
      <c r="H496">
        <f>Table3[[#This Row],[G_1]]-Table3[[#This Row],[G]]</f>
        <v>-3</v>
      </c>
      <c r="I496">
        <f>HomeEdge+VLOOKUP(Table3[[#This Row],[Home]],$A$6:$B$38,2,FALSE)-VLOOKUP(Table3[[#This Row],[Visitor]],$A$6:$B$38,2,FALSE)</f>
        <v>-0.32289993199678407</v>
      </c>
      <c r="J496">
        <f>(Table3[[#This Row],[HomeMargin]]-Table3[[#This Row],[HomeForecast]])^2</f>
        <v>7.1668647741028222</v>
      </c>
    </row>
    <row r="497" spans="4:10" x14ac:dyDescent="0.2">
      <c r="D497" t="s">
        <v>25</v>
      </c>
      <c r="E497">
        <f>'NHL2025-26Results'!C493</f>
        <v>3</v>
      </c>
      <c r="F497" t="s">
        <v>22</v>
      </c>
      <c r="G497">
        <f>'NHL2025-26Results'!E493</f>
        <v>2</v>
      </c>
      <c r="H497">
        <f>Table3[[#This Row],[G_1]]-Table3[[#This Row],[G]]</f>
        <v>-1</v>
      </c>
      <c r="I497">
        <f>HomeEdge+VLOOKUP(Table3[[#This Row],[Home]],$A$6:$B$38,2,FALSE)-VLOOKUP(Table3[[#This Row],[Visitor]],$A$6:$B$38,2,FALSE)</f>
        <v>-0.28846571825531436</v>
      </c>
      <c r="J497">
        <f>(Table3[[#This Row],[HomeMargin]]-Table3[[#This Row],[HomeForecast]])^2</f>
        <v>0.5062810340979258</v>
      </c>
    </row>
    <row r="498" spans="4:10" x14ac:dyDescent="0.2">
      <c r="D498" t="s">
        <v>10</v>
      </c>
      <c r="E498">
        <f>'NHL2025-26Results'!C494</f>
        <v>2</v>
      </c>
      <c r="F498" t="s">
        <v>35</v>
      </c>
      <c r="G498">
        <f>'NHL2025-26Results'!E494</f>
        <v>3</v>
      </c>
      <c r="H498">
        <f>Table3[[#This Row],[G_1]]-Table3[[#This Row],[G]]</f>
        <v>1</v>
      </c>
      <c r="I498">
        <f>HomeEdge+VLOOKUP(Table3[[#This Row],[Home]],$A$6:$B$38,2,FALSE)-VLOOKUP(Table3[[#This Row],[Visitor]],$A$6:$B$38,2,FALSE)</f>
        <v>-0.46582943367694818</v>
      </c>
      <c r="J498">
        <f>(Table3[[#This Row],[HomeMargin]]-Table3[[#This Row],[HomeForecast]])^2</f>
        <v>2.1486559286336826</v>
      </c>
    </row>
    <row r="499" spans="4:10" x14ac:dyDescent="0.2">
      <c r="D499" t="s">
        <v>32</v>
      </c>
      <c r="E499">
        <f>'NHL2025-26Results'!C495</f>
        <v>3</v>
      </c>
      <c r="F499" t="s">
        <v>55</v>
      </c>
      <c r="G499">
        <f>'NHL2025-26Results'!E495</f>
        <v>5</v>
      </c>
      <c r="H499">
        <f>Table3[[#This Row],[G_1]]-Table3[[#This Row],[G]]</f>
        <v>2</v>
      </c>
      <c r="I499">
        <f>HomeEdge+VLOOKUP(Table3[[#This Row],[Home]],$A$6:$B$38,2,FALSE)-VLOOKUP(Table3[[#This Row],[Visitor]],$A$6:$B$38,2,FALSE)</f>
        <v>0.78746596435663607</v>
      </c>
      <c r="J499">
        <f>(Table3[[#This Row],[HomeMargin]]-Table3[[#This Row],[HomeForecast]])^2</f>
        <v>1.4702387875935827</v>
      </c>
    </row>
    <row r="500" spans="4:10" x14ac:dyDescent="0.2">
      <c r="D500" t="s">
        <v>20</v>
      </c>
      <c r="E500">
        <f>'NHL2025-26Results'!C496</f>
        <v>3</v>
      </c>
      <c r="F500" t="s">
        <v>28</v>
      </c>
      <c r="G500">
        <f>'NHL2025-26Results'!E496</f>
        <v>2</v>
      </c>
      <c r="H500">
        <f>Table3[[#This Row],[G_1]]-Table3[[#This Row],[G]]</f>
        <v>-1</v>
      </c>
      <c r="I500">
        <f>HomeEdge+VLOOKUP(Table3[[#This Row],[Home]],$A$6:$B$38,2,FALSE)-VLOOKUP(Table3[[#This Row],[Visitor]],$A$6:$B$38,2,FALSE)</f>
        <v>-0.32510239471869162</v>
      </c>
      <c r="J500">
        <f>(Table3[[#This Row],[HomeMargin]]-Table3[[#This Row],[HomeForecast]])^2</f>
        <v>0.45548677761444473</v>
      </c>
    </row>
    <row r="501" spans="4:10" x14ac:dyDescent="0.2">
      <c r="D501" t="s">
        <v>26</v>
      </c>
      <c r="E501">
        <f>'NHL2025-26Results'!C497</f>
        <v>4</v>
      </c>
      <c r="F501" t="s">
        <v>10</v>
      </c>
      <c r="G501">
        <f>'NHL2025-26Results'!E497</f>
        <v>0</v>
      </c>
      <c r="H501">
        <f>Table3[[#This Row],[G_1]]-Table3[[#This Row],[G]]</f>
        <v>-4</v>
      </c>
      <c r="I501">
        <f>HomeEdge+VLOOKUP(Table3[[#This Row],[Home]],$A$6:$B$38,2,FALSE)-VLOOKUP(Table3[[#This Row],[Visitor]],$A$6:$B$38,2,FALSE)</f>
        <v>-0.4353939890391938</v>
      </c>
      <c r="J501">
        <f>(Table3[[#This Row],[HomeMargin]]-Table3[[#This Row],[HomeForecast]])^2</f>
        <v>12.706416013377909</v>
      </c>
    </row>
    <row r="502" spans="4:10" x14ac:dyDescent="0.2">
      <c r="D502" t="s">
        <v>29</v>
      </c>
      <c r="E502">
        <f>'NHL2025-26Results'!C498</f>
        <v>2</v>
      </c>
      <c r="F502" t="s">
        <v>12</v>
      </c>
      <c r="G502">
        <f>'NHL2025-26Results'!E498</f>
        <v>4</v>
      </c>
      <c r="H502">
        <f>Table3[[#This Row],[G_1]]-Table3[[#This Row],[G]]</f>
        <v>2</v>
      </c>
      <c r="I502">
        <f>HomeEdge+VLOOKUP(Table3[[#This Row],[Home]],$A$6:$B$38,2,FALSE)-VLOOKUP(Table3[[#This Row],[Visitor]],$A$6:$B$38,2,FALSE)</f>
        <v>2.0142911428663961</v>
      </c>
      <c r="J502">
        <f>(Table3[[#This Row],[HomeMargin]]-Table3[[#This Row],[HomeForecast]])^2</f>
        <v>2.0423676442774414E-4</v>
      </c>
    </row>
    <row r="503" spans="4:10" x14ac:dyDescent="0.2">
      <c r="D503" t="s">
        <v>11</v>
      </c>
      <c r="E503">
        <f>'NHL2025-26Results'!C499</f>
        <v>4</v>
      </c>
      <c r="F503" t="s">
        <v>39</v>
      </c>
      <c r="G503">
        <f>'NHL2025-26Results'!E499</f>
        <v>0</v>
      </c>
      <c r="H503">
        <f>Table3[[#This Row],[G_1]]-Table3[[#This Row],[G]]</f>
        <v>-4</v>
      </c>
      <c r="I503">
        <f>HomeEdge+VLOOKUP(Table3[[#This Row],[Home]],$A$6:$B$38,2,FALSE)-VLOOKUP(Table3[[#This Row],[Visitor]],$A$6:$B$38,2,FALSE)</f>
        <v>0.73231877399916268</v>
      </c>
      <c r="J503">
        <f>(Table3[[#This Row],[HomeMargin]]-Table3[[#This Row],[HomeForecast]])^2</f>
        <v>22.394840978744938</v>
      </c>
    </row>
    <row r="504" spans="4:10" x14ac:dyDescent="0.2">
      <c r="D504" t="s">
        <v>16</v>
      </c>
      <c r="E504">
        <f>'NHL2025-26Results'!C500</f>
        <v>2</v>
      </c>
      <c r="F504" t="s">
        <v>13</v>
      </c>
      <c r="G504">
        <f>'NHL2025-26Results'!E500</f>
        <v>1</v>
      </c>
      <c r="H504">
        <f>Table3[[#This Row],[G_1]]-Table3[[#This Row],[G]]</f>
        <v>-1</v>
      </c>
      <c r="I504">
        <f>HomeEdge+VLOOKUP(Table3[[#This Row],[Home]],$A$6:$B$38,2,FALSE)-VLOOKUP(Table3[[#This Row],[Visitor]],$A$6:$B$38,2,FALSE)</f>
        <v>0.45120954913264744</v>
      </c>
      <c r="J504">
        <f>(Table3[[#This Row],[HomeMargin]]-Table3[[#This Row],[HomeForecast]])^2</f>
        <v>2.1060091554937816</v>
      </c>
    </row>
    <row r="505" spans="4:10" x14ac:dyDescent="0.2">
      <c r="D505" t="s">
        <v>36</v>
      </c>
      <c r="E505">
        <f>'NHL2025-26Results'!C501</f>
        <v>2</v>
      </c>
      <c r="F505" t="s">
        <v>34</v>
      </c>
      <c r="G505">
        <f>'NHL2025-26Results'!E501</f>
        <v>3</v>
      </c>
      <c r="H505">
        <f>Table3[[#This Row],[G_1]]-Table3[[#This Row],[G]]</f>
        <v>1</v>
      </c>
      <c r="I505">
        <f>HomeEdge+VLOOKUP(Table3[[#This Row],[Home]],$A$6:$B$38,2,FALSE)-VLOOKUP(Table3[[#This Row],[Visitor]],$A$6:$B$38,2,FALSE)</f>
        <v>0.51275654885580291</v>
      </c>
      <c r="J505">
        <f>(Table3[[#This Row],[HomeMargin]]-Table3[[#This Row],[HomeForecast]])^2</f>
        <v>0.23740618068290759</v>
      </c>
    </row>
    <row r="506" spans="4:10" x14ac:dyDescent="0.2">
      <c r="D506" t="s">
        <v>31</v>
      </c>
      <c r="E506">
        <f>'NHL2025-26Results'!C502</f>
        <v>1</v>
      </c>
      <c r="F506" t="s">
        <v>24</v>
      </c>
      <c r="G506">
        <f>'NHL2025-26Results'!E502</f>
        <v>4</v>
      </c>
      <c r="H506">
        <f>Table3[[#This Row],[G_1]]-Table3[[#This Row],[G]]</f>
        <v>3</v>
      </c>
      <c r="I506">
        <f>HomeEdge+VLOOKUP(Table3[[#This Row],[Home]],$A$6:$B$38,2,FALSE)-VLOOKUP(Table3[[#This Row],[Visitor]],$A$6:$B$38,2,FALSE)</f>
        <v>-4.8256388091336866E-2</v>
      </c>
      <c r="J506">
        <f>(Table3[[#This Row],[HomeMargin]]-Table3[[#This Row],[HomeForecast]])^2</f>
        <v>9.2918670075396417</v>
      </c>
    </row>
    <row r="507" spans="4:10" x14ac:dyDescent="0.2">
      <c r="D507" t="s">
        <v>37</v>
      </c>
      <c r="E507">
        <f>'NHL2025-26Results'!C503</f>
        <v>2</v>
      </c>
      <c r="F507" t="s">
        <v>30</v>
      </c>
      <c r="G507">
        <f>'NHL2025-26Results'!E503</f>
        <v>3</v>
      </c>
      <c r="H507">
        <f>Table3[[#This Row],[G_1]]-Table3[[#This Row],[G]]</f>
        <v>1</v>
      </c>
      <c r="I507">
        <f>HomeEdge+VLOOKUP(Table3[[#This Row],[Home]],$A$6:$B$38,2,FALSE)-VLOOKUP(Table3[[#This Row],[Visitor]],$A$6:$B$38,2,FALSE)</f>
        <v>-0.7665227600872504</v>
      </c>
      <c r="J507">
        <f>(Table3[[#This Row],[HomeMargin]]-Table3[[#This Row],[HomeForecast]])^2</f>
        <v>3.1206026619062772</v>
      </c>
    </row>
    <row r="508" spans="4:10" x14ac:dyDescent="0.2">
      <c r="D508" t="s">
        <v>18</v>
      </c>
      <c r="E508">
        <f>'NHL2025-26Results'!C504</f>
        <v>4</v>
      </c>
      <c r="F508" t="s">
        <v>15</v>
      </c>
      <c r="G508">
        <f>'NHL2025-26Results'!E504</f>
        <v>5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-0.30724156259492197</v>
      </c>
      <c r="J508">
        <f>(Table3[[#This Row],[HomeMargin]]-Table3[[#This Row],[HomeForecast]])^2</f>
        <v>1.7088805029756136</v>
      </c>
    </row>
    <row r="509" spans="4:10" x14ac:dyDescent="0.2">
      <c r="D509" t="s">
        <v>25</v>
      </c>
      <c r="E509">
        <f>'NHL2025-26Results'!C505</f>
        <v>4</v>
      </c>
      <c r="F509" t="s">
        <v>27</v>
      </c>
      <c r="G509">
        <f>'NHL2025-26Results'!E505</f>
        <v>3</v>
      </c>
      <c r="H509">
        <f>Table3[[#This Row],[G_1]]-Table3[[#This Row],[G]]</f>
        <v>-1</v>
      </c>
      <c r="I509">
        <f>HomeEdge+VLOOKUP(Table3[[#This Row],[Home]],$A$6:$B$38,2,FALSE)-VLOOKUP(Table3[[#This Row],[Visitor]],$A$6:$B$38,2,FALSE)</f>
        <v>-0.52112903242997644</v>
      </c>
      <c r="J509">
        <f>(Table3[[#This Row],[HomeMargin]]-Table3[[#This Row],[HomeForecast]])^2</f>
        <v>0.22931740358145056</v>
      </c>
    </row>
    <row r="510" spans="4:10" x14ac:dyDescent="0.2">
      <c r="D510" t="s">
        <v>33</v>
      </c>
      <c r="E510">
        <f>'NHL2025-26Results'!C506</f>
        <v>6</v>
      </c>
      <c r="F510" t="s">
        <v>14</v>
      </c>
      <c r="G510">
        <f>'NHL2025-26Results'!E506</f>
        <v>5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0.63062203455050714</v>
      </c>
      <c r="J510">
        <f>(Table3[[#This Row],[HomeMargin]]-Table3[[#This Row],[HomeForecast]])^2</f>
        <v>2.6589282195616355</v>
      </c>
    </row>
    <row r="511" spans="4:10" x14ac:dyDescent="0.2">
      <c r="D511" t="s">
        <v>17</v>
      </c>
      <c r="E511">
        <f>'NHL2025-26Results'!C507</f>
        <v>6</v>
      </c>
      <c r="F511" t="s">
        <v>19</v>
      </c>
      <c r="G511">
        <f>'NHL2025-26Results'!E507</f>
        <v>3</v>
      </c>
      <c r="H511">
        <f>Table3[[#This Row],[G_1]]-Table3[[#This Row],[G]]</f>
        <v>-3</v>
      </c>
      <c r="I511">
        <f>HomeEdge+VLOOKUP(Table3[[#This Row],[Home]],$A$6:$B$38,2,FALSE)-VLOOKUP(Table3[[#This Row],[Visitor]],$A$6:$B$38,2,FALSE)</f>
        <v>-2.5373895089033482E-2</v>
      </c>
      <c r="J511">
        <f>(Table3[[#This Row],[HomeMargin]]-Table3[[#This Row],[HomeForecast]])^2</f>
        <v>8.8484004640177876</v>
      </c>
    </row>
    <row r="512" spans="4:10" x14ac:dyDescent="0.2">
      <c r="D512" t="s">
        <v>22</v>
      </c>
      <c r="E512">
        <f>'NHL2025-26Results'!C508</f>
        <v>1</v>
      </c>
      <c r="F512" t="s">
        <v>40</v>
      </c>
      <c r="G512">
        <f>'NHL2025-26Results'!E508</f>
        <v>5</v>
      </c>
      <c r="H512">
        <f>Table3[[#This Row],[G_1]]-Table3[[#This Row],[G]]</f>
        <v>4</v>
      </c>
      <c r="I512">
        <f>HomeEdge+VLOOKUP(Table3[[#This Row],[Home]],$A$6:$B$38,2,FALSE)-VLOOKUP(Table3[[#This Row],[Visitor]],$A$6:$B$38,2,FALSE)</f>
        <v>-0.28878799534263067</v>
      </c>
      <c r="J512">
        <f>(Table3[[#This Row],[HomeMargin]]-Table3[[#This Row],[HomeForecast]])^2</f>
        <v>18.393702468995059</v>
      </c>
    </row>
    <row r="513" spans="4:10" x14ac:dyDescent="0.2">
      <c r="D513" t="s">
        <v>27</v>
      </c>
      <c r="E513">
        <f>'NHL2025-26Results'!C509</f>
        <v>2</v>
      </c>
      <c r="F513" t="s">
        <v>25</v>
      </c>
      <c r="G513">
        <f>'NHL2025-26Results'!E509</f>
        <v>3</v>
      </c>
      <c r="H513">
        <f>Table3[[#This Row],[G_1]]-Table3[[#This Row],[G]]</f>
        <v>1</v>
      </c>
      <c r="I513">
        <f>HomeEdge+VLOOKUP(Table3[[#This Row],[Home]],$A$6:$B$38,2,FALSE)-VLOOKUP(Table3[[#This Row],[Visitor]],$A$6:$B$38,2,FALSE)</f>
        <v>0.7130690227713028</v>
      </c>
      <c r="J513">
        <f>(Table3[[#This Row],[HomeMargin]]-Table3[[#This Row],[HomeForecast]])^2</f>
        <v>8.232938569341515E-2</v>
      </c>
    </row>
    <row r="514" spans="4:10" x14ac:dyDescent="0.2">
      <c r="D514" t="s">
        <v>21</v>
      </c>
      <c r="E514">
        <f>'NHL2025-26Results'!C510</f>
        <v>2</v>
      </c>
      <c r="F514" t="s">
        <v>34</v>
      </c>
      <c r="G514">
        <f>'NHL2025-26Results'!E510</f>
        <v>6</v>
      </c>
      <c r="H514">
        <f>Table3[[#This Row],[G_1]]-Table3[[#This Row],[G]]</f>
        <v>4</v>
      </c>
      <c r="I514">
        <f>HomeEdge+VLOOKUP(Table3[[#This Row],[Home]],$A$6:$B$38,2,FALSE)-VLOOKUP(Table3[[#This Row],[Visitor]],$A$6:$B$38,2,FALSE)</f>
        <v>0.16389712097088013</v>
      </c>
      <c r="J514">
        <f>(Table3[[#This Row],[HomeMargin]]-Table3[[#This Row],[HomeForecast]])^2</f>
        <v>14.715685298495504</v>
      </c>
    </row>
    <row r="515" spans="4:10" x14ac:dyDescent="0.2">
      <c r="D515" t="s">
        <v>17</v>
      </c>
      <c r="E515">
        <f>'NHL2025-26Results'!C511</f>
        <v>1</v>
      </c>
      <c r="F515" t="s">
        <v>18</v>
      </c>
      <c r="G515">
        <f>'NHL2025-26Results'!E511</f>
        <v>4</v>
      </c>
      <c r="H515">
        <f>Table3[[#This Row],[G_1]]-Table3[[#This Row],[G]]</f>
        <v>3</v>
      </c>
      <c r="I515">
        <f>HomeEdge+VLOOKUP(Table3[[#This Row],[Home]],$A$6:$B$38,2,FALSE)-VLOOKUP(Table3[[#This Row],[Visitor]],$A$6:$B$38,2,FALSE)</f>
        <v>5.9926561473593709E-2</v>
      </c>
      <c r="J515">
        <f>(Table3[[#This Row],[HomeMargin]]-Table3[[#This Row],[HomeForecast]])^2</f>
        <v>8.6440318239284863</v>
      </c>
    </row>
    <row r="516" spans="4:10" x14ac:dyDescent="0.2">
      <c r="D516" t="s">
        <v>38</v>
      </c>
      <c r="E516">
        <f>'NHL2025-26Results'!C512</f>
        <v>2</v>
      </c>
      <c r="F516" t="s">
        <v>24</v>
      </c>
      <c r="G516">
        <f>'NHL2025-26Results'!E512</f>
        <v>1</v>
      </c>
      <c r="H516">
        <f>Table3[[#This Row],[G_1]]-Table3[[#This Row],[G]]</f>
        <v>-1</v>
      </c>
      <c r="I516">
        <f>HomeEdge+VLOOKUP(Table3[[#This Row],[Home]],$A$6:$B$38,2,FALSE)-VLOOKUP(Table3[[#This Row],[Visitor]],$A$6:$B$38,2,FALSE)</f>
        <v>0.82798092711368376</v>
      </c>
      <c r="J516">
        <f>(Table3[[#This Row],[HomeMargin]]-Table3[[#This Row],[HomeForecast]])^2</f>
        <v>3.3415142698914027</v>
      </c>
    </row>
    <row r="517" spans="4:10" x14ac:dyDescent="0.2">
      <c r="D517" t="s">
        <v>55</v>
      </c>
      <c r="E517">
        <f>'NHL2025-26Results'!C513</f>
        <v>5</v>
      </c>
      <c r="F517" t="s">
        <v>14</v>
      </c>
      <c r="G517">
        <f>'NHL2025-26Results'!E513</f>
        <v>4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-2.4549488466391559E-2</v>
      </c>
      <c r="J517">
        <f>(Table3[[#This Row],[HomeMargin]]-Table3[[#This Row],[HomeForecast]])^2</f>
        <v>0.95150370045117827</v>
      </c>
    </row>
    <row r="518" spans="4:10" x14ac:dyDescent="0.2">
      <c r="D518" t="s">
        <v>23</v>
      </c>
      <c r="E518">
        <f>'NHL2025-26Results'!C514</f>
        <v>3</v>
      </c>
      <c r="F518" t="s">
        <v>32</v>
      </c>
      <c r="G518">
        <f>'NHL2025-26Results'!E514</f>
        <v>1</v>
      </c>
      <c r="H518">
        <f>Table3[[#This Row],[G_1]]-Table3[[#This Row],[G]]</f>
        <v>-2</v>
      </c>
      <c r="I518">
        <f>HomeEdge+VLOOKUP(Table3[[#This Row],[Home]],$A$6:$B$38,2,FALSE)-VLOOKUP(Table3[[#This Row],[Visitor]],$A$6:$B$38,2,FALSE)</f>
        <v>-0.5023208310015369</v>
      </c>
      <c r="J518">
        <f>(Table3[[#This Row],[HomeMargin]]-Table3[[#This Row],[HomeForecast]])^2</f>
        <v>2.2430428932519266</v>
      </c>
    </row>
    <row r="519" spans="4:10" x14ac:dyDescent="0.2">
      <c r="D519" t="s">
        <v>13</v>
      </c>
      <c r="E519">
        <f>'NHL2025-26Results'!C515</f>
        <v>1</v>
      </c>
      <c r="F519" t="s">
        <v>39</v>
      </c>
      <c r="G519">
        <f>'NHL2025-26Results'!E515</f>
        <v>4</v>
      </c>
      <c r="H519">
        <f>Table3[[#This Row],[G_1]]-Table3[[#This Row],[G]]</f>
        <v>3</v>
      </c>
      <c r="I519">
        <f>HomeEdge+VLOOKUP(Table3[[#This Row],[Home]],$A$6:$B$38,2,FALSE)-VLOOKUP(Table3[[#This Row],[Visitor]],$A$6:$B$38,2,FALSE)</f>
        <v>0.74481538895879229</v>
      </c>
      <c r="J519">
        <f>(Table3[[#This Row],[HomeMargin]]-Table3[[#This Row],[HomeForecast]])^2</f>
        <v>5.0858576298770837</v>
      </c>
    </row>
    <row r="520" spans="4:10" x14ac:dyDescent="0.2">
      <c r="D520" t="s">
        <v>31</v>
      </c>
      <c r="E520">
        <f>'NHL2025-26Results'!C516</f>
        <v>4</v>
      </c>
      <c r="F520" t="s">
        <v>15</v>
      </c>
      <c r="G520">
        <f>'NHL2025-26Results'!E516</f>
        <v>1</v>
      </c>
      <c r="H520">
        <f>Table3[[#This Row],[G_1]]-Table3[[#This Row],[G]]</f>
        <v>-3</v>
      </c>
      <c r="I520">
        <f>HomeEdge+VLOOKUP(Table3[[#This Row],[Home]],$A$6:$B$38,2,FALSE)-VLOOKUP(Table3[[#This Row],[Visitor]],$A$6:$B$38,2,FALSE)</f>
        <v>-0.16080262838684445</v>
      </c>
      <c r="J520">
        <f>(Table3[[#This Row],[HomeMargin]]-Table3[[#This Row],[HomeForecast]])^2</f>
        <v>8.0610417149750528</v>
      </c>
    </row>
    <row r="521" spans="4:10" x14ac:dyDescent="0.2">
      <c r="D521" t="s">
        <v>29</v>
      </c>
      <c r="E521">
        <f>'NHL2025-26Results'!C517</f>
        <v>5</v>
      </c>
      <c r="F521" t="s">
        <v>35</v>
      </c>
      <c r="G521">
        <f>'NHL2025-26Results'!E517</f>
        <v>2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-0.42725617374540792</v>
      </c>
      <c r="J521">
        <f>(Table3[[#This Row],[HomeMargin]]-Table3[[#This Row],[HomeForecast]])^2</f>
        <v>6.6190107955311177</v>
      </c>
    </row>
    <row r="522" spans="4:10" x14ac:dyDescent="0.2">
      <c r="D522" t="s">
        <v>11</v>
      </c>
      <c r="E522">
        <f>'NHL2025-26Results'!C518</f>
        <v>5</v>
      </c>
      <c r="F522" t="s">
        <v>37</v>
      </c>
      <c r="G522">
        <f>'NHL2025-26Results'!E518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1.1731282386028741</v>
      </c>
      <c r="J522">
        <f>(Table3[[#This Row],[HomeMargin]]-Table3[[#This Row],[HomeForecast]])^2</f>
        <v>17.414999295824732</v>
      </c>
    </row>
    <row r="523" spans="4:10" x14ac:dyDescent="0.2">
      <c r="D523" t="s">
        <v>36</v>
      </c>
      <c r="E523">
        <f>'NHL2025-26Results'!C519</f>
        <v>3</v>
      </c>
      <c r="F523" t="s">
        <v>40</v>
      </c>
      <c r="G523">
        <f>'NHL2025-26Results'!E519</f>
        <v>2</v>
      </c>
      <c r="H523">
        <f>Table3[[#This Row],[G_1]]-Table3[[#This Row],[G]]</f>
        <v>-1</v>
      </c>
      <c r="I523">
        <f>HomeEdge+VLOOKUP(Table3[[#This Row],[Home]],$A$6:$B$38,2,FALSE)-VLOOKUP(Table3[[#This Row],[Visitor]],$A$6:$B$38,2,FALSE)</f>
        <v>2.5959495888138673E-2</v>
      </c>
      <c r="J523">
        <f>(Table3[[#This Row],[HomeMargin]]-Table3[[#This Row],[HomeForecast]])^2</f>
        <v>1.0525928872030434</v>
      </c>
    </row>
    <row r="524" spans="4:10" x14ac:dyDescent="0.2">
      <c r="D524" t="s">
        <v>55</v>
      </c>
      <c r="E524">
        <f>'NHL2025-26Results'!C520</f>
        <v>1</v>
      </c>
      <c r="F524" t="s">
        <v>21</v>
      </c>
      <c r="G524">
        <f>'NHL2025-26Results'!E520</f>
        <v>4</v>
      </c>
      <c r="H524">
        <f>Table3[[#This Row],[G_1]]-Table3[[#This Row],[G]]</f>
        <v>3</v>
      </c>
      <c r="I524">
        <f>HomeEdge+VLOOKUP(Table3[[#This Row],[Home]],$A$6:$B$38,2,FALSE)-VLOOKUP(Table3[[#This Row],[Visitor]],$A$6:$B$38,2,FALSE)</f>
        <v>-7.9629833425344881E-2</v>
      </c>
      <c r="J524">
        <f>(Table3[[#This Row],[HomeMargin]]-Table3[[#This Row],[HomeForecast]])^2</f>
        <v>9.4841199109234182</v>
      </c>
    </row>
    <row r="525" spans="4:10" x14ac:dyDescent="0.2">
      <c r="D525" t="s">
        <v>31</v>
      </c>
      <c r="E525">
        <f>'NHL2025-26Results'!C521</f>
        <v>3</v>
      </c>
      <c r="F525" t="s">
        <v>28</v>
      </c>
      <c r="G525">
        <f>'NHL2025-26Results'!E521</f>
        <v>4</v>
      </c>
      <c r="H525">
        <f>Table3[[#This Row],[G_1]]-Table3[[#This Row],[G]]</f>
        <v>1</v>
      </c>
      <c r="I525">
        <f>HomeEdge+VLOOKUP(Table3[[#This Row],[Home]],$A$6:$B$38,2,FALSE)-VLOOKUP(Table3[[#This Row],[Visitor]],$A$6:$B$38,2,FALSE)</f>
        <v>5.3017086148175963E-2</v>
      </c>
      <c r="J525">
        <f>(Table3[[#This Row],[HomeMargin]]-Table3[[#This Row],[HomeForecast]])^2</f>
        <v>0.89677663912729111</v>
      </c>
    </row>
    <row r="526" spans="4:10" x14ac:dyDescent="0.2">
      <c r="D526" t="s">
        <v>30</v>
      </c>
      <c r="E526">
        <f>'NHL2025-26Results'!C522</f>
        <v>2</v>
      </c>
      <c r="F526" t="s">
        <v>26</v>
      </c>
      <c r="G526">
        <f>'NHL2025-26Results'!E522</f>
        <v>3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0.13185810401027137</v>
      </c>
      <c r="J526">
        <f>(Table3[[#This Row],[HomeMargin]]-Table3[[#This Row],[HomeForecast]])^2</f>
        <v>0.75367035157264095</v>
      </c>
    </row>
    <row r="527" spans="4:10" x14ac:dyDescent="0.2">
      <c r="D527" t="s">
        <v>22</v>
      </c>
      <c r="E527">
        <f>'NHL2025-26Results'!C523</f>
        <v>0</v>
      </c>
      <c r="F527" t="s">
        <v>34</v>
      </c>
      <c r="G527">
        <f>'NHL2025-26Results'!E523</f>
        <v>5</v>
      </c>
      <c r="H527">
        <f>Table3[[#This Row],[G_1]]-Table3[[#This Row],[G]]</f>
        <v>5</v>
      </c>
      <c r="I527">
        <f>HomeEdge+VLOOKUP(Table3[[#This Row],[Home]],$A$6:$B$38,2,FALSE)-VLOOKUP(Table3[[#This Row],[Visitor]],$A$6:$B$38,2,FALSE)</f>
        <v>0.19800905762503354</v>
      </c>
      <c r="J527">
        <f>(Table3[[#This Row],[HomeMargin]]-Table3[[#This Row],[HomeForecast]])^2</f>
        <v>23.059117010651217</v>
      </c>
    </row>
    <row r="528" spans="4:10" x14ac:dyDescent="0.2">
      <c r="D528" t="s">
        <v>27</v>
      </c>
      <c r="E528">
        <f>'NHL2025-26Results'!C524</f>
        <v>4</v>
      </c>
      <c r="F528" t="s">
        <v>18</v>
      </c>
      <c r="G528">
        <f>'NHL2025-26Results'!E524</f>
        <v>1</v>
      </c>
      <c r="H528">
        <f>Table3[[#This Row],[G_1]]-Table3[[#This Row],[G]]</f>
        <v>-3</v>
      </c>
      <c r="I528">
        <f>HomeEdge+VLOOKUP(Table3[[#This Row],[Home]],$A$6:$B$38,2,FALSE)-VLOOKUP(Table3[[#This Row],[Visitor]],$A$6:$B$38,2,FALSE)</f>
        <v>0.18133832540441486</v>
      </c>
      <c r="J528">
        <f>(Table3[[#This Row],[HomeMargin]]-Table3[[#This Row],[HomeForecast]])^2</f>
        <v>10.120913540686965</v>
      </c>
    </row>
    <row r="529" spans="4:10" x14ac:dyDescent="0.2">
      <c r="D529" t="s">
        <v>38</v>
      </c>
      <c r="E529">
        <f>'NHL2025-26Results'!C525</f>
        <v>3</v>
      </c>
      <c r="F529" t="s">
        <v>15</v>
      </c>
      <c r="G529">
        <f>'NHL2025-26Results'!E525</f>
        <v>0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0.71543468681817612</v>
      </c>
      <c r="J529">
        <f>(Table3[[#This Row],[HomeMargin]]-Table3[[#This Row],[HomeForecast]])^2</f>
        <v>13.80445491201168</v>
      </c>
    </row>
    <row r="530" spans="4:10" x14ac:dyDescent="0.2">
      <c r="D530" t="s">
        <v>17</v>
      </c>
      <c r="E530">
        <f>'NHL2025-26Results'!C526</f>
        <v>6</v>
      </c>
      <c r="F530" t="s">
        <v>14</v>
      </c>
      <c r="G530">
        <f>'NHL2025-26Results'!E526</f>
        <v>4</v>
      </c>
      <c r="H530">
        <f>Table3[[#This Row],[G_1]]-Table3[[#This Row],[G]]</f>
        <v>-2</v>
      </c>
      <c r="I530">
        <f>HomeEdge+VLOOKUP(Table3[[#This Row],[Home]],$A$6:$B$38,2,FALSE)-VLOOKUP(Table3[[#This Row],[Visitor]],$A$6:$B$38,2,FALSE)</f>
        <v>0.29641382702761082</v>
      </c>
      <c r="J530">
        <f>(Table3[[#This Row],[HomeMargin]]-Table3[[#This Row],[HomeForecast]])^2</f>
        <v>5.2735164649635973</v>
      </c>
    </row>
    <row r="531" spans="4:10" x14ac:dyDescent="0.2">
      <c r="D531" t="s">
        <v>12</v>
      </c>
      <c r="E531">
        <f>'NHL2025-26Results'!C527</f>
        <v>5</v>
      </c>
      <c r="F531" t="s">
        <v>32</v>
      </c>
      <c r="G531">
        <f>'NHL2025-26Results'!E527</f>
        <v>3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-1.6501587046303245</v>
      </c>
      <c r="J531">
        <f>(Table3[[#This Row],[HomeMargin]]-Table3[[#This Row],[HomeForecast]])^2</f>
        <v>0.12238893194593251</v>
      </c>
    </row>
    <row r="532" spans="4:10" x14ac:dyDescent="0.2">
      <c r="D532" t="s">
        <v>16</v>
      </c>
      <c r="E532">
        <f>'NHL2025-26Results'!C528</f>
        <v>3</v>
      </c>
      <c r="F532" t="s">
        <v>33</v>
      </c>
      <c r="G532">
        <f>'NHL2025-26Results'!E528</f>
        <v>6</v>
      </c>
      <c r="H532">
        <f>Table3[[#This Row],[G_1]]-Table3[[#This Row],[G]]</f>
        <v>3</v>
      </c>
      <c r="I532">
        <f>HomeEdge+VLOOKUP(Table3[[#This Row],[Home]],$A$6:$B$38,2,FALSE)-VLOOKUP(Table3[[#This Row],[Visitor]],$A$6:$B$38,2,FALSE)</f>
        <v>0.35283941102860389</v>
      </c>
      <c r="J532">
        <f>(Table3[[#This Row],[HomeMargin]]-Table3[[#This Row],[HomeForecast]])^2</f>
        <v>7.0074591838033884</v>
      </c>
    </row>
    <row r="533" spans="4:10" x14ac:dyDescent="0.2">
      <c r="D533" t="s">
        <v>10</v>
      </c>
      <c r="E533">
        <f>'NHL2025-26Results'!C529</f>
        <v>2</v>
      </c>
      <c r="F533" t="s">
        <v>19</v>
      </c>
      <c r="G533">
        <f>'NHL2025-26Results'!E529</f>
        <v>3</v>
      </c>
      <c r="H533">
        <f>Table3[[#This Row],[G_1]]-Table3[[#This Row],[G]]</f>
        <v>1</v>
      </c>
      <c r="I533">
        <f>HomeEdge+VLOOKUP(Table3[[#This Row],[Home]],$A$6:$B$38,2,FALSE)-VLOOKUP(Table3[[#This Row],[Visitor]],$A$6:$B$38,2,FALSE)</f>
        <v>0.47877794656614159</v>
      </c>
      <c r="J533">
        <f>(Table3[[#This Row],[HomeMargin]]-Table3[[#This Row],[HomeForecast]])^2</f>
        <v>0.27167242898580796</v>
      </c>
    </row>
    <row r="534" spans="4:10" x14ac:dyDescent="0.2">
      <c r="D534" t="s">
        <v>55</v>
      </c>
      <c r="E534">
        <f>'NHL2025-26Results'!C530</f>
        <v>4</v>
      </c>
      <c r="F534" t="s">
        <v>26</v>
      </c>
      <c r="G534">
        <f>'NHL2025-26Results'!E530</f>
        <v>1</v>
      </c>
      <c r="H534">
        <f>Table3[[#This Row],[G_1]]-Table3[[#This Row],[G]]</f>
        <v>-3</v>
      </c>
      <c r="I534">
        <f>HomeEdge+VLOOKUP(Table3[[#This Row],[Home]],$A$6:$B$38,2,FALSE)-VLOOKUP(Table3[[#This Row],[Visitor]],$A$6:$B$38,2,FALSE)</f>
        <v>-0.19778117776865711</v>
      </c>
      <c r="J534">
        <f>(Table3[[#This Row],[HomeMargin]]-Table3[[#This Row],[HomeForecast]])^2</f>
        <v>7.8524303276676148</v>
      </c>
    </row>
    <row r="535" spans="4:10" x14ac:dyDescent="0.2">
      <c r="D535" t="s">
        <v>13</v>
      </c>
      <c r="E535">
        <f>'NHL2025-26Results'!C531</f>
        <v>2</v>
      </c>
      <c r="F535" t="s">
        <v>11</v>
      </c>
      <c r="G535">
        <f>'NHL2025-26Results'!E531</f>
        <v>3</v>
      </c>
      <c r="H535">
        <f>Table3[[#This Row],[G_1]]-Table3[[#This Row],[G]]</f>
        <v>1</v>
      </c>
      <c r="I535">
        <f>HomeEdge+VLOOKUP(Table3[[#This Row],[Home]],$A$6:$B$38,2,FALSE)-VLOOKUP(Table3[[#This Row],[Visitor]],$A$6:$B$38,2,FALSE)</f>
        <v>0.10846661013029291</v>
      </c>
      <c r="J535">
        <f>(Table3[[#This Row],[HomeMargin]]-Table3[[#This Row],[HomeForecast]])^2</f>
        <v>0.79483178525257114</v>
      </c>
    </row>
    <row r="536" spans="4:10" x14ac:dyDescent="0.2">
      <c r="D536" t="s">
        <v>25</v>
      </c>
      <c r="E536">
        <f>'NHL2025-26Results'!C532</f>
        <v>4</v>
      </c>
      <c r="F536" t="s">
        <v>29</v>
      </c>
      <c r="G536">
        <f>'NHL2025-26Results'!E532</f>
        <v>1</v>
      </c>
      <c r="H536">
        <f>Table3[[#This Row],[G_1]]-Table3[[#This Row],[G]]</f>
        <v>-3</v>
      </c>
      <c r="I536">
        <f>HomeEdge+VLOOKUP(Table3[[#This Row],[Home]],$A$6:$B$38,2,FALSE)-VLOOKUP(Table3[[#This Row],[Visitor]],$A$6:$B$38,2,FALSE)</f>
        <v>-0.94244237008587051</v>
      </c>
      <c r="J536">
        <f>(Table3[[#This Row],[HomeMargin]]-Table3[[#This Row],[HomeForecast]])^2</f>
        <v>4.2335434004178492</v>
      </c>
    </row>
    <row r="537" spans="4:10" x14ac:dyDescent="0.2">
      <c r="D537" t="s">
        <v>40</v>
      </c>
      <c r="E537">
        <f>'NHL2025-26Results'!C533</f>
        <v>0</v>
      </c>
      <c r="F537" t="s">
        <v>35</v>
      </c>
      <c r="G537">
        <f>'NHL2025-26Results'!E533</f>
        <v>1</v>
      </c>
      <c r="H537">
        <f>Table3[[#This Row],[G_1]]-Table3[[#This Row],[G]]</f>
        <v>1</v>
      </c>
      <c r="I537">
        <f>HomeEdge+VLOOKUP(Table3[[#This Row],[Home]],$A$6:$B$38,2,FALSE)-VLOOKUP(Table3[[#This Row],[Visitor]],$A$6:$B$38,2,FALSE)</f>
        <v>-0.69647483506267016</v>
      </c>
      <c r="J537">
        <f>(Table3[[#This Row],[HomeMargin]]-Table3[[#This Row],[HomeForecast]])^2</f>
        <v>2.8780268660009138</v>
      </c>
    </row>
    <row r="538" spans="4:10" x14ac:dyDescent="0.2">
      <c r="D538" t="s">
        <v>24</v>
      </c>
      <c r="E538">
        <f>'NHL2025-26Results'!C534</f>
        <v>2</v>
      </c>
      <c r="F538" t="s">
        <v>20</v>
      </c>
      <c r="G538">
        <f>'NHL2025-26Results'!E534</f>
        <v>1</v>
      </c>
      <c r="H538">
        <f>Table3[[#This Row],[G_1]]-Table3[[#This Row],[G]]</f>
        <v>-1</v>
      </c>
      <c r="I538">
        <f>HomeEdge+VLOOKUP(Table3[[#This Row],[Home]],$A$6:$B$38,2,FALSE)-VLOOKUP(Table3[[#This Row],[Visitor]],$A$6:$B$38,2,FALSE)</f>
        <v>0.61831585929953092</v>
      </c>
      <c r="J538">
        <f>(Table3[[#This Row],[HomeMargin]]-Table3[[#This Row],[HomeForecast]])^2</f>
        <v>2.6189462204603795</v>
      </c>
    </row>
    <row r="539" spans="4:10" x14ac:dyDescent="0.2">
      <c r="D539" t="s">
        <v>17</v>
      </c>
      <c r="E539">
        <f>'NHL2025-26Results'!C535</f>
        <v>3</v>
      </c>
      <c r="F539" t="s">
        <v>21</v>
      </c>
      <c r="G539">
        <f>'NHL2025-26Results'!E535</f>
        <v>1</v>
      </c>
      <c r="H539">
        <f>Table3[[#This Row],[G_1]]-Table3[[#This Row],[G]]</f>
        <v>-2</v>
      </c>
      <c r="I539">
        <f>HomeEdge+VLOOKUP(Table3[[#This Row],[Home]],$A$6:$B$38,2,FALSE)-VLOOKUP(Table3[[#This Row],[Visitor]],$A$6:$B$38,2,FALSE)</f>
        <v>0.24133348206865751</v>
      </c>
      <c r="J539">
        <f>(Table3[[#This Row],[HomeMargin]]-Table3[[#This Row],[HomeForecast]])^2</f>
        <v>5.0235757778420131</v>
      </c>
    </row>
    <row r="540" spans="4:10" x14ac:dyDescent="0.2">
      <c r="D540" t="s">
        <v>27</v>
      </c>
      <c r="E540">
        <f>'NHL2025-26Results'!C536</f>
        <v>3</v>
      </c>
      <c r="F540" t="s">
        <v>23</v>
      </c>
      <c r="G540">
        <f>'NHL2025-26Results'!E536</f>
        <v>5</v>
      </c>
      <c r="H540">
        <f>Table3[[#This Row],[G_1]]-Table3[[#This Row],[G]]</f>
        <v>2</v>
      </c>
      <c r="I540">
        <f>HomeEdge+VLOOKUP(Table3[[#This Row],[Home]],$A$6:$B$38,2,FALSE)-VLOOKUP(Table3[[#This Row],[Visitor]],$A$6:$B$38,2,FALSE)</f>
        <v>0.44513993158171405</v>
      </c>
      <c r="J540">
        <f>(Table3[[#This Row],[HomeMargin]]-Table3[[#This Row],[HomeForecast]])^2</f>
        <v>2.4175898323617164</v>
      </c>
    </row>
    <row r="541" spans="4:10" x14ac:dyDescent="0.2">
      <c r="D541" t="s">
        <v>34</v>
      </c>
      <c r="E541">
        <f>'NHL2025-26Results'!C537</f>
        <v>5</v>
      </c>
      <c r="F541" t="s">
        <v>28</v>
      </c>
      <c r="G541">
        <f>'NHL2025-26Results'!E537</f>
        <v>2</v>
      </c>
      <c r="H541">
        <f>Table3[[#This Row],[G_1]]-Table3[[#This Row],[G]]</f>
        <v>-3</v>
      </c>
      <c r="I541">
        <f>HomeEdge+VLOOKUP(Table3[[#This Row],[Home]],$A$6:$B$38,2,FALSE)-VLOOKUP(Table3[[#This Row],[Visitor]],$A$6:$B$38,2,FALSE)</f>
        <v>-0.34275589445518229</v>
      </c>
      <c r="J541">
        <f>(Table3[[#This Row],[HomeMargin]]-Table3[[#This Row],[HomeForecast]])^2</f>
        <v>7.0609462364526783</v>
      </c>
    </row>
    <row r="542" spans="4:10" x14ac:dyDescent="0.2">
      <c r="D542" t="s">
        <v>32</v>
      </c>
      <c r="E542">
        <f>'NHL2025-26Results'!C538</f>
        <v>2</v>
      </c>
      <c r="F542" t="s">
        <v>16</v>
      </c>
      <c r="G542">
        <f>'NHL2025-26Results'!E538</f>
        <v>4</v>
      </c>
      <c r="H542">
        <f>Table3[[#This Row],[G_1]]-Table3[[#This Row],[G]]</f>
        <v>2</v>
      </c>
      <c r="I542">
        <f>HomeEdge+VLOOKUP(Table3[[#This Row],[Home]],$A$6:$B$38,2,FALSE)-VLOOKUP(Table3[[#This Row],[Visitor]],$A$6:$B$38,2,FALSE)</f>
        <v>-0.12457497451820321</v>
      </c>
      <c r="J542">
        <f>(Table3[[#This Row],[HomeMargin]]-Table3[[#This Row],[HomeForecast]])^2</f>
        <v>4.5138188223490232</v>
      </c>
    </row>
    <row r="543" spans="4:10" x14ac:dyDescent="0.2">
      <c r="D543" t="s">
        <v>10</v>
      </c>
      <c r="E543">
        <f>'NHL2025-26Results'!C539</f>
        <v>1</v>
      </c>
      <c r="F543" t="s">
        <v>18</v>
      </c>
      <c r="G543">
        <f>'NHL2025-26Results'!E539</f>
        <v>4</v>
      </c>
      <c r="H543">
        <f>Table3[[#This Row],[G_1]]-Table3[[#This Row],[G]]</f>
        <v>3</v>
      </c>
      <c r="I543">
        <f>HomeEdge+VLOOKUP(Table3[[#This Row],[Home]],$A$6:$B$38,2,FALSE)-VLOOKUP(Table3[[#This Row],[Visitor]],$A$6:$B$38,2,FALSE)</f>
        <v>0.56407840312876878</v>
      </c>
      <c r="J543">
        <f>(Table3[[#This Row],[HomeMargin]]-Table3[[#This Row],[HomeForecast]])^2</f>
        <v>5.9337140261036883</v>
      </c>
    </row>
    <row r="544" spans="4:10" x14ac:dyDescent="0.2">
      <c r="D544" t="s">
        <v>14</v>
      </c>
      <c r="E544">
        <f>'NHL2025-26Results'!C540</f>
        <v>0</v>
      </c>
      <c r="F544" t="s">
        <v>36</v>
      </c>
      <c r="G544">
        <f>'NHL2025-26Results'!E540</f>
        <v>4</v>
      </c>
      <c r="H544">
        <f>Table3[[#This Row],[G_1]]-Table3[[#This Row],[G]]</f>
        <v>4</v>
      </c>
      <c r="I544">
        <f>HomeEdge+VLOOKUP(Table3[[#This Row],[Home]],$A$6:$B$38,2,FALSE)-VLOOKUP(Table3[[#This Row],[Visitor]],$A$6:$B$38,2,FALSE)</f>
        <v>-0.30796977767321282</v>
      </c>
      <c r="J544">
        <f>(Table3[[#This Row],[HomeMargin]]-Table3[[#This Row],[HomeForecast]])^2</f>
        <v>18.558603605345791</v>
      </c>
    </row>
    <row r="545" spans="4:10" x14ac:dyDescent="0.2">
      <c r="D545" t="s">
        <v>39</v>
      </c>
      <c r="E545">
        <f>'NHL2025-26Results'!C541</f>
        <v>5</v>
      </c>
      <c r="F545" t="s">
        <v>33</v>
      </c>
      <c r="G545">
        <f>'NHL2025-26Results'!E541</f>
        <v>3</v>
      </c>
      <c r="H545">
        <f>Table3[[#This Row],[G_1]]-Table3[[#This Row],[G]]</f>
        <v>-2</v>
      </c>
      <c r="I545">
        <f>HomeEdge+VLOOKUP(Table3[[#This Row],[Home]],$A$6:$B$38,2,FALSE)-VLOOKUP(Table3[[#This Row],[Visitor]],$A$6:$B$38,2,FALSE)</f>
        <v>-0.65124553672150942</v>
      </c>
      <c r="J545">
        <f>(Table3[[#This Row],[HomeMargin]]-Table3[[#This Row],[HomeForecast]])^2</f>
        <v>1.8191386022136495</v>
      </c>
    </row>
    <row r="546" spans="4:10" x14ac:dyDescent="0.2">
      <c r="D546" t="s">
        <v>15</v>
      </c>
      <c r="E546">
        <f>'NHL2025-26Results'!C542</f>
        <v>2</v>
      </c>
      <c r="F546" t="s">
        <v>35</v>
      </c>
      <c r="G546">
        <f>'NHL2025-26Results'!E542</f>
        <v>1</v>
      </c>
      <c r="H546">
        <f>Table3[[#This Row],[G_1]]-Table3[[#This Row],[G]]</f>
        <v>-1</v>
      </c>
      <c r="I546">
        <f>HomeEdge+VLOOKUP(Table3[[#This Row],[Home]],$A$6:$B$38,2,FALSE)-VLOOKUP(Table3[[#This Row],[Visitor]],$A$6:$B$38,2,FALSE)</f>
        <v>-0.53072628386946841</v>
      </c>
      <c r="J546">
        <f>(Table3[[#This Row],[HomeMargin]]-Table3[[#This Row],[HomeForecast]])^2</f>
        <v>0.22021782065095874</v>
      </c>
    </row>
    <row r="547" spans="4:10" x14ac:dyDescent="0.2">
      <c r="D547" t="s">
        <v>13</v>
      </c>
      <c r="E547">
        <f>'NHL2025-26Results'!C543</f>
        <v>2</v>
      </c>
      <c r="F547" t="s">
        <v>37</v>
      </c>
      <c r="G547">
        <f>'NHL2025-26Results'!E543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1.1856248535625036</v>
      </c>
      <c r="J547">
        <f>(Table3[[#This Row],[HomeMargin]]-Table3[[#This Row],[HomeForecast]])^2</f>
        <v>4.7769560005101148</v>
      </c>
    </row>
    <row r="548" spans="4:10" x14ac:dyDescent="0.2">
      <c r="D548" t="s">
        <v>19</v>
      </c>
      <c r="E548">
        <f>'NHL2025-26Results'!C544</f>
        <v>0</v>
      </c>
      <c r="F548" t="s">
        <v>22</v>
      </c>
      <c r="G548">
        <f>'NHL2025-26Results'!E544</f>
        <v>4</v>
      </c>
      <c r="H548">
        <f>Table3[[#This Row],[G_1]]-Table3[[#This Row],[G]]</f>
        <v>4</v>
      </c>
      <c r="I548">
        <f>HomeEdge+VLOOKUP(Table3[[#This Row],[Home]],$A$6:$B$38,2,FALSE)-VLOOKUP(Table3[[#This Row],[Visitor]],$A$6:$B$38,2,FALSE)</f>
        <v>0.32856543567420082</v>
      </c>
      <c r="J548">
        <f>(Table3[[#This Row],[HomeMargin]]-Table3[[#This Row],[HomeForecast]])^2</f>
        <v>13.47943176012617</v>
      </c>
    </row>
    <row r="549" spans="4:10" x14ac:dyDescent="0.2">
      <c r="D549" t="s">
        <v>39</v>
      </c>
      <c r="E549">
        <f>'NHL2025-26Results'!C545</f>
        <v>8</v>
      </c>
      <c r="F549" t="s">
        <v>31</v>
      </c>
      <c r="G549">
        <f>'NHL2025-26Results'!E545</f>
        <v>3</v>
      </c>
      <c r="H549">
        <f>Table3[[#This Row],[G_1]]-Table3[[#This Row],[G]]</f>
        <v>-5</v>
      </c>
      <c r="I549">
        <f>HomeEdge+VLOOKUP(Table3[[#This Row],[Home]],$A$6:$B$38,2,FALSE)-VLOOKUP(Table3[[#This Row],[Visitor]],$A$6:$B$38,2,FALSE)</f>
        <v>-0.49951969710376021</v>
      </c>
      <c r="J549">
        <f>(Table3[[#This Row],[HomeMargin]]-Table3[[#This Row],[HomeForecast]])^2</f>
        <v>20.254322956757033</v>
      </c>
    </row>
    <row r="550" spans="4:10" x14ac:dyDescent="0.2">
      <c r="D550" t="s">
        <v>40</v>
      </c>
      <c r="E550">
        <f>'NHL2025-26Results'!C546</f>
        <v>2</v>
      </c>
      <c r="F550" t="s">
        <v>12</v>
      </c>
      <c r="G550">
        <f>'NHL2025-26Results'!E546</f>
        <v>3</v>
      </c>
      <c r="H550">
        <f>Table3[[#This Row],[G_1]]-Table3[[#This Row],[G]]</f>
        <v>1</v>
      </c>
      <c r="I550">
        <f>HomeEdge+VLOOKUP(Table3[[#This Row],[Home]],$A$6:$B$38,2,FALSE)-VLOOKUP(Table3[[#This Row],[Visitor]],$A$6:$B$38,2,FALSE)</f>
        <v>1.7450724815491336</v>
      </c>
      <c r="J550">
        <f>(Table3[[#This Row],[HomeMargin]]-Table3[[#This Row],[HomeForecast]])^2</f>
        <v>0.55513300276178412</v>
      </c>
    </row>
    <row r="551" spans="4:10" x14ac:dyDescent="0.2">
      <c r="D551" t="s">
        <v>25</v>
      </c>
      <c r="E551">
        <f>'NHL2025-26Results'!C547</f>
        <v>3</v>
      </c>
      <c r="F551" t="s">
        <v>11</v>
      </c>
      <c r="G551">
        <f>'NHL2025-26Results'!E547</f>
        <v>4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-0.62305872295837839</v>
      </c>
      <c r="J551">
        <f>(Table3[[#This Row],[HomeMargin]]-Table3[[#This Row],[HomeForecast]])^2</f>
        <v>2.6343196181712822</v>
      </c>
    </row>
    <row r="552" spans="4:10" x14ac:dyDescent="0.2">
      <c r="D552" t="s">
        <v>38</v>
      </c>
      <c r="E552">
        <f>'NHL2025-26Results'!C548</f>
        <v>4</v>
      </c>
      <c r="F552" t="s">
        <v>30</v>
      </c>
      <c r="G552">
        <f>'NHL2025-26Results'!E548</f>
        <v>1</v>
      </c>
      <c r="H552">
        <f>Table3[[#This Row],[G_1]]-Table3[[#This Row],[G]]</f>
        <v>-3</v>
      </c>
      <c r="I552">
        <f>HomeEdge+VLOOKUP(Table3[[#This Row],[Home]],$A$6:$B$38,2,FALSE)-VLOOKUP(Table3[[#This Row],[Visitor]],$A$6:$B$38,2,FALSE)</f>
        <v>1.1460137119959048</v>
      </c>
      <c r="J552">
        <f>(Table3[[#This Row],[HomeMargin]]-Table3[[#This Row],[HomeForecast]])^2</f>
        <v>17.189429700058064</v>
      </c>
    </row>
    <row r="553" spans="4:10" x14ac:dyDescent="0.2">
      <c r="D553" t="s">
        <v>24</v>
      </c>
      <c r="E553">
        <f>'NHL2025-26Results'!C549</f>
        <v>2</v>
      </c>
      <c r="F553" t="s">
        <v>55</v>
      </c>
      <c r="G553">
        <f>'NHL2025-26Results'!E549</f>
        <v>1</v>
      </c>
      <c r="H553">
        <f>Table3[[#This Row],[G_1]]-Table3[[#This Row],[G]]</f>
        <v>-1</v>
      </c>
      <c r="I553">
        <f>HomeEdge+VLOOKUP(Table3[[#This Row],[Home]],$A$6:$B$38,2,FALSE)-VLOOKUP(Table3[[#This Row],[Visitor]],$A$6:$B$38,2,FALSE)</f>
        <v>0.74364206183181281</v>
      </c>
      <c r="J553">
        <f>(Table3[[#This Row],[HomeMargin]]-Table3[[#This Row],[HomeForecast]])^2</f>
        <v>3.0402876397890957</v>
      </c>
    </row>
    <row r="554" spans="4:10" x14ac:dyDescent="0.2">
      <c r="D554" t="s">
        <v>28</v>
      </c>
      <c r="E554">
        <f>'NHL2025-26Results'!C550</f>
        <v>3</v>
      </c>
      <c r="F554" t="s">
        <v>31</v>
      </c>
      <c r="G554">
        <f>'NHL2025-26Results'!E550</f>
        <v>4</v>
      </c>
      <c r="H554">
        <f>Table3[[#This Row],[G_1]]-Table3[[#This Row],[G]]</f>
        <v>1</v>
      </c>
      <c r="I554">
        <f>HomeEdge+VLOOKUP(Table3[[#This Row],[Home]],$A$6:$B$38,2,FALSE)-VLOOKUP(Table3[[#This Row],[Visitor]],$A$6:$B$38,2,FALSE)</f>
        <v>0.13892290419315051</v>
      </c>
      <c r="J554">
        <f>(Table3[[#This Row],[HomeMargin]]-Table3[[#This Row],[HomeForecast]])^2</f>
        <v>0.74145376492315818</v>
      </c>
    </row>
    <row r="555" spans="4:10" x14ac:dyDescent="0.2">
      <c r="D555" t="s">
        <v>38</v>
      </c>
      <c r="E555">
        <f>'NHL2025-26Results'!C551</f>
        <v>5</v>
      </c>
      <c r="F555" t="s">
        <v>21</v>
      </c>
      <c r="G555">
        <f>'NHL2025-26Results'!E551</f>
        <v>4</v>
      </c>
      <c r="H555">
        <f>Table3[[#This Row],[G_1]]-Table3[[#This Row],[G]]</f>
        <v>-1</v>
      </c>
      <c r="I555">
        <f>HomeEdge+VLOOKUP(Table3[[#This Row],[Home]],$A$6:$B$38,2,FALSE)-VLOOKUP(Table3[[#This Row],[Visitor]],$A$6:$B$38,2,FALSE)</f>
        <v>1.3000531651788252</v>
      </c>
      <c r="J555">
        <f>(Table3[[#This Row],[HomeMargin]]-Table3[[#This Row],[HomeForecast]])^2</f>
        <v>5.290244562649133</v>
      </c>
    </row>
    <row r="556" spans="4:10" x14ac:dyDescent="0.2">
      <c r="D556" t="s">
        <v>30</v>
      </c>
      <c r="E556">
        <f>'NHL2025-26Results'!C552</f>
        <v>2</v>
      </c>
      <c r="F556" t="s">
        <v>23</v>
      </c>
      <c r="G556">
        <f>'NHL2025-26Results'!E552</f>
        <v>3</v>
      </c>
      <c r="H556">
        <f>Table3[[#This Row],[G_1]]-Table3[[#This Row],[G]]</f>
        <v>1</v>
      </c>
      <c r="I556">
        <f>HomeEdge+VLOOKUP(Table3[[#This Row],[Home]],$A$6:$B$38,2,FALSE)-VLOOKUP(Table3[[#This Row],[Visitor]],$A$6:$B$38,2,FALSE)</f>
        <v>0.33240413393581902</v>
      </c>
      <c r="J556">
        <f>(Table3[[#This Row],[HomeMargin]]-Table3[[#This Row],[HomeForecast]])^2</f>
        <v>0.44568424038598387</v>
      </c>
    </row>
    <row r="557" spans="4:10" x14ac:dyDescent="0.2">
      <c r="D557" t="s">
        <v>20</v>
      </c>
      <c r="E557">
        <f>'NHL2025-26Results'!C553</f>
        <v>3</v>
      </c>
      <c r="F557" t="s">
        <v>16</v>
      </c>
      <c r="G557">
        <f>'NHL2025-26Results'!E553</f>
        <v>6</v>
      </c>
      <c r="H557">
        <f>Table3[[#This Row],[G_1]]-Table3[[#This Row],[G]]</f>
        <v>3</v>
      </c>
      <c r="I557">
        <f>HomeEdge+VLOOKUP(Table3[[#This Row],[Home]],$A$6:$B$38,2,FALSE)-VLOOKUP(Table3[[#This Row],[Visitor]],$A$6:$B$38,2,FALSE)</f>
        <v>-0.69074474117189422</v>
      </c>
      <c r="J557">
        <f>(Table3[[#This Row],[HomeMargin]]-Table3[[#This Row],[HomeForecast]])^2</f>
        <v>13.621596744487992</v>
      </c>
    </row>
    <row r="558" spans="4:10" x14ac:dyDescent="0.2">
      <c r="D558" t="s">
        <v>35</v>
      </c>
      <c r="E558">
        <f>'NHL2025-26Results'!C554</f>
        <v>6</v>
      </c>
      <c r="F558" t="s">
        <v>11</v>
      </c>
      <c r="G558">
        <f>'NHL2025-26Results'!E554</f>
        <v>2</v>
      </c>
      <c r="H558">
        <f>Table3[[#This Row],[G_1]]-Table3[[#This Row],[G]]</f>
        <v>-4</v>
      </c>
      <c r="I558">
        <f>HomeEdge+VLOOKUP(Table3[[#This Row],[Home]],$A$6:$B$38,2,FALSE)-VLOOKUP(Table3[[#This Row],[Visitor]],$A$6:$B$38,2,FALSE)</f>
        <v>0.93857981121422651</v>
      </c>
      <c r="J558">
        <f>(Table3[[#This Row],[HomeMargin]]-Table3[[#This Row],[HomeForecast]])^2</f>
        <v>24.389570551732742</v>
      </c>
    </row>
    <row r="559" spans="4:10" x14ac:dyDescent="0.2">
      <c r="D559" t="s">
        <v>17</v>
      </c>
      <c r="E559">
        <f>'NHL2025-26Results'!C555</f>
        <v>2</v>
      </c>
      <c r="F559" t="s">
        <v>34</v>
      </c>
      <c r="G559">
        <f>'NHL2025-26Results'!E555</f>
        <v>5</v>
      </c>
      <c r="H559">
        <f>Table3[[#This Row],[G_1]]-Table3[[#This Row],[G]]</f>
        <v>3</v>
      </c>
      <c r="I559">
        <f>HomeEdge+VLOOKUP(Table3[[#This Row],[Home]],$A$6:$B$38,2,FALSE)-VLOOKUP(Table3[[#This Row],[Visitor]],$A$6:$B$38,2,FALSE)</f>
        <v>0.30926060786887438</v>
      </c>
      <c r="J559">
        <f>(Table3[[#This Row],[HomeMargin]]-Table3[[#This Row],[HomeForecast]])^2</f>
        <v>7.240078476366179</v>
      </c>
    </row>
    <row r="560" spans="4:10" x14ac:dyDescent="0.2">
      <c r="D560" t="s">
        <v>14</v>
      </c>
      <c r="E560">
        <f>'NHL2025-26Results'!C556</f>
        <v>0</v>
      </c>
      <c r="F560" t="s">
        <v>18</v>
      </c>
      <c r="G560">
        <f>'NHL2025-26Results'!E556</f>
        <v>4</v>
      </c>
      <c r="H560">
        <f>Table3[[#This Row],[G_1]]-Table3[[#This Row],[G]]</f>
        <v>4</v>
      </c>
      <c r="I560">
        <f>HomeEdge+VLOOKUP(Table3[[#This Row],[Home]],$A$6:$B$38,2,FALSE)-VLOOKUP(Table3[[#This Row],[Visitor]],$A$6:$B$38,2,FALSE)</f>
        <v>-0.14051727038335385</v>
      </c>
      <c r="J560">
        <f>(Table3[[#This Row],[HomeMargin]]-Table3[[#This Row],[HomeForecast]])^2</f>
        <v>17.143883266342819</v>
      </c>
    </row>
    <row r="561" spans="4:10" x14ac:dyDescent="0.2">
      <c r="D561" t="s">
        <v>19</v>
      </c>
      <c r="E561">
        <f>'NHL2025-26Results'!C557</f>
        <v>3</v>
      </c>
      <c r="F561" t="s">
        <v>29</v>
      </c>
      <c r="G561">
        <f>'NHL2025-26Results'!E557</f>
        <v>5</v>
      </c>
      <c r="H561">
        <f>Table3[[#This Row],[G_1]]-Table3[[#This Row],[G]]</f>
        <v>2</v>
      </c>
      <c r="I561">
        <f>HomeEdge+VLOOKUP(Table3[[#This Row],[Home]],$A$6:$B$38,2,FALSE)-VLOOKUP(Table3[[#This Row],[Visitor]],$A$6:$B$38,2,FALSE)</f>
        <v>-0.32541121615635532</v>
      </c>
      <c r="J561">
        <f>(Table3[[#This Row],[HomeMargin]]-Table3[[#This Row],[HomeForecast]])^2</f>
        <v>5.40753732422578</v>
      </c>
    </row>
    <row r="562" spans="4:10" x14ac:dyDescent="0.2">
      <c r="D562" t="s">
        <v>27</v>
      </c>
      <c r="E562">
        <f>'NHL2025-26Results'!C558</f>
        <v>4</v>
      </c>
      <c r="F562" t="s">
        <v>15</v>
      </c>
      <c r="G562">
        <f>'NHL2025-26Results'!E558</f>
        <v>5</v>
      </c>
      <c r="H562">
        <f>Table3[[#This Row],[G_1]]-Table3[[#This Row],[G]]</f>
        <v>1</v>
      </c>
      <c r="I562">
        <f>HomeEdge+VLOOKUP(Table3[[#This Row],[Home]],$A$6:$B$38,2,FALSE)-VLOOKUP(Table3[[#This Row],[Visitor]],$A$6:$B$38,2,FALSE)</f>
        <v>-0.2218732323611704</v>
      </c>
      <c r="J562">
        <f>(Table3[[#This Row],[HomeMargin]]-Table3[[#This Row],[HomeForecast]])^2</f>
        <v>1.4929741959607346</v>
      </c>
    </row>
    <row r="563" spans="4:10" x14ac:dyDescent="0.2">
      <c r="D563" t="s">
        <v>10</v>
      </c>
      <c r="E563">
        <f>'NHL2025-26Results'!C559</f>
        <v>4</v>
      </c>
      <c r="F563" t="s">
        <v>36</v>
      </c>
      <c r="G563">
        <f>'NHL2025-26Results'!E559</f>
        <v>6</v>
      </c>
      <c r="H563">
        <f>Table3[[#This Row],[G_1]]-Table3[[#This Row],[G]]</f>
        <v>2</v>
      </c>
      <c r="I563">
        <f>HomeEdge+VLOOKUP(Table3[[#This Row],[Home]],$A$6:$B$38,2,FALSE)-VLOOKUP(Table3[[#This Row],[Visitor]],$A$6:$B$38,2,FALSE)</f>
        <v>0.39662589583890984</v>
      </c>
      <c r="J563">
        <f>(Table3[[#This Row],[HomeMargin]]-Table3[[#This Row],[HomeForecast]])^2</f>
        <v>2.570808517894378</v>
      </c>
    </row>
    <row r="564" spans="4:10" x14ac:dyDescent="0.2">
      <c r="D564" t="s">
        <v>32</v>
      </c>
      <c r="E564">
        <f>'NHL2025-26Results'!C560</f>
        <v>4</v>
      </c>
      <c r="F564" t="s">
        <v>33</v>
      </c>
      <c r="G564">
        <f>'NHL2025-26Results'!E560</f>
        <v>2</v>
      </c>
      <c r="H564">
        <f>Table3[[#This Row],[G_1]]-Table3[[#This Row],[G]]</f>
        <v>-2</v>
      </c>
      <c r="I564">
        <f>HomeEdge+VLOOKUP(Table3[[#This Row],[Home]],$A$6:$B$38,2,FALSE)-VLOOKUP(Table3[[#This Row],[Visitor]],$A$6:$B$38,2,FALSE)</f>
        <v>0.13229444133973739</v>
      </c>
      <c r="J564">
        <f>(Table3[[#This Row],[HomeMargin]]-Table3[[#This Row],[HomeForecast]])^2</f>
        <v>4.5466795845683432</v>
      </c>
    </row>
    <row r="565" spans="4:10" x14ac:dyDescent="0.2">
      <c r="D565" t="s">
        <v>25</v>
      </c>
      <c r="E565">
        <f>'NHL2025-26Results'!C561</f>
        <v>4</v>
      </c>
      <c r="F565" t="s">
        <v>37</v>
      </c>
      <c r="G565">
        <f>'NHL2025-26Results'!E561</f>
        <v>6</v>
      </c>
      <c r="H565">
        <f>Table3[[#This Row],[G_1]]-Table3[[#This Row],[G]]</f>
        <v>2</v>
      </c>
      <c r="I565">
        <f>HomeEdge+VLOOKUP(Table3[[#This Row],[Home]],$A$6:$B$38,2,FALSE)-VLOOKUP(Table3[[#This Row],[Visitor]],$A$6:$B$38,2,FALSE)</f>
        <v>0.4540995204738324</v>
      </c>
      <c r="J565">
        <f>(Table3[[#This Row],[HomeMargin]]-Table3[[#This Row],[HomeForecast]])^2</f>
        <v>2.3898082925992354</v>
      </c>
    </row>
    <row r="566" spans="4:10" x14ac:dyDescent="0.2">
      <c r="D566" t="s">
        <v>26</v>
      </c>
      <c r="E566">
        <f>'NHL2025-26Results'!C562</f>
        <v>5</v>
      </c>
      <c r="F566" t="s">
        <v>22</v>
      </c>
      <c r="G566">
        <f>'NHL2025-26Results'!E562</f>
        <v>2</v>
      </c>
      <c r="H566">
        <f>Table3[[#This Row],[G_1]]-Table3[[#This Row],[G]]</f>
        <v>-3</v>
      </c>
      <c r="I566">
        <f>HomeEdge+VLOOKUP(Table3[[#This Row],[Home]],$A$6:$B$38,2,FALSE)-VLOOKUP(Table3[[#This Row],[Visitor]],$A$6:$B$38,2,FALSE)</f>
        <v>0.18000940285982209</v>
      </c>
      <c r="J566">
        <f>(Table3[[#This Row],[HomeMargin]]-Table3[[#This Row],[HomeForecast]])^2</f>
        <v>10.112459802276883</v>
      </c>
    </row>
    <row r="567" spans="4:10" x14ac:dyDescent="0.2">
      <c r="D567" t="s">
        <v>36</v>
      </c>
      <c r="E567">
        <f>'NHL2025-26Results'!C563</f>
        <v>6</v>
      </c>
      <c r="F567" t="s">
        <v>21</v>
      </c>
      <c r="G567">
        <f>'NHL2025-26Results'!E563</f>
        <v>2</v>
      </c>
      <c r="H567">
        <f>Table3[[#This Row],[G_1]]-Table3[[#This Row],[G]]</f>
        <v>-4</v>
      </c>
      <c r="I567">
        <f>HomeEdge+VLOOKUP(Table3[[#This Row],[Home]],$A$6:$B$38,2,FALSE)-VLOOKUP(Table3[[#This Row],[Visitor]],$A$6:$B$38,2,FALSE)</f>
        <v>0.44482942305558598</v>
      </c>
      <c r="J567">
        <f>(Table3[[#This Row],[HomeMargin]]-Table3[[#This Row],[HomeForecast]])^2</f>
        <v>19.756508600060648</v>
      </c>
    </row>
    <row r="568" spans="4:10" x14ac:dyDescent="0.2">
      <c r="D568" t="s">
        <v>19</v>
      </c>
      <c r="E568">
        <f>'NHL2025-26Results'!C564</f>
        <v>1</v>
      </c>
      <c r="F568" t="s">
        <v>39</v>
      </c>
      <c r="G568">
        <f>'NHL2025-26Results'!E564</f>
        <v>5</v>
      </c>
      <c r="H568">
        <f>Table3[[#This Row],[G_1]]-Table3[[#This Row],[G]]</f>
        <v>4</v>
      </c>
      <c r="I568">
        <f>HomeEdge+VLOOKUP(Table3[[#This Row],[Home]],$A$6:$B$38,2,FALSE)-VLOOKUP(Table3[[#This Row],[Visitor]],$A$6:$B$38,2,FALSE)</f>
        <v>0.63032120979963624</v>
      </c>
      <c r="J568">
        <f>(Table3[[#This Row],[HomeMargin]]-Table3[[#This Row],[HomeForecast]])^2</f>
        <v>11.354735149126187</v>
      </c>
    </row>
    <row r="569" spans="4:10" x14ac:dyDescent="0.2">
      <c r="D569" t="s">
        <v>22</v>
      </c>
      <c r="E569">
        <f>'NHL2025-26Results'!C565</f>
        <v>2</v>
      </c>
      <c r="F569" t="s">
        <v>26</v>
      </c>
      <c r="G569">
        <f>'NHL2025-26Results'!E565</f>
        <v>3</v>
      </c>
      <c r="H569">
        <f>Table3[[#This Row],[G_1]]-Table3[[#This Row],[G]]</f>
        <v>1</v>
      </c>
      <c r="I569">
        <f>HomeEdge+VLOOKUP(Table3[[#This Row],[Home]],$A$6:$B$38,2,FALSE)-VLOOKUP(Table3[[#This Row],[Visitor]],$A$6:$B$38,2,FALSE)</f>
        <v>1.1930587481504412E-2</v>
      </c>
      <c r="J569">
        <f>(Table3[[#This Row],[HomeMargin]]-Table3[[#This Row],[HomeForecast]])^2</f>
        <v>0.97628116395464493</v>
      </c>
    </row>
    <row r="570" spans="4:10" x14ac:dyDescent="0.2">
      <c r="D570" t="s">
        <v>20</v>
      </c>
      <c r="E570">
        <f>'NHL2025-26Results'!C566</f>
        <v>3</v>
      </c>
      <c r="F570" t="s">
        <v>17</v>
      </c>
      <c r="G570">
        <f>'NHL2025-26Results'!E566</f>
        <v>4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-9.9667117791057261E-2</v>
      </c>
      <c r="J570">
        <f>(Table3[[#This Row],[HomeMargin]]-Table3[[#This Row],[HomeForecast]])^2</f>
        <v>1.2092677699508911</v>
      </c>
    </row>
    <row r="571" spans="4:10" x14ac:dyDescent="0.2">
      <c r="D571" t="s">
        <v>12</v>
      </c>
      <c r="E571">
        <f>'NHL2025-26Results'!C567</f>
        <v>5</v>
      </c>
      <c r="F571" t="s">
        <v>34</v>
      </c>
      <c r="G571">
        <f>'NHL2025-26Results'!E567</f>
        <v>1</v>
      </c>
      <c r="H571">
        <f>Table3[[#This Row],[G_1]]-Table3[[#This Row],[G]]</f>
        <v>-4</v>
      </c>
      <c r="I571">
        <f>HomeEdge+VLOOKUP(Table3[[#This Row],[Home]],$A$6:$B$38,2,FALSE)-VLOOKUP(Table3[[#This Row],[Visitor]],$A$6:$B$38,2,FALSE)</f>
        <v>-1.0663354382401429</v>
      </c>
      <c r="J571">
        <f>(Table3[[#This Row],[HomeMargin]]-Table3[[#This Row],[HomeForecast]])^2</f>
        <v>8.6063877609256547</v>
      </c>
    </row>
    <row r="572" spans="4:10" x14ac:dyDescent="0.2">
      <c r="D572" t="s">
        <v>23</v>
      </c>
      <c r="E572">
        <f>'NHL2025-26Results'!C568</f>
        <v>3</v>
      </c>
      <c r="F572" t="s">
        <v>24</v>
      </c>
      <c r="G572">
        <f>'NHL2025-26Results'!E568</f>
        <v>1</v>
      </c>
      <c r="H572">
        <f>Table3[[#This Row],[G_1]]-Table3[[#This Row],[G]]</f>
        <v>-2</v>
      </c>
      <c r="I572">
        <f>HomeEdge+VLOOKUP(Table3[[#This Row],[Home]],$A$6:$B$38,2,FALSE)-VLOOKUP(Table3[[#This Row],[Visitor]],$A$6:$B$38,2,FALSE)</f>
        <v>-0.45849692847671364</v>
      </c>
      <c r="J572">
        <f>(Table3[[#This Row],[HomeMargin]]-Table3[[#This Row],[HomeForecast]])^2</f>
        <v>2.3762317195157263</v>
      </c>
    </row>
    <row r="573" spans="4:10" x14ac:dyDescent="0.2">
      <c r="D573" t="s">
        <v>15</v>
      </c>
      <c r="E573">
        <f>'NHL2025-26Results'!C569</f>
        <v>1</v>
      </c>
      <c r="F573" t="s">
        <v>29</v>
      </c>
      <c r="G573">
        <f>'NHL2025-26Results'!E569</f>
        <v>2</v>
      </c>
      <c r="H573">
        <f>Table3[[#This Row],[G_1]]-Table3[[#This Row],[G]]</f>
        <v>1</v>
      </c>
      <c r="I573">
        <f>HomeEdge+VLOOKUP(Table3[[#This Row],[Home]],$A$6:$B$38,2,FALSE)-VLOOKUP(Table3[[#This Row],[Visitor]],$A$6:$B$38,2,FALSE)</f>
        <v>-7.5001149533971967E-3</v>
      </c>
      <c r="J573">
        <f>(Table3[[#This Row],[HomeMargin]]-Table3[[#This Row],[HomeForecast]])^2</f>
        <v>1.0150564816311087</v>
      </c>
    </row>
    <row r="574" spans="4:10" x14ac:dyDescent="0.2">
      <c r="D574" t="s">
        <v>18</v>
      </c>
      <c r="E574">
        <f>'NHL2025-26Results'!C570</f>
        <v>3</v>
      </c>
      <c r="F574" t="s">
        <v>14</v>
      </c>
      <c r="G574">
        <f>'NHL2025-26Results'!E570</f>
        <v>4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0.3324572607246804</v>
      </c>
      <c r="J574">
        <f>(Table3[[#This Row],[HomeMargin]]-Table3[[#This Row],[HomeForecast]])^2</f>
        <v>0.4456133087591973</v>
      </c>
    </row>
    <row r="575" spans="4:10" x14ac:dyDescent="0.2">
      <c r="D575" t="s">
        <v>40</v>
      </c>
      <c r="E575">
        <f>'NHL2025-26Results'!C571</f>
        <v>3</v>
      </c>
      <c r="F575" t="s">
        <v>55</v>
      </c>
      <c r="G575">
        <f>'NHL2025-26Results'!E571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0.69043975093411869</v>
      </c>
      <c r="J575">
        <f>(Table3[[#This Row],[HomeMargin]]-Table3[[#This Row],[HomeForecast]])^2</f>
        <v>9.5827547801730473E-2</v>
      </c>
    </row>
    <row r="576" spans="4:10" x14ac:dyDescent="0.2">
      <c r="D576" t="s">
        <v>32</v>
      </c>
      <c r="E576">
        <f>'NHL2025-26Results'!C572</f>
        <v>3</v>
      </c>
      <c r="F576" t="s">
        <v>31</v>
      </c>
      <c r="G576">
        <f>'NHL2025-26Results'!E572</f>
        <v>1</v>
      </c>
      <c r="H576">
        <f>Table3[[#This Row],[G_1]]-Table3[[#This Row],[G]]</f>
        <v>-2</v>
      </c>
      <c r="I576">
        <f>HomeEdge+VLOOKUP(Table3[[#This Row],[Home]],$A$6:$B$38,2,FALSE)-VLOOKUP(Table3[[#This Row],[Visitor]],$A$6:$B$38,2,FALSE)</f>
        <v>0.2840202809574866</v>
      </c>
      <c r="J576">
        <f>(Table3[[#This Row],[HomeMargin]]-Table3[[#This Row],[HomeForecast]])^2</f>
        <v>5.2167486438251158</v>
      </c>
    </row>
    <row r="577" spans="4:10" x14ac:dyDescent="0.2">
      <c r="D577" t="s">
        <v>28</v>
      </c>
      <c r="E577">
        <f>'NHL2025-26Results'!C573</f>
        <v>3</v>
      </c>
      <c r="F577" t="s">
        <v>13</v>
      </c>
      <c r="G577">
        <f>'NHL2025-26Results'!E573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8.5567202679444843E-2</v>
      </c>
      <c r="J577">
        <f>(Table3[[#This Row],[HomeMargin]]-Table3[[#This Row],[HomeForecast]])^2</f>
        <v>4.3495905568921653</v>
      </c>
    </row>
    <row r="578" spans="4:10" x14ac:dyDescent="0.2">
      <c r="D578" t="s">
        <v>38</v>
      </c>
      <c r="E578">
        <f>'NHL2025-26Results'!C574</f>
        <v>2</v>
      </c>
      <c r="F578" t="s">
        <v>27</v>
      </c>
      <c r="G578">
        <f>'NHL2025-26Results'!E574</f>
        <v>5</v>
      </c>
      <c r="H578">
        <f>Table3[[#This Row],[G_1]]-Table3[[#This Row],[G]]</f>
        <v>3</v>
      </c>
      <c r="I578">
        <f>HomeEdge+VLOOKUP(Table3[[#This Row],[Home]],$A$6:$B$38,2,FALSE)-VLOOKUP(Table3[[#This Row],[Visitor]],$A$6:$B$38,2,FALSE)</f>
        <v>1.0332779143500097</v>
      </c>
      <c r="J578">
        <f>(Table3[[#This Row],[HomeMargin]]-Table3[[#This Row],[HomeForecast]])^2</f>
        <v>3.8679957621834475</v>
      </c>
    </row>
    <row r="579" spans="4:10" x14ac:dyDescent="0.2">
      <c r="D579" t="s">
        <v>35</v>
      </c>
      <c r="E579">
        <f>'NHL2025-26Results'!C575</f>
        <v>1</v>
      </c>
      <c r="F579" t="s">
        <v>37</v>
      </c>
      <c r="G579">
        <f>'NHL2025-26Results'!E575</f>
        <v>4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2.0157380546464374</v>
      </c>
      <c r="J579">
        <f>(Table3[[#This Row],[HomeMargin]]-Table3[[#This Row],[HomeForecast]])^2</f>
        <v>0.96877157707117945</v>
      </c>
    </row>
    <row r="580" spans="4:10" x14ac:dyDescent="0.2">
      <c r="D580" t="s">
        <v>18</v>
      </c>
      <c r="E580">
        <f>'NHL2025-26Results'!C576</f>
        <v>6</v>
      </c>
      <c r="F580" t="s">
        <v>21</v>
      </c>
      <c r="G580">
        <f>'NHL2025-26Results'!E576</f>
        <v>2</v>
      </c>
      <c r="H580">
        <f>Table3[[#This Row],[G_1]]-Table3[[#This Row],[G]]</f>
        <v>-4</v>
      </c>
      <c r="I580">
        <f>HomeEdge+VLOOKUP(Table3[[#This Row],[Home]],$A$6:$B$38,2,FALSE)-VLOOKUP(Table3[[#This Row],[Visitor]],$A$6:$B$38,2,FALSE)</f>
        <v>0.27737691576572704</v>
      </c>
      <c r="J580">
        <f>(Table3[[#This Row],[HomeMargin]]-Table3[[#This Row],[HomeForecast]])^2</f>
        <v>18.29595327952552</v>
      </c>
    </row>
    <row r="581" spans="4:10" x14ac:dyDescent="0.2">
      <c r="D581" t="s">
        <v>11</v>
      </c>
      <c r="E581">
        <f>'NHL2025-26Results'!C577</f>
        <v>5</v>
      </c>
      <c r="F581" t="s">
        <v>25</v>
      </c>
      <c r="G581">
        <f>'NHL2025-26Results'!E577</f>
        <v>2</v>
      </c>
      <c r="H581">
        <f>Table3[[#This Row],[G_1]]-Table3[[#This Row],[G]]</f>
        <v>-3</v>
      </c>
      <c r="I581">
        <f>HomeEdge+VLOOKUP(Table3[[#This Row],[Home]],$A$6:$B$38,2,FALSE)-VLOOKUP(Table3[[#This Row],[Visitor]],$A$6:$B$38,2,FALSE)</f>
        <v>0.81499871329970475</v>
      </c>
      <c r="J581">
        <f>(Table3[[#This Row],[HomeMargin]]-Table3[[#This Row],[HomeForecast]])^2</f>
        <v>14.554215182478403</v>
      </c>
    </row>
    <row r="582" spans="4:10" x14ac:dyDescent="0.2">
      <c r="D582" t="s">
        <v>27</v>
      </c>
      <c r="E582">
        <f>'NHL2025-26Results'!C578</f>
        <v>3</v>
      </c>
      <c r="F582" t="s">
        <v>10</v>
      </c>
      <c r="G582">
        <f>'NHL2025-26Results'!E578</f>
        <v>1</v>
      </c>
      <c r="H582">
        <f>Table3[[#This Row],[G_1]]-Table3[[#This Row],[G]]</f>
        <v>-2</v>
      </c>
      <c r="I582">
        <f>HomeEdge+VLOOKUP(Table3[[#This Row],[Home]],$A$6:$B$38,2,FALSE)-VLOOKUP(Table3[[#This Row],[Visitor]],$A$6:$B$38,2,FALSE)</f>
        <v>-0.28677008255369063</v>
      </c>
      <c r="J582">
        <f>(Table3[[#This Row],[HomeMargin]]-Table3[[#This Row],[HomeForecast]])^2</f>
        <v>2.9351567500330877</v>
      </c>
    </row>
    <row r="583" spans="4:10" x14ac:dyDescent="0.2">
      <c r="D583" t="s">
        <v>55</v>
      </c>
      <c r="E583">
        <f>'NHL2025-26Results'!C579</f>
        <v>0</v>
      </c>
      <c r="F583" t="s">
        <v>12</v>
      </c>
      <c r="G583">
        <f>'NHL2025-26Results'!E579</f>
        <v>1</v>
      </c>
      <c r="H583">
        <f>Table3[[#This Row],[G_1]]-Table3[[#This Row],[G]]</f>
        <v>1</v>
      </c>
      <c r="I583">
        <f>HomeEdge+VLOOKUP(Table3[[#This Row],[Home]],$A$6:$B$38,2,FALSE)-VLOOKUP(Table3[[#This Row],[Visitor]],$A$6:$B$38,2,FALSE)</f>
        <v>1.1506027257856781</v>
      </c>
      <c r="J583">
        <f>(Table3[[#This Row],[HomeMargin]]-Table3[[#This Row],[HomeForecast]])^2</f>
        <v>2.2681181014076159E-2</v>
      </c>
    </row>
    <row r="584" spans="4:10" x14ac:dyDescent="0.2">
      <c r="D584" t="s">
        <v>39</v>
      </c>
      <c r="E584">
        <f>'NHL2025-26Results'!C580</f>
        <v>3</v>
      </c>
      <c r="F584" t="s">
        <v>26</v>
      </c>
      <c r="G584">
        <f>'NHL2025-26Results'!E580</f>
        <v>4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-0.28982518664393109</v>
      </c>
      <c r="J584">
        <f>(Table3[[#This Row],[HomeMargin]]-Table3[[#This Row],[HomeForecast]])^2</f>
        <v>1.6636490121010514</v>
      </c>
    </row>
    <row r="585" spans="4:10" x14ac:dyDescent="0.2">
      <c r="D585" t="s">
        <v>16</v>
      </c>
      <c r="E585">
        <f>'NHL2025-26Results'!C581</f>
        <v>1</v>
      </c>
      <c r="F585" t="s">
        <v>17</v>
      </c>
      <c r="G585">
        <f>'NHL2025-26Results'!E581</f>
        <v>5</v>
      </c>
      <c r="H585">
        <f>Table3[[#This Row],[G_1]]-Table3[[#This Row],[G]]</f>
        <v>4</v>
      </c>
      <c r="I585">
        <f>HomeEdge+VLOOKUP(Table3[[#This Row],[Home]],$A$6:$B$38,2,FALSE)-VLOOKUP(Table3[[#This Row],[Visitor]],$A$6:$B$38,2,FALSE)</f>
        <v>0.68704761855150021</v>
      </c>
      <c r="J585">
        <f>(Table3[[#This Row],[HomeMargin]]-Table3[[#This Row],[HomeForecast]])^2</f>
        <v>10.975653481745285</v>
      </c>
    </row>
    <row r="586" spans="4:10" x14ac:dyDescent="0.2">
      <c r="D586" t="s">
        <v>32</v>
      </c>
      <c r="E586">
        <f>'NHL2025-26Results'!C582</f>
        <v>3</v>
      </c>
      <c r="F586" t="s">
        <v>13</v>
      </c>
      <c r="G586">
        <f>'NHL2025-26Results'!E582</f>
        <v>2</v>
      </c>
      <c r="H586">
        <f>Table3[[#This Row],[G_1]]-Table3[[#This Row],[G]]</f>
        <v>-1</v>
      </c>
      <c r="I586">
        <f>HomeEdge+VLOOKUP(Table3[[#This Row],[Home]],$A$6:$B$38,2,FALSE)-VLOOKUP(Table3[[#This Row],[Visitor]],$A$6:$B$38,2,FALSE)</f>
        <v>0.23066457944378094</v>
      </c>
      <c r="J586">
        <f>(Table3[[#This Row],[HomeMargin]]-Table3[[#This Row],[HomeForecast]])^2</f>
        <v>1.5145353070975383</v>
      </c>
    </row>
    <row r="587" spans="4:10" x14ac:dyDescent="0.2">
      <c r="D587" t="s">
        <v>29</v>
      </c>
      <c r="E587">
        <f>'NHL2025-26Results'!C583</f>
        <v>3</v>
      </c>
      <c r="F587" t="s">
        <v>34</v>
      </c>
      <c r="G587">
        <f>'NHL2025-26Results'!E583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0.85198570945558971</v>
      </c>
      <c r="J587">
        <f>(Table3[[#This Row],[HomeMargin]]-Table3[[#This Row],[HomeForecast]])^2</f>
        <v>3.4298510680277245</v>
      </c>
    </row>
    <row r="588" spans="4:10" x14ac:dyDescent="0.2">
      <c r="D588" t="s">
        <v>24</v>
      </c>
      <c r="E588">
        <f>'NHL2025-26Results'!C584</f>
        <v>1</v>
      </c>
      <c r="F588" t="s">
        <v>30</v>
      </c>
      <c r="G588">
        <f>'NHL2025-26Results'!E584</f>
        <v>2</v>
      </c>
      <c r="H588">
        <f>Table3[[#This Row],[G_1]]-Table3[[#This Row],[G]]</f>
        <v>1</v>
      </c>
      <c r="I588">
        <f>HomeEdge+VLOOKUP(Table3[[#This Row],[Home]],$A$6:$B$38,2,FALSE)-VLOOKUP(Table3[[#This Row],[Visitor]],$A$6:$B$38,2,FALSE)</f>
        <v>0.41400278005288432</v>
      </c>
      <c r="J588">
        <f>(Table3[[#This Row],[HomeMargin]]-Table3[[#This Row],[HomeForecast]])^2</f>
        <v>0.34339274178574836</v>
      </c>
    </row>
    <row r="589" spans="4:10" x14ac:dyDescent="0.2">
      <c r="D589" t="s">
        <v>23</v>
      </c>
      <c r="E589">
        <f>'NHL2025-26Results'!C585</f>
        <v>3</v>
      </c>
      <c r="F589" t="s">
        <v>36</v>
      </c>
      <c r="G589">
        <f>'NHL2025-26Results'!E585</f>
        <v>2</v>
      </c>
      <c r="H589">
        <f>Table3[[#This Row],[G_1]]-Table3[[#This Row],[G]]</f>
        <v>-1</v>
      </c>
      <c r="I589">
        <f>HomeEdge+VLOOKUP(Table3[[#This Row],[Home]],$A$6:$B$38,2,FALSE)-VLOOKUP(Table3[[#This Row],[Visitor]],$A$6:$B$38,2,FALSE)</f>
        <v>-0.3352841182964949</v>
      </c>
      <c r="J589">
        <f>(Table3[[#This Row],[HomeMargin]]-Table3[[#This Row],[HomeForecast]])^2</f>
        <v>0.44184720338886813</v>
      </c>
    </row>
    <row r="590" spans="4:10" x14ac:dyDescent="0.2">
      <c r="D590" t="s">
        <v>14</v>
      </c>
      <c r="E590">
        <f>'NHL2025-26Results'!C586</f>
        <v>3</v>
      </c>
      <c r="F590" t="s">
        <v>19</v>
      </c>
      <c r="G590">
        <f>'NHL2025-26Results'!E586</f>
        <v>6</v>
      </c>
      <c r="H590">
        <f>Table3[[#This Row],[G_1]]-Table3[[#This Row],[G]]</f>
        <v>3</v>
      </c>
      <c r="I590">
        <f>HomeEdge+VLOOKUP(Table3[[#This Row],[Home]],$A$6:$B$38,2,FALSE)-VLOOKUP(Table3[[#This Row],[Visitor]],$A$6:$B$38,2,FALSE)</f>
        <v>-0.22581772694598104</v>
      </c>
      <c r="J590">
        <f>(Table3[[#This Row],[HomeMargin]]-Table3[[#This Row],[HomeForecast]])^2</f>
        <v>10.405900007478936</v>
      </c>
    </row>
    <row r="591" spans="4:10" x14ac:dyDescent="0.2">
      <c r="D591" t="s">
        <v>33</v>
      </c>
      <c r="E591">
        <f>'NHL2025-26Results'!C587</f>
        <v>2</v>
      </c>
      <c r="F591" t="s">
        <v>20</v>
      </c>
      <c r="G591">
        <f>'NHL2025-26Results'!E587</f>
        <v>7</v>
      </c>
      <c r="H591">
        <f>Table3[[#This Row],[G_1]]-Table3[[#This Row],[G]]</f>
        <v>5</v>
      </c>
      <c r="I591">
        <f>HomeEdge+VLOOKUP(Table3[[#This Row],[Home]],$A$6:$B$38,2,FALSE)-VLOOKUP(Table3[[#This Row],[Visitor]],$A$6:$B$38,2,FALSE)</f>
        <v>0.62581531565528004</v>
      </c>
      <c r="J591">
        <f>(Table3[[#This Row],[HomeMargin]]-Table3[[#This Row],[HomeForecast]])^2</f>
        <v>19.133491652755918</v>
      </c>
    </row>
    <row r="592" spans="4:10" x14ac:dyDescent="0.2">
      <c r="D592" t="s">
        <v>15</v>
      </c>
      <c r="E592">
        <f>'NHL2025-26Results'!C588</f>
        <v>7</v>
      </c>
      <c r="F592" t="s">
        <v>22</v>
      </c>
      <c r="G592">
        <f>'NHL2025-26Results'!E588</f>
        <v>3</v>
      </c>
      <c r="H592">
        <f>Table3[[#This Row],[G_1]]-Table3[[#This Row],[G]]</f>
        <v>-4</v>
      </c>
      <c r="I592">
        <f>HomeEdge+VLOOKUP(Table3[[#This Row],[Home]],$A$6:$B$38,2,FALSE)-VLOOKUP(Table3[[#This Row],[Visitor]],$A$6:$B$38,2,FALSE)</f>
        <v>0.646476536877159</v>
      </c>
      <c r="J592">
        <f>(Table3[[#This Row],[HomeMargin]]-Table3[[#This Row],[HomeForecast]])^2</f>
        <v>21.589744207749963</v>
      </c>
    </row>
    <row r="593" spans="4:10" x14ac:dyDescent="0.2">
      <c r="D593" t="s">
        <v>21</v>
      </c>
      <c r="E593">
        <f>'NHL2025-26Results'!C589</f>
        <v>1</v>
      </c>
      <c r="F593" t="s">
        <v>23</v>
      </c>
      <c r="G593">
        <f>'NHL2025-26Results'!E589</f>
        <v>4</v>
      </c>
      <c r="H593">
        <f>Table3[[#This Row],[G_1]]-Table3[[#This Row],[G]]</f>
        <v>3</v>
      </c>
      <c r="I593">
        <f>HomeEdge+VLOOKUP(Table3[[#This Row],[Home]],$A$6:$B$38,2,FALSE)-VLOOKUP(Table3[[#This Row],[Visitor]],$A$6:$B$38,2,FALSE)</f>
        <v>0.17836468075289866</v>
      </c>
      <c r="J593">
        <f>(Table3[[#This Row],[HomeMargin]]-Table3[[#This Row],[HomeForecast]])^2</f>
        <v>7.9616258748226914</v>
      </c>
    </row>
    <row r="594" spans="4:10" x14ac:dyDescent="0.2">
      <c r="D594" t="s">
        <v>26</v>
      </c>
      <c r="E594">
        <f>'NHL2025-26Results'!C590</f>
        <v>2</v>
      </c>
      <c r="F594" t="s">
        <v>25</v>
      </c>
      <c r="G594">
        <f>'NHL2025-26Results'!E590</f>
        <v>5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0.56444511628579974</v>
      </c>
      <c r="J594">
        <f>(Table3[[#This Row],[HomeMargin]]-Table3[[#This Row],[HomeForecast]])^2</f>
        <v>5.9319275915840919</v>
      </c>
    </row>
    <row r="595" spans="4:10" x14ac:dyDescent="0.2">
      <c r="D595" t="s">
        <v>17</v>
      </c>
      <c r="E595">
        <f>'NHL2025-26Results'!C591</f>
        <v>2</v>
      </c>
      <c r="F595" t="s">
        <v>16</v>
      </c>
      <c r="G595">
        <f>'NHL2025-26Results'!E591</f>
        <v>3</v>
      </c>
      <c r="H595">
        <f>Table3[[#This Row],[G_1]]-Table3[[#This Row],[G]]</f>
        <v>1</v>
      </c>
      <c r="I595">
        <f>HomeEdge+VLOOKUP(Table3[[#This Row],[Home]],$A$6:$B$38,2,FALSE)-VLOOKUP(Table3[[#This Row],[Visitor]],$A$6:$B$38,2,FALSE)</f>
        <v>-0.49510762821017368</v>
      </c>
      <c r="J595">
        <f>(Table3[[#This Row],[HomeMargin]]-Table3[[#This Row],[HomeForecast]])^2</f>
        <v>2.2353468199322508</v>
      </c>
    </row>
    <row r="596" spans="4:10" x14ac:dyDescent="0.2">
      <c r="D596" t="s">
        <v>10</v>
      </c>
      <c r="E596">
        <f>'NHL2025-26Results'!C592</f>
        <v>4</v>
      </c>
      <c r="F596" t="s">
        <v>39</v>
      </c>
      <c r="G596">
        <f>'NHL2025-26Results'!E592</f>
        <v>3</v>
      </c>
      <c r="H596">
        <f>Table3[[#This Row],[G_1]]-Table3[[#This Row],[G]]</f>
        <v>-1</v>
      </c>
      <c r="I596">
        <f>HomeEdge+VLOOKUP(Table3[[#This Row],[Home]],$A$6:$B$38,2,FALSE)-VLOOKUP(Table3[[#This Row],[Visitor]],$A$6:$B$38,2,FALSE)</f>
        <v>1.0131291611951148</v>
      </c>
      <c r="J596">
        <f>(Table3[[#This Row],[HomeMargin]]-Table3[[#This Row],[HomeForecast]])^2</f>
        <v>4.0526890196541467</v>
      </c>
    </row>
    <row r="597" spans="4:10" x14ac:dyDescent="0.2">
      <c r="D597" t="s">
        <v>37</v>
      </c>
      <c r="E597">
        <f>'NHL2025-26Results'!C593</f>
        <v>4</v>
      </c>
      <c r="F597" t="s">
        <v>11</v>
      </c>
      <c r="G597">
        <f>'NHL2025-26Results'!E593</f>
        <v>2</v>
      </c>
      <c r="H597">
        <f>Table3[[#This Row],[G_1]]-Table3[[#This Row],[G]]</f>
        <v>-2</v>
      </c>
      <c r="I597">
        <f>HomeEdge+VLOOKUP(Table3[[#This Row],[Home]],$A$6:$B$38,2,FALSE)-VLOOKUP(Table3[[#This Row],[Visitor]],$A$6:$B$38,2,FALSE)</f>
        <v>-0.98118824826154749</v>
      </c>
      <c r="J597">
        <f>(Table3[[#This Row],[HomeMargin]]-Table3[[#This Row],[HomeForecast]])^2</f>
        <v>1.0379773854803742</v>
      </c>
    </row>
    <row r="598" spans="4:10" x14ac:dyDescent="0.2">
      <c r="D598" t="s">
        <v>31</v>
      </c>
      <c r="E598">
        <f>'NHL2025-26Results'!C594</f>
        <v>1</v>
      </c>
      <c r="F598" t="s">
        <v>13</v>
      </c>
      <c r="G598">
        <f>'NHL2025-26Results'!E594</f>
        <v>6</v>
      </c>
      <c r="H598">
        <f>Table3[[#This Row],[G_1]]-Table3[[#This Row],[G]]</f>
        <v>5</v>
      </c>
      <c r="I598">
        <f>HomeEdge+VLOOKUP(Table3[[#This Row],[Home]],$A$6:$B$38,2,FALSE)-VLOOKUP(Table3[[#This Row],[Visitor]],$A$6:$B$38,2,FALSE)</f>
        <v>4.2614293656957569E-2</v>
      </c>
      <c r="J598">
        <f>(Table3[[#This Row],[HomeMargin]]-Table3[[#This Row],[HomeForecast]])^2</f>
        <v>24.575673041454305</v>
      </c>
    </row>
    <row r="599" spans="4:10" x14ac:dyDescent="0.2">
      <c r="D599" t="s">
        <v>22</v>
      </c>
      <c r="E599">
        <f>'NHL2025-26Results'!C595</f>
        <v>4</v>
      </c>
      <c r="F599" t="s">
        <v>24</v>
      </c>
      <c r="G599">
        <f>'NHL2025-26Results'!E595</f>
        <v>3</v>
      </c>
      <c r="H599">
        <f>Table3[[#This Row],[G_1]]-Table3[[#This Row],[G]]</f>
        <v>-1</v>
      </c>
      <c r="I599">
        <f>HomeEdge+VLOOKUP(Table3[[#This Row],[Home]],$A$6:$B$38,2,FALSE)-VLOOKUP(Table3[[#This Row],[Visitor]],$A$6:$B$38,2,FALSE)</f>
        <v>-0.34199030624032484</v>
      </c>
      <c r="J599">
        <f>(Table3[[#This Row],[HomeMargin]]-Table3[[#This Row],[HomeForecast]])^2</f>
        <v>0.43297675708170141</v>
      </c>
    </row>
    <row r="600" spans="4:10" x14ac:dyDescent="0.2">
      <c r="D600" t="s">
        <v>15</v>
      </c>
      <c r="E600">
        <f>'NHL2025-26Results'!C596</f>
        <v>0</v>
      </c>
      <c r="F600" t="s">
        <v>30</v>
      </c>
      <c r="G600">
        <f>'NHL2025-26Results'!E596</f>
        <v>2</v>
      </c>
      <c r="H600">
        <f>Table3[[#This Row],[G_1]]-Table3[[#This Row],[G]]</f>
        <v>2</v>
      </c>
      <c r="I600">
        <f>HomeEdge+VLOOKUP(Table3[[#This Row],[Home]],$A$6:$B$38,2,FALSE)-VLOOKUP(Table3[[#This Row],[Visitor]],$A$6:$B$38,2,FALSE)</f>
        <v>0.52654902034839202</v>
      </c>
      <c r="J600">
        <f>(Table3[[#This Row],[HomeMargin]]-Table3[[#This Row],[HomeForecast]])^2</f>
        <v>2.1710577894362832</v>
      </c>
    </row>
    <row r="601" spans="4:10" x14ac:dyDescent="0.2">
      <c r="D601" t="s">
        <v>29</v>
      </c>
      <c r="E601">
        <f>'NHL2025-26Results'!C597</f>
        <v>2</v>
      </c>
      <c r="F601" t="s">
        <v>35</v>
      </c>
      <c r="G601">
        <f>'NHL2025-26Results'!E597</f>
        <v>3</v>
      </c>
      <c r="H601">
        <f>Table3[[#This Row],[G_1]]-Table3[[#This Row],[G]]</f>
        <v>1</v>
      </c>
      <c r="I601">
        <f>HomeEdge+VLOOKUP(Table3[[#This Row],[Home]],$A$6:$B$38,2,FALSE)-VLOOKUP(Table3[[#This Row],[Visitor]],$A$6:$B$38,2,FALSE)</f>
        <v>-0.42725617374540792</v>
      </c>
      <c r="J601">
        <f>(Table3[[#This Row],[HomeMargin]]-Table3[[#This Row],[HomeForecast]])^2</f>
        <v>2.0370601854943819</v>
      </c>
    </row>
    <row r="602" spans="4:10" x14ac:dyDescent="0.2">
      <c r="D602" t="s">
        <v>36</v>
      </c>
      <c r="E602">
        <f>'NHL2025-26Results'!C598</f>
        <v>5</v>
      </c>
      <c r="F602" t="s">
        <v>19</v>
      </c>
      <c r="G602">
        <f>'NHL2025-26Results'!E598</f>
        <v>7</v>
      </c>
      <c r="H602">
        <f>Table3[[#This Row],[G_1]]-Table3[[#This Row],[G]]</f>
        <v>2</v>
      </c>
      <c r="I602">
        <f>HomeEdge+VLOOKUP(Table3[[#This Row],[Home]],$A$6:$B$38,2,FALSE)-VLOOKUP(Table3[[#This Row],[Visitor]],$A$6:$B$38,2,FALSE)</f>
        <v>0.17812204589789499</v>
      </c>
      <c r="J602">
        <f>(Table3[[#This Row],[HomeMargin]]-Table3[[#This Row],[HomeForecast]])^2</f>
        <v>3.3192392796432721</v>
      </c>
    </row>
    <row r="603" spans="4:10" x14ac:dyDescent="0.2">
      <c r="D603" t="s">
        <v>33</v>
      </c>
      <c r="E603">
        <f>'NHL2025-26Results'!C599</f>
        <v>6</v>
      </c>
      <c r="F603" t="s">
        <v>38</v>
      </c>
      <c r="G603">
        <f>'NHL2025-26Results'!E599</f>
        <v>3</v>
      </c>
      <c r="H603">
        <f>Table3[[#This Row],[G_1]]-Table3[[#This Row],[G]]</f>
        <v>-3</v>
      </c>
      <c r="I603">
        <f>HomeEdge+VLOOKUP(Table3[[#This Row],[Home]],$A$6:$B$38,2,FALSE)-VLOOKUP(Table3[[#This Row],[Visitor]],$A$6:$B$38,2,FALSE)</f>
        <v>-0.62854148041660818</v>
      </c>
      <c r="J603">
        <f>(Table3[[#This Row],[HomeMargin]]-Table3[[#This Row],[HomeForecast]])^2</f>
        <v>5.6238155101046532</v>
      </c>
    </row>
    <row r="604" spans="4:10" x14ac:dyDescent="0.2">
      <c r="D604" t="s">
        <v>12</v>
      </c>
      <c r="E604">
        <f>'NHL2025-26Results'!C600</f>
        <v>6</v>
      </c>
      <c r="F604" t="s">
        <v>20</v>
      </c>
      <c r="G604">
        <f>'NHL2025-26Results'!E600</f>
        <v>5</v>
      </c>
      <c r="H604">
        <f>Table3[[#This Row],[G_1]]-Table3[[#This Row],[G]]</f>
        <v>-1</v>
      </c>
      <c r="I604">
        <f>HomeEdge+VLOOKUP(Table3[[#This Row],[Home]],$A$6:$B$38,2,FALSE)-VLOOKUP(Table3[[#This Row],[Visitor]],$A$6:$B$38,2,FALSE)</f>
        <v>-1.0839889379766336</v>
      </c>
      <c r="J604">
        <f>(Table3[[#This Row],[HomeMargin]]-Table3[[#This Row],[HomeForecast]])^2</f>
        <v>7.0541417024428139E-3</v>
      </c>
    </row>
    <row r="605" spans="4:10" x14ac:dyDescent="0.2">
      <c r="D605" t="s">
        <v>34</v>
      </c>
      <c r="E605">
        <f>'NHL2025-26Results'!C601</f>
        <v>4</v>
      </c>
      <c r="F605" t="s">
        <v>40</v>
      </c>
      <c r="G605">
        <f>'NHL2025-26Results'!E601</f>
        <v>3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-0.39082705779700094</v>
      </c>
      <c r="J605">
        <f>(Table3[[#This Row],[HomeMargin]]-Table3[[#This Row],[HomeForecast]])^2</f>
        <v>0.37109167351225836</v>
      </c>
    </row>
    <row r="606" spans="4:10" x14ac:dyDescent="0.2">
      <c r="D606" t="s">
        <v>30</v>
      </c>
      <c r="E606">
        <f>'NHL2025-26Results'!C602</f>
        <v>2</v>
      </c>
      <c r="F606" t="s">
        <v>28</v>
      </c>
      <c r="G606">
        <f>'NHL2025-26Results'!E602</f>
        <v>4</v>
      </c>
      <c r="H606">
        <f>Table3[[#This Row],[G_1]]-Table3[[#This Row],[G]]</f>
        <v>2</v>
      </c>
      <c r="I606">
        <f>HomeEdge+VLOOKUP(Table3[[#This Row],[Home]],$A$6:$B$38,2,FALSE)-VLOOKUP(Table3[[#This Row],[Visitor]],$A$6:$B$38,2,FALSE)</f>
        <v>-0.12078931547204502</v>
      </c>
      <c r="J606">
        <f>(Table3[[#This Row],[HomeMargin]]-Table3[[#This Row],[HomeForecast]])^2</f>
        <v>4.4977473206203857</v>
      </c>
    </row>
    <row r="607" spans="4:10" x14ac:dyDescent="0.2">
      <c r="D607" t="s">
        <v>14</v>
      </c>
      <c r="E607">
        <f>'NHL2025-26Results'!C603</f>
        <v>7</v>
      </c>
      <c r="F607" t="s">
        <v>10</v>
      </c>
      <c r="G607">
        <f>'NHL2025-26Results'!E603</f>
        <v>3</v>
      </c>
      <c r="H607">
        <f>Table3[[#This Row],[G_1]]-Table3[[#This Row],[G]]</f>
        <v>-4</v>
      </c>
      <c r="I607">
        <f>HomeEdge+VLOOKUP(Table3[[#This Row],[Home]],$A$6:$B$38,2,FALSE)-VLOOKUP(Table3[[#This Row],[Visitor]],$A$6:$B$38,2,FALSE)</f>
        <v>-0.60862567834145931</v>
      </c>
      <c r="J607">
        <f>(Table3[[#This Row],[HomeMargin]]-Table3[[#This Row],[HomeForecast]])^2</f>
        <v>11.501419789604926</v>
      </c>
    </row>
    <row r="608" spans="4:10" x14ac:dyDescent="0.2">
      <c r="D608" t="s">
        <v>19</v>
      </c>
      <c r="E608">
        <f>'NHL2025-26Results'!C604</f>
        <v>2</v>
      </c>
      <c r="F608" t="s">
        <v>26</v>
      </c>
      <c r="G608">
        <f>'NHL2025-26Results'!E604</f>
        <v>3</v>
      </c>
      <c r="H608">
        <f>Table3[[#This Row],[G_1]]-Table3[[#This Row],[G]]</f>
        <v>1</v>
      </c>
      <c r="I608">
        <f>HomeEdge+VLOOKUP(Table3[[#This Row],[Home]],$A$6:$B$38,2,FALSE)-VLOOKUP(Table3[[#This Row],[Visitor]],$A$6:$B$38,2,FALSE)</f>
        <v>0.24452602798504197</v>
      </c>
      <c r="J608">
        <f>(Table3[[#This Row],[HomeMargin]]-Table3[[#This Row],[HomeForecast]])^2</f>
        <v>0.57074092239205754</v>
      </c>
    </row>
    <row r="609" spans="4:10" x14ac:dyDescent="0.2">
      <c r="D609" t="s">
        <v>27</v>
      </c>
      <c r="E609">
        <f>'NHL2025-26Results'!C605</f>
        <v>1</v>
      </c>
      <c r="F609" t="s">
        <v>32</v>
      </c>
      <c r="G609">
        <f>'NHL2025-26Results'!E605</f>
        <v>4</v>
      </c>
      <c r="H609">
        <f>Table3[[#This Row],[G_1]]-Table3[[#This Row],[G]]</f>
        <v>3</v>
      </c>
      <c r="I609">
        <f>HomeEdge+VLOOKUP(Table3[[#This Row],[Home]],$A$6:$B$38,2,FALSE)-VLOOKUP(Table3[[#This Row],[Visitor]],$A$6:$B$38,2,FALSE)</f>
        <v>-0.15315089459048609</v>
      </c>
      <c r="J609">
        <f>(Table3[[#This Row],[HomeMargin]]-Table3[[#This Row],[HomeForecast]])^2</f>
        <v>9.9423605640567843</v>
      </c>
    </row>
    <row r="610" spans="4:10" x14ac:dyDescent="0.2">
      <c r="D610" t="s">
        <v>18</v>
      </c>
      <c r="E610">
        <f>'NHL2025-26Results'!C606</f>
        <v>4</v>
      </c>
      <c r="F610" t="s">
        <v>37</v>
      </c>
      <c r="G610">
        <f>'NHL2025-26Results'!E606</f>
        <v>5</v>
      </c>
      <c r="H610">
        <f>Table3[[#This Row],[G_1]]-Table3[[#This Row],[G]]</f>
        <v>1</v>
      </c>
      <c r="I610">
        <f>HomeEdge+VLOOKUP(Table3[[#This Row],[Home]],$A$6:$B$38,2,FALSE)-VLOOKUP(Table3[[#This Row],[Visitor]],$A$6:$B$38,2,FALSE)</f>
        <v>0.98583021784072045</v>
      </c>
      <c r="J610">
        <f>(Table3[[#This Row],[HomeMargin]]-Table3[[#This Row],[HomeForecast]])^2</f>
        <v>2.0078272644143713E-4</v>
      </c>
    </row>
    <row r="611" spans="4:10" x14ac:dyDescent="0.2">
      <c r="D611" t="s">
        <v>33</v>
      </c>
      <c r="E611">
        <f>'NHL2025-26Results'!C607</f>
        <v>5</v>
      </c>
      <c r="F611" t="s">
        <v>31</v>
      </c>
      <c r="G611">
        <f>'NHL2025-26Results'!E607</f>
        <v>4</v>
      </c>
      <c r="H611">
        <f>Table3[[#This Row],[G_1]]-Table3[[#This Row],[G]]</f>
        <v>-1</v>
      </c>
      <c r="I611">
        <f>HomeEdge+VLOOKUP(Table3[[#This Row],[Home]],$A$6:$B$38,2,FALSE)-VLOOKUP(Table3[[#This Row],[Visitor]],$A$6:$B$38,2,FALSE)</f>
        <v>0.24769583478841245</v>
      </c>
      <c r="J611">
        <f>(Table3[[#This Row],[HomeMargin]]-Table3[[#This Row],[HomeForecast]])^2</f>
        <v>1.5567448961483532</v>
      </c>
    </row>
    <row r="612" spans="4:10" x14ac:dyDescent="0.2">
      <c r="D612" t="s">
        <v>15</v>
      </c>
      <c r="E612">
        <f>'NHL2025-26Results'!C608</f>
        <v>2</v>
      </c>
      <c r="F612" t="s">
        <v>25</v>
      </c>
      <c r="G612">
        <f>'NHL2025-26Results'!E608</f>
        <v>3</v>
      </c>
      <c r="H612">
        <f>Table3[[#This Row],[G_1]]-Table3[[#This Row],[G]]</f>
        <v>1</v>
      </c>
      <c r="I612">
        <f>HomeEdge+VLOOKUP(Table3[[#This Row],[Home]],$A$6:$B$38,2,FALSE)-VLOOKUP(Table3[[#This Row],[Visitor]],$A$6:$B$38,2,FALSE)</f>
        <v>1.0309122503031365</v>
      </c>
      <c r="J612">
        <f>(Table3[[#This Row],[HomeMargin]]-Table3[[#This Row],[HomeForecast]])^2</f>
        <v>9.5556721880376205E-4</v>
      </c>
    </row>
    <row r="613" spans="4:10" x14ac:dyDescent="0.2">
      <c r="D613" t="s">
        <v>21</v>
      </c>
      <c r="E613">
        <f>'NHL2025-26Results'!C609</f>
        <v>1</v>
      </c>
      <c r="F613" t="s">
        <v>16</v>
      </c>
      <c r="G613">
        <f>'NHL2025-26Results'!E609</f>
        <v>2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-0.6404711151081679</v>
      </c>
      <c r="J613">
        <f>(Table3[[#This Row],[HomeMargin]]-Table3[[#This Row],[HomeForecast]])^2</f>
        <v>2.691145479504236</v>
      </c>
    </row>
    <row r="614" spans="4:10" x14ac:dyDescent="0.2">
      <c r="D614" t="s">
        <v>13</v>
      </c>
      <c r="E614">
        <f>'NHL2025-26Results'!C610</f>
        <v>2</v>
      </c>
      <c r="F614" t="s">
        <v>12</v>
      </c>
      <c r="G614">
        <f>'NHL2025-26Results'!E610</f>
        <v>5</v>
      </c>
      <c r="H614">
        <f>Table3[[#This Row],[G_1]]-Table3[[#This Row],[G]]</f>
        <v>3</v>
      </c>
      <c r="I614">
        <f>HomeEdge+VLOOKUP(Table3[[#This Row],[Home]],$A$6:$B$38,2,FALSE)-VLOOKUP(Table3[[#This Row],[Visitor]],$A$6:$B$38,2,FALSE)</f>
        <v>1.7074041106985334</v>
      </c>
      <c r="J614">
        <f>(Table3[[#This Row],[HomeMargin]]-Table3[[#This Row],[HomeForecast]])^2</f>
        <v>1.6708041330390493</v>
      </c>
    </row>
    <row r="615" spans="4:10" x14ac:dyDescent="0.2">
      <c r="D615" t="s">
        <v>22</v>
      </c>
      <c r="E615">
        <f>'NHL2025-26Results'!C611</f>
        <v>3</v>
      </c>
      <c r="F615" t="s">
        <v>11</v>
      </c>
      <c r="G615">
        <f>'NHL2025-26Results'!E611</f>
        <v>5</v>
      </c>
      <c r="H615">
        <f>Table3[[#This Row],[G_1]]-Table3[[#This Row],[G]]</f>
        <v>2</v>
      </c>
      <c r="I615">
        <f>HomeEdge+VLOOKUP(Table3[[#This Row],[Home]],$A$6:$B$38,2,FALSE)-VLOOKUP(Table3[[#This Row],[Visitor]],$A$6:$B$38,2,FALSE)</f>
        <v>-0.23862300953240073</v>
      </c>
      <c r="J615">
        <f>(Table3[[#This Row],[HomeMargin]]-Table3[[#This Row],[HomeForecast]])^2</f>
        <v>5.0114329788079033</v>
      </c>
    </row>
    <row r="616" spans="4:10" x14ac:dyDescent="0.2">
      <c r="D616" t="s">
        <v>28</v>
      </c>
      <c r="E616">
        <f>'NHL2025-26Results'!C612</f>
        <v>4</v>
      </c>
      <c r="F616" t="s">
        <v>36</v>
      </c>
      <c r="G616">
        <f>'NHL2025-26Results'!E612</f>
        <v>1</v>
      </c>
      <c r="H616">
        <f>Table3[[#This Row],[G_1]]-Table3[[#This Row],[G]]</f>
        <v>-3</v>
      </c>
      <c r="I616">
        <f>HomeEdge+VLOOKUP(Table3[[#This Row],[Home]],$A$6:$B$38,2,FALSE)-VLOOKUP(Table3[[#This Row],[Visitor]],$A$6:$B$38,2,FALSE)</f>
        <v>0.11790933111136914</v>
      </c>
      <c r="J616">
        <f>(Table3[[#This Row],[HomeMargin]]-Table3[[#This Row],[HomeForecast]])^2</f>
        <v>9.7213585970313439</v>
      </c>
    </row>
    <row r="617" spans="4:10" x14ac:dyDescent="0.2">
      <c r="D617" t="s">
        <v>38</v>
      </c>
      <c r="E617">
        <f>'NHL2025-26Results'!C613</f>
        <v>3</v>
      </c>
      <c r="F617" t="s">
        <v>32</v>
      </c>
      <c r="G617">
        <f>'NHL2025-26Results'!E613</f>
        <v>2</v>
      </c>
      <c r="H617">
        <f>Table3[[#This Row],[G_1]]-Table3[[#This Row],[G]]</f>
        <v>-1</v>
      </c>
      <c r="I617">
        <f>HomeEdge+VLOOKUP(Table3[[#This Row],[Home]],$A$6:$B$38,2,FALSE)-VLOOKUP(Table3[[#This Row],[Visitor]],$A$6:$B$38,2,FALSE)</f>
        <v>0.7841570245888605</v>
      </c>
      <c r="J617">
        <f>(Table3[[#This Row],[HomeMargin]]-Table3[[#This Row],[HomeForecast]])^2</f>
        <v>3.1832162883897759</v>
      </c>
    </row>
    <row r="618" spans="4:10" x14ac:dyDescent="0.2">
      <c r="D618" t="s">
        <v>23</v>
      </c>
      <c r="E618">
        <f>'NHL2025-26Results'!C614</f>
        <v>4</v>
      </c>
      <c r="F618" t="s">
        <v>35</v>
      </c>
      <c r="G618">
        <f>'NHL2025-26Results'!E614</f>
        <v>2</v>
      </c>
      <c r="H618">
        <f>Table3[[#This Row],[G_1]]-Table3[[#This Row],[G]]</f>
        <v>-2</v>
      </c>
      <c r="I618">
        <f>HomeEdge+VLOOKUP(Table3[[#This Row],[Home]],$A$6:$B$38,2,FALSE)-VLOOKUP(Table3[[#This Row],[Visitor]],$A$6:$B$38,2,FALSE)</f>
        <v>-1.1977394478123529</v>
      </c>
      <c r="J618">
        <f>(Table3[[#This Row],[HomeMargin]]-Table3[[#This Row],[HomeForecast]])^2</f>
        <v>0.64362199359642847</v>
      </c>
    </row>
    <row r="619" spans="4:10" x14ac:dyDescent="0.2">
      <c r="D619" t="s">
        <v>29</v>
      </c>
      <c r="E619">
        <f>'NHL2025-26Results'!C615</f>
        <v>4</v>
      </c>
      <c r="F619" t="s">
        <v>55</v>
      </c>
      <c r="G619">
        <f>'NHL2025-26Results'!E615</f>
        <v>3</v>
      </c>
      <c r="H619">
        <f>Table3[[#This Row],[G_1]]-Table3[[#This Row],[G]]</f>
        <v>-1</v>
      </c>
      <c r="I619">
        <f>HomeEdge+VLOOKUP(Table3[[#This Row],[Home]],$A$6:$B$38,2,FALSE)-VLOOKUP(Table3[[#This Row],[Visitor]],$A$6:$B$38,2,FALSE)</f>
        <v>0.95965841225138093</v>
      </c>
      <c r="J619">
        <f>(Table3[[#This Row],[HomeMargin]]-Table3[[#This Row],[HomeForecast]])^2</f>
        <v>3.8402610927076033</v>
      </c>
    </row>
    <row r="620" spans="4:10" x14ac:dyDescent="0.2">
      <c r="D620" t="s">
        <v>34</v>
      </c>
      <c r="E620">
        <f>'NHL2025-26Results'!C616</f>
        <v>5</v>
      </c>
      <c r="F620" t="s">
        <v>20</v>
      </c>
      <c r="G620">
        <f>'NHL2025-26Results'!E616</f>
        <v>2</v>
      </c>
      <c r="H620">
        <f>Table3[[#This Row],[G_1]]-Table3[[#This Row],[G]]</f>
        <v>-3</v>
      </c>
      <c r="I620">
        <f>HomeEdge+VLOOKUP(Table3[[#This Row],[Home]],$A$6:$B$38,2,FALSE)-VLOOKUP(Table3[[#This Row],[Visitor]],$A$6:$B$38,2,FALSE)</f>
        <v>7.8316495434172614E-2</v>
      </c>
      <c r="J620">
        <f>(Table3[[#This Row],[HomeMargin]]-Table3[[#This Row],[HomeForecast]])^2</f>
        <v>9.4760324460621259</v>
      </c>
    </row>
    <row r="621" spans="4:10" x14ac:dyDescent="0.2">
      <c r="D621" t="s">
        <v>17</v>
      </c>
      <c r="E621">
        <f>'NHL2025-26Results'!C617</f>
        <v>3</v>
      </c>
      <c r="F621" t="s">
        <v>40</v>
      </c>
      <c r="G621">
        <f>'NHL2025-26Results'!E617</f>
        <v>1</v>
      </c>
      <c r="H621">
        <f>Table3[[#This Row],[G_1]]-Table3[[#This Row],[G]]</f>
        <v>-2</v>
      </c>
      <c r="I621">
        <f>HomeEdge+VLOOKUP(Table3[[#This Row],[Home]],$A$6:$B$38,2,FALSE)-VLOOKUP(Table3[[#This Row],[Visitor]],$A$6:$B$38,2,FALSE)</f>
        <v>-0.1775364450987898</v>
      </c>
      <c r="J621">
        <f>(Table3[[#This Row],[HomeMargin]]-Table3[[#This Row],[HomeForecast]])^2</f>
        <v>3.3213734089431566</v>
      </c>
    </row>
    <row r="622" spans="4:10" x14ac:dyDescent="0.2">
      <c r="D622" t="s">
        <v>30</v>
      </c>
      <c r="E622">
        <f>'NHL2025-26Results'!C618</f>
        <v>3</v>
      </c>
      <c r="F622" t="s">
        <v>10</v>
      </c>
      <c r="G622">
        <f>'NHL2025-26Results'!E618</f>
        <v>2</v>
      </c>
      <c r="H622">
        <f>Table3[[#This Row],[G_1]]-Table3[[#This Row],[G]]</f>
        <v>-1</v>
      </c>
      <c r="I622">
        <f>HomeEdge+VLOOKUP(Table3[[#This Row],[Home]],$A$6:$B$38,2,FALSE)-VLOOKUP(Table3[[#This Row],[Visitor]],$A$6:$B$38,2,FALSE)</f>
        <v>-0.39950588019958566</v>
      </c>
      <c r="J622">
        <f>(Table3[[#This Row],[HomeMargin]]-Table3[[#This Row],[HomeForecast]])^2</f>
        <v>0.36059318791487438</v>
      </c>
    </row>
    <row r="623" spans="4:10" x14ac:dyDescent="0.2">
      <c r="D623" t="s">
        <v>18</v>
      </c>
      <c r="E623">
        <f>'NHL2025-26Results'!C619</f>
        <v>3</v>
      </c>
      <c r="F623" t="s">
        <v>11</v>
      </c>
      <c r="G623">
        <f>'NHL2025-26Results'!E619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-9.1328025591490308E-2</v>
      </c>
      <c r="J623">
        <f>(Table3[[#This Row],[HomeMargin]]-Table3[[#This Row],[HomeForecast]])^2</f>
        <v>0.8256847570754593</v>
      </c>
    </row>
    <row r="624" spans="4:10" x14ac:dyDescent="0.2">
      <c r="D624" t="s">
        <v>25</v>
      </c>
      <c r="E624">
        <f>'NHL2025-26Results'!C620</f>
        <v>1</v>
      </c>
      <c r="F624" t="s">
        <v>14</v>
      </c>
      <c r="G624">
        <f>'NHL2025-26Results'!E620</f>
        <v>5</v>
      </c>
      <c r="H624">
        <f>Table3[[#This Row],[G_1]]-Table3[[#This Row],[G]]</f>
        <v>4</v>
      </c>
      <c r="I624">
        <f>HomeEdge+VLOOKUP(Table3[[#This Row],[Home]],$A$6:$B$38,2,FALSE)-VLOOKUP(Table3[[#This Row],[Visitor]],$A$6:$B$38,2,FALSE)</f>
        <v>-0.19927343664220765</v>
      </c>
      <c r="J624">
        <f>(Table3[[#This Row],[HomeMargin]]-Table3[[#This Row],[HomeForecast]])^2</f>
        <v>17.633897395688855</v>
      </c>
    </row>
    <row r="625" spans="4:10" x14ac:dyDescent="0.2">
      <c r="D625" t="s">
        <v>24</v>
      </c>
      <c r="E625">
        <f>'NHL2025-26Results'!C621</f>
        <v>0</v>
      </c>
      <c r="F625" t="s">
        <v>19</v>
      </c>
      <c r="G625">
        <f>'NHL2025-26Results'!E621</f>
        <v>4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0.30133485607811372</v>
      </c>
      <c r="J625">
        <f>(Table3[[#This Row],[HomeMargin]]-Table3[[#This Row],[HomeForecast]])^2</f>
        <v>13.680123846862706</v>
      </c>
    </row>
    <row r="626" spans="4:10" x14ac:dyDescent="0.2">
      <c r="D626" t="s">
        <v>27</v>
      </c>
      <c r="E626">
        <f>'NHL2025-26Results'!C622</f>
        <v>6</v>
      </c>
      <c r="F626" t="s">
        <v>38</v>
      </c>
      <c r="G626">
        <f>'NHL2025-26Results'!E622</f>
        <v>3</v>
      </c>
      <c r="H626">
        <f>Table3[[#This Row],[G_1]]-Table3[[#This Row],[G]]</f>
        <v>-3</v>
      </c>
      <c r="I626">
        <f>HomeEdge+VLOOKUP(Table3[[#This Row],[Home]],$A$6:$B$38,2,FALSE)-VLOOKUP(Table3[[#This Row],[Visitor]],$A$6:$B$38,2,FALSE)</f>
        <v>-0.84133792400868335</v>
      </c>
      <c r="J626">
        <f>(Table3[[#This Row],[HomeMargin]]-Table3[[#This Row],[HomeForecast]])^2</f>
        <v>4.6598219583231417</v>
      </c>
    </row>
    <row r="627" spans="4:10" x14ac:dyDescent="0.2">
      <c r="D627" t="s">
        <v>37</v>
      </c>
      <c r="E627">
        <f>'NHL2025-26Results'!C623</f>
        <v>4</v>
      </c>
      <c r="F627" t="s">
        <v>31</v>
      </c>
      <c r="G627">
        <f>'NHL2025-26Results'!E623</f>
        <v>3</v>
      </c>
      <c r="H627">
        <f>Table3[[#This Row],[G_1]]-Table3[[#This Row],[G]]</f>
        <v>-1</v>
      </c>
      <c r="I627">
        <f>HomeEdge+VLOOKUP(Table3[[#This Row],[Home]],$A$6:$B$38,2,FALSE)-VLOOKUP(Table3[[#This Row],[Visitor]],$A$6:$B$38,2,FALSE)</f>
        <v>-0.94032916170747138</v>
      </c>
      <c r="J627">
        <f>(Table3[[#This Row],[HomeMargin]]-Table3[[#This Row],[HomeForecast]])^2</f>
        <v>3.5606089425330996E-3</v>
      </c>
    </row>
    <row r="628" spans="4:10" x14ac:dyDescent="0.2">
      <c r="D628" t="s">
        <v>24</v>
      </c>
      <c r="E628">
        <f>'NHL2025-26Results'!C624</f>
        <v>3</v>
      </c>
      <c r="F628" t="s">
        <v>28</v>
      </c>
      <c r="G628">
        <f>'NHL2025-26Results'!E624</f>
        <v>2</v>
      </c>
      <c r="H628">
        <f>Table3[[#This Row],[G_1]]-Table3[[#This Row],[G]]</f>
        <v>-1</v>
      </c>
      <c r="I628">
        <f>HomeEdge+VLOOKUP(Table3[[#This Row],[Home]],$A$6:$B$38,2,FALSE)-VLOOKUP(Table3[[#This Row],[Visitor]],$A$6:$B$38,2,FALSE)</f>
        <v>0.19724346941017606</v>
      </c>
      <c r="J628">
        <f>(Table3[[#This Row],[HomeMargin]]-Table3[[#This Row],[HomeForecast]])^2</f>
        <v>1.4333919250453153</v>
      </c>
    </row>
    <row r="629" spans="4:10" x14ac:dyDescent="0.2">
      <c r="D629" t="s">
        <v>27</v>
      </c>
      <c r="E629">
        <f>'NHL2025-26Results'!C625</f>
        <v>1</v>
      </c>
      <c r="F629" t="s">
        <v>16</v>
      </c>
      <c r="G629">
        <f>'NHL2025-26Results'!E625</f>
        <v>5</v>
      </c>
      <c r="H629">
        <f>Table3[[#This Row],[G_1]]-Table3[[#This Row],[G]]</f>
        <v>4</v>
      </c>
      <c r="I629">
        <f>HomeEdge+VLOOKUP(Table3[[#This Row],[Home]],$A$6:$B$38,2,FALSE)-VLOOKUP(Table3[[#This Row],[Visitor]],$A$6:$B$38,2,FALSE)</f>
        <v>-0.37369586427935253</v>
      </c>
      <c r="J629">
        <f>(Table3[[#This Row],[HomeMargin]]-Table3[[#This Row],[HomeForecast]])^2</f>
        <v>19.129215513214312</v>
      </c>
    </row>
    <row r="630" spans="4:10" x14ac:dyDescent="0.2">
      <c r="D630" t="s">
        <v>35</v>
      </c>
      <c r="E630">
        <f>'NHL2025-26Results'!C626</f>
        <v>1</v>
      </c>
      <c r="F630" t="s">
        <v>12</v>
      </c>
      <c r="G630">
        <f>'NHL2025-26Results'!E626</f>
        <v>6</v>
      </c>
      <c r="H630">
        <f>Table3[[#This Row],[G_1]]-Table3[[#This Row],[G]]</f>
        <v>5</v>
      </c>
      <c r="I630">
        <f>HomeEdge+VLOOKUP(Table3[[#This Row],[Home]],$A$6:$B$38,2,FALSE)-VLOOKUP(Table3[[#This Row],[Visitor]],$A$6:$B$38,2,FALSE)</f>
        <v>2.5375173117824668</v>
      </c>
      <c r="J630">
        <f>(Table3[[#This Row],[HomeMargin]]-Table3[[#This Row],[HomeForecast]])^2</f>
        <v>6.0638209897710489</v>
      </c>
    </row>
    <row r="631" spans="4:10" x14ac:dyDescent="0.2">
      <c r="D631" t="s">
        <v>23</v>
      </c>
      <c r="E631">
        <f>'NHL2025-26Results'!C627</f>
        <v>4</v>
      </c>
      <c r="F631" t="s">
        <v>39</v>
      </c>
      <c r="G631">
        <f>'NHL2025-26Results'!E627</f>
        <v>1</v>
      </c>
      <c r="H631">
        <f>Table3[[#This Row],[G_1]]-Table3[[#This Row],[G]]</f>
        <v>-3</v>
      </c>
      <c r="I631">
        <f>HomeEdge+VLOOKUP(Table3[[#This Row],[Home]],$A$6:$B$38,2,FALSE)-VLOOKUP(Table3[[#This Row],[Visitor]],$A$6:$B$38,2,FALSE)</f>
        <v>0.28121914705970991</v>
      </c>
      <c r="J631">
        <f>(Table3[[#This Row],[HomeMargin]]-Table3[[#This Row],[HomeForecast]])^2</f>
        <v>10.76639909103125</v>
      </c>
    </row>
    <row r="632" spans="4:10" x14ac:dyDescent="0.2">
      <c r="D632" t="s">
        <v>40</v>
      </c>
      <c r="E632">
        <f>'NHL2025-26Results'!C628</f>
        <v>1</v>
      </c>
      <c r="F632" t="s">
        <v>26</v>
      </c>
      <c r="G632">
        <f>'NHL2025-26Results'!E628</f>
        <v>2</v>
      </c>
      <c r="H632">
        <f>Table3[[#This Row],[G_1]]-Table3[[#This Row],[G]]</f>
        <v>1</v>
      </c>
      <c r="I632">
        <f>HomeEdge+VLOOKUP(Table3[[#This Row],[Home]],$A$6:$B$38,2,FALSE)-VLOOKUP(Table3[[#This Row],[Visitor]],$A$6:$B$38,2,FALSE)</f>
        <v>0.39668857799479829</v>
      </c>
      <c r="J632">
        <f>(Table3[[#This Row],[HomeMargin]]-Table3[[#This Row],[HomeForecast]])^2</f>
        <v>0.36398467192193862</v>
      </c>
    </row>
    <row r="633" spans="4:10" x14ac:dyDescent="0.2">
      <c r="D633" t="s">
        <v>21</v>
      </c>
      <c r="E633">
        <f>'NHL2025-26Results'!C629</f>
        <v>6</v>
      </c>
      <c r="F633" t="s">
        <v>17</v>
      </c>
      <c r="G633">
        <f>'NHL2025-26Results'!E629</f>
        <v>2</v>
      </c>
      <c r="H633">
        <f>Table3[[#This Row],[G_1]]-Table3[[#This Row],[G]]</f>
        <v>-4</v>
      </c>
      <c r="I633">
        <f>HomeEdge+VLOOKUP(Table3[[#This Row],[Home]],$A$6:$B$38,2,FALSE)-VLOOKUP(Table3[[#This Row],[Visitor]],$A$6:$B$38,2,FALSE)</f>
        <v>-4.9393491727331006E-2</v>
      </c>
      <c r="J633">
        <f>(Table3[[#This Row],[HomeMargin]]-Table3[[#This Row],[HomeForecast]])^2</f>
        <v>15.607291783206369</v>
      </c>
    </row>
    <row r="634" spans="4:10" x14ac:dyDescent="0.2">
      <c r="D634" t="s">
        <v>34</v>
      </c>
      <c r="E634">
        <f>'NHL2025-26Results'!C630</f>
        <v>3</v>
      </c>
      <c r="F634" t="s">
        <v>33</v>
      </c>
      <c r="G634">
        <f>'NHL2025-26Results'!E630</f>
        <v>4</v>
      </c>
      <c r="H634">
        <f>Table3[[#This Row],[G_1]]-Table3[[#This Row],[G]]</f>
        <v>1</v>
      </c>
      <c r="I634">
        <f>HomeEdge+VLOOKUP(Table3[[#This Row],[Home]],$A$6:$B$38,2,FALSE)-VLOOKUP(Table3[[#This Row],[Visitor]],$A$6:$B$38,2,FALSE)</f>
        <v>-0.45152882505044423</v>
      </c>
      <c r="J634">
        <f>(Table3[[#This Row],[HomeMargin]]-Table3[[#This Row],[HomeForecast]])^2</f>
        <v>2.1069359299523227</v>
      </c>
    </row>
    <row r="635" spans="4:10" x14ac:dyDescent="0.2">
      <c r="D635" t="s">
        <v>29</v>
      </c>
      <c r="E635">
        <f>'NHL2025-26Results'!C631</f>
        <v>4</v>
      </c>
      <c r="F635" t="s">
        <v>20</v>
      </c>
      <c r="G635">
        <f>'NHL2025-26Results'!E631</f>
        <v>2</v>
      </c>
      <c r="H635">
        <f>Table3[[#This Row],[G_1]]-Table3[[#This Row],[G]]</f>
        <v>-2</v>
      </c>
      <c r="I635">
        <f>HomeEdge+VLOOKUP(Table3[[#This Row],[Home]],$A$6:$B$38,2,FALSE)-VLOOKUP(Table3[[#This Row],[Visitor]],$A$6:$B$38,2,FALSE)</f>
        <v>0.83433220971909905</v>
      </c>
      <c r="J635">
        <f>(Table3[[#This Row],[HomeMargin]]-Table3[[#This Row],[HomeForecast]])^2</f>
        <v>8.0334390750511488</v>
      </c>
    </row>
    <row r="636" spans="4:10" x14ac:dyDescent="0.2">
      <c r="D636" t="s">
        <v>15</v>
      </c>
      <c r="E636">
        <f>'NHL2025-26Results'!C632</f>
        <v>3</v>
      </c>
      <c r="F636" t="s">
        <v>22</v>
      </c>
      <c r="G636">
        <f>'NHL2025-26Results'!E632</f>
        <v>6</v>
      </c>
      <c r="H636">
        <f>Table3[[#This Row],[G_1]]-Table3[[#This Row],[G]]</f>
        <v>3</v>
      </c>
      <c r="I636">
        <f>HomeEdge+VLOOKUP(Table3[[#This Row],[Home]],$A$6:$B$38,2,FALSE)-VLOOKUP(Table3[[#This Row],[Visitor]],$A$6:$B$38,2,FALSE)</f>
        <v>0.646476536877159</v>
      </c>
      <c r="J636">
        <f>(Table3[[#This Row],[HomeMargin]]-Table3[[#This Row],[HomeForecast]])^2</f>
        <v>5.5390726914697304</v>
      </c>
    </row>
    <row r="637" spans="4:10" x14ac:dyDescent="0.2">
      <c r="D637" t="s">
        <v>18</v>
      </c>
      <c r="E637">
        <f>'NHL2025-26Results'!C633</f>
        <v>7</v>
      </c>
      <c r="F637" t="s">
        <v>25</v>
      </c>
      <c r="G637">
        <f>'NHL2025-26Results'!E633</f>
        <v>5</v>
      </c>
      <c r="H637">
        <f>Table3[[#This Row],[G_1]]-Table3[[#This Row],[G]]</f>
        <v>-2</v>
      </c>
      <c r="I637">
        <f>HomeEdge+VLOOKUP(Table3[[#This Row],[Home]],$A$6:$B$38,2,FALSE)-VLOOKUP(Table3[[#This Row],[Visitor]],$A$6:$B$38,2,FALSE)</f>
        <v>0.62770069253755123</v>
      </c>
      <c r="J637">
        <f>(Table3[[#This Row],[HomeMargin]]-Table3[[#This Row],[HomeForecast]])^2</f>
        <v>6.9048109295623261</v>
      </c>
    </row>
    <row r="638" spans="4:10" x14ac:dyDescent="0.2">
      <c r="D638" t="s">
        <v>39</v>
      </c>
      <c r="E638">
        <f>'NHL2025-26Results'!C634</f>
        <v>3</v>
      </c>
      <c r="F638" t="s">
        <v>10</v>
      </c>
      <c r="G638">
        <f>'NHL2025-26Results'!E634</f>
        <v>4</v>
      </c>
      <c r="H638">
        <f>Table3[[#This Row],[G_1]]-Table3[[#This Row],[G]]</f>
        <v>1</v>
      </c>
      <c r="I638">
        <f>HomeEdge+VLOOKUP(Table3[[#This Row],[Home]],$A$6:$B$38,2,FALSE)-VLOOKUP(Table3[[#This Row],[Visitor]],$A$6:$B$38,2,FALSE)</f>
        <v>-0.82118917085378818</v>
      </c>
      <c r="J638">
        <f>(Table3[[#This Row],[HomeMargin]]-Table3[[#This Row],[HomeForecast]])^2</f>
        <v>3.3167299960351087</v>
      </c>
    </row>
    <row r="639" spans="4:10" x14ac:dyDescent="0.2">
      <c r="D639" t="s">
        <v>37</v>
      </c>
      <c r="E639">
        <f>'NHL2025-26Results'!C635</f>
        <v>5</v>
      </c>
      <c r="F639" t="s">
        <v>13</v>
      </c>
      <c r="G639">
        <f>'NHL2025-26Results'!E635</f>
        <v>3</v>
      </c>
      <c r="H639">
        <f>Table3[[#This Row],[G_1]]-Table3[[#This Row],[G]]</f>
        <v>-2</v>
      </c>
      <c r="I639">
        <f>HomeEdge+VLOOKUP(Table3[[#This Row],[Home]],$A$6:$B$38,2,FALSE)-VLOOKUP(Table3[[#This Row],[Visitor]],$A$6:$B$38,2,FALSE)</f>
        <v>-0.99368486322117711</v>
      </c>
      <c r="J639">
        <f>(Table3[[#This Row],[HomeMargin]]-Table3[[#This Row],[HomeForecast]])^2</f>
        <v>1.0126701545101808</v>
      </c>
    </row>
    <row r="640" spans="4:10" x14ac:dyDescent="0.2">
      <c r="D640" t="s">
        <v>55</v>
      </c>
      <c r="E640">
        <f>'NHL2025-26Results'!C636</f>
        <v>7</v>
      </c>
      <c r="F640" t="s">
        <v>30</v>
      </c>
      <c r="G640">
        <f>'NHL2025-26Results'!E636</f>
        <v>2</v>
      </c>
      <c r="H640">
        <f>Table3[[#This Row],[G_1]]-Table3[[#This Row],[G]]</f>
        <v>-5</v>
      </c>
      <c r="I640">
        <f>HomeEdge+VLOOKUP(Table3[[#This Row],[Home]],$A$6:$B$38,2,FALSE)-VLOOKUP(Table3[[#This Row],[Visitor]],$A$6:$B$38,2,FALSE)</f>
        <v>-0.23366928660826525</v>
      </c>
      <c r="J640">
        <f>(Table3[[#This Row],[HomeMargin]]-Table3[[#This Row],[HomeForecast]])^2</f>
        <v>22.717908469421364</v>
      </c>
    </row>
    <row r="641" spans="4:10" x14ac:dyDescent="0.2">
      <c r="D641" t="s">
        <v>22</v>
      </c>
      <c r="E641">
        <f>'NHL2025-26Results'!C637</f>
        <v>3</v>
      </c>
      <c r="F641" t="s">
        <v>36</v>
      </c>
      <c r="G641">
        <f>'NHL2025-26Results'!E637</f>
        <v>4</v>
      </c>
      <c r="H641">
        <f>Table3[[#This Row],[G_1]]-Table3[[#This Row],[G]]</f>
        <v>1</v>
      </c>
      <c r="I641">
        <f>HomeEdge+VLOOKUP(Table3[[#This Row],[Home]],$A$6:$B$38,2,FALSE)-VLOOKUP(Table3[[#This Row],[Visitor]],$A$6:$B$38,2,FALSE)</f>
        <v>-0.2187774960601061</v>
      </c>
      <c r="J641">
        <f>(Table3[[#This Row],[HomeMargin]]-Table3[[#This Row],[HomeForecast]])^2</f>
        <v>1.4854185849025419</v>
      </c>
    </row>
    <row r="642" spans="4:10" x14ac:dyDescent="0.2">
      <c r="D642" t="s">
        <v>26</v>
      </c>
      <c r="E642">
        <f>'NHL2025-26Results'!C638</f>
        <v>3</v>
      </c>
      <c r="F642" t="s">
        <v>14</v>
      </c>
      <c r="G642">
        <f>'NHL2025-26Results'!E638</f>
        <v>4</v>
      </c>
      <c r="H642">
        <f>Table3[[#This Row],[G_1]]-Table3[[#This Row],[G]]</f>
        <v>1</v>
      </c>
      <c r="I642">
        <f>HomeEdge+VLOOKUP(Table3[[#This Row],[Home]],$A$6:$B$38,2,FALSE)-VLOOKUP(Table3[[#This Row],[Visitor]],$A$6:$B$38,2,FALSE)</f>
        <v>0.2692016844729288</v>
      </c>
      <c r="J642">
        <f>(Table3[[#This Row],[HomeMargin]]-Table3[[#This Row],[HomeForecast]])^2</f>
        <v>0.53406617797720468</v>
      </c>
    </row>
    <row r="643" spans="4:10" x14ac:dyDescent="0.2">
      <c r="D643" t="s">
        <v>29</v>
      </c>
      <c r="E643">
        <f>'NHL2025-26Results'!C639</f>
        <v>1</v>
      </c>
      <c r="F643" t="s">
        <v>32</v>
      </c>
      <c r="G643">
        <f>'NHL2025-26Results'!E639</f>
        <v>4</v>
      </c>
      <c r="H643">
        <f>Table3[[#This Row],[G_1]]-Table3[[#This Row],[G]]</f>
        <v>3</v>
      </c>
      <c r="I643">
        <f>HomeEdge+VLOOKUP(Table3[[#This Row],[Home]],$A$6:$B$38,2,FALSE)-VLOOKUP(Table3[[#This Row],[Visitor]],$A$6:$B$38,2,FALSE)</f>
        <v>0.2681624430654081</v>
      </c>
      <c r="J643">
        <f>(Table3[[#This Row],[HomeMargin]]-Table3[[#This Row],[HomeForecast]])^2</f>
        <v>7.4629364374783593</v>
      </c>
    </row>
    <row r="644" spans="4:10" x14ac:dyDescent="0.2">
      <c r="D644" t="s">
        <v>40</v>
      </c>
      <c r="E644">
        <f>'NHL2025-26Results'!C640</f>
        <v>5</v>
      </c>
      <c r="F644" t="s">
        <v>19</v>
      </c>
      <c r="G644">
        <f>'NHL2025-26Results'!E640</f>
        <v>6</v>
      </c>
      <c r="H644">
        <f>Table3[[#This Row],[G_1]]-Table3[[#This Row],[G]]</f>
        <v>1</v>
      </c>
      <c r="I644">
        <f>HomeEdge+VLOOKUP(Table3[[#This Row],[Home]],$A$6:$B$38,2,FALSE)-VLOOKUP(Table3[[#This Row],[Visitor]],$A$6:$B$38,2,FALSE)</f>
        <v>0.24813254518041955</v>
      </c>
      <c r="J644">
        <f>(Table3[[#This Row],[HomeMargin]]-Table3[[#This Row],[HomeForecast]])^2</f>
        <v>0.56530466961687398</v>
      </c>
    </row>
    <row r="645" spans="4:10" x14ac:dyDescent="0.2">
      <c r="D645" t="s">
        <v>34</v>
      </c>
      <c r="E645">
        <f>'NHL2025-26Results'!C641</f>
        <v>5</v>
      </c>
      <c r="F645" t="s">
        <v>31</v>
      </c>
      <c r="G645">
        <f>'NHL2025-26Results'!E641</f>
        <v>2</v>
      </c>
      <c r="H645">
        <f>Table3[[#This Row],[G_1]]-Table3[[#This Row],[G]]</f>
        <v>-3</v>
      </c>
      <c r="I645">
        <f>HomeEdge+VLOOKUP(Table3[[#This Row],[Home]],$A$6:$B$38,2,FALSE)-VLOOKUP(Table3[[#This Row],[Visitor]],$A$6:$B$38,2,FALSE)</f>
        <v>-0.29980298543269501</v>
      </c>
      <c r="J645">
        <f>(Table3[[#This Row],[HomeMargin]]-Table3[[#This Row],[HomeForecast]])^2</f>
        <v>7.2910639174781862</v>
      </c>
    </row>
    <row r="646" spans="4:10" x14ac:dyDescent="0.2">
      <c r="D646" t="s">
        <v>15</v>
      </c>
      <c r="E646">
        <f>'NHL2025-26Results'!C642</f>
        <v>5</v>
      </c>
      <c r="F646" t="s">
        <v>11</v>
      </c>
      <c r="G646">
        <f>'NHL2025-26Results'!E642</f>
        <v>1</v>
      </c>
      <c r="H646">
        <f>Table3[[#This Row],[G_1]]-Table3[[#This Row],[G]]</f>
        <v>-4</v>
      </c>
      <c r="I646">
        <f>HomeEdge+VLOOKUP(Table3[[#This Row],[Home]],$A$6:$B$38,2,FALSE)-VLOOKUP(Table3[[#This Row],[Visitor]],$A$6:$B$38,2,FALSE)</f>
        <v>0.31188353217409498</v>
      </c>
      <c r="J646">
        <f>(Table3[[#This Row],[HomeMargin]]-Table3[[#This Row],[HomeForecast]])^2</f>
        <v>18.592339595034151</v>
      </c>
    </row>
    <row r="647" spans="4:10" x14ac:dyDescent="0.2">
      <c r="D647" t="s">
        <v>20</v>
      </c>
      <c r="E647">
        <f>'NHL2025-26Results'!C643</f>
        <v>3</v>
      </c>
      <c r="F647" t="s">
        <v>35</v>
      </c>
      <c r="G647">
        <f>'NHL2025-26Results'!E643</f>
        <v>4</v>
      </c>
      <c r="H647">
        <f>Table3[[#This Row],[G_1]]-Table3[[#This Row],[G]]</f>
        <v>1</v>
      </c>
      <c r="I647">
        <f>HomeEdge+VLOOKUP(Table3[[#This Row],[Home]],$A$6:$B$38,2,FALSE)-VLOOKUP(Table3[[#This Row],[Visitor]],$A$6:$B$38,2,FALSE)</f>
        <v>-1.1656183882938438</v>
      </c>
      <c r="J647">
        <f>(Table3[[#This Row],[HomeMargin]]-Table3[[#This Row],[HomeForecast]])^2</f>
        <v>4.6899030037164247</v>
      </c>
    </row>
    <row r="648" spans="4:10" x14ac:dyDescent="0.2">
      <c r="D648" t="s">
        <v>32</v>
      </c>
      <c r="E648">
        <f>'NHL2025-26Results'!C644</f>
        <v>4</v>
      </c>
      <c r="F648" t="s">
        <v>38</v>
      </c>
      <c r="G648">
        <f>'NHL2025-26Results'!E644</f>
        <v>3</v>
      </c>
      <c r="H648">
        <f>Table3[[#This Row],[G_1]]-Table3[[#This Row],[G]]</f>
        <v>-1</v>
      </c>
      <c r="I648">
        <f>HomeEdge+VLOOKUP(Table3[[#This Row],[Home]],$A$6:$B$38,2,FALSE)-VLOOKUP(Table3[[#This Row],[Visitor]],$A$6:$B$38,2,FALSE)</f>
        <v>-0.59221703424753402</v>
      </c>
      <c r="J648">
        <f>(Table3[[#This Row],[HomeMargin]]-Table3[[#This Row],[HomeForecast]])^2</f>
        <v>0.16628694715787684</v>
      </c>
    </row>
    <row r="649" spans="4:10" x14ac:dyDescent="0.2">
      <c r="D649" t="s">
        <v>12</v>
      </c>
      <c r="E649">
        <f>'NHL2025-26Results'!C645</f>
        <v>5</v>
      </c>
      <c r="F649" t="s">
        <v>25</v>
      </c>
      <c r="G649">
        <f>'NHL2025-26Results'!E645</f>
        <v>3</v>
      </c>
      <c r="H649">
        <f>Table3[[#This Row],[G_1]]-Table3[[#This Row],[G]]</f>
        <v>-2</v>
      </c>
      <c r="I649">
        <f>HomeEdge+VLOOKUP(Table3[[#This Row],[Home]],$A$6:$B$38,2,FALSE)-VLOOKUP(Table3[[#This Row],[Visitor]],$A$6:$B$38,2,FALSE)</f>
        <v>-0.78393878726853572</v>
      </c>
      <c r="J649">
        <f>(Table3[[#This Row],[HomeMargin]]-Table3[[#This Row],[HomeForecast]])^2</f>
        <v>1.4788048731099197</v>
      </c>
    </row>
    <row r="650" spans="4:10" x14ac:dyDescent="0.2">
      <c r="D650" t="s">
        <v>23</v>
      </c>
      <c r="E650">
        <f>'NHL2025-26Results'!C646</f>
        <v>1</v>
      </c>
      <c r="F650" t="s">
        <v>28</v>
      </c>
      <c r="G650">
        <f>'NHL2025-26Results'!E646</f>
        <v>5</v>
      </c>
      <c r="H650">
        <f>Table3[[#This Row],[G_1]]-Table3[[#This Row],[G]]</f>
        <v>4</v>
      </c>
      <c r="I650">
        <f>HomeEdge+VLOOKUP(Table3[[#This Row],[Home]],$A$6:$B$38,2,FALSE)-VLOOKUP(Table3[[#This Row],[Visitor]],$A$6:$B$38,2,FALSE)</f>
        <v>-0.35722345423720081</v>
      </c>
      <c r="J650">
        <f>(Table3[[#This Row],[HomeMargin]]-Table3[[#This Row],[HomeForecast]])^2</f>
        <v>18.985396230154766</v>
      </c>
    </row>
    <row r="651" spans="4:10" x14ac:dyDescent="0.2">
      <c r="D651" t="s">
        <v>29</v>
      </c>
      <c r="E651">
        <f>'NHL2025-26Results'!C647</f>
        <v>4</v>
      </c>
      <c r="F651" t="s">
        <v>16</v>
      </c>
      <c r="G651">
        <f>'NHL2025-26Results'!E647</f>
        <v>3</v>
      </c>
      <c r="H651">
        <f>Table3[[#This Row],[G_1]]-Table3[[#This Row],[G]]</f>
        <v>-1</v>
      </c>
      <c r="I651">
        <f>HomeEdge+VLOOKUP(Table3[[#This Row],[Home]],$A$6:$B$38,2,FALSE)-VLOOKUP(Table3[[#This Row],[Visitor]],$A$6:$B$38,2,FALSE)</f>
        <v>4.7617473376541652E-2</v>
      </c>
      <c r="J651">
        <f>(Table3[[#This Row],[HomeMargin]]-Table3[[#This Row],[HomeForecast]])^2</f>
        <v>1.0975023705238491</v>
      </c>
    </row>
    <row r="652" spans="4:10" x14ac:dyDescent="0.2">
      <c r="D652" t="s">
        <v>14</v>
      </c>
      <c r="E652">
        <f>'NHL2025-26Results'!C648</f>
        <v>4</v>
      </c>
      <c r="F652" t="s">
        <v>26</v>
      </c>
      <c r="G652">
        <f>'NHL2025-26Results'!E648</f>
        <v>1</v>
      </c>
      <c r="H652">
        <f>Table3[[#This Row],[G_1]]-Table3[[#This Row],[G]]</f>
        <v>-3</v>
      </c>
      <c r="I652">
        <f>HomeEdge+VLOOKUP(Table3[[#This Row],[Home]],$A$6:$B$38,2,FALSE)-VLOOKUP(Table3[[#This Row],[Visitor]],$A$6:$B$38,2,FALSE)</f>
        <v>-7.7261694131602304E-2</v>
      </c>
      <c r="J652">
        <f>(Table3[[#This Row],[HomeMargin]]-Table3[[#This Row],[HomeForecast]])^2</f>
        <v>8.5423992045904704</v>
      </c>
    </row>
    <row r="653" spans="4:10" x14ac:dyDescent="0.2">
      <c r="D653" t="s">
        <v>27</v>
      </c>
      <c r="E653">
        <f>'NHL2025-26Results'!C649</f>
        <v>5</v>
      </c>
      <c r="F653" t="s">
        <v>17</v>
      </c>
      <c r="G653">
        <f>'NHL2025-26Results'!E649</f>
        <v>2</v>
      </c>
      <c r="H653">
        <f>Table3[[#This Row],[G_1]]-Table3[[#This Row],[G]]</f>
        <v>-3</v>
      </c>
      <c r="I653">
        <f>HomeEdge+VLOOKUP(Table3[[#This Row],[Home]],$A$6:$B$38,2,FALSE)-VLOOKUP(Table3[[#This Row],[Visitor]],$A$6:$B$38,2,FALSE)</f>
        <v>0.21738175910148438</v>
      </c>
      <c r="J653">
        <f>(Table3[[#This Row],[HomeMargin]]-Table3[[#This Row],[HomeForecast]])^2</f>
        <v>10.351545383798962</v>
      </c>
    </row>
    <row r="654" spans="4:10" x14ac:dyDescent="0.2">
      <c r="D654" t="s">
        <v>34</v>
      </c>
      <c r="E654">
        <f>'NHL2025-26Results'!C650</f>
        <v>4</v>
      </c>
      <c r="F654" t="s">
        <v>13</v>
      </c>
      <c r="G654">
        <f>'NHL2025-26Results'!E650</f>
        <v>5</v>
      </c>
      <c r="H654">
        <f>Table3[[#This Row],[G_1]]-Table3[[#This Row],[G]]</f>
        <v>1</v>
      </c>
      <c r="I654">
        <f>HomeEdge+VLOOKUP(Table3[[#This Row],[Home]],$A$6:$B$38,2,FALSE)-VLOOKUP(Table3[[#This Row],[Visitor]],$A$6:$B$38,2,FALSE)</f>
        <v>-0.35315868694640068</v>
      </c>
      <c r="J654">
        <f>(Table3[[#This Row],[HomeMargin]]-Table3[[#This Row],[HomeForecast]])^2</f>
        <v>1.8310384320585074</v>
      </c>
    </row>
    <row r="655" spans="4:10" x14ac:dyDescent="0.2">
      <c r="D655" t="s">
        <v>55</v>
      </c>
      <c r="E655">
        <f>'NHL2025-26Results'!C651</f>
        <v>1</v>
      </c>
      <c r="F655" t="s">
        <v>24</v>
      </c>
      <c r="G655">
        <f>'NHL2025-26Results'!E651</f>
        <v>4</v>
      </c>
      <c r="H655">
        <f>Table3[[#This Row],[G_1]]-Table3[[#This Row],[G]]</f>
        <v>3</v>
      </c>
      <c r="I655">
        <f>HomeEdge+VLOOKUP(Table3[[#This Row],[Home]],$A$6:$B$38,2,FALSE)-VLOOKUP(Table3[[#This Row],[Visitor]],$A$6:$B$38,2,FALSE)</f>
        <v>-0.55170207149048633</v>
      </c>
      <c r="J655">
        <f>(Table3[[#This Row],[HomeMargin]]-Table3[[#This Row],[HomeForecast]])^2</f>
        <v>12.61458760462981</v>
      </c>
    </row>
    <row r="656" spans="4:10" x14ac:dyDescent="0.2">
      <c r="D656" t="s">
        <v>19</v>
      </c>
      <c r="E656">
        <f>'NHL2025-26Results'!C652</f>
        <v>3</v>
      </c>
      <c r="F656" t="s">
        <v>30</v>
      </c>
      <c r="G656">
        <f>'NHL2025-26Results'!E652</f>
        <v>4</v>
      </c>
      <c r="H656">
        <f>Table3[[#This Row],[G_1]]-Table3[[#This Row],[G]]</f>
        <v>1</v>
      </c>
      <c r="I656">
        <f>HomeEdge+VLOOKUP(Table3[[#This Row],[Home]],$A$6:$B$38,2,FALSE)-VLOOKUP(Table3[[#This Row],[Visitor]],$A$6:$B$38,2,FALSE)</f>
        <v>0.20863791914543384</v>
      </c>
      <c r="J656">
        <f>(Table3[[#This Row],[HomeMargin]]-Table3[[#This Row],[HomeForecast]])^2</f>
        <v>0.62625394301446891</v>
      </c>
    </row>
    <row r="657" spans="4:10" x14ac:dyDescent="0.2">
      <c r="D657" t="s">
        <v>40</v>
      </c>
      <c r="E657">
        <f>'NHL2025-26Results'!C653</f>
        <v>2</v>
      </c>
      <c r="F657" t="s">
        <v>36</v>
      </c>
      <c r="G657">
        <f>'NHL2025-26Results'!E653</f>
        <v>4</v>
      </c>
      <c r="H657">
        <f>Table3[[#This Row],[G_1]]-Table3[[#This Row],[G]]</f>
        <v>2</v>
      </c>
      <c r="I657">
        <f>HomeEdge+VLOOKUP(Table3[[#This Row],[Home]],$A$6:$B$38,2,FALSE)-VLOOKUP(Table3[[#This Row],[Visitor]],$A$6:$B$38,2,FALSE)</f>
        <v>0.1659804944531878</v>
      </c>
      <c r="J657">
        <f>(Table3[[#This Row],[HomeMargin]]-Table3[[#This Row],[HomeForecast]])^2</f>
        <v>3.3636275467261738</v>
      </c>
    </row>
    <row r="658" spans="4:10" x14ac:dyDescent="0.2">
      <c r="D658" t="s">
        <v>37</v>
      </c>
      <c r="E658">
        <f>'NHL2025-26Results'!C654</f>
        <v>7</v>
      </c>
      <c r="F658" t="s">
        <v>33</v>
      </c>
      <c r="G658">
        <f>'NHL2025-26Results'!E654</f>
        <v>3</v>
      </c>
      <c r="H658">
        <f>Table3[[#This Row],[G_1]]-Table3[[#This Row],[G]]</f>
        <v>-4</v>
      </c>
      <c r="I658">
        <f>HomeEdge+VLOOKUP(Table3[[#This Row],[Home]],$A$6:$B$38,2,FALSE)-VLOOKUP(Table3[[#This Row],[Visitor]],$A$6:$B$38,2,FALSE)</f>
        <v>-1.0920550013252206</v>
      </c>
      <c r="J658">
        <f>(Table3[[#This Row],[HomeMargin]]-Table3[[#This Row],[HomeForecast]])^2</f>
        <v>8.4561441153176631</v>
      </c>
    </row>
    <row r="659" spans="4:10" x14ac:dyDescent="0.2">
      <c r="D659" t="s">
        <v>18</v>
      </c>
      <c r="E659">
        <f>'NHL2025-26Results'!C655</f>
        <v>0</v>
      </c>
      <c r="F659" t="s">
        <v>35</v>
      </c>
      <c r="G659">
        <f>'NHL2025-26Results'!E655</f>
        <v>2</v>
      </c>
      <c r="H659">
        <f>Table3[[#This Row],[G_1]]-Table3[[#This Row],[G]]</f>
        <v>2</v>
      </c>
      <c r="I659">
        <f>HomeEdge+VLOOKUP(Table3[[#This Row],[Home]],$A$6:$B$38,2,FALSE)-VLOOKUP(Table3[[#This Row],[Visitor]],$A$6:$B$38,2,FALSE)</f>
        <v>-0.93393784163505367</v>
      </c>
      <c r="J659">
        <f>(Table3[[#This Row],[HomeMargin]]-Table3[[#This Row],[HomeForecast]])^2</f>
        <v>8.6079912585781564</v>
      </c>
    </row>
    <row r="660" spans="4:10" x14ac:dyDescent="0.2">
      <c r="D660" t="s">
        <v>21</v>
      </c>
      <c r="E660">
        <f>'NHL2025-26Results'!C656</f>
        <v>3</v>
      </c>
      <c r="F660" t="s">
        <v>38</v>
      </c>
      <c r="G660">
        <f>'NHL2025-26Results'!E656</f>
        <v>2</v>
      </c>
      <c r="H660">
        <f>Table3[[#This Row],[G_1]]-Table3[[#This Row],[G]]</f>
        <v>-1</v>
      </c>
      <c r="I660">
        <f>HomeEdge+VLOOKUP(Table3[[#This Row],[Home]],$A$6:$B$38,2,FALSE)-VLOOKUP(Table3[[#This Row],[Visitor]],$A$6:$B$38,2,FALSE)</f>
        <v>-1.1081131748374988</v>
      </c>
      <c r="J660">
        <f>(Table3[[#This Row],[HomeMargin]]-Table3[[#This Row],[HomeForecast]])^2</f>
        <v>1.168845857344359E-2</v>
      </c>
    </row>
    <row r="661" spans="4:10" x14ac:dyDescent="0.2">
      <c r="D661" t="s">
        <v>10</v>
      </c>
      <c r="E661">
        <f>'NHL2025-26Results'!C657</f>
        <v>3</v>
      </c>
      <c r="F661" t="s">
        <v>22</v>
      </c>
      <c r="G661">
        <f>'NHL2025-26Results'!E657</f>
        <v>2</v>
      </c>
      <c r="H661">
        <f>Table3[[#This Row],[G_1]]-Table3[[#This Row],[G]]</f>
        <v>-1</v>
      </c>
      <c r="I661">
        <f>HomeEdge+VLOOKUP(Table3[[#This Row],[Home]],$A$6:$B$38,2,FALSE)-VLOOKUP(Table3[[#This Row],[Visitor]],$A$6:$B$38,2,FALSE)</f>
        <v>0.71137338706967923</v>
      </c>
      <c r="J661">
        <f>(Table3[[#This Row],[HomeMargin]]-Table3[[#This Row],[HomeForecast]])^2</f>
        <v>2.928798869970346</v>
      </c>
    </row>
    <row r="662" spans="4:10" x14ac:dyDescent="0.2">
      <c r="D662" t="s">
        <v>14</v>
      </c>
      <c r="E662">
        <f>'NHL2025-26Results'!C658</f>
        <v>5</v>
      </c>
      <c r="F662" t="s">
        <v>28</v>
      </c>
      <c r="G662">
        <f>'NHL2025-26Results'!E658</f>
        <v>4</v>
      </c>
      <c r="H662">
        <f>Table3[[#This Row],[G_1]]-Table3[[#This Row],[G]]</f>
        <v>-1</v>
      </c>
      <c r="I662">
        <f>HomeEdge+VLOOKUP(Table3[[#This Row],[Home]],$A$6:$B$38,2,FALSE)-VLOOKUP(Table3[[#This Row],[Visitor]],$A$6:$B$38,2,FALSE)</f>
        <v>-0.32990911361391873</v>
      </c>
      <c r="J662">
        <f>(Table3[[#This Row],[HomeMargin]]-Table3[[#This Row],[HomeForecast]])^2</f>
        <v>0.4490217960176841</v>
      </c>
    </row>
    <row r="663" spans="4:10" x14ac:dyDescent="0.2">
      <c r="D663" t="s">
        <v>20</v>
      </c>
      <c r="E663">
        <f>'NHL2025-26Results'!C659</f>
        <v>2</v>
      </c>
      <c r="F663" t="s">
        <v>10</v>
      </c>
      <c r="G663">
        <f>'NHL2025-26Results'!E659</f>
        <v>3</v>
      </c>
      <c r="H663">
        <f>Table3[[#This Row],[G_1]]-Table3[[#This Row],[G]]</f>
        <v>1</v>
      </c>
      <c r="I663">
        <f>HomeEdge+VLOOKUP(Table3[[#This Row],[Home]],$A$6:$B$38,2,FALSE)-VLOOKUP(Table3[[#This Row],[Visitor]],$A$6:$B$38,2,FALSE)</f>
        <v>-0.60381895944623232</v>
      </c>
      <c r="J663">
        <f>(Table3[[#This Row],[HomeMargin]]-Table3[[#This Row],[HomeForecast]])^2</f>
        <v>2.5722352546791951</v>
      </c>
    </row>
    <row r="664" spans="4:10" x14ac:dyDescent="0.2">
      <c r="D664" t="s">
        <v>18</v>
      </c>
      <c r="E664">
        <f>'NHL2025-26Results'!C660</f>
        <v>4</v>
      </c>
      <c r="F664" t="s">
        <v>39</v>
      </c>
      <c r="G664">
        <f>'NHL2025-26Results'!E660</f>
        <v>3</v>
      </c>
      <c r="H664">
        <f>Table3[[#This Row],[G_1]]-Table3[[#This Row],[G]]</f>
        <v>-1</v>
      </c>
      <c r="I664">
        <f>HomeEdge+VLOOKUP(Table3[[#This Row],[Home]],$A$6:$B$38,2,FALSE)-VLOOKUP(Table3[[#This Row],[Visitor]],$A$6:$B$38,2,FALSE)</f>
        <v>0.54502075323700916</v>
      </c>
      <c r="J664">
        <f>(Table3[[#This Row],[HomeMargin]]-Table3[[#This Row],[HomeForecast]])^2</f>
        <v>2.3870891279330553</v>
      </c>
    </row>
    <row r="665" spans="4:10" x14ac:dyDescent="0.2">
      <c r="D665" t="s">
        <v>12</v>
      </c>
      <c r="E665">
        <f>'NHL2025-26Results'!C661</f>
        <v>1</v>
      </c>
      <c r="F665" t="s">
        <v>11</v>
      </c>
      <c r="G665">
        <f>'NHL2025-26Results'!E661</f>
        <v>2</v>
      </c>
      <c r="H665">
        <f>Table3[[#This Row],[G_1]]-Table3[[#This Row],[G]]</f>
        <v>1</v>
      </c>
      <c r="I665">
        <f>HomeEdge+VLOOKUP(Table3[[#This Row],[Home]],$A$6:$B$38,2,FALSE)-VLOOKUP(Table3[[#This Row],[Visitor]],$A$6:$B$38,2,FALSE)</f>
        <v>-1.5029675053975773</v>
      </c>
      <c r="J665">
        <f>(Table3[[#This Row],[HomeMargin]]-Table3[[#This Row],[HomeForecast]])^2</f>
        <v>6.2648463330761697</v>
      </c>
    </row>
    <row r="666" spans="4:10" x14ac:dyDescent="0.2">
      <c r="D666" t="s">
        <v>25</v>
      </c>
      <c r="E666">
        <f>'NHL2025-26Results'!C662</f>
        <v>3</v>
      </c>
      <c r="F666" t="s">
        <v>24</v>
      </c>
      <c r="G666">
        <f>'NHL2025-26Results'!E662</f>
        <v>1</v>
      </c>
      <c r="H666">
        <f>Table3[[#This Row],[G_1]]-Table3[[#This Row],[G]]</f>
        <v>-2</v>
      </c>
      <c r="I666">
        <f>HomeEdge+VLOOKUP(Table3[[#This Row],[Home]],$A$6:$B$38,2,FALSE)-VLOOKUP(Table3[[#This Row],[Visitor]],$A$6:$B$38,2,FALSE)</f>
        <v>-0.72642601966630238</v>
      </c>
      <c r="J666">
        <f>(Table3[[#This Row],[HomeMargin]]-Table3[[#This Row],[HomeForecast]])^2</f>
        <v>1.6219906833830176</v>
      </c>
    </row>
    <row r="667" spans="4:10" x14ac:dyDescent="0.2">
      <c r="D667" t="s">
        <v>32</v>
      </c>
      <c r="E667">
        <f>'NHL2025-26Results'!C663</f>
        <v>5</v>
      </c>
      <c r="F667" t="s">
        <v>16</v>
      </c>
      <c r="G667">
        <f>'NHL2025-26Results'!E663</f>
        <v>1</v>
      </c>
      <c r="H667">
        <f>Table3[[#This Row],[G_1]]-Table3[[#This Row],[G]]</f>
        <v>-4</v>
      </c>
      <c r="I667">
        <f>HomeEdge+VLOOKUP(Table3[[#This Row],[Home]],$A$6:$B$38,2,FALSE)-VLOOKUP(Table3[[#This Row],[Visitor]],$A$6:$B$38,2,FALSE)</f>
        <v>-0.12457497451820321</v>
      </c>
      <c r="J667">
        <f>(Table3[[#This Row],[HomeMargin]]-Table3[[#This Row],[HomeForecast]])^2</f>
        <v>15.018919128130587</v>
      </c>
    </row>
    <row r="668" spans="4:10" x14ac:dyDescent="0.2">
      <c r="D668" t="s">
        <v>34</v>
      </c>
      <c r="E668">
        <f>'NHL2025-26Results'!C664</f>
        <v>2</v>
      </c>
      <c r="F668" t="s">
        <v>13</v>
      </c>
      <c r="G668">
        <f>'NHL2025-26Results'!E664</f>
        <v>4</v>
      </c>
      <c r="H668">
        <f>Table3[[#This Row],[G_1]]-Table3[[#This Row],[G]]</f>
        <v>2</v>
      </c>
      <c r="I668">
        <f>HomeEdge+VLOOKUP(Table3[[#This Row],[Home]],$A$6:$B$38,2,FALSE)-VLOOKUP(Table3[[#This Row],[Visitor]],$A$6:$B$38,2,FALSE)</f>
        <v>-0.35315868694640068</v>
      </c>
      <c r="J668">
        <f>(Table3[[#This Row],[HomeMargin]]-Table3[[#This Row],[HomeForecast]])^2</f>
        <v>5.5373558059513091</v>
      </c>
    </row>
    <row r="669" spans="4:10" x14ac:dyDescent="0.2">
      <c r="D669" t="s">
        <v>55</v>
      </c>
      <c r="E669">
        <f>'NHL2025-26Results'!C665</f>
        <v>3</v>
      </c>
      <c r="F669" t="s">
        <v>15</v>
      </c>
      <c r="G669">
        <f>'NHL2025-26Results'!E665</f>
        <v>2</v>
      </c>
      <c r="H669">
        <f>Table3[[#This Row],[G_1]]-Table3[[#This Row],[G]]</f>
        <v>-1</v>
      </c>
      <c r="I669">
        <f>HomeEdge+VLOOKUP(Table3[[#This Row],[Home]],$A$6:$B$38,2,FALSE)-VLOOKUP(Table3[[#This Row],[Visitor]],$A$6:$B$38,2,FALSE)</f>
        <v>-0.66424831178599397</v>
      </c>
      <c r="J669">
        <f>(Table3[[#This Row],[HomeMargin]]-Table3[[#This Row],[HomeForecast]])^2</f>
        <v>0.11272919613855512</v>
      </c>
    </row>
    <row r="670" spans="4:10" x14ac:dyDescent="0.2">
      <c r="D670" t="s">
        <v>26</v>
      </c>
      <c r="E670">
        <f>'NHL2025-26Results'!C666</f>
        <v>5</v>
      </c>
      <c r="F670" t="s">
        <v>36</v>
      </c>
      <c r="G670">
        <f>'NHL2025-26Results'!E666</f>
        <v>3</v>
      </c>
      <c r="H670">
        <f>Table3[[#This Row],[G_1]]-Table3[[#This Row],[G]]</f>
        <v>-2</v>
      </c>
      <c r="I670">
        <f>HomeEdge+VLOOKUP(Table3[[#This Row],[Home]],$A$6:$B$38,2,FALSE)-VLOOKUP(Table3[[#This Row],[Visitor]],$A$6:$B$38,2,FALSE)</f>
        <v>-0.13473808837094725</v>
      </c>
      <c r="J670">
        <f>(Table3[[#This Row],[HomeMargin]]-Table3[[#This Row],[HomeForecast]])^2</f>
        <v>3.4792019989740681</v>
      </c>
    </row>
    <row r="671" spans="4:10" x14ac:dyDescent="0.2">
      <c r="D671" t="s">
        <v>31</v>
      </c>
      <c r="E671">
        <f>'NHL2025-26Results'!C667</f>
        <v>4</v>
      </c>
      <c r="F671" t="s">
        <v>22</v>
      </c>
      <c r="G671">
        <f>'NHL2025-26Results'!E667</f>
        <v>7</v>
      </c>
      <c r="H671">
        <f>Table3[[#This Row],[G_1]]-Table3[[#This Row],[G]]</f>
        <v>3</v>
      </c>
      <c r="I671">
        <f>HomeEdge+VLOOKUP(Table3[[#This Row],[Home]],$A$6:$B$38,2,FALSE)-VLOOKUP(Table3[[#This Row],[Visitor]],$A$6:$B$38,2,FALSE)</f>
        <v>0.38970391331965121</v>
      </c>
      <c r="J671">
        <f>(Table3[[#This Row],[HomeMargin]]-Table3[[#This Row],[HomeForecast]])^2</f>
        <v>6.8136456601387421</v>
      </c>
    </row>
    <row r="672" spans="4:10" x14ac:dyDescent="0.2">
      <c r="D672" t="s">
        <v>38</v>
      </c>
      <c r="E672">
        <f>'NHL2025-26Results'!C668</f>
        <v>3</v>
      </c>
      <c r="F672" t="s">
        <v>23</v>
      </c>
      <c r="G672">
        <f>'NHL2025-26Results'!E668</f>
        <v>5</v>
      </c>
      <c r="H672">
        <f>Table3[[#This Row],[G_1]]-Table3[[#This Row],[G]]</f>
        <v>2</v>
      </c>
      <c r="I672">
        <f>HomeEdge+VLOOKUP(Table3[[#This Row],[Home]],$A$6:$B$38,2,FALSE)-VLOOKUP(Table3[[#This Row],[Visitor]],$A$6:$B$38,2,FALSE)</f>
        <v>1.3824478507610607</v>
      </c>
      <c r="J672">
        <f>(Table3[[#This Row],[HomeMargin]]-Table3[[#This Row],[HomeForecast]])^2</f>
        <v>0.38137065702963319</v>
      </c>
    </row>
    <row r="673" spans="4:10" x14ac:dyDescent="0.2">
      <c r="D673" t="s">
        <v>39</v>
      </c>
      <c r="E673">
        <f>'NHL2025-26Results'!C669</f>
        <v>3</v>
      </c>
      <c r="F673" t="s">
        <v>25</v>
      </c>
      <c r="G673">
        <f>'NHL2025-26Results'!E669</f>
        <v>6</v>
      </c>
      <c r="H673">
        <f>Table3[[#This Row],[G_1]]-Table3[[#This Row],[G]]</f>
        <v>3</v>
      </c>
      <c r="I673">
        <f>HomeEdge+VLOOKUP(Table3[[#This Row],[Home]],$A$6:$B$38,2,FALSE)-VLOOKUP(Table3[[#This Row],[Visitor]],$A$6:$B$38,2,FALSE)</f>
        <v>0.17864993447120536</v>
      </c>
      <c r="J673">
        <f>(Table3[[#This Row],[HomeMargin]]-Table3[[#This Row],[HomeForecast]])^2</f>
        <v>7.9600161922593342</v>
      </c>
    </row>
    <row r="674" spans="4:10" x14ac:dyDescent="0.2">
      <c r="D674" t="s">
        <v>29</v>
      </c>
      <c r="E674">
        <f>'NHL2025-26Results'!C670</f>
        <v>2</v>
      </c>
      <c r="F674" t="s">
        <v>17</v>
      </c>
      <c r="G674">
        <f>'NHL2025-26Results'!E670</f>
        <v>6</v>
      </c>
      <c r="H674">
        <f>Table3[[#This Row],[G_1]]-Table3[[#This Row],[G]]</f>
        <v>4</v>
      </c>
      <c r="I674">
        <f>HomeEdge+VLOOKUP(Table3[[#This Row],[Home]],$A$6:$B$38,2,FALSE)-VLOOKUP(Table3[[#This Row],[Visitor]],$A$6:$B$38,2,FALSE)</f>
        <v>0.63869509675737857</v>
      </c>
      <c r="J674">
        <f>(Table3[[#This Row],[HomeMargin]]-Table3[[#This Row],[HomeForecast]])^2</f>
        <v>11.298370652562889</v>
      </c>
    </row>
    <row r="675" spans="4:10" x14ac:dyDescent="0.2">
      <c r="D675" t="s">
        <v>24</v>
      </c>
      <c r="E675">
        <f>'NHL2025-26Results'!C671</f>
        <v>0</v>
      </c>
      <c r="F675" t="s">
        <v>30</v>
      </c>
      <c r="G675">
        <f>'NHL2025-26Results'!E671</f>
        <v>9</v>
      </c>
      <c r="H675">
        <f>Table3[[#This Row],[G_1]]-Table3[[#This Row],[G]]</f>
        <v>9</v>
      </c>
      <c r="I675">
        <f>HomeEdge+VLOOKUP(Table3[[#This Row],[Home]],$A$6:$B$38,2,FALSE)-VLOOKUP(Table3[[#This Row],[Visitor]],$A$6:$B$38,2,FALSE)</f>
        <v>0.41400278005288432</v>
      </c>
      <c r="J675">
        <f>(Table3[[#This Row],[HomeMargin]]-Table3[[#This Row],[HomeForecast]])^2</f>
        <v>73.719348260939597</v>
      </c>
    </row>
    <row r="676" spans="4:10" x14ac:dyDescent="0.2">
      <c r="D676" t="s">
        <v>31</v>
      </c>
      <c r="E676">
        <f>'NHL2025-26Results'!C672</f>
        <v>2</v>
      </c>
      <c r="F676" t="s">
        <v>27</v>
      </c>
      <c r="G676">
        <f>'NHL2025-26Results'!E672</f>
        <v>5</v>
      </c>
      <c r="H676">
        <f>Table3[[#This Row],[G_1]]-Table3[[#This Row],[G]]</f>
        <v>3</v>
      </c>
      <c r="I676">
        <f>HomeEdge+VLOOKUP(Table3[[#This Row],[Home]],$A$6:$B$38,2,FALSE)-VLOOKUP(Table3[[#This Row],[Visitor]],$A$6:$B$38,2,FALSE)</f>
        <v>0.15704059914498919</v>
      </c>
      <c r="J676">
        <f>(Table3[[#This Row],[HomeMargin]]-Table3[[#This Row],[HomeForecast]])^2</f>
        <v>8.0824181549098828</v>
      </c>
    </row>
    <row r="677" spans="4:10" x14ac:dyDescent="0.2">
      <c r="D677" t="s">
        <v>21</v>
      </c>
      <c r="E677">
        <f>'NHL2025-26Results'!C673</f>
        <v>4</v>
      </c>
      <c r="F677" t="s">
        <v>32</v>
      </c>
      <c r="G677">
        <f>'NHL2025-26Results'!E673</f>
        <v>7</v>
      </c>
      <c r="H677">
        <f>Table3[[#This Row],[G_1]]-Table3[[#This Row],[G]]</f>
        <v>3</v>
      </c>
      <c r="I677">
        <f>HomeEdge+VLOOKUP(Table3[[#This Row],[Home]],$A$6:$B$38,2,FALSE)-VLOOKUP(Table3[[#This Row],[Visitor]],$A$6:$B$38,2,FALSE)</f>
        <v>-0.41992614541930151</v>
      </c>
      <c r="J677">
        <f>(Table3[[#This Row],[HomeMargin]]-Table3[[#This Row],[HomeForecast]])^2</f>
        <v>11.695894840122524</v>
      </c>
    </row>
    <row r="678" spans="4:10" x14ac:dyDescent="0.2">
      <c r="D678" t="s">
        <v>28</v>
      </c>
      <c r="E678">
        <f>'NHL2025-26Results'!C674</f>
        <v>2</v>
      </c>
      <c r="F678" t="s">
        <v>33</v>
      </c>
      <c r="G678">
        <f>'NHL2025-26Results'!E674</f>
        <v>5</v>
      </c>
      <c r="H678">
        <f>Table3[[#This Row],[G_1]]-Table3[[#This Row],[G]]</f>
        <v>3</v>
      </c>
      <c r="I678">
        <f>HomeEdge+VLOOKUP(Table3[[#This Row],[Home]],$A$6:$B$38,2,FALSE)-VLOOKUP(Table3[[#This Row],[Visitor]],$A$6:$B$38,2,FALSE)</f>
        <v>-1.2802935424598705E-2</v>
      </c>
      <c r="J678">
        <f>(Table3[[#This Row],[HomeMargin]]-Table3[[#This Row],[HomeForecast]])^2</f>
        <v>9.0769815277030794</v>
      </c>
    </row>
    <row r="679" spans="4:10" x14ac:dyDescent="0.2">
      <c r="D679" t="s">
        <v>12</v>
      </c>
      <c r="E679">
        <f>'NHL2025-26Results'!C675</f>
        <v>2</v>
      </c>
      <c r="F679" t="s">
        <v>37</v>
      </c>
      <c r="G679">
        <f>'NHL2025-26Results'!E675</f>
        <v>4</v>
      </c>
      <c r="H679">
        <f>Table3[[#This Row],[G_1]]-Table3[[#This Row],[G]]</f>
        <v>2</v>
      </c>
      <c r="I679">
        <f>HomeEdge+VLOOKUP(Table3[[#This Row],[Home]],$A$6:$B$38,2,FALSE)-VLOOKUP(Table3[[#This Row],[Visitor]],$A$6:$B$38,2,FALSE)</f>
        <v>-0.4258092619653665</v>
      </c>
      <c r="J679">
        <f>(Table3[[#This Row],[HomeMargin]]-Table3[[#This Row],[HomeForecast]])^2</f>
        <v>5.8845505754369558</v>
      </c>
    </row>
    <row r="680" spans="4:10" x14ac:dyDescent="0.2">
      <c r="D680" t="s">
        <v>11</v>
      </c>
      <c r="E680">
        <f>'NHL2025-26Results'!C676</f>
        <v>1</v>
      </c>
      <c r="F680" t="s">
        <v>19</v>
      </c>
      <c r="G680">
        <f>'NHL2025-26Results'!E676</f>
        <v>4</v>
      </c>
      <c r="H680">
        <f>Table3[[#This Row],[G_1]]-Table3[[#This Row],[G]]</f>
        <v>3</v>
      </c>
      <c r="I680">
        <f>HomeEdge+VLOOKUP(Table3[[#This Row],[Home]],$A$6:$B$38,2,FALSE)-VLOOKUP(Table3[[#This Row],[Visitor]],$A$6:$B$38,2,FALSE)</f>
        <v>0.19796755937018962</v>
      </c>
      <c r="J680">
        <f>(Table3[[#This Row],[HomeMargin]]-Table3[[#This Row],[HomeForecast]])^2</f>
        <v>7.8513857983418527</v>
      </c>
    </row>
    <row r="681" spans="4:10" x14ac:dyDescent="0.2">
      <c r="D681" t="s">
        <v>20</v>
      </c>
      <c r="E681">
        <f>'NHL2025-26Results'!C677</f>
        <v>4</v>
      </c>
      <c r="F681" t="s">
        <v>40</v>
      </c>
      <c r="G681">
        <f>'NHL2025-26Results'!E677</f>
        <v>3</v>
      </c>
      <c r="H681">
        <f>Table3[[#This Row],[G_1]]-Table3[[#This Row],[G]]</f>
        <v>-1</v>
      </c>
      <c r="I681">
        <f>HomeEdge+VLOOKUP(Table3[[#This Row],[Home]],$A$6:$B$38,2,FALSE)-VLOOKUP(Table3[[#This Row],[Visitor]],$A$6:$B$38,2,FALSE)</f>
        <v>-0.37317355806051034</v>
      </c>
      <c r="J681">
        <f>(Table3[[#This Row],[HomeMargin]]-Table3[[#This Row],[HomeForecast]])^2</f>
        <v>0.39291138831452038</v>
      </c>
    </row>
    <row r="682" spans="4:10" x14ac:dyDescent="0.2">
      <c r="D682" t="s">
        <v>35</v>
      </c>
      <c r="E682">
        <f>'NHL2025-26Results'!C678</f>
        <v>3</v>
      </c>
      <c r="F682" t="s">
        <v>10</v>
      </c>
      <c r="G682">
        <f>'NHL2025-26Results'!E678</f>
        <v>7</v>
      </c>
      <c r="H682">
        <f>Table3[[#This Row],[G_1]]-Table3[[#This Row],[G]]</f>
        <v>4</v>
      </c>
      <c r="I682">
        <f>HomeEdge+VLOOKUP(Table3[[#This Row],[Home]],$A$6:$B$38,2,FALSE)-VLOOKUP(Table3[[#This Row],[Visitor]],$A$6:$B$38,2,FALSE)</f>
        <v>0.65776942401827465</v>
      </c>
      <c r="J682">
        <f>(Table3[[#This Row],[HomeMargin]]-Table3[[#This Row],[HomeForecast]])^2</f>
        <v>11.170505223027135</v>
      </c>
    </row>
    <row r="683" spans="4:10" x14ac:dyDescent="0.2">
      <c r="D683" t="s">
        <v>33</v>
      </c>
      <c r="E683">
        <f>'NHL2025-26Results'!C679</f>
        <v>4</v>
      </c>
      <c r="F683" t="s">
        <v>13</v>
      </c>
      <c r="G683">
        <f>'NHL2025-26Results'!E679</f>
        <v>3</v>
      </c>
      <c r="H683">
        <f>Table3[[#This Row],[G_1]]-Table3[[#This Row],[G]]</f>
        <v>-1</v>
      </c>
      <c r="I683">
        <f>HomeEdge+VLOOKUP(Table3[[#This Row],[Home]],$A$6:$B$38,2,FALSE)-VLOOKUP(Table3[[#This Row],[Visitor]],$A$6:$B$38,2,FALSE)</f>
        <v>0.19434013327470678</v>
      </c>
      <c r="J683">
        <f>(Table3[[#This Row],[HomeMargin]]-Table3[[#This Row],[HomeForecast]])^2</f>
        <v>1.4264483539506443</v>
      </c>
    </row>
    <row r="684" spans="4:10" x14ac:dyDescent="0.2">
      <c r="D684" t="s">
        <v>16</v>
      </c>
      <c r="E684">
        <f>'NHL2025-26Results'!C680</f>
        <v>1</v>
      </c>
      <c r="F684" t="s">
        <v>18</v>
      </c>
      <c r="G684">
        <f>'NHL2025-26Results'!E680</f>
        <v>4</v>
      </c>
      <c r="H684">
        <f>Table3[[#This Row],[G_1]]-Table3[[#This Row],[G]]</f>
        <v>3</v>
      </c>
      <c r="I684">
        <f>HomeEdge+VLOOKUP(Table3[[#This Row],[Home]],$A$6:$B$38,2,FALSE)-VLOOKUP(Table3[[#This Row],[Visitor]],$A$6:$B$38,2,FALSE)</f>
        <v>0.65100418485443068</v>
      </c>
      <c r="J684">
        <f>(Table3[[#This Row],[HomeMargin]]-Table3[[#This Row],[HomeForecast]])^2</f>
        <v>5.517781339571397</v>
      </c>
    </row>
    <row r="685" spans="4:10" x14ac:dyDescent="0.2">
      <c r="D685" t="s">
        <v>36</v>
      </c>
      <c r="E685">
        <f>'NHL2025-26Results'!C681</f>
        <v>1</v>
      </c>
      <c r="F685" t="s">
        <v>55</v>
      </c>
      <c r="G685">
        <f>'NHL2025-26Results'!E681</f>
        <v>3</v>
      </c>
      <c r="H685">
        <f>Table3[[#This Row],[G_1]]-Table3[[#This Row],[G]]</f>
        <v>2</v>
      </c>
      <c r="I685">
        <f>HomeEdge+VLOOKUP(Table3[[#This Row],[Home]],$A$6:$B$38,2,FALSE)-VLOOKUP(Table3[[#This Row],[Visitor]],$A$6:$B$38,2,FALSE)</f>
        <v>0.62042925165159413</v>
      </c>
      <c r="J685">
        <f>(Table3[[#This Row],[HomeMargin]]-Table3[[#This Row],[HomeForecast]])^2</f>
        <v>1.9032154496985807</v>
      </c>
    </row>
    <row r="686" spans="4:10" x14ac:dyDescent="0.2">
      <c r="D686" t="s">
        <v>39</v>
      </c>
      <c r="E686">
        <f>'NHL2025-26Results'!C682</f>
        <v>4</v>
      </c>
      <c r="F686" t="s">
        <v>22</v>
      </c>
      <c r="G686">
        <f>'NHL2025-26Results'!E682</f>
        <v>1</v>
      </c>
      <c r="H686">
        <f>Table3[[#This Row],[G_1]]-Table3[[#This Row],[G]]</f>
        <v>-3</v>
      </c>
      <c r="I686">
        <f>HomeEdge+VLOOKUP(Table3[[#This Row],[Home]],$A$6:$B$38,2,FALSE)-VLOOKUP(Table3[[#This Row],[Visitor]],$A$6:$B$38,2,FALSE)</f>
        <v>-0.20578577895477224</v>
      </c>
      <c r="J686">
        <f>(Table3[[#This Row],[HomeMargin]]-Table3[[#This Row],[HomeForecast]])^2</f>
        <v>7.8076331130913887</v>
      </c>
    </row>
    <row r="687" spans="4:10" x14ac:dyDescent="0.2">
      <c r="D687" t="s">
        <v>16</v>
      </c>
      <c r="E687">
        <f>'NHL2025-26Results'!C683</f>
        <v>1</v>
      </c>
      <c r="F687" t="s">
        <v>21</v>
      </c>
      <c r="G687">
        <f>'NHL2025-26Results'!E683</f>
        <v>4</v>
      </c>
      <c r="H687">
        <f>Table3[[#This Row],[G_1]]-Table3[[#This Row],[G]]</f>
        <v>3</v>
      </c>
      <c r="I687">
        <f>HomeEdge+VLOOKUP(Table3[[#This Row],[Home]],$A$6:$B$38,2,FALSE)-VLOOKUP(Table3[[#This Row],[Visitor]],$A$6:$B$38,2,FALSE)</f>
        <v>0.83241110544949448</v>
      </c>
      <c r="J687">
        <f>(Table3[[#This Row],[HomeMargin]]-Table3[[#This Row],[HomeForecast]])^2</f>
        <v>4.6984416157786821</v>
      </c>
    </row>
    <row r="688" spans="4:10" x14ac:dyDescent="0.2">
      <c r="D688" t="s">
        <v>31</v>
      </c>
      <c r="E688">
        <f>'NHL2025-26Results'!C684</f>
        <v>2</v>
      </c>
      <c r="F688" t="s">
        <v>25</v>
      </c>
      <c r="G688">
        <f>'NHL2025-26Results'!E684</f>
        <v>5</v>
      </c>
      <c r="H688">
        <f>Table3[[#This Row],[G_1]]-Table3[[#This Row],[G]]</f>
        <v>3</v>
      </c>
      <c r="I688">
        <f>HomeEdge+VLOOKUP(Table3[[#This Row],[Home]],$A$6:$B$38,2,FALSE)-VLOOKUP(Table3[[#This Row],[Visitor]],$A$6:$B$38,2,FALSE)</f>
        <v>0.77413962674562886</v>
      </c>
      <c r="J688">
        <f>(Table3[[#This Row],[HomeMargin]]-Table3[[#This Row],[HomeForecast]])^2</f>
        <v>4.9544544012240896</v>
      </c>
    </row>
    <row r="689" spans="4:10" x14ac:dyDescent="0.2">
      <c r="D689" t="s">
        <v>36</v>
      </c>
      <c r="E689">
        <f>'NHL2025-26Results'!C685</f>
        <v>2</v>
      </c>
      <c r="F689" t="s">
        <v>12</v>
      </c>
      <c r="G689">
        <f>'NHL2025-26Results'!E685</f>
        <v>8</v>
      </c>
      <c r="H689">
        <f>Table3[[#This Row],[G_1]]-Table3[[#This Row],[G]]</f>
        <v>6</v>
      </c>
      <c r="I689">
        <f>HomeEdge+VLOOKUP(Table3[[#This Row],[Home]],$A$6:$B$38,2,FALSE)-VLOOKUP(Table3[[#This Row],[Visitor]],$A$6:$B$38,2,FALSE)</f>
        <v>1.6750619822666091</v>
      </c>
      <c r="J689">
        <f>(Table3[[#This Row],[HomeMargin]]-Table3[[#This Row],[HomeForecast]])^2</f>
        <v>18.705088857235634</v>
      </c>
    </row>
    <row r="690" spans="4:10" x14ac:dyDescent="0.2">
      <c r="D690" t="s">
        <v>38</v>
      </c>
      <c r="E690">
        <f>'NHL2025-26Results'!C686</f>
        <v>1</v>
      </c>
      <c r="F690" t="s">
        <v>26</v>
      </c>
      <c r="G690">
        <f>'NHL2025-26Results'!E686</f>
        <v>5</v>
      </c>
      <c r="H690">
        <f>Table3[[#This Row],[G_1]]-Table3[[#This Row],[G]]</f>
        <v>4</v>
      </c>
      <c r="I690">
        <f>HomeEdge+VLOOKUP(Table3[[#This Row],[Home]],$A$6:$B$38,2,FALSE)-VLOOKUP(Table3[[#This Row],[Visitor]],$A$6:$B$38,2,FALSE)</f>
        <v>1.181901820835513</v>
      </c>
      <c r="J690">
        <f>(Table3[[#This Row],[HomeMargin]]-Table3[[#This Row],[HomeForecast]])^2</f>
        <v>7.941677347410196</v>
      </c>
    </row>
    <row r="691" spans="4:10" x14ac:dyDescent="0.2">
      <c r="D691" t="s">
        <v>11</v>
      </c>
      <c r="E691">
        <f>'NHL2025-26Results'!C687</f>
        <v>2</v>
      </c>
      <c r="F691" t="s">
        <v>18</v>
      </c>
      <c r="G691">
        <f>'NHL2025-26Results'!E687</f>
        <v>6</v>
      </c>
      <c r="H691">
        <f>Table3[[#This Row],[G_1]]-Table3[[#This Row],[G]]</f>
        <v>4</v>
      </c>
      <c r="I691">
        <f>HomeEdge+VLOOKUP(Table3[[#This Row],[Home]],$A$6:$B$38,2,FALSE)-VLOOKUP(Table3[[#This Row],[Visitor]],$A$6:$B$38,2,FALSE)</f>
        <v>0.28326801593281681</v>
      </c>
      <c r="J691">
        <f>(Table3[[#This Row],[HomeMargin]]-Table3[[#This Row],[HomeForecast]])^2</f>
        <v>13.814096641387978</v>
      </c>
    </row>
    <row r="692" spans="4:10" x14ac:dyDescent="0.2">
      <c r="D692" t="s">
        <v>30</v>
      </c>
      <c r="E692">
        <f>'NHL2025-26Results'!C688</f>
        <v>1</v>
      </c>
      <c r="F692" t="s">
        <v>29</v>
      </c>
      <c r="G692">
        <f>'NHL2025-26Results'!E688</f>
        <v>2</v>
      </c>
      <c r="H692">
        <f>Table3[[#This Row],[G_1]]-Table3[[#This Row],[G]]</f>
        <v>1</v>
      </c>
      <c r="I692">
        <f>HomeEdge+VLOOKUP(Table3[[#This Row],[Home]],$A$6:$B$38,2,FALSE)-VLOOKUP(Table3[[#This Row],[Visitor]],$A$6:$B$38,2,FALSE)</f>
        <v>-0.43807914013112592</v>
      </c>
      <c r="J692">
        <f>(Table3[[#This Row],[HomeMargin]]-Table3[[#This Row],[HomeForecast]])^2</f>
        <v>2.0680716132802783</v>
      </c>
    </row>
    <row r="693" spans="4:10" x14ac:dyDescent="0.2">
      <c r="D693" t="s">
        <v>23</v>
      </c>
      <c r="E693">
        <f>'NHL2025-26Results'!C689</f>
        <v>5</v>
      </c>
      <c r="F693" t="s">
        <v>15</v>
      </c>
      <c r="G693">
        <f>'NHL2025-26Results'!E689</f>
        <v>2</v>
      </c>
      <c r="H693">
        <f>Table3[[#This Row],[G_1]]-Table3[[#This Row],[G]]</f>
        <v>-3</v>
      </c>
      <c r="I693">
        <f>HomeEdge+VLOOKUP(Table3[[#This Row],[Home]],$A$6:$B$38,2,FALSE)-VLOOKUP(Table3[[#This Row],[Visitor]],$A$6:$B$38,2,FALSE)</f>
        <v>-0.57104316877222117</v>
      </c>
      <c r="J693">
        <f>(Table3[[#This Row],[HomeMargin]]-Table3[[#This Row],[HomeForecast]])^2</f>
        <v>5.8998312879680928</v>
      </c>
    </row>
    <row r="694" spans="4:10" x14ac:dyDescent="0.2">
      <c r="D694" t="s">
        <v>19</v>
      </c>
      <c r="E694">
        <f>'NHL2025-26Results'!C690</f>
        <v>2</v>
      </c>
      <c r="F694" t="s">
        <v>27</v>
      </c>
      <c r="G694">
        <f>'NHL2025-26Results'!E690</f>
        <v>1</v>
      </c>
      <c r="H694">
        <f>Table3[[#This Row],[G_1]]-Table3[[#This Row],[G]]</f>
        <v>-1</v>
      </c>
      <c r="I694">
        <f>HomeEdge+VLOOKUP(Table3[[#This Row],[Home]],$A$6:$B$38,2,FALSE)-VLOOKUP(Table3[[#This Row],[Visitor]],$A$6:$B$38,2,FALSE)</f>
        <v>9.5902121499538806E-2</v>
      </c>
      <c r="J694">
        <f>(Table3[[#This Row],[HomeMargin]]-Table3[[#This Row],[HomeForecast]])^2</f>
        <v>1.2010014599071899</v>
      </c>
    </row>
    <row r="695" spans="4:10" x14ac:dyDescent="0.2">
      <c r="D695" t="s">
        <v>24</v>
      </c>
      <c r="E695">
        <f>'NHL2025-26Results'!C691</f>
        <v>1</v>
      </c>
      <c r="F695" t="s">
        <v>14</v>
      </c>
      <c r="G695">
        <f>'NHL2025-26Results'!E691</f>
        <v>4</v>
      </c>
      <c r="H695">
        <f>Table3[[#This Row],[G_1]]-Table3[[#This Row],[G]]</f>
        <v>3</v>
      </c>
      <c r="I695">
        <f>HomeEdge+VLOOKUP(Table3[[#This Row],[Home]],$A$6:$B$38,2,FALSE)-VLOOKUP(Table3[[#This Row],[Visitor]],$A$6:$B$38,2,FALSE)</f>
        <v>0.62312257819475803</v>
      </c>
      <c r="J695">
        <f>(Table3[[#This Row],[HomeMargin]]-Table3[[#This Row],[HomeForecast]])^2</f>
        <v>5.6495462782875334</v>
      </c>
    </row>
    <row r="696" spans="4:10" x14ac:dyDescent="0.2">
      <c r="D696" t="s">
        <v>34</v>
      </c>
      <c r="E696">
        <f>'NHL2025-26Results'!C692</f>
        <v>3</v>
      </c>
      <c r="F696" t="s">
        <v>32</v>
      </c>
      <c r="G696">
        <f>'NHL2025-26Results'!E692</f>
        <v>2</v>
      </c>
      <c r="H696">
        <f>Table3[[#This Row],[G_1]]-Table3[[#This Row],[G]]</f>
        <v>-1</v>
      </c>
      <c r="I696">
        <f>HomeEdge+VLOOKUP(Table3[[#This Row],[Home]],$A$6:$B$38,2,FALSE)-VLOOKUP(Table3[[#This Row],[Visitor]],$A$6:$B$38,2,FALSE)</f>
        <v>-0.48785327121951838</v>
      </c>
      <c r="J696">
        <f>(Table3[[#This Row],[HomeMargin]]-Table3[[#This Row],[HomeForecast]])^2</f>
        <v>0.26229427180054821</v>
      </c>
    </row>
    <row r="697" spans="4:10" x14ac:dyDescent="0.2">
      <c r="D697" t="s">
        <v>28</v>
      </c>
      <c r="E697">
        <f>'NHL2025-26Results'!C693</f>
        <v>3</v>
      </c>
      <c r="F697" t="s">
        <v>20</v>
      </c>
      <c r="G697">
        <f>'NHL2025-26Results'!E693</f>
        <v>5</v>
      </c>
      <c r="H697">
        <f>Table3[[#This Row],[G_1]]-Table3[[#This Row],[G]]</f>
        <v>2</v>
      </c>
      <c r="I697">
        <f>HomeEdge+VLOOKUP(Table3[[#This Row],[Home]],$A$6:$B$38,2,FALSE)-VLOOKUP(Table3[[#This Row],[Visitor]],$A$6:$B$38,2,FALSE)</f>
        <v>0.51704238506001809</v>
      </c>
      <c r="J697">
        <f>(Table3[[#This Row],[HomeMargin]]-Table3[[#This Row],[HomeForecast]])^2</f>
        <v>2.1991632877084797</v>
      </c>
    </row>
    <row r="698" spans="4:10" x14ac:dyDescent="0.2">
      <c r="D698" t="s">
        <v>17</v>
      </c>
      <c r="E698">
        <f>'NHL2025-26Results'!C694</f>
        <v>4</v>
      </c>
      <c r="F698" t="s">
        <v>40</v>
      </c>
      <c r="G698">
        <f>'NHL2025-26Results'!E694</f>
        <v>3</v>
      </c>
      <c r="H698">
        <f>Table3[[#This Row],[G_1]]-Table3[[#This Row],[G]]</f>
        <v>-1</v>
      </c>
      <c r="I698">
        <f>HomeEdge+VLOOKUP(Table3[[#This Row],[Home]],$A$6:$B$38,2,FALSE)-VLOOKUP(Table3[[#This Row],[Visitor]],$A$6:$B$38,2,FALSE)</f>
        <v>-0.1775364450987898</v>
      </c>
      <c r="J698">
        <f>(Table3[[#This Row],[HomeMargin]]-Table3[[#This Row],[HomeForecast]])^2</f>
        <v>0.67644629914073606</v>
      </c>
    </row>
    <row r="699" spans="4:10" x14ac:dyDescent="0.2">
      <c r="D699" t="s">
        <v>22</v>
      </c>
      <c r="E699">
        <f>'NHL2025-26Results'!C695</f>
        <v>5</v>
      </c>
      <c r="F699" t="s">
        <v>10</v>
      </c>
      <c r="G699">
        <f>'NHL2025-26Results'!E695</f>
        <v>1</v>
      </c>
      <c r="H699">
        <f>Table3[[#This Row],[G_1]]-Table3[[#This Row],[G]]</f>
        <v>-4</v>
      </c>
      <c r="I699">
        <f>HomeEdge+VLOOKUP(Table3[[#This Row],[Home]],$A$6:$B$38,2,FALSE)-VLOOKUP(Table3[[#This Row],[Visitor]],$A$6:$B$38,2,FALSE)</f>
        <v>-0.51943339672835265</v>
      </c>
      <c r="J699">
        <f>(Table3[[#This Row],[HomeMargin]]-Table3[[#This Row],[HomeForecast]])^2</f>
        <v>12.114343879809933</v>
      </c>
    </row>
    <row r="700" spans="4:10" x14ac:dyDescent="0.2">
      <c r="D700" t="s">
        <v>35</v>
      </c>
      <c r="E700">
        <f>'NHL2025-26Results'!C696</f>
        <v>2</v>
      </c>
      <c r="F700" t="s">
        <v>55</v>
      </c>
      <c r="G700">
        <f>'NHL2025-26Results'!E696</f>
        <v>4</v>
      </c>
      <c r="H700">
        <f>Table3[[#This Row],[G_1]]-Table3[[#This Row],[G]]</f>
        <v>2</v>
      </c>
      <c r="I700">
        <f>HomeEdge+VLOOKUP(Table3[[#This Row],[Home]],$A$6:$B$38,2,FALSE)-VLOOKUP(Table3[[#This Row],[Visitor]],$A$6:$B$38,2,FALSE)</f>
        <v>1.482884581167452</v>
      </c>
      <c r="J700">
        <f>(Table3[[#This Row],[HomeMargin]]-Table3[[#This Row],[HomeForecast]])^2</f>
        <v>0.2674083563943615</v>
      </c>
    </row>
    <row r="701" spans="4:10" x14ac:dyDescent="0.2">
      <c r="D701" t="s">
        <v>13</v>
      </c>
      <c r="E701">
        <f>'NHL2025-26Results'!C697</f>
        <v>1</v>
      </c>
      <c r="F701" t="s">
        <v>40</v>
      </c>
      <c r="G701">
        <f>'NHL2025-26Results'!E697</f>
        <v>5</v>
      </c>
      <c r="H701">
        <f>Table3[[#This Row],[G_1]]-Table3[[#This Row],[G]]</f>
        <v>4</v>
      </c>
      <c r="I701">
        <f>HomeEdge+VLOOKUP(Table3[[#This Row],[Home]],$A$6:$B$38,2,FALSE)-VLOOKUP(Table3[[#This Row],[Visitor]],$A$6:$B$38,2,FALSE)</f>
        <v>5.8301624320062972E-2</v>
      </c>
      <c r="J701">
        <f>(Table3[[#This Row],[HomeMargin]]-Table3[[#This Row],[HomeForecast]])^2</f>
        <v>15.536986084837855</v>
      </c>
    </row>
    <row r="702" spans="4:10" x14ac:dyDescent="0.2">
      <c r="D702" t="s">
        <v>15</v>
      </c>
      <c r="E702">
        <f>'NHL2025-26Results'!C698</f>
        <v>2</v>
      </c>
      <c r="F702" t="s">
        <v>21</v>
      </c>
      <c r="G702">
        <f>'NHL2025-26Results'!E698</f>
        <v>10</v>
      </c>
      <c r="H702">
        <f>Table3[[#This Row],[G_1]]-Table3[[#This Row],[G]]</f>
        <v>8</v>
      </c>
      <c r="I702">
        <f>HomeEdge+VLOOKUP(Table3[[#This Row],[Home]],$A$6:$B$38,2,FALSE)-VLOOKUP(Table3[[#This Row],[Visitor]],$A$6:$B$38,2,FALSE)</f>
        <v>0.68058847353131235</v>
      </c>
      <c r="J702">
        <f>(Table3[[#This Row],[HomeMargin]]-Table3[[#This Row],[HomeForecast]])^2</f>
        <v>53.573785093802691</v>
      </c>
    </row>
    <row r="703" spans="4:10" x14ac:dyDescent="0.2">
      <c r="D703" t="s">
        <v>31</v>
      </c>
      <c r="E703">
        <f>'NHL2025-26Results'!C699</f>
        <v>3</v>
      </c>
      <c r="F703" t="s">
        <v>23</v>
      </c>
      <c r="G703">
        <f>'NHL2025-26Results'!E699</f>
        <v>5</v>
      </c>
      <c r="H703">
        <f>Table3[[#This Row],[G_1]]-Table3[[#This Row],[G]]</f>
        <v>2</v>
      </c>
      <c r="I703">
        <f>HomeEdge+VLOOKUP(Table3[[#This Row],[Home]],$A$6:$B$38,2,FALSE)-VLOOKUP(Table3[[#This Row],[Visitor]],$A$6:$B$38,2,FALSE)</f>
        <v>0.50621053555604001</v>
      </c>
      <c r="J703">
        <f>(Table3[[#This Row],[HomeMargin]]-Table3[[#This Row],[HomeForecast]])^2</f>
        <v>2.2314069640837726</v>
      </c>
    </row>
    <row r="704" spans="4:10" x14ac:dyDescent="0.2">
      <c r="D704" t="s">
        <v>32</v>
      </c>
      <c r="E704">
        <f>'NHL2025-26Results'!C700</f>
        <v>2</v>
      </c>
      <c r="F704" t="s">
        <v>25</v>
      </c>
      <c r="G704">
        <f>'NHL2025-26Results'!E700</f>
        <v>3</v>
      </c>
      <c r="H704">
        <f>Table3[[#This Row],[G_1]]-Table3[[#This Row],[G]]</f>
        <v>1</v>
      </c>
      <c r="I704">
        <f>HomeEdge+VLOOKUP(Table3[[#This Row],[Home]],$A$6:$B$38,2,FALSE)-VLOOKUP(Table3[[#This Row],[Visitor]],$A$6:$B$38,2,FALSE)</f>
        <v>0.96218991253245223</v>
      </c>
      <c r="J704">
        <f>(Table3[[#This Row],[HomeMargin]]-Table3[[#This Row],[HomeForecast]])^2</f>
        <v>1.4296027143036129E-3</v>
      </c>
    </row>
    <row r="705" spans="4:10" x14ac:dyDescent="0.2">
      <c r="D705" t="s">
        <v>28</v>
      </c>
      <c r="E705">
        <f>'NHL2025-26Results'!C701</f>
        <v>0</v>
      </c>
      <c r="F705" t="s">
        <v>12</v>
      </c>
      <c r="G705">
        <f>'NHL2025-26Results'!E701</f>
        <v>4</v>
      </c>
      <c r="H705">
        <f>Table3[[#This Row],[G_1]]-Table3[[#This Row],[G]]</f>
        <v>4</v>
      </c>
      <c r="I705">
        <f>HomeEdge+VLOOKUP(Table3[[#This Row],[Home]],$A$6:$B$38,2,FALSE)-VLOOKUP(Table3[[#This Row],[Visitor]],$A$6:$B$38,2,FALSE)</f>
        <v>1.6970013182073149</v>
      </c>
      <c r="J705">
        <f>(Table3[[#This Row],[HomeMargin]]-Table3[[#This Row],[HomeForecast]])^2</f>
        <v>5.303802928338845</v>
      </c>
    </row>
    <row r="706" spans="4:10" x14ac:dyDescent="0.2">
      <c r="D706" t="s">
        <v>13</v>
      </c>
      <c r="E706">
        <f>'NHL2025-26Results'!C702</f>
        <v>4</v>
      </c>
      <c r="F706" t="s">
        <v>17</v>
      </c>
      <c r="G706">
        <f>'NHL2025-26Results'!E702</f>
        <v>3</v>
      </c>
      <c r="H706">
        <f>Table3[[#This Row],[G_1]]-Table3[[#This Row],[G]]</f>
        <v>-1</v>
      </c>
      <c r="I706">
        <f>HomeEdge+VLOOKUP(Table3[[#This Row],[Home]],$A$6:$B$38,2,FALSE)-VLOOKUP(Table3[[#This Row],[Visitor]],$A$6:$B$38,2,FALSE)</f>
        <v>0.33180806458951601</v>
      </c>
      <c r="J706">
        <f>(Table3[[#This Row],[HomeMargin]]-Table3[[#This Row],[HomeForecast]])^2</f>
        <v>1.7737127209056727</v>
      </c>
    </row>
    <row r="707" spans="4:10" x14ac:dyDescent="0.2">
      <c r="D707" t="s">
        <v>30</v>
      </c>
      <c r="E707">
        <f>'NHL2025-26Results'!C703</f>
        <v>4</v>
      </c>
      <c r="F707" t="s">
        <v>34</v>
      </c>
      <c r="G707">
        <f>'NHL2025-26Results'!E703</f>
        <v>3</v>
      </c>
      <c r="H707">
        <f>Table3[[#This Row],[G_1]]-Table3[[#This Row],[G]]</f>
        <v>-1</v>
      </c>
      <c r="I707">
        <f>HomeEdge+VLOOKUP(Table3[[#This Row],[Home]],$A$6:$B$38,2,FALSE)-VLOOKUP(Table3[[#This Row],[Visitor]],$A$6:$B$38,2,FALSE)</f>
        <v>0.3179365741538005</v>
      </c>
      <c r="J707">
        <f>(Table3[[#This Row],[HomeMargin]]-Table3[[#This Row],[HomeForecast]])^2</f>
        <v>1.7369568134922562</v>
      </c>
    </row>
    <row r="708" spans="4:10" x14ac:dyDescent="0.2">
      <c r="D708" t="s">
        <v>26</v>
      </c>
      <c r="E708">
        <f>'NHL2025-26Results'!C704</f>
        <v>4</v>
      </c>
      <c r="F708" t="s">
        <v>18</v>
      </c>
      <c r="G708">
        <f>'NHL2025-26Results'!E704</f>
        <v>0</v>
      </c>
      <c r="H708">
        <f>Table3[[#This Row],[G_1]]-Table3[[#This Row],[G]]</f>
        <v>-4</v>
      </c>
      <c r="I708">
        <f>HomeEdge+VLOOKUP(Table3[[#This Row],[Home]],$A$6:$B$38,2,FALSE)-VLOOKUP(Table3[[#This Row],[Visitor]],$A$6:$B$38,2,FALSE)</f>
        <v>3.2714418918911692E-2</v>
      </c>
      <c r="J708">
        <f>(Table3[[#This Row],[HomeMargin]]-Table3[[#This Row],[HomeForecast]])^2</f>
        <v>16.262785584556493</v>
      </c>
    </row>
    <row r="709" spans="4:10" x14ac:dyDescent="0.2">
      <c r="D709" t="s">
        <v>10</v>
      </c>
      <c r="E709">
        <f>'NHL2025-26Results'!C705</f>
        <v>3</v>
      </c>
      <c r="F709" t="s">
        <v>29</v>
      </c>
      <c r="G709">
        <f>'NHL2025-26Results'!E705</f>
        <v>0</v>
      </c>
      <c r="H709">
        <f>Table3[[#This Row],[G_1]]-Table3[[#This Row],[G]]</f>
        <v>-3</v>
      </c>
      <c r="I709">
        <f>HomeEdge+VLOOKUP(Table3[[#This Row],[Home]],$A$6:$B$38,2,FALSE)-VLOOKUP(Table3[[#This Row],[Visitor]],$A$6:$B$38,2,FALSE)</f>
        <v>5.7396735239123031E-2</v>
      </c>
      <c r="J709">
        <f>(Table3[[#This Row],[HomeMargin]]-Table3[[#This Row],[HomeForecast]])^2</f>
        <v>9.347674796650848</v>
      </c>
    </row>
    <row r="710" spans="4:10" x14ac:dyDescent="0.2">
      <c r="D710" t="s">
        <v>11</v>
      </c>
      <c r="E710">
        <f>'NHL2025-26Results'!C706</f>
        <v>3</v>
      </c>
      <c r="F710" t="s">
        <v>36</v>
      </c>
      <c r="G710">
        <f>'NHL2025-26Results'!E706</f>
        <v>2</v>
      </c>
      <c r="H710">
        <f>Table3[[#This Row],[G_1]]-Table3[[#This Row],[G]]</f>
        <v>-1</v>
      </c>
      <c r="I710">
        <f>HomeEdge+VLOOKUP(Table3[[#This Row],[Home]],$A$6:$B$38,2,FALSE)-VLOOKUP(Table3[[#This Row],[Visitor]],$A$6:$B$38,2,FALSE)</f>
        <v>0.11581550864295787</v>
      </c>
      <c r="J710">
        <f>(Table3[[#This Row],[HomeMargin]]-Table3[[#This Row],[HomeForecast]])^2</f>
        <v>1.2450442493281431</v>
      </c>
    </row>
    <row r="711" spans="4:10" x14ac:dyDescent="0.2">
      <c r="D711" t="s">
        <v>37</v>
      </c>
      <c r="E711">
        <f>'NHL2025-26Results'!C707</f>
        <v>7</v>
      </c>
      <c r="F711" t="s">
        <v>27</v>
      </c>
      <c r="G711">
        <f>'NHL2025-26Results'!E707</f>
        <v>2</v>
      </c>
      <c r="H711">
        <f>Table3[[#This Row],[G_1]]-Table3[[#This Row],[G]]</f>
        <v>-5</v>
      </c>
      <c r="I711">
        <f>HomeEdge+VLOOKUP(Table3[[#This Row],[Home]],$A$6:$B$38,2,FALSE)-VLOOKUP(Table3[[#This Row],[Visitor]],$A$6:$B$38,2,FALSE)</f>
        <v>-0.87925855773314554</v>
      </c>
      <c r="J711">
        <f>(Table3[[#This Row],[HomeMargin]]-Table3[[#This Row],[HomeForecast]])^2</f>
        <v>16.98051003401552</v>
      </c>
    </row>
    <row r="712" spans="4:10" x14ac:dyDescent="0.2">
      <c r="D712" t="s">
        <v>16</v>
      </c>
      <c r="E712">
        <f>'NHL2025-26Results'!C708</f>
        <v>2</v>
      </c>
      <c r="F712" t="s">
        <v>14</v>
      </c>
      <c r="G712">
        <f>'NHL2025-26Results'!E708</f>
        <v>1</v>
      </c>
      <c r="H712">
        <f>Table3[[#This Row],[G_1]]-Table3[[#This Row],[G]]</f>
        <v>-1</v>
      </c>
      <c r="I712">
        <f>HomeEdge+VLOOKUP(Table3[[#This Row],[Home]],$A$6:$B$38,2,FALSE)-VLOOKUP(Table3[[#This Row],[Visitor]],$A$6:$B$38,2,FALSE)</f>
        <v>0.88749145040844779</v>
      </c>
      <c r="J712">
        <f>(Table3[[#This Row],[HomeMargin]]-Table3[[#This Row],[HomeForecast]])^2</f>
        <v>3.5626239753649855</v>
      </c>
    </row>
    <row r="713" spans="4:10" x14ac:dyDescent="0.2">
      <c r="D713" t="s">
        <v>39</v>
      </c>
      <c r="E713">
        <f>'NHL2025-26Results'!C709</f>
        <v>4</v>
      </c>
      <c r="F713" t="s">
        <v>33</v>
      </c>
      <c r="G713">
        <f>'NHL2025-26Results'!E709</f>
        <v>5</v>
      </c>
      <c r="H713">
        <f>Table3[[#This Row],[G_1]]-Table3[[#This Row],[G]]</f>
        <v>1</v>
      </c>
      <c r="I713">
        <f>HomeEdge+VLOOKUP(Table3[[#This Row],[Home]],$A$6:$B$38,2,FALSE)-VLOOKUP(Table3[[#This Row],[Visitor]],$A$6:$B$38,2,FALSE)</f>
        <v>-0.65124553672150942</v>
      </c>
      <c r="J713">
        <f>(Table3[[#This Row],[HomeMargin]]-Table3[[#This Row],[HomeForecast]])^2</f>
        <v>2.7266118225427052</v>
      </c>
    </row>
    <row r="714" spans="4:10" x14ac:dyDescent="0.2">
      <c r="D714" t="s">
        <v>38</v>
      </c>
      <c r="E714">
        <f>'NHL2025-26Results'!C710</f>
        <v>0</v>
      </c>
      <c r="F714" t="s">
        <v>19</v>
      </c>
      <c r="G714">
        <f>'NHL2025-26Results'!E710</f>
        <v>5</v>
      </c>
      <c r="H714">
        <f>Table3[[#This Row],[G_1]]-Table3[[#This Row],[G]]</f>
        <v>5</v>
      </c>
      <c r="I714">
        <f>HomeEdge+VLOOKUP(Table3[[#This Row],[Home]],$A$6:$B$38,2,FALSE)-VLOOKUP(Table3[[#This Row],[Visitor]],$A$6:$B$38,2,FALSE)</f>
        <v>1.0333457880211343</v>
      </c>
      <c r="J714">
        <f>(Table3[[#This Row],[HomeMargin]]-Table3[[#This Row],[HomeForecast]])^2</f>
        <v>15.734345637409676</v>
      </c>
    </row>
    <row r="715" spans="4:10" x14ac:dyDescent="0.2">
      <c r="D715" t="s">
        <v>35</v>
      </c>
      <c r="E715">
        <f>'NHL2025-26Results'!C711</f>
        <v>2</v>
      </c>
      <c r="F715" t="s">
        <v>20</v>
      </c>
      <c r="G715">
        <f>'NHL2025-26Results'!E711</f>
        <v>4</v>
      </c>
      <c r="H715">
        <f>Table3[[#This Row],[G_1]]-Table3[[#This Row],[G]]</f>
        <v>2</v>
      </c>
      <c r="I715">
        <f>HomeEdge+VLOOKUP(Table3[[#This Row],[Home]],$A$6:$B$38,2,FALSE)-VLOOKUP(Table3[[#This Row],[Visitor]],$A$6:$B$38,2,FALSE)</f>
        <v>1.3575583786351701</v>
      </c>
      <c r="J715">
        <f>(Table3[[#This Row],[HomeMargin]]-Table3[[#This Row],[HomeForecast]])^2</f>
        <v>0.41273123686187141</v>
      </c>
    </row>
    <row r="716" spans="4:10" x14ac:dyDescent="0.2">
      <c r="D716" t="s">
        <v>14</v>
      </c>
      <c r="E716">
        <f>'NHL2025-26Results'!C712</f>
        <v>0</v>
      </c>
      <c r="F716" t="s">
        <v>21</v>
      </c>
      <c r="G716">
        <f>'NHL2025-26Results'!E712</f>
        <v>1</v>
      </c>
      <c r="H716">
        <f>Table3[[#This Row],[G_1]]-Table3[[#This Row],[G]]</f>
        <v>1</v>
      </c>
      <c r="I716">
        <f>HomeEdge+VLOOKUP(Table3[[#This Row],[Home]],$A$6:$B$38,2,FALSE)-VLOOKUP(Table3[[#This Row],[Visitor]],$A$6:$B$38,2,FALSE)</f>
        <v>4.0889650211709934E-2</v>
      </c>
      <c r="J716">
        <f>(Table3[[#This Row],[HomeMargin]]-Table3[[#This Row],[HomeForecast]])^2</f>
        <v>0.91989266307101603</v>
      </c>
    </row>
    <row r="717" spans="4:10" x14ac:dyDescent="0.2">
      <c r="D717" t="s">
        <v>22</v>
      </c>
      <c r="E717">
        <f>'NHL2025-26Results'!C713</f>
        <v>2</v>
      </c>
      <c r="F717" t="s">
        <v>29</v>
      </c>
      <c r="G717">
        <f>'NHL2025-26Results'!E713</f>
        <v>3</v>
      </c>
      <c r="H717">
        <f>Table3[[#This Row],[G_1]]-Table3[[#This Row],[G]]</f>
        <v>1</v>
      </c>
      <c r="I717">
        <f>HomeEdge+VLOOKUP(Table3[[#This Row],[Home]],$A$6:$B$38,2,FALSE)-VLOOKUP(Table3[[#This Row],[Visitor]],$A$6:$B$38,2,FALSE)</f>
        <v>-0.55800665665989291</v>
      </c>
      <c r="J717">
        <f>(Table3[[#This Row],[HomeMargin]]-Table3[[#This Row],[HomeForecast]])^2</f>
        <v>2.4273847421965375</v>
      </c>
    </row>
    <row r="718" spans="4:10" x14ac:dyDescent="0.2">
      <c r="D718" t="s">
        <v>20</v>
      </c>
      <c r="E718">
        <f>'NHL2025-26Results'!C714</f>
        <v>7</v>
      </c>
      <c r="F718" t="s">
        <v>33</v>
      </c>
      <c r="G718">
        <f>'NHL2025-26Results'!E714</f>
        <v>2</v>
      </c>
      <c r="H718">
        <f>Table3[[#This Row],[G_1]]-Table3[[#This Row],[G]]</f>
        <v>-5</v>
      </c>
      <c r="I718">
        <f>HomeEdge+VLOOKUP(Table3[[#This Row],[Home]],$A$6:$B$38,2,FALSE)-VLOOKUP(Table3[[#This Row],[Visitor]],$A$6:$B$38,2,FALSE)</f>
        <v>-0.43387532531395356</v>
      </c>
      <c r="J718">
        <f>(Table3[[#This Row],[HomeMargin]]-Table3[[#This Row],[HomeForecast]])^2</f>
        <v>20.84949454477675</v>
      </c>
    </row>
    <row r="719" spans="4:10" x14ac:dyDescent="0.2">
      <c r="D719" t="s">
        <v>28</v>
      </c>
      <c r="E719">
        <f>'NHL2025-26Results'!C715</f>
        <v>3</v>
      </c>
      <c r="F719" t="s">
        <v>55</v>
      </c>
      <c r="G719">
        <f>'NHL2025-26Results'!E715</f>
        <v>2</v>
      </c>
      <c r="H719">
        <f>Table3[[#This Row],[G_1]]-Table3[[#This Row],[G]]</f>
        <v>-1</v>
      </c>
      <c r="I719">
        <f>HomeEdge+VLOOKUP(Table3[[#This Row],[Home]],$A$6:$B$38,2,FALSE)-VLOOKUP(Table3[[#This Row],[Visitor]],$A$6:$B$38,2,FALSE)</f>
        <v>0.64236858759229998</v>
      </c>
      <c r="J719">
        <f>(Table3[[#This Row],[HomeMargin]]-Table3[[#This Row],[HomeForecast]])^2</f>
        <v>2.6973745775099265</v>
      </c>
    </row>
    <row r="720" spans="4:10" x14ac:dyDescent="0.2">
      <c r="D720" t="s">
        <v>24</v>
      </c>
      <c r="E720">
        <f>'NHL2025-26Results'!C716</f>
        <v>3</v>
      </c>
      <c r="F720" t="s">
        <v>40</v>
      </c>
      <c r="G720">
        <f>'NHL2025-26Results'!E716</f>
        <v>4</v>
      </c>
      <c r="H720">
        <f>Table3[[#This Row],[G_1]]-Table3[[#This Row],[G]]</f>
        <v>1</v>
      </c>
      <c r="I720">
        <f>HomeEdge+VLOOKUP(Table3[[#This Row],[Home]],$A$6:$B$38,2,FALSE)-VLOOKUP(Table3[[#This Row],[Visitor]],$A$6:$B$38,2,FALSE)</f>
        <v>0.14917230606835741</v>
      </c>
      <c r="J720">
        <f>(Table3[[#This Row],[HomeMargin]]-Table3[[#This Row],[HomeForecast]])^2</f>
        <v>0.72390776476103691</v>
      </c>
    </row>
    <row r="721" spans="4:10" x14ac:dyDescent="0.2">
      <c r="D721" t="s">
        <v>11</v>
      </c>
      <c r="E721">
        <f>'NHL2025-26Results'!C717</f>
        <v>4</v>
      </c>
      <c r="F721" t="s">
        <v>23</v>
      </c>
      <c r="G721">
        <f>'NHL2025-26Results'!E717</f>
        <v>3</v>
      </c>
      <c r="H721">
        <f>Table3[[#This Row],[G_1]]-Table3[[#This Row],[G]]</f>
        <v>-1</v>
      </c>
      <c r="I721">
        <f>HomeEdge+VLOOKUP(Table3[[#This Row],[Home]],$A$6:$B$38,2,FALSE)-VLOOKUP(Table3[[#This Row],[Visitor]],$A$6:$B$38,2,FALSE)</f>
        <v>0.54706962211011601</v>
      </c>
      <c r="J721">
        <f>(Table3[[#This Row],[HomeMargin]]-Table3[[#This Row],[HomeForecast]])^2</f>
        <v>2.3934244156559368</v>
      </c>
    </row>
    <row r="722" spans="4:10" x14ac:dyDescent="0.2">
      <c r="D722" t="s">
        <v>17</v>
      </c>
      <c r="E722">
        <f>'NHL2025-26Results'!C718</f>
        <v>4</v>
      </c>
      <c r="F722" t="s">
        <v>10</v>
      </c>
      <c r="G722">
        <f>'NHL2025-26Results'!E718</f>
        <v>1</v>
      </c>
      <c r="H722">
        <f>Table3[[#This Row],[G_1]]-Table3[[#This Row],[G]]</f>
        <v>-3</v>
      </c>
      <c r="I722">
        <f>HomeEdge+VLOOKUP(Table3[[#This Row],[Home]],$A$6:$B$38,2,FALSE)-VLOOKUP(Table3[[#This Row],[Visitor]],$A$6:$B$38,2,FALSE)</f>
        <v>-0.40818184648451178</v>
      </c>
      <c r="J722">
        <f>(Table3[[#This Row],[HomeMargin]]-Table3[[#This Row],[HomeForecast]])^2</f>
        <v>6.7175213408924348</v>
      </c>
    </row>
    <row r="723" spans="4:10" x14ac:dyDescent="0.2">
      <c r="D723" t="s">
        <v>19</v>
      </c>
      <c r="E723">
        <f>'NHL2025-26Results'!C719</f>
        <v>4</v>
      </c>
      <c r="F723" t="s">
        <v>12</v>
      </c>
      <c r="G723">
        <f>'NHL2025-26Results'!E719</f>
        <v>3</v>
      </c>
      <c r="H723">
        <f>Table3[[#This Row],[G_1]]-Table3[[#This Row],[G]]</f>
        <v>-1</v>
      </c>
      <c r="I723">
        <f>HomeEdge+VLOOKUP(Table3[[#This Row],[Home]],$A$6:$B$38,2,FALSE)-VLOOKUP(Table3[[#This Row],[Visitor]],$A$6:$B$38,2,FALSE)</f>
        <v>1.5929099315393773</v>
      </c>
      <c r="J723">
        <f>(Table3[[#This Row],[HomeMargin]]-Table3[[#This Row],[HomeForecast]])^2</f>
        <v>6.7231819130755381</v>
      </c>
    </row>
    <row r="724" spans="4:10" x14ac:dyDescent="0.2">
      <c r="D724" t="s">
        <v>25</v>
      </c>
      <c r="E724">
        <f>'NHL2025-26Results'!C720</f>
        <v>3</v>
      </c>
      <c r="F724" t="s">
        <v>26</v>
      </c>
      <c r="G724">
        <f>'NHL2025-26Results'!E720</f>
        <v>4</v>
      </c>
      <c r="H724">
        <f>Table3[[#This Row],[G_1]]-Table3[[#This Row],[G]]</f>
        <v>1</v>
      </c>
      <c r="I724">
        <f>HomeEdge+VLOOKUP(Table3[[#This Row],[Home]],$A$6:$B$38,2,FALSE)-VLOOKUP(Table3[[#This Row],[Visitor]],$A$6:$B$38,2,FALSE)</f>
        <v>-0.37250512594447321</v>
      </c>
      <c r="J724">
        <f>(Table3[[#This Row],[HomeMargin]]-Table3[[#This Row],[HomeForecast]])^2</f>
        <v>1.8837703207438541</v>
      </c>
    </row>
    <row r="725" spans="4:10" x14ac:dyDescent="0.2">
      <c r="D725" t="s">
        <v>39</v>
      </c>
      <c r="E725">
        <f>'NHL2025-26Results'!C721</f>
        <v>3</v>
      </c>
      <c r="F725" t="s">
        <v>13</v>
      </c>
      <c r="G725">
        <f>'NHL2025-26Results'!E721</f>
        <v>1</v>
      </c>
      <c r="H725">
        <f>Table3[[#This Row],[G_1]]-Table3[[#This Row],[G]]</f>
        <v>-2</v>
      </c>
      <c r="I725">
        <f>HomeEdge+VLOOKUP(Table3[[#This Row],[Home]],$A$6:$B$38,2,FALSE)-VLOOKUP(Table3[[#This Row],[Visitor]],$A$6:$B$38,2,FALSE)</f>
        <v>-0.55287539861746593</v>
      </c>
      <c r="J725">
        <f>(Table3[[#This Row],[HomeMargin]]-Table3[[#This Row],[HomeForecast]])^2</f>
        <v>2.0941696119265583</v>
      </c>
    </row>
    <row r="726" spans="4:10" x14ac:dyDescent="0.2">
      <c r="D726" t="s">
        <v>24</v>
      </c>
      <c r="E726">
        <f>'NHL2025-26Results'!C722</f>
        <v>5</v>
      </c>
      <c r="F726" t="s">
        <v>34</v>
      </c>
      <c r="G726">
        <f>'NHL2025-26Results'!E722</f>
        <v>2</v>
      </c>
      <c r="H726">
        <f>Table3[[#This Row],[G_1]]-Table3[[#This Row],[G]]</f>
        <v>-3</v>
      </c>
      <c r="I726">
        <f>HomeEdge+VLOOKUP(Table3[[#This Row],[Home]],$A$6:$B$38,2,FALSE)-VLOOKUP(Table3[[#This Row],[Visitor]],$A$6:$B$38,2,FALSE)</f>
        <v>0.63596935903602159</v>
      </c>
      <c r="J726">
        <f>(Table3[[#This Row],[HomeMargin]]-Table3[[#This Row],[HomeForecast]])^2</f>
        <v>13.220273179848817</v>
      </c>
    </row>
    <row r="727" spans="4:10" x14ac:dyDescent="0.2">
      <c r="D727" t="s">
        <v>38</v>
      </c>
      <c r="E727">
        <f>'NHL2025-26Results'!C723</f>
        <v>3</v>
      </c>
      <c r="F727" t="s">
        <v>18</v>
      </c>
      <c r="G727">
        <f>'NHL2025-26Results'!E723</f>
        <v>6</v>
      </c>
      <c r="H727">
        <f>Table3[[#This Row],[G_1]]-Table3[[#This Row],[G]]</f>
        <v>3</v>
      </c>
      <c r="I727">
        <f>HomeEdge+VLOOKUP(Table3[[#This Row],[Home]],$A$6:$B$38,2,FALSE)-VLOOKUP(Table3[[#This Row],[Visitor]],$A$6:$B$38,2,FALSE)</f>
        <v>1.1186462445837613</v>
      </c>
      <c r="J727">
        <f>(Table3[[#This Row],[HomeMargin]]-Table3[[#This Row],[HomeForecast]])^2</f>
        <v>3.5394919530187847</v>
      </c>
    </row>
    <row r="728" spans="4:10" x14ac:dyDescent="0.2">
      <c r="D728" t="s">
        <v>32</v>
      </c>
      <c r="E728">
        <f>'NHL2025-26Results'!C724</f>
        <v>4</v>
      </c>
      <c r="F728" t="s">
        <v>15</v>
      </c>
      <c r="G728">
        <f>'NHL2025-26Results'!E724</f>
        <v>2</v>
      </c>
      <c r="H728">
        <f>Table3[[#This Row],[G_1]]-Table3[[#This Row],[G]]</f>
        <v>-2</v>
      </c>
      <c r="I728">
        <f>HomeEdge+VLOOKUP(Table3[[#This Row],[Home]],$A$6:$B$38,2,FALSE)-VLOOKUP(Table3[[#This Row],[Visitor]],$A$6:$B$38,2,FALSE)</f>
        <v>2.724765739997892E-2</v>
      </c>
      <c r="J728">
        <f>(Table3[[#This Row],[HomeMargin]]-Table3[[#This Row],[HomeForecast]])^2</f>
        <v>4.1097330644337022</v>
      </c>
    </row>
    <row r="729" spans="4:10" x14ac:dyDescent="0.2">
      <c r="D729" t="s">
        <v>37</v>
      </c>
      <c r="E729">
        <f>'NHL2025-26Results'!C725</f>
        <v>5</v>
      </c>
      <c r="F729" t="s">
        <v>27</v>
      </c>
      <c r="G729">
        <f>'NHL2025-26Results'!E725</f>
        <v>1</v>
      </c>
      <c r="H729">
        <f>Table3[[#This Row],[G_1]]-Table3[[#This Row],[G]]</f>
        <v>-4</v>
      </c>
      <c r="I729">
        <f>HomeEdge+VLOOKUP(Table3[[#This Row],[Home]],$A$6:$B$38,2,FALSE)-VLOOKUP(Table3[[#This Row],[Visitor]],$A$6:$B$38,2,FALSE)</f>
        <v>-0.87925855773314554</v>
      </c>
      <c r="J729">
        <f>(Table3[[#This Row],[HomeMargin]]-Table3[[#This Row],[HomeForecast]])^2</f>
        <v>9.7390271494818066</v>
      </c>
    </row>
    <row r="730" spans="4:10" x14ac:dyDescent="0.2">
      <c r="D730" t="s">
        <v>39</v>
      </c>
      <c r="E730">
        <f>'NHL2025-26Results'!C726</f>
        <v>1</v>
      </c>
      <c r="F730" t="s">
        <v>31</v>
      </c>
      <c r="G730">
        <f>'NHL2025-26Results'!E726</f>
        <v>3</v>
      </c>
      <c r="H730">
        <f>Table3[[#This Row],[G_1]]-Table3[[#This Row],[G]]</f>
        <v>2</v>
      </c>
      <c r="I730">
        <f>HomeEdge+VLOOKUP(Table3[[#This Row],[Home]],$A$6:$B$38,2,FALSE)-VLOOKUP(Table3[[#This Row],[Visitor]],$A$6:$B$38,2,FALSE)</f>
        <v>-0.49951969710376021</v>
      </c>
      <c r="J730">
        <f>(Table3[[#This Row],[HomeMargin]]-Table3[[#This Row],[HomeForecast]])^2</f>
        <v>6.2475987162096738</v>
      </c>
    </row>
    <row r="731" spans="4:10" x14ac:dyDescent="0.2">
      <c r="D731" t="s">
        <v>26</v>
      </c>
      <c r="E731">
        <f>'NHL2025-26Results'!C727</f>
        <v>0</v>
      </c>
      <c r="F731" t="s">
        <v>21</v>
      </c>
      <c r="G731">
        <f>'NHL2025-26Results'!E727</f>
        <v>3</v>
      </c>
      <c r="H731">
        <f>Table3[[#This Row],[G_1]]-Table3[[#This Row],[G]]</f>
        <v>3</v>
      </c>
      <c r="I731">
        <f>HomeEdge+VLOOKUP(Table3[[#This Row],[Home]],$A$6:$B$38,2,FALSE)-VLOOKUP(Table3[[#This Row],[Visitor]],$A$6:$B$38,2,FALSE)</f>
        <v>0.21412133951397549</v>
      </c>
      <c r="J731">
        <f>(Table3[[#This Row],[HomeMargin]]-Table3[[#This Row],[HomeForecast]])^2</f>
        <v>7.7611199109514057</v>
      </c>
    </row>
    <row r="732" spans="4:10" x14ac:dyDescent="0.2">
      <c r="D732" t="s">
        <v>16</v>
      </c>
      <c r="E732">
        <f>'NHL2025-26Results'!C728</f>
        <v>3</v>
      </c>
      <c r="F732" t="s">
        <v>28</v>
      </c>
      <c r="G732">
        <f>'NHL2025-26Results'!E728</f>
        <v>5</v>
      </c>
      <c r="H732">
        <f>Table3[[#This Row],[G_1]]-Table3[[#This Row],[G]]</f>
        <v>2</v>
      </c>
      <c r="I732">
        <f>HomeEdge+VLOOKUP(Table3[[#This Row],[Home]],$A$6:$B$38,2,FALSE)-VLOOKUP(Table3[[#This Row],[Visitor]],$A$6:$B$38,2,FALSE)</f>
        <v>0.46161234162386583</v>
      </c>
      <c r="J732">
        <f>(Table3[[#This Row],[HomeMargin]]-Table3[[#This Row],[HomeForecast]])^2</f>
        <v>2.3666365874440056</v>
      </c>
    </row>
    <row r="733" spans="4:10" x14ac:dyDescent="0.2">
      <c r="D733" t="s">
        <v>17</v>
      </c>
      <c r="E733">
        <f>'NHL2025-26Results'!C729</f>
        <v>3</v>
      </c>
      <c r="F733" t="s">
        <v>29</v>
      </c>
      <c r="G733">
        <f>'NHL2025-26Results'!E729</f>
        <v>4</v>
      </c>
      <c r="H733">
        <f>Table3[[#This Row],[G_1]]-Table3[[#This Row],[G]]</f>
        <v>1</v>
      </c>
      <c r="I733">
        <f>HomeEdge+VLOOKUP(Table3[[#This Row],[Home]],$A$6:$B$38,2,FALSE)-VLOOKUP(Table3[[#This Row],[Visitor]],$A$6:$B$38,2,FALSE)</f>
        <v>-0.44675510641605204</v>
      </c>
      <c r="J733">
        <f>(Table3[[#This Row],[HomeMargin]]-Table3[[#This Row],[HomeForecast]])^2</f>
        <v>2.0931003379409221</v>
      </c>
    </row>
    <row r="734" spans="4:10" x14ac:dyDescent="0.2">
      <c r="D734" t="s">
        <v>38</v>
      </c>
      <c r="E734">
        <f>'NHL2025-26Results'!C730</f>
        <v>1</v>
      </c>
      <c r="F734" t="s">
        <v>36</v>
      </c>
      <c r="G734">
        <f>'NHL2025-26Results'!E730</f>
        <v>2</v>
      </c>
      <c r="H734">
        <f>Table3[[#This Row],[G_1]]-Table3[[#This Row],[G]]</f>
        <v>1</v>
      </c>
      <c r="I734">
        <f>HomeEdge+VLOOKUP(Table3[[#This Row],[Home]],$A$6:$B$38,2,FALSE)-VLOOKUP(Table3[[#This Row],[Visitor]],$A$6:$B$38,2,FALSE)</f>
        <v>0.95119373729390244</v>
      </c>
      <c r="J734">
        <f>(Table3[[#This Row],[HomeMargin]]-Table3[[#This Row],[HomeForecast]])^2</f>
        <v>2.3820512793366094E-3</v>
      </c>
    </row>
    <row r="735" spans="4:10" x14ac:dyDescent="0.2">
      <c r="D735" t="s">
        <v>37</v>
      </c>
      <c r="E735">
        <f>'NHL2025-26Results'!C731</f>
        <v>2</v>
      </c>
      <c r="F735" t="s">
        <v>14</v>
      </c>
      <c r="G735">
        <f>'NHL2025-26Results'!E731</f>
        <v>1</v>
      </c>
      <c r="H735">
        <f>Table3[[#This Row],[G_1]]-Table3[[#This Row],[G]]</f>
        <v>-1</v>
      </c>
      <c r="I735">
        <f>HomeEdge+VLOOKUP(Table3[[#This Row],[Home]],$A$6:$B$38,2,FALSE)-VLOOKUP(Table3[[#This Row],[Visitor]],$A$6:$B$38,2,FALSE)</f>
        <v>-0.55740296194537675</v>
      </c>
      <c r="J735">
        <f>(Table3[[#This Row],[HomeMargin]]-Table3[[#This Row],[HomeForecast]])^2</f>
        <v>0.19589213809472561</v>
      </c>
    </row>
    <row r="736" spans="4:10" x14ac:dyDescent="0.2">
      <c r="D736" t="s">
        <v>25</v>
      </c>
      <c r="E736">
        <f>'NHL2025-26Results'!C732</f>
        <v>0</v>
      </c>
      <c r="F736" t="s">
        <v>35</v>
      </c>
      <c r="G736">
        <f>'NHL2025-26Results'!E732</f>
        <v>3</v>
      </c>
      <c r="H736">
        <f>Table3[[#This Row],[G_1]]-Table3[[#This Row],[G]]</f>
        <v>3</v>
      </c>
      <c r="I736">
        <f>HomeEdge+VLOOKUP(Table3[[#This Row],[Home]],$A$6:$B$38,2,FALSE)-VLOOKUP(Table3[[#This Row],[Visitor]],$A$6:$B$38,2,FALSE)</f>
        <v>-1.4656685390019417</v>
      </c>
      <c r="J736">
        <f>(Table3[[#This Row],[HomeMargin]]-Table3[[#This Row],[HomeForecast]])^2</f>
        <v>19.942195500231737</v>
      </c>
    </row>
    <row r="737" spans="4:10" x14ac:dyDescent="0.2">
      <c r="D737" t="s">
        <v>19</v>
      </c>
      <c r="E737">
        <f>'NHL2025-26Results'!C733</f>
        <v>1</v>
      </c>
      <c r="F737" t="s">
        <v>55</v>
      </c>
      <c r="G737">
        <f>'NHL2025-26Results'!E733</f>
        <v>6</v>
      </c>
      <c r="H737">
        <f>Table3[[#This Row],[G_1]]-Table3[[#This Row],[G]]</f>
        <v>5</v>
      </c>
      <c r="I737">
        <f>HomeEdge+VLOOKUP(Table3[[#This Row],[Home]],$A$6:$B$38,2,FALSE)-VLOOKUP(Table3[[#This Row],[Visitor]],$A$6:$B$38,2,FALSE)</f>
        <v>0.53827720092436238</v>
      </c>
      <c r="J737">
        <f>(Table3[[#This Row],[HomeMargin]]-Table3[[#This Row],[HomeForecast]])^2</f>
        <v>19.906970335791343</v>
      </c>
    </row>
    <row r="738" spans="4:10" x14ac:dyDescent="0.2">
      <c r="D738" t="s">
        <v>30</v>
      </c>
      <c r="E738">
        <f>'NHL2025-26Results'!C734</f>
        <v>4</v>
      </c>
      <c r="F738" t="s">
        <v>40</v>
      </c>
      <c r="G738">
        <f>'NHL2025-26Results'!E734</f>
        <v>5</v>
      </c>
      <c r="H738">
        <f>Table3[[#This Row],[G_1]]-Table3[[#This Row],[G]]</f>
        <v>1</v>
      </c>
      <c r="I738">
        <f>HomeEdge+VLOOKUP(Table3[[#This Row],[Home]],$A$6:$B$38,2,FALSE)-VLOOKUP(Table3[[#This Row],[Visitor]],$A$6:$B$38,2,FALSE)</f>
        <v>-0.16886047881386368</v>
      </c>
      <c r="J738">
        <f>(Table3[[#This Row],[HomeMargin]]-Table3[[#This Row],[HomeForecast]])^2</f>
        <v>1.3662348189329747</v>
      </c>
    </row>
    <row r="739" spans="4:10" x14ac:dyDescent="0.2">
      <c r="D739" t="s">
        <v>18</v>
      </c>
      <c r="E739">
        <f>'NHL2025-26Results'!C735</f>
        <v>2</v>
      </c>
      <c r="F739" t="s">
        <v>22</v>
      </c>
      <c r="G739">
        <f>'NHL2025-26Results'!E735</f>
        <v>3</v>
      </c>
      <c r="H739">
        <f>Table3[[#This Row],[G_1]]-Table3[[#This Row],[G]]</f>
        <v>1</v>
      </c>
      <c r="I739">
        <f>HomeEdge+VLOOKUP(Table3[[#This Row],[Home]],$A$6:$B$38,2,FALSE)-VLOOKUP(Table3[[#This Row],[Visitor]],$A$6:$B$38,2,FALSE)</f>
        <v>0.24326497911157366</v>
      </c>
      <c r="J739">
        <f>(Table3[[#This Row],[HomeMargin]]-Table3[[#This Row],[HomeForecast]])^2</f>
        <v>0.57264789183900711</v>
      </c>
    </row>
    <row r="740" spans="4:10" x14ac:dyDescent="0.2">
      <c r="D740" t="s">
        <v>27</v>
      </c>
      <c r="E740">
        <f>'NHL2025-26Results'!C736</f>
        <v>2</v>
      </c>
      <c r="F740" t="s">
        <v>23</v>
      </c>
      <c r="G740">
        <f>'NHL2025-26Results'!E736</f>
        <v>5</v>
      </c>
      <c r="H740">
        <f>Table3[[#This Row],[G_1]]-Table3[[#This Row],[G]]</f>
        <v>3</v>
      </c>
      <c r="I740">
        <f>HomeEdge+VLOOKUP(Table3[[#This Row],[Home]],$A$6:$B$38,2,FALSE)-VLOOKUP(Table3[[#This Row],[Visitor]],$A$6:$B$38,2,FALSE)</f>
        <v>0.44513993158171405</v>
      </c>
      <c r="J740">
        <f>(Table3[[#This Row],[HomeMargin]]-Table3[[#This Row],[HomeForecast]])^2</f>
        <v>6.5273099691982885</v>
      </c>
    </row>
    <row r="741" spans="4:10" x14ac:dyDescent="0.2">
      <c r="D741" t="s">
        <v>20</v>
      </c>
      <c r="E741">
        <f>'NHL2025-26Results'!C737</f>
        <v>3</v>
      </c>
      <c r="F741" t="s">
        <v>13</v>
      </c>
      <c r="G741">
        <f>'NHL2025-26Results'!E737</f>
        <v>2</v>
      </c>
      <c r="H741">
        <f>Table3[[#This Row],[G_1]]-Table3[[#This Row],[G]]</f>
        <v>-1</v>
      </c>
      <c r="I741">
        <f>HomeEdge+VLOOKUP(Table3[[#This Row],[Home]],$A$6:$B$38,2,FALSE)-VLOOKUP(Table3[[#This Row],[Visitor]],$A$6:$B$38,2,FALSE)</f>
        <v>-0.33550518720991007</v>
      </c>
      <c r="J741">
        <f>(Table3[[#This Row],[HomeMargin]]-Table3[[#This Row],[HomeForecast]])^2</f>
        <v>0.44155335622493669</v>
      </c>
    </row>
    <row r="742" spans="4:10" x14ac:dyDescent="0.2">
      <c r="D742" t="s">
        <v>32</v>
      </c>
      <c r="E742">
        <f>'NHL2025-26Results'!C738</f>
        <v>2</v>
      </c>
      <c r="F742" t="s">
        <v>24</v>
      </c>
      <c r="G742">
        <f>'NHL2025-26Results'!E738</f>
        <v>3</v>
      </c>
      <c r="H742">
        <f>Table3[[#This Row],[G_1]]-Table3[[#This Row],[G]]</f>
        <v>1</v>
      </c>
      <c r="I742">
        <f>HomeEdge+VLOOKUP(Table3[[#This Row],[Home]],$A$6:$B$38,2,FALSE)-VLOOKUP(Table3[[#This Row],[Visitor]],$A$6:$B$38,2,FALSE)</f>
        <v>0.1397938976954865</v>
      </c>
      <c r="J742">
        <f>(Table3[[#This Row],[HomeMargin]]-Table3[[#This Row],[HomeForecast]])^2</f>
        <v>0.73995453844192327</v>
      </c>
    </row>
    <row r="743" spans="4:10" x14ac:dyDescent="0.2">
      <c r="D743" t="s">
        <v>36</v>
      </c>
      <c r="E743">
        <f>'NHL2025-26Results'!C739</f>
        <v>8</v>
      </c>
      <c r="F743" t="s">
        <v>15</v>
      </c>
      <c r="G743">
        <f>'NHL2025-26Results'!E739</f>
        <v>4</v>
      </c>
      <c r="H743">
        <f>Table3[[#This Row],[G_1]]-Table3[[#This Row],[G]]</f>
        <v>-4</v>
      </c>
      <c r="I743">
        <f>HomeEdge+VLOOKUP(Table3[[#This Row],[Home]],$A$6:$B$38,2,FALSE)-VLOOKUP(Table3[[#This Row],[Visitor]],$A$6:$B$38,2,FALSE)</f>
        <v>-0.13978905530506308</v>
      </c>
      <c r="J743">
        <f>(Table3[[#This Row],[HomeMargin]]-Table3[[#This Row],[HomeForecast]])^2</f>
        <v>14.901228537542577</v>
      </c>
    </row>
    <row r="744" spans="4:10" x14ac:dyDescent="0.2">
      <c r="D744" t="s">
        <v>32</v>
      </c>
      <c r="E744">
        <f>'NHL2025-26Results'!C740</f>
        <v>2</v>
      </c>
      <c r="F744" t="s">
        <v>21</v>
      </c>
      <c r="G744">
        <f>'NHL2025-26Results'!E740</f>
        <v>4</v>
      </c>
      <c r="H744">
        <f>Table3[[#This Row],[G_1]]-Table3[[#This Row],[G]]</f>
        <v>2</v>
      </c>
      <c r="I744">
        <f>HomeEdge+VLOOKUP(Table3[[#This Row],[Home]],$A$6:$B$38,2,FALSE)-VLOOKUP(Table3[[#This Row],[Visitor]],$A$6:$B$38,2,FALSE)</f>
        <v>0.61186613576062798</v>
      </c>
      <c r="J744">
        <f>(Table3[[#This Row],[HomeMargin]]-Table3[[#This Row],[HomeForecast]])^2</f>
        <v>1.926915625048131</v>
      </c>
    </row>
    <row r="745" spans="4:10" x14ac:dyDescent="0.2">
      <c r="D745" t="s">
        <v>18</v>
      </c>
      <c r="E745">
        <f>'NHL2025-26Results'!C741</f>
        <v>3</v>
      </c>
      <c r="F745" t="s">
        <v>23</v>
      </c>
      <c r="G745">
        <f>'NHL2025-26Results'!E741</f>
        <v>5</v>
      </c>
      <c r="H745">
        <f>Table3[[#This Row],[G_1]]-Table3[[#This Row],[G]]</f>
        <v>2</v>
      </c>
      <c r="I745">
        <f>HomeEdge+VLOOKUP(Table3[[#This Row],[Home]],$A$6:$B$38,2,FALSE)-VLOOKUP(Table3[[#This Row],[Visitor]],$A$6:$B$38,2,FALSE)</f>
        <v>0.35977160134796249</v>
      </c>
      <c r="J745">
        <f>(Table3[[#This Row],[HomeMargin]]-Table3[[#This Row],[HomeForecast]])^2</f>
        <v>2.6903491997446278</v>
      </c>
    </row>
    <row r="746" spans="4:10" x14ac:dyDescent="0.2">
      <c r="D746" t="s">
        <v>38</v>
      </c>
      <c r="E746">
        <f>'NHL2025-26Results'!C742</f>
        <v>1</v>
      </c>
      <c r="F746" t="s">
        <v>28</v>
      </c>
      <c r="G746">
        <f>'NHL2025-26Results'!E742</f>
        <v>4</v>
      </c>
      <c r="H746">
        <f>Table3[[#This Row],[G_1]]-Table3[[#This Row],[G]]</f>
        <v>3</v>
      </c>
      <c r="I746">
        <f>HomeEdge+VLOOKUP(Table3[[#This Row],[Home]],$A$6:$B$38,2,FALSE)-VLOOKUP(Table3[[#This Row],[Visitor]],$A$6:$B$38,2,FALSE)</f>
        <v>0.92925440135319648</v>
      </c>
      <c r="J746">
        <f>(Table3[[#This Row],[HomeMargin]]-Table3[[#This Row],[HomeForecast]])^2</f>
        <v>4.28798733431511</v>
      </c>
    </row>
    <row r="747" spans="4:10" x14ac:dyDescent="0.2">
      <c r="D747" t="s">
        <v>16</v>
      </c>
      <c r="E747">
        <f>'NHL2025-26Results'!C743</f>
        <v>3</v>
      </c>
      <c r="F747" t="s">
        <v>10</v>
      </c>
      <c r="G747">
        <f>'NHL2025-26Results'!E743</f>
        <v>1</v>
      </c>
      <c r="H747">
        <f>Table3[[#This Row],[G_1]]-Table3[[#This Row],[G]]</f>
        <v>-2</v>
      </c>
      <c r="I747">
        <f>HomeEdge+VLOOKUP(Table3[[#This Row],[Home]],$A$6:$B$38,2,FALSE)-VLOOKUP(Table3[[#This Row],[Visitor]],$A$6:$B$38,2,FALSE)</f>
        <v>0.18289577689632519</v>
      </c>
      <c r="J747">
        <f>(Table3[[#This Row],[HomeMargin]]-Table3[[#This Row],[HomeForecast]])^2</f>
        <v>4.7650339727918114</v>
      </c>
    </row>
    <row r="748" spans="4:10" x14ac:dyDescent="0.2">
      <c r="D748" t="s">
        <v>30</v>
      </c>
      <c r="E748">
        <f>'NHL2025-26Results'!C744</f>
        <v>1</v>
      </c>
      <c r="F748" t="s">
        <v>17</v>
      </c>
      <c r="G748">
        <f>'NHL2025-26Results'!E744</f>
        <v>0</v>
      </c>
      <c r="H748">
        <f>Table3[[#This Row],[G_1]]-Table3[[#This Row],[G]]</f>
        <v>-1</v>
      </c>
      <c r="I748">
        <f>HomeEdge+VLOOKUP(Table3[[#This Row],[Home]],$A$6:$B$38,2,FALSE)-VLOOKUP(Table3[[#This Row],[Visitor]],$A$6:$B$38,2,FALSE)</f>
        <v>0.10464596145558937</v>
      </c>
      <c r="J748">
        <f>(Table3[[#This Row],[HomeMargin]]-Table3[[#This Row],[HomeForecast]])^2</f>
        <v>1.2202427001601437</v>
      </c>
    </row>
    <row r="749" spans="4:10" x14ac:dyDescent="0.2">
      <c r="D749" t="s">
        <v>40</v>
      </c>
      <c r="E749">
        <f>'NHL2025-26Results'!C745</f>
        <v>6</v>
      </c>
      <c r="F749" t="s">
        <v>34</v>
      </c>
      <c r="G749">
        <f>'NHL2025-26Results'!E745</f>
        <v>2</v>
      </c>
      <c r="H749">
        <f>Table3[[#This Row],[G_1]]-Table3[[#This Row],[G]]</f>
        <v>-4</v>
      </c>
      <c r="I749">
        <f>HomeEdge+VLOOKUP(Table3[[#This Row],[Home]],$A$6:$B$38,2,FALSE)-VLOOKUP(Table3[[#This Row],[Visitor]],$A$6:$B$38,2,FALSE)</f>
        <v>0.58276704813832747</v>
      </c>
      <c r="J749">
        <f>(Table3[[#This Row],[HomeMargin]]-Table3[[#This Row],[HomeForecast]])^2</f>
        <v>21.001753817502479</v>
      </c>
    </row>
    <row r="750" spans="4:10" x14ac:dyDescent="0.2">
      <c r="D750" t="s">
        <v>27</v>
      </c>
      <c r="E750">
        <f>'NHL2025-26Results'!C746</f>
        <v>3</v>
      </c>
      <c r="F750" t="s">
        <v>14</v>
      </c>
      <c r="G750">
        <f>'NHL2025-26Results'!E746</f>
        <v>6</v>
      </c>
      <c r="H750">
        <f>Table3[[#This Row],[G_1]]-Table3[[#This Row],[G]]</f>
        <v>3</v>
      </c>
      <c r="I750">
        <f>HomeEdge+VLOOKUP(Table3[[#This Row],[Home]],$A$6:$B$38,2,FALSE)-VLOOKUP(Table3[[#This Row],[Visitor]],$A$6:$B$38,2,FALSE)</f>
        <v>0.41782559095843197</v>
      </c>
      <c r="J750">
        <f>(Table3[[#This Row],[HomeMargin]]-Table3[[#This Row],[HomeForecast]])^2</f>
        <v>6.6676246787091706</v>
      </c>
    </row>
    <row r="751" spans="4:10" x14ac:dyDescent="0.2">
      <c r="D751" t="s">
        <v>39</v>
      </c>
      <c r="E751">
        <f>'NHL2025-26Results'!C747</f>
        <v>1</v>
      </c>
      <c r="F751" t="s">
        <v>55</v>
      </c>
      <c r="G751">
        <f>'NHL2025-26Results'!E747</f>
        <v>2</v>
      </c>
      <c r="H751">
        <f>Table3[[#This Row],[G_1]]-Table3[[#This Row],[G]]</f>
        <v>1</v>
      </c>
      <c r="I751">
        <f>HomeEdge+VLOOKUP(Table3[[#This Row],[Home]],$A$6:$B$38,2,FALSE)-VLOOKUP(Table3[[#This Row],[Visitor]],$A$6:$B$38,2,FALSE)</f>
        <v>3.9259862953892888E-3</v>
      </c>
      <c r="J751">
        <f>(Table3[[#This Row],[HomeMargin]]-Table3[[#This Row],[HomeForecast]])^2</f>
        <v>0.99216344077761298</v>
      </c>
    </row>
    <row r="752" spans="4:10" x14ac:dyDescent="0.2">
      <c r="D752" t="s">
        <v>19</v>
      </c>
      <c r="E752">
        <f>'NHL2025-26Results'!C748</f>
        <v>5</v>
      </c>
      <c r="F752" t="s">
        <v>20</v>
      </c>
      <c r="G752">
        <f>'NHL2025-26Results'!E748</f>
        <v>6</v>
      </c>
      <c r="H752">
        <f>Table3[[#This Row],[G_1]]-Table3[[#This Row],[G]]</f>
        <v>1</v>
      </c>
      <c r="I752">
        <f>HomeEdge+VLOOKUP(Table3[[#This Row],[Home]],$A$6:$B$38,2,FALSE)-VLOOKUP(Table3[[#This Row],[Visitor]],$A$6:$B$38,2,FALSE)</f>
        <v>0.41295099839208049</v>
      </c>
      <c r="J752">
        <f>(Table3[[#This Row],[HomeMargin]]-Table3[[#This Row],[HomeForecast]])^2</f>
        <v>0.34462653028885509</v>
      </c>
    </row>
    <row r="753" spans="4:10" x14ac:dyDescent="0.2">
      <c r="D753" t="s">
        <v>33</v>
      </c>
      <c r="E753">
        <f>'NHL2025-26Results'!C749</f>
        <v>3</v>
      </c>
      <c r="F753" t="s">
        <v>22</v>
      </c>
      <c r="G753">
        <f>'NHL2025-26Results'!E749</f>
        <v>2</v>
      </c>
      <c r="H753">
        <f>Table3[[#This Row],[G_1]]-Table3[[#This Row],[G]]</f>
        <v>-1</v>
      </c>
      <c r="I753">
        <f>HomeEdge+VLOOKUP(Table3[[#This Row],[Home]],$A$6:$B$38,2,FALSE)-VLOOKUP(Table3[[#This Row],[Visitor]],$A$6:$B$38,2,FALSE)</f>
        <v>0.54142975293740037</v>
      </c>
      <c r="J753">
        <f>(Table3[[#This Row],[HomeMargin]]-Table3[[#This Row],[HomeForecast]])^2</f>
        <v>2.3760056832406553</v>
      </c>
    </row>
    <row r="754" spans="4:10" x14ac:dyDescent="0.2">
      <c r="D754" t="s">
        <v>11</v>
      </c>
      <c r="E754">
        <f>'NHL2025-26Results'!C750</f>
        <v>1</v>
      </c>
      <c r="F754" t="s">
        <v>25</v>
      </c>
      <c r="G754">
        <f>'NHL2025-26Results'!E750</f>
        <v>9</v>
      </c>
      <c r="H754">
        <f>Table3[[#This Row],[G_1]]-Table3[[#This Row],[G]]</f>
        <v>8</v>
      </c>
      <c r="I754">
        <f>HomeEdge+VLOOKUP(Table3[[#This Row],[Home]],$A$6:$B$38,2,FALSE)-VLOOKUP(Table3[[#This Row],[Visitor]],$A$6:$B$38,2,FALSE)</f>
        <v>0.81499871329970475</v>
      </c>
      <c r="J754">
        <f>(Table3[[#This Row],[HomeMargin]]-Table3[[#This Row],[HomeForecast]])^2</f>
        <v>51.624243489884897</v>
      </c>
    </row>
    <row r="755" spans="4:10" x14ac:dyDescent="0.2">
      <c r="D755" t="s">
        <v>29</v>
      </c>
      <c r="E755">
        <f>'NHL2025-26Results'!C751</f>
        <v>7</v>
      </c>
      <c r="F755" t="s">
        <v>12</v>
      </c>
      <c r="G755">
        <f>'NHL2025-26Results'!E751</f>
        <v>3</v>
      </c>
      <c r="H755">
        <f>Table3[[#This Row],[G_1]]-Table3[[#This Row],[G]]</f>
        <v>-4</v>
      </c>
      <c r="I755">
        <f>HomeEdge+VLOOKUP(Table3[[#This Row],[Home]],$A$6:$B$38,2,FALSE)-VLOOKUP(Table3[[#This Row],[Visitor]],$A$6:$B$38,2,FALSE)</f>
        <v>2.0142911428663961</v>
      </c>
      <c r="J755">
        <f>(Table3[[#This Row],[HomeMargin]]-Table3[[#This Row],[HomeForecast]])^2</f>
        <v>36.171697951161178</v>
      </c>
    </row>
    <row r="756" spans="4:10" x14ac:dyDescent="0.2">
      <c r="D756" t="s">
        <v>33</v>
      </c>
      <c r="E756">
        <f>'NHL2025-26Results'!C752</f>
        <v>2</v>
      </c>
      <c r="F756" t="s">
        <v>26</v>
      </c>
      <c r="G756">
        <f>'NHL2025-26Results'!E752</f>
        <v>4</v>
      </c>
      <c r="H756">
        <f>Table3[[#This Row],[G_1]]-Table3[[#This Row],[G]]</f>
        <v>2</v>
      </c>
      <c r="I756">
        <f>HomeEdge+VLOOKUP(Table3[[#This Row],[Home]],$A$6:$B$38,2,FALSE)-VLOOKUP(Table3[[#This Row],[Visitor]],$A$6:$B$38,2,FALSE)</f>
        <v>0.45739034524824157</v>
      </c>
      <c r="J756">
        <f>(Table3[[#This Row],[HomeMargin]]-Table3[[#This Row],[HomeForecast]])^2</f>
        <v>2.3796445469333394</v>
      </c>
    </row>
    <row r="757" spans="4:10" x14ac:dyDescent="0.2">
      <c r="D757" t="s">
        <v>31</v>
      </c>
      <c r="E757">
        <f>'NHL2025-26Results'!C753</f>
        <v>3</v>
      </c>
      <c r="F757" t="s">
        <v>13</v>
      </c>
      <c r="G757">
        <f>'NHL2025-26Results'!E753</f>
        <v>2</v>
      </c>
      <c r="H757">
        <f>Table3[[#This Row],[G_1]]-Table3[[#This Row],[G]]</f>
        <v>-1</v>
      </c>
      <c r="I757">
        <f>HomeEdge+VLOOKUP(Table3[[#This Row],[Home]],$A$6:$B$38,2,FALSE)-VLOOKUP(Table3[[#This Row],[Visitor]],$A$6:$B$38,2,FALSE)</f>
        <v>4.2614293656957569E-2</v>
      </c>
      <c r="J757">
        <f>(Table3[[#This Row],[HomeMargin]]-Table3[[#This Row],[HomeForecast]])^2</f>
        <v>1.0870445653377965</v>
      </c>
    </row>
    <row r="758" spans="4:10" x14ac:dyDescent="0.2">
      <c r="D758" t="s">
        <v>37</v>
      </c>
      <c r="E758">
        <f>'NHL2025-26Results'!C754</f>
        <v>2</v>
      </c>
      <c r="F758" t="s">
        <v>35</v>
      </c>
      <c r="G758">
        <f>'NHL2025-26Results'!E754</f>
        <v>3</v>
      </c>
      <c r="H758">
        <f>Table3[[#This Row],[G_1]]-Table3[[#This Row],[G]]</f>
        <v>1</v>
      </c>
      <c r="I758">
        <f>HomeEdge+VLOOKUP(Table3[[#This Row],[Home]],$A$6:$B$38,2,FALSE)-VLOOKUP(Table3[[#This Row],[Visitor]],$A$6:$B$38,2,FALSE)</f>
        <v>-1.8237980643051108</v>
      </c>
      <c r="J758">
        <f>(Table3[[#This Row],[HomeMargin]]-Table3[[#This Row],[HomeForecast]])^2</f>
        <v>7.9738355079732894</v>
      </c>
    </row>
    <row r="759" spans="4:10" x14ac:dyDescent="0.2">
      <c r="D759" t="s">
        <v>13</v>
      </c>
      <c r="E759">
        <f>'NHL2025-26Results'!C755</f>
        <v>1</v>
      </c>
      <c r="F759" t="s">
        <v>31</v>
      </c>
      <c r="G759">
        <f>'NHL2025-26Results'!E755</f>
        <v>2</v>
      </c>
      <c r="H759">
        <f>Table3[[#This Row],[G_1]]-Table3[[#This Row],[G]]</f>
        <v>1</v>
      </c>
      <c r="I759">
        <f>HomeEdge+VLOOKUP(Table3[[#This Row],[Home]],$A$6:$B$38,2,FALSE)-VLOOKUP(Table3[[#This Row],[Visitor]],$A$6:$B$38,2,FALSE)</f>
        <v>0.1493256966843689</v>
      </c>
      <c r="J759">
        <f>(Table3[[#This Row],[HomeMargin]]-Table3[[#This Row],[HomeForecast]])^2</f>
        <v>0.72364677032153435</v>
      </c>
    </row>
    <row r="760" spans="4:10" x14ac:dyDescent="0.2">
      <c r="D760" t="s">
        <v>34</v>
      </c>
      <c r="E760">
        <f>'NHL2025-26Results'!C756</f>
        <v>5</v>
      </c>
      <c r="F760" t="s">
        <v>23</v>
      </c>
      <c r="G760">
        <f>'NHL2025-26Results'!E756</f>
        <v>4</v>
      </c>
      <c r="H760">
        <f>Table3[[#This Row],[G_1]]-Table3[[#This Row],[G]]</f>
        <v>-1</v>
      </c>
      <c r="I760">
        <f>HomeEdge+VLOOKUP(Table3[[#This Row],[Home]],$A$6:$B$38,2,FALSE)-VLOOKUP(Table3[[#This Row],[Visitor]],$A$6:$B$38,2,FALSE)</f>
        <v>0.11043755495268176</v>
      </c>
      <c r="J760">
        <f>(Table3[[#This Row],[HomeMargin]]-Table3[[#This Row],[HomeForecast]])^2</f>
        <v>1.2330715634492899</v>
      </c>
    </row>
    <row r="761" spans="4:10" x14ac:dyDescent="0.2">
      <c r="D761" t="s">
        <v>30</v>
      </c>
      <c r="E761">
        <f>'NHL2025-26Results'!C757</f>
        <v>2</v>
      </c>
      <c r="F761" t="s">
        <v>16</v>
      </c>
      <c r="G761">
        <f>'NHL2025-26Results'!E757</f>
        <v>4</v>
      </c>
      <c r="H761">
        <f>Table3[[#This Row],[G_1]]-Table3[[#This Row],[G]]</f>
        <v>2</v>
      </c>
      <c r="I761">
        <f>HomeEdge+VLOOKUP(Table3[[#This Row],[Home]],$A$6:$B$38,2,FALSE)-VLOOKUP(Table3[[#This Row],[Visitor]],$A$6:$B$38,2,FALSE)</f>
        <v>-0.48643166192524756</v>
      </c>
      <c r="J761">
        <f>(Table3[[#This Row],[HomeMargin]]-Table3[[#This Row],[HomeForecast]])^2</f>
        <v>6.1823424094243489</v>
      </c>
    </row>
    <row r="762" spans="4:10" x14ac:dyDescent="0.2">
      <c r="D762" t="s">
        <v>21</v>
      </c>
      <c r="E762">
        <f>'NHL2025-26Results'!C758</f>
        <v>5</v>
      </c>
      <c r="F762" t="s">
        <v>10</v>
      </c>
      <c r="G762">
        <f>'NHL2025-26Results'!E758</f>
        <v>2</v>
      </c>
      <c r="H762">
        <f>Table3[[#This Row],[G_1]]-Table3[[#This Row],[G]]</f>
        <v>-3</v>
      </c>
      <c r="I762">
        <f>HomeEdge+VLOOKUP(Table3[[#This Row],[Home]],$A$6:$B$38,2,FALSE)-VLOOKUP(Table3[[#This Row],[Visitor]],$A$6:$B$38,2,FALSE)</f>
        <v>-0.553545333382506</v>
      </c>
      <c r="J762">
        <f>(Table3[[#This Row],[HomeMargin]]-Table3[[#This Row],[HomeForecast]])^2</f>
        <v>5.9851404358145128</v>
      </c>
    </row>
    <row r="763" spans="4:10" x14ac:dyDescent="0.2">
      <c r="D763" t="s">
        <v>25</v>
      </c>
      <c r="E763">
        <f>'NHL2025-26Results'!C759</f>
        <v>4</v>
      </c>
      <c r="F763" t="s">
        <v>24</v>
      </c>
      <c r="G763">
        <f>'NHL2025-26Results'!E759</f>
        <v>1</v>
      </c>
      <c r="H763">
        <f>Table3[[#This Row],[G_1]]-Table3[[#This Row],[G]]</f>
        <v>-3</v>
      </c>
      <c r="I763">
        <f>HomeEdge+VLOOKUP(Table3[[#This Row],[Home]],$A$6:$B$38,2,FALSE)-VLOOKUP(Table3[[#This Row],[Visitor]],$A$6:$B$38,2,FALSE)</f>
        <v>-0.72642601966630238</v>
      </c>
      <c r="J763">
        <f>(Table3[[#This Row],[HomeMargin]]-Table3[[#This Row],[HomeForecast]])^2</f>
        <v>5.1691386440504132</v>
      </c>
    </row>
    <row r="764" spans="4:10" x14ac:dyDescent="0.2">
      <c r="D764" t="s">
        <v>18</v>
      </c>
      <c r="E764">
        <f>'NHL2025-26Results'!C760</f>
        <v>6</v>
      </c>
      <c r="F764" t="s">
        <v>36</v>
      </c>
      <c r="G764">
        <f>'NHL2025-26Results'!E760</f>
        <v>5</v>
      </c>
      <c r="H764">
        <f>Table3[[#This Row],[G_1]]-Table3[[#This Row],[G]]</f>
        <v>-1</v>
      </c>
      <c r="I764">
        <f>HomeEdge+VLOOKUP(Table3[[#This Row],[Home]],$A$6:$B$38,2,FALSE)-VLOOKUP(Table3[[#This Row],[Visitor]],$A$6:$B$38,2,FALSE)</f>
        <v>-7.1482512119195679E-2</v>
      </c>
      <c r="J764">
        <f>(Table3[[#This Row],[HomeMargin]]-Table3[[#This Row],[HomeForecast]])^2</f>
        <v>0.8621447253004797</v>
      </c>
    </row>
    <row r="765" spans="4:10" x14ac:dyDescent="0.2">
      <c r="D765" t="s">
        <v>15</v>
      </c>
      <c r="E765">
        <f>'NHL2025-26Results'!C761</f>
        <v>6</v>
      </c>
      <c r="F765" t="s">
        <v>27</v>
      </c>
      <c r="G765">
        <f>'NHL2025-26Results'!E761</f>
        <v>3</v>
      </c>
      <c r="H765">
        <f>Table3[[#This Row],[G_1]]-Table3[[#This Row],[G]]</f>
        <v>-3</v>
      </c>
      <c r="I765">
        <f>HomeEdge+VLOOKUP(Table3[[#This Row],[Home]],$A$6:$B$38,2,FALSE)-VLOOKUP(Table3[[#This Row],[Visitor]],$A$6:$B$38,2,FALSE)</f>
        <v>0.41381322270249693</v>
      </c>
      <c r="J765">
        <f>(Table3[[#This Row],[HomeMargin]]-Table3[[#This Row],[HomeForecast]])^2</f>
        <v>11.654120719498408</v>
      </c>
    </row>
    <row r="766" spans="4:10" x14ac:dyDescent="0.2">
      <c r="D766" t="s">
        <v>28</v>
      </c>
      <c r="E766">
        <f>'NHL2025-26Results'!C762</f>
        <v>4</v>
      </c>
      <c r="F766" t="s">
        <v>14</v>
      </c>
      <c r="G766">
        <f>'NHL2025-26Results'!E762</f>
        <v>3</v>
      </c>
      <c r="H766">
        <f>Table3[[#This Row],[G_1]]-Table3[[#This Row],[G]]</f>
        <v>-1</v>
      </c>
      <c r="I766">
        <f>HomeEdge+VLOOKUP(Table3[[#This Row],[Home]],$A$6:$B$38,2,FALSE)-VLOOKUP(Table3[[#This Row],[Visitor]],$A$6:$B$38,2,FALSE)</f>
        <v>0.5218491039552452</v>
      </c>
      <c r="J766">
        <f>(Table3[[#This Row],[HomeMargin]]-Table3[[#This Row],[HomeForecast]])^2</f>
        <v>2.316024695209383</v>
      </c>
    </row>
    <row r="767" spans="4:10" x14ac:dyDescent="0.2">
      <c r="D767" t="s">
        <v>32</v>
      </c>
      <c r="E767">
        <f>'NHL2025-26Results'!C763</f>
        <v>3</v>
      </c>
      <c r="F767" t="s">
        <v>55</v>
      </c>
      <c r="G767">
        <f>'NHL2025-26Results'!E763</f>
        <v>6</v>
      </c>
      <c r="H767">
        <f>Table3[[#This Row],[G_1]]-Table3[[#This Row],[G]]</f>
        <v>3</v>
      </c>
      <c r="I767">
        <f>HomeEdge+VLOOKUP(Table3[[#This Row],[Home]],$A$6:$B$38,2,FALSE)-VLOOKUP(Table3[[#This Row],[Visitor]],$A$6:$B$38,2,FALSE)</f>
        <v>0.78746596435663607</v>
      </c>
      <c r="J767">
        <f>(Table3[[#This Row],[HomeMargin]]-Table3[[#This Row],[HomeForecast]])^2</f>
        <v>4.8953068588803106</v>
      </c>
    </row>
    <row r="768" spans="4:10" x14ac:dyDescent="0.2">
      <c r="D768" t="s">
        <v>17</v>
      </c>
      <c r="E768">
        <f>'NHL2025-26Results'!C764</f>
        <v>6</v>
      </c>
      <c r="F768" t="s">
        <v>38</v>
      </c>
      <c r="G768">
        <f>'NHL2025-26Results'!E764</f>
        <v>0</v>
      </c>
      <c r="H768">
        <f>Table3[[#This Row],[G_1]]-Table3[[#This Row],[G]]</f>
        <v>-6</v>
      </c>
      <c r="I768">
        <f>HomeEdge+VLOOKUP(Table3[[#This Row],[Home]],$A$6:$B$38,2,FALSE)-VLOOKUP(Table3[[#This Row],[Visitor]],$A$6:$B$38,2,FALSE)</f>
        <v>-0.96274968793950455</v>
      </c>
      <c r="J768">
        <f>(Table3[[#This Row],[HomeMargin]]-Table3[[#This Row],[HomeForecast]])^2</f>
        <v>25.373890706353553</v>
      </c>
    </row>
    <row r="769" spans="4:10" x14ac:dyDescent="0.2">
      <c r="D769" t="s">
        <v>29</v>
      </c>
      <c r="E769">
        <f>'NHL2025-26Results'!C765</f>
        <v>2</v>
      </c>
      <c r="F769" t="s">
        <v>20</v>
      </c>
      <c r="G769">
        <f>'NHL2025-26Results'!E765</f>
        <v>7</v>
      </c>
      <c r="H769">
        <f>Table3[[#This Row],[G_1]]-Table3[[#This Row],[G]]</f>
        <v>5</v>
      </c>
      <c r="I769">
        <f>HomeEdge+VLOOKUP(Table3[[#This Row],[Home]],$A$6:$B$38,2,FALSE)-VLOOKUP(Table3[[#This Row],[Visitor]],$A$6:$B$38,2,FALSE)</f>
        <v>0.83433220971909905</v>
      </c>
      <c r="J769">
        <f>(Table3[[#This Row],[HomeMargin]]-Table3[[#This Row],[HomeForecast]])^2</f>
        <v>17.352788138983765</v>
      </c>
    </row>
    <row r="770" spans="4:10" x14ac:dyDescent="0.2">
      <c r="D770" t="s">
        <v>19</v>
      </c>
      <c r="E770">
        <f>'NHL2025-26Results'!C766</f>
        <v>4</v>
      </c>
      <c r="F770" t="s">
        <v>40</v>
      </c>
      <c r="G770">
        <f>'NHL2025-26Results'!E766</f>
        <v>3</v>
      </c>
      <c r="H770">
        <f>Table3[[#This Row],[G_1]]-Table3[[#This Row],[G]]</f>
        <v>-1</v>
      </c>
      <c r="I770">
        <f>HomeEdge+VLOOKUP(Table3[[#This Row],[Home]],$A$6:$B$38,2,FALSE)-VLOOKUP(Table3[[#This Row],[Visitor]],$A$6:$B$38,2,FALSE)</f>
        <v>-5.6192554839093078E-2</v>
      </c>
      <c r="J770">
        <f>(Table3[[#This Row],[HomeMargin]]-Table3[[#This Row],[HomeForecast]])^2</f>
        <v>0.89077249354115817</v>
      </c>
    </row>
    <row r="771" spans="4:10" x14ac:dyDescent="0.2">
      <c r="D771" t="s">
        <v>11</v>
      </c>
      <c r="E771">
        <f>'NHL2025-26Results'!C767</f>
        <v>5</v>
      </c>
      <c r="F771" t="s">
        <v>22</v>
      </c>
      <c r="G771">
        <f>'NHL2025-26Results'!E767</f>
        <v>2</v>
      </c>
      <c r="H771">
        <f>Table3[[#This Row],[G_1]]-Table3[[#This Row],[G]]</f>
        <v>-3</v>
      </c>
      <c r="I771">
        <f>HomeEdge+VLOOKUP(Table3[[#This Row],[Home]],$A$6:$B$38,2,FALSE)-VLOOKUP(Table3[[#This Row],[Visitor]],$A$6:$B$38,2,FALSE)</f>
        <v>0.4305629998737272</v>
      </c>
      <c r="J771">
        <f>(Table3[[#This Row],[HomeMargin]]-Table3[[#This Row],[HomeForecast]])^2</f>
        <v>11.768762496102624</v>
      </c>
    </row>
    <row r="772" spans="4:10" x14ac:dyDescent="0.2">
      <c r="D772" t="s">
        <v>37</v>
      </c>
      <c r="E772">
        <f>'NHL2025-26Results'!C768</f>
        <v>4</v>
      </c>
      <c r="F772" t="s">
        <v>39</v>
      </c>
      <c r="G772">
        <f>'NHL2025-26Results'!E768</f>
        <v>1</v>
      </c>
      <c r="H772">
        <f>Table3[[#This Row],[G_1]]-Table3[[#This Row],[G]]</f>
        <v>-3</v>
      </c>
      <c r="I772">
        <f>HomeEdge+VLOOKUP(Table3[[#This Row],[Home]],$A$6:$B$38,2,FALSE)-VLOOKUP(Table3[[#This Row],[Visitor]],$A$6:$B$38,2,FALSE)</f>
        <v>-0.344839469433048</v>
      </c>
      <c r="J772">
        <f>(Table3[[#This Row],[HomeMargin]]-Table3[[#This Row],[HomeForecast]])^2</f>
        <v>7.0498774430805788</v>
      </c>
    </row>
    <row r="773" spans="4:10" x14ac:dyDescent="0.2">
      <c r="D773" t="s">
        <v>36</v>
      </c>
      <c r="E773">
        <f>'NHL2025-26Results'!C769</f>
        <v>3</v>
      </c>
      <c r="F773" t="s">
        <v>26</v>
      </c>
      <c r="G773">
        <f>'NHL2025-26Results'!E769</f>
        <v>4</v>
      </c>
      <c r="H773">
        <f>Table3[[#This Row],[G_1]]-Table3[[#This Row],[G]]</f>
        <v>1</v>
      </c>
      <c r="I773">
        <f>HomeEdge+VLOOKUP(Table3[[#This Row],[Home]],$A$6:$B$38,2,FALSE)-VLOOKUP(Table3[[#This Row],[Visitor]],$A$6:$B$38,2,FALSE)</f>
        <v>0.32667807871227372</v>
      </c>
      <c r="J773">
        <f>(Table3[[#This Row],[HomeMargin]]-Table3[[#This Row],[HomeForecast]])^2</f>
        <v>0.45336240968659508</v>
      </c>
    </row>
    <row r="774" spans="4:10" x14ac:dyDescent="0.2">
      <c r="D774" t="s">
        <v>35</v>
      </c>
      <c r="E774">
        <f>'NHL2025-26Results'!C770</f>
        <v>0</v>
      </c>
      <c r="F774" t="s">
        <v>17</v>
      </c>
      <c r="G774">
        <f>'NHL2025-26Results'!E770</f>
        <v>5</v>
      </c>
      <c r="H774">
        <f>Table3[[#This Row],[G_1]]-Table3[[#This Row],[G]]</f>
        <v>5</v>
      </c>
      <c r="I774">
        <f>HomeEdge+VLOOKUP(Table3[[#This Row],[Home]],$A$6:$B$38,2,FALSE)-VLOOKUP(Table3[[#This Row],[Visitor]],$A$6:$B$38,2,FALSE)</f>
        <v>1.1619212656734497</v>
      </c>
      <c r="J774">
        <f>(Table3[[#This Row],[HomeMargin]]-Table3[[#This Row],[HomeForecast]])^2</f>
        <v>14.730848370889692</v>
      </c>
    </row>
    <row r="775" spans="4:10" x14ac:dyDescent="0.2">
      <c r="D775" t="s">
        <v>15</v>
      </c>
      <c r="E775">
        <f>'NHL2025-26Results'!C771</f>
        <v>3</v>
      </c>
      <c r="F775" t="s">
        <v>31</v>
      </c>
      <c r="G775">
        <f>'NHL2025-26Results'!E771</f>
        <v>5</v>
      </c>
      <c r="H775">
        <f>Table3[[#This Row],[G_1]]-Table3[[#This Row],[G]]</f>
        <v>2</v>
      </c>
      <c r="I775">
        <f>HomeEdge+VLOOKUP(Table3[[#This Row],[Home]],$A$6:$B$38,2,FALSE)-VLOOKUP(Table3[[#This Row],[Visitor]],$A$6:$B$38,2,FALSE)</f>
        <v>0.35274261872817098</v>
      </c>
      <c r="J775">
        <f>(Table3[[#This Row],[HomeMargin]]-Table3[[#This Row],[HomeForecast]])^2</f>
        <v>2.7134568801545238</v>
      </c>
    </row>
    <row r="776" spans="4:10" x14ac:dyDescent="0.2">
      <c r="D776" t="s">
        <v>23</v>
      </c>
      <c r="E776">
        <f>'NHL2025-26Results'!C772</f>
        <v>1</v>
      </c>
      <c r="F776" t="s">
        <v>25</v>
      </c>
      <c r="G776">
        <f>'NHL2025-26Results'!E772</f>
        <v>2</v>
      </c>
      <c r="H776">
        <f>Table3[[#This Row],[G_1]]-Table3[[#This Row],[G]]</f>
        <v>1</v>
      </c>
      <c r="I776">
        <f>HomeEdge+VLOOKUP(Table3[[#This Row],[Home]],$A$6:$B$38,2,FALSE)-VLOOKUP(Table3[[#This Row],[Visitor]],$A$6:$B$38,2,FALSE)</f>
        <v>0.36389908636025203</v>
      </c>
      <c r="J776">
        <f>(Table3[[#This Row],[HomeMargin]]-Table3[[#This Row],[HomeForecast]])^2</f>
        <v>0.4046243723333221</v>
      </c>
    </row>
    <row r="777" spans="4:10" x14ac:dyDescent="0.2">
      <c r="D777" t="s">
        <v>24</v>
      </c>
      <c r="E777">
        <f>'NHL2025-26Results'!C773</f>
        <v>2</v>
      </c>
      <c r="F777" t="s">
        <v>16</v>
      </c>
      <c r="G777">
        <f>'NHL2025-26Results'!E773</f>
        <v>1</v>
      </c>
      <c r="H777">
        <f>Table3[[#This Row],[G_1]]-Table3[[#This Row],[G]]</f>
        <v>-1</v>
      </c>
      <c r="I777">
        <f>HomeEdge+VLOOKUP(Table3[[#This Row],[Home]],$A$6:$B$38,2,FALSE)-VLOOKUP(Table3[[#This Row],[Visitor]],$A$6:$B$38,2,FALSE)</f>
        <v>-0.16839887704302647</v>
      </c>
      <c r="J777">
        <f>(Table3[[#This Row],[HomeMargin]]-Table3[[#This Row],[HomeForecast]])^2</f>
        <v>0.6915604277032994</v>
      </c>
    </row>
    <row r="778" spans="4:10" x14ac:dyDescent="0.2">
      <c r="D778" t="s">
        <v>40</v>
      </c>
      <c r="E778">
        <f>'NHL2025-26Results'!C774</f>
        <v>0</v>
      </c>
      <c r="F778" t="s">
        <v>10</v>
      </c>
      <c r="G778">
        <f>'NHL2025-26Results'!E774</f>
        <v>2</v>
      </c>
      <c r="H778">
        <f>Table3[[#This Row],[G_1]]-Table3[[#This Row],[G]]</f>
        <v>2</v>
      </c>
      <c r="I778">
        <f>HomeEdge+VLOOKUP(Table3[[#This Row],[Home]],$A$6:$B$38,2,FALSE)-VLOOKUP(Table3[[#This Row],[Visitor]],$A$6:$B$38,2,FALSE)</f>
        <v>-0.13467540621505875</v>
      </c>
      <c r="J778">
        <f>(Table3[[#This Row],[HomeMargin]]-Table3[[#This Row],[HomeForecast]])^2</f>
        <v>4.5568390898994258</v>
      </c>
    </row>
    <row r="779" spans="4:10" x14ac:dyDescent="0.2">
      <c r="D779" t="s">
        <v>22</v>
      </c>
      <c r="E779">
        <f>'NHL2025-26Results'!C775</f>
        <v>2</v>
      </c>
      <c r="F779" t="s">
        <v>12</v>
      </c>
      <c r="G779">
        <f>'NHL2025-26Results'!E775</f>
        <v>5</v>
      </c>
      <c r="H779">
        <f>Table3[[#This Row],[G_1]]-Table3[[#This Row],[G]]</f>
        <v>3</v>
      </c>
      <c r="I779">
        <f>HomeEdge+VLOOKUP(Table3[[#This Row],[Home]],$A$6:$B$38,2,FALSE)-VLOOKUP(Table3[[#This Row],[Visitor]],$A$6:$B$38,2,FALSE)</f>
        <v>1.3603144910358398</v>
      </c>
      <c r="J779">
        <f>(Table3[[#This Row],[HomeMargin]]-Table3[[#This Row],[HomeForecast]])^2</f>
        <v>2.688568568307057</v>
      </c>
    </row>
    <row r="780" spans="4:10" x14ac:dyDescent="0.2">
      <c r="D780" t="s">
        <v>33</v>
      </c>
      <c r="E780">
        <f>'NHL2025-26Results'!C776</f>
        <v>4</v>
      </c>
      <c r="F780" t="s">
        <v>11</v>
      </c>
      <c r="G780">
        <f>'NHL2025-26Results'!E776</f>
        <v>1</v>
      </c>
      <c r="H780">
        <f>Table3[[#This Row],[G_1]]-Table3[[#This Row],[G]]</f>
        <v>-3</v>
      </c>
      <c r="I780">
        <f>HomeEdge+VLOOKUP(Table3[[#This Row],[Home]],$A$6:$B$38,2,FALSE)-VLOOKUP(Table3[[#This Row],[Visitor]],$A$6:$B$38,2,FALSE)</f>
        <v>0.20683674823433645</v>
      </c>
      <c r="J780">
        <f>(Table3[[#This Row],[HomeMargin]]-Table3[[#This Row],[HomeForecast]])^2</f>
        <v>10.283801929826172</v>
      </c>
    </row>
    <row r="781" spans="4:10" x14ac:dyDescent="0.2">
      <c r="D781" t="s">
        <v>14</v>
      </c>
      <c r="E781">
        <f>'NHL2025-26Results'!C777</f>
        <v>6</v>
      </c>
      <c r="F781" t="s">
        <v>32</v>
      </c>
      <c r="G781">
        <f>'NHL2025-26Results'!E777</f>
        <v>3</v>
      </c>
      <c r="H781">
        <f>Table3[[#This Row],[G_1]]-Table3[[#This Row],[G]]</f>
        <v>-3</v>
      </c>
      <c r="I781">
        <f>HomeEdge+VLOOKUP(Table3[[#This Row],[Home]],$A$6:$B$38,2,FALSE)-VLOOKUP(Table3[[#This Row],[Visitor]],$A$6:$B$38,2,FALSE)</f>
        <v>-0.47500649037825482</v>
      </c>
      <c r="J781">
        <f>(Table3[[#This Row],[HomeMargin]]-Table3[[#This Row],[HomeForecast]])^2</f>
        <v>6.375592223631938</v>
      </c>
    </row>
    <row r="782" spans="4:10" x14ac:dyDescent="0.2">
      <c r="D782" t="s">
        <v>34</v>
      </c>
      <c r="E782">
        <f>'NHL2025-26Results'!C778</f>
        <v>6</v>
      </c>
      <c r="F782" t="s">
        <v>19</v>
      </c>
      <c r="G782">
        <f>'NHL2025-26Results'!E778</f>
        <v>3</v>
      </c>
      <c r="H782">
        <f>Table3[[#This Row],[G_1]]-Table3[[#This Row],[G]]</f>
        <v>-3</v>
      </c>
      <c r="I782">
        <f>HomeEdge+VLOOKUP(Table3[[#This Row],[Home]],$A$6:$B$38,2,FALSE)-VLOOKUP(Table3[[#This Row],[Visitor]],$A$6:$B$38,2,FALSE)</f>
        <v>-0.23866450778724463</v>
      </c>
      <c r="J782">
        <f>(Table3[[#This Row],[HomeMargin]]-Table3[[#This Row],[HomeForecast]])^2</f>
        <v>7.62497370055386</v>
      </c>
    </row>
    <row r="783" spans="4:10" x14ac:dyDescent="0.2">
      <c r="D783" t="s">
        <v>30</v>
      </c>
      <c r="E783">
        <f>'NHL2025-26Results'!C779</f>
        <v>4</v>
      </c>
      <c r="F783" t="s">
        <v>38</v>
      </c>
      <c r="G783">
        <f>'NHL2025-26Results'!E779</f>
        <v>3</v>
      </c>
      <c r="H783">
        <f>Table3[[#This Row],[G_1]]-Table3[[#This Row],[G]]</f>
        <v>-1</v>
      </c>
      <c r="I783">
        <f>HomeEdge+VLOOKUP(Table3[[#This Row],[Home]],$A$6:$B$38,2,FALSE)-VLOOKUP(Table3[[#This Row],[Visitor]],$A$6:$B$38,2,FALSE)</f>
        <v>-0.95407372165457838</v>
      </c>
      <c r="J783">
        <f>(Table3[[#This Row],[HomeMargin]]-Table3[[#This Row],[HomeForecast]])^2</f>
        <v>2.1092230426611432E-3</v>
      </c>
    </row>
    <row r="784" spans="4:10" x14ac:dyDescent="0.2">
      <c r="D784" t="s">
        <v>27</v>
      </c>
      <c r="E784">
        <f>'NHL2025-26Results'!C780</f>
        <v>2</v>
      </c>
      <c r="F784" t="s">
        <v>20</v>
      </c>
      <c r="G784">
        <f>'NHL2025-26Results'!E780</f>
        <v>1</v>
      </c>
      <c r="H784">
        <f>Table3[[#This Row],[G_1]]-Table3[[#This Row],[G]]</f>
        <v>-1</v>
      </c>
      <c r="I784">
        <f>HomeEdge+VLOOKUP(Table3[[#This Row],[Home]],$A$6:$B$38,2,FALSE)-VLOOKUP(Table3[[#This Row],[Visitor]],$A$6:$B$38,2,FALSE)</f>
        <v>0.41301887206320492</v>
      </c>
      <c r="J784">
        <f>(Table3[[#This Row],[HomeMargin]]-Table3[[#This Row],[HomeForecast]])^2</f>
        <v>1.9966223328067718</v>
      </c>
    </row>
    <row r="785" spans="4:10" x14ac:dyDescent="0.2">
      <c r="D785" t="s">
        <v>36</v>
      </c>
      <c r="E785">
        <f>'NHL2025-26Results'!C781</f>
        <v>4</v>
      </c>
      <c r="F785" t="s">
        <v>28</v>
      </c>
      <c r="G785">
        <f>'NHL2025-26Results'!E781</f>
        <v>1</v>
      </c>
      <c r="H785">
        <f>Table3[[#This Row],[G_1]]-Table3[[#This Row],[G]]</f>
        <v>-3</v>
      </c>
      <c r="I785">
        <f>HomeEdge+VLOOKUP(Table3[[#This Row],[Home]],$A$6:$B$38,2,FALSE)-VLOOKUP(Table3[[#This Row],[Visitor]],$A$6:$B$38,2,FALSE)</f>
        <v>7.403065922995733E-2</v>
      </c>
      <c r="J785">
        <f>(Table3[[#This Row],[HomeMargin]]-Table3[[#This Row],[HomeForecast]])^2</f>
        <v>9.4496644938857663</v>
      </c>
    </row>
    <row r="786" spans="4:10" x14ac:dyDescent="0.2">
      <c r="D786" t="s">
        <v>21</v>
      </c>
      <c r="E786">
        <f>'NHL2025-26Results'!C782</f>
        <v>2</v>
      </c>
      <c r="F786" t="s">
        <v>39</v>
      </c>
      <c r="G786">
        <f>'NHL2025-26Results'!E782</f>
        <v>6</v>
      </c>
      <c r="H786">
        <f>Table3[[#This Row],[G_1]]-Table3[[#This Row],[G]]</f>
        <v>4</v>
      </c>
      <c r="I786">
        <f>HomeEdge+VLOOKUP(Table3[[#This Row],[Home]],$A$6:$B$38,2,FALSE)-VLOOKUP(Table3[[#This Row],[Visitor]],$A$6:$B$38,2,FALSE)</f>
        <v>0.3636138326419453</v>
      </c>
      <c r="J786">
        <f>(Table3[[#This Row],[HomeMargin]]-Table3[[#This Row],[HomeForecast]])^2</f>
        <v>13.223304358153003</v>
      </c>
    </row>
    <row r="787" spans="4:10" x14ac:dyDescent="0.2">
      <c r="D787" t="s">
        <v>24</v>
      </c>
      <c r="E787">
        <f>'NHL2025-26Results'!C783</f>
        <v>2</v>
      </c>
      <c r="F787" t="s">
        <v>17</v>
      </c>
      <c r="G787">
        <f>'NHL2025-26Results'!E783</f>
        <v>1</v>
      </c>
      <c r="H787">
        <f>Table3[[#This Row],[G_1]]-Table3[[#This Row],[G]]</f>
        <v>-1</v>
      </c>
      <c r="I787">
        <f>HomeEdge+VLOOKUP(Table3[[#This Row],[Home]],$A$6:$B$38,2,FALSE)-VLOOKUP(Table3[[#This Row],[Visitor]],$A$6:$B$38,2,FALSE)</f>
        <v>0.42267874633781044</v>
      </c>
      <c r="J787">
        <f>(Table3[[#This Row],[HomeMargin]]-Table3[[#This Row],[HomeForecast]])^2</f>
        <v>2.0240148152813244</v>
      </c>
    </row>
    <row r="788" spans="4:10" x14ac:dyDescent="0.2">
      <c r="D788" t="s">
        <v>15</v>
      </c>
      <c r="E788">
        <f>'NHL2025-26Results'!C784</f>
        <v>3</v>
      </c>
      <c r="F788" t="s">
        <v>13</v>
      </c>
      <c r="G788">
        <f>'NHL2025-26Results'!E784</f>
        <v>4</v>
      </c>
      <c r="H788">
        <f>Table3[[#This Row],[G_1]]-Table3[[#This Row],[G]]</f>
        <v>1</v>
      </c>
      <c r="I788">
        <f>HomeEdge+VLOOKUP(Table3[[#This Row],[Home]],$A$6:$B$38,2,FALSE)-VLOOKUP(Table3[[#This Row],[Visitor]],$A$6:$B$38,2,FALSE)</f>
        <v>0.29938691721446531</v>
      </c>
      <c r="J788">
        <f>(Table3[[#This Row],[HomeMargin]]-Table3[[#This Row],[HomeForecast]])^2</f>
        <v>0.49085869177025049</v>
      </c>
    </row>
    <row r="789" spans="4:10" x14ac:dyDescent="0.2">
      <c r="D789" t="s">
        <v>34</v>
      </c>
      <c r="E789">
        <f>'NHL2025-26Results'!C785</f>
        <v>3</v>
      </c>
      <c r="F789" t="s">
        <v>18</v>
      </c>
      <c r="G789">
        <f>'NHL2025-26Results'!E785</f>
        <v>4</v>
      </c>
      <c r="H789">
        <f>Table3[[#This Row],[G_1]]-Table3[[#This Row],[G]]</f>
        <v>1</v>
      </c>
      <c r="I789">
        <f>HomeEdge+VLOOKUP(Table3[[#This Row],[Home]],$A$6:$B$38,2,FALSE)-VLOOKUP(Table3[[#This Row],[Visitor]],$A$6:$B$38,2,FALSE)</f>
        <v>-0.15336405122461744</v>
      </c>
      <c r="J789">
        <f>(Table3[[#This Row],[HomeMargin]]-Table3[[#This Row],[HomeForecast]])^2</f>
        <v>1.3302486346572622</v>
      </c>
    </row>
    <row r="790" spans="4:10" x14ac:dyDescent="0.2">
      <c r="D790" t="s">
        <v>23</v>
      </c>
      <c r="E790">
        <f>'NHL2025-26Results'!C786</f>
        <v>5</v>
      </c>
      <c r="F790" t="s">
        <v>29</v>
      </c>
      <c r="G790">
        <f>'NHL2025-26Results'!E786</f>
        <v>3</v>
      </c>
      <c r="H790">
        <f>Table3[[#This Row],[G_1]]-Table3[[#This Row],[G]]</f>
        <v>-2</v>
      </c>
      <c r="I790">
        <f>HomeEdge+VLOOKUP(Table3[[#This Row],[Home]],$A$6:$B$38,2,FALSE)-VLOOKUP(Table3[[#This Row],[Visitor]],$A$6:$B$38,2,FALSE)</f>
        <v>-0.67451327889628165</v>
      </c>
      <c r="J790">
        <f>(Table3[[#This Row],[HomeMargin]]-Table3[[#This Row],[HomeForecast]])^2</f>
        <v>1.7569150478222861</v>
      </c>
    </row>
    <row r="791" spans="4:10" x14ac:dyDescent="0.2">
      <c r="D791" t="s">
        <v>33</v>
      </c>
      <c r="E791">
        <f>'NHL2025-26Results'!C787</f>
        <v>1</v>
      </c>
      <c r="F791" t="s">
        <v>37</v>
      </c>
      <c r="G791">
        <f>'NHL2025-26Results'!E787</f>
        <v>4</v>
      </c>
      <c r="H791">
        <f>Table3[[#This Row],[G_1]]-Table3[[#This Row],[G]]</f>
        <v>3</v>
      </c>
      <c r="I791">
        <f>HomeEdge+VLOOKUP(Table3[[#This Row],[Home]],$A$6:$B$38,2,FALSE)-VLOOKUP(Table3[[#This Row],[Visitor]],$A$6:$B$38,2,FALSE)</f>
        <v>1.2839949916665472</v>
      </c>
      <c r="J791">
        <f>(Table3[[#This Row],[HomeMargin]]-Table3[[#This Row],[HomeForecast]])^2</f>
        <v>2.9446731886254933</v>
      </c>
    </row>
    <row r="792" spans="4:10" x14ac:dyDescent="0.2">
      <c r="D792" t="s">
        <v>35</v>
      </c>
      <c r="E792">
        <f>'NHL2025-26Results'!C788</f>
        <v>1</v>
      </c>
      <c r="F792" t="s">
        <v>40</v>
      </c>
      <c r="G792">
        <f>'NHL2025-26Results'!E788</f>
        <v>3</v>
      </c>
      <c r="H792">
        <f>Table3[[#This Row],[G_1]]-Table3[[#This Row],[G]]</f>
        <v>2</v>
      </c>
      <c r="I792">
        <f>HomeEdge+VLOOKUP(Table3[[#This Row],[Home]],$A$6:$B$38,2,FALSE)-VLOOKUP(Table3[[#This Row],[Visitor]],$A$6:$B$38,2,FALSE)</f>
        <v>0.88841482540399663</v>
      </c>
      <c r="J792">
        <f>(Table3[[#This Row],[HomeMargin]]-Table3[[#This Row],[HomeForecast]])^2</f>
        <v>1.2356216003816269</v>
      </c>
    </row>
    <row r="793" spans="4:10" x14ac:dyDescent="0.2">
      <c r="D793" t="s">
        <v>14</v>
      </c>
      <c r="E793">
        <f>'NHL2025-26Results'!C789</f>
        <v>4</v>
      </c>
      <c r="F793" t="s">
        <v>16</v>
      </c>
      <c r="G793">
        <f>'NHL2025-26Results'!E789</f>
        <v>1</v>
      </c>
      <c r="H793">
        <f>Table3[[#This Row],[G_1]]-Table3[[#This Row],[G]]</f>
        <v>-3</v>
      </c>
      <c r="I793">
        <f>HomeEdge+VLOOKUP(Table3[[#This Row],[Home]],$A$6:$B$38,2,FALSE)-VLOOKUP(Table3[[#This Row],[Visitor]],$A$6:$B$38,2,FALSE)</f>
        <v>-0.69555146006712121</v>
      </c>
      <c r="J793">
        <f>(Table3[[#This Row],[HomeMargin]]-Table3[[#This Row],[HomeForecast]])^2</f>
        <v>5.3104830731987764</v>
      </c>
    </row>
    <row r="794" spans="4:10" x14ac:dyDescent="0.2">
      <c r="D794" t="s">
        <v>31</v>
      </c>
      <c r="E794">
        <f>'NHL2025-26Results'!C790</f>
        <v>2</v>
      </c>
      <c r="F794" t="s">
        <v>12</v>
      </c>
      <c r="G794">
        <f>'NHL2025-26Results'!E790</f>
        <v>1</v>
      </c>
      <c r="H794">
        <f>Table3[[#This Row],[G_1]]-Table3[[#This Row],[G]]</f>
        <v>-1</v>
      </c>
      <c r="I794">
        <f>HomeEdge+VLOOKUP(Table3[[#This Row],[Home]],$A$6:$B$38,2,FALSE)-VLOOKUP(Table3[[#This Row],[Visitor]],$A$6:$B$38,2,FALSE)</f>
        <v>1.6540484091848278</v>
      </c>
      <c r="J794">
        <f>(Table3[[#This Row],[HomeMargin]]-Table3[[#This Row],[HomeForecast]])^2</f>
        <v>7.0439729582965152</v>
      </c>
    </row>
    <row r="795" spans="4:10" x14ac:dyDescent="0.2">
      <c r="D795" t="s">
        <v>30</v>
      </c>
      <c r="E795">
        <f>'NHL2025-26Results'!C791</f>
        <v>1</v>
      </c>
      <c r="F795" t="s">
        <v>32</v>
      </c>
      <c r="G795">
        <f>'NHL2025-26Results'!E791</f>
        <v>4</v>
      </c>
      <c r="H795">
        <f>Table3[[#This Row],[G_1]]-Table3[[#This Row],[G]]</f>
        <v>3</v>
      </c>
      <c r="I795">
        <f>HomeEdge+VLOOKUP(Table3[[#This Row],[Home]],$A$6:$B$38,2,FALSE)-VLOOKUP(Table3[[#This Row],[Visitor]],$A$6:$B$38,2,FALSE)</f>
        <v>-0.26588669223638112</v>
      </c>
      <c r="J795">
        <f>(Table3[[#This Row],[HomeMargin]]-Table3[[#This Row],[HomeForecast]])^2</f>
        <v>10.666015886526692</v>
      </c>
    </row>
    <row r="796" spans="4:10" x14ac:dyDescent="0.2">
      <c r="D796" t="s">
        <v>26</v>
      </c>
      <c r="E796">
        <f>'NHL2025-26Results'!C792</f>
        <v>2</v>
      </c>
      <c r="F796" t="s">
        <v>19</v>
      </c>
      <c r="G796">
        <f>'NHL2025-26Results'!E792</f>
        <v>1</v>
      </c>
      <c r="H796">
        <f>Table3[[#This Row],[G_1]]-Table3[[#This Row],[G]]</f>
        <v>-1</v>
      </c>
      <c r="I796">
        <f>HomeEdge+VLOOKUP(Table3[[#This Row],[Home]],$A$6:$B$38,2,FALSE)-VLOOKUP(Table3[[#This Row],[Visitor]],$A$6:$B$38,2,FALSE)</f>
        <v>-5.25860376437155E-2</v>
      </c>
      <c r="J796">
        <f>(Table3[[#This Row],[HomeMargin]]-Table3[[#This Row],[HomeForecast]])^2</f>
        <v>0.89759321606763531</v>
      </c>
    </row>
    <row r="797" spans="4:10" x14ac:dyDescent="0.2">
      <c r="D797" t="s">
        <v>27</v>
      </c>
      <c r="E797">
        <f>'NHL2025-26Results'!C793</f>
        <v>4</v>
      </c>
      <c r="F797" t="s">
        <v>55</v>
      </c>
      <c r="G797">
        <f>'NHL2025-26Results'!E793</f>
        <v>5</v>
      </c>
      <c r="H797">
        <f>Table3[[#This Row],[G_1]]-Table3[[#This Row],[G]]</f>
        <v>1</v>
      </c>
      <c r="I797">
        <f>HomeEdge+VLOOKUP(Table3[[#This Row],[Home]],$A$6:$B$38,2,FALSE)-VLOOKUP(Table3[[#This Row],[Visitor]],$A$6:$B$38,2,FALSE)</f>
        <v>0.53834507459548675</v>
      </c>
      <c r="J797">
        <f>(Table3[[#This Row],[HomeMargin]]-Table3[[#This Row],[HomeForecast]])^2</f>
        <v>0.21312527015024668</v>
      </c>
    </row>
    <row r="798" spans="4:10" x14ac:dyDescent="0.2">
      <c r="D798" t="s">
        <v>22</v>
      </c>
      <c r="E798">
        <f>'NHL2025-26Results'!C794</f>
        <v>3</v>
      </c>
      <c r="F798" t="s">
        <v>38</v>
      </c>
      <c r="G798">
        <f>'NHL2025-26Results'!E794</f>
        <v>4</v>
      </c>
      <c r="H798">
        <f>Table3[[#This Row],[G_1]]-Table3[[#This Row],[G]]</f>
        <v>1</v>
      </c>
      <c r="I798">
        <f>HomeEdge+VLOOKUP(Table3[[#This Row],[Home]],$A$6:$B$38,2,FALSE)-VLOOKUP(Table3[[#This Row],[Visitor]],$A$6:$B$38,2,FALSE)</f>
        <v>-1.0740012381833453</v>
      </c>
      <c r="J798">
        <f>(Table3[[#This Row],[HomeMargin]]-Table3[[#This Row],[HomeForecast]])^2</f>
        <v>4.3014811359860481</v>
      </c>
    </row>
    <row r="799" spans="4:10" x14ac:dyDescent="0.2">
      <c r="D799" t="s">
        <v>20</v>
      </c>
      <c r="E799">
        <f>'NHL2025-26Results'!C795</f>
        <v>3</v>
      </c>
      <c r="F799" t="s">
        <v>21</v>
      </c>
      <c r="G799">
        <f>'NHL2025-26Results'!E795</f>
        <v>4</v>
      </c>
      <c r="H799">
        <f>Table3[[#This Row],[G_1]]-Table3[[#This Row],[G]]</f>
        <v>1</v>
      </c>
      <c r="I799">
        <f>HomeEdge+VLOOKUP(Table3[[#This Row],[Home]],$A$6:$B$38,2,FALSE)-VLOOKUP(Table3[[#This Row],[Visitor]],$A$6:$B$38,2,FALSE)</f>
        <v>4.5696369106936995E-2</v>
      </c>
      <c r="J799">
        <f>(Table3[[#This Row],[HomeMargin]]-Table3[[#This Row],[HomeForecast]])^2</f>
        <v>0.91069541993568348</v>
      </c>
    </row>
    <row r="800" spans="4:10" x14ac:dyDescent="0.2">
      <c r="D800" t="s">
        <v>10</v>
      </c>
      <c r="E800">
        <f>'NHL2025-26Results'!C796</f>
        <v>4</v>
      </c>
      <c r="F800" t="s">
        <v>25</v>
      </c>
      <c r="G800">
        <f>'NHL2025-26Results'!E796</f>
        <v>3</v>
      </c>
      <c r="H800">
        <f>Table3[[#This Row],[G_1]]-Table3[[#This Row],[G]]</f>
        <v>-1</v>
      </c>
      <c r="I800">
        <f>HomeEdge+VLOOKUP(Table3[[#This Row],[Home]],$A$6:$B$38,2,FALSE)-VLOOKUP(Table3[[#This Row],[Visitor]],$A$6:$B$38,2,FALSE)</f>
        <v>1.0958091004956567</v>
      </c>
      <c r="J800">
        <f>(Table3[[#This Row],[HomeMargin]]-Table3[[#This Row],[HomeForecast]])^2</f>
        <v>4.3924157857204138</v>
      </c>
    </row>
    <row r="801" spans="4:10" x14ac:dyDescent="0.2">
      <c r="D801" t="s">
        <v>39</v>
      </c>
      <c r="E801">
        <f>'NHL2025-26Results'!C797</f>
        <v>0</v>
      </c>
      <c r="F801" t="s">
        <v>28</v>
      </c>
      <c r="G801">
        <f>'NHL2025-26Results'!E797</f>
        <v>1</v>
      </c>
      <c r="H801">
        <f>Table3[[#This Row],[G_1]]-Table3[[#This Row],[G]]</f>
        <v>1</v>
      </c>
      <c r="I801">
        <f>HomeEdge+VLOOKUP(Table3[[#This Row],[Home]],$A$6:$B$38,2,FALSE)-VLOOKUP(Table3[[#This Row],[Visitor]],$A$6:$B$38,2,FALSE)</f>
        <v>-0.54247260612624748</v>
      </c>
      <c r="J801">
        <f>(Table3[[#This Row],[HomeMargin]]-Table3[[#This Row],[HomeForecast]])^2</f>
        <v>2.3792217406498977</v>
      </c>
    </row>
    <row r="802" spans="4:10" x14ac:dyDescent="0.2">
      <c r="D802" t="s">
        <v>14</v>
      </c>
      <c r="E802">
        <f>'NHL2025-26Results'!C798</f>
        <v>6</v>
      </c>
      <c r="F802" t="s">
        <v>17</v>
      </c>
      <c r="G802">
        <f>'NHL2025-26Results'!E798</f>
        <v>2</v>
      </c>
      <c r="H802">
        <f>Table3[[#This Row],[G_1]]-Table3[[#This Row],[G]]</f>
        <v>-4</v>
      </c>
      <c r="I802">
        <f>HomeEdge+VLOOKUP(Table3[[#This Row],[Home]],$A$6:$B$38,2,FALSE)-VLOOKUP(Table3[[#This Row],[Visitor]],$A$6:$B$38,2,FALSE)</f>
        <v>-0.10447383668628432</v>
      </c>
      <c r="J802">
        <f>(Table3[[#This Row],[HomeMargin]]-Table3[[#This Row],[HomeForecast]])^2</f>
        <v>15.175124089061677</v>
      </c>
    </row>
    <row r="803" spans="4:10" x14ac:dyDescent="0.2">
      <c r="D803" t="s">
        <v>26</v>
      </c>
      <c r="E803">
        <f>'NHL2025-26Results'!C799</f>
        <v>3</v>
      </c>
      <c r="F803" t="s">
        <v>34</v>
      </c>
      <c r="G803">
        <f>'NHL2025-26Results'!E799</f>
        <v>4</v>
      </c>
      <c r="H803">
        <f>Table3[[#This Row],[G_1]]-Table3[[#This Row],[G]]</f>
        <v>1</v>
      </c>
      <c r="I803">
        <f>HomeEdge+VLOOKUP(Table3[[#This Row],[Home]],$A$6:$B$38,2,FALSE)-VLOOKUP(Table3[[#This Row],[Visitor]],$A$6:$B$38,2,FALSE)</f>
        <v>0.28204846531419236</v>
      </c>
      <c r="J803">
        <f>(Table3[[#This Row],[HomeMargin]]-Table3[[#This Row],[HomeForecast]])^2</f>
        <v>0.51545440615770644</v>
      </c>
    </row>
    <row r="804" spans="4:10" x14ac:dyDescent="0.2">
      <c r="D804" t="s">
        <v>23</v>
      </c>
      <c r="E804">
        <f>'NHL2025-26Results'!C800</f>
        <v>4</v>
      </c>
      <c r="F804" t="s">
        <v>18</v>
      </c>
      <c r="G804">
        <f>'NHL2025-26Results'!E800</f>
        <v>2</v>
      </c>
      <c r="H804">
        <f>Table3[[#This Row],[G_1]]-Table3[[#This Row],[G]]</f>
        <v>-2</v>
      </c>
      <c r="I804">
        <f>HomeEdge+VLOOKUP(Table3[[#This Row],[Home]],$A$6:$B$38,2,FALSE)-VLOOKUP(Table3[[#This Row],[Visitor]],$A$6:$B$38,2,FALSE)</f>
        <v>-0.16783161100663593</v>
      </c>
      <c r="J804">
        <f>(Table3[[#This Row],[HomeMargin]]-Table3[[#This Row],[HomeForecast]])^2</f>
        <v>3.3568410056265385</v>
      </c>
    </row>
    <row r="805" spans="4:10" x14ac:dyDescent="0.2">
      <c r="D805" t="s">
        <v>36</v>
      </c>
      <c r="E805">
        <f>'NHL2025-26Results'!C801</f>
        <v>3</v>
      </c>
      <c r="F805" t="s">
        <v>29</v>
      </c>
      <c r="G805">
        <f>'NHL2025-26Results'!E801</f>
        <v>5</v>
      </c>
      <c r="H805">
        <f>Table3[[#This Row],[G_1]]-Table3[[#This Row],[G]]</f>
        <v>2</v>
      </c>
      <c r="I805">
        <f>HomeEdge+VLOOKUP(Table3[[#This Row],[Home]],$A$6:$B$38,2,FALSE)-VLOOKUP(Table3[[#This Row],[Visitor]],$A$6:$B$38,2,FALSE)</f>
        <v>-0.24325916542912357</v>
      </c>
      <c r="J805">
        <f>(Table3[[#This Row],[HomeMargin]]-Table3[[#This Row],[HomeForecast]])^2</f>
        <v>5.0322116832817674</v>
      </c>
    </row>
    <row r="806" spans="4:10" x14ac:dyDescent="0.2">
      <c r="D806" t="s">
        <v>11</v>
      </c>
      <c r="E806">
        <f>'NHL2025-26Results'!C802</f>
        <v>2</v>
      </c>
      <c r="F806" t="s">
        <v>40</v>
      </c>
      <c r="G806">
        <f>'NHL2025-26Results'!E802</f>
        <v>1</v>
      </c>
      <c r="H806">
        <f>Table3[[#This Row],[G_1]]-Table3[[#This Row],[G]]</f>
        <v>-1</v>
      </c>
      <c r="I806">
        <f>HomeEdge+VLOOKUP(Table3[[#This Row],[Home]],$A$6:$B$38,2,FALSE)-VLOOKUP(Table3[[#This Row],[Visitor]],$A$6:$B$38,2,FALSE)</f>
        <v>4.5805009360433302E-2</v>
      </c>
      <c r="J806">
        <f>(Table3[[#This Row],[HomeMargin]]-Table3[[#This Row],[HomeForecast]])^2</f>
        <v>1.0937081176033763</v>
      </c>
    </row>
    <row r="807" spans="4:10" x14ac:dyDescent="0.2">
      <c r="D807" t="s">
        <v>22</v>
      </c>
      <c r="E807">
        <f>'NHL2025-26Results'!C803</f>
        <v>3</v>
      </c>
      <c r="F807" t="s">
        <v>16</v>
      </c>
      <c r="G807">
        <f>'NHL2025-26Results'!E803</f>
        <v>1</v>
      </c>
      <c r="H807">
        <f>Table3[[#This Row],[G_1]]-Table3[[#This Row],[G]]</f>
        <v>-2</v>
      </c>
      <c r="I807">
        <f>HomeEdge+VLOOKUP(Table3[[#This Row],[Home]],$A$6:$B$38,2,FALSE)-VLOOKUP(Table3[[#This Row],[Visitor]],$A$6:$B$38,2,FALSE)</f>
        <v>-0.60635917845401455</v>
      </c>
      <c r="J807">
        <f>(Table3[[#This Row],[HomeMargin]]-Table3[[#This Row],[HomeForecast]])^2</f>
        <v>1.9422347394793693</v>
      </c>
    </row>
    <row r="808" spans="4:10" x14ac:dyDescent="0.2">
      <c r="D808" t="s">
        <v>37</v>
      </c>
      <c r="E808">
        <f>'NHL2025-26Results'!C804</f>
        <v>2</v>
      </c>
      <c r="F808" t="s">
        <v>10</v>
      </c>
      <c r="G808">
        <f>'NHL2025-26Results'!E804</f>
        <v>1</v>
      </c>
      <c r="H808">
        <f>Table3[[#This Row],[G_1]]-Table3[[#This Row],[G]]</f>
        <v>-1</v>
      </c>
      <c r="I808">
        <f>HomeEdge+VLOOKUP(Table3[[#This Row],[Home]],$A$6:$B$38,2,FALSE)-VLOOKUP(Table3[[#This Row],[Visitor]],$A$6:$B$38,2,FALSE)</f>
        <v>-1.2619986354574992</v>
      </c>
      <c r="J808">
        <f>(Table3[[#This Row],[HomeMargin]]-Table3[[#This Row],[HomeForecast]])^2</f>
        <v>6.8643284981591585E-2</v>
      </c>
    </row>
    <row r="809" spans="4:10" x14ac:dyDescent="0.2">
      <c r="D809" t="s">
        <v>27</v>
      </c>
      <c r="E809">
        <f>'NHL2025-26Results'!C805</f>
        <v>7</v>
      </c>
      <c r="F809" t="s">
        <v>12</v>
      </c>
      <c r="G809">
        <f>'NHL2025-26Results'!E805</f>
        <v>3</v>
      </c>
      <c r="H809">
        <f>Table3[[#This Row],[G_1]]-Table3[[#This Row],[G]]</f>
        <v>-4</v>
      </c>
      <c r="I809">
        <f>HomeEdge+VLOOKUP(Table3[[#This Row],[Home]],$A$6:$B$38,2,FALSE)-VLOOKUP(Table3[[#This Row],[Visitor]],$A$6:$B$38,2,FALSE)</f>
        <v>1.5929778052105017</v>
      </c>
      <c r="J809">
        <f>(Table3[[#This Row],[HomeMargin]]-Table3[[#This Row],[HomeForecast]])^2</f>
        <v>31.281400729577285</v>
      </c>
    </row>
    <row r="810" spans="4:10" x14ac:dyDescent="0.2">
      <c r="D810" t="s">
        <v>35</v>
      </c>
      <c r="E810">
        <f>'NHL2025-26Results'!C806</f>
        <v>2</v>
      </c>
      <c r="F810" t="s">
        <v>39</v>
      </c>
      <c r="G810">
        <f>'NHL2025-26Results'!E806</f>
        <v>3</v>
      </c>
      <c r="H810">
        <f>Table3[[#This Row],[G_1]]-Table3[[#This Row],[G]]</f>
        <v>1</v>
      </c>
      <c r="I810">
        <f>HomeEdge+VLOOKUP(Table3[[#This Row],[Home]],$A$6:$B$38,2,FALSE)-VLOOKUP(Table3[[#This Row],[Visitor]],$A$6:$B$38,2,FALSE)</f>
        <v>1.5749285900427261</v>
      </c>
      <c r="J810">
        <f>(Table3[[#This Row],[HomeMargin]]-Table3[[#This Row],[HomeForecast]])^2</f>
        <v>0.33054288364851703</v>
      </c>
    </row>
    <row r="811" spans="4:10" x14ac:dyDescent="0.2">
      <c r="D811" t="s">
        <v>31</v>
      </c>
      <c r="E811">
        <f>'NHL2025-26Results'!C807</f>
        <v>4</v>
      </c>
      <c r="F811" t="s">
        <v>32</v>
      </c>
      <c r="G811">
        <f>'NHL2025-26Results'!E807</f>
        <v>2</v>
      </c>
      <c r="H811">
        <f>Table3[[#This Row],[G_1]]-Table3[[#This Row],[G]]</f>
        <v>-2</v>
      </c>
      <c r="I811">
        <f>HomeEdge+VLOOKUP(Table3[[#This Row],[Home]],$A$6:$B$38,2,FALSE)-VLOOKUP(Table3[[#This Row],[Visitor]],$A$6:$B$38,2,FALSE)</f>
        <v>-9.2080290616160132E-2</v>
      </c>
      <c r="J811">
        <f>(Table3[[#This Row],[HomeMargin]]-Table3[[#This Row],[HomeForecast]])^2</f>
        <v>3.6401576174553156</v>
      </c>
    </row>
    <row r="812" spans="4:10" x14ac:dyDescent="0.2">
      <c r="D812" t="s">
        <v>15</v>
      </c>
      <c r="E812">
        <f>'NHL2025-26Results'!C808</f>
        <v>1</v>
      </c>
      <c r="F812" t="s">
        <v>33</v>
      </c>
      <c r="G812">
        <f>'NHL2025-26Results'!E808</f>
        <v>3</v>
      </c>
      <c r="H812">
        <f>Table3[[#This Row],[G_1]]-Table3[[#This Row],[G]]</f>
        <v>2</v>
      </c>
      <c r="I812">
        <f>HomeEdge+VLOOKUP(Table3[[#This Row],[Home]],$A$6:$B$38,2,FALSE)-VLOOKUP(Table3[[#This Row],[Visitor]],$A$6:$B$38,2,FALSE)</f>
        <v>0.20101677911042176</v>
      </c>
      <c r="J812">
        <f>(Table3[[#This Row],[HomeMargin]]-Table3[[#This Row],[HomeForecast]])^2</f>
        <v>3.2363406290422407</v>
      </c>
    </row>
    <row r="813" spans="4:10" x14ac:dyDescent="0.2">
      <c r="D813" t="s">
        <v>20</v>
      </c>
      <c r="E813">
        <f>'NHL2025-26Results'!C809</f>
        <v>6</v>
      </c>
      <c r="F813" t="s">
        <v>19</v>
      </c>
      <c r="G813">
        <f>'NHL2025-26Results'!E809</f>
        <v>3</v>
      </c>
      <c r="H813">
        <f>Table3[[#This Row],[G_1]]-Table3[[#This Row],[G]]</f>
        <v>-3</v>
      </c>
      <c r="I813">
        <f>HomeEdge+VLOOKUP(Table3[[#This Row],[Home]],$A$6:$B$38,2,FALSE)-VLOOKUP(Table3[[#This Row],[Visitor]],$A$6:$B$38,2,FALSE)</f>
        <v>-0.22101100805075399</v>
      </c>
      <c r="J813">
        <f>(Table3[[#This Row],[HomeMargin]]-Table3[[#This Row],[HomeForecast]])^2</f>
        <v>7.7227798173750859</v>
      </c>
    </row>
    <row r="814" spans="4:10" x14ac:dyDescent="0.2">
      <c r="D814" t="s">
        <v>24</v>
      </c>
      <c r="E814">
        <f>'NHL2025-26Results'!C810</f>
        <v>5</v>
      </c>
      <c r="F814" t="s">
        <v>38</v>
      </c>
      <c r="G814">
        <f>'NHL2025-26Results'!E810</f>
        <v>4</v>
      </c>
      <c r="H814">
        <f>Table3[[#This Row],[G_1]]-Table3[[#This Row],[G]]</f>
        <v>-1</v>
      </c>
      <c r="I814">
        <f>HomeEdge+VLOOKUP(Table3[[#This Row],[Home]],$A$6:$B$38,2,FALSE)-VLOOKUP(Table3[[#This Row],[Visitor]],$A$6:$B$38,2,FALSE)</f>
        <v>-0.63604093677235729</v>
      </c>
      <c r="J814">
        <f>(Table3[[#This Row],[HomeMargin]]-Table3[[#This Row],[HomeForecast]])^2</f>
        <v>0.13246619970554321</v>
      </c>
    </row>
    <row r="815" spans="4:10" x14ac:dyDescent="0.2">
      <c r="D815" t="s">
        <v>18</v>
      </c>
      <c r="E815">
        <f>'NHL2025-26Results'!C811</f>
        <v>3</v>
      </c>
      <c r="F815" t="s">
        <v>21</v>
      </c>
      <c r="G815">
        <f>'NHL2025-26Results'!E811</f>
        <v>4</v>
      </c>
      <c r="H815">
        <f>Table3[[#This Row],[G_1]]-Table3[[#This Row],[G]]</f>
        <v>1</v>
      </c>
      <c r="I815">
        <f>HomeEdge+VLOOKUP(Table3[[#This Row],[Home]],$A$6:$B$38,2,FALSE)-VLOOKUP(Table3[[#This Row],[Visitor]],$A$6:$B$38,2,FALSE)</f>
        <v>0.27737691576572704</v>
      </c>
      <c r="J815">
        <f>(Table3[[#This Row],[HomeMargin]]-Table3[[#This Row],[HomeForecast]])^2</f>
        <v>0.52218412186825303</v>
      </c>
    </row>
    <row r="816" spans="4:10" x14ac:dyDescent="0.2">
      <c r="D816" t="s">
        <v>37</v>
      </c>
      <c r="E816">
        <f>'NHL2025-26Results'!C812</f>
        <v>5</v>
      </c>
      <c r="F816" t="s">
        <v>28</v>
      </c>
      <c r="G816">
        <f>'NHL2025-26Results'!E812</f>
        <v>8</v>
      </c>
      <c r="H816">
        <f>Table3[[#This Row],[G_1]]-Table3[[#This Row],[G]]</f>
        <v>3</v>
      </c>
      <c r="I816">
        <f>HomeEdge+VLOOKUP(Table3[[#This Row],[Home]],$A$6:$B$38,2,FALSE)-VLOOKUP(Table3[[#This Row],[Visitor]],$A$6:$B$38,2,FALSE)</f>
        <v>-0.98328207072995877</v>
      </c>
      <c r="J816">
        <f>(Table3[[#This Row],[HomeMargin]]-Table3[[#This Row],[HomeForecast]])^2</f>
        <v>15.866536054998749</v>
      </c>
    </row>
    <row r="817" spans="4:10" x14ac:dyDescent="0.2">
      <c r="D817" t="s">
        <v>22</v>
      </c>
      <c r="E817">
        <f>'NHL2025-26Results'!C813</f>
        <v>5</v>
      </c>
      <c r="F817" t="s">
        <v>17</v>
      </c>
      <c r="G817">
        <f>'NHL2025-26Results'!E813</f>
        <v>6</v>
      </c>
      <c r="H817">
        <f>Table3[[#This Row],[G_1]]-Table3[[#This Row],[G]]</f>
        <v>1</v>
      </c>
      <c r="I817">
        <f>HomeEdge+VLOOKUP(Table3[[#This Row],[Home]],$A$6:$B$38,2,FALSE)-VLOOKUP(Table3[[#This Row],[Visitor]],$A$6:$B$38,2,FALSE)</f>
        <v>-1.5281555073177605E-2</v>
      </c>
      <c r="J817">
        <f>(Table3[[#This Row],[HomeMargin]]-Table3[[#This Row],[HomeForecast]])^2</f>
        <v>1.0307966360718095</v>
      </c>
    </row>
    <row r="818" spans="4:10" x14ac:dyDescent="0.2">
      <c r="D818" t="s">
        <v>11</v>
      </c>
      <c r="E818">
        <f>'NHL2025-26Results'!C814</f>
        <v>4</v>
      </c>
      <c r="F818" t="s">
        <v>34</v>
      </c>
      <c r="G818">
        <f>'NHL2025-26Results'!E814</f>
        <v>3</v>
      </c>
      <c r="H818">
        <f>Table3[[#This Row],[G_1]]-Table3[[#This Row],[G]]</f>
        <v>-1</v>
      </c>
      <c r="I818">
        <f>HomeEdge+VLOOKUP(Table3[[#This Row],[Home]],$A$6:$B$38,2,FALSE)-VLOOKUP(Table3[[#This Row],[Visitor]],$A$6:$B$38,2,FALSE)</f>
        <v>0.53260206232809748</v>
      </c>
      <c r="J818">
        <f>(Table3[[#This Row],[HomeMargin]]-Table3[[#This Row],[HomeForecast]])^2</f>
        <v>2.3488690814523379</v>
      </c>
    </row>
    <row r="819" spans="4:10" x14ac:dyDescent="0.2">
      <c r="D819" t="s">
        <v>55</v>
      </c>
      <c r="E819">
        <f>'NHL2025-26Results'!C815</f>
        <v>5</v>
      </c>
      <c r="F819" t="s">
        <v>29</v>
      </c>
      <c r="G819">
        <f>'NHL2025-26Results'!E815</f>
        <v>2</v>
      </c>
      <c r="H819">
        <f>Table3[[#This Row],[G_1]]-Table3[[#This Row],[G]]</f>
        <v>-3</v>
      </c>
      <c r="I819">
        <f>HomeEdge+VLOOKUP(Table3[[#This Row],[Home]],$A$6:$B$38,2,FALSE)-VLOOKUP(Table3[[#This Row],[Visitor]],$A$6:$B$38,2,FALSE)</f>
        <v>-0.76771842191005446</v>
      </c>
      <c r="J819">
        <f>(Table3[[#This Row],[HomeMargin]]-Table3[[#This Row],[HomeForecast]])^2</f>
        <v>4.9830810438797384</v>
      </c>
    </row>
    <row r="820" spans="4:10" x14ac:dyDescent="0.2">
      <c r="D820" t="s">
        <v>23</v>
      </c>
      <c r="E820">
        <f>'NHL2025-26Results'!C816</f>
        <v>5</v>
      </c>
      <c r="F820" t="s">
        <v>30</v>
      </c>
      <c r="G820">
        <f>'NHL2025-26Results'!E816</f>
        <v>0</v>
      </c>
      <c r="H820">
        <f>Table3[[#This Row],[G_1]]-Table3[[#This Row],[G]]</f>
        <v>-5</v>
      </c>
      <c r="I820">
        <f>HomeEdge+VLOOKUP(Table3[[#This Row],[Home]],$A$6:$B$38,2,FALSE)-VLOOKUP(Table3[[#This Row],[Visitor]],$A$6:$B$38,2,FALSE)</f>
        <v>-0.14046414359449252</v>
      </c>
      <c r="J820">
        <f>(Table3[[#This Row],[HomeMargin]]-Table3[[#This Row],[HomeForecast]])^2</f>
        <v>23.615088739690808</v>
      </c>
    </row>
    <row r="821" spans="4:10" x14ac:dyDescent="0.2">
      <c r="D821" t="s">
        <v>25</v>
      </c>
      <c r="E821">
        <f>'NHL2025-26Results'!C817</f>
        <v>4</v>
      </c>
      <c r="F821" t="s">
        <v>36</v>
      </c>
      <c r="G821">
        <f>'NHL2025-26Results'!E817</f>
        <v>1</v>
      </c>
      <c r="H821">
        <f>Table3[[#This Row],[G_1]]-Table3[[#This Row],[G]]</f>
        <v>-3</v>
      </c>
      <c r="I821">
        <f>HomeEdge+VLOOKUP(Table3[[#This Row],[Home]],$A$6:$B$38,2,FALSE)-VLOOKUP(Table3[[#This Row],[Visitor]],$A$6:$B$38,2,FALSE)</f>
        <v>-0.6032132094860837</v>
      </c>
      <c r="J821">
        <f>(Table3[[#This Row],[HomeMargin]]-Table3[[#This Row],[HomeForecast]])^2</f>
        <v>5.7445869191819989</v>
      </c>
    </row>
    <row r="822" spans="4:10" x14ac:dyDescent="0.2">
      <c r="D822" t="s">
        <v>13</v>
      </c>
      <c r="E822">
        <f>'NHL2025-26Results'!C818</f>
        <v>5</v>
      </c>
      <c r="F822" t="s">
        <v>35</v>
      </c>
      <c r="G822">
        <f>'NHL2025-26Results'!E818</f>
        <v>4</v>
      </c>
      <c r="H822">
        <f>Table3[[#This Row],[G_1]]-Table3[[#This Row],[G]]</f>
        <v>-1</v>
      </c>
      <c r="I822">
        <f>HomeEdge+VLOOKUP(Table3[[#This Row],[Home]],$A$6:$B$38,2,FALSE)-VLOOKUP(Table3[[#This Row],[Visitor]],$A$6:$B$38,2,FALSE)</f>
        <v>-0.73414320591327042</v>
      </c>
      <c r="J822">
        <f>(Table3[[#This Row],[HomeMargin]]-Table3[[#This Row],[HomeForecast]])^2</f>
        <v>7.0679834962073723E-2</v>
      </c>
    </row>
    <row r="823" spans="4:10" x14ac:dyDescent="0.2">
      <c r="D823" t="s">
        <v>26</v>
      </c>
      <c r="E823">
        <f>'NHL2025-26Results'!C819</f>
        <v>5</v>
      </c>
      <c r="F823" t="s">
        <v>40</v>
      </c>
      <c r="G823">
        <f>'NHL2025-26Results'!E819</f>
        <v>1</v>
      </c>
      <c r="H823">
        <f>Table3[[#This Row],[G_1]]-Table3[[#This Row],[G]]</f>
        <v>-4</v>
      </c>
      <c r="I823">
        <f>HomeEdge+VLOOKUP(Table3[[#This Row],[Home]],$A$6:$B$38,2,FALSE)-VLOOKUP(Table3[[#This Row],[Visitor]],$A$6:$B$38,2,FALSE)</f>
        <v>-0.20474858765347181</v>
      </c>
      <c r="J823">
        <f>(Table3[[#This Row],[HomeMargin]]-Table3[[#This Row],[HomeForecast]])^2</f>
        <v>14.403933282918315</v>
      </c>
    </row>
    <row r="824" spans="4:10" x14ac:dyDescent="0.2">
      <c r="D824" t="s">
        <v>31</v>
      </c>
      <c r="F824" t="s">
        <v>16</v>
      </c>
    </row>
    <row r="825" spans="4:10" x14ac:dyDescent="0.2">
      <c r="D825" t="s">
        <v>11</v>
      </c>
      <c r="F825" t="s">
        <v>10</v>
      </c>
    </row>
    <row r="826" spans="4:10" x14ac:dyDescent="0.2">
      <c r="D826" t="s">
        <v>20</v>
      </c>
      <c r="F826" t="s">
        <v>36</v>
      </c>
    </row>
    <row r="827" spans="4:10" x14ac:dyDescent="0.2">
      <c r="D827" t="s">
        <v>24</v>
      </c>
      <c r="F827" t="s">
        <v>32</v>
      </c>
    </row>
    <row r="828" spans="4:10" x14ac:dyDescent="0.2">
      <c r="D828" t="s">
        <v>12</v>
      </c>
      <c r="F828" t="s">
        <v>19</v>
      </c>
    </row>
    <row r="829" spans="4:10" x14ac:dyDescent="0.2">
      <c r="D829" t="s">
        <v>14</v>
      </c>
      <c r="F829" t="s">
        <v>38</v>
      </c>
    </row>
    <row r="830" spans="4:10" x14ac:dyDescent="0.2">
      <c r="D830" t="s">
        <v>13</v>
      </c>
      <c r="F830" t="s">
        <v>28</v>
      </c>
    </row>
    <row r="831" spans="4:10" x14ac:dyDescent="0.2">
      <c r="D831" t="s">
        <v>31</v>
      </c>
      <c r="F831" t="s">
        <v>17</v>
      </c>
    </row>
    <row r="832" spans="4:10" x14ac:dyDescent="0.2">
      <c r="D832" t="s">
        <v>21</v>
      </c>
      <c r="F832" t="s">
        <v>15</v>
      </c>
    </row>
    <row r="833" spans="4:6" x14ac:dyDescent="0.2">
      <c r="D833" t="s">
        <v>30</v>
      </c>
      <c r="F833" t="s">
        <v>27</v>
      </c>
    </row>
    <row r="834" spans="4:6" x14ac:dyDescent="0.2">
      <c r="D834" t="s">
        <v>55</v>
      </c>
      <c r="F834" t="s">
        <v>37</v>
      </c>
    </row>
    <row r="835" spans="4:6" x14ac:dyDescent="0.2">
      <c r="D835" t="s">
        <v>29</v>
      </c>
      <c r="F835" t="s">
        <v>21</v>
      </c>
    </row>
    <row r="836" spans="4:6" x14ac:dyDescent="0.2">
      <c r="D836" t="s">
        <v>13</v>
      </c>
      <c r="F836" t="s">
        <v>26</v>
      </c>
    </row>
    <row r="837" spans="4:6" x14ac:dyDescent="0.2">
      <c r="D837" t="s">
        <v>55</v>
      </c>
      <c r="F837" t="s">
        <v>11</v>
      </c>
    </row>
    <row r="838" spans="4:6" x14ac:dyDescent="0.2">
      <c r="D838" t="s">
        <v>10</v>
      </c>
      <c r="F838" t="s">
        <v>34</v>
      </c>
    </row>
    <row r="839" spans="4:6" x14ac:dyDescent="0.2">
      <c r="D839" t="s">
        <v>20</v>
      </c>
      <c r="F839" t="s">
        <v>18</v>
      </c>
    </row>
    <row r="840" spans="4:6" x14ac:dyDescent="0.2">
      <c r="D840" t="s">
        <v>40</v>
      </c>
      <c r="F840" t="s">
        <v>24</v>
      </c>
    </row>
    <row r="841" spans="4:6" x14ac:dyDescent="0.2">
      <c r="D841" t="s">
        <v>22</v>
      </c>
      <c r="F841" t="s">
        <v>32</v>
      </c>
    </row>
    <row r="842" spans="4:6" x14ac:dyDescent="0.2">
      <c r="D842" t="s">
        <v>39</v>
      </c>
      <c r="F842" t="s">
        <v>35</v>
      </c>
    </row>
    <row r="843" spans="4:6" x14ac:dyDescent="0.2">
      <c r="D843" t="s">
        <v>23</v>
      </c>
      <c r="F843" t="s">
        <v>19</v>
      </c>
    </row>
    <row r="844" spans="4:6" x14ac:dyDescent="0.2">
      <c r="D844" t="s">
        <v>33</v>
      </c>
      <c r="F844" t="s">
        <v>38</v>
      </c>
    </row>
    <row r="845" spans="4:6" x14ac:dyDescent="0.2">
      <c r="D845" t="s">
        <v>27</v>
      </c>
      <c r="F845" t="s">
        <v>28</v>
      </c>
    </row>
    <row r="846" spans="4:6" x14ac:dyDescent="0.2">
      <c r="D846" t="s">
        <v>15</v>
      </c>
      <c r="F846" t="s">
        <v>30</v>
      </c>
    </row>
    <row r="847" spans="4:6" x14ac:dyDescent="0.2">
      <c r="D847" t="s">
        <v>12</v>
      </c>
      <c r="F847" t="s">
        <v>36</v>
      </c>
    </row>
    <row r="848" spans="4:6" x14ac:dyDescent="0.2">
      <c r="D848" t="s">
        <v>27</v>
      </c>
      <c r="F848" t="s">
        <v>21</v>
      </c>
    </row>
    <row r="849" spans="4:6" x14ac:dyDescent="0.2">
      <c r="D849" t="s">
        <v>13</v>
      </c>
      <c r="F849" t="s">
        <v>23</v>
      </c>
    </row>
    <row r="850" spans="4:6" x14ac:dyDescent="0.2">
      <c r="D850" t="s">
        <v>55</v>
      </c>
      <c r="F850" t="s">
        <v>25</v>
      </c>
    </row>
    <row r="851" spans="4:6" x14ac:dyDescent="0.2">
      <c r="D851" t="s">
        <v>22</v>
      </c>
      <c r="F851" t="s">
        <v>26</v>
      </c>
    </row>
    <row r="852" spans="4:6" x14ac:dyDescent="0.2">
      <c r="D852" t="s">
        <v>33</v>
      </c>
      <c r="F852" t="s">
        <v>17</v>
      </c>
    </row>
    <row r="853" spans="4:6" x14ac:dyDescent="0.2">
      <c r="D853" t="s">
        <v>16</v>
      </c>
      <c r="F853" t="s">
        <v>34</v>
      </c>
    </row>
    <row r="854" spans="4:6" x14ac:dyDescent="0.2">
      <c r="D854" t="s">
        <v>12</v>
      </c>
      <c r="F854" t="s">
        <v>18</v>
      </c>
    </row>
    <row r="855" spans="4:6" x14ac:dyDescent="0.2">
      <c r="D855" t="s">
        <v>29</v>
      </c>
      <c r="F855" t="s">
        <v>24</v>
      </c>
    </row>
    <row r="856" spans="4:6" x14ac:dyDescent="0.2">
      <c r="D856" t="s">
        <v>30</v>
      </c>
      <c r="F856" t="s">
        <v>15</v>
      </c>
    </row>
    <row r="857" spans="4:6" x14ac:dyDescent="0.2">
      <c r="D857" t="s">
        <v>10</v>
      </c>
      <c r="F857" t="s">
        <v>14</v>
      </c>
    </row>
    <row r="858" spans="4:6" x14ac:dyDescent="0.2">
      <c r="D858" t="s">
        <v>19</v>
      </c>
      <c r="F858" t="s">
        <v>32</v>
      </c>
    </row>
    <row r="859" spans="4:6" x14ac:dyDescent="0.2">
      <c r="D859" t="s">
        <v>11</v>
      </c>
      <c r="F859" t="s">
        <v>35</v>
      </c>
    </row>
    <row r="860" spans="4:6" x14ac:dyDescent="0.2">
      <c r="D860" t="s">
        <v>40</v>
      </c>
      <c r="F860" t="s">
        <v>37</v>
      </c>
    </row>
    <row r="861" spans="4:6" x14ac:dyDescent="0.2">
      <c r="D861" t="s">
        <v>31</v>
      </c>
      <c r="F861" t="s">
        <v>38</v>
      </c>
    </row>
    <row r="862" spans="4:6" x14ac:dyDescent="0.2">
      <c r="D862" t="s">
        <v>39</v>
      </c>
      <c r="F862" t="s">
        <v>20</v>
      </c>
    </row>
    <row r="863" spans="4:6" x14ac:dyDescent="0.2">
      <c r="D863" t="s">
        <v>28</v>
      </c>
      <c r="F863" t="s">
        <v>10</v>
      </c>
    </row>
    <row r="864" spans="4:6" x14ac:dyDescent="0.2">
      <c r="D864" t="s">
        <v>18</v>
      </c>
      <c r="F864" t="s">
        <v>23</v>
      </c>
    </row>
    <row r="865" spans="4:6" x14ac:dyDescent="0.2">
      <c r="D865" t="s">
        <v>33</v>
      </c>
      <c r="F865" t="s">
        <v>16</v>
      </c>
    </row>
    <row r="866" spans="4:6" x14ac:dyDescent="0.2">
      <c r="D866" t="s">
        <v>12</v>
      </c>
      <c r="F866" t="s">
        <v>26</v>
      </c>
    </row>
    <row r="867" spans="4:6" x14ac:dyDescent="0.2">
      <c r="D867" t="s">
        <v>34</v>
      </c>
      <c r="F867" t="s">
        <v>17</v>
      </c>
    </row>
    <row r="868" spans="4:6" x14ac:dyDescent="0.2">
      <c r="D868" t="s">
        <v>40</v>
      </c>
      <c r="F868" t="s">
        <v>11</v>
      </c>
    </row>
    <row r="869" spans="4:6" x14ac:dyDescent="0.2">
      <c r="D869" t="s">
        <v>29</v>
      </c>
      <c r="F869" t="s">
        <v>30</v>
      </c>
    </row>
    <row r="870" spans="4:6" x14ac:dyDescent="0.2">
      <c r="D870" t="s">
        <v>24</v>
      </c>
      <c r="F870" t="s">
        <v>36</v>
      </c>
    </row>
    <row r="871" spans="4:6" x14ac:dyDescent="0.2">
      <c r="D871" t="s">
        <v>13</v>
      </c>
      <c r="F871" t="s">
        <v>27</v>
      </c>
    </row>
    <row r="872" spans="4:6" x14ac:dyDescent="0.2">
      <c r="D872" t="s">
        <v>15</v>
      </c>
      <c r="F872" t="s">
        <v>14</v>
      </c>
    </row>
    <row r="873" spans="4:6" x14ac:dyDescent="0.2">
      <c r="D873" t="s">
        <v>28</v>
      </c>
      <c r="F873" t="s">
        <v>35</v>
      </c>
    </row>
    <row r="874" spans="4:6" x14ac:dyDescent="0.2">
      <c r="D874" t="s">
        <v>39</v>
      </c>
      <c r="F874" t="s">
        <v>55</v>
      </c>
    </row>
    <row r="875" spans="4:6" x14ac:dyDescent="0.2">
      <c r="D875" t="s">
        <v>19</v>
      </c>
      <c r="F875" t="s">
        <v>38</v>
      </c>
    </row>
    <row r="876" spans="4:6" x14ac:dyDescent="0.2">
      <c r="D876" t="s">
        <v>32</v>
      </c>
      <c r="F876" t="s">
        <v>20</v>
      </c>
    </row>
    <row r="877" spans="4:6" x14ac:dyDescent="0.2">
      <c r="D877" t="s">
        <v>25</v>
      </c>
      <c r="F877" t="s">
        <v>22</v>
      </c>
    </row>
    <row r="878" spans="4:6" x14ac:dyDescent="0.2">
      <c r="D878" t="s">
        <v>20</v>
      </c>
      <c r="F878" t="s">
        <v>31</v>
      </c>
    </row>
    <row r="879" spans="4:6" x14ac:dyDescent="0.2">
      <c r="D879" t="s">
        <v>13</v>
      </c>
      <c r="F879" t="s">
        <v>25</v>
      </c>
    </row>
    <row r="880" spans="4:6" x14ac:dyDescent="0.2">
      <c r="D880" t="s">
        <v>21</v>
      </c>
      <c r="F880" t="s">
        <v>37</v>
      </c>
    </row>
    <row r="881" spans="4:6" x14ac:dyDescent="0.2">
      <c r="D881" t="s">
        <v>19</v>
      </c>
      <c r="F881" t="s">
        <v>16</v>
      </c>
    </row>
    <row r="882" spans="4:6" x14ac:dyDescent="0.2">
      <c r="D882" t="s">
        <v>33</v>
      </c>
      <c r="F882" t="s">
        <v>10</v>
      </c>
    </row>
    <row r="883" spans="4:6" x14ac:dyDescent="0.2">
      <c r="D883" t="s">
        <v>26</v>
      </c>
      <c r="F883" t="s">
        <v>12</v>
      </c>
    </row>
    <row r="884" spans="4:6" x14ac:dyDescent="0.2">
      <c r="D884" t="s">
        <v>40</v>
      </c>
      <c r="F884" t="s">
        <v>39</v>
      </c>
    </row>
    <row r="885" spans="4:6" x14ac:dyDescent="0.2">
      <c r="D885" t="s">
        <v>23</v>
      </c>
      <c r="F885" t="s">
        <v>11</v>
      </c>
    </row>
    <row r="886" spans="4:6" x14ac:dyDescent="0.2">
      <c r="D886" t="s">
        <v>18</v>
      </c>
      <c r="F886" t="s">
        <v>34</v>
      </c>
    </row>
    <row r="887" spans="4:6" x14ac:dyDescent="0.2">
      <c r="D887" t="s">
        <v>35</v>
      </c>
      <c r="F887" t="s">
        <v>29</v>
      </c>
    </row>
    <row r="888" spans="4:6" x14ac:dyDescent="0.2">
      <c r="D888" t="s">
        <v>36</v>
      </c>
      <c r="F888" t="s">
        <v>14</v>
      </c>
    </row>
    <row r="889" spans="4:6" x14ac:dyDescent="0.2">
      <c r="D889" t="s">
        <v>38</v>
      </c>
      <c r="F889" t="s">
        <v>55</v>
      </c>
    </row>
    <row r="890" spans="4:6" x14ac:dyDescent="0.2">
      <c r="D890" t="s">
        <v>30</v>
      </c>
      <c r="F890" t="s">
        <v>22</v>
      </c>
    </row>
    <row r="891" spans="4:6" x14ac:dyDescent="0.2">
      <c r="D891" t="s">
        <v>32</v>
      </c>
      <c r="F891" t="s">
        <v>31</v>
      </c>
    </row>
    <row r="892" spans="4:6" x14ac:dyDescent="0.2">
      <c r="D892" t="s">
        <v>36</v>
      </c>
      <c r="F892" t="s">
        <v>25</v>
      </c>
    </row>
    <row r="893" spans="4:6" x14ac:dyDescent="0.2">
      <c r="D893" t="s">
        <v>19</v>
      </c>
      <c r="F893" t="s">
        <v>17</v>
      </c>
    </row>
    <row r="894" spans="4:6" x14ac:dyDescent="0.2">
      <c r="D894" t="s">
        <v>28</v>
      </c>
      <c r="F894" t="s">
        <v>24</v>
      </c>
    </row>
    <row r="895" spans="4:6" x14ac:dyDescent="0.2">
      <c r="D895" t="s">
        <v>14</v>
      </c>
      <c r="F895" t="s">
        <v>30</v>
      </c>
    </row>
    <row r="896" spans="4:6" x14ac:dyDescent="0.2">
      <c r="D896" t="s">
        <v>22</v>
      </c>
      <c r="F896" t="s">
        <v>27</v>
      </c>
    </row>
    <row r="897" spans="4:6" x14ac:dyDescent="0.2">
      <c r="D897" t="s">
        <v>23</v>
      </c>
      <c r="F897" t="s">
        <v>37</v>
      </c>
    </row>
    <row r="898" spans="4:6" x14ac:dyDescent="0.2">
      <c r="D898" t="s">
        <v>10</v>
      </c>
      <c r="F898" t="s">
        <v>28</v>
      </c>
    </row>
    <row r="899" spans="4:6" x14ac:dyDescent="0.2">
      <c r="D899" t="s">
        <v>17</v>
      </c>
      <c r="F899" t="s">
        <v>16</v>
      </c>
    </row>
    <row r="900" spans="4:6" x14ac:dyDescent="0.2">
      <c r="D900" t="s">
        <v>33</v>
      </c>
      <c r="F900" t="s">
        <v>12</v>
      </c>
    </row>
    <row r="901" spans="4:6" x14ac:dyDescent="0.2">
      <c r="D901" t="s">
        <v>35</v>
      </c>
      <c r="F901" t="s">
        <v>39</v>
      </c>
    </row>
    <row r="902" spans="4:6" x14ac:dyDescent="0.2">
      <c r="D902" t="s">
        <v>21</v>
      </c>
      <c r="F902" t="s">
        <v>11</v>
      </c>
    </row>
    <row r="903" spans="4:6" x14ac:dyDescent="0.2">
      <c r="D903" t="s">
        <v>32</v>
      </c>
      <c r="F903" t="s">
        <v>13</v>
      </c>
    </row>
    <row r="904" spans="4:6" x14ac:dyDescent="0.2">
      <c r="D904" t="s">
        <v>34</v>
      </c>
      <c r="F904" t="s">
        <v>29</v>
      </c>
    </row>
    <row r="905" spans="4:6" x14ac:dyDescent="0.2">
      <c r="D905" t="s">
        <v>26</v>
      </c>
      <c r="F905" t="s">
        <v>55</v>
      </c>
    </row>
    <row r="906" spans="4:6" x14ac:dyDescent="0.2">
      <c r="D906" t="s">
        <v>38</v>
      </c>
      <c r="F906" t="s">
        <v>20</v>
      </c>
    </row>
    <row r="907" spans="4:6" x14ac:dyDescent="0.2">
      <c r="D907" t="s">
        <v>18</v>
      </c>
      <c r="F907" t="s">
        <v>40</v>
      </c>
    </row>
    <row r="908" spans="4:6" x14ac:dyDescent="0.2">
      <c r="D908" t="s">
        <v>14</v>
      </c>
      <c r="F908" t="s">
        <v>23</v>
      </c>
    </row>
    <row r="909" spans="4:6" x14ac:dyDescent="0.2">
      <c r="D909" t="s">
        <v>30</v>
      </c>
      <c r="F909" t="s">
        <v>24</v>
      </c>
    </row>
    <row r="910" spans="4:6" x14ac:dyDescent="0.2">
      <c r="D910" t="s">
        <v>25</v>
      </c>
      <c r="F910" t="s">
        <v>15</v>
      </c>
    </row>
    <row r="911" spans="4:6" x14ac:dyDescent="0.2">
      <c r="D911" t="s">
        <v>36</v>
      </c>
      <c r="F911" t="s">
        <v>27</v>
      </c>
    </row>
    <row r="912" spans="4:6" x14ac:dyDescent="0.2">
      <c r="D912" t="s">
        <v>11</v>
      </c>
      <c r="F912" t="s">
        <v>37</v>
      </c>
    </row>
    <row r="913" spans="4:6" x14ac:dyDescent="0.2">
      <c r="D913" t="s">
        <v>13</v>
      </c>
      <c r="F913" t="s">
        <v>20</v>
      </c>
    </row>
    <row r="914" spans="4:6" x14ac:dyDescent="0.2">
      <c r="D914" t="s">
        <v>29</v>
      </c>
      <c r="F914" t="s">
        <v>22</v>
      </c>
    </row>
    <row r="915" spans="4:6" x14ac:dyDescent="0.2">
      <c r="D915" t="s">
        <v>17</v>
      </c>
      <c r="F915" t="s">
        <v>31</v>
      </c>
    </row>
    <row r="916" spans="4:6" x14ac:dyDescent="0.2">
      <c r="D916" t="s">
        <v>32</v>
      </c>
      <c r="F916" t="s">
        <v>39</v>
      </c>
    </row>
    <row r="917" spans="4:6" x14ac:dyDescent="0.2">
      <c r="D917" t="s">
        <v>20</v>
      </c>
      <c r="F917" t="s">
        <v>13</v>
      </c>
    </row>
    <row r="918" spans="4:6" x14ac:dyDescent="0.2">
      <c r="D918" t="s">
        <v>23</v>
      </c>
      <c r="F918" t="s">
        <v>24</v>
      </c>
    </row>
    <row r="919" spans="4:6" x14ac:dyDescent="0.2">
      <c r="D919" t="s">
        <v>19</v>
      </c>
      <c r="F919" t="s">
        <v>37</v>
      </c>
    </row>
    <row r="920" spans="4:6" x14ac:dyDescent="0.2">
      <c r="D920" t="s">
        <v>12</v>
      </c>
      <c r="F920" t="s">
        <v>55</v>
      </c>
    </row>
    <row r="921" spans="4:6" x14ac:dyDescent="0.2">
      <c r="D921" t="s">
        <v>40</v>
      </c>
      <c r="F921" t="s">
        <v>38</v>
      </c>
    </row>
    <row r="922" spans="4:6" x14ac:dyDescent="0.2">
      <c r="D922" t="s">
        <v>27</v>
      </c>
      <c r="F922" t="s">
        <v>22</v>
      </c>
    </row>
    <row r="923" spans="4:6" x14ac:dyDescent="0.2">
      <c r="D923" t="s">
        <v>28</v>
      </c>
      <c r="F923" t="s">
        <v>21</v>
      </c>
    </row>
    <row r="924" spans="4:6" x14ac:dyDescent="0.2">
      <c r="D924" t="s">
        <v>37</v>
      </c>
      <c r="F924" t="s">
        <v>25</v>
      </c>
    </row>
    <row r="925" spans="4:6" x14ac:dyDescent="0.2">
      <c r="D925" t="s">
        <v>34</v>
      </c>
      <c r="F925" t="s">
        <v>12</v>
      </c>
    </row>
    <row r="926" spans="4:6" x14ac:dyDescent="0.2">
      <c r="D926" t="s">
        <v>19</v>
      </c>
      <c r="F926" t="s">
        <v>11</v>
      </c>
    </row>
    <row r="927" spans="4:6" x14ac:dyDescent="0.2">
      <c r="D927" t="s">
        <v>17</v>
      </c>
      <c r="F927" t="s">
        <v>13</v>
      </c>
    </row>
    <row r="928" spans="4:6" x14ac:dyDescent="0.2">
      <c r="D928" t="s">
        <v>30</v>
      </c>
      <c r="F928" t="s">
        <v>18</v>
      </c>
    </row>
    <row r="929" spans="4:6" x14ac:dyDescent="0.2">
      <c r="D929" t="s">
        <v>10</v>
      </c>
      <c r="F929" t="s">
        <v>29</v>
      </c>
    </row>
    <row r="930" spans="4:6" x14ac:dyDescent="0.2">
      <c r="D930" t="s">
        <v>27</v>
      </c>
      <c r="F930" t="s">
        <v>15</v>
      </c>
    </row>
    <row r="931" spans="4:6" x14ac:dyDescent="0.2">
      <c r="D931" t="s">
        <v>26</v>
      </c>
      <c r="F931" t="s">
        <v>36</v>
      </c>
    </row>
    <row r="932" spans="4:6" x14ac:dyDescent="0.2">
      <c r="D932" t="s">
        <v>24</v>
      </c>
      <c r="F932" t="s">
        <v>14</v>
      </c>
    </row>
    <row r="933" spans="4:6" x14ac:dyDescent="0.2">
      <c r="D933" t="s">
        <v>16</v>
      </c>
      <c r="F933" t="s">
        <v>33</v>
      </c>
    </row>
    <row r="934" spans="4:6" x14ac:dyDescent="0.2">
      <c r="D934" t="s">
        <v>32</v>
      </c>
      <c r="F934" t="s">
        <v>35</v>
      </c>
    </row>
    <row r="935" spans="4:6" x14ac:dyDescent="0.2">
      <c r="D935" t="s">
        <v>40</v>
      </c>
      <c r="F935" t="s">
        <v>31</v>
      </c>
    </row>
    <row r="936" spans="4:6" x14ac:dyDescent="0.2">
      <c r="D936" t="s">
        <v>23</v>
      </c>
      <c r="F936" t="s">
        <v>11</v>
      </c>
    </row>
    <row r="937" spans="4:6" x14ac:dyDescent="0.2">
      <c r="D937" t="s">
        <v>34</v>
      </c>
      <c r="F937" t="s">
        <v>55</v>
      </c>
    </row>
    <row r="938" spans="4:6" x14ac:dyDescent="0.2">
      <c r="D938" t="s">
        <v>20</v>
      </c>
      <c r="F938" t="s">
        <v>22</v>
      </c>
    </row>
    <row r="939" spans="4:6" x14ac:dyDescent="0.2">
      <c r="D939" t="s">
        <v>26</v>
      </c>
      <c r="F939" t="s">
        <v>25</v>
      </c>
    </row>
    <row r="940" spans="4:6" x14ac:dyDescent="0.2">
      <c r="D940" t="s">
        <v>30</v>
      </c>
      <c r="F940" t="s">
        <v>28</v>
      </c>
    </row>
    <row r="941" spans="4:6" x14ac:dyDescent="0.2">
      <c r="D941" t="s">
        <v>10</v>
      </c>
      <c r="F941" t="s">
        <v>12</v>
      </c>
    </row>
    <row r="942" spans="4:6" x14ac:dyDescent="0.2">
      <c r="D942" t="s">
        <v>29</v>
      </c>
      <c r="F942" t="s">
        <v>39</v>
      </c>
    </row>
    <row r="943" spans="4:6" x14ac:dyDescent="0.2">
      <c r="D943" t="s">
        <v>16</v>
      </c>
      <c r="F943" t="s">
        <v>13</v>
      </c>
    </row>
    <row r="944" spans="4:6" x14ac:dyDescent="0.2">
      <c r="D944" t="s">
        <v>22</v>
      </c>
      <c r="F944" t="s">
        <v>18</v>
      </c>
    </row>
    <row r="945" spans="4:6" x14ac:dyDescent="0.2">
      <c r="D945" t="s">
        <v>14</v>
      </c>
      <c r="F945" t="s">
        <v>15</v>
      </c>
    </row>
    <row r="946" spans="4:6" x14ac:dyDescent="0.2">
      <c r="D946" t="s">
        <v>21</v>
      </c>
      <c r="F946" t="s">
        <v>27</v>
      </c>
    </row>
    <row r="947" spans="4:6" x14ac:dyDescent="0.2">
      <c r="D947" t="s">
        <v>38</v>
      </c>
      <c r="F947" t="s">
        <v>32</v>
      </c>
    </row>
    <row r="948" spans="4:6" x14ac:dyDescent="0.2">
      <c r="D948" t="s">
        <v>17</v>
      </c>
      <c r="F948" t="s">
        <v>33</v>
      </c>
    </row>
    <row r="949" spans="4:6" x14ac:dyDescent="0.2">
      <c r="D949" t="s">
        <v>24</v>
      </c>
      <c r="F949" t="s">
        <v>35</v>
      </c>
    </row>
    <row r="950" spans="4:6" x14ac:dyDescent="0.2">
      <c r="D950" t="s">
        <v>23</v>
      </c>
      <c r="F950" t="s">
        <v>37</v>
      </c>
    </row>
    <row r="951" spans="4:6" x14ac:dyDescent="0.2">
      <c r="D951" t="s">
        <v>36</v>
      </c>
      <c r="F951" t="s">
        <v>19</v>
      </c>
    </row>
    <row r="952" spans="4:6" x14ac:dyDescent="0.2">
      <c r="D952" t="s">
        <v>16</v>
      </c>
      <c r="F952" t="s">
        <v>31</v>
      </c>
    </row>
    <row r="953" spans="4:6" x14ac:dyDescent="0.2">
      <c r="D953" t="s">
        <v>35</v>
      </c>
      <c r="F953" t="s">
        <v>34</v>
      </c>
    </row>
    <row r="954" spans="4:6" x14ac:dyDescent="0.2">
      <c r="D954" t="s">
        <v>11</v>
      </c>
      <c r="F954" t="s">
        <v>30</v>
      </c>
    </row>
    <row r="955" spans="4:6" x14ac:dyDescent="0.2">
      <c r="D955" t="s">
        <v>20</v>
      </c>
      <c r="F955" t="s">
        <v>14</v>
      </c>
    </row>
    <row r="956" spans="4:6" x14ac:dyDescent="0.2">
      <c r="D956" t="s">
        <v>40</v>
      </c>
      <c r="F956" t="s">
        <v>33</v>
      </c>
    </row>
    <row r="957" spans="4:6" x14ac:dyDescent="0.2">
      <c r="D957" t="s">
        <v>10</v>
      </c>
      <c r="F957" t="s">
        <v>55</v>
      </c>
    </row>
    <row r="958" spans="4:6" x14ac:dyDescent="0.2">
      <c r="D958" t="s">
        <v>12</v>
      </c>
      <c r="F958" t="s">
        <v>13</v>
      </c>
    </row>
    <row r="959" spans="4:6" x14ac:dyDescent="0.2">
      <c r="D959" t="s">
        <v>26</v>
      </c>
      <c r="F959" t="s">
        <v>29</v>
      </c>
    </row>
    <row r="960" spans="4:6" x14ac:dyDescent="0.2">
      <c r="D960" t="s">
        <v>28</v>
      </c>
      <c r="F960" t="s">
        <v>15</v>
      </c>
    </row>
    <row r="961" spans="4:6" x14ac:dyDescent="0.2">
      <c r="D961" t="s">
        <v>25</v>
      </c>
      <c r="F961" t="s">
        <v>32</v>
      </c>
    </row>
    <row r="962" spans="4:6" x14ac:dyDescent="0.2">
      <c r="D962" t="s">
        <v>27</v>
      </c>
      <c r="F962" t="s">
        <v>19</v>
      </c>
    </row>
    <row r="963" spans="4:6" x14ac:dyDescent="0.2">
      <c r="D963" t="s">
        <v>39</v>
      </c>
      <c r="F963" t="s">
        <v>38</v>
      </c>
    </row>
    <row r="964" spans="4:6" x14ac:dyDescent="0.2">
      <c r="D964" t="s">
        <v>12</v>
      </c>
      <c r="F964" t="s">
        <v>31</v>
      </c>
    </row>
    <row r="965" spans="4:6" x14ac:dyDescent="0.2">
      <c r="D965" t="s">
        <v>14</v>
      </c>
      <c r="F965" t="s">
        <v>21</v>
      </c>
    </row>
    <row r="966" spans="4:6" x14ac:dyDescent="0.2">
      <c r="D966" t="s">
        <v>20</v>
      </c>
      <c r="F966" t="s">
        <v>23</v>
      </c>
    </row>
    <row r="967" spans="4:6" x14ac:dyDescent="0.2">
      <c r="D967" t="s">
        <v>29</v>
      </c>
      <c r="F967" t="s">
        <v>28</v>
      </c>
    </row>
    <row r="968" spans="4:6" x14ac:dyDescent="0.2">
      <c r="D968" t="s">
        <v>39</v>
      </c>
      <c r="F968" t="s">
        <v>16</v>
      </c>
    </row>
    <row r="969" spans="4:6" x14ac:dyDescent="0.2">
      <c r="D969" t="s">
        <v>36</v>
      </c>
      <c r="F969" t="s">
        <v>17</v>
      </c>
    </row>
    <row r="970" spans="4:6" x14ac:dyDescent="0.2">
      <c r="D970" t="s">
        <v>37</v>
      </c>
      <c r="F970" t="s">
        <v>34</v>
      </c>
    </row>
    <row r="971" spans="4:6" x14ac:dyDescent="0.2">
      <c r="D971" t="s">
        <v>11</v>
      </c>
      <c r="F971" t="s">
        <v>24</v>
      </c>
    </row>
    <row r="972" spans="4:6" x14ac:dyDescent="0.2">
      <c r="D972" t="s">
        <v>18</v>
      </c>
      <c r="F972" t="s">
        <v>33</v>
      </c>
    </row>
    <row r="973" spans="4:6" x14ac:dyDescent="0.2">
      <c r="D973" t="s">
        <v>10</v>
      </c>
      <c r="F973" t="s">
        <v>40</v>
      </c>
    </row>
    <row r="974" spans="4:6" x14ac:dyDescent="0.2">
      <c r="D974" t="s">
        <v>55</v>
      </c>
      <c r="F974" t="s">
        <v>22</v>
      </c>
    </row>
    <row r="975" spans="4:6" x14ac:dyDescent="0.2">
      <c r="D975" t="s">
        <v>30</v>
      </c>
      <c r="F975" t="s">
        <v>31</v>
      </c>
    </row>
    <row r="976" spans="4:6" x14ac:dyDescent="0.2">
      <c r="D976" t="s">
        <v>20</v>
      </c>
      <c r="F976" t="s">
        <v>26</v>
      </c>
    </row>
    <row r="977" spans="4:6" x14ac:dyDescent="0.2">
      <c r="D977" t="s">
        <v>19</v>
      </c>
      <c r="F977" t="s">
        <v>24</v>
      </c>
    </row>
    <row r="978" spans="4:6" x14ac:dyDescent="0.2">
      <c r="D978" t="s">
        <v>35</v>
      </c>
      <c r="F978" t="s">
        <v>32</v>
      </c>
    </row>
    <row r="979" spans="4:6" x14ac:dyDescent="0.2">
      <c r="D979" t="s">
        <v>25</v>
      </c>
      <c r="F979" t="s">
        <v>38</v>
      </c>
    </row>
    <row r="980" spans="4:6" x14ac:dyDescent="0.2">
      <c r="D980" t="s">
        <v>11</v>
      </c>
      <c r="F980" t="s">
        <v>28</v>
      </c>
    </row>
    <row r="981" spans="4:6" x14ac:dyDescent="0.2">
      <c r="D981" t="s">
        <v>36</v>
      </c>
      <c r="F981" t="s">
        <v>16</v>
      </c>
    </row>
    <row r="982" spans="4:6" x14ac:dyDescent="0.2">
      <c r="D982" t="s">
        <v>30</v>
      </c>
      <c r="F982" t="s">
        <v>13</v>
      </c>
    </row>
    <row r="983" spans="4:6" x14ac:dyDescent="0.2">
      <c r="D983" t="s">
        <v>21</v>
      </c>
      <c r="F983" t="s">
        <v>29</v>
      </c>
    </row>
    <row r="984" spans="4:6" x14ac:dyDescent="0.2">
      <c r="D984" t="s">
        <v>19</v>
      </c>
      <c r="F984" t="s">
        <v>15</v>
      </c>
    </row>
    <row r="985" spans="4:6" x14ac:dyDescent="0.2">
      <c r="D985" t="s">
        <v>55</v>
      </c>
      <c r="F985" t="s">
        <v>27</v>
      </c>
    </row>
    <row r="986" spans="4:6" x14ac:dyDescent="0.2">
      <c r="D986" t="s">
        <v>23</v>
      </c>
      <c r="F986" t="s">
        <v>14</v>
      </c>
    </row>
    <row r="987" spans="4:6" x14ac:dyDescent="0.2">
      <c r="D987" t="s">
        <v>37</v>
      </c>
      <c r="F987" t="s">
        <v>40</v>
      </c>
    </row>
    <row r="988" spans="4:6" x14ac:dyDescent="0.2">
      <c r="D988" t="s">
        <v>18</v>
      </c>
      <c r="F988" t="s">
        <v>31</v>
      </c>
    </row>
    <row r="989" spans="4:6" x14ac:dyDescent="0.2">
      <c r="D989" t="s">
        <v>38</v>
      </c>
      <c r="F989" t="s">
        <v>10</v>
      </c>
    </row>
    <row r="990" spans="4:6" x14ac:dyDescent="0.2">
      <c r="D990" t="s">
        <v>12</v>
      </c>
      <c r="F990" t="s">
        <v>39</v>
      </c>
    </row>
    <row r="991" spans="4:6" x14ac:dyDescent="0.2">
      <c r="D991" t="s">
        <v>11</v>
      </c>
      <c r="F991" t="s">
        <v>26</v>
      </c>
    </row>
    <row r="992" spans="4:6" x14ac:dyDescent="0.2">
      <c r="D992" t="s">
        <v>25</v>
      </c>
      <c r="F992" t="s">
        <v>17</v>
      </c>
    </row>
    <row r="993" spans="4:6" x14ac:dyDescent="0.2">
      <c r="D993" t="s">
        <v>35</v>
      </c>
      <c r="F993" t="s">
        <v>33</v>
      </c>
    </row>
    <row r="994" spans="4:6" x14ac:dyDescent="0.2">
      <c r="D994" t="s">
        <v>34</v>
      </c>
      <c r="F994" t="s">
        <v>20</v>
      </c>
    </row>
    <row r="995" spans="4:6" x14ac:dyDescent="0.2">
      <c r="D995" t="s">
        <v>22</v>
      </c>
      <c r="F995" t="s">
        <v>21</v>
      </c>
    </row>
    <row r="996" spans="4:6" x14ac:dyDescent="0.2">
      <c r="D996" t="s">
        <v>29</v>
      </c>
      <c r="F996" t="s">
        <v>23</v>
      </c>
    </row>
    <row r="997" spans="4:6" x14ac:dyDescent="0.2">
      <c r="D997" t="s">
        <v>55</v>
      </c>
      <c r="F997" t="s">
        <v>28</v>
      </c>
    </row>
    <row r="998" spans="4:6" x14ac:dyDescent="0.2">
      <c r="D998" t="s">
        <v>25</v>
      </c>
      <c r="F998" t="s">
        <v>16</v>
      </c>
    </row>
    <row r="999" spans="4:6" x14ac:dyDescent="0.2">
      <c r="D999" t="s">
        <v>18</v>
      </c>
      <c r="F999" t="s">
        <v>13</v>
      </c>
    </row>
    <row r="1000" spans="4:6" x14ac:dyDescent="0.2">
      <c r="D1000" t="s">
        <v>15</v>
      </c>
      <c r="F1000" t="s">
        <v>24</v>
      </c>
    </row>
    <row r="1001" spans="4:6" x14ac:dyDescent="0.2">
      <c r="D1001" t="s">
        <v>27</v>
      </c>
      <c r="F1001" t="s">
        <v>14</v>
      </c>
    </row>
    <row r="1002" spans="4:6" x14ac:dyDescent="0.2">
      <c r="D1002" t="s">
        <v>36</v>
      </c>
      <c r="F1002" t="s">
        <v>32</v>
      </c>
    </row>
    <row r="1003" spans="4:6" x14ac:dyDescent="0.2">
      <c r="D1003" t="s">
        <v>30</v>
      </c>
      <c r="F1003" t="s">
        <v>33</v>
      </c>
    </row>
    <row r="1004" spans="4:6" x14ac:dyDescent="0.2">
      <c r="D1004" t="s">
        <v>37</v>
      </c>
      <c r="F1004" t="s">
        <v>19</v>
      </c>
    </row>
    <row r="1005" spans="4:6" x14ac:dyDescent="0.2">
      <c r="D1005" t="s">
        <v>38</v>
      </c>
      <c r="F1005" t="s">
        <v>40</v>
      </c>
    </row>
    <row r="1006" spans="4:6" x14ac:dyDescent="0.2">
      <c r="D1006" t="s">
        <v>35</v>
      </c>
      <c r="F1006" t="s">
        <v>31</v>
      </c>
    </row>
    <row r="1007" spans="4:6" x14ac:dyDescent="0.2">
      <c r="D1007" t="s">
        <v>37</v>
      </c>
      <c r="F1007" t="s">
        <v>23</v>
      </c>
    </row>
    <row r="1008" spans="4:6" x14ac:dyDescent="0.2">
      <c r="D1008" t="s">
        <v>34</v>
      </c>
      <c r="F1008" t="s">
        <v>12</v>
      </c>
    </row>
    <row r="1009" spans="4:6" x14ac:dyDescent="0.2">
      <c r="D1009" t="s">
        <v>10</v>
      </c>
      <c r="F1009" t="s">
        <v>39</v>
      </c>
    </row>
    <row r="1010" spans="4:6" x14ac:dyDescent="0.2">
      <c r="D1010" t="s">
        <v>26</v>
      </c>
      <c r="F1010" t="s">
        <v>24</v>
      </c>
    </row>
    <row r="1011" spans="4:6" x14ac:dyDescent="0.2">
      <c r="D1011" t="s">
        <v>21</v>
      </c>
      <c r="F1011" t="s">
        <v>14</v>
      </c>
    </row>
    <row r="1012" spans="4:6" x14ac:dyDescent="0.2">
      <c r="D1012" t="s">
        <v>17</v>
      </c>
      <c r="F1012" t="s">
        <v>20</v>
      </c>
    </row>
    <row r="1013" spans="4:6" x14ac:dyDescent="0.2">
      <c r="D1013" t="s">
        <v>55</v>
      </c>
      <c r="F1013" t="s">
        <v>10</v>
      </c>
    </row>
    <row r="1014" spans="4:6" x14ac:dyDescent="0.2">
      <c r="D1014" t="s">
        <v>15</v>
      </c>
      <c r="F1014" t="s">
        <v>27</v>
      </c>
    </row>
    <row r="1015" spans="4:6" x14ac:dyDescent="0.2">
      <c r="D1015" t="s">
        <v>36</v>
      </c>
      <c r="F1015" t="s">
        <v>38</v>
      </c>
    </row>
    <row r="1016" spans="4:6" x14ac:dyDescent="0.2">
      <c r="D1016" t="s">
        <v>16</v>
      </c>
      <c r="F1016" t="s">
        <v>22</v>
      </c>
    </row>
    <row r="1017" spans="4:6" x14ac:dyDescent="0.2">
      <c r="D1017" t="s">
        <v>13</v>
      </c>
      <c r="F1017" t="s">
        <v>21</v>
      </c>
    </row>
    <row r="1018" spans="4:6" x14ac:dyDescent="0.2">
      <c r="D1018" t="s">
        <v>33</v>
      </c>
      <c r="F1018" t="s">
        <v>23</v>
      </c>
    </row>
    <row r="1019" spans="4:6" x14ac:dyDescent="0.2">
      <c r="D1019" t="s">
        <v>14</v>
      </c>
      <c r="F1019" t="s">
        <v>25</v>
      </c>
    </row>
    <row r="1020" spans="4:6" x14ac:dyDescent="0.2">
      <c r="D1020" t="s">
        <v>17</v>
      </c>
      <c r="F1020" t="s">
        <v>12</v>
      </c>
    </row>
    <row r="1021" spans="4:6" x14ac:dyDescent="0.2">
      <c r="D1021" t="s">
        <v>20</v>
      </c>
      <c r="F1021" t="s">
        <v>39</v>
      </c>
    </row>
    <row r="1022" spans="4:6" x14ac:dyDescent="0.2">
      <c r="D1022" t="s">
        <v>26</v>
      </c>
      <c r="F1022" t="s">
        <v>11</v>
      </c>
    </row>
    <row r="1023" spans="4:6" x14ac:dyDescent="0.2">
      <c r="D1023" t="s">
        <v>55</v>
      </c>
      <c r="F1023" t="s">
        <v>34</v>
      </c>
    </row>
    <row r="1024" spans="4:6" x14ac:dyDescent="0.2">
      <c r="D1024" t="s">
        <v>19</v>
      </c>
      <c r="F1024" t="s">
        <v>18</v>
      </c>
    </row>
    <row r="1025" spans="4:6" x14ac:dyDescent="0.2">
      <c r="D1025" t="s">
        <v>16</v>
      </c>
      <c r="F1025" t="s">
        <v>15</v>
      </c>
    </row>
    <row r="1026" spans="4:6" x14ac:dyDescent="0.2">
      <c r="D1026" t="s">
        <v>29</v>
      </c>
      <c r="F1026" t="s">
        <v>32</v>
      </c>
    </row>
    <row r="1027" spans="4:6" x14ac:dyDescent="0.2">
      <c r="D1027" t="s">
        <v>30</v>
      </c>
      <c r="F1027" t="s">
        <v>35</v>
      </c>
    </row>
    <row r="1028" spans="4:6" x14ac:dyDescent="0.2">
      <c r="D1028" t="s">
        <v>28</v>
      </c>
      <c r="F1028" t="s">
        <v>37</v>
      </c>
    </row>
    <row r="1029" spans="4:6" x14ac:dyDescent="0.2">
      <c r="D1029" t="s">
        <v>31</v>
      </c>
      <c r="F1029" t="s">
        <v>40</v>
      </c>
    </row>
    <row r="1030" spans="4:6" x14ac:dyDescent="0.2">
      <c r="D1030" t="s">
        <v>18</v>
      </c>
      <c r="F1030" t="s">
        <v>36</v>
      </c>
    </row>
    <row r="1031" spans="4:6" x14ac:dyDescent="0.2">
      <c r="D1031" t="s">
        <v>22</v>
      </c>
      <c r="F1031" t="s">
        <v>27</v>
      </c>
    </row>
    <row r="1032" spans="4:6" x14ac:dyDescent="0.2">
      <c r="D1032" t="s">
        <v>33</v>
      </c>
      <c r="F1032" t="s">
        <v>21</v>
      </c>
    </row>
    <row r="1033" spans="4:6" x14ac:dyDescent="0.2">
      <c r="D1033" t="s">
        <v>22</v>
      </c>
      <c r="F1033" t="s">
        <v>23</v>
      </c>
    </row>
    <row r="1034" spans="4:6" x14ac:dyDescent="0.2">
      <c r="D1034" t="s">
        <v>35</v>
      </c>
      <c r="F1034" t="s">
        <v>25</v>
      </c>
    </row>
    <row r="1035" spans="4:6" x14ac:dyDescent="0.2">
      <c r="D1035" t="s">
        <v>17</v>
      </c>
      <c r="F1035" t="s">
        <v>39</v>
      </c>
    </row>
    <row r="1036" spans="4:6" x14ac:dyDescent="0.2">
      <c r="D1036" t="s">
        <v>28</v>
      </c>
      <c r="F1036" t="s">
        <v>11</v>
      </c>
    </row>
    <row r="1037" spans="4:6" x14ac:dyDescent="0.2">
      <c r="D1037" t="s">
        <v>27</v>
      </c>
      <c r="F1037" t="s">
        <v>34</v>
      </c>
    </row>
    <row r="1038" spans="4:6" x14ac:dyDescent="0.2">
      <c r="D1038" t="s">
        <v>16</v>
      </c>
      <c r="F1038" t="s">
        <v>24</v>
      </c>
    </row>
    <row r="1039" spans="4:6" x14ac:dyDescent="0.2">
      <c r="D1039" t="s">
        <v>12</v>
      </c>
      <c r="F1039" t="s">
        <v>32</v>
      </c>
    </row>
    <row r="1040" spans="4:6" x14ac:dyDescent="0.2">
      <c r="D1040" t="s">
        <v>26</v>
      </c>
      <c r="F1040" t="s">
        <v>37</v>
      </c>
    </row>
    <row r="1041" spans="4:6" x14ac:dyDescent="0.2">
      <c r="D1041" t="s">
        <v>31</v>
      </c>
      <c r="F1041" t="s">
        <v>19</v>
      </c>
    </row>
    <row r="1042" spans="4:6" x14ac:dyDescent="0.2">
      <c r="D1042" t="s">
        <v>10</v>
      </c>
      <c r="F1042" t="s">
        <v>55</v>
      </c>
    </row>
    <row r="1043" spans="4:6" x14ac:dyDescent="0.2">
      <c r="D1043" t="s">
        <v>29</v>
      </c>
      <c r="F1043" t="s">
        <v>38</v>
      </c>
    </row>
    <row r="1044" spans="4:6" x14ac:dyDescent="0.2">
      <c r="D1044" t="s">
        <v>14</v>
      </c>
      <c r="F1044" t="s">
        <v>20</v>
      </c>
    </row>
    <row r="1045" spans="4:6" x14ac:dyDescent="0.2">
      <c r="D1045" t="s">
        <v>15</v>
      </c>
      <c r="F1045" t="s">
        <v>40</v>
      </c>
    </row>
    <row r="1046" spans="4:6" x14ac:dyDescent="0.2">
      <c r="D1046" t="s">
        <v>13</v>
      </c>
      <c r="F1046" t="s">
        <v>30</v>
      </c>
    </row>
    <row r="1047" spans="4:6" x14ac:dyDescent="0.2">
      <c r="D1047" t="s">
        <v>17</v>
      </c>
      <c r="F1047" t="s">
        <v>35</v>
      </c>
    </row>
    <row r="1048" spans="4:6" x14ac:dyDescent="0.2">
      <c r="D1048" t="s">
        <v>19</v>
      </c>
      <c r="F1048" t="s">
        <v>23</v>
      </c>
    </row>
    <row r="1049" spans="4:6" x14ac:dyDescent="0.2">
      <c r="D1049" t="s">
        <v>26</v>
      </c>
      <c r="F1049" t="s">
        <v>39</v>
      </c>
    </row>
    <row r="1050" spans="4:6" x14ac:dyDescent="0.2">
      <c r="D1050" t="s">
        <v>15</v>
      </c>
      <c r="F1050" t="s">
        <v>34</v>
      </c>
    </row>
    <row r="1051" spans="4:6" x14ac:dyDescent="0.2">
      <c r="D1051" t="s">
        <v>33</v>
      </c>
      <c r="F1051" t="s">
        <v>18</v>
      </c>
    </row>
    <row r="1052" spans="4:6" x14ac:dyDescent="0.2">
      <c r="D1052" t="s">
        <v>13</v>
      </c>
      <c r="F1052" t="s">
        <v>24</v>
      </c>
    </row>
    <row r="1053" spans="4:6" x14ac:dyDescent="0.2">
      <c r="D1053" t="s">
        <v>16</v>
      </c>
      <c r="F1053" t="s">
        <v>30</v>
      </c>
    </row>
    <row r="1054" spans="4:6" x14ac:dyDescent="0.2">
      <c r="D1054" t="s">
        <v>31</v>
      </c>
      <c r="F1054" t="s">
        <v>36</v>
      </c>
    </row>
    <row r="1055" spans="4:6" x14ac:dyDescent="0.2">
      <c r="D1055" t="s">
        <v>28</v>
      </c>
      <c r="F1055" t="s">
        <v>27</v>
      </c>
    </row>
    <row r="1056" spans="4:6" x14ac:dyDescent="0.2">
      <c r="D1056" t="s">
        <v>25</v>
      </c>
      <c r="F1056" t="s">
        <v>37</v>
      </c>
    </row>
    <row r="1057" spans="4:6" x14ac:dyDescent="0.2">
      <c r="D1057" t="s">
        <v>14</v>
      </c>
      <c r="F1057" t="s">
        <v>55</v>
      </c>
    </row>
    <row r="1058" spans="4:6" x14ac:dyDescent="0.2">
      <c r="D1058" t="s">
        <v>32</v>
      </c>
      <c r="F1058" t="s">
        <v>38</v>
      </c>
    </row>
    <row r="1059" spans="4:6" x14ac:dyDescent="0.2">
      <c r="D1059" t="s">
        <v>10</v>
      </c>
      <c r="F1059" t="s">
        <v>20</v>
      </c>
    </row>
    <row r="1060" spans="4:6" x14ac:dyDescent="0.2">
      <c r="D1060" t="s">
        <v>12</v>
      </c>
      <c r="F1060" t="s">
        <v>40</v>
      </c>
    </row>
    <row r="1061" spans="4:6" x14ac:dyDescent="0.2">
      <c r="D1061" t="s">
        <v>21</v>
      </c>
      <c r="F1061" t="s">
        <v>22</v>
      </c>
    </row>
    <row r="1062" spans="4:6" x14ac:dyDescent="0.2">
      <c r="D1062" t="s">
        <v>29</v>
      </c>
      <c r="F1062" t="s">
        <v>17</v>
      </c>
    </row>
    <row r="1063" spans="4:6" x14ac:dyDescent="0.2">
      <c r="D1063" t="s">
        <v>19</v>
      </c>
      <c r="F1063" t="s">
        <v>34</v>
      </c>
    </row>
    <row r="1064" spans="4:6" x14ac:dyDescent="0.2">
      <c r="D1064" t="s">
        <v>31</v>
      </c>
      <c r="F1064" t="s">
        <v>18</v>
      </c>
    </row>
    <row r="1065" spans="4:6" x14ac:dyDescent="0.2">
      <c r="D1065" t="s">
        <v>33</v>
      </c>
      <c r="F1065" t="s">
        <v>36</v>
      </c>
    </row>
    <row r="1066" spans="4:6" x14ac:dyDescent="0.2">
      <c r="D1066" t="s">
        <v>11</v>
      </c>
      <c r="F1066" t="s">
        <v>32</v>
      </c>
    </row>
    <row r="1067" spans="4:6" x14ac:dyDescent="0.2">
      <c r="D1067" t="s">
        <v>35</v>
      </c>
      <c r="F1067" t="s">
        <v>40</v>
      </c>
    </row>
    <row r="1068" spans="4:6" x14ac:dyDescent="0.2">
      <c r="D1068" t="s">
        <v>14</v>
      </c>
      <c r="F1068" t="s">
        <v>12</v>
      </c>
    </row>
    <row r="1069" spans="4:6" x14ac:dyDescent="0.2">
      <c r="D1069" t="s">
        <v>55</v>
      </c>
      <c r="F1069" t="s">
        <v>39</v>
      </c>
    </row>
    <row r="1070" spans="4:6" x14ac:dyDescent="0.2">
      <c r="D1070" t="s">
        <v>16</v>
      </c>
      <c r="F1070" t="s">
        <v>26</v>
      </c>
    </row>
    <row r="1071" spans="4:6" x14ac:dyDescent="0.2">
      <c r="D1071" t="s">
        <v>21</v>
      </c>
      <c r="F1071" t="s">
        <v>24</v>
      </c>
    </row>
    <row r="1072" spans="4:6" x14ac:dyDescent="0.2">
      <c r="D1072" t="s">
        <v>13</v>
      </c>
      <c r="F1072" t="s">
        <v>15</v>
      </c>
    </row>
    <row r="1073" spans="4:6" x14ac:dyDescent="0.2">
      <c r="D1073" t="s">
        <v>25</v>
      </c>
      <c r="F1073" t="s">
        <v>28</v>
      </c>
    </row>
    <row r="1074" spans="4:6" x14ac:dyDescent="0.2">
      <c r="D1074" t="s">
        <v>34</v>
      </c>
      <c r="F1074" t="s">
        <v>10</v>
      </c>
    </row>
    <row r="1075" spans="4:6" x14ac:dyDescent="0.2">
      <c r="D1075" t="s">
        <v>33</v>
      </c>
      <c r="F1075" t="s">
        <v>17</v>
      </c>
    </row>
    <row r="1076" spans="4:6" x14ac:dyDescent="0.2">
      <c r="D1076" t="s">
        <v>21</v>
      </c>
      <c r="F1076" t="s">
        <v>18</v>
      </c>
    </row>
    <row r="1077" spans="4:6" x14ac:dyDescent="0.2">
      <c r="D1077" t="s">
        <v>37</v>
      </c>
      <c r="F1077" t="s">
        <v>32</v>
      </c>
    </row>
    <row r="1078" spans="4:6" x14ac:dyDescent="0.2">
      <c r="D1078" t="s">
        <v>30</v>
      </c>
      <c r="F1078" t="s">
        <v>19</v>
      </c>
    </row>
    <row r="1079" spans="4:6" x14ac:dyDescent="0.2">
      <c r="D1079" t="s">
        <v>11</v>
      </c>
      <c r="F1079" t="s">
        <v>38</v>
      </c>
    </row>
    <row r="1080" spans="4:6" x14ac:dyDescent="0.2">
      <c r="D1080" t="s">
        <v>23</v>
      </c>
      <c r="F1080" t="s">
        <v>20</v>
      </c>
    </row>
    <row r="1081" spans="4:6" x14ac:dyDescent="0.2">
      <c r="D1081" t="s">
        <v>29</v>
      </c>
      <c r="F1081" t="s">
        <v>40</v>
      </c>
    </row>
    <row r="1082" spans="4:6" x14ac:dyDescent="0.2">
      <c r="D1082" t="s">
        <v>27</v>
      </c>
      <c r="F1082" t="s">
        <v>31</v>
      </c>
    </row>
    <row r="1083" spans="4:6" x14ac:dyDescent="0.2">
      <c r="D1083" t="s">
        <v>14</v>
      </c>
      <c r="F1083" t="s">
        <v>25</v>
      </c>
    </row>
    <row r="1084" spans="4:6" x14ac:dyDescent="0.2">
      <c r="D1084" t="s">
        <v>35</v>
      </c>
      <c r="F1084" t="s">
        <v>16</v>
      </c>
    </row>
    <row r="1085" spans="4:6" x14ac:dyDescent="0.2">
      <c r="D1085" t="s">
        <v>39</v>
      </c>
      <c r="F1085" t="s">
        <v>12</v>
      </c>
    </row>
    <row r="1086" spans="4:6" x14ac:dyDescent="0.2">
      <c r="D1086" t="s">
        <v>24</v>
      </c>
      <c r="F1086" t="s">
        <v>15</v>
      </c>
    </row>
    <row r="1087" spans="4:6" x14ac:dyDescent="0.2">
      <c r="D1087" t="s">
        <v>36</v>
      </c>
      <c r="F1087" t="s">
        <v>22</v>
      </c>
    </row>
    <row r="1088" spans="4:6" x14ac:dyDescent="0.2">
      <c r="D1088" t="s">
        <v>40</v>
      </c>
      <c r="F1088" t="s">
        <v>21</v>
      </c>
    </row>
    <row r="1089" spans="4:6" x14ac:dyDescent="0.2">
      <c r="D1089" t="s">
        <v>15</v>
      </c>
      <c r="F1089" t="s">
        <v>28</v>
      </c>
    </row>
    <row r="1090" spans="4:6" x14ac:dyDescent="0.2">
      <c r="D1090" t="s">
        <v>18</v>
      </c>
      <c r="F1090" t="s">
        <v>26</v>
      </c>
    </row>
    <row r="1091" spans="4:6" x14ac:dyDescent="0.2">
      <c r="D1091" t="s">
        <v>11</v>
      </c>
      <c r="F1091" t="s">
        <v>17</v>
      </c>
    </row>
    <row r="1092" spans="4:6" x14ac:dyDescent="0.2">
      <c r="D1092" t="s">
        <v>27</v>
      </c>
      <c r="F1092" t="s">
        <v>13</v>
      </c>
    </row>
    <row r="1093" spans="4:6" x14ac:dyDescent="0.2">
      <c r="D1093" t="s">
        <v>10</v>
      </c>
      <c r="F1093" t="s">
        <v>34</v>
      </c>
    </row>
    <row r="1094" spans="4:6" x14ac:dyDescent="0.2">
      <c r="D1094" t="s">
        <v>32</v>
      </c>
      <c r="F1094" t="s">
        <v>29</v>
      </c>
    </row>
    <row r="1095" spans="4:6" x14ac:dyDescent="0.2">
      <c r="D1095" t="s">
        <v>30</v>
      </c>
      <c r="F1095" t="s">
        <v>36</v>
      </c>
    </row>
    <row r="1096" spans="4:6" x14ac:dyDescent="0.2">
      <c r="D1096" t="s">
        <v>23</v>
      </c>
      <c r="F1096" t="s">
        <v>33</v>
      </c>
    </row>
    <row r="1097" spans="4:6" x14ac:dyDescent="0.2">
      <c r="D1097" t="s">
        <v>37</v>
      </c>
      <c r="F1097" t="s">
        <v>38</v>
      </c>
    </row>
    <row r="1098" spans="4:6" x14ac:dyDescent="0.2">
      <c r="D1098" t="s">
        <v>55</v>
      </c>
      <c r="F1098" t="s">
        <v>20</v>
      </c>
    </row>
    <row r="1099" spans="4:6" x14ac:dyDescent="0.2">
      <c r="D1099" t="s">
        <v>11</v>
      </c>
      <c r="F1099" t="s">
        <v>16</v>
      </c>
    </row>
    <row r="1100" spans="4:6" x14ac:dyDescent="0.2">
      <c r="D1100" t="s">
        <v>12</v>
      </c>
      <c r="F1100" t="s">
        <v>10</v>
      </c>
    </row>
    <row r="1101" spans="4:6" x14ac:dyDescent="0.2">
      <c r="D1101" t="s">
        <v>25</v>
      </c>
      <c r="F1101" t="s">
        <v>19</v>
      </c>
    </row>
    <row r="1102" spans="4:6" x14ac:dyDescent="0.2">
      <c r="D1102" t="s">
        <v>31</v>
      </c>
      <c r="F1102" t="s">
        <v>55</v>
      </c>
    </row>
    <row r="1103" spans="4:6" x14ac:dyDescent="0.2">
      <c r="D1103" t="s">
        <v>24</v>
      </c>
      <c r="F1103" t="s">
        <v>22</v>
      </c>
    </row>
    <row r="1104" spans="4:6" x14ac:dyDescent="0.2">
      <c r="D1104" t="s">
        <v>32</v>
      </c>
      <c r="F1104" t="s">
        <v>28</v>
      </c>
    </row>
    <row r="1105" spans="4:6" x14ac:dyDescent="0.2">
      <c r="D1105" t="s">
        <v>21</v>
      </c>
      <c r="F1105" t="s">
        <v>26</v>
      </c>
    </row>
    <row r="1106" spans="4:6" x14ac:dyDescent="0.2">
      <c r="D1106" t="s">
        <v>37</v>
      </c>
      <c r="F1106" t="s">
        <v>17</v>
      </c>
    </row>
    <row r="1107" spans="4:6" x14ac:dyDescent="0.2">
      <c r="D1107" t="s">
        <v>23</v>
      </c>
      <c r="F1107" t="s">
        <v>13</v>
      </c>
    </row>
    <row r="1108" spans="4:6" x14ac:dyDescent="0.2">
      <c r="D1108" t="s">
        <v>39</v>
      </c>
      <c r="F1108" t="s">
        <v>34</v>
      </c>
    </row>
    <row r="1109" spans="4:6" x14ac:dyDescent="0.2">
      <c r="D1109" t="s">
        <v>30</v>
      </c>
      <c r="F1109" t="s">
        <v>18</v>
      </c>
    </row>
    <row r="1110" spans="4:6" x14ac:dyDescent="0.2">
      <c r="D1110" t="s">
        <v>20</v>
      </c>
      <c r="F1110" t="s">
        <v>29</v>
      </c>
    </row>
    <row r="1111" spans="4:6" x14ac:dyDescent="0.2">
      <c r="D1111" t="s">
        <v>19</v>
      </c>
      <c r="F1111" t="s">
        <v>36</v>
      </c>
    </row>
    <row r="1112" spans="4:6" x14ac:dyDescent="0.2">
      <c r="D1112" t="s">
        <v>40</v>
      </c>
      <c r="F1112" t="s">
        <v>14</v>
      </c>
    </row>
    <row r="1113" spans="4:6" x14ac:dyDescent="0.2">
      <c r="D1113" t="s">
        <v>27</v>
      </c>
      <c r="F1113" t="s">
        <v>33</v>
      </c>
    </row>
    <row r="1114" spans="4:6" x14ac:dyDescent="0.2">
      <c r="D1114" t="s">
        <v>35</v>
      </c>
      <c r="F1114" t="s">
        <v>38</v>
      </c>
    </row>
    <row r="1115" spans="4:6" x14ac:dyDescent="0.2">
      <c r="D1115" t="s">
        <v>23</v>
      </c>
      <c r="F1115" t="s">
        <v>31</v>
      </c>
    </row>
    <row r="1116" spans="4:6" x14ac:dyDescent="0.2">
      <c r="D1116" t="s">
        <v>37</v>
      </c>
      <c r="F1116" t="s">
        <v>16</v>
      </c>
    </row>
    <row r="1117" spans="4:6" x14ac:dyDescent="0.2">
      <c r="D1117" t="s">
        <v>29</v>
      </c>
      <c r="F1117" t="s">
        <v>10</v>
      </c>
    </row>
    <row r="1118" spans="4:6" x14ac:dyDescent="0.2">
      <c r="D1118" t="s">
        <v>20</v>
      </c>
      <c r="F1118" t="s">
        <v>39</v>
      </c>
    </row>
    <row r="1119" spans="4:6" x14ac:dyDescent="0.2">
      <c r="D1119" t="s">
        <v>28</v>
      </c>
      <c r="F1119" t="s">
        <v>30</v>
      </c>
    </row>
    <row r="1120" spans="4:6" x14ac:dyDescent="0.2">
      <c r="D1120" t="s">
        <v>40</v>
      </c>
      <c r="F1120" t="s">
        <v>15</v>
      </c>
    </row>
    <row r="1121" spans="4:6" x14ac:dyDescent="0.2">
      <c r="D1121" t="s">
        <v>25</v>
      </c>
      <c r="F1121" t="s">
        <v>14</v>
      </c>
    </row>
    <row r="1122" spans="4:6" x14ac:dyDescent="0.2">
      <c r="D1122" t="s">
        <v>13</v>
      </c>
      <c r="F1122" t="s">
        <v>55</v>
      </c>
    </row>
    <row r="1123" spans="4:6" x14ac:dyDescent="0.2">
      <c r="D1123" t="s">
        <v>12</v>
      </c>
      <c r="F1123" t="s">
        <v>22</v>
      </c>
    </row>
    <row r="1124" spans="4:6" x14ac:dyDescent="0.2">
      <c r="D1124" t="s">
        <v>36</v>
      </c>
      <c r="F1124" t="s">
        <v>15</v>
      </c>
    </row>
    <row r="1125" spans="4:6" x14ac:dyDescent="0.2">
      <c r="D1125" t="s">
        <v>19</v>
      </c>
      <c r="F1125" t="s">
        <v>21</v>
      </c>
    </row>
    <row r="1126" spans="4:6" x14ac:dyDescent="0.2">
      <c r="D1126" t="s">
        <v>13</v>
      </c>
      <c r="F1126" t="s">
        <v>16</v>
      </c>
    </row>
    <row r="1127" spans="4:6" x14ac:dyDescent="0.2">
      <c r="D1127" t="s">
        <v>24</v>
      </c>
      <c r="F1127" t="s">
        <v>39</v>
      </c>
    </row>
    <row r="1128" spans="4:6" x14ac:dyDescent="0.2">
      <c r="D1128" t="s">
        <v>36</v>
      </c>
      <c r="F1128" t="s">
        <v>26</v>
      </c>
    </row>
    <row r="1129" spans="4:6" x14ac:dyDescent="0.2">
      <c r="D1129" t="s">
        <v>32</v>
      </c>
      <c r="F1129" t="s">
        <v>11</v>
      </c>
    </row>
    <row r="1130" spans="4:6" x14ac:dyDescent="0.2">
      <c r="D1130" t="s">
        <v>25</v>
      </c>
      <c r="F1130" t="s">
        <v>18</v>
      </c>
    </row>
    <row r="1131" spans="4:6" x14ac:dyDescent="0.2">
      <c r="D1131" t="s">
        <v>33</v>
      </c>
      <c r="F1131" t="s">
        <v>29</v>
      </c>
    </row>
    <row r="1132" spans="4:6" x14ac:dyDescent="0.2">
      <c r="D1132" t="s">
        <v>10</v>
      </c>
      <c r="F1132" t="s">
        <v>30</v>
      </c>
    </row>
    <row r="1133" spans="4:6" x14ac:dyDescent="0.2">
      <c r="D1133" t="s">
        <v>28</v>
      </c>
      <c r="F1133" t="s">
        <v>27</v>
      </c>
    </row>
    <row r="1134" spans="4:6" x14ac:dyDescent="0.2">
      <c r="D1134" t="s">
        <v>12</v>
      </c>
      <c r="F1134" t="s">
        <v>14</v>
      </c>
    </row>
    <row r="1135" spans="4:6" x14ac:dyDescent="0.2">
      <c r="D1135" t="s">
        <v>22</v>
      </c>
      <c r="F1135" t="s">
        <v>35</v>
      </c>
    </row>
    <row r="1136" spans="4:6" x14ac:dyDescent="0.2">
      <c r="D1136" t="s">
        <v>34</v>
      </c>
      <c r="F1136" t="s">
        <v>37</v>
      </c>
    </row>
    <row r="1137" spans="4:6" x14ac:dyDescent="0.2">
      <c r="D1137" t="s">
        <v>17</v>
      </c>
      <c r="F1137" t="s">
        <v>55</v>
      </c>
    </row>
    <row r="1138" spans="4:6" x14ac:dyDescent="0.2">
      <c r="D1138" t="s">
        <v>31</v>
      </c>
      <c r="F1138" t="s">
        <v>38</v>
      </c>
    </row>
    <row r="1139" spans="4:6" x14ac:dyDescent="0.2">
      <c r="D1139" t="s">
        <v>20</v>
      </c>
      <c r="F1139" t="s">
        <v>40</v>
      </c>
    </row>
    <row r="1140" spans="4:6" x14ac:dyDescent="0.2">
      <c r="D1140" t="s">
        <v>21</v>
      </c>
      <c r="F1140" t="s">
        <v>23</v>
      </c>
    </row>
    <row r="1141" spans="4:6" x14ac:dyDescent="0.2">
      <c r="D1141" t="s">
        <v>15</v>
      </c>
      <c r="F1141" t="s">
        <v>19</v>
      </c>
    </row>
    <row r="1142" spans="4:6" x14ac:dyDescent="0.2">
      <c r="D1142" t="s">
        <v>31</v>
      </c>
      <c r="F1142" t="s">
        <v>16</v>
      </c>
    </row>
    <row r="1143" spans="4:6" x14ac:dyDescent="0.2">
      <c r="D1143" t="s">
        <v>34</v>
      </c>
      <c r="F1143" t="s">
        <v>11</v>
      </c>
    </row>
    <row r="1144" spans="4:6" x14ac:dyDescent="0.2">
      <c r="D1144" t="s">
        <v>28</v>
      </c>
      <c r="F1144" t="s">
        <v>18</v>
      </c>
    </row>
    <row r="1145" spans="4:6" x14ac:dyDescent="0.2">
      <c r="D1145" t="s">
        <v>24</v>
      </c>
      <c r="F1145" t="s">
        <v>29</v>
      </c>
    </row>
    <row r="1146" spans="4:6" x14ac:dyDescent="0.2">
      <c r="D1146" t="s">
        <v>39</v>
      </c>
      <c r="F1146" t="s">
        <v>30</v>
      </c>
    </row>
    <row r="1147" spans="4:6" x14ac:dyDescent="0.2">
      <c r="D1147" t="s">
        <v>14</v>
      </c>
      <c r="F1147" t="s">
        <v>36</v>
      </c>
    </row>
    <row r="1148" spans="4:6" x14ac:dyDescent="0.2">
      <c r="D1148" t="s">
        <v>10</v>
      </c>
      <c r="F1148" t="s">
        <v>27</v>
      </c>
    </row>
    <row r="1149" spans="4:6" x14ac:dyDescent="0.2">
      <c r="D1149" t="s">
        <v>33</v>
      </c>
      <c r="F1149" t="s">
        <v>35</v>
      </c>
    </row>
    <row r="1150" spans="4:6" x14ac:dyDescent="0.2">
      <c r="D1150" t="s">
        <v>32</v>
      </c>
      <c r="F1150" t="s">
        <v>37</v>
      </c>
    </row>
    <row r="1151" spans="4:6" x14ac:dyDescent="0.2">
      <c r="D1151" t="s">
        <v>22</v>
      </c>
      <c r="F1151" t="s">
        <v>55</v>
      </c>
    </row>
    <row r="1152" spans="4:6" x14ac:dyDescent="0.2">
      <c r="D1152" t="s">
        <v>13</v>
      </c>
      <c r="F1152" t="s">
        <v>38</v>
      </c>
    </row>
    <row r="1153" spans="4:6" x14ac:dyDescent="0.2">
      <c r="D1153" t="s">
        <v>17</v>
      </c>
      <c r="F1153" t="s">
        <v>20</v>
      </c>
    </row>
    <row r="1154" spans="4:6" x14ac:dyDescent="0.2">
      <c r="D1154" t="s">
        <v>12</v>
      </c>
      <c r="F1154" t="s">
        <v>40</v>
      </c>
    </row>
    <row r="1155" spans="4:6" x14ac:dyDescent="0.2">
      <c r="D1155" t="s">
        <v>26</v>
      </c>
      <c r="F1155" t="s">
        <v>23</v>
      </c>
    </row>
    <row r="1156" spans="4:6" x14ac:dyDescent="0.2">
      <c r="D1156" t="s">
        <v>10</v>
      </c>
      <c r="F1156" t="s">
        <v>15</v>
      </c>
    </row>
    <row r="1157" spans="4:6" x14ac:dyDescent="0.2">
      <c r="D1157" t="s">
        <v>34</v>
      </c>
      <c r="F1157" t="s">
        <v>21</v>
      </c>
    </row>
    <row r="1158" spans="4:6" x14ac:dyDescent="0.2">
      <c r="D1158" t="s">
        <v>32</v>
      </c>
      <c r="F1158" t="s">
        <v>23</v>
      </c>
    </row>
    <row r="1159" spans="4:6" x14ac:dyDescent="0.2">
      <c r="D1159" t="s">
        <v>24</v>
      </c>
      <c r="F1159" t="s">
        <v>25</v>
      </c>
    </row>
    <row r="1160" spans="4:6" x14ac:dyDescent="0.2">
      <c r="D1160" t="s">
        <v>33</v>
      </c>
      <c r="F1160" t="s">
        <v>28</v>
      </c>
    </row>
    <row r="1161" spans="4:6" x14ac:dyDescent="0.2">
      <c r="D1161" t="s">
        <v>38</v>
      </c>
      <c r="F1161" t="s">
        <v>16</v>
      </c>
    </row>
    <row r="1162" spans="4:6" x14ac:dyDescent="0.2">
      <c r="D1162" t="s">
        <v>40</v>
      </c>
      <c r="F1162" t="s">
        <v>12</v>
      </c>
    </row>
    <row r="1163" spans="4:6" x14ac:dyDescent="0.2">
      <c r="D1163" t="s">
        <v>27</v>
      </c>
      <c r="F1163" t="s">
        <v>26</v>
      </c>
    </row>
    <row r="1164" spans="4:6" x14ac:dyDescent="0.2">
      <c r="D1164" t="s">
        <v>31</v>
      </c>
      <c r="F1164" t="s">
        <v>17</v>
      </c>
    </row>
    <row r="1165" spans="4:6" x14ac:dyDescent="0.2">
      <c r="D1165" t="s">
        <v>55</v>
      </c>
      <c r="F1165" t="s">
        <v>13</v>
      </c>
    </row>
    <row r="1166" spans="4:6" x14ac:dyDescent="0.2">
      <c r="D1166" t="s">
        <v>18</v>
      </c>
      <c r="F1166" t="s">
        <v>29</v>
      </c>
    </row>
    <row r="1167" spans="4:6" x14ac:dyDescent="0.2">
      <c r="D1167" t="s">
        <v>11</v>
      </c>
      <c r="F1167" t="s">
        <v>30</v>
      </c>
    </row>
    <row r="1168" spans="4:6" x14ac:dyDescent="0.2">
      <c r="D1168" t="s">
        <v>39</v>
      </c>
      <c r="F1168" t="s">
        <v>14</v>
      </c>
    </row>
    <row r="1169" spans="4:6" x14ac:dyDescent="0.2">
      <c r="D1169" t="s">
        <v>19</v>
      </c>
      <c r="F1169" t="s">
        <v>35</v>
      </c>
    </row>
    <row r="1170" spans="4:6" x14ac:dyDescent="0.2">
      <c r="D1170" t="s">
        <v>36</v>
      </c>
      <c r="F1170" t="s">
        <v>37</v>
      </c>
    </row>
    <row r="1171" spans="4:6" x14ac:dyDescent="0.2">
      <c r="D1171" t="s">
        <v>22</v>
      </c>
      <c r="F1171" t="s">
        <v>20</v>
      </c>
    </row>
    <row r="1172" spans="4:6" x14ac:dyDescent="0.2">
      <c r="D1172" t="s">
        <v>18</v>
      </c>
      <c r="F1172" t="s">
        <v>25</v>
      </c>
    </row>
    <row r="1173" spans="4:6" x14ac:dyDescent="0.2">
      <c r="D1173" t="s">
        <v>21</v>
      </c>
      <c r="F1173" t="s">
        <v>28</v>
      </c>
    </row>
    <row r="1174" spans="4:6" x14ac:dyDescent="0.2">
      <c r="D1174" t="s">
        <v>10</v>
      </c>
      <c r="F1174" t="s">
        <v>24</v>
      </c>
    </row>
    <row r="1175" spans="4:6" x14ac:dyDescent="0.2">
      <c r="D1175" t="s">
        <v>11</v>
      </c>
      <c r="F1175" t="s">
        <v>15</v>
      </c>
    </row>
    <row r="1176" spans="4:6" x14ac:dyDescent="0.2">
      <c r="D1176" t="s">
        <v>39</v>
      </c>
      <c r="F1176" t="s">
        <v>27</v>
      </c>
    </row>
    <row r="1177" spans="4:6" x14ac:dyDescent="0.2">
      <c r="D1177" t="s">
        <v>29</v>
      </c>
      <c r="F1177" t="s">
        <v>37</v>
      </c>
    </row>
    <row r="1178" spans="4:6" x14ac:dyDescent="0.2">
      <c r="D1178" t="s">
        <v>19</v>
      </c>
      <c r="F1178" t="s">
        <v>31</v>
      </c>
    </row>
    <row r="1179" spans="4:6" x14ac:dyDescent="0.2">
      <c r="D1179" t="s">
        <v>16</v>
      </c>
      <c r="F1179" t="s">
        <v>12</v>
      </c>
    </row>
    <row r="1180" spans="4:6" x14ac:dyDescent="0.2">
      <c r="D1180" t="s">
        <v>14</v>
      </c>
      <c r="F1180" t="s">
        <v>30</v>
      </c>
    </row>
    <row r="1181" spans="4:6" x14ac:dyDescent="0.2">
      <c r="D1181" t="s">
        <v>35</v>
      </c>
      <c r="F1181" t="s">
        <v>33</v>
      </c>
    </row>
    <row r="1182" spans="4:6" x14ac:dyDescent="0.2">
      <c r="D1182" t="s">
        <v>38</v>
      </c>
      <c r="F1182" t="s">
        <v>20</v>
      </c>
    </row>
    <row r="1183" spans="4:6" x14ac:dyDescent="0.2">
      <c r="D1183" t="s">
        <v>39</v>
      </c>
      <c r="F1183" t="s">
        <v>21</v>
      </c>
    </row>
    <row r="1184" spans="4:6" x14ac:dyDescent="0.2">
      <c r="D1184" t="s">
        <v>30</v>
      </c>
      <c r="F1184" t="s">
        <v>23</v>
      </c>
    </row>
    <row r="1185" spans="4:6" x14ac:dyDescent="0.2">
      <c r="D1185" t="s">
        <v>25</v>
      </c>
      <c r="F1185" t="s">
        <v>28</v>
      </c>
    </row>
    <row r="1186" spans="4:6" x14ac:dyDescent="0.2">
      <c r="D1186" t="s">
        <v>40</v>
      </c>
      <c r="F1186" t="s">
        <v>10</v>
      </c>
    </row>
    <row r="1187" spans="4:6" x14ac:dyDescent="0.2">
      <c r="D1187" t="s">
        <v>32</v>
      </c>
      <c r="F1187" t="s">
        <v>17</v>
      </c>
    </row>
    <row r="1188" spans="4:6" x14ac:dyDescent="0.2">
      <c r="D1188" t="s">
        <v>36</v>
      </c>
      <c r="F1188" t="s">
        <v>11</v>
      </c>
    </row>
    <row r="1189" spans="4:6" x14ac:dyDescent="0.2">
      <c r="D1189" t="s">
        <v>24</v>
      </c>
      <c r="F1189" t="s">
        <v>15</v>
      </c>
    </row>
    <row r="1190" spans="4:6" x14ac:dyDescent="0.2">
      <c r="D1190" t="s">
        <v>26</v>
      </c>
      <c r="F1190" t="s">
        <v>14</v>
      </c>
    </row>
    <row r="1191" spans="4:6" x14ac:dyDescent="0.2">
      <c r="D1191" t="s">
        <v>18</v>
      </c>
      <c r="F1191" t="s">
        <v>37</v>
      </c>
    </row>
    <row r="1192" spans="4:6" x14ac:dyDescent="0.2">
      <c r="D1192" t="s">
        <v>27</v>
      </c>
      <c r="F1192" t="s">
        <v>22</v>
      </c>
    </row>
    <row r="1193" spans="4:6" x14ac:dyDescent="0.2">
      <c r="D1193" t="s">
        <v>38</v>
      </c>
      <c r="F1193" t="s">
        <v>12</v>
      </c>
    </row>
    <row r="1194" spans="4:6" x14ac:dyDescent="0.2">
      <c r="D1194" t="s">
        <v>35</v>
      </c>
      <c r="F1194" t="s">
        <v>13</v>
      </c>
    </row>
    <row r="1195" spans="4:6" x14ac:dyDescent="0.2">
      <c r="D1195" t="s">
        <v>31</v>
      </c>
      <c r="F1195" t="s">
        <v>33</v>
      </c>
    </row>
    <row r="1196" spans="4:6" x14ac:dyDescent="0.2">
      <c r="D1196" t="s">
        <v>28</v>
      </c>
      <c r="F1196" t="s">
        <v>25</v>
      </c>
    </row>
    <row r="1197" spans="4:6" x14ac:dyDescent="0.2">
      <c r="D1197" t="s">
        <v>40</v>
      </c>
      <c r="F1197" t="s">
        <v>39</v>
      </c>
    </row>
    <row r="1198" spans="4:6" x14ac:dyDescent="0.2">
      <c r="D1198" t="s">
        <v>10</v>
      </c>
      <c r="F1198" t="s">
        <v>17</v>
      </c>
    </row>
    <row r="1199" spans="4:6" x14ac:dyDescent="0.2">
      <c r="D1199" t="s">
        <v>21</v>
      </c>
      <c r="F1199" t="s">
        <v>11</v>
      </c>
    </row>
    <row r="1200" spans="4:6" x14ac:dyDescent="0.2">
      <c r="D1200" t="s">
        <v>29</v>
      </c>
      <c r="F1200" t="s">
        <v>13</v>
      </c>
    </row>
    <row r="1201" spans="4:6" x14ac:dyDescent="0.2">
      <c r="D1201" t="s">
        <v>38</v>
      </c>
      <c r="F1201" t="s">
        <v>34</v>
      </c>
    </row>
    <row r="1202" spans="4:6" x14ac:dyDescent="0.2">
      <c r="D1202" t="s">
        <v>22</v>
      </c>
      <c r="F1202" t="s">
        <v>24</v>
      </c>
    </row>
    <row r="1203" spans="4:6" x14ac:dyDescent="0.2">
      <c r="D1203" t="s">
        <v>18</v>
      </c>
      <c r="F1203" t="s">
        <v>15</v>
      </c>
    </row>
    <row r="1204" spans="4:6" x14ac:dyDescent="0.2">
      <c r="D1204" t="s">
        <v>23</v>
      </c>
      <c r="F1204" t="s">
        <v>36</v>
      </c>
    </row>
    <row r="1205" spans="4:6" x14ac:dyDescent="0.2">
      <c r="D1205" t="s">
        <v>26</v>
      </c>
      <c r="F1205" t="s">
        <v>27</v>
      </c>
    </row>
    <row r="1206" spans="4:6" x14ac:dyDescent="0.2">
      <c r="D1206" t="s">
        <v>55</v>
      </c>
      <c r="F1206" t="s">
        <v>32</v>
      </c>
    </row>
    <row r="1207" spans="4:6" x14ac:dyDescent="0.2">
      <c r="D1207" t="s">
        <v>19</v>
      </c>
      <c r="F1207" t="s">
        <v>33</v>
      </c>
    </row>
    <row r="1208" spans="4:6" x14ac:dyDescent="0.2">
      <c r="D1208" t="s">
        <v>14</v>
      </c>
      <c r="F1208" t="s">
        <v>37</v>
      </c>
    </row>
    <row r="1209" spans="4:6" x14ac:dyDescent="0.2">
      <c r="D1209" t="s">
        <v>16</v>
      </c>
      <c r="F1209" t="s">
        <v>20</v>
      </c>
    </row>
    <row r="1210" spans="4:6" x14ac:dyDescent="0.2">
      <c r="D1210" t="s">
        <v>35</v>
      </c>
      <c r="F1210" t="s">
        <v>31</v>
      </c>
    </row>
    <row r="1211" spans="4:6" x14ac:dyDescent="0.2">
      <c r="D1211" t="s">
        <v>27</v>
      </c>
      <c r="F1211" t="s">
        <v>30</v>
      </c>
    </row>
    <row r="1212" spans="4:6" x14ac:dyDescent="0.2">
      <c r="D1212" t="s">
        <v>16</v>
      </c>
      <c r="F1212" t="s">
        <v>31</v>
      </c>
    </row>
    <row r="1213" spans="4:6" x14ac:dyDescent="0.2">
      <c r="D1213" t="s">
        <v>30</v>
      </c>
      <c r="F1213" t="s">
        <v>25</v>
      </c>
    </row>
    <row r="1214" spans="4:6" x14ac:dyDescent="0.2">
      <c r="D1214" t="s">
        <v>40</v>
      </c>
      <c r="F1214" t="s">
        <v>28</v>
      </c>
    </row>
    <row r="1215" spans="4:6" x14ac:dyDescent="0.2">
      <c r="D1215" t="s">
        <v>12</v>
      </c>
      <c r="F1215" t="s">
        <v>39</v>
      </c>
    </row>
    <row r="1216" spans="4:6" x14ac:dyDescent="0.2">
      <c r="D1216" t="s">
        <v>20</v>
      </c>
      <c r="F1216" t="s">
        <v>17</v>
      </c>
    </row>
    <row r="1217" spans="4:6" x14ac:dyDescent="0.2">
      <c r="D1217" t="s">
        <v>19</v>
      </c>
      <c r="F1217" t="s">
        <v>13</v>
      </c>
    </row>
    <row r="1218" spans="4:6" x14ac:dyDescent="0.2">
      <c r="D1218" t="s">
        <v>18</v>
      </c>
      <c r="F1218" t="s">
        <v>24</v>
      </c>
    </row>
    <row r="1219" spans="4:6" x14ac:dyDescent="0.2">
      <c r="D1219" t="s">
        <v>26</v>
      </c>
      <c r="F1219" t="s">
        <v>15</v>
      </c>
    </row>
    <row r="1220" spans="4:6" x14ac:dyDescent="0.2">
      <c r="D1220" t="s">
        <v>34</v>
      </c>
      <c r="F1220" t="s">
        <v>36</v>
      </c>
    </row>
    <row r="1221" spans="4:6" x14ac:dyDescent="0.2">
      <c r="D1221" t="s">
        <v>11</v>
      </c>
      <c r="F1221" t="s">
        <v>14</v>
      </c>
    </row>
    <row r="1222" spans="4:6" x14ac:dyDescent="0.2">
      <c r="D1222" t="s">
        <v>10</v>
      </c>
      <c r="F1222" t="s">
        <v>32</v>
      </c>
    </row>
    <row r="1223" spans="4:6" x14ac:dyDescent="0.2">
      <c r="D1223" t="s">
        <v>29</v>
      </c>
      <c r="F1223" t="s">
        <v>33</v>
      </c>
    </row>
    <row r="1224" spans="4:6" x14ac:dyDescent="0.2">
      <c r="D1224" t="s">
        <v>21</v>
      </c>
      <c r="F1224" t="s">
        <v>37</v>
      </c>
    </row>
    <row r="1225" spans="4:6" x14ac:dyDescent="0.2">
      <c r="D1225" t="s">
        <v>55</v>
      </c>
      <c r="F1225" t="s">
        <v>38</v>
      </c>
    </row>
    <row r="1226" spans="4:6" x14ac:dyDescent="0.2">
      <c r="D1226" t="s">
        <v>23</v>
      </c>
      <c r="F1226" t="s">
        <v>22</v>
      </c>
    </row>
    <row r="1227" spans="4:6" x14ac:dyDescent="0.2">
      <c r="D1227" t="s">
        <v>35</v>
      </c>
      <c r="F1227" t="s">
        <v>12</v>
      </c>
    </row>
    <row r="1228" spans="4:6" x14ac:dyDescent="0.2">
      <c r="D1228" t="s">
        <v>34</v>
      </c>
      <c r="F1228" t="s">
        <v>26</v>
      </c>
    </row>
    <row r="1229" spans="4:6" x14ac:dyDescent="0.2">
      <c r="D1229" t="s">
        <v>24</v>
      </c>
      <c r="F1229" t="s">
        <v>18</v>
      </c>
    </row>
    <row r="1230" spans="4:6" x14ac:dyDescent="0.2">
      <c r="D1230" t="s">
        <v>22</v>
      </c>
      <c r="F1230" t="s">
        <v>15</v>
      </c>
    </row>
    <row r="1231" spans="4:6" x14ac:dyDescent="0.2">
      <c r="D1231" t="s">
        <v>25</v>
      </c>
      <c r="F1231" t="s">
        <v>36</v>
      </c>
    </row>
    <row r="1232" spans="4:6" x14ac:dyDescent="0.2">
      <c r="D1232" t="s">
        <v>21</v>
      </c>
      <c r="F1232" t="s">
        <v>27</v>
      </c>
    </row>
    <row r="1233" spans="4:6" x14ac:dyDescent="0.2">
      <c r="D1233" t="s">
        <v>11</v>
      </c>
      <c r="F1233" t="s">
        <v>14</v>
      </c>
    </row>
    <row r="1234" spans="4:6" x14ac:dyDescent="0.2">
      <c r="D1234" t="s">
        <v>37</v>
      </c>
      <c r="F1234" t="s">
        <v>23</v>
      </c>
    </row>
    <row r="1235" spans="4:6" x14ac:dyDescent="0.2">
      <c r="D1235" t="s">
        <v>29</v>
      </c>
      <c r="F1235" t="s">
        <v>13</v>
      </c>
    </row>
    <row r="1236" spans="4:6" x14ac:dyDescent="0.2">
      <c r="D1236" t="s">
        <v>10</v>
      </c>
      <c r="F1236" t="s">
        <v>33</v>
      </c>
    </row>
    <row r="1237" spans="4:6" x14ac:dyDescent="0.2">
      <c r="D1237" t="s">
        <v>32</v>
      </c>
      <c r="F1237" t="s">
        <v>40</v>
      </c>
    </row>
    <row r="1238" spans="4:6" x14ac:dyDescent="0.2">
      <c r="D1238" t="s">
        <v>29</v>
      </c>
      <c r="F1238" t="s">
        <v>31</v>
      </c>
    </row>
    <row r="1239" spans="4:6" x14ac:dyDescent="0.2">
      <c r="D1239" t="s">
        <v>21</v>
      </c>
      <c r="F1239" t="s">
        <v>25</v>
      </c>
    </row>
    <row r="1240" spans="4:6" x14ac:dyDescent="0.2">
      <c r="D1240" t="s">
        <v>16</v>
      </c>
      <c r="F1240" t="s">
        <v>39</v>
      </c>
    </row>
    <row r="1241" spans="4:6" x14ac:dyDescent="0.2">
      <c r="D1241" t="s">
        <v>28</v>
      </c>
      <c r="F1241" t="s">
        <v>26</v>
      </c>
    </row>
    <row r="1242" spans="4:6" x14ac:dyDescent="0.2">
      <c r="D1242" t="s">
        <v>32</v>
      </c>
      <c r="F1242" t="s">
        <v>34</v>
      </c>
    </row>
    <row r="1243" spans="4:6" x14ac:dyDescent="0.2">
      <c r="D1243" t="s">
        <v>11</v>
      </c>
      <c r="F1243" t="s">
        <v>18</v>
      </c>
    </row>
    <row r="1244" spans="4:6" x14ac:dyDescent="0.2">
      <c r="D1244" t="s">
        <v>27</v>
      </c>
      <c r="F1244" t="s">
        <v>24</v>
      </c>
    </row>
    <row r="1245" spans="4:6" x14ac:dyDescent="0.2">
      <c r="D1245" t="s">
        <v>37</v>
      </c>
      <c r="F1245" t="s">
        <v>36</v>
      </c>
    </row>
    <row r="1246" spans="4:6" x14ac:dyDescent="0.2">
      <c r="D1246" t="s">
        <v>12</v>
      </c>
      <c r="F1246" t="s">
        <v>35</v>
      </c>
    </row>
    <row r="1247" spans="4:6" x14ac:dyDescent="0.2">
      <c r="D1247" t="s">
        <v>17</v>
      </c>
      <c r="F1247" t="s">
        <v>55</v>
      </c>
    </row>
    <row r="1248" spans="4:6" x14ac:dyDescent="0.2">
      <c r="D1248" t="s">
        <v>20</v>
      </c>
      <c r="F1248" t="s">
        <v>38</v>
      </c>
    </row>
    <row r="1249" spans="4:6" x14ac:dyDescent="0.2">
      <c r="D1249" t="s">
        <v>23</v>
      </c>
      <c r="F1249" t="s">
        <v>15</v>
      </c>
    </row>
    <row r="1250" spans="4:6" x14ac:dyDescent="0.2">
      <c r="D1250" t="s">
        <v>17</v>
      </c>
      <c r="F1250" t="s">
        <v>33</v>
      </c>
    </row>
    <row r="1251" spans="4:6" x14ac:dyDescent="0.2">
      <c r="D1251" t="s">
        <v>22</v>
      </c>
      <c r="F1251" t="s">
        <v>19</v>
      </c>
    </row>
    <row r="1252" spans="4:6" x14ac:dyDescent="0.2">
      <c r="D1252" t="s">
        <v>33</v>
      </c>
      <c r="F1252" t="s">
        <v>31</v>
      </c>
    </row>
    <row r="1253" spans="4:6" x14ac:dyDescent="0.2">
      <c r="D1253" t="s">
        <v>28</v>
      </c>
      <c r="F1253" t="s">
        <v>23</v>
      </c>
    </row>
    <row r="1254" spans="4:6" x14ac:dyDescent="0.2">
      <c r="D1254" t="s">
        <v>25</v>
      </c>
      <c r="F1254" t="s">
        <v>10</v>
      </c>
    </row>
    <row r="1255" spans="4:6" x14ac:dyDescent="0.2">
      <c r="D1255" t="s">
        <v>16</v>
      </c>
      <c r="F1255" t="s">
        <v>12</v>
      </c>
    </row>
    <row r="1256" spans="4:6" x14ac:dyDescent="0.2">
      <c r="D1256" t="s">
        <v>34</v>
      </c>
      <c r="F1256" t="s">
        <v>39</v>
      </c>
    </row>
    <row r="1257" spans="4:6" x14ac:dyDescent="0.2">
      <c r="D1257" t="s">
        <v>27</v>
      </c>
      <c r="F1257" t="s">
        <v>26</v>
      </c>
    </row>
    <row r="1258" spans="4:6" x14ac:dyDescent="0.2">
      <c r="D1258" t="s">
        <v>38</v>
      </c>
      <c r="F1258" t="s">
        <v>13</v>
      </c>
    </row>
    <row r="1259" spans="4:6" x14ac:dyDescent="0.2">
      <c r="D1259" t="s">
        <v>37</v>
      </c>
      <c r="F1259" t="s">
        <v>18</v>
      </c>
    </row>
    <row r="1260" spans="4:6" x14ac:dyDescent="0.2">
      <c r="D1260" t="s">
        <v>14</v>
      </c>
      <c r="F1260" t="s">
        <v>24</v>
      </c>
    </row>
    <row r="1261" spans="4:6" x14ac:dyDescent="0.2">
      <c r="D1261" t="s">
        <v>19</v>
      </c>
      <c r="F1261" t="s">
        <v>30</v>
      </c>
    </row>
    <row r="1262" spans="4:6" x14ac:dyDescent="0.2">
      <c r="D1262" t="s">
        <v>11</v>
      </c>
      <c r="F1262" t="s">
        <v>36</v>
      </c>
    </row>
    <row r="1263" spans="4:6" x14ac:dyDescent="0.2">
      <c r="D1263" t="s">
        <v>20</v>
      </c>
      <c r="F1263" t="s">
        <v>32</v>
      </c>
    </row>
    <row r="1264" spans="4:6" x14ac:dyDescent="0.2">
      <c r="D1264" t="s">
        <v>40</v>
      </c>
      <c r="F1264" t="s">
        <v>35</v>
      </c>
    </row>
    <row r="1265" spans="4:6" x14ac:dyDescent="0.2">
      <c r="D1265" t="s">
        <v>29</v>
      </c>
      <c r="F1265" t="s">
        <v>55</v>
      </c>
    </row>
    <row r="1266" spans="4:6" x14ac:dyDescent="0.2">
      <c r="D1266" t="s">
        <v>37</v>
      </c>
      <c r="F1266" t="s">
        <v>21</v>
      </c>
    </row>
    <row r="1267" spans="4:6" x14ac:dyDescent="0.2">
      <c r="D1267" t="s">
        <v>35</v>
      </c>
      <c r="F1267" t="s">
        <v>10</v>
      </c>
    </row>
    <row r="1268" spans="4:6" x14ac:dyDescent="0.2">
      <c r="D1268" t="s">
        <v>20</v>
      </c>
      <c r="F1268" t="s">
        <v>12</v>
      </c>
    </row>
    <row r="1269" spans="4:6" x14ac:dyDescent="0.2">
      <c r="D1269" t="s">
        <v>15</v>
      </c>
      <c r="F1269" t="s">
        <v>39</v>
      </c>
    </row>
    <row r="1270" spans="4:6" x14ac:dyDescent="0.2">
      <c r="D1270" t="s">
        <v>24</v>
      </c>
      <c r="F1270" t="s">
        <v>26</v>
      </c>
    </row>
    <row r="1271" spans="4:6" x14ac:dyDescent="0.2">
      <c r="D1271" t="s">
        <v>17</v>
      </c>
      <c r="F1271" t="s">
        <v>13</v>
      </c>
    </row>
    <row r="1272" spans="4:6" x14ac:dyDescent="0.2">
      <c r="D1272" t="s">
        <v>28</v>
      </c>
      <c r="F1272" t="s">
        <v>18</v>
      </c>
    </row>
    <row r="1273" spans="4:6" x14ac:dyDescent="0.2">
      <c r="D1273" t="s">
        <v>34</v>
      </c>
      <c r="F1273" t="s">
        <v>29</v>
      </c>
    </row>
    <row r="1274" spans="4:6" x14ac:dyDescent="0.2">
      <c r="D1274" t="s">
        <v>36</v>
      </c>
      <c r="F1274" t="s">
        <v>30</v>
      </c>
    </row>
    <row r="1275" spans="4:6" x14ac:dyDescent="0.2">
      <c r="D1275" t="s">
        <v>22</v>
      </c>
      <c r="F1275" t="s">
        <v>14</v>
      </c>
    </row>
    <row r="1276" spans="4:6" x14ac:dyDescent="0.2">
      <c r="D1276" t="s">
        <v>16</v>
      </c>
      <c r="F1276" t="s">
        <v>32</v>
      </c>
    </row>
    <row r="1277" spans="4:6" x14ac:dyDescent="0.2">
      <c r="D1277" t="s">
        <v>38</v>
      </c>
      <c r="F1277" t="s">
        <v>33</v>
      </c>
    </row>
    <row r="1278" spans="4:6" x14ac:dyDescent="0.2">
      <c r="D1278" t="s">
        <v>11</v>
      </c>
      <c r="F1278" t="s">
        <v>19</v>
      </c>
    </row>
    <row r="1279" spans="4:6" x14ac:dyDescent="0.2">
      <c r="D1279" t="s">
        <v>25</v>
      </c>
      <c r="F1279" t="s">
        <v>55</v>
      </c>
    </row>
    <row r="1280" spans="4:6" x14ac:dyDescent="0.2">
      <c r="D1280" t="s">
        <v>27</v>
      </c>
      <c r="F1280" t="s">
        <v>40</v>
      </c>
    </row>
    <row r="1281" spans="4:6" x14ac:dyDescent="0.2">
      <c r="D1281" t="s">
        <v>38</v>
      </c>
      <c r="F1281" t="s">
        <v>31</v>
      </c>
    </row>
    <row r="1282" spans="4:6" x14ac:dyDescent="0.2">
      <c r="D1282" t="s">
        <v>21</v>
      </c>
      <c r="F1282" t="s">
        <v>28</v>
      </c>
    </row>
    <row r="1283" spans="4:6" x14ac:dyDescent="0.2">
      <c r="D1283" t="s">
        <v>55</v>
      </c>
      <c r="F1283" t="s">
        <v>16</v>
      </c>
    </row>
    <row r="1284" spans="4:6" x14ac:dyDescent="0.2">
      <c r="D1284" t="s">
        <v>36</v>
      </c>
      <c r="F1284" t="s">
        <v>24</v>
      </c>
    </row>
    <row r="1285" spans="4:6" x14ac:dyDescent="0.2">
      <c r="D1285" t="s">
        <v>18</v>
      </c>
      <c r="F1285" t="s">
        <v>30</v>
      </c>
    </row>
    <row r="1286" spans="4:6" x14ac:dyDescent="0.2">
      <c r="D1286" t="s">
        <v>14</v>
      </c>
      <c r="F1286" t="s">
        <v>22</v>
      </c>
    </row>
    <row r="1287" spans="4:6" x14ac:dyDescent="0.2">
      <c r="D1287" t="s">
        <v>23</v>
      </c>
      <c r="F1287" t="s">
        <v>10</v>
      </c>
    </row>
    <row r="1288" spans="4:6" x14ac:dyDescent="0.2">
      <c r="D1288" t="s">
        <v>12</v>
      </c>
      <c r="F1288" t="s">
        <v>17</v>
      </c>
    </row>
    <row r="1289" spans="4:6" x14ac:dyDescent="0.2">
      <c r="D1289" t="s">
        <v>15</v>
      </c>
      <c r="F1289" t="s">
        <v>11</v>
      </c>
    </row>
    <row r="1290" spans="4:6" x14ac:dyDescent="0.2">
      <c r="D1290" t="s">
        <v>33</v>
      </c>
      <c r="F1290" t="s">
        <v>29</v>
      </c>
    </row>
    <row r="1291" spans="4:6" x14ac:dyDescent="0.2">
      <c r="D1291" t="s">
        <v>25</v>
      </c>
      <c r="F1291" t="s">
        <v>27</v>
      </c>
    </row>
    <row r="1292" spans="4:6" x14ac:dyDescent="0.2">
      <c r="D1292" t="s">
        <v>13</v>
      </c>
      <c r="F1292" t="s">
        <v>32</v>
      </c>
    </row>
    <row r="1293" spans="4:6" x14ac:dyDescent="0.2">
      <c r="D1293" t="s">
        <v>34</v>
      </c>
      <c r="F1293" t="s">
        <v>35</v>
      </c>
    </row>
    <row r="1294" spans="4:6" x14ac:dyDescent="0.2">
      <c r="D1294" t="s">
        <v>26</v>
      </c>
      <c r="F1294" t="s">
        <v>37</v>
      </c>
    </row>
    <row r="1295" spans="4:6" x14ac:dyDescent="0.2">
      <c r="D1295" t="s">
        <v>39</v>
      </c>
      <c r="F1295" t="s">
        <v>19</v>
      </c>
    </row>
    <row r="1296" spans="4:6" x14ac:dyDescent="0.2">
      <c r="D1296" t="s">
        <v>40</v>
      </c>
      <c r="F1296" t="s">
        <v>20</v>
      </c>
    </row>
    <row r="1297" spans="4:6" x14ac:dyDescent="0.2">
      <c r="D1297" t="s">
        <v>24</v>
      </c>
      <c r="F1297" t="s">
        <v>21</v>
      </c>
    </row>
    <row r="1298" spans="4:6" x14ac:dyDescent="0.2">
      <c r="D1298" t="s">
        <v>22</v>
      </c>
      <c r="F1298" t="s">
        <v>28</v>
      </c>
    </row>
    <row r="1299" spans="4:6" x14ac:dyDescent="0.2">
      <c r="D1299" t="s">
        <v>12</v>
      </c>
      <c r="F1299" t="s">
        <v>16</v>
      </c>
    </row>
    <row r="1300" spans="4:6" x14ac:dyDescent="0.2">
      <c r="D1300" t="s">
        <v>31</v>
      </c>
      <c r="F1300" t="s">
        <v>34</v>
      </c>
    </row>
    <row r="1301" spans="4:6" x14ac:dyDescent="0.2">
      <c r="D1301" t="s">
        <v>25</v>
      </c>
      <c r="F1301" t="s">
        <v>30</v>
      </c>
    </row>
    <row r="1302" spans="4:6" x14ac:dyDescent="0.2">
      <c r="D1302" t="s">
        <v>18</v>
      </c>
      <c r="F1302" t="s">
        <v>27</v>
      </c>
    </row>
    <row r="1303" spans="4:6" x14ac:dyDescent="0.2">
      <c r="D1303" t="s">
        <v>14</v>
      </c>
      <c r="F1303" t="s">
        <v>35</v>
      </c>
    </row>
    <row r="1304" spans="4:6" x14ac:dyDescent="0.2">
      <c r="D1304" t="s">
        <v>40</v>
      </c>
      <c r="F1304" t="s">
        <v>55</v>
      </c>
    </row>
    <row r="1305" spans="4:6" x14ac:dyDescent="0.2">
      <c r="D1305" t="s">
        <v>13</v>
      </c>
      <c r="F1305" t="s">
        <v>38</v>
      </c>
    </row>
    <row r="1306" spans="4:6" x14ac:dyDescent="0.2">
      <c r="D1306" t="s">
        <v>39</v>
      </c>
      <c r="F1306" t="s">
        <v>23</v>
      </c>
    </row>
    <row r="1307" spans="4:6" x14ac:dyDescent="0.2">
      <c r="D1307" t="s">
        <v>33</v>
      </c>
      <c r="F1307" t="s">
        <v>10</v>
      </c>
    </row>
    <row r="1308" spans="4:6" x14ac:dyDescent="0.2">
      <c r="D1308" t="s">
        <v>26</v>
      </c>
      <c r="F1308" t="s">
        <v>11</v>
      </c>
    </row>
    <row r="1309" spans="4:6" x14ac:dyDescent="0.2">
      <c r="D1309" t="s">
        <v>19</v>
      </c>
      <c r="F1309" t="s">
        <v>36</v>
      </c>
    </row>
    <row r="1310" spans="4:6" x14ac:dyDescent="0.2">
      <c r="D1310" t="s">
        <v>15</v>
      </c>
      <c r="F1310" t="s">
        <v>37</v>
      </c>
    </row>
    <row r="1311" spans="4:6" x14ac:dyDescent="0.2">
      <c r="D1311" t="s">
        <v>32</v>
      </c>
      <c r="F1311" t="s">
        <v>20</v>
      </c>
    </row>
    <row r="1312" spans="4:6" x14ac:dyDescent="0.2">
      <c r="D1312" t="s">
        <v>13</v>
      </c>
      <c r="F1312" t="s">
        <v>16</v>
      </c>
    </row>
    <row r="1313" spans="4:6" x14ac:dyDescent="0.2">
      <c r="D1313" t="s">
        <v>32</v>
      </c>
      <c r="F1313" t="s">
        <v>12</v>
      </c>
    </row>
    <row r="1314" spans="4:6" x14ac:dyDescent="0.2">
      <c r="D1314" t="s">
        <v>38</v>
      </c>
      <c r="F1314" t="s">
        <v>17</v>
      </c>
    </row>
    <row r="1315" spans="4:6" x14ac:dyDescent="0.2">
      <c r="D1315" t="s">
        <v>31</v>
      </c>
      <c r="F1315" t="s">
        <v>29</v>
      </c>
    </row>
    <row r="1316" spans="4:6" x14ac:dyDescent="0.2">
      <c r="D1316" t="s">
        <v>35</v>
      </c>
      <c r="F1316" t="s">
        <v>55</v>
      </c>
    </row>
    <row r="1317" spans="4:6" x14ac:dyDescent="0.2">
      <c r="D1317" t="s">
        <v>33</v>
      </c>
      <c r="F1317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D1" zoomScale="75" zoomScaleNormal="60" workbookViewId="0">
      <pane ySplit="1" topLeftCell="A798" activePane="bottomLeft" state="frozen"/>
      <selection activeCell="I1" sqref="I1"/>
      <selection pane="bottomLeft" activeCell="O820" sqref="O820:O825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9.596999517066325E-2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-0.42375285621939396</v>
      </c>
      <c r="H2" t="s">
        <v>10</v>
      </c>
      <c r="I2">
        <f>VLOOKUP(Table4[[#This Row],[Visitor]],'NHL Model'!$A$6:$B$38,2,FALSE)</f>
        <v>-0.70456324341534593</v>
      </c>
      <c r="J2">
        <f>($B$1+Table4[[#This Row],[Home Differential]])-Table4[[#This Row],[Away Differential]]</f>
        <v>0.37678038236661521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0.57762418470163235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0.17840132934896077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-0.43624947117902363</v>
      </c>
      <c r="H3" t="s">
        <v>12</v>
      </c>
      <c r="I3">
        <f>VLOOKUP(Table4[[#This Row],[Visitor]],'NHL Model'!$A$6:$B$38,2,FALSE)</f>
        <v>1.1751846443488465</v>
      </c>
      <c r="J3">
        <f>($B$1+Table4[[#This Row],[Home Differential]])-Table4[[#This Row],[Away Differential]]</f>
        <v>-1.515464120357207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0.68123139518688269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0.10161342341450136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485</v>
      </c>
      <c r="V3">
        <f>COUNTIF(Table4[Locked Correct],"YES")</f>
        <v>448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-0.6396663932228257</v>
      </c>
      <c r="H4" t="s">
        <v>14</v>
      </c>
      <c r="I4">
        <f>VLOOKUP(Table4[[#This Row],[Visitor]],'NHL Model'!$A$6:$B$38,2,FALSE)</f>
        <v>3.24300967767114E-5</v>
      </c>
      <c r="J4">
        <f>($B$1+Table4[[#This Row],[Home Differential]])-Table4[[#This Row],[Away Differential]]</f>
        <v>-0.54372882814893908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0.56338607628985404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0.19063171837756915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333</v>
      </c>
      <c r="V4">
        <f>COUNTIF(Table4[Locked Correct],"NO")</f>
        <v>370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-0.20041140176017086</v>
      </c>
      <c r="H5" t="s">
        <v>16</v>
      </c>
      <c r="I5">
        <f>VLOOKUP(Table4[[#This Row],[Visitor]],'NHL Model'!$A$6:$B$38,2,FALSE)</f>
        <v>-0.79148902514100783</v>
      </c>
      <c r="J5">
        <f>($B$1+Table4[[#This Row],[Home Differential]])-Table4[[#This Row],[Away Differential]]</f>
        <v>0.68704761855150021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0.60860656156467841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0.37040194677958066</v>
      </c>
      <c r="O5">
        <v>-4.1674767740132361E-3</v>
      </c>
      <c r="P5" s="11"/>
      <c r="Q5" t="s">
        <v>16</v>
      </c>
      <c r="R5" t="s">
        <v>248</v>
      </c>
      <c r="T5">
        <f>SUM(T3:T4)</f>
        <v>818</v>
      </c>
      <c r="V5">
        <f>SUM(V3:V4)</f>
        <v>818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-0.32175529201986758</v>
      </c>
      <c r="H6" t="s">
        <v>18</v>
      </c>
      <c r="I6">
        <f>VLOOKUP(Table4[[#This Row],[Visitor]],'NHL Model'!$A$6:$B$38,2,FALSE)</f>
        <v>-0.23645483545724041</v>
      </c>
      <c r="J6">
        <f>($B$1+Table4[[#This Row],[Home Differential]])-Table4[[#This Row],[Away Differential]]</f>
        <v>1.0669538608036072E-2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0.50714815391555812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0.2429029421888424</v>
      </c>
      <c r="O6">
        <v>-4.4363714293103977E-3</v>
      </c>
      <c r="P6" s="11"/>
      <c r="Q6" t="s">
        <v>18</v>
      </c>
      <c r="R6" t="s">
        <v>249</v>
      </c>
      <c r="T6" s="13">
        <f>T3/T5</f>
        <v>0.59290953545232272</v>
      </c>
      <c r="V6" s="13">
        <f>V3/V5</f>
        <v>0.5476772616136919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-4.774288798450349E-3</v>
      </c>
      <c r="H7" t="s">
        <v>13</v>
      </c>
      <c r="I7">
        <f>VLOOKUP(Table4[[#This Row],[Visitor]],'NHL Model'!$A$6:$B$38,2,FALSE)</f>
        <v>-0.43624947117902363</v>
      </c>
      <c r="J7">
        <f>($B$1+Table4[[#This Row],[Home Differential]])-Table4[[#This Row],[Away Differential]]</f>
        <v>0.52744517755123654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0.56210309183911822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0.31595988585509616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-8.9159851516330005E-2</v>
      </c>
      <c r="H8" t="s">
        <v>21</v>
      </c>
      <c r="I8">
        <f>VLOOKUP(Table4[[#This Row],[Visitor]],'NHL Model'!$A$6:$B$38,2,FALSE)</f>
        <v>-5.5047914862176604E-2</v>
      </c>
      <c r="J8">
        <f>($B$1+Table4[[#This Row],[Home Differential]])-Table4[[#This Row],[Away Differential]]</f>
        <v>6.1858058516509849E-2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0.54617696442763575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0.29830927647138689</v>
      </c>
      <c r="O8">
        <v>-4.9858230986448791E-3</v>
      </c>
      <c r="P8" s="11"/>
      <c r="Q8" t="s">
        <v>21</v>
      </c>
      <c r="R8" t="s">
        <v>248</v>
      </c>
      <c r="T8">
        <f>SUM(Table4[Error])</f>
        <v>195.125995373781</v>
      </c>
      <c r="V8">
        <f>COUNTIF(Table4[Locked Correct],"")</f>
        <v>494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-5.5047914862176604E-2</v>
      </c>
      <c r="H9" t="s">
        <v>10</v>
      </c>
      <c r="I9">
        <f>VLOOKUP(Table4[[#This Row],[Visitor]],'NHL Model'!$A$6:$B$38,2,FALSE)</f>
        <v>-0.70456324341534593</v>
      </c>
      <c r="J9">
        <f>($B$1+Table4[[#This Row],[Home Differential]])-Table4[[#This Row],[Away Differential]]</f>
        <v>0.74548532372383258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0.65734353393600409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0.11741345373546638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2.7346770720058793E-2</v>
      </c>
      <c r="H10" t="s">
        <v>15</v>
      </c>
      <c r="I10">
        <f>VLOOKUP(Table4[[#This Row],[Visitor]],'NHL Model'!$A$6:$B$38,2,FALSE)</f>
        <v>-0.6396663932228257</v>
      </c>
      <c r="J10">
        <f>($B$1+Table4[[#This Row],[Home Differential]])-Table4[[#This Row],[Away Differential]]</f>
        <v>0.76298315911354775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0.60657600242208243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0.36793444671435416</v>
      </c>
      <c r="O10">
        <v>2.893763878885032E-2</v>
      </c>
      <c r="P10" s="11"/>
      <c r="Q10" t="s">
        <v>23</v>
      </c>
      <c r="R10" t="s">
        <v>249</v>
      </c>
      <c r="T10">
        <v>9.9857069164028714E-2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0.29527586190964761</v>
      </c>
      <c r="H11" t="s">
        <v>24</v>
      </c>
      <c r="I11">
        <f>VLOOKUP(Table4[[#This Row],[Visitor]],'NHL Model'!$A$6:$B$38,2,FALSE)</f>
        <v>-0.52712015292731806</v>
      </c>
      <c r="J11">
        <f>($B$1+Table4[[#This Row],[Home Differential]])-Table4[[#This Row],[Away Differential]]</f>
        <v>0.91836601000762896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0.63715988363377041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0.13165295004465905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1.1751846443488465</v>
      </c>
      <c r="H12" t="s">
        <v>55</v>
      </c>
      <c r="I12">
        <f>VLOOKUP(Table4[[#This Row],[Visitor]],'NHL Model'!$A$6:$B$38,2,FALSE)</f>
        <v>0.12055191373383152</v>
      </c>
      <c r="J12">
        <f>($B$1+Table4[[#This Row],[Home Differential]])-Table4[[#This Row],[Away Differential]]</f>
        <v>1.1506027257856781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0.74067804375383139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6.7247876991339786E-2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-0.17319925920548884</v>
      </c>
      <c r="H13" t="s">
        <v>18</v>
      </c>
      <c r="I13">
        <f>VLOOKUP(Table4[[#This Row],[Visitor]],'NHL Model'!$A$6:$B$38,2,FALSE)</f>
        <v>-0.23645483545724041</v>
      </c>
      <c r="J13">
        <f>($B$1+Table4[[#This Row],[Home Differential]])-Table4[[#This Row],[Away Differential]]</f>
        <v>0.15922557142241484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0.56909128825991218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0.32386489437332644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-0.42375285621939396</v>
      </c>
      <c r="H14" t="s">
        <v>27</v>
      </c>
      <c r="I14">
        <f>VLOOKUP(Table4[[#This Row],[Visitor]],'NHL Model'!$A$6:$B$38,2,FALSE)</f>
        <v>-0.32182316569099201</v>
      </c>
      <c r="J14">
        <f>($B$1+Table4[[#This Row],[Home Differential]])-Table4[[#This Row],[Away Differential]]</f>
        <v>-5.9596953577387146E-3</v>
      </c>
      <c r="K14" t="str">
        <f>IF(Table4[[#This Row],[HomeIce Differential]]&gt;0,Table4[[#This Row],[Home]],Table4[[#This Row],[Visitor]])</f>
        <v>Philadelphia Flyers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0.47118335300565189</v>
      </c>
      <c r="M14" t="str">
        <f>IF(OR((NHL2025_26Results[[#This Row],[Winning Team]]="")),"-",IF(Table4[[#This Row],[Predicted Winner]]=NHL2025_26Results[[#This Row],[Winning Team]],"YES","NO"))</f>
        <v>NO</v>
      </c>
      <c r="N14">
        <f>IF(Table4[[#This Row],[Adjusted Correct]]="-", "",IF(Table4[[#This Row],[Adjusted Correct]]="YES",(Table4[[#This Row],[Strength of Win]]-1)^2,(Table4[[#This Row],[Strength of Win]]-0)^2))</f>
        <v>0.22201375214964877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-0.74313650334688619</v>
      </c>
      <c r="H15" t="s">
        <v>28</v>
      </c>
      <c r="I15">
        <f>VLOOKUP(Table4[[#This Row],[Visitor]],'NHL Model'!$A$6:$B$38,2,FALSE)</f>
        <v>-0.42584667868780524</v>
      </c>
      <c r="J15">
        <f>($B$1+Table4[[#This Row],[Home Differential]])-Table4[[#This Row],[Away Differential]]</f>
        <v>-0.22131982948841766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0.48210034952059599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0.23242074700788082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3.24300967767114E-5</v>
      </c>
      <c r="H16" t="s">
        <v>30</v>
      </c>
      <c r="I16">
        <f>VLOOKUP(Table4[[#This Row],[Visitor]],'NHL Model'!$A$6:$B$38,2,FALSE)</f>
        <v>-0.20908736804509698</v>
      </c>
      <c r="J16">
        <f>($B$1+Table4[[#This Row],[Home Differential]])-Table4[[#This Row],[Away Differential]]</f>
        <v>0.30508979331253694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0.54969614182281845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0.20277356468925523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-0.57094405545214133</v>
      </c>
      <c r="H17" t="s">
        <v>31</v>
      </c>
      <c r="I17">
        <f>VLOOKUP(Table4[[#This Row],[Visitor]],'NHL Model'!$A$6:$B$38,2,FALSE)</f>
        <v>-0.38289376966531796</v>
      </c>
      <c r="J17">
        <f>($B$1+Table4[[#This Row],[Home Differential]])-Table4[[#This Row],[Away Differential]]</f>
        <v>-9.2080290616160132E-2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0.4691948679487018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0.22014382410939973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-0.53461960928306718</v>
      </c>
      <c r="H18" t="s">
        <v>20</v>
      </c>
      <c r="I18">
        <f>VLOOKUP(Table4[[#This Row],[Visitor]],'NHL Model'!$A$6:$B$38,2,FALSE)</f>
        <v>-4.774288798450349E-3</v>
      </c>
      <c r="J18">
        <f>($B$1+Table4[[#This Row],[Home Differential]])-Table4[[#This Row],[Away Differential]]</f>
        <v>-0.43387532531395356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0.53389155610428995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0.21725708147088027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-1.2663626722629573</v>
      </c>
      <c r="H19" t="s">
        <v>34</v>
      </c>
      <c r="I19">
        <f>VLOOKUP(Table4[[#This Row],[Visitor]],'NHL Model'!$A$6:$B$38,2,FALSE)</f>
        <v>1.2879210938040288E-2</v>
      </c>
      <c r="J19">
        <f>($B$1+Table4[[#This Row],[Home Differential]])-Table4[[#This Row],[Away Differential]]</f>
        <v>-1.1832718880303343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0.63468698838273063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0.13345359645687918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0.65340538721281671</v>
      </c>
      <c r="H20" t="s">
        <v>36</v>
      </c>
      <c r="I20">
        <f>VLOOKUP(Table4[[#This Row],[Visitor]],'NHL Model'!$A$6:$B$38,2,FALSE)</f>
        <v>-0.40390734274709933</v>
      </c>
      <c r="J20">
        <f>($B$1+Table4[[#This Row],[Home Differential]])-Table4[[#This Row],[Away Differential]]</f>
        <v>1.1532827251305793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0.6766252268689773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0.45782169763549502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-1.2591310848703385</v>
      </c>
      <c r="H21" t="s">
        <v>16</v>
      </c>
      <c r="I21">
        <f>VLOOKUP(Table4[[#This Row],[Visitor]],'NHL Model'!$A$6:$B$38,2,FALSE)</f>
        <v>-0.79148902514100783</v>
      </c>
      <c r="J21">
        <f>($B$1+Table4[[#This Row],[Home Differential]])-Table4[[#This Row],[Away Differential]]</f>
        <v>-0.37167206455866753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0.49711408305697224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0.24712241157357429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-0.47391784202962389</v>
      </c>
      <c r="H22" t="s">
        <v>39</v>
      </c>
      <c r="I22">
        <f>VLOOKUP(Table4[[#This Row],[Visitor]],'NHL Model'!$A$6:$B$38,2,FALSE)</f>
        <v>0.21259592260910548</v>
      </c>
      <c r="J22">
        <f>($B$1+Table4[[#This Row],[Home Differential]])-Table4[[#This Row],[Away Differential]]</f>
        <v>-0.59054376946806619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0.55697793815964891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0.19626854727727586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-5.5047914862176604E-2</v>
      </c>
      <c r="H23" t="s">
        <v>23</v>
      </c>
      <c r="I23">
        <f>VLOOKUP(Table4[[#This Row],[Visitor]],'NHL Model'!$A$6:$B$38,2,FALSE)</f>
        <v>2.7346770720058793E-2</v>
      </c>
      <c r="J23">
        <f>($B$1+Table4[[#This Row],[Home Differential]])-Table4[[#This Row],[Away Differential]]</f>
        <v>1.3575309588427852E-2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0.56385559062849488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0.19022194582601903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0.29527586190964761</v>
      </c>
      <c r="H24" t="s">
        <v>27</v>
      </c>
      <c r="I24">
        <f>VLOOKUP(Table4[[#This Row],[Visitor]],'NHL Model'!$A$6:$B$38,2,FALSE)</f>
        <v>-0.32182316569099201</v>
      </c>
      <c r="J24">
        <f>($B$1+Table4[[#This Row],[Home Differential]])-Table4[[#This Row],[Away Differential]]</f>
        <v>0.7130690227713028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0.6437240666950661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0.1269325406523017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-0.79148902514100783</v>
      </c>
      <c r="H25" t="s">
        <v>35</v>
      </c>
      <c r="I25">
        <f>VLOOKUP(Table4[[#This Row],[Visitor]],'NHL Model'!$A$6:$B$38,2,FALSE)</f>
        <v>-1.2663626722629573</v>
      </c>
      <c r="J25">
        <f>($B$1+Table4[[#This Row],[Home Differential]])-Table4[[#This Row],[Away Differential]]</f>
        <v>0.57084364229261275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0.59700277307025951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0.35641231105357979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-0.70456324341534593</v>
      </c>
      <c r="H26" t="s">
        <v>18</v>
      </c>
      <c r="I26">
        <f>VLOOKUP(Table4[[#This Row],[Visitor]],'NHL Model'!$A$6:$B$38,2,FALSE)</f>
        <v>-0.23645483545724041</v>
      </c>
      <c r="J26">
        <f>($B$1+Table4[[#This Row],[Home Differential]])-Table4[[#This Row],[Away Differential]]</f>
        <v>-0.3721384127874422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0.53644738446253859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0.21488102737162151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1.1751846443488465</v>
      </c>
      <c r="H27" t="s">
        <v>39</v>
      </c>
      <c r="I27">
        <f>VLOOKUP(Table4[[#This Row],[Visitor]],'NHL Model'!$A$6:$B$38,2,FALSE)</f>
        <v>0.21259592260910548</v>
      </c>
      <c r="J27">
        <f>($B$1+Table4[[#This Row],[Home Differential]])-Table4[[#This Row],[Away Differential]]</f>
        <v>1.0585587169104043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0.69517825521923404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0.48327280652965848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-0.17319925920548884</v>
      </c>
      <c r="H28" t="s">
        <v>19</v>
      </c>
      <c r="I28">
        <f>VLOOKUP(Table4[[#This Row],[Visitor]],'NHL Model'!$A$6:$B$38,2,FALSE)</f>
        <v>-0.32175529201986758</v>
      </c>
      <c r="J28">
        <f>($B$1+Table4[[#This Row],[Home Differential]])-Table4[[#This Row],[Away Differential]]</f>
        <v>0.24452602798504197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0.61613362882026845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0.14735339092269542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-0.20041140176017086</v>
      </c>
      <c r="H29" t="s">
        <v>38</v>
      </c>
      <c r="I29">
        <f>VLOOKUP(Table4[[#This Row],[Visitor]],'NHL Model'!$A$6:$B$38,2,FALSE)</f>
        <v>-1.2591310848703385</v>
      </c>
      <c r="J29">
        <f>($B$1+Table4[[#This Row],[Home Differential]])-Table4[[#This Row],[Away Differential]]</f>
        <v>1.1546896782808309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0.65530392706707907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0.11881538269537754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-0.42375285621939396</v>
      </c>
      <c r="H30" t="s">
        <v>36</v>
      </c>
      <c r="I30">
        <f>VLOOKUP(Table4[[#This Row],[Visitor]],'NHL Model'!$A$6:$B$38,2,FALSE)</f>
        <v>-0.40390734274709933</v>
      </c>
      <c r="J30">
        <f>($B$1+Table4[[#This Row],[Home Differential]])-Table4[[#This Row],[Away Differential]]</f>
        <v>7.6124481698368607E-2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0.54677207454647225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0.2054155524109085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1.2879210938040288E-2</v>
      </c>
      <c r="H31" t="s">
        <v>28</v>
      </c>
      <c r="I31">
        <f>VLOOKUP(Table4[[#This Row],[Visitor]],'NHL Model'!$A$6:$B$38,2,FALSE)</f>
        <v>-0.42584667868780524</v>
      </c>
      <c r="J31">
        <f>($B$1+Table4[[#This Row],[Home Differential]])-Table4[[#This Row],[Away Differential]]</f>
        <v>0.53469588479650876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0.59339316394984654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0.35211544702240943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-0.74313650334688619</v>
      </c>
      <c r="H32" t="s">
        <v>55</v>
      </c>
      <c r="I32">
        <f>VLOOKUP(Table4[[#This Row],[Visitor]],'NHL Model'!$A$6:$B$38,2,FALSE)</f>
        <v>0.12055191373383152</v>
      </c>
      <c r="J32">
        <f>($B$1+Table4[[#This Row],[Home Differential]])-Table4[[#This Row],[Away Differential]]</f>
        <v>-0.76771842191005446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0.5366621115551713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0.21468199886851252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-0.20908736804509698</v>
      </c>
      <c r="H33" t="s">
        <v>22</v>
      </c>
      <c r="I33">
        <f>VLOOKUP(Table4[[#This Row],[Visitor]],'NHL Model'!$A$6:$B$38,2,FALSE)</f>
        <v>-8.9159851516330005E-2</v>
      </c>
      <c r="J33">
        <f>($B$1+Table4[[#This Row],[Home Differential]])-Table4[[#This Row],[Away Differential]]</f>
        <v>-2.3957521358103723E-2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0.4533727200241176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0.29880138321383176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3.24300967767114E-5</v>
      </c>
      <c r="H34" t="s">
        <v>15</v>
      </c>
      <c r="I34">
        <f>VLOOKUP(Table4[[#This Row],[Visitor]],'NHL Model'!$A$6:$B$38,2,FALSE)</f>
        <v>-0.6396663932228257</v>
      </c>
      <c r="J34">
        <f>($B$1+Table4[[#This Row],[Home Differential]])-Table4[[#This Row],[Away Differential]]</f>
        <v>0.73566881849026566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0.5614135393187174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0.31518516213036907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-0.57094405545214133</v>
      </c>
      <c r="H35" t="s">
        <v>20</v>
      </c>
      <c r="I35">
        <f>VLOOKUP(Table4[[#This Row],[Visitor]],'NHL Model'!$A$6:$B$38,2,FALSE)</f>
        <v>-4.774288798450349E-3</v>
      </c>
      <c r="J35">
        <f>($B$1+Table4[[#This Row],[Home Differential]])-Table4[[#This Row],[Away Differential]]</f>
        <v>-0.47019977148302772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0.53751880883774028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0.28892646985434317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-0.53461960928306718</v>
      </c>
      <c r="H36" t="s">
        <v>31</v>
      </c>
      <c r="I36">
        <f>VLOOKUP(Table4[[#This Row],[Visitor]],'NHL Model'!$A$6:$B$38,2,FALSE)</f>
        <v>-0.38289376966531796</v>
      </c>
      <c r="J36">
        <f>($B$1+Table4[[#This Row],[Home Differential]])-Table4[[#This Row],[Away Differential]]</f>
        <v>-5.5755844447085978E-2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0.46556761521525153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0.28561797390671351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0.65340538721281671</v>
      </c>
      <c r="H37" t="s">
        <v>24</v>
      </c>
      <c r="I37">
        <f>VLOOKUP(Table4[[#This Row],[Visitor]],'NHL Model'!$A$6:$B$38,2,FALSE)</f>
        <v>-0.52712015292731806</v>
      </c>
      <c r="J37">
        <f>($B$1+Table4[[#This Row],[Home Differential]])-Table4[[#This Row],[Away Differential]]</f>
        <v>1.2764955353107981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0.65196278019053366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0.42505546675377009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-0.47391784202962389</v>
      </c>
      <c r="H38" t="s">
        <v>13</v>
      </c>
      <c r="I38">
        <f>VLOOKUP(Table4[[#This Row],[Visitor]],'NHL Model'!$A$6:$B$38,2,FALSE)</f>
        <v>-0.43624947117902363</v>
      </c>
      <c r="J38">
        <f>($B$1+Table4[[#This Row],[Home Differential]])-Table4[[#This Row],[Away Differential]]</f>
        <v>5.8301624320062972E-2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0.51525579159625468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0.23497694758097368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-0.6396663932228257</v>
      </c>
      <c r="H39" t="s">
        <v>22</v>
      </c>
      <c r="I39">
        <f>VLOOKUP(Table4[[#This Row],[Visitor]],'NHL Model'!$A$6:$B$38,2,FALSE)</f>
        <v>-8.9159851516330005E-2</v>
      </c>
      <c r="J39">
        <f>($B$1+Table4[[#This Row],[Home Differential]])-Table4[[#This Row],[Away Differential]]</f>
        <v>-0.45453654653583242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0.50538868736500742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0.24464035058651037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-5.5047914862176604E-2</v>
      </c>
      <c r="H40" t="s">
        <v>37</v>
      </c>
      <c r="I40">
        <f>VLOOKUP(Table4[[#This Row],[Visitor]],'NHL Model'!$A$6:$B$38,2,FALSE)</f>
        <v>0.65340538721281671</v>
      </c>
      <c r="J40">
        <f>($B$1+Table4[[#This Row],[Home Differential]])-Table4[[#This Row],[Away Differential]]</f>
        <v>-0.61248330690433006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0.57467430145287224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0.1809019498446022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2.7346770720058793E-2</v>
      </c>
      <c r="H41" t="s">
        <v>12</v>
      </c>
      <c r="I41">
        <f>VLOOKUP(Table4[[#This Row],[Visitor]],'NHL Model'!$A$6:$B$38,2,FALSE)</f>
        <v>1.1751846443488465</v>
      </c>
      <c r="J41">
        <f>($B$1+Table4[[#This Row],[Home Differential]])-Table4[[#This Row],[Away Differential]]</f>
        <v>-1.0518678784581246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0.59250162454910893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0.16605492599511537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-0.42584667868780524</v>
      </c>
      <c r="H42" t="s">
        <v>24</v>
      </c>
      <c r="I42">
        <f>VLOOKUP(Table4[[#This Row],[Visitor]],'NHL Model'!$A$6:$B$38,2,FALSE)</f>
        <v>-0.52712015292731806</v>
      </c>
      <c r="J42">
        <f>($B$1+Table4[[#This Row],[Home Differential]])-Table4[[#This Row],[Away Differential]]</f>
        <v>0.19724346941017606</v>
      </c>
      <c r="K42" t="str">
        <f>IF(Table4[[#This Row],[HomeIce Differential]]&gt;0,Table4[[#This Row],[Home]],Table4[[#This Row],[Visitor]])</f>
        <v>Columbus Blue Jackets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0.52168818663955496</v>
      </c>
      <c r="M42" t="str">
        <f>IF(OR((NHL2025_26Results[[#This Row],[Winning Team]]="")),"-",IF(Table4[[#This Row],[Predicted Winner]]=NHL2025_26Results[[#This Row],[Winning Team]],"YES","NO"))</f>
        <v>NO</v>
      </c>
      <c r="N42">
        <f>IF(Table4[[#This Row],[Adjusted Correct]]="-", "",IF(Table4[[#This Row],[Adjusted Correct]]="YES",(Table4[[#This Row],[Strength of Win]]-1)^2,(Table4[[#This Row],[Strength of Win]]-0)^2))</f>
        <v>0.27215856407926714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-0.70456324341534593</v>
      </c>
      <c r="H43" t="s">
        <v>55</v>
      </c>
      <c r="I43">
        <f>VLOOKUP(Table4[[#This Row],[Visitor]],'NHL Model'!$A$6:$B$38,2,FALSE)</f>
        <v>0.12055191373383152</v>
      </c>
      <c r="J43">
        <f>($B$1+Table4[[#This Row],[Home Differential]])-Table4[[#This Row],[Away Differential]]</f>
        <v>-0.7291451619785142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0.5328102988703054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0.28388681458226417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1.2879210938040288E-2</v>
      </c>
      <c r="H44" t="s">
        <v>13</v>
      </c>
      <c r="I44">
        <f>VLOOKUP(Table4[[#This Row],[Visitor]],'NHL Model'!$A$6:$B$38,2,FALSE)</f>
        <v>-0.43624947117902363</v>
      </c>
      <c r="J44">
        <f>($B$1+Table4[[#This Row],[Home Differential]])-Table4[[#This Row],[Away Differential]]</f>
        <v>0.54509867728772721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0.56386591858329205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0.19021293697319563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-0.20908736804509698</v>
      </c>
      <c r="H45" t="s">
        <v>40</v>
      </c>
      <c r="I45">
        <f>VLOOKUP(Table4[[#This Row],[Visitor]],'NHL Model'!$A$6:$B$38,2,FALSE)</f>
        <v>-0.47391784202962389</v>
      </c>
      <c r="J45">
        <f>($B$1+Table4[[#This Row],[Home Differential]])-Table4[[#This Row],[Away Differential]]</f>
        <v>0.36080046915519015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0.58504808524598118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0.34228126204998888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-0.40390734274709933</v>
      </c>
      <c r="H46" t="s">
        <v>29</v>
      </c>
      <c r="I46">
        <f>VLOOKUP(Table4[[#This Row],[Visitor]],'NHL Model'!$A$6:$B$38,2,FALSE)</f>
        <v>-0.74313650334688619</v>
      </c>
      <c r="J46">
        <f>($B$1+Table4[[#This Row],[Home Differential]])-Table4[[#This Row],[Away Differential]]</f>
        <v>0.4351991557704501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0.58345771219789677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0.34042290192320374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-0.32182316569099201</v>
      </c>
      <c r="H47" t="s">
        <v>11</v>
      </c>
      <c r="I47">
        <f>VLOOKUP(Table4[[#This Row],[Visitor]],'NHL Model'!$A$6:$B$38,2,FALSE)</f>
        <v>-0.42375285621939396</v>
      </c>
      <c r="J47">
        <f>($B$1+Table4[[#This Row],[Home Differential]])-Table4[[#This Row],[Away Differential]]</f>
        <v>0.19789968569906519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0.50835334271254073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0.24171643562193243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-0.32175529201986758</v>
      </c>
      <c r="H48" t="s">
        <v>26</v>
      </c>
      <c r="I48">
        <f>VLOOKUP(Table4[[#This Row],[Visitor]],'NHL Model'!$A$6:$B$38,2,FALSE)</f>
        <v>-0.17319925920548884</v>
      </c>
      <c r="J48">
        <f>($B$1+Table4[[#This Row],[Home Differential]])-Table4[[#This Row],[Away Differential]]</f>
        <v>-5.25860376437155E-2</v>
      </c>
      <c r="K48" t="str">
        <f>IF(Table4[[#This Row],[HomeIce Differential]]&gt;0,Table4[[#This Row],[Home]],Table4[[#This Row],[Visitor]])</f>
        <v>Detroit Red Wings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0.49916836253722341</v>
      </c>
      <c r="M48" t="str">
        <f>IF(OR((NHL2025_26Results[[#This Row],[Winning Team]]="")),"-",IF(Table4[[#This Row],[Predicted Winner]]=NHL2025_26Results[[#This Row],[Winning Team]],"YES","NO"))</f>
        <v>YES</v>
      </c>
      <c r="N48">
        <f>IF(Table4[[#This Row],[Adjusted Correct]]="-", "",IF(Table4[[#This Row],[Adjusted Correct]]="YES",(Table4[[#This Row],[Strength of Win]]-1)^2,(Table4[[#This Row],[Strength of Win]]-0)^2))</f>
        <v>0.25083232908364611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-1.2591310848703385</v>
      </c>
      <c r="H49" t="s">
        <v>35</v>
      </c>
      <c r="I49">
        <f>VLOOKUP(Table4[[#This Row],[Visitor]],'NHL Model'!$A$6:$B$38,2,FALSE)</f>
        <v>-1.2663626722629573</v>
      </c>
      <c r="J49">
        <f>($B$1+Table4[[#This Row],[Home Differential]])-Table4[[#This Row],[Away Differential]]</f>
        <v>0.10320158256328194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0.55030540756785895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0.30283604159842736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-0.38289376966531796</v>
      </c>
      <c r="H50" t="s">
        <v>14</v>
      </c>
      <c r="I50">
        <f>VLOOKUP(Table4[[#This Row],[Visitor]],'NHL Model'!$A$6:$B$38,2,FALSE)</f>
        <v>3.24300967767114E-5</v>
      </c>
      <c r="J50">
        <f>($B$1+Table4[[#This Row],[Home Differential]])-Table4[[#This Row],[Away Differential]]</f>
        <v>-0.28695620459143145</v>
      </c>
      <c r="K50" t="str">
        <f>IF(Table4[[#This Row],[HomeIce Differential]]&gt;0,Table4[[#This Row],[Home]],Table4[[#This Row],[Visitor]])</f>
        <v>Pittsburgh Penguins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0.50122844523138099</v>
      </c>
      <c r="M50" t="str">
        <f>IF(OR((NHL2025_26Results[[#This Row],[Winning Team]]="")),"-",IF(Table4[[#This Row],[Predicted Winner]]=NHL2025_26Results[[#This Row],[Winning Team]],"YES","NO"))</f>
        <v>NO</v>
      </c>
      <c r="N50">
        <f>IF(Table4[[#This Row],[Adjusted Correct]]="-", "",IF(Table4[[#This Row],[Adjusted Correct]]="YES",(Table4[[#This Row],[Strength of Win]]-1)^2,(Table4[[#This Row],[Strength of Win]]-0)^2))</f>
        <v>0.25122995430906747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-0.79148902514100783</v>
      </c>
      <c r="H51" t="s">
        <v>20</v>
      </c>
      <c r="I51">
        <f>VLOOKUP(Table4[[#This Row],[Visitor]],'NHL Model'!$A$6:$B$38,2,FALSE)</f>
        <v>-4.774288798450349E-3</v>
      </c>
      <c r="J51">
        <f>($B$1+Table4[[#This Row],[Home Differential]])-Table4[[#This Row],[Away Differential]]</f>
        <v>-0.69074474117189422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0.55954178312974001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0.19400344080852899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0.21259592260910548</v>
      </c>
      <c r="H52" t="s">
        <v>34</v>
      </c>
      <c r="I52">
        <f>VLOOKUP(Table4[[#This Row],[Visitor]],'NHL Model'!$A$6:$B$38,2,FALSE)</f>
        <v>1.2879210938040288E-2</v>
      </c>
      <c r="J52">
        <f>($B$1+Table4[[#This Row],[Home Differential]])-Table4[[#This Row],[Away Differential]]</f>
        <v>0.29568670684172843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0.53228883887520495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0.21875373024070399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-0.23645483545724041</v>
      </c>
      <c r="H53" t="s">
        <v>32</v>
      </c>
      <c r="I53">
        <f>VLOOKUP(Table4[[#This Row],[Visitor]],'NHL Model'!$A$6:$B$38,2,FALSE)</f>
        <v>-0.57094405545214133</v>
      </c>
      <c r="J53">
        <f>($B$1+Table4[[#This Row],[Home Differential]])-Table4[[#This Row],[Away Differential]]</f>
        <v>0.43045921516556418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0.58298439562108129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0.17390201429551486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-0.6396663932228257</v>
      </c>
      <c r="H54" t="s">
        <v>17</v>
      </c>
      <c r="I54">
        <f>VLOOKUP(Table4[[#This Row],[Visitor]],'NHL Model'!$A$6:$B$38,2,FALSE)</f>
        <v>-0.20041140176017086</v>
      </c>
      <c r="J54">
        <f>($B$1+Table4[[#This Row],[Home Differential]])-Table4[[#This Row],[Away Differential]]</f>
        <v>-0.34328499629199155</v>
      </c>
      <c r="K54" t="str">
        <f>IF(Table4[[#This Row],[HomeIce Differential]]&gt;0,Table4[[#This Row],[Home]],Table4[[#This Row],[Visitor]])</f>
        <v>Edmonton Oilers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0.4965838432905334</v>
      </c>
      <c r="M54" t="str">
        <f>IF(OR((NHL2025_26Results[[#This Row],[Winning Team]]="")),"-",IF(Table4[[#This Row],[Predicted Winner]]=NHL2025_26Results[[#This Row],[Winning Team]],"YES","NO"))</f>
        <v>YES</v>
      </c>
      <c r="N54">
        <f>IF(Table4[[#This Row],[Adjusted Correct]]="-", "",IF(Table4[[#This Row],[Adjusted Correct]]="YES",(Table4[[#This Row],[Strength of Win]]-1)^2,(Table4[[#This Row],[Strength of Win]]-0)^2))</f>
        <v>0.25342782683613024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-0.53461960928306718</v>
      </c>
      <c r="H55" t="s">
        <v>25</v>
      </c>
      <c r="I55">
        <f>VLOOKUP(Table4[[#This Row],[Visitor]],'NHL Model'!$A$6:$B$38,2,FALSE)</f>
        <v>0.29527586190964761</v>
      </c>
      <c r="J55">
        <f>($B$1+Table4[[#This Row],[Home Differential]])-Table4[[#This Row],[Away Differential]]</f>
        <v>-0.73392547602205149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0.59257548084826983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0.16599473880601853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-0.32175529201986758</v>
      </c>
      <c r="H56" t="s">
        <v>29</v>
      </c>
      <c r="I56">
        <f>VLOOKUP(Table4[[#This Row],[Visitor]],'NHL Model'!$A$6:$B$38,2,FALSE)</f>
        <v>-0.74313650334688619</v>
      </c>
      <c r="J56">
        <f>($B$1+Table4[[#This Row],[Home Differential]])-Table4[[#This Row],[Away Differential]]</f>
        <v>0.51735120649768185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0.59699178188963264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0.16241562386449343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-8.9159851516330005E-2</v>
      </c>
      <c r="H57" t="s">
        <v>37</v>
      </c>
      <c r="I57">
        <f>VLOOKUP(Table4[[#This Row],[Visitor]],'NHL Model'!$A$6:$B$38,2,FALSE)</f>
        <v>0.65340538721281671</v>
      </c>
      <c r="J57">
        <f>($B$1+Table4[[#This Row],[Home Differential]])-Table4[[#This Row],[Away Differential]]</f>
        <v>-0.64659524355848341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0.62142525367110213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0.38616934590019364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2.7346770720058793E-2</v>
      </c>
      <c r="H58" t="s">
        <v>36</v>
      </c>
      <c r="I58">
        <f>VLOOKUP(Table4[[#This Row],[Visitor]],'NHL Model'!$A$6:$B$38,2,FALSE)</f>
        <v>-0.40390734274709933</v>
      </c>
      <c r="J58">
        <f>($B$1+Table4[[#This Row],[Home Differential]])-Table4[[#This Row],[Away Differential]]</f>
        <v>0.52722410863782132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0.63365264087336903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0.13421038753905673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-0.17319925920548884</v>
      </c>
      <c r="H59" t="s">
        <v>11</v>
      </c>
      <c r="I59">
        <f>VLOOKUP(Table4[[#This Row],[Visitor]],'NHL Model'!$A$6:$B$38,2,FALSE)</f>
        <v>-0.42375285621939396</v>
      </c>
      <c r="J59">
        <f>($B$1+Table4[[#This Row],[Home Differential]])-Table4[[#This Row],[Away Differential]]</f>
        <v>0.34652359218456835</v>
      </c>
      <c r="K59" t="str">
        <f>IF(Table4[[#This Row],[HomeIce Differential]]&gt;0,Table4[[#This Row],[Home]],Table4[[#This Row],[Visitor]])</f>
        <v>Detroit Red Wings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0.57577930089997742</v>
      </c>
      <c r="M59" t="str">
        <f>IF(OR((NHL2025_26Results[[#This Row],[Winning Team]]="")),"-",IF(Table4[[#This Row],[Predicted Winner]]=NHL2025_26Results[[#This Row],[Winning Team]],"YES","NO"))</f>
        <v>YES</v>
      </c>
      <c r="N59">
        <f>IF(Table4[[#This Row],[Adjusted Correct]]="-", "",IF(Table4[[#This Row],[Adjusted Correct]]="YES",(Table4[[#This Row],[Strength of Win]]-1)^2,(Table4[[#This Row],[Strength of Win]]-0)^2))</f>
        <v>0.17996320154491191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-1.2663626722629573</v>
      </c>
      <c r="H60" t="s">
        <v>10</v>
      </c>
      <c r="I60">
        <f>VLOOKUP(Table4[[#This Row],[Visitor]],'NHL Model'!$A$6:$B$38,2,FALSE)</f>
        <v>-0.70456324341534593</v>
      </c>
      <c r="J60">
        <f>($B$1+Table4[[#This Row],[Home Differential]])-Table4[[#This Row],[Away Differential]]</f>
        <v>-0.46582943367694818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0.50651636197731942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0.24352610099610003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0.12055191373383152</v>
      </c>
      <c r="H61" t="s">
        <v>16</v>
      </c>
      <c r="I61">
        <f>VLOOKUP(Table4[[#This Row],[Visitor]],'NHL Model'!$A$6:$B$38,2,FALSE)</f>
        <v>-0.79148902514100783</v>
      </c>
      <c r="J61">
        <f>($B$1+Table4[[#This Row],[Home Differential]])-Table4[[#This Row],[Away Differential]]</f>
        <v>1.0080109340455026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0.67669388391852603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0.10452684469568753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-0.38289376966531796</v>
      </c>
      <c r="H62" t="s">
        <v>25</v>
      </c>
      <c r="I62">
        <f>VLOOKUP(Table4[[#This Row],[Visitor]],'NHL Model'!$A$6:$B$38,2,FALSE)</f>
        <v>0.29527586190964761</v>
      </c>
      <c r="J62">
        <f>($B$1+Table4[[#This Row],[Home Differential]])-Table4[[#This Row],[Away Differential]]</f>
        <v>-0.58219963640430228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0.54089537004935195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0.21077706124212148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-0.42584667868780524</v>
      </c>
      <c r="H63" t="s">
        <v>12</v>
      </c>
      <c r="I63">
        <f>VLOOKUP(Table4[[#This Row],[Visitor]],'NHL Model'!$A$6:$B$38,2,FALSE)</f>
        <v>1.1751846443488465</v>
      </c>
      <c r="J63">
        <f>($B$1+Table4[[#This Row],[Home Differential]])-Table4[[#This Row],[Away Differential]]</f>
        <v>-1.5050613278659886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0.68019260281758798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0.10227677129258904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0.21259592260910548</v>
      </c>
      <c r="H64" t="s">
        <v>38</v>
      </c>
      <c r="I64">
        <f>VLOOKUP(Table4[[#This Row],[Visitor]],'NHL Model'!$A$6:$B$38,2,FALSE)</f>
        <v>-1.2591310848703385</v>
      </c>
      <c r="J64">
        <f>($B$1+Table4[[#This Row],[Home Differential]])-Table4[[#This Row],[Away Differential]]</f>
        <v>1.5676970026501071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0.71565105933177631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0.51215643872269356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-0.43624947117902363</v>
      </c>
      <c r="H65" t="s">
        <v>14</v>
      </c>
      <c r="I65">
        <f>VLOOKUP(Table4[[#This Row],[Visitor]],'NHL Model'!$A$6:$B$38,2,FALSE)</f>
        <v>3.24300967767114E-5</v>
      </c>
      <c r="J65">
        <f>($B$1+Table4[[#This Row],[Home Differential]])-Table4[[#This Row],[Away Differential]]</f>
        <v>-0.34031190610513712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0.54307345863619227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0.20878186420269149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-0.23645483545724041</v>
      </c>
      <c r="H66" t="s">
        <v>29</v>
      </c>
      <c r="I66">
        <f>VLOOKUP(Table4[[#This Row],[Visitor]],'NHL Model'!$A$6:$B$38,2,FALSE)</f>
        <v>-0.74313650334688619</v>
      </c>
      <c r="J66">
        <f>($B$1+Table4[[#This Row],[Home Differential]])-Table4[[#This Row],[Away Differential]]</f>
        <v>0.60265166306030904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0.60017902880003027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0.15985680901128702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-0.52712015292731806</v>
      </c>
      <c r="H67" t="s">
        <v>11</v>
      </c>
      <c r="I67">
        <f>VLOOKUP(Table4[[#This Row],[Visitor]],'NHL Model'!$A$6:$B$38,2,FALSE)</f>
        <v>-0.42375285621939396</v>
      </c>
      <c r="J67">
        <f>($B$1+Table4[[#This Row],[Home Differential]])-Table4[[#This Row],[Away Differential]]</f>
        <v>-7.3973015372608697E-3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0.51214701274108398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0.26229456265961604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-0.20908736804509698</v>
      </c>
      <c r="H68" t="s">
        <v>17</v>
      </c>
      <c r="I68">
        <f>VLOOKUP(Table4[[#This Row],[Visitor]],'NHL Model'!$A$6:$B$38,2,FALSE)</f>
        <v>-0.20041140176017086</v>
      </c>
      <c r="J68">
        <f>($B$1+Table4[[#This Row],[Home Differential]])-Table4[[#This Row],[Away Differential]]</f>
        <v>8.7294028885737132E-2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0.55543938055229525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0.19763414436372698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-0.40390734274709933</v>
      </c>
      <c r="H69" t="s">
        <v>32</v>
      </c>
      <c r="I69">
        <f>VLOOKUP(Table4[[#This Row],[Visitor]],'NHL Model'!$A$6:$B$38,2,FALSE)</f>
        <v>-0.57094405545214133</v>
      </c>
      <c r="J69">
        <f>($B$1+Table4[[#This Row],[Home Differential]])-Table4[[#This Row],[Away Differential]]</f>
        <v>0.26300670787570524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0.56626307901894779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0.18812771662212352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-0.32182316569099201</v>
      </c>
      <c r="H70" t="s">
        <v>40</v>
      </c>
      <c r="I70">
        <f>VLOOKUP(Table4[[#This Row],[Visitor]],'NHL Model'!$A$6:$B$38,2,FALSE)</f>
        <v>-0.47391784202962389</v>
      </c>
      <c r="J70">
        <f>($B$1+Table4[[#This Row],[Home Differential]])-Table4[[#This Row],[Away Differential]]</f>
        <v>0.24806467150929512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0.56477101106005578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0.31896629493379763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-0.32175529201986758</v>
      </c>
      <c r="H71" t="s">
        <v>15</v>
      </c>
      <c r="I71">
        <f>VLOOKUP(Table4[[#This Row],[Visitor]],'NHL Model'!$A$6:$B$38,2,FALSE)</f>
        <v>-0.6396663932228257</v>
      </c>
      <c r="J71">
        <f>($B$1+Table4[[#This Row],[Home Differential]])-Table4[[#This Row],[Away Differential]]</f>
        <v>0.41388109637362136</v>
      </c>
      <c r="K71" t="str">
        <f>IF(Table4[[#This Row],[HomeIce Differential]]&gt;0,Table4[[#This Row],[Home]],Table4[[#This Row],[Visitor]])</f>
        <v>Toronto Maple Leafs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0.5346485832765423</v>
      </c>
      <c r="M71" t="str">
        <f>IF(OR((NHL2025_26Results[[#This Row],[Winning Team]]="")),"-",IF(Table4[[#This Row],[Predicted Winner]]=NHL2025_26Results[[#This Row],[Winning Team]],"YES","NO"))</f>
        <v>YES</v>
      </c>
      <c r="N71">
        <f>IF(Table4[[#This Row],[Adjusted Correct]]="-", "",IF(Table4[[#This Row],[Adjusted Correct]]="YES",(Table4[[#This Row],[Strength of Win]]-1)^2,(Table4[[#This Row],[Strength of Win]]-0)^2))</f>
        <v>0.21655194104652919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-4.774288798450349E-3</v>
      </c>
      <c r="H72" t="s">
        <v>21</v>
      </c>
      <c r="I72">
        <f>VLOOKUP(Table4[[#This Row],[Visitor]],'NHL Model'!$A$6:$B$38,2,FALSE)</f>
        <v>-5.5047914862176604E-2</v>
      </c>
      <c r="J72">
        <f>($B$1+Table4[[#This Row],[Home Differential]])-Table4[[#This Row],[Away Differential]]</f>
        <v>0.1462436212343895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0.55460345940040046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0.19837807837809074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-0.70456324341534593</v>
      </c>
      <c r="H73" t="s">
        <v>38</v>
      </c>
      <c r="I73">
        <f>VLOOKUP(Table4[[#This Row],[Visitor]],'NHL Model'!$A$6:$B$38,2,FALSE)</f>
        <v>-1.2591310848703385</v>
      </c>
      <c r="J73">
        <f>($B$1+Table4[[#This Row],[Home Differential]])-Table4[[#This Row],[Away Differential]]</f>
        <v>0.6505378366256559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0.60496080174574574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0.36597757164885547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-0.17319925920548884</v>
      </c>
      <c r="H74" t="s">
        <v>37</v>
      </c>
      <c r="I74">
        <f>VLOOKUP(Table4[[#This Row],[Visitor]],'NHL Model'!$A$6:$B$38,2,FALSE)</f>
        <v>0.65340538721281671</v>
      </c>
      <c r="J74">
        <f>($B$1+Table4[[#This Row],[Home Differential]])-Table4[[#This Row],[Away Differential]]</f>
        <v>-0.73063465124764226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0.57738381366433378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0.33337206828157012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0.12055191373383152</v>
      </c>
      <c r="H75" t="s">
        <v>33</v>
      </c>
      <c r="I75">
        <f>VLOOKUP(Table4[[#This Row],[Visitor]],'NHL Model'!$A$6:$B$38,2,FALSE)</f>
        <v>-0.53461960928306718</v>
      </c>
      <c r="J75">
        <f>($B$1+Table4[[#This Row],[Home Differential]])-Table4[[#This Row],[Away Differential]]</f>
        <v>0.75114151818756192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0.63056234608918449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0.13648418012712749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-8.9159851516330005E-2</v>
      </c>
      <c r="H76" t="s">
        <v>34</v>
      </c>
      <c r="I76">
        <f>VLOOKUP(Table4[[#This Row],[Visitor]],'NHL Model'!$A$6:$B$38,2,FALSE)</f>
        <v>1.2879210938040288E-2</v>
      </c>
      <c r="J76">
        <f>($B$1+Table4[[#This Row],[Home Differential]])-Table4[[#This Row],[Away Differential]]</f>
        <v>-6.0690672837070431E-3</v>
      </c>
      <c r="K76" t="str">
        <f>IF(Table4[[#This Row],[HomeIce Differential]]&gt;0,Table4[[#This Row],[Home]],Table4[[#This Row],[Visitor]])</f>
        <v>Minnesota Wild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0.51713496489134492</v>
      </c>
      <c r="M76" t="str">
        <f>IF(OR((NHL2025_26Results[[#This Row],[Winning Team]]="")),"-",IF(Table4[[#This Row],[Predicted Winner]]=NHL2025_26Results[[#This Row],[Winning Team]],"YES","NO"))</f>
        <v>NO</v>
      </c>
      <c r="N76">
        <f>IF(Table4[[#This Row],[Adjusted Correct]]="-", "",IF(Table4[[#This Row],[Adjusted Correct]]="YES",(Table4[[#This Row],[Strength of Win]]-1)^2,(Table4[[#This Row],[Strength of Win]]-0)^2))</f>
        <v>0.26742857191317254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2.7346770720058793E-2</v>
      </c>
      <c r="H77" t="s">
        <v>11</v>
      </c>
      <c r="I77">
        <f>VLOOKUP(Table4[[#This Row],[Visitor]],'NHL Model'!$A$6:$B$38,2,FALSE)</f>
        <v>-0.42375285621939396</v>
      </c>
      <c r="J77">
        <f>($B$1+Table4[[#This Row],[Home Differential]])-Table4[[#This Row],[Away Differential]]</f>
        <v>0.54706962211011601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0.58565330011712002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0.17168318770383342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-0.42584667868780524</v>
      </c>
      <c r="H78" t="s">
        <v>37</v>
      </c>
      <c r="I78">
        <f>VLOOKUP(Table4[[#This Row],[Visitor]],'NHL Model'!$A$6:$B$38,2,FALSE)</f>
        <v>0.65340538721281671</v>
      </c>
      <c r="J78">
        <f>($B$1+Table4[[#This Row],[Home Differential]])-Table4[[#This Row],[Away Differential]]</f>
        <v>-0.98328207072995877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0.65504581345858159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0.42908501772961488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1.1751846443488465</v>
      </c>
      <c r="H79" t="s">
        <v>21</v>
      </c>
      <c r="I79">
        <f>VLOOKUP(Table4[[#This Row],[Visitor]],'NHL Model'!$A$6:$B$38,2,FALSE)</f>
        <v>-5.5047914862176604E-2</v>
      </c>
      <c r="J79">
        <f>($B$1+Table4[[#This Row],[Home Differential]])-Table4[[#This Row],[Away Differential]]</f>
        <v>1.3262025543816862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0.75821292798313444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5.846098819448893E-2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-0.43624947117902363</v>
      </c>
      <c r="H80" t="s">
        <v>25</v>
      </c>
      <c r="I80">
        <f>VLOOKUP(Table4[[#This Row],[Visitor]],'NHL Model'!$A$6:$B$38,2,FALSE)</f>
        <v>0.29527586190964761</v>
      </c>
      <c r="J80">
        <f>($B$1+Table4[[#This Row],[Home Differential]])-Table4[[#This Row],[Away Differential]]</f>
        <v>-0.635555337918008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0.58275252716393933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0.17409545358807918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-0.23645483545724041</v>
      </c>
      <c r="H81" t="s">
        <v>15</v>
      </c>
      <c r="I81">
        <f>VLOOKUP(Table4[[#This Row],[Visitor]],'NHL Model'!$A$6:$B$38,2,FALSE)</f>
        <v>-0.6396663932228257</v>
      </c>
      <c r="J81">
        <f>($B$1+Table4[[#This Row],[Home Differential]])-Table4[[#This Row],[Away Differential]]</f>
        <v>0.49918155293624855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0.53779861408587792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0.28922734931269106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-0.52712015292731806</v>
      </c>
      <c r="H82" t="s">
        <v>17</v>
      </c>
      <c r="I82">
        <f>VLOOKUP(Table4[[#This Row],[Visitor]],'NHL Model'!$A$6:$B$38,2,FALSE)</f>
        <v>-0.20041140176017086</v>
      </c>
      <c r="J82">
        <f>($B$1+Table4[[#This Row],[Home Differential]])-Table4[[#This Row],[Away Differential]]</f>
        <v>-0.23073875599648397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0.48534530558919348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0.23556006565746759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-0.40390734274709933</v>
      </c>
      <c r="H83" t="s">
        <v>30</v>
      </c>
      <c r="I83">
        <f>VLOOKUP(Table4[[#This Row],[Visitor]],'NHL Model'!$A$6:$B$38,2,FALSE)</f>
        <v>-0.20908736804509698</v>
      </c>
      <c r="J83">
        <f>($B$1+Table4[[#This Row],[Home Differential]])-Table4[[#This Row],[Away Differential]]</f>
        <v>-9.8849979531339116E-2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0.49064010001215447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0.25944750771562797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-0.32182316569099201</v>
      </c>
      <c r="H84" t="s">
        <v>34</v>
      </c>
      <c r="I84">
        <f>VLOOKUP(Table4[[#This Row],[Visitor]],'NHL Model'!$A$6:$B$38,2,FALSE)</f>
        <v>1.2879210938040288E-2</v>
      </c>
      <c r="J84">
        <f>($B$1+Table4[[#This Row],[Home Differential]])-Table4[[#This Row],[Away Differential]]</f>
        <v>-0.23873238145836906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0.54036804154681628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0.29199762032514176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-0.53461960928306718</v>
      </c>
      <c r="H85" t="s">
        <v>14</v>
      </c>
      <c r="I85">
        <f>VLOOKUP(Table4[[#This Row],[Visitor]],'NHL Model'!$A$6:$B$38,2,FALSE)</f>
        <v>3.24300967767114E-5</v>
      </c>
      <c r="J85">
        <f>($B$1+Table4[[#This Row],[Home Differential]])-Table4[[#This Row],[Away Differential]]</f>
        <v>-0.43868204420918067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0.55289641232052278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0.19990161811585996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-1.2663626722629573</v>
      </c>
      <c r="H86" t="s">
        <v>39</v>
      </c>
      <c r="I86">
        <f>VLOOKUP(Table4[[#This Row],[Visitor]],'NHL Model'!$A$6:$B$38,2,FALSE)</f>
        <v>0.21259592260910548</v>
      </c>
      <c r="J86">
        <f>($B$1+Table4[[#This Row],[Home Differential]])-Table4[[#This Row],[Away Differential]]</f>
        <v>-1.3829885997013995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0.6361091563809359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0.40463485883166594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-0.32175529201986758</v>
      </c>
      <c r="H87" t="s">
        <v>32</v>
      </c>
      <c r="I87">
        <f>VLOOKUP(Table4[[#This Row],[Visitor]],'NHL Model'!$A$6:$B$38,2,FALSE)</f>
        <v>-0.57094405545214133</v>
      </c>
      <c r="J87">
        <f>($B$1+Table4[[#This Row],[Home Differential]])-Table4[[#This Row],[Away Differential]]</f>
        <v>0.34515875860293699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0.57979714871068377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0.33616473365303873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-4.774288798450349E-3</v>
      </c>
      <c r="H88" t="s">
        <v>16</v>
      </c>
      <c r="I88">
        <f>VLOOKUP(Table4[[#This Row],[Visitor]],'NHL Model'!$A$6:$B$38,2,FALSE)</f>
        <v>-0.79148902514100783</v>
      </c>
      <c r="J88">
        <f>($B$1+Table4[[#This Row],[Home Differential]])-Table4[[#This Row],[Away Differential]]</f>
        <v>0.88268473151322069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0.62814231028474787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0.13827814140036473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-0.47391784202962389</v>
      </c>
      <c r="H89" t="s">
        <v>29</v>
      </c>
      <c r="I89">
        <f>VLOOKUP(Table4[[#This Row],[Visitor]],'NHL Model'!$A$6:$B$38,2,FALSE)</f>
        <v>-0.74313650334688619</v>
      </c>
      <c r="J89">
        <f>($B$1+Table4[[#This Row],[Home Differential]])-Table4[[#This Row],[Away Differential]]</f>
        <v>0.36518865648792553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0.57646666892883358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0.17938048252823827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-0.70456324341534593</v>
      </c>
      <c r="H90" t="s">
        <v>31</v>
      </c>
      <c r="I90">
        <f>VLOOKUP(Table4[[#This Row],[Visitor]],'NHL Model'!$A$6:$B$38,2,FALSE)</f>
        <v>-0.38289376966531796</v>
      </c>
      <c r="J90">
        <f>($B$1+Table4[[#This Row],[Home Differential]])-Table4[[#This Row],[Away Differential]]</f>
        <v>-0.22569947857936468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0.48253768844278488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0.23284262076770612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-0.17319925920548884</v>
      </c>
      <c r="H91" t="s">
        <v>17</v>
      </c>
      <c r="I91">
        <f>VLOOKUP(Table4[[#This Row],[Visitor]],'NHL Model'!$A$6:$B$38,2,FALSE)</f>
        <v>-0.20041140176017086</v>
      </c>
      <c r="J91">
        <f>($B$1+Table4[[#This Row],[Home Differential]])-Table4[[#This Row],[Away Differential]]</f>
        <v>0.12318213772534527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0.60177429145713901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0.15858371494446366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0.12055191373383152</v>
      </c>
      <c r="H92" t="s">
        <v>21</v>
      </c>
      <c r="I92">
        <f>VLOOKUP(Table4[[#This Row],[Visitor]],'NHL Model'!$A$6:$B$38,2,FALSE)</f>
        <v>-5.5047914862176604E-2</v>
      </c>
      <c r="J92">
        <f>($B$1+Table4[[#This Row],[Home Differential]])-Table4[[#This Row],[Away Differential]]</f>
        <v>0.27156982376667138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0.60315503303417861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0.15748592780610388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-8.9159851516330005E-2</v>
      </c>
      <c r="H93" t="s">
        <v>38</v>
      </c>
      <c r="I93">
        <f>VLOOKUP(Table4[[#This Row],[Visitor]],'NHL Model'!$A$6:$B$38,2,FALSE)</f>
        <v>-1.2591310848703385</v>
      </c>
      <c r="J93">
        <f>($B$1+Table4[[#This Row],[Home Differential]])-Table4[[#This Row],[Away Differential]]</f>
        <v>1.2659412285246718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0.66641318081438361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0.44410652756314434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-0.79148902514100783</v>
      </c>
      <c r="H94" t="s">
        <v>40</v>
      </c>
      <c r="I94">
        <f>VLOOKUP(Table4[[#This Row],[Visitor]],'NHL Model'!$A$6:$B$38,2,FALSE)</f>
        <v>-0.47391784202962389</v>
      </c>
      <c r="J94">
        <f>($B$1+Table4[[#This Row],[Home Differential]])-Table4[[#This Row],[Away Differential]]</f>
        <v>-0.22160118794072065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0.48212844515102748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0.26819094732169235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-0.23645483545724041</v>
      </c>
      <c r="H95" t="s">
        <v>23</v>
      </c>
      <c r="I95">
        <f>VLOOKUP(Table4[[#This Row],[Visitor]],'NHL Model'!$A$6:$B$38,2,FALSE)</f>
        <v>2.7346770720058793E-2</v>
      </c>
      <c r="J95">
        <f>($B$1+Table4[[#This Row],[Home Differential]])-Table4[[#This Row],[Away Differential]]</f>
        <v>-0.16783161100663593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0.49752840355743072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0.24753451234640564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-0.6396663932228257</v>
      </c>
      <c r="H96" t="s">
        <v>34</v>
      </c>
      <c r="I96">
        <f>VLOOKUP(Table4[[#This Row],[Visitor]],'NHL Model'!$A$6:$B$38,2,FALSE)</f>
        <v>1.2879210938040288E-2</v>
      </c>
      <c r="J96">
        <f>($B$1+Table4[[#This Row],[Home Differential]])-Table4[[#This Row],[Away Differential]]</f>
        <v>-0.55657560899020275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0.57210693470178076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0.18309247533030612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-0.32182316569099201</v>
      </c>
      <c r="H97" t="s">
        <v>32</v>
      </c>
      <c r="I97">
        <f>VLOOKUP(Table4[[#This Row],[Visitor]],'NHL Model'!$A$6:$B$38,2,FALSE)</f>
        <v>-0.57094405545214133</v>
      </c>
      <c r="J97">
        <f>($B$1+Table4[[#This Row],[Home Differential]])-Table4[[#This Row],[Away Differential]]</f>
        <v>0.34509088493181256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0.57445976436451196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0.18108449214470668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-4.774288798450349E-3</v>
      </c>
      <c r="H98" t="s">
        <v>25</v>
      </c>
      <c r="I98">
        <f>VLOOKUP(Table4[[#This Row],[Visitor]],'NHL Model'!$A$6:$B$38,2,FALSE)</f>
        <v>0.29527586190964761</v>
      </c>
      <c r="J98">
        <f>($B$1+Table4[[#This Row],[Home Differential]])-Table4[[#This Row],[Away Differential]]</f>
        <v>-0.20408015553743469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0.53966668003440044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0.29124012553935191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-5.5047914862176604E-2</v>
      </c>
      <c r="H99" t="s">
        <v>11</v>
      </c>
      <c r="I99">
        <f>VLOOKUP(Table4[[#This Row],[Visitor]],'NHL Model'!$A$6:$B$38,2,FALSE)</f>
        <v>-0.42375285621939396</v>
      </c>
      <c r="J99">
        <f>($B$1+Table4[[#This Row],[Home Differential]])-Table4[[#This Row],[Away Differential]]</f>
        <v>0.46467493652788061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0.57853475336820026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0.33470246085480432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0.21259592260910548</v>
      </c>
      <c r="H100" t="s">
        <v>28</v>
      </c>
      <c r="I100">
        <f>VLOOKUP(Table4[[#This Row],[Visitor]],'NHL Model'!$A$6:$B$38,2,FALSE)</f>
        <v>-0.42584667868780524</v>
      </c>
      <c r="J100">
        <f>($B$1+Table4[[#This Row],[Home Differential]])-Table4[[#This Row],[Away Differential]]</f>
        <v>0.73441259646757395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0.63244172075030058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0.3999825301456012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-0.74313650334688619</v>
      </c>
      <c r="H101" t="s">
        <v>31</v>
      </c>
      <c r="I101">
        <f>VLOOKUP(Table4[[#This Row],[Visitor]],'NHL Model'!$A$6:$B$38,2,FALSE)</f>
        <v>-0.38289376966531796</v>
      </c>
      <c r="J101">
        <f>($B$1+Table4[[#This Row],[Home Differential]])-Table4[[#This Row],[Away Differential]]</f>
        <v>-0.26427273851090494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0.48638950112765073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0.26379574455190358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-0.20908736804509698</v>
      </c>
      <c r="H102" t="s">
        <v>33</v>
      </c>
      <c r="I102">
        <f>VLOOKUP(Table4[[#This Row],[Visitor]],'NHL Model'!$A$6:$B$38,2,FALSE)</f>
        <v>-0.53461960928306718</v>
      </c>
      <c r="J102">
        <f>($B$1+Table4[[#This Row],[Home Differential]])-Table4[[#This Row],[Away Differential]]</f>
        <v>0.42150223640863343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0.57039186476630255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0.18456314985897487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-0.40390734274709933</v>
      </c>
      <c r="H103" t="s">
        <v>17</v>
      </c>
      <c r="I103">
        <f>VLOOKUP(Table4[[#This Row],[Visitor]],'NHL Model'!$A$6:$B$38,2,FALSE)</f>
        <v>-0.20041140176017086</v>
      </c>
      <c r="J103">
        <f>($B$1+Table4[[#This Row],[Home Differential]])-Table4[[#This Row],[Away Differential]]</f>
        <v>-0.10752594581626523</v>
      </c>
      <c r="K103" t="str">
        <f>IF(Table4[[#This Row],[HomeIce Differential]]&gt;0,Table4[[#This Row],[Home]],Table4[[#This Row],[Visitor]])</f>
        <v>Edmonton Oilers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0.47304163548113304</v>
      </c>
      <c r="M103" t="str">
        <f>IF(OR((NHL2025_26Results[[#This Row],[Winning Team]]="")),"-",IF(Table4[[#This Row],[Predicted Winner]]=NHL2025_26Results[[#This Row],[Winning Team]],"YES","NO"))</f>
        <v>YES</v>
      </c>
      <c r="N103">
        <f>IF(Table4[[#This Row],[Adjusted Correct]]="-", "",IF(Table4[[#This Row],[Adjusted Correct]]="YES",(Table4[[#This Row],[Strength of Win]]-1)^2,(Table4[[#This Row],[Strength of Win]]-0)^2))</f>
        <v>0.277685117936399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3.24300967767114E-5</v>
      </c>
      <c r="H104" t="s">
        <v>38</v>
      </c>
      <c r="I104">
        <f>VLOOKUP(Table4[[#This Row],[Visitor]],'NHL Model'!$A$6:$B$38,2,FALSE)</f>
        <v>-1.2591310848703385</v>
      </c>
      <c r="J104">
        <f>($B$1+Table4[[#This Row],[Home Differential]])-Table4[[#This Row],[Away Differential]]</f>
        <v>1.3551335101377786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0.67531966064832116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0.10541732276152133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-1.2663626722629573</v>
      </c>
      <c r="H105" t="s">
        <v>13</v>
      </c>
      <c r="I105">
        <f>VLOOKUP(Table4[[#This Row],[Visitor]],'NHL Model'!$A$6:$B$38,2,FALSE)</f>
        <v>-0.43624947117902363</v>
      </c>
      <c r="J105">
        <f>($B$1+Table4[[#This Row],[Home Differential]])-Table4[[#This Row],[Away Differential]]</f>
        <v>-0.73414320591327042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0.56387542662503232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0.19020464350149757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-0.32175529201986758</v>
      </c>
      <c r="H106" t="s">
        <v>24</v>
      </c>
      <c r="I106">
        <f>VLOOKUP(Table4[[#This Row],[Visitor]],'NHL Model'!$A$6:$B$38,2,FALSE)</f>
        <v>-0.52712015292731806</v>
      </c>
      <c r="J106">
        <f>($B$1+Table4[[#This Row],[Home Differential]])-Table4[[#This Row],[Away Differential]]</f>
        <v>0.30133485607811372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0.53745168396809584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0.28885431260014199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0.12055191373383152</v>
      </c>
      <c r="H107" t="s">
        <v>12</v>
      </c>
      <c r="I107">
        <f>VLOOKUP(Table4[[#This Row],[Visitor]],'NHL Model'!$A$6:$B$38,2,FALSE)</f>
        <v>1.1751846443488465</v>
      </c>
      <c r="J107">
        <f>($B$1+Table4[[#This Row],[Home Differential]])-Table4[[#This Row],[Away Differential]]</f>
        <v>-0.95866273544435177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0.58912132156282504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0.34706393151992948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-8.9159851516330005E-2</v>
      </c>
      <c r="H108" t="s">
        <v>32</v>
      </c>
      <c r="I108">
        <f>VLOOKUP(Table4[[#This Row],[Visitor]],'NHL Model'!$A$6:$B$38,2,FALSE)</f>
        <v>-0.57094405545214133</v>
      </c>
      <c r="J108">
        <f>($B$1+Table4[[#This Row],[Home Differential]])-Table4[[#This Row],[Away Differential]]</f>
        <v>0.57775419910647452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0.59769284101998332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0.16185105016657242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2.7346770720058793E-2</v>
      </c>
      <c r="H109" t="s">
        <v>26</v>
      </c>
      <c r="I109">
        <f>VLOOKUP(Table4[[#This Row],[Visitor]],'NHL Model'!$A$6:$B$38,2,FALSE)</f>
        <v>-0.17319925920548884</v>
      </c>
      <c r="J109">
        <f>($B$1+Table4[[#This Row],[Home Differential]])-Table4[[#This Row],[Away Differential]]</f>
        <v>0.29651602509621089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0.57269016117405591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0.18259369835745431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-0.79148902514100783</v>
      </c>
      <c r="H110" t="s">
        <v>18</v>
      </c>
      <c r="I110">
        <f>VLOOKUP(Table4[[#This Row],[Visitor]],'NHL Model'!$A$6:$B$38,2,FALSE)</f>
        <v>-0.23645483545724041</v>
      </c>
      <c r="J110">
        <f>($B$1+Table4[[#This Row],[Home Differential]])-Table4[[#This Row],[Away Differential]]</f>
        <v>-0.4590641945131041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0.54512753826045535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0.20690895644899351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-0.52712015292731806</v>
      </c>
      <c r="H111" t="s">
        <v>34</v>
      </c>
      <c r="I111">
        <f>VLOOKUP(Table4[[#This Row],[Visitor]],'NHL Model'!$A$6:$B$38,2,FALSE)</f>
        <v>1.2879210938040288E-2</v>
      </c>
      <c r="J111">
        <f>($B$1+Table4[[#This Row],[Home Differential]])-Table4[[#This Row],[Away Differential]]</f>
        <v>-0.44402936869469511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0.56086839700044089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0.31457335875384418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-5.5047914862176604E-2</v>
      </c>
      <c r="H112" t="s">
        <v>31</v>
      </c>
      <c r="I112">
        <f>VLOOKUP(Table4[[#This Row],[Visitor]],'NHL Model'!$A$6:$B$38,2,FALSE)</f>
        <v>-0.38289376966531796</v>
      </c>
      <c r="J112">
        <f>($B$1+Table4[[#This Row],[Home Differential]])-Table4[[#This Row],[Away Differential]]</f>
        <v>0.42381584997380461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0.62522256304779089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0.39090325334404885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1.1751846443488465</v>
      </c>
      <c r="H113" t="s">
        <v>25</v>
      </c>
      <c r="I113">
        <f>VLOOKUP(Table4[[#This Row],[Visitor]],'NHL Model'!$A$6:$B$38,2,FALSE)</f>
        <v>0.29527586190964761</v>
      </c>
      <c r="J113">
        <f>($B$1+Table4[[#This Row],[Home Differential]])-Table4[[#This Row],[Away Differential]]</f>
        <v>0.97587877760986208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0.66616877373841521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0.44378083510414384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0.21259592260910548</v>
      </c>
      <c r="H114" t="s">
        <v>13</v>
      </c>
      <c r="I114">
        <f>VLOOKUP(Table4[[#This Row],[Visitor]],'NHL Model'!$A$6:$B$38,2,FALSE)</f>
        <v>-0.43624947117902363</v>
      </c>
      <c r="J114">
        <f>($B$1+Table4[[#This Row],[Home Differential]])-Table4[[#This Row],[Away Differential]]</f>
        <v>0.74481538895879229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0.60307598815410191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0.36370064748804648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-0.20041140176017086</v>
      </c>
      <c r="H115" t="s">
        <v>18</v>
      </c>
      <c r="I115">
        <f>VLOOKUP(Table4[[#This Row],[Visitor]],'NHL Model'!$A$6:$B$38,2,FALSE)</f>
        <v>-0.23645483545724041</v>
      </c>
      <c r="J115">
        <f>($B$1+Table4[[#This Row],[Home Differential]])-Table4[[#This Row],[Away Differential]]</f>
        <v>0.13201342886773282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0.51389574085879475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0.23629735075522004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-0.42375285621939396</v>
      </c>
      <c r="H116" t="s">
        <v>14</v>
      </c>
      <c r="I116">
        <f>VLOOKUP(Table4[[#This Row],[Visitor]],'NHL Model'!$A$6:$B$38,2,FALSE)</f>
        <v>3.24300967767114E-5</v>
      </c>
      <c r="J116">
        <f>($B$1+Table4[[#This Row],[Home Differential]])-Table4[[#This Row],[Away Differential]]</f>
        <v>-0.32781529114550745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0.54182558329185226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0.20992379612585141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-0.74313650334688619</v>
      </c>
      <c r="H117" t="s">
        <v>38</v>
      </c>
      <c r="I117">
        <f>VLOOKUP(Table4[[#This Row],[Visitor]],'NHL Model'!$A$6:$B$38,2,FALSE)</f>
        <v>-1.2591310848703385</v>
      </c>
      <c r="J117">
        <f>($B$1+Table4[[#This Row],[Home Differential]])-Table4[[#This Row],[Away Differential]]</f>
        <v>0.61196457669411564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0.60110898906087984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0.15911403860803328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-0.20908736804509698</v>
      </c>
      <c r="H118" t="s">
        <v>26</v>
      </c>
      <c r="I118">
        <f>VLOOKUP(Table4[[#This Row],[Visitor]],'NHL Model'!$A$6:$B$38,2,FALSE)</f>
        <v>-0.17319925920548884</v>
      </c>
      <c r="J118">
        <f>($B$1+Table4[[#This Row],[Home Differential]])-Table4[[#This Row],[Away Differential]]</f>
        <v>6.0081886331055115E-2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0.51580352264749296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0.23444622868057685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-0.6396663932228257</v>
      </c>
      <c r="H119" t="s">
        <v>33</v>
      </c>
      <c r="I119">
        <f>VLOOKUP(Table4[[#This Row],[Visitor]],'NHL Model'!$A$6:$B$38,2,FALSE)</f>
        <v>-0.53461960928306718</v>
      </c>
      <c r="J119">
        <f>($B$1+Table4[[#This Row],[Home Differential]])-Table4[[#This Row],[Away Differential]]</f>
        <v>-9.0767887690952342E-3</v>
      </c>
      <c r="K119" t="str">
        <f>IF(Table4[[#This Row],[HomeIce Differential]]&gt;0,Table4[[#This Row],[Home]],Table4[[#This Row],[Visitor]])</f>
        <v>San Jose Sharks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0.48167561229313355</v>
      </c>
      <c r="M119" t="str">
        <f>IF(OR((NHL2025_26Results[[#This Row],[Winning Team]]="")),"-",IF(Table4[[#This Row],[Predicted Winner]]=NHL2025_26Results[[#This Row],[Winning Team]],"YES","NO"))</f>
        <v>YES</v>
      </c>
      <c r="N119">
        <f>IF(Table4[[#This Row],[Adjusted Correct]]="-", "",IF(Table4[[#This Row],[Adjusted Correct]]="YES",(Table4[[#This Row],[Strength of Win]]-1)^2,(Table4[[#This Row],[Strength of Win]]-0)^2))</f>
        <v>0.26866017089169797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-0.40390734274709933</v>
      </c>
      <c r="H120" t="s">
        <v>27</v>
      </c>
      <c r="I120">
        <f>VLOOKUP(Table4[[#This Row],[Visitor]],'NHL Model'!$A$6:$B$38,2,FALSE)</f>
        <v>-0.32182316569099201</v>
      </c>
      <c r="J120">
        <f>($B$1+Table4[[#This Row],[Home Differential]])-Table4[[#This Row],[Away Differential]]</f>
        <v>1.3885818114555915E-2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0.53079836180574669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0.22015017728417099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-1.2663626722629573</v>
      </c>
      <c r="H121" t="s">
        <v>55</v>
      </c>
      <c r="I121">
        <f>VLOOKUP(Table4[[#This Row],[Visitor]],'NHL Model'!$A$6:$B$38,2,FALSE)</f>
        <v>0.12055191373383152</v>
      </c>
      <c r="J121">
        <f>($B$1+Table4[[#This Row],[Home Differential]])-Table4[[#This Row],[Away Differential]]</f>
        <v>-1.2909445908261257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0.58890994329305324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0.1689950347233207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0.65340538721281671</v>
      </c>
      <c r="H122" t="s">
        <v>10</v>
      </c>
      <c r="I122">
        <f>VLOOKUP(Table4[[#This Row],[Visitor]],'NHL Model'!$A$6:$B$38,2,FALSE)</f>
        <v>-0.70456324341534593</v>
      </c>
      <c r="J122">
        <f>($B$1+Table4[[#This Row],[Home Differential]])-Table4[[#This Row],[Away Differential]]</f>
        <v>1.453938625798826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0.70746978694086771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0.50051349943415679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-0.47391784202962389</v>
      </c>
      <c r="H123" t="s">
        <v>32</v>
      </c>
      <c r="I123">
        <f>VLOOKUP(Table4[[#This Row],[Visitor]],'NHL Model'!$A$6:$B$38,2,FALSE)</f>
        <v>-0.57094405545214133</v>
      </c>
      <c r="J123">
        <f>($B$1+Table4[[#This Row],[Home Differential]])-Table4[[#This Row],[Away Differential]]</f>
        <v>0.19299620859318067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0.5592720357498846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0.31278520997182019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2.7346770720058793E-2</v>
      </c>
      <c r="H124" t="s">
        <v>19</v>
      </c>
      <c r="I124">
        <f>VLOOKUP(Table4[[#This Row],[Visitor]],'NHL Model'!$A$6:$B$38,2,FALSE)</f>
        <v>-0.32175529201986758</v>
      </c>
      <c r="J124">
        <f>($B$1+Table4[[#This Row],[Home Differential]])-Table4[[#This Row],[Away Differential]]</f>
        <v>0.44507205791058962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0.62626177308793618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0.13968026225537331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-0.42584667868780524</v>
      </c>
      <c r="H125" t="s">
        <v>22</v>
      </c>
      <c r="I125">
        <f>VLOOKUP(Table4[[#This Row],[Visitor]],'NHL Model'!$A$6:$B$38,2,FALSE)</f>
        <v>-8.9159851516330005E-2</v>
      </c>
      <c r="J125">
        <f>($B$1+Table4[[#This Row],[Home Differential]])-Table4[[#This Row],[Away Differential]]</f>
        <v>-0.24071683200081201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0.48403727734205099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0.26621753117260366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-0.52712015292731806</v>
      </c>
      <c r="H126" t="s">
        <v>33</v>
      </c>
      <c r="I126">
        <f>VLOOKUP(Table4[[#This Row],[Visitor]],'NHL Model'!$A$6:$B$38,2,FALSE)</f>
        <v>-0.53461960928306718</v>
      </c>
      <c r="J126">
        <f>($B$1+Table4[[#This Row],[Home Differential]])-Table4[[#This Row],[Away Differential]]</f>
        <v>0.10346945152641235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0.52956292540820638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0.22131104115048481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-0.47391784202962389</v>
      </c>
      <c r="H127" t="s">
        <v>16</v>
      </c>
      <c r="I127">
        <f>VLOOKUP(Table4[[#This Row],[Visitor]],'NHL Model'!$A$6:$B$38,2,FALSE)</f>
        <v>-0.79148902514100783</v>
      </c>
      <c r="J127">
        <f>($B$1+Table4[[#This Row],[Home Differential]])-Table4[[#This Row],[Away Differential]]</f>
        <v>0.41354117828204717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0.58129501004188433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0.17531386861582574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-5.5047914862176604E-2</v>
      </c>
      <c r="H128" t="s">
        <v>12</v>
      </c>
      <c r="I128">
        <f>VLOOKUP(Table4[[#This Row],[Visitor]],'NHL Model'!$A$6:$B$38,2,FALSE)</f>
        <v>1.1751846443488465</v>
      </c>
      <c r="J128">
        <f>($B$1+Table4[[#This Row],[Home Differential]])-Table4[[#This Row],[Away Differential]]</f>
        <v>-1.1342625640403599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0.59961649262764605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0.35953993823107988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0.21259592260910548</v>
      </c>
      <c r="H129" t="s">
        <v>25</v>
      </c>
      <c r="I129">
        <f>VLOOKUP(Table4[[#This Row],[Visitor]],'NHL Model'!$A$6:$B$38,2,FALSE)</f>
        <v>0.29527586190964761</v>
      </c>
      <c r="J129">
        <f>($B$1+Table4[[#This Row],[Home Differential]])-Table4[[#This Row],[Away Differential]]</f>
        <v>1.3290055870121109E-2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0.50132710602821651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0.24867465518219362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-0.17319925920548884</v>
      </c>
      <c r="H130" t="s">
        <v>35</v>
      </c>
      <c r="I130">
        <f>VLOOKUP(Table4[[#This Row],[Visitor]],'NHL Model'!$A$6:$B$38,2,FALSE)</f>
        <v>-1.2663626722629573</v>
      </c>
      <c r="J130">
        <f>($B$1+Table4[[#This Row],[Home Differential]])-Table4[[#This Row],[Away Differential]]</f>
        <v>1.1891334082281317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0.71045935332205457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8.3833786078682831E-2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-0.42375285621939396</v>
      </c>
      <c r="H131" t="s">
        <v>20</v>
      </c>
      <c r="I131">
        <f>VLOOKUP(Table4[[#This Row],[Visitor]],'NHL Model'!$A$6:$B$38,2,FALSE)</f>
        <v>-4.774288798450349E-3</v>
      </c>
      <c r="J131">
        <f>($B$1+Table4[[#This Row],[Home Differential]])-Table4[[#This Row],[Away Differential]]</f>
        <v>-0.32300857225028035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0.52282072707561944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0.27334151265987933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1.2879210938040288E-2</v>
      </c>
      <c r="H132" t="s">
        <v>55</v>
      </c>
      <c r="I132">
        <f>VLOOKUP(Table4[[#This Row],[Visitor]],'NHL Model'!$A$6:$B$38,2,FALSE)</f>
        <v>0.12055191373383152</v>
      </c>
      <c r="J132">
        <f>($B$1+Table4[[#This Row],[Home Differential]])-Table4[[#This Row],[Away Differential]]</f>
        <v>-1.1702707625127984E-2</v>
      </c>
      <c r="K132" t="str">
        <f>IF(Table4[[#This Row],[HomeIce Differential]]&gt;0,Table4[[#This Row],[Home]],Table4[[#This Row],[Visitor]])</f>
        <v>Utah Mammoth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0.46116859808472882</v>
      </c>
      <c r="M132" t="str">
        <f>IF(OR((NHL2025_26Results[[#This Row],[Winning Team]]="")),"-",IF(Table4[[#This Row],[Predicted Winner]]=NHL2025_26Results[[#This Row],[Winning Team]],"YES","NO"))</f>
        <v>YES</v>
      </c>
      <c r="N132">
        <f>IF(Table4[[#This Row],[Adjusted Correct]]="-", "",IF(Table4[[#This Row],[Adjusted Correct]]="YES",(Table4[[#This Row],[Strength of Win]]-1)^2,(Table4[[#This Row],[Strength of Win]]-0)^2))</f>
        <v>0.29033927968997647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-0.74313650334688619</v>
      </c>
      <c r="H133" t="s">
        <v>13</v>
      </c>
      <c r="I133">
        <f>VLOOKUP(Table4[[#This Row],[Visitor]],'NHL Model'!$A$6:$B$38,2,FALSE)</f>
        <v>-0.43624947117902363</v>
      </c>
      <c r="J133">
        <f>($B$1+Table4[[#This Row],[Home Differential]])-Table4[[#This Row],[Away Differential]]</f>
        <v>-0.21091703699719927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0.51162759488715037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0.26176279585001005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-0.32182316569099201</v>
      </c>
      <c r="H134" t="s">
        <v>30</v>
      </c>
      <c r="I134">
        <f>VLOOKUP(Table4[[#This Row],[Visitor]],'NHL Model'!$A$6:$B$38,2,FALSE)</f>
        <v>-0.20908736804509698</v>
      </c>
      <c r="J134">
        <f>($B$1+Table4[[#This Row],[Home Differential]])-Table4[[#This Row],[Away Differential]]</f>
        <v>-1.6765802475231795E-2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0.48244341466659041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0.23275164835515971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3.24300967767114E-5</v>
      </c>
      <c r="H135" t="s">
        <v>28</v>
      </c>
      <c r="I135">
        <f>VLOOKUP(Table4[[#This Row],[Visitor]],'NHL Model'!$A$6:$B$38,2,FALSE)</f>
        <v>-0.42584667868780524</v>
      </c>
      <c r="J135">
        <f>($B$1+Table4[[#This Row],[Home Differential]])-Table4[[#This Row],[Away Differential]]</f>
        <v>0.5218491039552452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0.59211032206684533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0.35059463349810333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-0.57094405545214133</v>
      </c>
      <c r="H136" t="s">
        <v>17</v>
      </c>
      <c r="I136">
        <f>VLOOKUP(Table4[[#This Row],[Visitor]],'NHL Model'!$A$6:$B$38,2,FALSE)</f>
        <v>-0.20041140176017086</v>
      </c>
      <c r="J136">
        <f>($B$1+Table4[[#This Row],[Home Differential]])-Table4[[#This Row],[Away Differential]]</f>
        <v>-0.27456265852130723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0.48972143205465241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0.23982708101365954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0.65340538721281671</v>
      </c>
      <c r="H137" t="s">
        <v>31</v>
      </c>
      <c r="I137">
        <f>VLOOKUP(Table4[[#This Row],[Visitor]],'NHL Model'!$A$6:$B$38,2,FALSE)</f>
        <v>-0.38289376966531796</v>
      </c>
      <c r="J137">
        <f>($B$1+Table4[[#This Row],[Home Differential]])-Table4[[#This Row],[Away Differential]]</f>
        <v>1.132269152048798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0.6753488160526544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0.10539839123841323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-0.32175529201986758</v>
      </c>
      <c r="H138" t="s">
        <v>23</v>
      </c>
      <c r="I138">
        <f>VLOOKUP(Table4[[#This Row],[Visitor]],'NHL Model'!$A$6:$B$38,2,FALSE)</f>
        <v>2.7346770720058793E-2</v>
      </c>
      <c r="J138">
        <f>($B$1+Table4[[#This Row],[Home Differential]])-Table4[[#This Row],[Away Differential]]</f>
        <v>-0.25313206756926315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0.50068686244447125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0.25068733422448886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-1.2591310848703385</v>
      </c>
      <c r="H139" t="s">
        <v>18</v>
      </c>
      <c r="I139">
        <f>VLOOKUP(Table4[[#This Row],[Visitor]],'NHL Model'!$A$6:$B$38,2,FALSE)</f>
        <v>-0.23645483545724041</v>
      </c>
      <c r="J139">
        <f>($B$1+Table4[[#This Row],[Home Differential]])-Table4[[#This Row],[Away Differential]]</f>
        <v>-0.92670625424243491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0.5918249037628559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0.16660690918820184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-8.9159851516330005E-2</v>
      </c>
      <c r="H140" t="s">
        <v>36</v>
      </c>
      <c r="I140">
        <f>VLOOKUP(Table4[[#This Row],[Visitor]],'NHL Model'!$A$6:$B$38,2,FALSE)</f>
        <v>-0.40390734274709933</v>
      </c>
      <c r="J140">
        <f>($B$1+Table4[[#This Row],[Home Differential]])-Table4[[#This Row],[Away Differential]]</f>
        <v>0.41071748640143257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0.58018355135890631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0.33661295326743268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-0.79148902514100783</v>
      </c>
      <c r="H141" t="s">
        <v>15</v>
      </c>
      <c r="I141">
        <f>VLOOKUP(Table4[[#This Row],[Visitor]],'NHL Model'!$A$6:$B$38,2,FALSE)</f>
        <v>-0.6396663932228257</v>
      </c>
      <c r="J141">
        <f>($B$1+Table4[[#This Row],[Home Differential]])-Table4[[#This Row],[Away Differential]]</f>
        <v>-5.5852636747518836E-2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0.51762547338177467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0.26793613069370631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-0.70456324341534593</v>
      </c>
      <c r="H142" t="s">
        <v>13</v>
      </c>
      <c r="I142">
        <f>VLOOKUP(Table4[[#This Row],[Visitor]],'NHL Model'!$A$6:$B$38,2,FALSE)</f>
        <v>-0.43624947117902363</v>
      </c>
      <c r="J142">
        <f>($B$1+Table4[[#This Row],[Home Differential]])-Table4[[#This Row],[Away Differential]]</f>
        <v>-0.17234377706565901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0.50777578220228448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0.24228468058657288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1.2879210938040288E-2</v>
      </c>
      <c r="H143" t="s">
        <v>33</v>
      </c>
      <c r="I143">
        <f>VLOOKUP(Table4[[#This Row],[Visitor]],'NHL Model'!$A$6:$B$38,2,FALSE)</f>
        <v>-0.53461960928306718</v>
      </c>
      <c r="J143">
        <f>($B$1+Table4[[#This Row],[Home Differential]])-Table4[[#This Row],[Away Differential]]</f>
        <v>0.6434688153917707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0.58348567923424088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0.34045553787144345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-0.52712015292731806</v>
      </c>
      <c r="H144" t="s">
        <v>12</v>
      </c>
      <c r="I144">
        <f>VLOOKUP(Table4[[#This Row],[Visitor]],'NHL Model'!$A$6:$B$38,2,FALSE)</f>
        <v>1.1751846443488465</v>
      </c>
      <c r="J144">
        <f>($B$1+Table4[[#This Row],[Home Differential]])-Table4[[#This Row],[Away Differential]]</f>
        <v>-1.6063348021055013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0.69030547513920448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0.47652164900716287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-0.74313650334688619</v>
      </c>
      <c r="H145" t="s">
        <v>39</v>
      </c>
      <c r="I145">
        <f>VLOOKUP(Table4[[#This Row],[Visitor]],'NHL Model'!$A$6:$B$38,2,FALSE)</f>
        <v>0.21259592260910548</v>
      </c>
      <c r="J145">
        <f>($B$1+Table4[[#This Row],[Home Differential]])-Table4[[#This Row],[Away Differential]]</f>
        <v>-0.85976243078532844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0.58386132464305407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0.17317139712783364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0.65340538721281671</v>
      </c>
      <c r="H146" t="s">
        <v>20</v>
      </c>
      <c r="I146">
        <f>VLOOKUP(Table4[[#This Row],[Visitor]],'NHL Model'!$A$6:$B$38,2,FALSE)</f>
        <v>-4.774288798450349E-3</v>
      </c>
      <c r="J146">
        <f>($B$1+Table4[[#This Row],[Home Differential]])-Table4[[#This Row],[Away Differential]]</f>
        <v>0.75414967118193033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0.60722206949226487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0.15427450269393922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-1.2591310848703385</v>
      </c>
      <c r="H147" t="s">
        <v>17</v>
      </c>
      <c r="I147">
        <f>VLOOKUP(Table4[[#This Row],[Visitor]],'NHL Model'!$A$6:$B$38,2,FALSE)</f>
        <v>-0.20041140176017086</v>
      </c>
      <c r="J147">
        <f>($B$1+Table4[[#This Row],[Home Differential]])-Table4[[#This Row],[Away Differential]]</f>
        <v>-0.96274968793950455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0.55844177184905286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0.31185721254590959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-0.47391784202962389</v>
      </c>
      <c r="H148" t="s">
        <v>55</v>
      </c>
      <c r="I148">
        <f>VLOOKUP(Table4[[#This Row],[Visitor]],'NHL Model'!$A$6:$B$38,2,FALSE)</f>
        <v>0.12055191373383152</v>
      </c>
      <c r="J148">
        <f>($B$1+Table4[[#This Row],[Home Differential]])-Table4[[#This Row],[Away Differential]]</f>
        <v>-0.49849976059279216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0.50977872507176625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0.24031689839226295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-0.40390734274709933</v>
      </c>
      <c r="H149" t="s">
        <v>21</v>
      </c>
      <c r="I149">
        <f>VLOOKUP(Table4[[#This Row],[Visitor]],'NHL Model'!$A$6:$B$38,2,FALSE)</f>
        <v>-5.5047914862176604E-2</v>
      </c>
      <c r="J149">
        <f>($B$1+Table4[[#This Row],[Home Differential]])-Table4[[#This Row],[Away Differential]]</f>
        <v>-0.25288943271425951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0.48525279757339984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0.23547027755281097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3.24300967767114E-5</v>
      </c>
      <c r="H150" t="s">
        <v>35</v>
      </c>
      <c r="I150">
        <f>VLOOKUP(Table4[[#This Row],[Visitor]],'NHL Model'!$A$6:$B$38,2,FALSE)</f>
        <v>-1.2663626722629573</v>
      </c>
      <c r="J150">
        <f>($B$1+Table4[[#This Row],[Home Differential]])-Table4[[#This Row],[Away Differential]]</f>
        <v>1.3623650975303971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0.67604178577075169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0.10494892456660354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-5.5047914862176604E-2</v>
      </c>
      <c r="H151" t="s">
        <v>30</v>
      </c>
      <c r="I151">
        <f>VLOOKUP(Table4[[#This Row],[Visitor]],'NHL Model'!$A$6:$B$38,2,FALSE)</f>
        <v>-0.20908736804509698</v>
      </c>
      <c r="J151">
        <f>($B$1+Table4[[#This Row],[Home Differential]])-Table4[[#This Row],[Away Differential]]</f>
        <v>0.25000944835358363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0.58746521077590452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0.17018495232016889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2.7346770720058793E-2</v>
      </c>
      <c r="H152" t="s">
        <v>28</v>
      </c>
      <c r="I152">
        <f>VLOOKUP(Table4[[#This Row],[Visitor]],'NHL Model'!$A$6:$B$38,2,FALSE)</f>
        <v>-0.42584667868780524</v>
      </c>
      <c r="J152">
        <f>($B$1+Table4[[#This Row],[Home Differential]])-Table4[[#This Row],[Away Differential]]</f>
        <v>0.54916344457852728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0.63665603388581604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0.40533090548321732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0.29527586190964761</v>
      </c>
      <c r="H153" t="s">
        <v>20</v>
      </c>
      <c r="I153">
        <f>VLOOKUP(Table4[[#This Row],[Visitor]],'NHL Model'!$A$6:$B$38,2,FALSE)</f>
        <v>-4.774288798450349E-3</v>
      </c>
      <c r="J153">
        <f>($B$1+Table4[[#This Row],[Home Differential]])-Table4[[#This Row],[Away Differential]]</f>
        <v>0.39602014587876122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0.5923709639229171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0.35090335889896596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-0.70456324341534593</v>
      </c>
      <c r="H154" t="s">
        <v>36</v>
      </c>
      <c r="I154">
        <f>VLOOKUP(Table4[[#This Row],[Visitor]],'NHL Model'!$A$6:$B$38,2,FALSE)</f>
        <v>-0.40390734274709933</v>
      </c>
      <c r="J154">
        <f>($B$1+Table4[[#This Row],[Home Differential]])-Table4[[#This Row],[Away Differential]]</f>
        <v>-0.20468590549758331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0.48126882770973156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0.23161968452509929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1.1751846443488465</v>
      </c>
      <c r="H155" t="s">
        <v>24</v>
      </c>
      <c r="I155">
        <f>VLOOKUP(Table4[[#This Row],[Visitor]],'NHL Model'!$A$6:$B$38,2,FALSE)</f>
        <v>-0.52712015292731806</v>
      </c>
      <c r="J155">
        <f>($B$1+Table4[[#This Row],[Home Differential]])-Table4[[#This Row],[Away Differential]]</f>
        <v>1.7982747924468279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0.76904413453581866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5.3340611792309034E-2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0.21259592260910548</v>
      </c>
      <c r="H156" t="s">
        <v>22</v>
      </c>
      <c r="I156">
        <f>VLOOKUP(Table4[[#This Row],[Visitor]],'NHL Model'!$A$6:$B$38,2,FALSE)</f>
        <v>-8.9159851516330005E-2</v>
      </c>
      <c r="J156">
        <f>($B$1+Table4[[#This Row],[Home Differential]])-Table4[[#This Row],[Away Differential]]</f>
        <v>0.39772576929609871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0.59882116096282112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0.16094446089121869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-0.20041140176017086</v>
      </c>
      <c r="H157" t="s">
        <v>55</v>
      </c>
      <c r="I157">
        <f>VLOOKUP(Table4[[#This Row],[Visitor]],'NHL Model'!$A$6:$B$38,2,FALSE)</f>
        <v>0.12055191373383152</v>
      </c>
      <c r="J157">
        <f>($B$1+Table4[[#This Row],[Home Differential]])-Table4[[#This Row],[Away Differential]]</f>
        <v>-0.22499332032333913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0.48246717354897217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0.23277457355233402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-0.42375285621939396</v>
      </c>
      <c r="H158" t="s">
        <v>31</v>
      </c>
      <c r="I158">
        <f>VLOOKUP(Table4[[#This Row],[Visitor]],'NHL Model'!$A$6:$B$38,2,FALSE)</f>
        <v>-0.38289376966531796</v>
      </c>
      <c r="J158">
        <f>($B$1+Table4[[#This Row],[Home Differential]])-Table4[[#This Row],[Away Differential]]</f>
        <v>5.511090861658724E-2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0.54550321381341904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0.29757375628076876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1.2879210938040288E-2</v>
      </c>
      <c r="H159" t="s">
        <v>40</v>
      </c>
      <c r="I159">
        <f>VLOOKUP(Table4[[#This Row],[Visitor]],'NHL Model'!$A$6:$B$38,2,FALSE)</f>
        <v>-0.47391784202962389</v>
      </c>
      <c r="J159">
        <f>($B$1+Table4[[#This Row],[Home Differential]])-Table4[[#This Row],[Away Differential]]</f>
        <v>0.58276704813832747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0.59819340943246591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0.35783535508843778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-0.74313650334688619</v>
      </c>
      <c r="H160" t="s">
        <v>37</v>
      </c>
      <c r="I160">
        <f>VLOOKUP(Table4[[#This Row],[Visitor]],'NHL Model'!$A$6:$B$38,2,FALSE)</f>
        <v>0.65340538721281671</v>
      </c>
      <c r="J160">
        <f>($B$1+Table4[[#This Row],[Home Differential]])-Table4[[#This Row],[Away Differential]]</f>
        <v>-1.3005718953890395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0.6867294454246059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9.8138440363974969E-2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-0.32182316569099201</v>
      </c>
      <c r="H161" t="s">
        <v>14</v>
      </c>
      <c r="I161">
        <f>VLOOKUP(Table4[[#This Row],[Visitor]],'NHL Model'!$A$6:$B$38,2,FALSE)</f>
        <v>3.24300967767114E-5</v>
      </c>
      <c r="J161">
        <f>($B$1+Table4[[#This Row],[Home Differential]])-Table4[[#This Row],[Away Differential]]</f>
        <v>-0.22588560061710547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0.53164718313488957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0.28264872733526281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-0.57094405545214133</v>
      </c>
      <c r="H162" t="s">
        <v>18</v>
      </c>
      <c r="I162">
        <f>VLOOKUP(Table4[[#This Row],[Visitor]],'NHL Model'!$A$6:$B$38,2,FALSE)</f>
        <v>-0.23645483545724041</v>
      </c>
      <c r="J162">
        <f>($B$1+Table4[[#This Row],[Home Differential]])-Table4[[#This Row],[Away Differential]]</f>
        <v>-0.23851922482423768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0.5231045639684555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0.22742925690771695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-0.53461960928306718</v>
      </c>
      <c r="H163" t="s">
        <v>13</v>
      </c>
      <c r="I163">
        <f>VLOOKUP(Table4[[#This Row],[Visitor]],'NHL Model'!$A$6:$B$38,2,FALSE)</f>
        <v>-0.43624947117902363</v>
      </c>
      <c r="J163">
        <f>($B$1+Table4[[#This Row],[Home Differential]])-Table4[[#This Row],[Away Differential]]</f>
        <v>-2.4001429333803115E-3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0.49080570897475118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0.2592788260127058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-1.2663626722629573</v>
      </c>
      <c r="H164" t="s">
        <v>26</v>
      </c>
      <c r="I164">
        <f>VLOOKUP(Table4[[#This Row],[Visitor]],'NHL Model'!$A$6:$B$38,2,FALSE)</f>
        <v>-0.17319925920548884</v>
      </c>
      <c r="J164">
        <f>($B$1+Table4[[#This Row],[Home Differential]])-Table4[[#This Row],[Away Differential]]</f>
        <v>-0.99719341788680527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0.59886354533806807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0.16091045525874417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-0.32175529201986758</v>
      </c>
      <c r="H165" t="s">
        <v>16</v>
      </c>
      <c r="I165">
        <f>VLOOKUP(Table4[[#This Row],[Visitor]],'NHL Model'!$A$6:$B$38,2,FALSE)</f>
        <v>-0.79148902514100783</v>
      </c>
      <c r="J165">
        <f>($B$1+Table4[[#This Row],[Home Differential]])-Table4[[#This Row],[Away Differential]]</f>
        <v>0.56570372829180349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0.6018201230026835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0.15854721444559811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-1.2591310848703385</v>
      </c>
      <c r="H166" t="s">
        <v>15</v>
      </c>
      <c r="I166">
        <f>VLOOKUP(Table4[[#This Row],[Visitor]],'NHL Model'!$A$6:$B$38,2,FALSE)</f>
        <v>-0.6396663932228257</v>
      </c>
      <c r="J166">
        <f>($B$1+Table4[[#This Row],[Home Differential]])-Table4[[#This Row],[Away Differential]]</f>
        <v>-0.52349469647684965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0.56432283888417523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0.18981458871794435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-0.42584667868780524</v>
      </c>
      <c r="H167" t="s">
        <v>19</v>
      </c>
      <c r="I167">
        <f>VLOOKUP(Table4[[#This Row],[Visitor]],'NHL Model'!$A$6:$B$38,2,FALSE)</f>
        <v>-0.32175529201986758</v>
      </c>
      <c r="J167">
        <f>($B$1+Table4[[#This Row],[Home Differential]])-Table4[[#This Row],[Away Differential]]</f>
        <v>-8.1213914972744217E-3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0.46081097835245149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0.21234675777014353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-5.5047914862176604E-2</v>
      </c>
      <c r="H168" t="s">
        <v>23</v>
      </c>
      <c r="I168">
        <f>VLOOKUP(Table4[[#This Row],[Visitor]],'NHL Model'!$A$6:$B$38,2,FALSE)</f>
        <v>2.7346770720058793E-2</v>
      </c>
      <c r="J168">
        <f>($B$1+Table4[[#This Row],[Home Differential]])-Table4[[#This Row],[Away Differential]]</f>
        <v>1.3575309588427852E-2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0.56385559062849488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0.19022194582601903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0.29527586190964761</v>
      </c>
      <c r="H169" t="s">
        <v>30</v>
      </c>
      <c r="I169">
        <f>VLOOKUP(Table4[[#This Row],[Visitor]],'NHL Model'!$A$6:$B$38,2,FALSE)</f>
        <v>-0.20908736804509698</v>
      </c>
      <c r="J169">
        <f>($B$1+Table4[[#This Row],[Home Differential]])-Table4[[#This Row],[Away Differential]]</f>
        <v>0.60033322512540788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0.62244751638281237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0.14254587788550674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-0.20041140176017086</v>
      </c>
      <c r="H170" t="s">
        <v>15</v>
      </c>
      <c r="I170">
        <f>VLOOKUP(Table4[[#This Row],[Visitor]],'NHL Model'!$A$6:$B$38,2,FALSE)</f>
        <v>-0.6396663932228257</v>
      </c>
      <c r="J170">
        <f>($B$1+Table4[[#This Row],[Home Differential]])-Table4[[#This Row],[Away Differential]]</f>
        <v>0.53522498663331808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0.54139780573747531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0.29311158405735305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-0.43624947117902363</v>
      </c>
      <c r="H171" t="s">
        <v>26</v>
      </c>
      <c r="I171">
        <f>VLOOKUP(Table4[[#This Row],[Visitor]],'NHL Model'!$A$6:$B$38,2,FALSE)</f>
        <v>-0.17319925920548884</v>
      </c>
      <c r="J171">
        <f>($B$1+Table4[[#This Row],[Home Differential]])-Table4[[#This Row],[Away Differential]]</f>
        <v>-0.16708021680287155</v>
      </c>
      <c r="K171" t="str">
        <f>IF(Table4[[#This Row],[HomeIce Differential]]&gt;0,Table4[[#This Row],[Home]],Table4[[#This Row],[Visitor]])</f>
        <v>Detroit Red Wings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0.51597087400345643</v>
      </c>
      <c r="M171" t="str">
        <f>IF(OR((NHL2025_26Results[[#This Row],[Winning Team]]="")),"-",IF(Table4[[#This Row],[Predicted Winner]]=NHL2025_26Results[[#This Row],[Winning Team]],"YES","NO"))</f>
        <v>YES</v>
      </c>
      <c r="N171">
        <f>IF(Table4[[#This Row],[Adjusted Correct]]="-", "",IF(Table4[[#This Row],[Adjusted Correct]]="YES",(Table4[[#This Row],[Strength of Win]]-1)^2,(Table4[[#This Row],[Strength of Win]]-0)^2))</f>
        <v>0.23428419481297785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1.2879210938040288E-2</v>
      </c>
      <c r="H172" t="s">
        <v>14</v>
      </c>
      <c r="I172">
        <f>VLOOKUP(Table4[[#This Row],[Visitor]],'NHL Model'!$A$6:$B$38,2,FALSE)</f>
        <v>3.24300967767114E-5</v>
      </c>
      <c r="J172">
        <f>($B$1+Table4[[#This Row],[Home Differential]])-Table4[[#This Row],[Away Differential]]</f>
        <v>0.10881677601192682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0.50177521523752056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0.25177836662666009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-0.40390734274709933</v>
      </c>
      <c r="H173" t="s">
        <v>16</v>
      </c>
      <c r="I173">
        <f>VLOOKUP(Table4[[#This Row],[Visitor]],'NHL Model'!$A$6:$B$38,2,FALSE)</f>
        <v>-0.79148902514100783</v>
      </c>
      <c r="J173">
        <f>($B$1+Table4[[#This Row],[Home Differential]])-Table4[[#This Row],[Away Differential]]</f>
        <v>0.48355167756457174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0.58828605331094763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0.16950837389827586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-0.32182316569099201</v>
      </c>
      <c r="H174" t="s">
        <v>29</v>
      </c>
      <c r="I174">
        <f>VLOOKUP(Table4[[#This Row],[Visitor]],'NHL Model'!$A$6:$B$38,2,FALSE)</f>
        <v>-0.74313650334688619</v>
      </c>
      <c r="J174">
        <f>($B$1+Table4[[#This Row],[Home Differential]])-Table4[[#This Row],[Away Differential]]</f>
        <v>0.51728333282655736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0.59165439754346083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0.16674613104559394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-0.53461960928306718</v>
      </c>
      <c r="H175" t="s">
        <v>24</v>
      </c>
      <c r="I175">
        <f>VLOOKUP(Table4[[#This Row],[Visitor]],'NHL Model'!$A$6:$B$38,2,FALSE)</f>
        <v>-0.52712015292731806</v>
      </c>
      <c r="J175">
        <f>($B$1+Table4[[#This Row],[Home Differential]])-Table4[[#This Row],[Away Differential]]</f>
        <v>8.8470538814914124E-2</v>
      </c>
      <c r="K175" t="str">
        <f>IF(Table4[[#This Row],[HomeIce Differential]]&gt;0,Table4[[#This Row],[Home]],Table4[[#This Row],[Visitor]])</f>
        <v>San Jose Sharks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0.51082644058592985</v>
      </c>
      <c r="M175" t="str">
        <f>IF(OR((NHL2025_26Results[[#This Row],[Winning Team]]="")),"-",IF(Table4[[#This Row],[Predicted Winner]]=NHL2025_26Results[[#This Row],[Winning Team]],"YES","NO"))</f>
        <v>YES</v>
      </c>
      <c r="N175">
        <f>IF(Table4[[#This Row],[Adjusted Correct]]="-", "",IF(Table4[[#This Row],[Adjusted Correct]]="YES",(Table4[[#This Row],[Strength of Win]]-1)^2,(Table4[[#This Row],[Strength of Win]]-0)^2))</f>
        <v>0.23929077122983081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-1.2663626722629573</v>
      </c>
      <c r="H176" t="s">
        <v>38</v>
      </c>
      <c r="I176">
        <f>VLOOKUP(Table4[[#This Row],[Visitor]],'NHL Model'!$A$6:$B$38,2,FALSE)</f>
        <v>-1.2591310848703385</v>
      </c>
      <c r="J176">
        <f>($B$1+Table4[[#This Row],[Home Differential]])-Table4[[#This Row],[Away Differential]]</f>
        <v>8.8738407778044426E-2</v>
      </c>
      <c r="K176" t="str">
        <f>IF(Table4[[#This Row],[HomeIce Differential]]&gt;0,Table4[[#This Row],[Home]],Table4[[#This Row],[Visitor]])</f>
        <v>St. Louis Blues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0.54886115732299801</v>
      </c>
      <c r="M176" t="str">
        <f>IF(OR((NHL2025_26Results[[#This Row],[Winning Team]]="")),"-",IF(Table4[[#This Row],[Predicted Winner]]=NHL2025_26Results[[#This Row],[Winning Team]],"YES","NO"))</f>
        <v>NO</v>
      </c>
      <c r="N176">
        <f>IF(Table4[[#This Row],[Adjusted Correct]]="-", "",IF(Table4[[#This Row],[Adjusted Correct]]="YES",(Table4[[#This Row],[Strength of Win]]-1)^2,(Table4[[#This Row],[Strength of Win]]-0)^2))</f>
        <v>0.30124857001794075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0.65340538721281671</v>
      </c>
      <c r="H177" t="s">
        <v>39</v>
      </c>
      <c r="I177">
        <f>VLOOKUP(Table4[[#This Row],[Visitor]],'NHL Model'!$A$6:$B$38,2,FALSE)</f>
        <v>0.21259592260910548</v>
      </c>
      <c r="J177">
        <f>($B$1+Table4[[#This Row],[Home Differential]])-Table4[[#This Row],[Away Differential]]</f>
        <v>0.53677945977437447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0.57809690087394905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0.17800222505216637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-0.47391784202962389</v>
      </c>
      <c r="H178" t="s">
        <v>10</v>
      </c>
      <c r="I178">
        <f>VLOOKUP(Table4[[#This Row],[Visitor]],'NHL Model'!$A$6:$B$38,2,FALSE)</f>
        <v>-0.70456324341534593</v>
      </c>
      <c r="J178">
        <f>($B$1+Table4[[#This Row],[Home Differential]])-Table4[[#This Row],[Away Differential]]</f>
        <v>0.32661539655638527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0.57261485624396768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0.18265806110336441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-0.38289376966531796</v>
      </c>
      <c r="H179" t="s">
        <v>26</v>
      </c>
      <c r="I179">
        <f>VLOOKUP(Table4[[#This Row],[Visitor]],'NHL Model'!$A$6:$B$38,2,FALSE)</f>
        <v>-0.17319925920548884</v>
      </c>
      <c r="J179">
        <f>($B$1+Table4[[#This Row],[Home Differential]])-Table4[[#This Row],[Away Differential]]</f>
        <v>-0.11372451528916588</v>
      </c>
      <c r="K179" t="str">
        <f>IF(Table4[[#This Row],[HomeIce Differential]]&gt;0,Table4[[#This Row],[Home]],Table4[[#This Row],[Visitor]])</f>
        <v>Detroit Red Wings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0.47416611414424781</v>
      </c>
      <c r="M179" t="str">
        <f>IF(OR((NHL2025_26Results[[#This Row],[Winning Team]]="")),"-",IF(Table4[[#This Row],[Predicted Winner]]=NHL2025_26Results[[#This Row],[Winning Team]],"YES","NO"))</f>
        <v>NO</v>
      </c>
      <c r="N179">
        <f>IF(Table4[[#This Row],[Adjusted Correct]]="-", "",IF(Table4[[#This Row],[Adjusted Correct]]="YES",(Table4[[#This Row],[Strength of Win]]-1)^2,(Table4[[#This Row],[Strength of Win]]-0)^2))</f>
        <v>0.22483350380265585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-4.774288798450349E-3</v>
      </c>
      <c r="H180" t="s">
        <v>12</v>
      </c>
      <c r="I180">
        <f>VLOOKUP(Table4[[#This Row],[Visitor]],'NHL Model'!$A$6:$B$38,2,FALSE)</f>
        <v>1.1751846443488465</v>
      </c>
      <c r="J180">
        <f>($B$1+Table4[[#This Row],[Home Differential]])-Table4[[#This Row],[Away Differential]]</f>
        <v>-1.0839889379766336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0.6381455480573438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0.13093864439072009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-8.9159851516330005E-2</v>
      </c>
      <c r="H181" t="s">
        <v>30</v>
      </c>
      <c r="I181">
        <f>VLOOKUP(Table4[[#This Row],[Visitor]],'NHL Model'!$A$6:$B$38,2,FALSE)</f>
        <v>-0.20908736804509698</v>
      </c>
      <c r="J181">
        <f>($B$1+Table4[[#This Row],[Home Differential]])-Table4[[#This Row],[Away Differential]]</f>
        <v>0.21589751169943022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0.54078966198888101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0.29245345851404819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-5.5047914862176604E-2</v>
      </c>
      <c r="H182" t="s">
        <v>25</v>
      </c>
      <c r="I182">
        <f>VLOOKUP(Table4[[#This Row],[Visitor]],'NHL Model'!$A$6:$B$38,2,FALSE)</f>
        <v>0.29527586190964761</v>
      </c>
      <c r="J182">
        <f>($B$1+Table4[[#This Row],[Home Differential]])-Table4[[#This Row],[Away Differential]]</f>
        <v>-0.25435378160116096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0.50112717850128519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0.25112844903265896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2.7346770720058793E-2</v>
      </c>
      <c r="H183" t="s">
        <v>22</v>
      </c>
      <c r="I183">
        <f>VLOOKUP(Table4[[#This Row],[Visitor]],'NHL Model'!$A$6:$B$38,2,FALSE)</f>
        <v>-8.9159851516330005E-2</v>
      </c>
      <c r="J183">
        <f>($B$1+Table4[[#This Row],[Home Differential]])-Table4[[#This Row],[Away Differential]]</f>
        <v>0.21247661740705204</v>
      </c>
      <c r="K183" t="str">
        <f>IF(Table4[[#This Row],[HomeIce Differential]]&gt;0,Table4[[#This Row],[Home]],Table4[[#This Row],[Visitor]])</f>
        <v>Buffalo Sabres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0.60303547409833669</v>
      </c>
      <c r="M183" t="str">
        <f>IF(OR((NHL2025_26Results[[#This Row],[Winning Team]]="")),"-",IF(Table4[[#This Row],[Predicted Winner]]=NHL2025_26Results[[#This Row],[Winning Team]],"YES","NO"))</f>
        <v>YES</v>
      </c>
      <c r="N183">
        <f>IF(Table4[[#This Row],[Adjusted Correct]]="-", "",IF(Table4[[#This Row],[Adjusted Correct]]="YES",(Table4[[#This Row],[Strength of Win]]-1)^2,(Table4[[#This Row],[Strength of Win]]-0)^2))</f>
        <v>0.15758083482433233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-0.42584667868780524</v>
      </c>
      <c r="H184" t="s">
        <v>35</v>
      </c>
      <c r="I184">
        <f>VLOOKUP(Table4[[#This Row],[Visitor]],'NHL Model'!$A$6:$B$38,2,FALSE)</f>
        <v>-1.2663626722629573</v>
      </c>
      <c r="J184">
        <f>($B$1+Table4[[#This Row],[Home Differential]])-Table4[[#This Row],[Away Differential]]</f>
        <v>0.93648598874581523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0.63351474614933467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0.13431144128998659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-0.20041140176017086</v>
      </c>
      <c r="H185" t="s">
        <v>10</v>
      </c>
      <c r="I185">
        <f>VLOOKUP(Table4[[#This Row],[Visitor]],'NHL Model'!$A$6:$B$38,2,FALSE)</f>
        <v>-0.70456324341534593</v>
      </c>
      <c r="J185">
        <f>($B$1+Table4[[#This Row],[Home Differential]])-Table4[[#This Row],[Away Differential]]</f>
        <v>0.60012183682583831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0.59992640776676176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0.16005887920240738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-0.42375285621939396</v>
      </c>
      <c r="H186" t="s">
        <v>39</v>
      </c>
      <c r="I186">
        <f>VLOOKUP(Table4[[#This Row],[Visitor]],'NHL Model'!$A$6:$B$38,2,FALSE)</f>
        <v>0.21259592260910548</v>
      </c>
      <c r="J186">
        <f>($B$1+Table4[[#This Row],[Home Differential]])-Table4[[#This Row],[Away Differential]]</f>
        <v>-0.5403787836578362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0.55196860970198425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0.30466934609634144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-0.43624947117902363</v>
      </c>
      <c r="H187" t="s">
        <v>24</v>
      </c>
      <c r="I187">
        <f>VLOOKUP(Table4[[#This Row],[Visitor]],'NHL Model'!$A$6:$B$38,2,FALSE)</f>
        <v>-0.52712015292731806</v>
      </c>
      <c r="J187">
        <f>($B$1+Table4[[#This Row],[Home Differential]])-Table4[[#This Row],[Away Differential]]</f>
        <v>0.18684067691895767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0.52064939427026036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0.27107579175398899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1.2879210938040288E-2</v>
      </c>
      <c r="H188" t="s">
        <v>38</v>
      </c>
      <c r="I188">
        <f>VLOOKUP(Table4[[#This Row],[Visitor]],'NHL Model'!$A$6:$B$38,2,FALSE)</f>
        <v>-1.2591310848703385</v>
      </c>
      <c r="J188">
        <f>($B$1+Table4[[#This Row],[Home Differential]])-Table4[[#This Row],[Away Differential]]</f>
        <v>1.3679802909790422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0.67660250253132237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0.10458594136900336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-0.23645483545724041</v>
      </c>
      <c r="H189" t="s">
        <v>36</v>
      </c>
      <c r="I189">
        <f>VLOOKUP(Table4[[#This Row],[Visitor]],'NHL Model'!$A$6:$B$38,2,FALSE)</f>
        <v>-0.40390734274709933</v>
      </c>
      <c r="J189">
        <f>($B$1+Table4[[#This Row],[Home Differential]])-Table4[[#This Row],[Away Differential]]</f>
        <v>0.26342250246052218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0.56547510596000428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0.18881188354046952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-0.74313650334688619</v>
      </c>
      <c r="H190" t="s">
        <v>16</v>
      </c>
      <c r="I190">
        <f>VLOOKUP(Table4[[#This Row],[Visitor]],'NHL Model'!$A$6:$B$38,2,FALSE)</f>
        <v>-0.79148902514100783</v>
      </c>
      <c r="J190">
        <f>($B$1+Table4[[#This Row],[Home Differential]])-Table4[[#This Row],[Away Differential]]</f>
        <v>0.14432251696478493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0.55441162355847928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0.19854900121979038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-0.32182316569099201</v>
      </c>
      <c r="H191" t="s">
        <v>19</v>
      </c>
      <c r="I191">
        <f>VLOOKUP(Table4[[#This Row],[Visitor]],'NHL Model'!$A$6:$B$38,2,FALSE)</f>
        <v>-0.32175529201986758</v>
      </c>
      <c r="J191">
        <f>($B$1+Table4[[#This Row],[Home Differential]])-Table4[[#This Row],[Away Differential]]</f>
        <v>9.5902121499538806E-2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0.54957650477955655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0.30203433460571394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-0.57094405545214133</v>
      </c>
      <c r="H192" t="s">
        <v>15</v>
      </c>
      <c r="I192">
        <f>VLOOKUP(Table4[[#This Row],[Visitor]],'NHL Model'!$A$6:$B$38,2,FALSE)</f>
        <v>-0.6396663932228257</v>
      </c>
      <c r="J192">
        <f>($B$1+Table4[[#This Row],[Home Differential]])-Table4[[#This Row],[Away Differential]]</f>
        <v>0.16469233294134761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0.50439750091022506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0.25441683892448047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-0.53461960928306718</v>
      </c>
      <c r="H193" t="s">
        <v>12</v>
      </c>
      <c r="I193">
        <f>VLOOKUP(Table4[[#This Row],[Visitor]],'NHL Model'!$A$6:$B$38,2,FALSE)</f>
        <v>1.1751846443488465</v>
      </c>
      <c r="J193">
        <f>($B$1+Table4[[#This Row],[Home Differential]])-Table4[[#This Row],[Away Differential]]</f>
        <v>-1.6138342584612504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0.69105434887121309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0.47755611309381629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-0.47391784202962389</v>
      </c>
      <c r="H194" t="s">
        <v>14</v>
      </c>
      <c r="I194">
        <f>VLOOKUP(Table4[[#This Row],[Visitor]],'NHL Model'!$A$6:$B$38,2,FALSE)</f>
        <v>3.24300967767114E-5</v>
      </c>
      <c r="J194">
        <f>($B$1+Table4[[#This Row],[Home Differential]])-Table4[[#This Row],[Away Differential]]</f>
        <v>-0.37798027695573738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0.54683491174951693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0.29902842070810198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-0.38289376966531796</v>
      </c>
      <c r="H195" t="s">
        <v>24</v>
      </c>
      <c r="I195">
        <f>VLOOKUP(Table4[[#This Row],[Visitor]],'NHL Model'!$A$6:$B$38,2,FALSE)</f>
        <v>-0.52712015292731806</v>
      </c>
      <c r="J195">
        <f>($B$1+Table4[[#This Row],[Home Differential]])-Table4[[#This Row],[Away Differential]]</f>
        <v>0.24019637843266334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0.56244684483563823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0.19145276359428806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-0.20908736804509698</v>
      </c>
      <c r="H196" t="s">
        <v>28</v>
      </c>
      <c r="I196">
        <f>VLOOKUP(Table4[[#This Row],[Visitor]],'NHL Model'!$A$6:$B$38,2,FALSE)</f>
        <v>-0.42584667868780524</v>
      </c>
      <c r="J196">
        <f>($B$1+Table4[[#This Row],[Home Differential]])-Table4[[#This Row],[Away Differential]]</f>
        <v>0.31272930581337149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0.58024783976336181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0.1761918760233244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-0.32182316569099201</v>
      </c>
      <c r="H197" t="s">
        <v>16</v>
      </c>
      <c r="I197">
        <f>VLOOKUP(Table4[[#This Row],[Visitor]],'NHL Model'!$A$6:$B$38,2,FALSE)</f>
        <v>-0.79148902514100783</v>
      </c>
      <c r="J197">
        <f>($B$1+Table4[[#This Row],[Home Differential]])-Table4[[#This Row],[Away Differential]]</f>
        <v>0.565635854620679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0.59648273865651169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0.35579165751517244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-0.53461960928306718</v>
      </c>
      <c r="H198" t="s">
        <v>26</v>
      </c>
      <c r="I198">
        <f>VLOOKUP(Table4[[#This Row],[Visitor]],'NHL Model'!$A$6:$B$38,2,FALSE)</f>
        <v>-0.17319925920548884</v>
      </c>
      <c r="J198">
        <f>($B$1+Table4[[#This Row],[Home Differential]])-Table4[[#This Row],[Away Differential]]</f>
        <v>-0.2654503549069151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0.52579382768778693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0.22487149385900032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0.12055191373383152</v>
      </c>
      <c r="H199" t="s">
        <v>37</v>
      </c>
      <c r="I199">
        <f>VLOOKUP(Table4[[#This Row],[Visitor]],'NHL Model'!$A$6:$B$38,2,FALSE)</f>
        <v>0.65340538721281671</v>
      </c>
      <c r="J199">
        <f>($B$1+Table4[[#This Row],[Home Differential]])-Table4[[#This Row],[Away Differential]]</f>
        <v>-0.43688347830832197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0.56417384891553501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0.18994443396909891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-0.74313650334688619</v>
      </c>
      <c r="H200" t="s">
        <v>38</v>
      </c>
      <c r="I200">
        <f>VLOOKUP(Table4[[#This Row],[Visitor]],'NHL Model'!$A$6:$B$38,2,FALSE)</f>
        <v>-1.2591310848703385</v>
      </c>
      <c r="J200">
        <f>($B$1+Table4[[#This Row],[Home Differential]])-Table4[[#This Row],[Away Differential]]</f>
        <v>0.61196457669411564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0.60110898906087984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0.36133201672979298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-0.57094405545214133</v>
      </c>
      <c r="H201" t="s">
        <v>10</v>
      </c>
      <c r="I201">
        <f>VLOOKUP(Table4[[#This Row],[Visitor]],'NHL Model'!$A$6:$B$38,2,FALSE)</f>
        <v>-0.70456324341534593</v>
      </c>
      <c r="J201">
        <f>($B$1+Table4[[#This Row],[Home Differential]])-Table4[[#This Row],[Away Differential]]</f>
        <v>0.22958918313386784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0.56292610293951151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0.19103359149164248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-1.2663626722629573</v>
      </c>
      <c r="H202" t="s">
        <v>17</v>
      </c>
      <c r="I202">
        <f>VLOOKUP(Table4[[#This Row],[Visitor]],'NHL Model'!$A$6:$B$38,2,FALSE)</f>
        <v>-0.20041140176017086</v>
      </c>
      <c r="J202">
        <f>($B$1+Table4[[#This Row],[Home Differential]])-Table4[[#This Row],[Away Differential]]</f>
        <v>-0.9699812753321233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0.55916389697148328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0.31266426367633554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-0.32175529201986758</v>
      </c>
      <c r="H203" t="s">
        <v>14</v>
      </c>
      <c r="I203">
        <f>VLOOKUP(Table4[[#This Row],[Visitor]],'NHL Model'!$A$6:$B$38,2,FALSE)</f>
        <v>3.24300967767114E-5</v>
      </c>
      <c r="J203">
        <f>($B$1+Table4[[#This Row],[Home Differential]])-Table4[[#This Row],[Away Differential]]</f>
        <v>-0.22581772694598104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0.52627158074535418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0.27696177670021382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-0.38289376966531796</v>
      </c>
      <c r="H204" t="s">
        <v>11</v>
      </c>
      <c r="I204">
        <f>VLOOKUP(Table4[[#This Row],[Visitor]],'NHL Model'!$A$6:$B$38,2,FALSE)</f>
        <v>-0.42375285621939396</v>
      </c>
      <c r="J204">
        <f>($B$1+Table4[[#This Row],[Home Differential]])-Table4[[#This Row],[Away Differential]]</f>
        <v>0.13682908172473923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0.53877750632857935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0.21272618866848367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2.7346770720058793E-2</v>
      </c>
      <c r="H205" t="s">
        <v>55</v>
      </c>
      <c r="I205">
        <f>VLOOKUP(Table4[[#This Row],[Visitor]],'NHL Model'!$A$6:$B$38,2,FALSE)</f>
        <v>0.12055191373383152</v>
      </c>
      <c r="J205">
        <f>($B$1+Table4[[#This Row],[Home Differential]])-Table4[[#This Row],[Away Differential]]</f>
        <v>2.7648521568905265E-3</v>
      </c>
      <c r="K205" t="str">
        <f>IF(Table4[[#This Row],[HomeIce Differential]]&gt;0,Table4[[#This Row],[Home]],Table4[[#This Row],[Visitor]])</f>
        <v>Buffalo Sabres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0.58209427185124074</v>
      </c>
      <c r="M205" t="str">
        <f>IF(OR((NHL2025_26Results[[#This Row],[Winning Team]]="")),"-",IF(Table4[[#This Row],[Predicted Winner]]=NHL2025_26Results[[#This Row],[Winning Team]],"YES","NO"))</f>
        <v>NO</v>
      </c>
      <c r="N205">
        <f>IF(Table4[[#This Row],[Adjusted Correct]]="-", "",IF(Table4[[#This Row],[Adjusted Correct]]="YES",(Table4[[#This Row],[Strength of Win]]-1)^2,(Table4[[#This Row],[Strength of Win]]-0)^2))</f>
        <v>0.33883374132202615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1.1751846443488465</v>
      </c>
      <c r="H206" t="s">
        <v>37</v>
      </c>
      <c r="I206">
        <f>VLOOKUP(Table4[[#This Row],[Visitor]],'NHL Model'!$A$6:$B$38,2,FALSE)</f>
        <v>0.65340538721281671</v>
      </c>
      <c r="J206">
        <f>($B$1+Table4[[#This Row],[Home Differential]])-Table4[[#This Row],[Away Differential]]</f>
        <v>0.61774925230669298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0.59299592772632992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0.16565231484735085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0.21259592260910548</v>
      </c>
      <c r="H207" t="s">
        <v>17</v>
      </c>
      <c r="I207">
        <f>VLOOKUP(Table4[[#This Row],[Visitor]],'NHL Model'!$A$6:$B$38,2,FALSE)</f>
        <v>-0.20041140176017086</v>
      </c>
      <c r="J207">
        <f>($B$1+Table4[[#This Row],[Home Differential]])-Table4[[#This Row],[Away Differential]]</f>
        <v>0.50897731953993963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0.60764316521840356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0.15394388579983298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-0.43624947117902363</v>
      </c>
      <c r="H208" t="s">
        <v>40</v>
      </c>
      <c r="I208">
        <f>VLOOKUP(Table4[[#This Row],[Visitor]],'NHL Model'!$A$6:$B$38,2,FALSE)</f>
        <v>-0.47391784202962389</v>
      </c>
      <c r="J208">
        <f>($B$1+Table4[[#This Row],[Home Differential]])-Table4[[#This Row],[Away Differential]]</f>
        <v>0.1336383660212635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0.55334473555875308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0.19950092525308022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1.2879210938040288E-2</v>
      </c>
      <c r="H209" t="s">
        <v>29</v>
      </c>
      <c r="I209">
        <f>VLOOKUP(Table4[[#This Row],[Visitor]],'NHL Model'!$A$6:$B$38,2,FALSE)</f>
        <v>-0.74313650334688619</v>
      </c>
      <c r="J209">
        <f>($B$1+Table4[[#This Row],[Home Differential]])-Table4[[#This Row],[Away Differential]]</f>
        <v>0.85198570945558971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0.62507679591587095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0.14056740896070949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-0.23645483545724041</v>
      </c>
      <c r="H210" t="s">
        <v>27</v>
      </c>
      <c r="I210">
        <f>VLOOKUP(Table4[[#This Row],[Visitor]],'NHL Model'!$A$6:$B$38,2,FALSE)</f>
        <v>-0.32182316569099201</v>
      </c>
      <c r="J210">
        <f>($B$1+Table4[[#This Row],[Home Differential]])-Table4[[#This Row],[Away Differential]]</f>
        <v>0.18133832540441486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0.54751967840788018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0.29977779824386852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-0.20908736804509698</v>
      </c>
      <c r="H211" t="s">
        <v>21</v>
      </c>
      <c r="I211">
        <f>VLOOKUP(Table4[[#This Row],[Visitor]],'NHL Model'!$A$6:$B$38,2,FALSE)</f>
        <v>-5.5047914862176604E-2</v>
      </c>
      <c r="J211">
        <f>($B$1+Table4[[#This Row],[Home Differential]])-Table4[[#This Row],[Away Differential]]</f>
        <v>-5.8069458012257123E-2</v>
      </c>
      <c r="K211" t="str">
        <f>IF(Table4[[#This Row],[HomeIce Differential]]&gt;0,Table4[[#This Row],[Home]],Table4[[#This Row],[Visitor]])</f>
        <v>Boston Bruins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0.45677903804191039</v>
      </c>
      <c r="M211" t="str">
        <f>IF(OR((NHL2025_26Results[[#This Row],[Winning Team]]="")),"-",IF(Table4[[#This Row],[Predicted Winner]]=NHL2025_26Results[[#This Row],[Winning Team]],"YES","NO"))</f>
        <v>YES</v>
      </c>
      <c r="N211">
        <f>IF(Table4[[#This Row],[Adjusted Correct]]="-", "",IF(Table4[[#This Row],[Adjusted Correct]]="YES",(Table4[[#This Row],[Strength of Win]]-1)^2,(Table4[[#This Row],[Strength of Win]]-0)^2))</f>
        <v>0.29508901351067229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-0.6396663932228257</v>
      </c>
      <c r="H212" t="s">
        <v>25</v>
      </c>
      <c r="I212">
        <f>VLOOKUP(Table4[[#This Row],[Visitor]],'NHL Model'!$A$6:$B$38,2,FALSE)</f>
        <v>0.29527586190964761</v>
      </c>
      <c r="J212">
        <f>($B$1+Table4[[#This Row],[Home Differential]])-Table4[[#This Row],[Away Differential]]</f>
        <v>-0.83897225996181002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0.6030651448176011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0.157557279258672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-4.774288798450349E-3</v>
      </c>
      <c r="H213" t="s">
        <v>26</v>
      </c>
      <c r="I213">
        <f>VLOOKUP(Table4[[#This Row],[Visitor]],'NHL Model'!$A$6:$B$38,2,FALSE)</f>
        <v>-0.17319925920548884</v>
      </c>
      <c r="J213">
        <f>($B$1+Table4[[#This Row],[Home Differential]])-Table4[[#This Row],[Away Differential]]</f>
        <v>0.26439496557770176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0.52711497312608258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0.22362024864154562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-0.79148902514100783</v>
      </c>
      <c r="H214" t="s">
        <v>28</v>
      </c>
      <c r="I214">
        <f>VLOOKUP(Table4[[#This Row],[Visitor]],'NHL Model'!$A$6:$B$38,2,FALSE)</f>
        <v>-0.42584667868780524</v>
      </c>
      <c r="J214">
        <f>($B$1+Table4[[#This Row],[Home Differential]])-Table4[[#This Row],[Away Differential]]</f>
        <v>-0.2696723512825393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0.4869286906336468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0.23709954976219771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-0.57094405545214133</v>
      </c>
      <c r="H215" t="s">
        <v>33</v>
      </c>
      <c r="I215">
        <f>VLOOKUP(Table4[[#This Row],[Visitor]],'NHL Model'!$A$6:$B$38,2,FALSE)</f>
        <v>-0.53461960928306718</v>
      </c>
      <c r="J215">
        <f>($B$1+Table4[[#This Row],[Home Differential]])-Table4[[#This Row],[Away Differential]]</f>
        <v>5.9645549001589082E-2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0.52518679894274745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0.27582117378372983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-0.32175529201986758</v>
      </c>
      <c r="H216" t="s">
        <v>55</v>
      </c>
      <c r="I216">
        <f>VLOOKUP(Table4[[#This Row],[Visitor]],'NHL Model'!$A$6:$B$38,2,FALSE)</f>
        <v>0.12055191373383152</v>
      </c>
      <c r="J216">
        <f>($B$1+Table4[[#This Row],[Home Differential]])-Table4[[#This Row],[Away Differential]]</f>
        <v>-0.34633721058303585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0.48925361211096713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0.23936909696362868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-1.2591310848703385</v>
      </c>
      <c r="H217" t="s">
        <v>10</v>
      </c>
      <c r="I217">
        <f>VLOOKUP(Table4[[#This Row],[Visitor]],'NHL Model'!$A$6:$B$38,2,FALSE)</f>
        <v>-0.70456324341534593</v>
      </c>
      <c r="J217">
        <f>($B$1+Table4[[#This Row],[Home Differential]])-Table4[[#This Row],[Away Differential]]</f>
        <v>-0.45859784628432942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0.50579423685488889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0.24423933632584166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-8.9159851516330005E-2</v>
      </c>
      <c r="H218" t="s">
        <v>35</v>
      </c>
      <c r="I218">
        <f>VLOOKUP(Table4[[#This Row],[Visitor]],'NHL Model'!$A$6:$B$38,2,FALSE)</f>
        <v>-1.2663626722629573</v>
      </c>
      <c r="J218">
        <f>($B$1+Table4[[#This Row],[Home Differential]])-Table4[[#This Row],[Away Differential]]</f>
        <v>1.2731728159172906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0.66713530593681414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0.11079890455377832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-5.5047914862176604E-2</v>
      </c>
      <c r="H219" t="s">
        <v>36</v>
      </c>
      <c r="I219">
        <f>VLOOKUP(Table4[[#This Row],[Visitor]],'NHL Model'!$A$6:$B$38,2,FALSE)</f>
        <v>-0.40390734274709933</v>
      </c>
      <c r="J219">
        <f>($B$1+Table4[[#This Row],[Home Differential]])-Table4[[#This Row],[Away Differential]]</f>
        <v>0.44482942305558598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0.62650891470306258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0.13949559079628418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2.7346770720058793E-2</v>
      </c>
      <c r="H220" t="s">
        <v>35</v>
      </c>
      <c r="I220">
        <f>VLOOKUP(Table4[[#This Row],[Visitor]],'NHL Model'!$A$6:$B$38,2,FALSE)</f>
        <v>-1.2663626722629573</v>
      </c>
      <c r="J220">
        <f>($B$1+Table4[[#This Row],[Home Differential]])-Table4[[#This Row],[Away Differential]]</f>
        <v>1.3896794381536792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0.72058749758972229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0.51924634168261807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0.29527586190964761</v>
      </c>
      <c r="H221" t="s">
        <v>34</v>
      </c>
      <c r="I221">
        <f>VLOOKUP(Table4[[#This Row],[Visitor]],'NHL Model'!$A$6:$B$38,2,FALSE)</f>
        <v>1.2879210938040288E-2</v>
      </c>
      <c r="J221">
        <f>($B$1+Table4[[#This Row],[Home Differential]])-Table4[[#This Row],[Away Differential]]</f>
        <v>0.37836664614227056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0.56480961138021724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0.18939067434703755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0.21259592260910548</v>
      </c>
      <c r="H222" t="s">
        <v>31</v>
      </c>
      <c r="I222">
        <f>VLOOKUP(Table4[[#This Row],[Visitor]],'NHL Model'!$A$6:$B$38,2,FALSE)</f>
        <v>-0.38289376966531796</v>
      </c>
      <c r="J222">
        <f>($B$1+Table4[[#This Row],[Home Differential]])-Table4[[#This Row],[Away Differential]]</f>
        <v>0.69145968744508668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0.6281525691432458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0.39457565012126017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-0.43624947117902363</v>
      </c>
      <c r="H223" t="s">
        <v>11</v>
      </c>
      <c r="I223">
        <f>VLOOKUP(Table4[[#This Row],[Visitor]],'NHL Model'!$A$6:$B$38,2,FALSE)</f>
        <v>-0.42375285621939396</v>
      </c>
      <c r="J223">
        <f>($B$1+Table4[[#This Row],[Home Differential]])-Table4[[#This Row],[Away Differential]]</f>
        <v>8.3473380211033565E-2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0.49692706721123803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0.24693651012716228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-0.52712015292731806</v>
      </c>
      <c r="H224" t="s">
        <v>18</v>
      </c>
      <c r="I224">
        <f>VLOOKUP(Table4[[#This Row],[Visitor]],'NHL Model'!$A$6:$B$38,2,FALSE)</f>
        <v>-0.23645483545724041</v>
      </c>
      <c r="J224">
        <f>($B$1+Table4[[#This Row],[Home Differential]])-Table4[[#This Row],[Away Differential]]</f>
        <v>-0.19469532229941441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0.51872843750299658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0.26907919187430024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-0.74313650334688619</v>
      </c>
      <c r="H225" t="s">
        <v>27</v>
      </c>
      <c r="I225">
        <f>VLOOKUP(Table4[[#This Row],[Visitor]],'NHL Model'!$A$6:$B$38,2,FALSE)</f>
        <v>-0.32182316569099201</v>
      </c>
      <c r="J225">
        <f>($B$1+Table4[[#This Row],[Home Differential]])-Table4[[#This Row],[Away Differential]]</f>
        <v>-0.32534334248523089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0.50307606794672166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0.24693339424729119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3.24300967767114E-5</v>
      </c>
      <c r="H226" t="s">
        <v>22</v>
      </c>
      <c r="I226">
        <f>VLOOKUP(Table4[[#This Row],[Visitor]],'NHL Model'!$A$6:$B$38,2,FALSE)</f>
        <v>-8.9159851516330005E-2</v>
      </c>
      <c r="J226">
        <f>($B$1+Table4[[#This Row],[Home Differential]])-Table4[[#This Row],[Away Differential]]</f>
        <v>0.18516227678376995</v>
      </c>
      <c r="K226" t="str">
        <f>IF(Table4[[#This Row],[HomeIce Differential]]&gt;0,Table4[[#This Row],[Home]],Table4[[#This Row],[Visitor]])</f>
        <v>Pittsburgh Penguins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0.55848976227936598</v>
      </c>
      <c r="M226" t="str">
        <f>IF(OR((NHL2025_26Results[[#This Row],[Winning Team]]="")),"-",IF(Table4[[#This Row],[Predicted Winner]]=NHL2025_26Results[[#This Row],[Winning Team]],"YES","NO"))</f>
        <v>YES</v>
      </c>
      <c r="N226">
        <f>IF(Table4[[#This Row],[Adjusted Correct]]="-", "",IF(Table4[[#This Row],[Adjusted Correct]]="YES",(Table4[[#This Row],[Strength of Win]]-1)^2,(Table4[[#This Row],[Strength of Win]]-0)^2))</f>
        <v>0.19493129001213078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-4.774288798450349E-3</v>
      </c>
      <c r="H227" t="s">
        <v>37</v>
      </c>
      <c r="I227">
        <f>VLOOKUP(Table4[[#This Row],[Visitor]],'NHL Model'!$A$6:$B$38,2,FALSE)</f>
        <v>0.65340538721281671</v>
      </c>
      <c r="J227">
        <f>($B$1+Table4[[#This Row],[Home Differential]])-Table4[[#This Row],[Away Differential]]</f>
        <v>-0.56220968084060385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0.61299875869833742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0.14976996076902765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-0.79148902514100783</v>
      </c>
      <c r="H228" t="s">
        <v>10</v>
      </c>
      <c r="I228">
        <f>VLOOKUP(Table4[[#This Row],[Visitor]],'NHL Model'!$A$6:$B$38,2,FALSE)</f>
        <v>-0.70456324341534593</v>
      </c>
      <c r="J228">
        <f>($B$1+Table4[[#This Row],[Home Differential]])-Table4[[#This Row],[Away Differential]]</f>
        <v>9.0442134450013922E-3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0.54090312864751178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0.29257619458066669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-0.17319925920548884</v>
      </c>
      <c r="H229" t="s">
        <v>15</v>
      </c>
      <c r="I229">
        <f>VLOOKUP(Table4[[#This Row],[Visitor]],'NHL Model'!$A$6:$B$38,2,FALSE)</f>
        <v>-0.6396663932228257</v>
      </c>
      <c r="J229">
        <f>($B$1+Table4[[#This Row],[Home Differential]])-Table4[[#This Row],[Away Differential]]</f>
        <v>0.56243712918800015</v>
      </c>
      <c r="K229" t="str">
        <f>IF(Table4[[#This Row],[HomeIce Differential]]&gt;0,Table4[[#This Row],[Home]],Table4[[#This Row],[Visitor]])</f>
        <v>Detroit Red Wings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0.5967038638502844</v>
      </c>
      <c r="M229" t="str">
        <f>IF(OR((NHL2025_26Results[[#This Row],[Winning Team]]="")),"-",IF(Table4[[#This Row],[Predicted Winner]]=NHL2025_26Results[[#This Row],[Winning Team]],"YES","NO"))</f>
        <v>NO</v>
      </c>
      <c r="N229">
        <f>IF(Table4[[#This Row],[Adjusted Correct]]="-", "",IF(Table4[[#This Row],[Adjusted Correct]]="YES",(Table4[[#This Row],[Strength of Win]]-1)^2,(Table4[[#This Row],[Strength of Win]]-0)^2))</f>
        <v>0.35605550113385875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-0.20908736804509698</v>
      </c>
      <c r="H230" t="s">
        <v>34</v>
      </c>
      <c r="I230">
        <f>VLOOKUP(Table4[[#This Row],[Visitor]],'NHL Model'!$A$6:$B$38,2,FALSE)</f>
        <v>1.2879210938040288E-2</v>
      </c>
      <c r="J230">
        <f>($B$1+Table4[[#This Row],[Home Differential]])-Table4[[#This Row],[Away Differential]]</f>
        <v>-0.12599658381247403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0.52002413943534376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0.23037682672478232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-0.53461960928306718</v>
      </c>
      <c r="H231" t="s">
        <v>40</v>
      </c>
      <c r="I231">
        <f>VLOOKUP(Table4[[#This Row],[Visitor]],'NHL Model'!$A$6:$B$38,2,FALSE)</f>
        <v>-0.47391784202962389</v>
      </c>
      <c r="J231">
        <f>($B$1+Table4[[#This Row],[Home Differential]])-Table4[[#This Row],[Away Differential]]</f>
        <v>3.5268227917219952E-2</v>
      </c>
      <c r="K231" t="str">
        <f>IF(Table4[[#This Row],[HomeIce Differential]]&gt;0,Table4[[#This Row],[Home]],Table4[[#This Row],[Visitor]])</f>
        <v>San Jose Sharks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0.54352178187442257</v>
      </c>
      <c r="M231" t="str">
        <f>IF(OR((NHL2025_26Results[[#This Row],[Winning Team]]="")),"-",IF(Table4[[#This Row],[Predicted Winner]]=NHL2025_26Results[[#This Row],[Winning Team]],"YES","NO"))</f>
        <v>YES</v>
      </c>
      <c r="N231">
        <f>IF(Table4[[#This Row],[Adjusted Correct]]="-", "",IF(Table4[[#This Row],[Adjusted Correct]]="YES",(Table4[[#This Row],[Strength of Win]]-1)^2,(Table4[[#This Row],[Strength of Win]]-0)^2))</f>
        <v>0.20837236362310224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0.29527586190964761</v>
      </c>
      <c r="H232" t="s">
        <v>23</v>
      </c>
      <c r="I232">
        <f>VLOOKUP(Table4[[#This Row],[Visitor]],'NHL Model'!$A$6:$B$38,2,FALSE)</f>
        <v>2.7346770720058793E-2</v>
      </c>
      <c r="J232">
        <f>($B$1+Table4[[#This Row],[Home Differential]])-Table4[[#This Row],[Away Differential]]</f>
        <v>0.36389908636025203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0.59883789623540262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0.1609310334968376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-0.20041140176017086</v>
      </c>
      <c r="H233" t="s">
        <v>12</v>
      </c>
      <c r="I233">
        <f>VLOOKUP(Table4[[#This Row],[Visitor]],'NHL Model'!$A$6:$B$38,2,FALSE)</f>
        <v>1.1751846443488465</v>
      </c>
      <c r="J233">
        <f>($B$1+Table4[[#This Row],[Home Differential]])-Table4[[#This Row],[Away Differential]]</f>
        <v>-1.2796260509383541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0.65768129677741327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0.11718209457599341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-0.23645483545724041</v>
      </c>
      <c r="H234" t="s">
        <v>55</v>
      </c>
      <c r="I234">
        <f>VLOOKUP(Table4[[#This Row],[Visitor]],'NHL Model'!$A$6:$B$38,2,FALSE)</f>
        <v>0.12055191373383152</v>
      </c>
      <c r="J234">
        <f>($B$1+Table4[[#This Row],[Home Differential]])-Table4[[#This Row],[Away Differential]]</f>
        <v>-0.26103675402040866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0.48606636520056951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0.23626051137929341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-0.52712015292731806</v>
      </c>
      <c r="H235" t="s">
        <v>14</v>
      </c>
      <c r="I235">
        <f>VLOOKUP(Table4[[#This Row],[Visitor]],'NHL Model'!$A$6:$B$38,2,FALSE)</f>
        <v>3.24300967767114E-5</v>
      </c>
      <c r="J235">
        <f>($B$1+Table4[[#This Row],[Home Differential]])-Table4[[#This Row],[Away Differential]]</f>
        <v>-0.43118258785343155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0.55214753858851418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0.30486690436935476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-0.74313650334688619</v>
      </c>
      <c r="H236" t="s">
        <v>39</v>
      </c>
      <c r="I236">
        <f>VLOOKUP(Table4[[#This Row],[Visitor]],'NHL Model'!$A$6:$B$38,2,FALSE)</f>
        <v>0.21259592260910548</v>
      </c>
      <c r="J236">
        <f>($B$1+Table4[[#This Row],[Home Differential]])-Table4[[#This Row],[Away Differential]]</f>
        <v>-0.85976243078532844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0.58386132464305407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0.17317139712783364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-0.6396663932228257</v>
      </c>
      <c r="H237" t="s">
        <v>30</v>
      </c>
      <c r="I237">
        <f>VLOOKUP(Table4[[#This Row],[Visitor]],'NHL Model'!$A$6:$B$38,2,FALSE)</f>
        <v>-0.20908736804509698</v>
      </c>
      <c r="J237">
        <f>($B$1+Table4[[#This Row],[Home Differential]])-Table4[[#This Row],[Away Differential]]</f>
        <v>-0.33460903000706543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0.51418230782155483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0.2360188300335905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-0.32182316569099201</v>
      </c>
      <c r="H238" t="s">
        <v>36</v>
      </c>
      <c r="I238">
        <f>VLOOKUP(Table4[[#This Row],[Visitor]],'NHL Model'!$A$6:$B$38,2,FALSE)</f>
        <v>-0.40390734274709933</v>
      </c>
      <c r="J238">
        <f>($B$1+Table4[[#This Row],[Home Differential]])-Table4[[#This Row],[Away Differential]]</f>
        <v>0.17805417222677056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0.55695047470343495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0.31019383127238154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-0.53461960928306718</v>
      </c>
      <c r="H239" t="s">
        <v>11</v>
      </c>
      <c r="I239">
        <f>VLOOKUP(Table4[[#This Row],[Visitor]],'NHL Model'!$A$6:$B$38,2,FALSE)</f>
        <v>-0.42375285621939396</v>
      </c>
      <c r="J239">
        <f>($B$1+Table4[[#This Row],[Home Differential]])-Table4[[#This Row],[Away Differential]]</f>
        <v>-1.4896757893009982E-2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0.5128958864730927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0.26306219036101958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-1.2663626722629573</v>
      </c>
      <c r="H240" t="s">
        <v>32</v>
      </c>
      <c r="I240">
        <f>VLOOKUP(Table4[[#This Row],[Visitor]],'NHL Model'!$A$6:$B$38,2,FALSE)</f>
        <v>-0.57094405545214133</v>
      </c>
      <c r="J240">
        <f>($B$1+Table4[[#This Row],[Home Differential]])-Table4[[#This Row],[Away Differential]]</f>
        <v>-0.59944862164015278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0.51985918247140239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0.23053520465703006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0.65340538721281671</v>
      </c>
      <c r="H241" t="s">
        <v>22</v>
      </c>
      <c r="I241">
        <f>VLOOKUP(Table4[[#This Row],[Visitor]],'NHL Model'!$A$6:$B$38,2,FALSE)</f>
        <v>-8.9159851516330005E-2</v>
      </c>
      <c r="J241">
        <f>($B$1+Table4[[#This Row],[Home Differential]])-Table4[[#This Row],[Away Differential]]</f>
        <v>0.83853523389981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0.64601740787222972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0.12530367552949537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-0.32175529201986758</v>
      </c>
      <c r="H242" t="s">
        <v>21</v>
      </c>
      <c r="I242">
        <f>VLOOKUP(Table4[[#This Row],[Visitor]],'NHL Model'!$A$6:$B$38,2,FALSE)</f>
        <v>-5.5047914862176604E-2</v>
      </c>
      <c r="J242">
        <f>($B$1+Table4[[#This Row],[Home Differential]])-Table4[[#This Row],[Away Differential]]</f>
        <v>-0.17073738198702773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0.47171872788166397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0.27908110247096746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-1.2591310848703385</v>
      </c>
      <c r="H243" t="s">
        <v>28</v>
      </c>
      <c r="I243">
        <f>VLOOKUP(Table4[[#This Row],[Visitor]],'NHL Model'!$A$6:$B$38,2,FALSE)</f>
        <v>-0.42584667868780524</v>
      </c>
      <c r="J243">
        <f>($B$1+Table4[[#This Row],[Home Differential]])-Table4[[#This Row],[Away Differential]]</f>
        <v>-0.73731441101187012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0.53362605613604741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0.28475676778731202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-4.774288798450349E-3</v>
      </c>
      <c r="H244" t="s">
        <v>31</v>
      </c>
      <c r="I244">
        <f>VLOOKUP(Table4[[#This Row],[Visitor]],'NHL Model'!$A$6:$B$38,2,FALSE)</f>
        <v>-0.38289376966531796</v>
      </c>
      <c r="J244">
        <f>($B$1+Table4[[#This Row],[Home Differential]])-Table4[[#This Row],[Away Differential]]</f>
        <v>0.47408947603753088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0.58734118559861792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0.34496966830039016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-0.38289376966531796</v>
      </c>
      <c r="H245" t="s">
        <v>40</v>
      </c>
      <c r="I245">
        <f>VLOOKUP(Table4[[#This Row],[Visitor]],'NHL Model'!$A$6:$B$38,2,FALSE)</f>
        <v>-0.47391784202962389</v>
      </c>
      <c r="J245">
        <f>($B$1+Table4[[#This Row],[Home Differential]])-Table4[[#This Row],[Away Differential]]</f>
        <v>0.18699406753496917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0.5947095458945495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0.16426035218900228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0.21259592260910548</v>
      </c>
      <c r="H246" t="s">
        <v>32</v>
      </c>
      <c r="I246">
        <f>VLOOKUP(Table4[[#This Row],[Visitor]],'NHL Model'!$A$6:$B$38,2,FALSE)</f>
        <v>-0.57094405545214133</v>
      </c>
      <c r="J246">
        <f>($B$1+Table4[[#This Row],[Home Differential]])-Table4[[#This Row],[Away Differential]]</f>
        <v>0.87950997323191005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0.64693071953737602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0.12465791680639503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-0.17319925920548884</v>
      </c>
      <c r="H247" t="s">
        <v>10</v>
      </c>
      <c r="I247">
        <f>VLOOKUP(Table4[[#This Row],[Visitor]],'NHL Model'!$A$6:$B$38,2,FALSE)</f>
        <v>-0.70456324341534593</v>
      </c>
      <c r="J247">
        <f>($B$1+Table4[[#This Row],[Home Differential]])-Table4[[#This Row],[Away Differential]]</f>
        <v>0.62733397938052038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0.65435970889930684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0.4281866286307856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1.2879210938040288E-2</v>
      </c>
      <c r="H248" t="s">
        <v>16</v>
      </c>
      <c r="I248">
        <f>VLOOKUP(Table4[[#This Row],[Visitor]],'NHL Model'!$A$6:$B$38,2,FALSE)</f>
        <v>-0.79148902514100783</v>
      </c>
      <c r="J248">
        <f>($B$1+Table4[[#This Row],[Home Differential]])-Table4[[#This Row],[Away Differential]]</f>
        <v>0.90033823124971135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0.6299051370289217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0.13697020759758122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-0.40390734274709933</v>
      </c>
      <c r="H249" t="s">
        <v>55</v>
      </c>
      <c r="I249">
        <f>VLOOKUP(Table4[[#This Row],[Visitor]],'NHL Model'!$A$6:$B$38,2,FALSE)</f>
        <v>0.12055191373383152</v>
      </c>
      <c r="J249">
        <f>($B$1+Table4[[#This Row],[Home Differential]])-Table4[[#This Row],[Away Differential]]</f>
        <v>-0.4284892613102676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0.50278768180270295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0.25279545297253608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3.24300967767114E-5</v>
      </c>
      <c r="H250" t="s">
        <v>13</v>
      </c>
      <c r="I250">
        <f>VLOOKUP(Table4[[#This Row],[Visitor]],'NHL Model'!$A$6:$B$38,2,FALSE)</f>
        <v>-0.43624947117902363</v>
      </c>
      <c r="J250">
        <f>($B$1+Table4[[#This Row],[Home Differential]])-Table4[[#This Row],[Away Differential]]</f>
        <v>0.53225189644646353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0.56258307670029084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0.31649971818956535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-0.32175529201986758</v>
      </c>
      <c r="H251" t="s">
        <v>25</v>
      </c>
      <c r="I251">
        <f>VLOOKUP(Table4[[#This Row],[Visitor]],'NHL Model'!$A$6:$B$38,2,FALSE)</f>
        <v>0.29527586190964761</v>
      </c>
      <c r="J251">
        <f>($B$1+Table4[[#This Row],[Home Differential]])-Table4[[#This Row],[Away Differential]]</f>
        <v>-0.52106115875885195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0.5659556908017831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0.18839446234735732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-1.2591310848703385</v>
      </c>
      <c r="H252" t="s">
        <v>12</v>
      </c>
      <c r="I252">
        <f>VLOOKUP(Table4[[#This Row],[Visitor]],'NHL Model'!$A$6:$B$38,2,FALSE)</f>
        <v>1.1751846443488465</v>
      </c>
      <c r="J252">
        <f>($B$1+Table4[[#This Row],[Home Differential]])-Table4[[#This Row],[Away Differential]]</f>
        <v>-2.3383457340485219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0.76340194139906381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5.5978641333732038E-2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-0.20041140176017086</v>
      </c>
      <c r="H253" t="s">
        <v>28</v>
      </c>
      <c r="I253">
        <f>VLOOKUP(Table4[[#This Row],[Visitor]],'NHL Model'!$A$6:$B$38,2,FALSE)</f>
        <v>-0.42584667868780524</v>
      </c>
      <c r="J253">
        <f>($B$1+Table4[[#This Row],[Home Differential]])-Table4[[#This Row],[Away Differential]]</f>
        <v>0.32140527209829761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0.57209458848560324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0.18310304120330523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-0.52712015292731806</v>
      </c>
      <c r="H254" t="s">
        <v>30</v>
      </c>
      <c r="I254">
        <f>VLOOKUP(Table4[[#This Row],[Visitor]],'NHL Model'!$A$6:$B$38,2,FALSE)</f>
        <v>-0.20908736804509698</v>
      </c>
      <c r="J254">
        <f>($B$1+Table4[[#This Row],[Home Differential]])-Table4[[#This Row],[Away Differential]]</f>
        <v>-0.22206278971155785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0.50294377012021496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0.24706489566230572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-0.6396663932228257</v>
      </c>
      <c r="H255" t="s">
        <v>29</v>
      </c>
      <c r="I255">
        <f>VLOOKUP(Table4[[#This Row],[Visitor]],'NHL Model'!$A$6:$B$38,2,FALSE)</f>
        <v>-0.74313650334688619</v>
      </c>
      <c r="J255">
        <f>($B$1+Table4[[#This Row],[Home Differential]])-Table4[[#This Row],[Away Differential]]</f>
        <v>0.19944010529472378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0.55991550438849647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0.19367436327763146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-4.774288798450349E-3</v>
      </c>
      <c r="H256" t="s">
        <v>11</v>
      </c>
      <c r="I256">
        <f>VLOOKUP(Table4[[#This Row],[Visitor]],'NHL Model'!$A$6:$B$38,2,FALSE)</f>
        <v>-0.42375285621939396</v>
      </c>
      <c r="J256">
        <f>($B$1+Table4[[#This Row],[Home Differential]])-Table4[[#This Row],[Away Differential]]</f>
        <v>0.51494856259160682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0.54001291434077681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0.29161394765481913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-5.5047914862176604E-2</v>
      </c>
      <c r="H257" t="s">
        <v>19</v>
      </c>
      <c r="I257">
        <f>VLOOKUP(Table4[[#This Row],[Visitor]],'NHL Model'!$A$6:$B$38,2,FALSE)</f>
        <v>-0.32175529201986758</v>
      </c>
      <c r="J257">
        <f>($B$1+Table4[[#This Row],[Home Differential]])-Table4[[#This Row],[Away Differential]]</f>
        <v>0.36267737232835423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0.6191174538569657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0.14507151395640064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0.29527586190964761</v>
      </c>
      <c r="H258" t="s">
        <v>22</v>
      </c>
      <c r="I258">
        <f>VLOOKUP(Table4[[#This Row],[Visitor]],'NHL Model'!$A$6:$B$38,2,FALSE)</f>
        <v>-8.9159851516330005E-2</v>
      </c>
      <c r="J258">
        <f>($B$1+Table4[[#This Row],[Home Differential]])-Table4[[#This Row],[Away Differential]]</f>
        <v>0.48040570859664083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0.63087346047427406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0.39800132313078546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1.1751846443488465</v>
      </c>
      <c r="H259" t="s">
        <v>31</v>
      </c>
      <c r="I259">
        <f>VLOOKUP(Table4[[#This Row],[Visitor]],'NHL Model'!$A$6:$B$38,2,FALSE)</f>
        <v>-0.38289376966531796</v>
      </c>
      <c r="J259">
        <f>($B$1+Table4[[#This Row],[Home Differential]])-Table4[[#This Row],[Away Differential]]</f>
        <v>1.6540484091848278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0.79095065418135191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4.370162898720472E-2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1.2879210938040288E-2</v>
      </c>
      <c r="H260" t="s">
        <v>33</v>
      </c>
      <c r="I260">
        <f>VLOOKUP(Table4[[#This Row],[Visitor]],'NHL Model'!$A$6:$B$38,2,FALSE)</f>
        <v>-0.53461960928306718</v>
      </c>
      <c r="J260">
        <f>($B$1+Table4[[#This Row],[Home Differential]])-Table4[[#This Row],[Away Differential]]</f>
        <v>0.6434688153917707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0.58348567923424088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0.34045553787144345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-0.23645483545724041</v>
      </c>
      <c r="H261" t="s">
        <v>13</v>
      </c>
      <c r="I261">
        <f>VLOOKUP(Table4[[#This Row],[Visitor]],'NHL Model'!$A$6:$B$38,2,FALSE)</f>
        <v>-0.43624947117902363</v>
      </c>
      <c r="J261">
        <f>($B$1+Table4[[#This Row],[Home Differential]])-Table4[[#This Row],[Away Differential]]</f>
        <v>0.29576463089244648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0.53896815146745136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0.29048666829624159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-0.40390734274709933</v>
      </c>
      <c r="H262" t="s">
        <v>39</v>
      </c>
      <c r="I262">
        <f>VLOOKUP(Table4[[#This Row],[Visitor]],'NHL Model'!$A$6:$B$38,2,FALSE)</f>
        <v>0.21259592260910548</v>
      </c>
      <c r="J262">
        <f>($B$1+Table4[[#This Row],[Home Differential]])-Table4[[#This Row],[Away Differential]]</f>
        <v>-0.52053327018554163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0.54998689489058572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0.20251179477021675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-0.57094405545214133</v>
      </c>
      <c r="H263" t="s">
        <v>28</v>
      </c>
      <c r="I263">
        <f>VLOOKUP(Table4[[#This Row],[Visitor]],'NHL Model'!$A$6:$B$38,2,FALSE)</f>
        <v>-0.42584667868780524</v>
      </c>
      <c r="J263">
        <f>($B$1+Table4[[#This Row],[Home Differential]])-Table4[[#This Row],[Away Differential]]</f>
        <v>-4.9127381593672859E-2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0.46490571634164707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0.28632589240384593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-1.2663626722629573</v>
      </c>
      <c r="H264" t="s">
        <v>16</v>
      </c>
      <c r="I264">
        <f>VLOOKUP(Table4[[#This Row],[Visitor]],'NHL Model'!$A$6:$B$38,2,FALSE)</f>
        <v>-0.79148902514100783</v>
      </c>
      <c r="J264">
        <f>($B$1+Table4[[#This Row],[Home Differential]])-Table4[[#This Row],[Away Differential]]</f>
        <v>-0.37890365195128628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0.49783620817940266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0.24784089017444555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-1.2591310848703385</v>
      </c>
      <c r="H265" t="s">
        <v>40</v>
      </c>
      <c r="I265">
        <f>VLOOKUP(Table4[[#This Row],[Visitor]],'NHL Model'!$A$6:$B$38,2,FALSE)</f>
        <v>-0.47391784202962389</v>
      </c>
      <c r="J265">
        <f>($B$1+Table4[[#This Row],[Home Differential]])-Table4[[#This Row],[Away Differential]]</f>
        <v>-0.68924324767005141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0.52882581065342815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0.22200511670639914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-0.70456324341534593</v>
      </c>
      <c r="H266" t="s">
        <v>24</v>
      </c>
      <c r="I266">
        <f>VLOOKUP(Table4[[#This Row],[Visitor]],'NHL Model'!$A$6:$B$38,2,FALSE)</f>
        <v>-0.52712015292731806</v>
      </c>
      <c r="J266">
        <f>($B$1+Table4[[#This Row],[Home Differential]])-Table4[[#This Row],[Away Differential]]</f>
        <v>-8.1473095317364574E-2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0.50614363264160367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0.24389411158043131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-0.32182316569099201</v>
      </c>
      <c r="H267" t="s">
        <v>17</v>
      </c>
      <c r="I267">
        <f>VLOOKUP(Table4[[#This Row],[Visitor]],'NHL Model'!$A$6:$B$38,2,FALSE)</f>
        <v>-0.20041140176017086</v>
      </c>
      <c r="J267">
        <f>($B$1+Table4[[#This Row],[Home Differential]])-Table4[[#This Row],[Away Differential]]</f>
        <v>-2.5441768760157912E-2</v>
      </c>
      <c r="K267" t="str">
        <f>IF(Table4[[#This Row],[HomeIce Differential]]&gt;0,Table4[[#This Row],[Home]],Table4[[#This Row],[Visitor]])</f>
        <v>Edmonton Oilers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0.46484495013556898</v>
      </c>
      <c r="M267" t="str">
        <f>IF(OR((NHL2025_26Results[[#This Row],[Winning Team]]="")),"-",IF(Table4[[#This Row],[Predicted Winner]]=NHL2025_26Results[[#This Row],[Winning Team]],"YES","NO"))</f>
        <v>YES</v>
      </c>
      <c r="N267">
        <f>IF(Table4[[#This Row],[Adjusted Correct]]="-", "",IF(Table4[[#This Row],[Adjusted Correct]]="YES",(Table4[[#This Row],[Strength of Win]]-1)^2,(Table4[[#This Row],[Strength of Win]]-0)^2))</f>
        <v>0.28639092739540173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0.65340538721281671</v>
      </c>
      <c r="H268" t="s">
        <v>15</v>
      </c>
      <c r="I268">
        <f>VLOOKUP(Table4[[#This Row],[Visitor]],'NHL Model'!$A$6:$B$38,2,FALSE)</f>
        <v>-0.6396663932228257</v>
      </c>
      <c r="J268">
        <f>($B$1+Table4[[#This Row],[Home Differential]])-Table4[[#This Row],[Away Differential]]</f>
        <v>1.3890417756063056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0.64917684484692584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0.42143057588540961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0.12055191373383152</v>
      </c>
      <c r="H269" t="s">
        <v>23</v>
      </c>
      <c r="I269">
        <f>VLOOKUP(Table4[[#This Row],[Visitor]],'NHL Model'!$A$6:$B$38,2,FALSE)</f>
        <v>2.7346770720058793E-2</v>
      </c>
      <c r="J269">
        <f>($B$1+Table4[[#This Row],[Home Differential]])-Table4[[#This Row],[Away Differential]]</f>
        <v>0.18917513818443599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0.57444603041335351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0.18109618103095243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-0.42584667868780524</v>
      </c>
      <c r="H270" t="s">
        <v>17</v>
      </c>
      <c r="I270">
        <f>VLOOKUP(Table4[[#This Row],[Visitor]],'NHL Model'!$A$6:$B$38,2,FALSE)</f>
        <v>-0.20041140176017086</v>
      </c>
      <c r="J270">
        <f>($B$1+Table4[[#This Row],[Home Differential]])-Table4[[#This Row],[Away Differential]]</f>
        <v>-0.12946528175697114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0.47523243326757697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0.22584586562942199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-0.79148902514100783</v>
      </c>
      <c r="H271" t="s">
        <v>33</v>
      </c>
      <c r="I271">
        <f>VLOOKUP(Table4[[#This Row],[Visitor]],'NHL Model'!$A$6:$B$38,2,FALSE)</f>
        <v>-0.53461960928306718</v>
      </c>
      <c r="J271">
        <f>($B$1+Table4[[#This Row],[Home Differential]])-Table4[[#This Row],[Away Differential]]</f>
        <v>-0.16089942068727736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0.49683617534925234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0.24684618513567302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1.1751846443488465</v>
      </c>
      <c r="H272" t="s">
        <v>23</v>
      </c>
      <c r="I272">
        <f>VLOOKUP(Table4[[#This Row],[Visitor]],'NHL Model'!$A$6:$B$38,2,FALSE)</f>
        <v>2.7346770720058793E-2</v>
      </c>
      <c r="J272">
        <f>($B$1+Table4[[#This Row],[Home Differential]])-Table4[[#This Row],[Away Differential]]</f>
        <v>1.2438078687994509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0.73026361444207599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7.275771769385303E-2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-0.17319925920548884</v>
      </c>
      <c r="H273" t="s">
        <v>31</v>
      </c>
      <c r="I273">
        <f>VLOOKUP(Table4[[#This Row],[Visitor]],'NHL Model'!$A$6:$B$38,2,FALSE)</f>
        <v>-0.38289376966531796</v>
      </c>
      <c r="J273">
        <f>($B$1+Table4[[#This Row],[Home Differential]])-Table4[[#This Row],[Away Differential]]</f>
        <v>0.30566450563049236</v>
      </c>
      <c r="K273" t="str">
        <f>IF(Table4[[#This Row],[HomeIce Differential]]&gt;0,Table4[[#This Row],[Home]],Table4[[#This Row],[Visitor]])</f>
        <v>Detroit Red Wings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0.62223873801109353</v>
      </c>
      <c r="M273" t="str">
        <f>IF(OR((NHL2025_26Results[[#This Row],[Winning Team]]="")),"-",IF(Table4[[#This Row],[Predicted Winner]]=NHL2025_26Results[[#This Row],[Winning Team]],"YES","NO"))</f>
        <v>YES</v>
      </c>
      <c r="N273">
        <f>IF(Table4[[#This Row],[Adjusted Correct]]="-", "",IF(Table4[[#This Row],[Adjusted Correct]]="YES",(Table4[[#This Row],[Strength of Win]]-1)^2,(Table4[[#This Row],[Strength of Win]]-0)^2))</f>
        <v>0.14270357105945122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-0.42375285621939396</v>
      </c>
      <c r="H274" t="s">
        <v>22</v>
      </c>
      <c r="I274">
        <f>VLOOKUP(Table4[[#This Row],[Visitor]],'NHL Model'!$A$6:$B$38,2,FALSE)</f>
        <v>-8.9159851516330005E-2</v>
      </c>
      <c r="J274">
        <f>($B$1+Table4[[#This Row],[Home Differential]])-Table4[[#This Row],[Away Differential]]</f>
        <v>-0.23862300953240073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0.48382819436700564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0.23408972166443698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-0.23645483545724041</v>
      </c>
      <c r="H275" t="s">
        <v>39</v>
      </c>
      <c r="I275">
        <f>VLOOKUP(Table4[[#This Row],[Visitor]],'NHL Model'!$A$6:$B$38,2,FALSE)</f>
        <v>0.21259592260910548</v>
      </c>
      <c r="J275">
        <f>($B$1+Table4[[#This Row],[Home Differential]])-Table4[[#This Row],[Away Differential]]</f>
        <v>-0.35308076289568263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0.53326557828845222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0.21784102041041292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-0.40390734274709933</v>
      </c>
      <c r="H276" t="s">
        <v>21</v>
      </c>
      <c r="I276">
        <f>VLOOKUP(Table4[[#This Row],[Visitor]],'NHL Model'!$A$6:$B$38,2,FALSE)</f>
        <v>-5.5047914862176604E-2</v>
      </c>
      <c r="J276">
        <f>($B$1+Table4[[#This Row],[Home Differential]])-Table4[[#This Row],[Away Differential]]</f>
        <v>-0.25288943271425951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0.48525279757339984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0.23547027755281097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-0.57094405545214133</v>
      </c>
      <c r="H277" t="s">
        <v>40</v>
      </c>
      <c r="I277">
        <f>VLOOKUP(Table4[[#This Row],[Visitor]],'NHL Model'!$A$6:$B$38,2,FALSE)</f>
        <v>-0.47391784202962389</v>
      </c>
      <c r="J277">
        <f>($B$1+Table4[[#This Row],[Home Differential]])-Table4[[#This Row],[Away Differential]]</f>
        <v>-1.0562182518542018E-3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0.46010547085902775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0.21169704431440764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-0.32175529201986758</v>
      </c>
      <c r="H278" t="s">
        <v>13</v>
      </c>
      <c r="I278">
        <f>VLOOKUP(Table4[[#This Row],[Visitor]],'NHL Model'!$A$6:$B$38,2,FALSE)</f>
        <v>-0.43624947117902363</v>
      </c>
      <c r="J278">
        <f>($B$1+Table4[[#This Row],[Home Differential]])-Table4[[#This Row],[Away Differential]]</f>
        <v>0.21046417432981929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0.53581685041311777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0.28709969718663342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-4.774288798450349E-3</v>
      </c>
      <c r="H279" t="s">
        <v>30</v>
      </c>
      <c r="I279">
        <f>VLOOKUP(Table4[[#This Row],[Visitor]],'NHL Model'!$A$6:$B$38,2,FALSE)</f>
        <v>-0.20908736804509698</v>
      </c>
      <c r="J279">
        <f>($B$1+Table4[[#This Row],[Home Differential]])-Table4[[#This Row],[Away Differential]]</f>
        <v>0.30028307441730989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0.54921615696164572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0.30163838706771906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0.29527586190964761</v>
      </c>
      <c r="H280" t="s">
        <v>38</v>
      </c>
      <c r="I280">
        <f>VLOOKUP(Table4[[#This Row],[Visitor]],'NHL Model'!$A$6:$B$38,2,FALSE)</f>
        <v>-1.2591310848703385</v>
      </c>
      <c r="J280">
        <f>($B$1+Table4[[#This Row],[Home Differential]])-Table4[[#This Row],[Away Differential]]</f>
        <v>1.6503769419506493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0.74770335884322925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6.3653595138988342E-2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-0.74313650334688619</v>
      </c>
      <c r="H281" t="s">
        <v>14</v>
      </c>
      <c r="I281">
        <f>VLOOKUP(Table4[[#This Row],[Visitor]],'NHL Model'!$A$6:$B$38,2,FALSE)</f>
        <v>3.24300967767114E-5</v>
      </c>
      <c r="J281">
        <f>($B$1+Table4[[#This Row],[Home Differential]])-Table4[[#This Row],[Away Differential]]</f>
        <v>-0.64719893827299957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0.57371829823292197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0.32915268572728001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-1.2663626722629573</v>
      </c>
      <c r="H282" t="s">
        <v>27</v>
      </c>
      <c r="I282">
        <f>VLOOKUP(Table4[[#This Row],[Visitor]],'NHL Model'!$A$6:$B$38,2,FALSE)</f>
        <v>-0.32182316569099201</v>
      </c>
      <c r="J282">
        <f>($B$1+Table4[[#This Row],[Home Differential]])-Table4[[#This Row],[Away Differential]]</f>
        <v>-0.8485695114013021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0.55532389968460349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0.19773683419170857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0.12055191373383152</v>
      </c>
      <c r="H283" t="s">
        <v>30</v>
      </c>
      <c r="I283">
        <f>VLOOKUP(Table4[[#This Row],[Visitor]],'NHL Model'!$A$6:$B$38,2,FALSE)</f>
        <v>-0.20908736804509698</v>
      </c>
      <c r="J283">
        <f>($B$1+Table4[[#This Row],[Home Differential]])-Table4[[#This Row],[Away Differential]]</f>
        <v>0.42560927694959172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0.59805565056076326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0.35767056116765777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0.29527586190964761</v>
      </c>
      <c r="H284" t="s">
        <v>17</v>
      </c>
      <c r="I284">
        <f>VLOOKUP(Table4[[#This Row],[Visitor]],'NHL Model'!$A$6:$B$38,2,FALSE)</f>
        <v>-0.20041140176017086</v>
      </c>
      <c r="J284">
        <f>($B$1+Table4[[#This Row],[Home Differential]])-Table4[[#This Row],[Away Differential]]</f>
        <v>0.5916572588404817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0.63972632110775629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0.40924976591806411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-0.42584667868780524</v>
      </c>
      <c r="H285" t="s">
        <v>15</v>
      </c>
      <c r="I285">
        <f>VLOOKUP(Table4[[#This Row],[Visitor]],'NHL Model'!$A$6:$B$38,2,FALSE)</f>
        <v>-0.6396663932228257</v>
      </c>
      <c r="J285">
        <f>($B$1+Table4[[#This Row],[Home Differential]])-Table4[[#This Row],[Away Differential]]</f>
        <v>0.3097897097056837</v>
      </c>
      <c r="K285" t="str">
        <f>IF(Table4[[#This Row],[HomeIce Differential]]&gt;0,Table4[[#This Row],[Home]],Table4[[#This Row],[Visitor]])</f>
        <v>Columbus Blue Jackets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0.5188864996973005</v>
      </c>
      <c r="M285" t="str">
        <f>IF(OR((NHL2025_26Results[[#This Row],[Winning Team]]="")),"-",IF(Table4[[#This Row],[Predicted Winner]]=NHL2025_26Results[[#This Row],[Winning Team]],"YES","NO"))</f>
        <v>NO</v>
      </c>
      <c r="N285">
        <f>IF(Table4[[#This Row],[Adjusted Correct]]="-", "",IF(Table4[[#This Row],[Adjusted Correct]]="YES",(Table4[[#This Row],[Strength of Win]]-1)^2,(Table4[[#This Row],[Strength of Win]]-0)^2))</f>
        <v>0.26924319956811665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-0.79148902514100783</v>
      </c>
      <c r="H286" t="s">
        <v>40</v>
      </c>
      <c r="I286">
        <f>VLOOKUP(Table4[[#This Row],[Visitor]],'NHL Model'!$A$6:$B$38,2,FALSE)</f>
        <v>-0.47391784202962389</v>
      </c>
      <c r="J286">
        <f>($B$1+Table4[[#This Row],[Home Differential]])-Table4[[#This Row],[Away Differential]]</f>
        <v>-0.22160118794072065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0.48212844515102748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0.26819094732169235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-0.70456324341534593</v>
      </c>
      <c r="H287" t="s">
        <v>19</v>
      </c>
      <c r="I287">
        <f>VLOOKUP(Table4[[#This Row],[Visitor]],'NHL Model'!$A$6:$B$38,2,FALSE)</f>
        <v>-0.32175529201986758</v>
      </c>
      <c r="J287">
        <f>($B$1+Table4[[#This Row],[Home Differential]])-Table4[[#This Row],[Away Differential]]</f>
        <v>-0.28683795622481506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0.48864279763361002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0.23877178367920115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0.21259592260910548</v>
      </c>
      <c r="H288" t="s">
        <v>27</v>
      </c>
      <c r="I288">
        <f>VLOOKUP(Table4[[#This Row],[Visitor]],'NHL Model'!$A$6:$B$38,2,FALSE)</f>
        <v>-0.32182316569099201</v>
      </c>
      <c r="J288">
        <f>($B$1+Table4[[#This Row],[Home Differential]])-Table4[[#This Row],[Away Differential]]</f>
        <v>0.63038908347076072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0.61153814800117834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0.15090261045835443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-0.17319925920548884</v>
      </c>
      <c r="H289" t="s">
        <v>23</v>
      </c>
      <c r="I289">
        <f>VLOOKUP(Table4[[#This Row],[Visitor]],'NHL Model'!$A$6:$B$38,2,FALSE)</f>
        <v>2.7346770720058793E-2</v>
      </c>
      <c r="J289">
        <f>($B$1+Table4[[#This Row],[Home Differential]])-Table4[[#This Row],[Away Differential]]</f>
        <v>-0.10457603475488439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0.43901408490684696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0.31470519693290239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-0.42375285621939396</v>
      </c>
      <c r="H290" t="s">
        <v>37</v>
      </c>
      <c r="I290">
        <f>VLOOKUP(Table4[[#This Row],[Visitor]],'NHL Model'!$A$6:$B$38,2,FALSE)</f>
        <v>0.65340538721281671</v>
      </c>
      <c r="J290">
        <f>($B$1+Table4[[#This Row],[Home Differential]])-Table4[[#This Row],[Away Differential]]</f>
        <v>-0.98118824826154749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0.65483673048353619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0.11913768262329504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1.2879210938040288E-2</v>
      </c>
      <c r="H291" t="s">
        <v>31</v>
      </c>
      <c r="I291">
        <f>VLOOKUP(Table4[[#This Row],[Visitor]],'NHL Model'!$A$6:$B$38,2,FALSE)</f>
        <v>-0.38289376966531796</v>
      </c>
      <c r="J291">
        <f>($B$1+Table4[[#This Row],[Home Differential]])-Table4[[#This Row],[Away Differential]]</f>
        <v>0.49174297577402148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0.58910401234279175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0.16883551267279265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-0.23645483545724041</v>
      </c>
      <c r="H292" t="s">
        <v>21</v>
      </c>
      <c r="I292">
        <f>VLOOKUP(Table4[[#This Row],[Visitor]],'NHL Model'!$A$6:$B$38,2,FALSE)</f>
        <v>-5.5047914862176604E-2</v>
      </c>
      <c r="J292">
        <f>($B$1+Table4[[#This Row],[Home Differential]])-Table4[[#This Row],[Away Differential]]</f>
        <v>-8.5436925424400539E-2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0.46853148097126635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0.28245878671859537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-0.40390734274709933</v>
      </c>
      <c r="H293" t="s">
        <v>13</v>
      </c>
      <c r="I293">
        <f>VLOOKUP(Table4[[#This Row],[Visitor]],'NHL Model'!$A$6:$B$38,2,FALSE)</f>
        <v>-0.43624947117902363</v>
      </c>
      <c r="J293">
        <f>($B$1+Table4[[#This Row],[Home Differential]])-Table4[[#This Row],[Away Differential]]</f>
        <v>0.12831212360258754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0.52224683486531798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0.27274175652684268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-0.57094405545214133</v>
      </c>
      <c r="H294" t="s">
        <v>33</v>
      </c>
      <c r="I294">
        <f>VLOOKUP(Table4[[#This Row],[Visitor]],'NHL Model'!$A$6:$B$38,2,FALSE)</f>
        <v>-0.53461960928306718</v>
      </c>
      <c r="J294">
        <f>($B$1+Table4[[#This Row],[Home Differential]])-Table4[[#This Row],[Away Differential]]</f>
        <v>5.9645549001589082E-2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0.52518679894274745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0.22544757589823494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-1.2663626722629573</v>
      </c>
      <c r="H295" t="s">
        <v>20</v>
      </c>
      <c r="I295">
        <f>VLOOKUP(Table4[[#This Row],[Visitor]],'NHL Model'!$A$6:$B$38,2,FALSE)</f>
        <v>-4.774288798450349E-3</v>
      </c>
      <c r="J295">
        <f>($B$1+Table4[[#This Row],[Home Differential]])-Table4[[#This Row],[Away Differential]]</f>
        <v>-1.1656183882938438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0.6069612737545711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0.1544794403286292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-8.9159851516330005E-2</v>
      </c>
      <c r="H296" t="s">
        <v>24</v>
      </c>
      <c r="I296">
        <f>VLOOKUP(Table4[[#This Row],[Visitor]],'NHL Model'!$A$6:$B$38,2,FALSE)</f>
        <v>-0.52712015292731806</v>
      </c>
      <c r="J296">
        <f>($B$1+Table4[[#This Row],[Home Differential]])-Table4[[#This Row],[Away Differential]]</f>
        <v>0.53393029658165125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0.55530874642703443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0.30836780385836443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1.1751846443488465</v>
      </c>
      <c r="H297" t="s">
        <v>30</v>
      </c>
      <c r="I297">
        <f>VLOOKUP(Table4[[#This Row],[Visitor]],'NHL Model'!$A$6:$B$38,2,FALSE)</f>
        <v>-0.20908736804509698</v>
      </c>
      <c r="J297">
        <f>($B$1+Table4[[#This Row],[Home Differential]])-Table4[[#This Row],[Away Differential]]</f>
        <v>1.4802420075646068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0.75387323458948574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6.0578384651442316E-2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1.2879210938040288E-2</v>
      </c>
      <c r="H298" t="s">
        <v>20</v>
      </c>
      <c r="I298">
        <f>VLOOKUP(Table4[[#This Row],[Visitor]],'NHL Model'!$A$6:$B$38,2,FALSE)</f>
        <v>-4.774288798450349E-3</v>
      </c>
      <c r="J298">
        <f>($B$1+Table4[[#This Row],[Home Differential]])-Table4[[#This Row],[Away Differential]]</f>
        <v>0.11362349490715389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0.52078007145375327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0.22965173991586982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-0.6396663932228257</v>
      </c>
      <c r="H299" t="s">
        <v>26</v>
      </c>
      <c r="I299">
        <f>VLOOKUP(Table4[[#This Row],[Visitor]],'NHL Model'!$A$6:$B$38,2,FALSE)</f>
        <v>-0.17319925920548884</v>
      </c>
      <c r="J299">
        <f>($B$1+Table4[[#This Row],[Home Differential]])-Table4[[#This Row],[Away Differential]]</f>
        <v>-0.37049713884667357</v>
      </c>
      <c r="K299" t="str">
        <f>IF(Table4[[#This Row],[HomeIce Differential]]&gt;0,Table4[[#This Row],[Home]],Table4[[#This Row],[Visitor]])</f>
        <v>Detroit Red Wings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0.53628349165711819</v>
      </c>
      <c r="M299" t="str">
        <f>IF(OR((NHL2025_26Results[[#This Row],[Winning Team]]="")),"-",IF(Table4[[#This Row],[Predicted Winner]]=NHL2025_26Results[[#This Row],[Winning Team]],"YES","NO"))</f>
        <v>YES</v>
      </c>
      <c r="N299">
        <f>IF(Table4[[#This Row],[Adjusted Correct]]="-", "",IF(Table4[[#This Row],[Adjusted Correct]]="YES",(Table4[[#This Row],[Strength of Win]]-1)^2,(Table4[[#This Row],[Strength of Win]]-0)^2))</f>
        <v>0.21503300010971396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3.24300967767114E-5</v>
      </c>
      <c r="H300" t="s">
        <v>29</v>
      </c>
      <c r="I300">
        <f>VLOOKUP(Table4[[#This Row],[Visitor]],'NHL Model'!$A$6:$B$38,2,FALSE)</f>
        <v>-0.74313650334688619</v>
      </c>
      <c r="J300">
        <f>($B$1+Table4[[#This Row],[Home Differential]])-Table4[[#This Row],[Away Differential]]</f>
        <v>0.83913892861432615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0.62379395403286975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0.14153098902222253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0.65340538721281671</v>
      </c>
      <c r="H301" t="s">
        <v>38</v>
      </c>
      <c r="I301">
        <f>VLOOKUP(Table4[[#This Row],[Visitor]],'NHL Model'!$A$6:$B$38,2,FALSE)</f>
        <v>-1.2591310848703385</v>
      </c>
      <c r="J301">
        <f>($B$1+Table4[[#This Row],[Home Differential]])-Table4[[#This Row],[Away Differential]]</f>
        <v>2.0085064672538184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0.76284730624118491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0.58193601263943218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-0.38289376966531796</v>
      </c>
      <c r="H302" t="s">
        <v>55</v>
      </c>
      <c r="I302">
        <f>VLOOKUP(Table4[[#This Row],[Visitor]],'NHL Model'!$A$6:$B$38,2,FALSE)</f>
        <v>0.12055191373383152</v>
      </c>
      <c r="J302">
        <f>($B$1+Table4[[#This Row],[Home Differential]])-Table4[[#This Row],[Away Differential]]</f>
        <v>-0.40747568822848623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0.46465246162264517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0.21590191009198376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-5.5047914862176604E-2</v>
      </c>
      <c r="H303" t="s">
        <v>25</v>
      </c>
      <c r="I303">
        <f>VLOOKUP(Table4[[#This Row],[Visitor]],'NHL Model'!$A$6:$B$38,2,FALSE)</f>
        <v>0.29527586190964761</v>
      </c>
      <c r="J303">
        <f>($B$1+Table4[[#This Row],[Home Differential]])-Table4[[#This Row],[Away Differential]]</f>
        <v>-0.25435378160116096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0.50112717850128519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0.24887409203008856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2.7346770720058793E-2</v>
      </c>
      <c r="H304" t="s">
        <v>17</v>
      </c>
      <c r="I304">
        <f>VLOOKUP(Table4[[#This Row],[Visitor]],'NHL Model'!$A$6:$B$38,2,FALSE)</f>
        <v>-0.20041140176017086</v>
      </c>
      <c r="J304">
        <f>($B$1+Table4[[#This Row],[Home Differential]])-Table4[[#This Row],[Away Differential]]</f>
        <v>0.32372816765089291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0.61188670126678679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0.15063193265357638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-0.42584667868780524</v>
      </c>
      <c r="H305" t="s">
        <v>18</v>
      </c>
      <c r="I305">
        <f>VLOOKUP(Table4[[#This Row],[Visitor]],'NHL Model'!$A$6:$B$38,2,FALSE)</f>
        <v>-0.23645483545724041</v>
      </c>
      <c r="J305">
        <f>($B$1+Table4[[#This Row],[Home Differential]])-Table4[[#This Row],[Away Differential]]</f>
        <v>-9.3421848059901585E-2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0.50861556518138007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0.25868979314477469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-0.42375285621939396</v>
      </c>
      <c r="H306" t="s">
        <v>38</v>
      </c>
      <c r="I306">
        <f>VLOOKUP(Table4[[#This Row],[Visitor]],'NHL Model'!$A$6:$B$38,2,FALSE)</f>
        <v>-1.2591310848703385</v>
      </c>
      <c r="J306">
        <f>($B$1+Table4[[#This Row],[Home Differential]])-Table4[[#This Row],[Away Differential]]</f>
        <v>0.93134822382160776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0.63300170400194966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0.13468774926547258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-8.9159851516330005E-2</v>
      </c>
      <c r="H307" t="s">
        <v>13</v>
      </c>
      <c r="I307">
        <f>VLOOKUP(Table4[[#This Row],[Visitor]],'NHL Model'!$A$6:$B$38,2,FALSE)</f>
        <v>-0.43624947117902363</v>
      </c>
      <c r="J307">
        <f>($B$1+Table4[[#This Row],[Home Differential]])-Table4[[#This Row],[Away Differential]]</f>
        <v>0.44305961483335687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0.5536765968663534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0.19920458018479961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-0.70456324341534593</v>
      </c>
      <c r="H308" t="s">
        <v>16</v>
      </c>
      <c r="I308">
        <f>VLOOKUP(Table4[[#This Row],[Visitor]],'NHL Model'!$A$6:$B$38,2,FALSE)</f>
        <v>-0.79148902514100783</v>
      </c>
      <c r="J308">
        <f>($B$1+Table4[[#This Row],[Home Differential]])-Table4[[#This Row],[Away Differential]]</f>
        <v>0.18289577689632519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0.55826343624334518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0.19513119175953716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0.21259592260910548</v>
      </c>
      <c r="H309" t="s">
        <v>30</v>
      </c>
      <c r="I309">
        <f>VLOOKUP(Table4[[#This Row],[Visitor]],'NHL Model'!$A$6:$B$38,2,FALSE)</f>
        <v>-0.20908736804509698</v>
      </c>
      <c r="J309">
        <f>($B$1+Table4[[#This Row],[Home Differential]])-Table4[[#This Row],[Away Differential]]</f>
        <v>0.51765328582486569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0.59015287842713882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0.3482804199158373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-0.17319925920548884</v>
      </c>
      <c r="H310" t="s">
        <v>32</v>
      </c>
      <c r="I310">
        <f>VLOOKUP(Table4[[#This Row],[Visitor]],'NHL Model'!$A$6:$B$38,2,FALSE)</f>
        <v>-0.57094405545214133</v>
      </c>
      <c r="J310">
        <f>($B$1+Table4[[#This Row],[Home Differential]])-Table4[[#This Row],[Away Differential]]</f>
        <v>0.49371479141731572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0.64101688840522375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0.12886887441026759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-0.53461960928306718</v>
      </c>
      <c r="H311" t="s">
        <v>55</v>
      </c>
      <c r="I311">
        <f>VLOOKUP(Table4[[#This Row],[Visitor]],'NHL Model'!$A$6:$B$38,2,FALSE)</f>
        <v>0.12055191373383152</v>
      </c>
      <c r="J311">
        <f>($B$1+Table4[[#This Row],[Home Differential]])-Table4[[#This Row],[Away Differential]]</f>
        <v>-0.55920152784623545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0.5158402256427721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0.26609113839118603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0.65340538721281671</v>
      </c>
      <c r="H312" t="s">
        <v>24</v>
      </c>
      <c r="I312">
        <f>VLOOKUP(Table4[[#This Row],[Visitor]],'NHL Model'!$A$6:$B$38,2,FALSE)</f>
        <v>-0.52712015292731806</v>
      </c>
      <c r="J312">
        <f>($B$1+Table4[[#This Row],[Home Differential]])-Table4[[#This Row],[Away Differential]]</f>
        <v>1.2764955353107981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0.65196278019053366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0.12112990637270278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-0.32175529201986758</v>
      </c>
      <c r="H313" t="s">
        <v>35</v>
      </c>
      <c r="I313">
        <f>VLOOKUP(Table4[[#This Row],[Visitor]],'NHL Model'!$A$6:$B$38,2,FALSE)</f>
        <v>-1.2663626722629573</v>
      </c>
      <c r="J313">
        <f>($B$1+Table4[[#This Row],[Home Differential]])-Table4[[#This Row],[Away Differential]]</f>
        <v>1.0405773754137528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0.64923961362751459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0.12303284864817525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-4.774288798450349E-3</v>
      </c>
      <c r="H314" t="s">
        <v>15</v>
      </c>
      <c r="I314">
        <f>VLOOKUP(Table4[[#This Row],[Visitor]],'NHL Model'!$A$6:$B$38,2,FALSE)</f>
        <v>-0.6396663932228257</v>
      </c>
      <c r="J314">
        <f>($B$1+Table4[[#This Row],[Home Differential]])-Table4[[#This Row],[Away Differential]]</f>
        <v>0.73086209959503856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0.56093355445754467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0.1927793436012859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-0.47391784202962389</v>
      </c>
      <c r="H315" t="s">
        <v>28</v>
      </c>
      <c r="I315">
        <f>VLOOKUP(Table4[[#This Row],[Visitor]],'NHL Model'!$A$6:$B$38,2,FALSE)</f>
        <v>-0.42584667868780524</v>
      </c>
      <c r="J315">
        <f>($B$1+Table4[[#This Row],[Home Differential]])-Table4[[#This Row],[Away Differential]]</f>
        <v>4.7898831828844579E-2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0.54478303696280916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0.20722248343680316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-0.38289376966531796</v>
      </c>
      <c r="H316" t="s">
        <v>21</v>
      </c>
      <c r="I316">
        <f>VLOOKUP(Table4[[#This Row],[Visitor]],'NHL Model'!$A$6:$B$38,2,FALSE)</f>
        <v>-5.5047914862176604E-2</v>
      </c>
      <c r="J316">
        <f>($B$1+Table4[[#This Row],[Home Differential]])-Table4[[#This Row],[Away Differential]]</f>
        <v>-0.23187585963247812</v>
      </c>
      <c r="K316" t="str">
        <f>IF(Table4[[#This Row],[HomeIce Differential]]&gt;0,Table4[[#This Row],[Home]],Table4[[#This Row],[Visitor]])</f>
        <v>Boston Bruins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0.44711757739334201</v>
      </c>
      <c r="M316" t="str">
        <f>IF(OR((NHL2025_26Results[[#This Row],[Winning Team]]="")),"-",IF(Table4[[#This Row],[Predicted Winner]]=NHL2025_26Results[[#This Row],[Winning Team]],"YES","NO"))</f>
        <v>NO</v>
      </c>
      <c r="N316">
        <f>IF(Table4[[#This Row],[Adjusted Correct]]="-", "",IF(Table4[[#This Row],[Adjusted Correct]]="YES",(Table4[[#This Row],[Strength of Win]]-1)^2,(Table4[[#This Row],[Strength of Win]]-0)^2))</f>
        <v>0.1999141280140912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2.7346770720058793E-2</v>
      </c>
      <c r="H317" t="s">
        <v>16</v>
      </c>
      <c r="I317">
        <f>VLOOKUP(Table4[[#This Row],[Visitor]],'NHL Model'!$A$6:$B$38,2,FALSE)</f>
        <v>-0.79148902514100783</v>
      </c>
      <c r="J317">
        <f>($B$1+Table4[[#This Row],[Home Differential]])-Table4[[#This Row],[Away Differential]]</f>
        <v>0.91480579103172988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0.67316800696489121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0.45315516560108382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1.2879210938040288E-2</v>
      </c>
      <c r="H318" t="s">
        <v>25</v>
      </c>
      <c r="I318">
        <f>VLOOKUP(Table4[[#This Row],[Visitor]],'NHL Model'!$A$6:$B$38,2,FALSE)</f>
        <v>0.29527586190964761</v>
      </c>
      <c r="J318">
        <f>($B$1+Table4[[#This Row],[Home Differential]])-Table4[[#This Row],[Away Differential]]</f>
        <v>-0.18642665580094409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0.53790385329022661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0.28934055538447362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-8.9159851516330005E-2</v>
      </c>
      <c r="H319" t="s">
        <v>17</v>
      </c>
      <c r="I319">
        <f>VLOOKUP(Table4[[#This Row],[Visitor]],'NHL Model'!$A$6:$B$38,2,FALSE)</f>
        <v>-0.20041140176017086</v>
      </c>
      <c r="J319">
        <f>($B$1+Table4[[#This Row],[Home Differential]])-Table4[[#This Row],[Away Differential]]</f>
        <v>0.2072215454145041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0.55838812651990222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0.19502104679860188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-0.38289376966531796</v>
      </c>
      <c r="H320" t="s">
        <v>36</v>
      </c>
      <c r="I320">
        <f>VLOOKUP(Table4[[#This Row],[Visitor]],'NHL Model'!$A$6:$B$38,2,FALSE)</f>
        <v>-0.40390734274709933</v>
      </c>
      <c r="J320">
        <f>($B$1+Table4[[#This Row],[Home Differential]])-Table4[[#This Row],[Away Differential]]</f>
        <v>0.1169835682524446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0.58690287520409223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0.34445498492283028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-0.70456324341534593</v>
      </c>
      <c r="H321" t="s">
        <v>32</v>
      </c>
      <c r="I321">
        <f>VLOOKUP(Table4[[#This Row],[Visitor]],'NHL Model'!$A$6:$B$38,2,FALSE)</f>
        <v>-0.57094405545214133</v>
      </c>
      <c r="J321">
        <f>($B$1+Table4[[#This Row],[Home Differential]])-Table4[[#This Row],[Away Differential]]</f>
        <v>-3.7649192792541308E-2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0.46375953804865466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0.28755383303379223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1.1751846443488465</v>
      </c>
      <c r="H322" t="s">
        <v>15</v>
      </c>
      <c r="I322">
        <f>VLOOKUP(Table4[[#This Row],[Visitor]],'NHL Model'!$A$6:$B$38,2,FALSE)</f>
        <v>-0.6396663932228257</v>
      </c>
      <c r="J322">
        <f>($B$1+Table4[[#This Row],[Home Differential]])-Table4[[#This Row],[Away Differential]]</f>
        <v>1.9108210327423354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0.76662472699016382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5.4464018052415575E-2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-0.17319925920548884</v>
      </c>
      <c r="H323" t="s">
        <v>30</v>
      </c>
      <c r="I323">
        <f>VLOOKUP(Table4[[#This Row],[Visitor]],'NHL Model'!$A$6:$B$38,2,FALSE)</f>
        <v>-0.20908736804509698</v>
      </c>
      <c r="J323">
        <f>($B$1+Table4[[#This Row],[Home Differential]])-Table4[[#This Row],[Away Differential]]</f>
        <v>0.13185810401027137</v>
      </c>
      <c r="K323" t="str">
        <f>IF(Table4[[#This Row],[HomeIce Differential]]&gt;0,Table4[[#This Row],[Home]],Table4[[#This Row],[Visitor]])</f>
        <v>Detroit Red Wings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0.58459553524056285</v>
      </c>
      <c r="M323" t="str">
        <f>IF(OR((NHL2025_26Results[[#This Row],[Winning Team]]="")),"-",IF(Table4[[#This Row],[Predicted Winner]]=NHL2025_26Results[[#This Row],[Winning Team]],"YES","NO"))</f>
        <v>NO</v>
      </c>
      <c r="N323">
        <f>IF(Table4[[#This Row],[Adjusted Correct]]="-", "",IF(Table4[[#This Row],[Adjusted Correct]]="YES",(Table4[[#This Row],[Strength of Win]]-1)^2,(Table4[[#This Row],[Strength of Win]]-0)^2))</f>
        <v>0.34175193982320018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-0.42375285621939396</v>
      </c>
      <c r="H324" t="s">
        <v>24</v>
      </c>
      <c r="I324">
        <f>VLOOKUP(Table4[[#This Row],[Visitor]],'NHL Model'!$A$6:$B$38,2,FALSE)</f>
        <v>-0.52712015292731806</v>
      </c>
      <c r="J324">
        <f>($B$1+Table4[[#This Row],[Home Differential]])-Table4[[#This Row],[Away Differential]]</f>
        <v>0.19933729187858734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0.52189726961460037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0.22858222080197413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-0.23645483545724041</v>
      </c>
      <c r="H325" t="s">
        <v>22</v>
      </c>
      <c r="I325">
        <f>VLOOKUP(Table4[[#This Row],[Visitor]],'NHL Model'!$A$6:$B$38,2,FALSE)</f>
        <v>-8.9159851516330005E-2</v>
      </c>
      <c r="J325">
        <f>($B$1+Table4[[#This Row],[Home Differential]])-Table4[[#This Row],[Away Differential]]</f>
        <v>-5.1324988770247146E-2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0.46512516295347361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0.28609109130554816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-0.32182316569099201</v>
      </c>
      <c r="H326" t="s">
        <v>35</v>
      </c>
      <c r="I326">
        <f>VLOOKUP(Table4[[#This Row],[Visitor]],'NHL Model'!$A$6:$B$38,2,FALSE)</f>
        <v>-1.2663626722629573</v>
      </c>
      <c r="J326">
        <f>($B$1+Table4[[#This Row],[Home Differential]])-Table4[[#This Row],[Away Differential]]</f>
        <v>1.0405095017426285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0.64390222928134278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0.12680562231079737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-0.53461960928306718</v>
      </c>
      <c r="H327" t="s">
        <v>13</v>
      </c>
      <c r="I327">
        <f>VLOOKUP(Table4[[#This Row],[Visitor]],'NHL Model'!$A$6:$B$38,2,FALSE)</f>
        <v>-0.43624947117902363</v>
      </c>
      <c r="J327">
        <f>($B$1+Table4[[#This Row],[Home Differential]])-Table4[[#This Row],[Away Differential]]</f>
        <v>-2.4001429333803115E-3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0.49080570897475118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0.24089024396220815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0.65340538721281671</v>
      </c>
      <c r="H328" t="s">
        <v>17</v>
      </c>
      <c r="I328">
        <f>VLOOKUP(Table4[[#This Row],[Visitor]],'NHL Model'!$A$6:$B$38,2,FALSE)</f>
        <v>-0.20041140176017086</v>
      </c>
      <c r="J328">
        <f>($B$1+Table4[[#This Row],[Home Differential]])-Table4[[#This Row],[Away Differential]]</f>
        <v>0.94978678414365092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0.65484292459531301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0.11913340670191677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-0.32175529201986758</v>
      </c>
      <c r="H329" t="s">
        <v>28</v>
      </c>
      <c r="I329">
        <f>VLOOKUP(Table4[[#This Row],[Visitor]],'NHL Model'!$A$6:$B$38,2,FALSE)</f>
        <v>-0.42584667868780524</v>
      </c>
      <c r="J329">
        <f>($B$1+Table4[[#This Row],[Home Differential]])-Table4[[#This Row],[Away Differential]]</f>
        <v>0.20006138183860089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0.56530814992360834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0.31957330437005282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0.12055191373383152</v>
      </c>
      <c r="H330" t="s">
        <v>20</v>
      </c>
      <c r="I330">
        <f>VLOOKUP(Table4[[#This Row],[Visitor]],'NHL Model'!$A$6:$B$38,2,FALSE)</f>
        <v>-4.774288798450349E-3</v>
      </c>
      <c r="J330">
        <f>($B$1+Table4[[#This Row],[Home Differential]])-Table4[[#This Row],[Away Differential]]</f>
        <v>0.22129619770294512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0.56794951810403893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0.32256665511461002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-1.2591310848703385</v>
      </c>
      <c r="H331" t="s">
        <v>39</v>
      </c>
      <c r="I331">
        <f>VLOOKUP(Table4[[#This Row],[Visitor]],'NHL Model'!$A$6:$B$38,2,FALSE)</f>
        <v>0.21259592260910548</v>
      </c>
      <c r="J331">
        <f>($B$1+Table4[[#This Row],[Home Differential]])-Table4[[#This Row],[Away Differential]]</f>
        <v>-1.3757570123087808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0.63538703125850549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0.13294261697448606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2.7346770720058793E-2</v>
      </c>
      <c r="H332" t="s">
        <v>10</v>
      </c>
      <c r="I332">
        <f>VLOOKUP(Table4[[#This Row],[Visitor]],'NHL Model'!$A$6:$B$38,2,FALSE)</f>
        <v>-0.70456324341534593</v>
      </c>
      <c r="J332">
        <f>($B$1+Table4[[#This Row],[Home Differential]])-Table4[[#This Row],[Away Differential]]</f>
        <v>0.82788000930606798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0.66448785316697456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0.11256840067250562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-0.43624947117902363</v>
      </c>
      <c r="H333" t="s">
        <v>21</v>
      </c>
      <c r="I333">
        <f>VLOOKUP(Table4[[#This Row],[Visitor]],'NHL Model'!$A$6:$B$38,2,FALSE)</f>
        <v>-5.5047914862176604E-2</v>
      </c>
      <c r="J333">
        <f>($B$1+Table4[[#This Row],[Home Differential]])-Table4[[#This Row],[Away Differential]]</f>
        <v>-0.28523156114618381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0.48848238772913838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0.26165026766328348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3.24300967767114E-5</v>
      </c>
      <c r="H334" t="s">
        <v>34</v>
      </c>
      <c r="I334">
        <f>VLOOKUP(Table4[[#This Row],[Visitor]],'NHL Model'!$A$6:$B$38,2,FALSE)</f>
        <v>1.2879210938040288E-2</v>
      </c>
      <c r="J334">
        <f>($B$1+Table4[[#This Row],[Home Differential]])-Table4[[#This Row],[Away Differential]]</f>
        <v>8.3123214329399675E-2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0.49177151494259258</v>
      </c>
      <c r="M334" t="str">
        <f>IF(OR((NHL2025_26Results[[#This Row],[Winning Team]]="")),"-",IF(Table4[[#This Row],[Predicted Winner]]=NHL2025_26Results[[#This Row],[Winning Team]],"YES","NO"))</f>
        <v>NO</v>
      </c>
      <c r="N334">
        <f>IF(Table4[[#This Row],[Adjusted Correct]]="-", "",IF(Table4[[#This Row],[Adjusted Correct]]="YES",(Table4[[#This Row],[Strength of Win]]-1)^2,(Table4[[#This Row],[Strength of Win]]-0)^2))</f>
        <v>0.24183922290893256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-0.47391784202962389</v>
      </c>
      <c r="H335" t="s">
        <v>25</v>
      </c>
      <c r="I335">
        <f>VLOOKUP(Table4[[#This Row],[Visitor]],'NHL Model'!$A$6:$B$38,2,FALSE)</f>
        <v>0.29527586190964761</v>
      </c>
      <c r="J335">
        <f>($B$1+Table4[[#This Row],[Home Differential]])-Table4[[#This Row],[Away Differential]]</f>
        <v>-0.67322370876860826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0.58651398027726398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0.17097068850615085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-0.38289376966531796</v>
      </c>
      <c r="H336" t="s">
        <v>20</v>
      </c>
      <c r="I336">
        <f>VLOOKUP(Table4[[#This Row],[Visitor]],'NHL Model'!$A$6:$B$38,2,FALSE)</f>
        <v>-4.774288798450349E-3</v>
      </c>
      <c r="J336">
        <f>($B$1+Table4[[#This Row],[Home Differential]])-Table4[[#This Row],[Away Differential]]</f>
        <v>-0.28214948569620435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0.48232309232348153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0.23263556538848568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-0.79148902514100783</v>
      </c>
      <c r="H337" t="s">
        <v>39</v>
      </c>
      <c r="I337">
        <f>VLOOKUP(Table4[[#This Row],[Visitor]],'NHL Model'!$A$6:$B$38,2,FALSE)</f>
        <v>0.21259592260910548</v>
      </c>
      <c r="J337">
        <f>($B$1+Table4[[#This Row],[Home Differential]])-Table4[[#This Row],[Away Differential]]</f>
        <v>-0.90811495257945007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0.58868966575610482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0.3465555225680344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-0.17319925920548884</v>
      </c>
      <c r="H338" t="s">
        <v>28</v>
      </c>
      <c r="I338">
        <f>VLOOKUP(Table4[[#This Row],[Visitor]],'NHL Model'!$A$6:$B$38,2,FALSE)</f>
        <v>-0.42584667868780524</v>
      </c>
      <c r="J338">
        <f>($B$1+Table4[[#This Row],[Home Differential]])-Table4[[#This Row],[Away Differential]]</f>
        <v>0.34861741465297963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0.62652788961814831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0.139481417233074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-0.42375285621939396</v>
      </c>
      <c r="H339" t="s">
        <v>17</v>
      </c>
      <c r="I339">
        <f>VLOOKUP(Table4[[#This Row],[Visitor]],'NHL Model'!$A$6:$B$38,2,FALSE)</f>
        <v>-0.20041140176017086</v>
      </c>
      <c r="J339">
        <f>($B$1+Table4[[#This Row],[Home Differential]])-Table4[[#This Row],[Away Differential]]</f>
        <v>-0.12737145928855986</v>
      </c>
      <c r="K339" t="str">
        <f>IF(Table4[[#This Row],[HomeIce Differential]]&gt;0,Table4[[#This Row],[Home]],Table4[[#This Row],[Visitor]])</f>
        <v>Edmonton Oilers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0.47502335029253162</v>
      </c>
      <c r="M339" t="str">
        <f>IF(OR((NHL2025_26Results[[#This Row],[Winning Team]]="")),"-",IF(Table4[[#This Row],[Predicted Winner]]=NHL2025_26Results[[#This Row],[Winning Team]],"YES","NO"))</f>
        <v>YES</v>
      </c>
      <c r="N339">
        <f>IF(Table4[[#This Row],[Adjusted Correct]]="-", "",IF(Table4[[#This Row],[Adjusted Correct]]="YES",(Table4[[#This Row],[Strength of Win]]-1)^2,(Table4[[#This Row],[Strength of Win]]-0)^2))</f>
        <v>0.27560048273807797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-0.23645483545724041</v>
      </c>
      <c r="H340" t="s">
        <v>19</v>
      </c>
      <c r="I340">
        <f>VLOOKUP(Table4[[#This Row],[Visitor]],'NHL Model'!$A$6:$B$38,2,FALSE)</f>
        <v>-0.32175529201986758</v>
      </c>
      <c r="J340">
        <f>($B$1+Table4[[#This Row],[Home Differential]])-Table4[[#This Row],[Away Differential]]</f>
        <v>0.18127045173329043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0.55810113603612599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0.19527460597256244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-0.74313650334688619</v>
      </c>
      <c r="H341" t="s">
        <v>12</v>
      </c>
      <c r="I341">
        <f>VLOOKUP(Table4[[#This Row],[Visitor]],'NHL Model'!$A$6:$B$38,2,FALSE)</f>
        <v>1.1751846443488465</v>
      </c>
      <c r="J341">
        <f>($B$1+Table4[[#This Row],[Home Differential]])-Table4[[#This Row],[Away Differential]]</f>
        <v>-1.8223511525250693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0.71187623478361239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8.3015304082468044E-2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-0.20908736804509698</v>
      </c>
      <c r="H342" t="s">
        <v>35</v>
      </c>
      <c r="I342">
        <f>VLOOKUP(Table4[[#This Row],[Visitor]],'NHL Model'!$A$6:$B$38,2,FALSE)</f>
        <v>-1.2663626722629573</v>
      </c>
      <c r="J342">
        <f>($B$1+Table4[[#This Row],[Home Differential]])-Table4[[#This Row],[Away Differential]]</f>
        <v>1.1532452993885236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0.66417930346726806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0.44113414715426535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-0.32182316569099201</v>
      </c>
      <c r="H343" t="s">
        <v>24</v>
      </c>
      <c r="I343">
        <f>VLOOKUP(Table4[[#This Row],[Visitor]],'NHL Model'!$A$6:$B$38,2,FALSE)</f>
        <v>-0.52712015292731806</v>
      </c>
      <c r="J343">
        <f>($B$1+Table4[[#This Row],[Home Differential]])-Table4[[#This Row],[Away Differential]]</f>
        <v>0.30126698240698929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0.53207566977156306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0.21895317881973131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3.24300967767114E-5</v>
      </c>
      <c r="H344" t="s">
        <v>32</v>
      </c>
      <c r="I344">
        <f>VLOOKUP(Table4[[#This Row],[Visitor]],'NHL Model'!$A$6:$B$38,2,FALSE)</f>
        <v>-0.57094405545214133</v>
      </c>
      <c r="J344">
        <f>($B$1+Table4[[#This Row],[Home Differential]])-Table4[[#This Row],[Away Differential]]</f>
        <v>0.66694648071958129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0.60659932085392076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0.36796273606043789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-0.53461960928306718</v>
      </c>
      <c r="H345" t="s">
        <v>36</v>
      </c>
      <c r="I345">
        <f>VLOOKUP(Table4[[#This Row],[Visitor]],'NHL Model'!$A$6:$B$38,2,FALSE)</f>
        <v>-0.40390734274709933</v>
      </c>
      <c r="J345">
        <f>($B$1+Table4[[#This Row],[Home Differential]])-Table4[[#This Row],[Away Differential]]</f>
        <v>-3.4742271365304611E-2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0.46429875448219821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0.28697582444932423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0.12055191373383152</v>
      </c>
      <c r="H346" t="s">
        <v>15</v>
      </c>
      <c r="I346">
        <f>VLOOKUP(Table4[[#This Row],[Visitor]],'NHL Model'!$A$6:$B$38,2,FALSE)</f>
        <v>-0.6396663932228257</v>
      </c>
      <c r="J346">
        <f>($B$1+Table4[[#This Row],[Home Differential]])-Table4[[#This Row],[Away Differential]]</f>
        <v>0.85618830212732044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0.60997197897848465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0.15212185718195961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-8.9159851516330005E-2</v>
      </c>
      <c r="H347" t="s">
        <v>37</v>
      </c>
      <c r="I347">
        <f>VLOOKUP(Table4[[#This Row],[Visitor]],'NHL Model'!$A$6:$B$38,2,FALSE)</f>
        <v>0.65340538721281671</v>
      </c>
      <c r="J347">
        <f>($B$1+Table4[[#This Row],[Home Differential]])-Table4[[#This Row],[Away Differential]]</f>
        <v>-0.64659524355848341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0.62142525367110213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0.14331883855798938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2.7346770720058793E-2</v>
      </c>
      <c r="H348" t="s">
        <v>25</v>
      </c>
      <c r="I348">
        <f>VLOOKUP(Table4[[#This Row],[Visitor]],'NHL Model'!$A$6:$B$38,2,FALSE)</f>
        <v>0.29527586190964761</v>
      </c>
      <c r="J348">
        <f>($B$1+Table4[[#This Row],[Home Differential]])-Table4[[#This Row],[Away Differential]]</f>
        <v>-0.17195909601892556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0.49401056840176638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0.24404644169263631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-0.70456324341534593</v>
      </c>
      <c r="H349" t="s">
        <v>12</v>
      </c>
      <c r="I349">
        <f>VLOOKUP(Table4[[#This Row],[Visitor]],'NHL Model'!$A$6:$B$38,2,FALSE)</f>
        <v>1.1751846443488465</v>
      </c>
      <c r="J349">
        <f>($B$1+Table4[[#This Row],[Home Differential]])-Table4[[#This Row],[Away Differential]]</f>
        <v>-1.783777892593529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0.7080244220987465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8.5249738090770952E-2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-0.20908736804509698</v>
      </c>
      <c r="H350" t="s">
        <v>32</v>
      </c>
      <c r="I350">
        <f>VLOOKUP(Table4[[#This Row],[Visitor]],'NHL Model'!$A$6:$B$38,2,FALSE)</f>
        <v>-0.57094405545214133</v>
      </c>
      <c r="J350">
        <f>($B$1+Table4[[#This Row],[Home Differential]])-Table4[[#This Row],[Away Differential]]</f>
        <v>0.45782668257770759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0.59473683855043724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0.16423823002809437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-0.53461960928306718</v>
      </c>
      <c r="H351" t="s">
        <v>21</v>
      </c>
      <c r="I351">
        <f>VLOOKUP(Table4[[#This Row],[Visitor]],'NHL Model'!$A$6:$B$38,2,FALSE)</f>
        <v>-5.5047914862176604E-2</v>
      </c>
      <c r="J351">
        <f>($B$1+Table4[[#This Row],[Home Differential]])-Table4[[#This Row],[Away Differential]]</f>
        <v>-0.38360169925022736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0.49830534141346894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0.24830821328119385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-1.2591310848703385</v>
      </c>
      <c r="H352" t="s">
        <v>16</v>
      </c>
      <c r="I352">
        <f>VLOOKUP(Table4[[#This Row],[Visitor]],'NHL Model'!$A$6:$B$38,2,FALSE)</f>
        <v>-0.79148902514100783</v>
      </c>
      <c r="J352">
        <f>($B$1+Table4[[#This Row],[Home Differential]])-Table4[[#This Row],[Away Differential]]</f>
        <v>-0.37167206455866753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0.49711408305697224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0.2528942454596298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-0.47391784202962389</v>
      </c>
      <c r="H353" t="s">
        <v>34</v>
      </c>
      <c r="I353">
        <f>VLOOKUP(Table4[[#This Row],[Visitor]],'NHL Model'!$A$6:$B$38,2,FALSE)</f>
        <v>1.2879210938040288E-2</v>
      </c>
      <c r="J353">
        <f>($B$1+Table4[[#This Row],[Home Differential]])-Table4[[#This Row],[Away Differential]]</f>
        <v>-0.39082705779700094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0.55555577016144364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0.19753067343678751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-0.43624947117902363</v>
      </c>
      <c r="H354" t="s">
        <v>36</v>
      </c>
      <c r="I354">
        <f>VLOOKUP(Table4[[#This Row],[Visitor]],'NHL Model'!$A$6:$B$38,2,FALSE)</f>
        <v>-0.40390734274709933</v>
      </c>
      <c r="J354">
        <f>($B$1+Table4[[#This Row],[Home Differential]])-Table4[[#This Row],[Away Differential]]</f>
        <v>6.3627866738738936E-2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0.54552419920213224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0.20654825351086317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-0.52712015292731806</v>
      </c>
      <c r="H355" t="s">
        <v>26</v>
      </c>
      <c r="I355">
        <f>VLOOKUP(Table4[[#This Row],[Visitor]],'NHL Model'!$A$6:$B$38,2,FALSE)</f>
        <v>-0.17319925920548884</v>
      </c>
      <c r="J355">
        <f>($B$1+Table4[[#This Row],[Home Differential]])-Table4[[#This Row],[Away Differential]]</f>
        <v>-0.25795089855116599</v>
      </c>
      <c r="K355" t="str">
        <f>IF(Table4[[#This Row],[HomeIce Differential]]&gt;0,Table4[[#This Row],[Home]],Table4[[#This Row],[Visitor]])</f>
        <v>Detroit Red Wings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0.52504495395577833</v>
      </c>
      <c r="M355" t="str">
        <f>IF(OR((NHL2025_26Results[[#This Row],[Winning Team]]="")),"-",IF(Table4[[#This Row],[Predicted Winner]]=NHL2025_26Results[[#This Row],[Winning Team]],"YES","NO"))</f>
        <v>NO</v>
      </c>
      <c r="N355">
        <f>IF(Table4[[#This Row],[Adjusted Correct]]="-", "",IF(Table4[[#This Row],[Adjusted Correct]]="YES",(Table4[[#This Row],[Strength of Win]]-1)^2,(Table4[[#This Row],[Strength of Win]]-0)^2))</f>
        <v>0.27567220367442541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-0.74313650334688619</v>
      </c>
      <c r="H356" t="s">
        <v>11</v>
      </c>
      <c r="I356">
        <f>VLOOKUP(Table4[[#This Row],[Visitor]],'NHL Model'!$A$6:$B$38,2,FALSE)</f>
        <v>-0.42375285621939396</v>
      </c>
      <c r="J356">
        <f>($B$1+Table4[[#This Row],[Home Differential]])-Table4[[#This Row],[Away Differential]]</f>
        <v>-0.22341365195682894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0.5337177723854919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0.21741911578914794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-0.6396663932228257</v>
      </c>
      <c r="H357" t="s">
        <v>35</v>
      </c>
      <c r="I357">
        <f>VLOOKUP(Table4[[#This Row],[Visitor]],'NHL Model'!$A$6:$B$38,2,FALSE)</f>
        <v>-1.2663626722629573</v>
      </c>
      <c r="J357">
        <f>($B$1+Table4[[#This Row],[Home Differential]])-Table4[[#This Row],[Away Differential]]</f>
        <v>0.72266627421079488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0.6121633361263783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0.15041727784462061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0.65340538721281671</v>
      </c>
      <c r="H358" t="s">
        <v>27</v>
      </c>
      <c r="I358">
        <f>VLOOKUP(Table4[[#This Row],[Visitor]],'NHL Model'!$A$6:$B$38,2,FALSE)</f>
        <v>-0.32182316569099201</v>
      </c>
      <c r="J358">
        <f>($B$1+Table4[[#This Row],[Home Differential]])-Table4[[#This Row],[Away Differential]]</f>
        <v>1.0711985480744719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0.65874943001621322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0.11645195151425936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0.12055191373383152</v>
      </c>
      <c r="H359" t="s">
        <v>20</v>
      </c>
      <c r="I359">
        <f>VLOOKUP(Table4[[#This Row],[Visitor]],'NHL Model'!$A$6:$B$38,2,FALSE)</f>
        <v>-4.774288798450349E-3</v>
      </c>
      <c r="J359">
        <f>($B$1+Table4[[#This Row],[Home Differential]])-Table4[[#This Row],[Away Differential]]</f>
        <v>0.22129619770294512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0.56794951810403893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0.18666761890653219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-8.9159851516330005E-2</v>
      </c>
      <c r="H360" t="s">
        <v>28</v>
      </c>
      <c r="I360">
        <f>VLOOKUP(Table4[[#This Row],[Visitor]],'NHL Model'!$A$6:$B$38,2,FALSE)</f>
        <v>-0.42584667868780524</v>
      </c>
      <c r="J360">
        <f>($B$1+Table4[[#This Row],[Home Differential]])-Table4[[#This Row],[Away Differential]]</f>
        <v>0.43265682234213848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0.58320384223290789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0.17371903712941072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-0.20041140176017086</v>
      </c>
      <c r="H361" t="s">
        <v>39</v>
      </c>
      <c r="I361">
        <f>VLOOKUP(Table4[[#This Row],[Visitor]],'NHL Model'!$A$6:$B$38,2,FALSE)</f>
        <v>0.21259592260910548</v>
      </c>
      <c r="J361">
        <f>($B$1+Table4[[#This Row],[Home Differential]])-Table4[[#This Row],[Away Differential]]</f>
        <v>-0.3170373291986131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0.52966638663685495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0.22121370785923242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-0.38289376966531796</v>
      </c>
      <c r="H362" t="s">
        <v>38</v>
      </c>
      <c r="I362">
        <f>VLOOKUP(Table4[[#This Row],[Visitor]],'NHL Model'!$A$6:$B$38,2,FALSE)</f>
        <v>-1.2591310848703385</v>
      </c>
      <c r="J362">
        <f>($B$1+Table4[[#This Row],[Home Differential]])-Table4[[#This Row],[Away Differential]]</f>
        <v>0.97220731037568386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0.67311863899340607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0.45308870216033531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0.29527586190964761</v>
      </c>
      <c r="H363" t="s">
        <v>15</v>
      </c>
      <c r="I363">
        <f>VLOOKUP(Table4[[#This Row],[Visitor]],'NHL Model'!$A$6:$B$38,2,FALSE)</f>
        <v>-0.6396663932228257</v>
      </c>
      <c r="J363">
        <f>($B$1+Table4[[#This Row],[Home Differential]])-Table4[[#This Row],[Away Differential]]</f>
        <v>1.0309122503031365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0.63443993887269068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0.40251403603678348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-0.42584667868780524</v>
      </c>
      <c r="H364" t="s">
        <v>19</v>
      </c>
      <c r="I364">
        <f>VLOOKUP(Table4[[#This Row],[Visitor]],'NHL Model'!$A$6:$B$38,2,FALSE)</f>
        <v>-0.32175529201986758</v>
      </c>
      <c r="J364">
        <f>($B$1+Table4[[#This Row],[Home Differential]])-Table4[[#This Row],[Away Differential]]</f>
        <v>-8.1213914972744217E-3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0.46081097835245149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0.29072480106524057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-0.70456324341534593</v>
      </c>
      <c r="H365" t="s">
        <v>34</v>
      </c>
      <c r="I365">
        <f>VLOOKUP(Table4[[#This Row],[Visitor]],'NHL Model'!$A$6:$B$38,2,FALSE)</f>
        <v>1.2879210938040288E-2</v>
      </c>
      <c r="J365">
        <f>($B$1+Table4[[#This Row],[Home Differential]])-Table4[[#This Row],[Away Differential]]</f>
        <v>-0.62147245918272298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0.57858734395998279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0.17758862667070185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1.1751846443488465</v>
      </c>
      <c r="H366" t="s">
        <v>33</v>
      </c>
      <c r="I366">
        <f>VLOOKUP(Table4[[#This Row],[Visitor]],'NHL Model'!$A$6:$B$38,2,FALSE)</f>
        <v>-0.53461960928306718</v>
      </c>
      <c r="J366">
        <f>($B$1+Table4[[#This Row],[Home Differential]])-Table4[[#This Row],[Away Differential]]</f>
        <v>1.8057742488025768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0.78637993011790697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4.5633534256430311E-2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-0.17319925920548884</v>
      </c>
      <c r="H367" t="s">
        <v>29</v>
      </c>
      <c r="I367">
        <f>VLOOKUP(Table4[[#This Row],[Visitor]],'NHL Model'!$A$6:$B$38,2,FALSE)</f>
        <v>-0.74313650334688619</v>
      </c>
      <c r="J367">
        <f>($B$1+Table4[[#This Row],[Home Differential]])-Table4[[#This Row],[Away Differential]]</f>
        <v>0.66590723931206064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0.65821152158417273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0.43324240714615186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-0.42375285621939396</v>
      </c>
      <c r="H368" t="s">
        <v>27</v>
      </c>
      <c r="I368">
        <f>VLOOKUP(Table4[[#This Row],[Visitor]],'NHL Model'!$A$6:$B$38,2,FALSE)</f>
        <v>-0.32182316569099201</v>
      </c>
      <c r="J368">
        <f>($B$1+Table4[[#This Row],[Home Differential]])-Table4[[#This Row],[Away Differential]]</f>
        <v>-5.9596953577387146E-3</v>
      </c>
      <c r="K368" t="str">
        <f>IF(Table4[[#This Row],[HomeIce Differential]]&gt;0,Table4[[#This Row],[Home]],Table4[[#This Row],[Visitor]])</f>
        <v>Philadelphia Flyers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0.47118335300565189</v>
      </c>
      <c r="M368" t="str">
        <f>IF(OR((NHL2025_26Results[[#This Row],[Winning Team]]="")),"-",IF(Table4[[#This Row],[Predicted Winner]]=NHL2025_26Results[[#This Row],[Winning Team]],"YES","NO"))</f>
        <v>YES</v>
      </c>
      <c r="N368">
        <f>IF(Table4[[#This Row],[Adjusted Correct]]="-", "",IF(Table4[[#This Row],[Adjusted Correct]]="YES",(Table4[[#This Row],[Strength of Win]]-1)^2,(Table4[[#This Row],[Strength of Win]]-0)^2))</f>
        <v>0.2796470461383449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-0.52712015292731806</v>
      </c>
      <c r="H369" t="s">
        <v>35</v>
      </c>
      <c r="I369">
        <f>VLOOKUP(Table4[[#This Row],[Visitor]],'NHL Model'!$A$6:$B$38,2,FALSE)</f>
        <v>-1.2663626722629573</v>
      </c>
      <c r="J369">
        <f>($B$1+Table4[[#This Row],[Home Differential]])-Table4[[#This Row],[Away Differential]]</f>
        <v>0.83521251450630252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0.62340187382771828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0.14182614863647383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-0.20908736804509698</v>
      </c>
      <c r="H370" t="s">
        <v>21</v>
      </c>
      <c r="I370">
        <f>VLOOKUP(Table4[[#This Row],[Visitor]],'NHL Model'!$A$6:$B$38,2,FALSE)</f>
        <v>-5.5047914862176604E-2</v>
      </c>
      <c r="J370">
        <f>($B$1+Table4[[#This Row],[Home Differential]])-Table4[[#This Row],[Away Differential]]</f>
        <v>-5.8069458012257123E-2</v>
      </c>
      <c r="K370" t="str">
        <f>IF(Table4[[#This Row],[HomeIce Differential]]&gt;0,Table4[[#This Row],[Home]],Table4[[#This Row],[Visitor]])</f>
        <v>Boston Bruins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0.45677903804191039</v>
      </c>
      <c r="M370" t="str">
        <f>IF(OR((NHL2025_26Results[[#This Row],[Winning Team]]="")),"-",IF(Table4[[#This Row],[Predicted Winner]]=NHL2025_26Results[[#This Row],[Winning Team]],"YES","NO"))</f>
        <v>YES</v>
      </c>
      <c r="N370">
        <f>IF(Table4[[#This Row],[Adjusted Correct]]="-", "",IF(Table4[[#This Row],[Adjusted Correct]]="YES",(Table4[[#This Row],[Strength of Win]]-1)^2,(Table4[[#This Row],[Strength of Win]]-0)^2))</f>
        <v>0.29508901351067229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3.24300967767114E-5</v>
      </c>
      <c r="H371" t="s">
        <v>23</v>
      </c>
      <c r="I371">
        <f>VLOOKUP(Table4[[#This Row],[Visitor]],'NHL Model'!$A$6:$B$38,2,FALSE)</f>
        <v>2.7346770720058793E-2</v>
      </c>
      <c r="J371">
        <f>($B$1+Table4[[#This Row],[Home Differential]])-Table4[[#This Row],[Away Differential]]</f>
        <v>6.8655654547381165E-2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0.52608652167540881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0.22459398493771277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-0.57094405545214133</v>
      </c>
      <c r="H372" t="s">
        <v>39</v>
      </c>
      <c r="I372">
        <f>VLOOKUP(Table4[[#This Row],[Visitor]],'NHL Model'!$A$6:$B$38,2,FALSE)</f>
        <v>0.21259592260910548</v>
      </c>
      <c r="J372">
        <f>($B$1+Table4[[#This Row],[Home Differential]])-Table4[[#This Row],[Away Differential]]</f>
        <v>-0.68756998289058358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0.56666669146410509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0.1877777562866651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0.65340538721281671</v>
      </c>
      <c r="H373" t="s">
        <v>16</v>
      </c>
      <c r="I373">
        <f>VLOOKUP(Table4[[#This Row],[Visitor]],'NHL Model'!$A$6:$B$38,2,FALSE)</f>
        <v>-0.79148902514100783</v>
      </c>
      <c r="J373">
        <f>($B$1+Table4[[#This Row],[Home Differential]])-Table4[[#This Row],[Away Differential]]</f>
        <v>1.5408644075244879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0.71614994073878435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8.057085614259564E-2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0.12055191373383152</v>
      </c>
      <c r="H374" t="s">
        <v>18</v>
      </c>
      <c r="I374">
        <f>VLOOKUP(Table4[[#This Row],[Visitor]],'NHL Model'!$A$6:$B$38,2,FALSE)</f>
        <v>-0.23645483545724041</v>
      </c>
      <c r="J374">
        <f>($B$1+Table4[[#This Row],[Home Differential]])-Table4[[#This Row],[Away Differential]]</f>
        <v>0.45297674436173518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0.58242301273605457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0.3392165657645424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-4.774288798450349E-3</v>
      </c>
      <c r="H375" t="s">
        <v>36</v>
      </c>
      <c r="I375">
        <f>VLOOKUP(Table4[[#This Row],[Visitor]],'NHL Model'!$A$6:$B$38,2,FALSE)</f>
        <v>-0.40390734274709933</v>
      </c>
      <c r="J375">
        <f>($B$1+Table4[[#This Row],[Home Differential]])-Table4[[#This Row],[Away Differential]]</f>
        <v>0.49510304911931224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0.58861004633167102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0.34646178664257193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-8.9159851516330005E-2</v>
      </c>
      <c r="H376" t="s">
        <v>40</v>
      </c>
      <c r="I376">
        <f>VLOOKUP(Table4[[#This Row],[Visitor]],'NHL Model'!$A$6:$B$38,2,FALSE)</f>
        <v>-0.47391784202962389</v>
      </c>
      <c r="J376">
        <f>($B$1+Table4[[#This Row],[Home Differential]])-Table4[[#This Row],[Away Differential]]</f>
        <v>0.48072798568395714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0.58800408771552715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0.16974063173911505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-0.38289376966531796</v>
      </c>
      <c r="H377" t="s">
        <v>13</v>
      </c>
      <c r="I377">
        <f>VLOOKUP(Table4[[#This Row],[Visitor]],'NHL Model'!$A$6:$B$38,2,FALSE)</f>
        <v>-0.43624947117902363</v>
      </c>
      <c r="J377">
        <f>($B$1+Table4[[#This Row],[Home Differential]])-Table4[[#This Row],[Away Differential]]</f>
        <v>0.1493256966843689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0.5607627548060572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0.19292935756556384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-5.5047914862176604E-2</v>
      </c>
      <c r="H378" t="s">
        <v>15</v>
      </c>
      <c r="I378">
        <f>VLOOKUP(Table4[[#This Row],[Visitor]],'NHL Model'!$A$6:$B$38,2,FALSE)</f>
        <v>-0.6396663932228257</v>
      </c>
      <c r="J378">
        <f>($B$1+Table4[[#This Row],[Home Differential]])-Table4[[#This Row],[Away Differential]]</f>
        <v>0.68058847353131235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0.59945763326578294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0.35934945408061392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2.7346770720058793E-2</v>
      </c>
      <c r="H379" t="s">
        <v>24</v>
      </c>
      <c r="I379">
        <f>VLOOKUP(Table4[[#This Row],[Visitor]],'NHL Model'!$A$6:$B$38,2,FALSE)</f>
        <v>-0.52712015292731806</v>
      </c>
      <c r="J379">
        <f>($B$1+Table4[[#This Row],[Home Differential]])-Table4[[#This Row],[Away Differential]]</f>
        <v>0.65043691881804011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0.60930066363590929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0.37124729870715945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0.29527586190964761</v>
      </c>
      <c r="H380" t="s">
        <v>40</v>
      </c>
      <c r="I380">
        <f>VLOOKUP(Table4[[#This Row],[Visitor]],'NHL Model'!$A$6:$B$38,2,FALSE)</f>
        <v>-0.47391784202962389</v>
      </c>
      <c r="J380">
        <f>($B$1+Table4[[#This Row],[Home Differential]])-Table4[[#This Row],[Away Differential]]</f>
        <v>0.86516369910993474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0.66929426574437267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0.1093662826695536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-0.42584667868780524</v>
      </c>
      <c r="H381" t="s">
        <v>14</v>
      </c>
      <c r="I381">
        <f>VLOOKUP(Table4[[#This Row],[Visitor]],'NHL Model'!$A$6:$B$38,2,FALSE)</f>
        <v>3.24300967767114E-5</v>
      </c>
      <c r="J381">
        <f>($B$1+Table4[[#This Row],[Home Differential]])-Table4[[#This Row],[Away Differential]]</f>
        <v>-0.32990911361391873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0.54203466626689767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0.20973224690127179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-0.70456324341534593</v>
      </c>
      <c r="H382" t="s">
        <v>29</v>
      </c>
      <c r="I382">
        <f>VLOOKUP(Table4[[#This Row],[Visitor]],'NHL Model'!$A$6:$B$38,2,FALSE)</f>
        <v>-0.74313650334688619</v>
      </c>
      <c r="J382">
        <f>($B$1+Table4[[#This Row],[Home Differential]])-Table4[[#This Row],[Away Differential]]</f>
        <v>0.13454325510220355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0.55343509513029432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0.30629040452187795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0.21259592260910548</v>
      </c>
      <c r="H383" t="s">
        <v>55</v>
      </c>
      <c r="I383">
        <f>VLOOKUP(Table4[[#This Row],[Visitor]],'NHL Model'!$A$6:$B$38,2,FALSE)</f>
        <v>0.12055191373383152</v>
      </c>
      <c r="J383">
        <f>($B$1+Table4[[#This Row],[Home Differential]])-Table4[[#This Row],[Away Differential]]</f>
        <v>0.18801400404593721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0.57787995871572517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0.17818532925383787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-0.17319925920548884</v>
      </c>
      <c r="H384" t="s">
        <v>37</v>
      </c>
      <c r="I384">
        <f>VLOOKUP(Table4[[#This Row],[Visitor]],'NHL Model'!$A$6:$B$38,2,FALSE)</f>
        <v>0.65340538721281671</v>
      </c>
      <c r="J384">
        <f>($B$1+Table4[[#This Row],[Home Differential]])-Table4[[#This Row],[Away Differential]]</f>
        <v>-0.73063465124764226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0.57738381366433378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0.17860444095290257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-0.42375285621939396</v>
      </c>
      <c r="H385" t="s">
        <v>16</v>
      </c>
      <c r="I385">
        <f>VLOOKUP(Table4[[#This Row],[Visitor]],'NHL Model'!$A$6:$B$38,2,FALSE)</f>
        <v>-0.79148902514100783</v>
      </c>
      <c r="J385">
        <f>($B$1+Table4[[#This Row],[Home Differential]])-Table4[[#This Row],[Away Differential]]</f>
        <v>0.46370616409227711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0.58630433849954899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0.34375277734339371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1.2879210938040288E-2</v>
      </c>
      <c r="H386" t="s">
        <v>12</v>
      </c>
      <c r="I386">
        <f>VLOOKUP(Table4[[#This Row],[Visitor]],'NHL Model'!$A$6:$B$38,2,FALSE)</f>
        <v>1.1751846443488465</v>
      </c>
      <c r="J386">
        <f>($B$1+Table4[[#This Row],[Home Differential]])-Table4[[#This Row],[Away Differential]]</f>
        <v>-1.0663354382401429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0.63638272131316986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0.40498296798595562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-0.20908736804509698</v>
      </c>
      <c r="H387" t="s">
        <v>27</v>
      </c>
      <c r="I387">
        <f>VLOOKUP(Table4[[#This Row],[Visitor]],'NHL Model'!$A$6:$B$38,2,FALSE)</f>
        <v>-0.32182316569099201</v>
      </c>
      <c r="J387">
        <f>($B$1+Table4[[#This Row],[Home Differential]])-Table4[[#This Row],[Away Differential]]</f>
        <v>0.20870579281655827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0.55930228724975506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0.31281904852280751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-0.53461960928306718</v>
      </c>
      <c r="H388" t="s">
        <v>38</v>
      </c>
      <c r="I388">
        <f>VLOOKUP(Table4[[#This Row],[Visitor]],'NHL Model'!$A$6:$B$38,2,FALSE)</f>
        <v>-1.2591310848703385</v>
      </c>
      <c r="J388">
        <f>($B$1+Table4[[#This Row],[Home Differential]])-Table4[[#This Row],[Away Differential]]</f>
        <v>0.82048147075793465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0.62193087497327915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0.14293626329847028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-1.2663626722629573</v>
      </c>
      <c r="H389" t="s">
        <v>36</v>
      </c>
      <c r="I389">
        <f>VLOOKUP(Table4[[#This Row],[Visitor]],'NHL Model'!$A$6:$B$38,2,FALSE)</f>
        <v>-0.40390734274709933</v>
      </c>
      <c r="J389">
        <f>($B$1+Table4[[#This Row],[Home Differential]])-Table4[[#This Row],[Away Differential]]</f>
        <v>-0.76648533434519472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0.53736847213247929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0.28876487484199514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-4.774288798450349E-3</v>
      </c>
      <c r="H390" t="s">
        <v>18</v>
      </c>
      <c r="I390">
        <f>VLOOKUP(Table4[[#This Row],[Visitor]],'NHL Model'!$A$6:$B$38,2,FALSE)</f>
        <v>-0.23645483545724041</v>
      </c>
      <c r="J390">
        <f>($B$1+Table4[[#This Row],[Home Differential]])-Table4[[#This Row],[Away Differential]]</f>
        <v>0.3276505418294533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0.53343148957886422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0.28454915407432591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-8.9159851516330005E-2</v>
      </c>
      <c r="H391" t="s">
        <v>19</v>
      </c>
      <c r="I391">
        <f>VLOOKUP(Table4[[#This Row],[Visitor]],'NHL Model'!$A$6:$B$38,2,FALSE)</f>
        <v>-0.32175529201986758</v>
      </c>
      <c r="J391">
        <f>($B$1+Table4[[#This Row],[Home Differential]])-Table4[[#This Row],[Away Differential]]</f>
        <v>0.32856543567420082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0.57280958143502791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0.18249165371371603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-5.5047914862176604E-2</v>
      </c>
      <c r="H392" t="s">
        <v>26</v>
      </c>
      <c r="I392">
        <f>VLOOKUP(Table4[[#This Row],[Visitor]],'NHL Model'!$A$6:$B$38,2,FALSE)</f>
        <v>-0.17319925920548884</v>
      </c>
      <c r="J392">
        <f>($B$1+Table4[[#This Row],[Home Differential]])-Table4[[#This Row],[Away Differential]]</f>
        <v>0.21412133951397549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0.56556757592096951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0.1887315310911826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1.1751846443488465</v>
      </c>
      <c r="H393" t="s">
        <v>18</v>
      </c>
      <c r="I393">
        <f>VLOOKUP(Table4[[#This Row],[Visitor]],'NHL Model'!$A$6:$B$38,2,FALSE)</f>
        <v>-0.23645483545724041</v>
      </c>
      <c r="J393">
        <f>($B$1+Table4[[#This Row],[Home Differential]])-Table4[[#This Row],[Away Differential]]</f>
        <v>1.5076094749767501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0.73878075773274543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6.8235492530678635E-2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-0.43624947117902363</v>
      </c>
      <c r="H394" t="s">
        <v>38</v>
      </c>
      <c r="I394">
        <f>VLOOKUP(Table4[[#This Row],[Visitor]],'NHL Model'!$A$6:$B$38,2,FALSE)</f>
        <v>-1.2591310848703385</v>
      </c>
      <c r="J394">
        <f>($B$1+Table4[[#This Row],[Home Differential]])-Table4[[#This Row],[Away Differential]]</f>
        <v>0.91885160886197814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0.63175382865760965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0.1356052427083291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1.2879210938040288E-2</v>
      </c>
      <c r="H395" t="s">
        <v>23</v>
      </c>
      <c r="I395">
        <f>VLOOKUP(Table4[[#This Row],[Visitor]],'NHL Model'!$A$6:$B$38,2,FALSE)</f>
        <v>2.7346770720058793E-2</v>
      </c>
      <c r="J395">
        <f>($B$1+Table4[[#This Row],[Home Differential]])-Table4[[#This Row],[Away Differential]]</f>
        <v>8.1502435388644739E-2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0.52736936355840991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0.27811844562000232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-0.52712015292731806</v>
      </c>
      <c r="H396" t="s">
        <v>27</v>
      </c>
      <c r="I396">
        <f>VLOOKUP(Table4[[#This Row],[Visitor]],'NHL Model'!$A$6:$B$38,2,FALSE)</f>
        <v>-0.32182316569099201</v>
      </c>
      <c r="J396">
        <f>($B$1+Table4[[#This Row],[Home Differential]])-Table4[[#This Row],[Away Differential]]</f>
        <v>-0.10932699206566282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0.48150530830231375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0.26883674531867874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-0.74313650334688619</v>
      </c>
      <c r="H397" t="s">
        <v>40</v>
      </c>
      <c r="I397">
        <f>VLOOKUP(Table4[[#This Row],[Visitor]],'NHL Model'!$A$6:$B$38,2,FALSE)</f>
        <v>-0.47391784202962389</v>
      </c>
      <c r="J397">
        <f>($B$1+Table4[[#This Row],[Home Differential]])-Table4[[#This Row],[Away Differential]]</f>
        <v>-0.17324866614659901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0.47730010403797668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0.27321518123870997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-0.6396663932228257</v>
      </c>
      <c r="H398" t="s">
        <v>37</v>
      </c>
      <c r="I398">
        <f>VLOOKUP(Table4[[#This Row],[Visitor]],'NHL Model'!$A$6:$B$38,2,FALSE)</f>
        <v>0.65340538721281671</v>
      </c>
      <c r="J398">
        <f>($B$1+Table4[[#This Row],[Home Differential]])-Table4[[#This Row],[Away Differential]]</f>
        <v>-1.1971017852649792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0.67639722348153797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0.10471875697045768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3.24300967767114E-5</v>
      </c>
      <c r="H399" t="s">
        <v>19</v>
      </c>
      <c r="I399">
        <f>VLOOKUP(Table4[[#This Row],[Visitor]],'NHL Model'!$A$6:$B$38,2,FALSE)</f>
        <v>-0.32175529201986758</v>
      </c>
      <c r="J399">
        <f>($B$1+Table4[[#This Row],[Home Differential]])-Table4[[#This Row],[Away Differential]]</f>
        <v>0.41775771728730754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0.58171606126896547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0.33839357593827879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-0.57094405545214133</v>
      </c>
      <c r="H400" t="s">
        <v>17</v>
      </c>
      <c r="I400">
        <f>VLOOKUP(Table4[[#This Row],[Visitor]],'NHL Model'!$A$6:$B$38,2,FALSE)</f>
        <v>-0.20041140176017086</v>
      </c>
      <c r="J400">
        <f>($B$1+Table4[[#This Row],[Home Differential]])-Table4[[#This Row],[Away Differential]]</f>
        <v>-0.27456265852130723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0.48972143205465241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0.26038421690435476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-1.2663626722629573</v>
      </c>
      <c r="H401" t="s">
        <v>55</v>
      </c>
      <c r="I401">
        <f>VLOOKUP(Table4[[#This Row],[Visitor]],'NHL Model'!$A$6:$B$38,2,FALSE)</f>
        <v>0.12055191373383152</v>
      </c>
      <c r="J401">
        <f>($B$1+Table4[[#This Row],[Home Differential]])-Table4[[#This Row],[Away Differential]]</f>
        <v>-1.2909445908261257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0.58890994329305324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0.3468149213094272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-4.774288798450349E-3</v>
      </c>
      <c r="H402" t="s">
        <v>33</v>
      </c>
      <c r="I402">
        <f>VLOOKUP(Table4[[#This Row],[Visitor]],'NHL Model'!$A$6:$B$38,2,FALSE)</f>
        <v>-0.53461960928306718</v>
      </c>
      <c r="J402">
        <f>($B$1+Table4[[#This Row],[Home Differential]])-Table4[[#This Row],[Away Differential]]</f>
        <v>0.62581531565528004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0.58172285249006705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0.1749557721290462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0.29527586190964761</v>
      </c>
      <c r="H403" t="s">
        <v>16</v>
      </c>
      <c r="I403">
        <f>VLOOKUP(Table4[[#This Row],[Visitor]],'NHL Model'!$A$6:$B$38,2,FALSE)</f>
        <v>-0.79148902514100783</v>
      </c>
      <c r="J403">
        <f>($B$1+Table4[[#This Row],[Home Differential]])-Table4[[#This Row],[Away Differential]]</f>
        <v>1.1827348822213186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0.70100599334082858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8.9397416018104636E-2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-0.70456324341534593</v>
      </c>
      <c r="H404" t="s">
        <v>31</v>
      </c>
      <c r="I404">
        <f>VLOOKUP(Table4[[#This Row],[Visitor]],'NHL Model'!$A$6:$B$38,2,FALSE)</f>
        <v>-0.38289376966531796</v>
      </c>
      <c r="J404">
        <f>($B$1+Table4[[#This Row],[Home Differential]])-Table4[[#This Row],[Away Differential]]</f>
        <v>-0.22569947857936468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0.48253768844278488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0.23284262076770612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0.21259592260910548</v>
      </c>
      <c r="H405" t="s">
        <v>36</v>
      </c>
      <c r="I405">
        <f>VLOOKUP(Table4[[#This Row],[Visitor]],'NHL Model'!$A$6:$B$38,2,FALSE)</f>
        <v>-0.40390734274709933</v>
      </c>
      <c r="J405">
        <f>($B$1+Table4[[#This Row],[Home Differential]])-Table4[[#This Row],[Away Differential]]</f>
        <v>0.71247326052686799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0.62942770024290962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0.13732382934725884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-0.20908736804509698</v>
      </c>
      <c r="H406" t="s">
        <v>22</v>
      </c>
      <c r="I406">
        <f>VLOOKUP(Table4[[#This Row],[Visitor]],'NHL Model'!$A$6:$B$38,2,FALSE)</f>
        <v>-8.9159851516330005E-2</v>
      </c>
      <c r="J406">
        <f>($B$1+Table4[[#This Row],[Home Differential]])-Table4[[#This Row],[Away Differential]]</f>
        <v>-2.3957521358103723E-2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0.4533727200241176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0.29880138321383176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2.7346770720058793E-2</v>
      </c>
      <c r="H407" t="s">
        <v>40</v>
      </c>
      <c r="I407">
        <f>VLOOKUP(Table4[[#This Row],[Visitor]],'NHL Model'!$A$6:$B$38,2,FALSE)</f>
        <v>-0.47391784202962389</v>
      </c>
      <c r="J407">
        <f>($B$1+Table4[[#This Row],[Home Differential]])-Table4[[#This Row],[Away Differential]]</f>
        <v>0.59723460792034588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0.6414562793684353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0.12855359960432552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-0.52712015292731806</v>
      </c>
      <c r="H408" t="s">
        <v>28</v>
      </c>
      <c r="I408">
        <f>VLOOKUP(Table4[[#This Row],[Visitor]],'NHL Model'!$A$6:$B$38,2,FALSE)</f>
        <v>-0.42584667868780524</v>
      </c>
      <c r="J408">
        <f>($B$1+Table4[[#This Row],[Home Differential]])-Table4[[#This Row],[Away Differential]]</f>
        <v>-5.3034790688495925E-3</v>
      </c>
      <c r="K408" t="str">
        <f>IF(Table4[[#This Row],[HomeIce Differential]]&gt;0,Table4[[#This Row],[Home]],Table4[[#This Row],[Visitor]])</f>
        <v>Columbus Blue Jackets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0.46052958987618814</v>
      </c>
      <c r="M408" t="str">
        <f>IF(OR((NHL2025_26Results[[#This Row],[Winning Team]]="")),"-",IF(Table4[[#This Row],[Predicted Winner]]=NHL2025_26Results[[#This Row],[Winning Team]],"YES","NO"))</f>
        <v>YES</v>
      </c>
      <c r="N408">
        <f>IF(Table4[[#This Row],[Adjusted Correct]]="-", "",IF(Table4[[#This Row],[Adjusted Correct]]="YES",(Table4[[#This Row],[Strength of Win]]-1)^2,(Table4[[#This Row],[Strength of Win]]-0)^2))</f>
        <v>0.29102832339915385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-0.32182316569099201</v>
      </c>
      <c r="H409" t="s">
        <v>14</v>
      </c>
      <c r="I409">
        <f>VLOOKUP(Table4[[#This Row],[Visitor]],'NHL Model'!$A$6:$B$38,2,FALSE)</f>
        <v>3.24300967767114E-5</v>
      </c>
      <c r="J409">
        <f>($B$1+Table4[[#This Row],[Home Differential]])-Table4[[#This Row],[Away Differential]]</f>
        <v>-0.22588560061710547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0.53164718313488957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0.21935436106548367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-0.53461960928306718</v>
      </c>
      <c r="H410" t="s">
        <v>55</v>
      </c>
      <c r="I410">
        <f>VLOOKUP(Table4[[#This Row],[Visitor]],'NHL Model'!$A$6:$B$38,2,FALSE)</f>
        <v>0.12055191373383152</v>
      </c>
      <c r="J410">
        <f>($B$1+Table4[[#This Row],[Home Differential]])-Table4[[#This Row],[Away Differential]]</f>
        <v>-0.55920152784623545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0.5158402256427721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0.26609113839118603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-1.2663626722629573</v>
      </c>
      <c r="H411" t="s">
        <v>31</v>
      </c>
      <c r="I411">
        <f>VLOOKUP(Table4[[#This Row],[Visitor]],'NHL Model'!$A$6:$B$38,2,FALSE)</f>
        <v>-0.38289376966531796</v>
      </c>
      <c r="J411">
        <f>($B$1+Table4[[#This Row],[Home Differential]])-Table4[[#This Row],[Away Differential]]</f>
        <v>-0.78749890742697615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0.53863733286553261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0.21285551062542934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1.1751846443488465</v>
      </c>
      <c r="H412" t="s">
        <v>38</v>
      </c>
      <c r="I412">
        <f>VLOOKUP(Table4[[#This Row],[Visitor]],'NHL Model'!$A$6:$B$38,2,FALSE)</f>
        <v>-1.2591310848703385</v>
      </c>
      <c r="J412">
        <f>($B$1+Table4[[#This Row],[Home Differential]])-Table4[[#This Row],[Away Differential]]</f>
        <v>2.5302857243898482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0.87844914436988253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1.4774610504413661E-2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-0.17319925920548884</v>
      </c>
      <c r="H413" t="s">
        <v>21</v>
      </c>
      <c r="I413">
        <f>VLOOKUP(Table4[[#This Row],[Visitor]],'NHL Model'!$A$6:$B$38,2,FALSE)</f>
        <v>-5.5047914862176604E-2</v>
      </c>
      <c r="J413">
        <f>($B$1+Table4[[#This Row],[Home Differential]])-Table4[[#This Row],[Away Differential]]</f>
        <v>-2.2181349172648988E-2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0.41049898818712377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0.16850941930265237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-0.20041140176017086</v>
      </c>
      <c r="H414" t="s">
        <v>34</v>
      </c>
      <c r="I414">
        <f>VLOOKUP(Table4[[#This Row],[Visitor]],'NHL Model'!$A$6:$B$38,2,FALSE)</f>
        <v>1.2879210938040288E-2</v>
      </c>
      <c r="J414">
        <f>($B$1+Table4[[#This Row],[Home Differential]])-Table4[[#This Row],[Away Differential]]</f>
        <v>-0.1173206175275479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0.52824421863864957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0.22255351724785827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-0.42375285621939396</v>
      </c>
      <c r="H415" t="s">
        <v>19</v>
      </c>
      <c r="I415">
        <f>VLOOKUP(Table4[[#This Row],[Visitor]],'NHL Model'!$A$6:$B$38,2,FALSE)</f>
        <v>-0.32175529201986758</v>
      </c>
      <c r="J415">
        <f>($B$1+Table4[[#This Row],[Home Differential]])-Table4[[#This Row],[Away Differential]]</f>
        <v>-6.0275690288631445E-3</v>
      </c>
      <c r="K415" t="str">
        <f>IF(Table4[[#This Row],[HomeIce Differential]]&gt;0,Table4[[#This Row],[Home]],Table4[[#This Row],[Visitor]])</f>
        <v>Toronto Maple Leafs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0.46060189537740615</v>
      </c>
      <c r="M415" t="str">
        <f>IF(OR((NHL2025_26Results[[#This Row],[Winning Team]]="")),"-",IF(Table4[[#This Row],[Predicted Winner]]=NHL2025_26Results[[#This Row],[Winning Team]],"YES","NO"))</f>
        <v>YES</v>
      </c>
      <c r="N415">
        <f>IF(Table4[[#This Row],[Adjusted Correct]]="-", "",IF(Table4[[#This Row],[Adjusted Correct]]="YES",(Table4[[#This Row],[Strength of Win]]-1)^2,(Table4[[#This Row],[Strength of Win]]-0)^2))</f>
        <v>0.29095031527044668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-0.43624947117902363</v>
      </c>
      <c r="H416" t="s">
        <v>22</v>
      </c>
      <c r="I416">
        <f>VLOOKUP(Table4[[#This Row],[Visitor]],'NHL Model'!$A$6:$B$38,2,FALSE)</f>
        <v>-8.9159851516330005E-2</v>
      </c>
      <c r="J416">
        <f>($B$1+Table4[[#This Row],[Home Differential]])-Table4[[#This Row],[Away Differential]]</f>
        <v>-0.2511196244920304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0.48507606971134565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0.26514665398391496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-0.23645483545724041</v>
      </c>
      <c r="H417" t="s">
        <v>36</v>
      </c>
      <c r="I417">
        <f>VLOOKUP(Table4[[#This Row],[Visitor]],'NHL Model'!$A$6:$B$38,2,FALSE)</f>
        <v>-0.40390734274709933</v>
      </c>
      <c r="J417">
        <f>($B$1+Table4[[#This Row],[Home Differential]])-Table4[[#This Row],[Away Differential]]</f>
        <v>0.26342250246052218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0.56547510596000428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0.31976209546047807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-0.74313650334688619</v>
      </c>
      <c r="H418" t="s">
        <v>16</v>
      </c>
      <c r="I418">
        <f>VLOOKUP(Table4[[#This Row],[Visitor]],'NHL Model'!$A$6:$B$38,2,FALSE)</f>
        <v>-0.79148902514100783</v>
      </c>
      <c r="J418">
        <f>($B$1+Table4[[#This Row],[Home Differential]])-Table4[[#This Row],[Away Differential]]</f>
        <v>0.14432251696478493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0.55441162355847928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0.19854900121979038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-0.20908736804509698</v>
      </c>
      <c r="H419" t="s">
        <v>37</v>
      </c>
      <c r="I419">
        <f>VLOOKUP(Table4[[#This Row],[Visitor]],'NHL Model'!$A$6:$B$38,2,FALSE)</f>
        <v>0.65340538721281671</v>
      </c>
      <c r="J419">
        <f>($B$1+Table4[[#This Row],[Home Differential]])-Table4[[#This Row],[Away Differential]]</f>
        <v>-0.7665227600872504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0.62440892157548644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0.38988650134306196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-0.6396663932228257</v>
      </c>
      <c r="H420" t="s">
        <v>39</v>
      </c>
      <c r="I420">
        <f>VLOOKUP(Table4[[#This Row],[Visitor]],'NHL Model'!$A$6:$B$38,2,FALSE)</f>
        <v>0.21259592260910548</v>
      </c>
      <c r="J420">
        <f>($B$1+Table4[[#This Row],[Home Differential]])-Table4[[#This Row],[Away Differential]]</f>
        <v>-0.75629232066126795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0.57352910269998603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0.32893563164385115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-4.774288798450349E-3</v>
      </c>
      <c r="H421" t="s">
        <v>10</v>
      </c>
      <c r="I421">
        <f>VLOOKUP(Table4[[#This Row],[Visitor]],'NHL Model'!$A$6:$B$38,2,FALSE)</f>
        <v>-0.70456324341534593</v>
      </c>
      <c r="J421">
        <f>($B$1+Table4[[#This Row],[Home Differential]])-Table4[[#This Row],[Away Differential]]</f>
        <v>0.79575894978755879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0.61946215648683112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0.144809050345653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-0.38289376966531796</v>
      </c>
      <c r="H422" t="s">
        <v>55</v>
      </c>
      <c r="I422">
        <f>VLOOKUP(Table4[[#This Row],[Visitor]],'NHL Model'!$A$6:$B$38,2,FALSE)</f>
        <v>0.12055191373383152</v>
      </c>
      <c r="J422">
        <f>($B$1+Table4[[#This Row],[Home Differential]])-Table4[[#This Row],[Away Differential]]</f>
        <v>-0.40747568822848623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0.46465246162264517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0.28659698684669338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-0.23645483545724041</v>
      </c>
      <c r="H423" t="s">
        <v>40</v>
      </c>
      <c r="I423">
        <f>VLOOKUP(Table4[[#This Row],[Visitor]],'NHL Model'!$A$6:$B$38,2,FALSE)</f>
        <v>-0.47391784202962389</v>
      </c>
      <c r="J423">
        <f>($B$1+Table4[[#This Row],[Home Differential]])-Table4[[#This Row],[Away Differential]]</f>
        <v>0.33343300174304674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0.57329564231662511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0.18207660886598154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-0.52712015292731806</v>
      </c>
      <c r="H424" t="s">
        <v>39</v>
      </c>
      <c r="I424">
        <f>VLOOKUP(Table4[[#This Row],[Visitor]],'NHL Model'!$A$6:$B$38,2,FALSE)</f>
        <v>0.21259592260910548</v>
      </c>
      <c r="J424">
        <f>($B$1+Table4[[#This Row],[Home Differential]])-Table4[[#This Row],[Away Differential]]</f>
        <v>-0.64374608036576031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0.56229056499864616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0.1915895494892044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-0.32182316569099201</v>
      </c>
      <c r="H425" t="s">
        <v>23</v>
      </c>
      <c r="I425">
        <f>VLOOKUP(Table4[[#This Row],[Visitor]],'NHL Model'!$A$6:$B$38,2,FALSE)</f>
        <v>2.7346770720058793E-2</v>
      </c>
      <c r="J425">
        <f>($B$1+Table4[[#This Row],[Home Differential]])-Table4[[#This Row],[Away Differential]]</f>
        <v>-0.25319994124038758</v>
      </c>
      <c r="K425" t="str">
        <f>IF(Table4[[#This Row],[HomeIce Differential]]&gt;0,Table4[[#This Row],[Home]],Table4[[#This Row],[Visitor]])</f>
        <v>Buffalo Sabres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0.5060530348140001</v>
      </c>
      <c r="M425" t="str">
        <f>IF(OR((NHL2025_26Results[[#This Row],[Winning Team]]="")),"-",IF(Table4[[#This Row],[Predicted Winner]]=NHL2025_26Results[[#This Row],[Winning Team]],"YES","NO"))</f>
        <v>NO</v>
      </c>
      <c r="N425">
        <f>IF(Table4[[#This Row],[Adjusted Correct]]="-", "",IF(Table4[[#This Row],[Adjusted Correct]]="YES",(Table4[[#This Row],[Strength of Win]]-1)^2,(Table4[[#This Row],[Strength of Win]]-0)^2))</f>
        <v>0.25608967404445959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-0.53461960928306718</v>
      </c>
      <c r="H426" t="s">
        <v>22</v>
      </c>
      <c r="I426">
        <f>VLOOKUP(Table4[[#This Row],[Visitor]],'NHL Model'!$A$6:$B$38,2,FALSE)</f>
        <v>-8.9159851516330005E-2</v>
      </c>
      <c r="J426">
        <f>($B$1+Table4[[#This Row],[Home Differential]])-Table4[[#This Row],[Away Differential]]</f>
        <v>-0.34948976259607395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0.49489902339567615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0.25512699656664173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-5.5047914862176604E-2</v>
      </c>
      <c r="H427" t="s">
        <v>35</v>
      </c>
      <c r="I427">
        <f>VLOOKUP(Table4[[#This Row],[Visitor]],'NHL Model'!$A$6:$B$38,2,FALSE)</f>
        <v>-1.2663626722629573</v>
      </c>
      <c r="J427">
        <f>($B$1+Table4[[#This Row],[Home Differential]])-Table4[[#This Row],[Away Differential]]</f>
        <v>1.3072847525714439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0.71344317835875182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8.2114812029134121E-2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0.29527586190964761</v>
      </c>
      <c r="H428" t="s">
        <v>19</v>
      </c>
      <c r="I428">
        <f>VLOOKUP(Table4[[#This Row],[Visitor]],'NHL Model'!$A$6:$B$38,2,FALSE)</f>
        <v>-0.32175529201986758</v>
      </c>
      <c r="J428">
        <f>($B$1+Table4[[#This Row],[Home Differential]])-Table4[[#This Row],[Away Differential]]</f>
        <v>0.71300114910017842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0.65409975946387355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0.42784649533069724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-0.42584667868780524</v>
      </c>
      <c r="H429" t="s">
        <v>26</v>
      </c>
      <c r="I429">
        <f>VLOOKUP(Table4[[#This Row],[Visitor]],'NHL Model'!$A$6:$B$38,2,FALSE)</f>
        <v>-0.17319925920548884</v>
      </c>
      <c r="J429">
        <f>($B$1+Table4[[#This Row],[Home Differential]])-Table4[[#This Row],[Away Differential]]</f>
        <v>-0.15667742431165316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0.51493208163416171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0.26515504869609097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-0.79148902514100783</v>
      </c>
      <c r="H430" t="s">
        <v>34</v>
      </c>
      <c r="I430">
        <f>VLOOKUP(Table4[[#This Row],[Visitor]],'NHL Model'!$A$6:$B$38,2,FALSE)</f>
        <v>1.2879210938040288E-2</v>
      </c>
      <c r="J430">
        <f>($B$1+Table4[[#This Row],[Home Differential]])-Table4[[#This Row],[Away Differential]]</f>
        <v>-0.70839824090838488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0.58726749775789955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0.34488311392282456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-0.20041140176017086</v>
      </c>
      <c r="H431" t="s">
        <v>32</v>
      </c>
      <c r="I431">
        <f>VLOOKUP(Table4[[#This Row],[Visitor]],'NHL Model'!$A$6:$B$38,2,FALSE)</f>
        <v>-0.57094405545214133</v>
      </c>
      <c r="J431">
        <f>($B$1+Table4[[#This Row],[Home Differential]])-Table4[[#This Row],[Away Differential]]</f>
        <v>0.46650264886263371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0.58658358727267867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0.17091313031232688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-0.42375285621939396</v>
      </c>
      <c r="H432" t="s">
        <v>29</v>
      </c>
      <c r="I432">
        <f>VLOOKUP(Table4[[#This Row],[Visitor]],'NHL Model'!$A$6:$B$38,2,FALSE)</f>
        <v>-0.74313650334688619</v>
      </c>
      <c r="J432">
        <f>($B$1+Table4[[#This Row],[Home Differential]])-Table4[[#This Row],[Away Differential]]</f>
        <v>0.41535364229815547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0.58147599738649824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0.3381143355366229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-0.43624947117902363</v>
      </c>
      <c r="H433" t="s">
        <v>10</v>
      </c>
      <c r="I433">
        <f>VLOOKUP(Table4[[#This Row],[Visitor]],'NHL Model'!$A$6:$B$38,2,FALSE)</f>
        <v>-0.70456324341534593</v>
      </c>
      <c r="J433">
        <f>($B$1+Table4[[#This Row],[Home Differential]])-Table4[[#This Row],[Away Differential]]</f>
        <v>0.36428376740698554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0.57637630935729234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0.33220964998833313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-0.20908736804509698</v>
      </c>
      <c r="H434" t="s">
        <v>12</v>
      </c>
      <c r="I434">
        <f>VLOOKUP(Table4[[#This Row],[Visitor]],'NHL Model'!$A$6:$B$38,2,FALSE)</f>
        <v>1.1751846443488465</v>
      </c>
      <c r="J434">
        <f>($B$1+Table4[[#This Row],[Home Differential]])-Table4[[#This Row],[Away Differential]]</f>
        <v>-1.2883020172232802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0.64947939697135615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0.42182348709027645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-0.40390734274709933</v>
      </c>
      <c r="H435" t="s">
        <v>15</v>
      </c>
      <c r="I435">
        <f>VLOOKUP(Table4[[#This Row],[Visitor]],'NHL Model'!$A$6:$B$38,2,FALSE)</f>
        <v>-0.6396663932228257</v>
      </c>
      <c r="J435">
        <f>($B$1+Table4[[#This Row],[Home Differential]])-Table4[[#This Row],[Away Differential]]</f>
        <v>0.33172904564638961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0.52107729748374443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0.27152154995296268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0.65340538721281671</v>
      </c>
      <c r="H436" t="s">
        <v>14</v>
      </c>
      <c r="I436">
        <f>VLOOKUP(Table4[[#This Row],[Visitor]],'NHL Model'!$A$6:$B$38,2,FALSE)</f>
        <v>3.24300967767114E-5</v>
      </c>
      <c r="J436">
        <f>($B$1+Table4[[#This Row],[Home Differential]])-Table4[[#This Row],[Away Differential]]</f>
        <v>0.74934295228670333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0.58825531107726192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0.34604431101060618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-0.38289376966531796</v>
      </c>
      <c r="H437" t="s">
        <v>22</v>
      </c>
      <c r="I437">
        <f>VLOOKUP(Table4[[#This Row],[Visitor]],'NHL Model'!$A$6:$B$38,2,FALSE)</f>
        <v>-8.9159851516330005E-2</v>
      </c>
      <c r="J437">
        <f>($B$1+Table4[[#This Row],[Home Differential]])-Table4[[#This Row],[Away Differential]]</f>
        <v>-0.19776392297832474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0.44371125937554928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0.19687968169663597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0.21259592260910548</v>
      </c>
      <c r="H438" t="s">
        <v>33</v>
      </c>
      <c r="I438">
        <f>VLOOKUP(Table4[[#This Row],[Visitor]],'NHL Model'!$A$6:$B$38,2,FALSE)</f>
        <v>-0.53461960928306718</v>
      </c>
      <c r="J438">
        <f>($B$1+Table4[[#This Row],[Home Differential]])-Table4[[#This Row],[Away Differential]]</f>
        <v>0.84318552706283589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0.62265957395556004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0.14238579712739946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-0.52712015292731806</v>
      </c>
      <c r="H439" t="s">
        <v>20</v>
      </c>
      <c r="I439">
        <f>VLOOKUP(Table4[[#This Row],[Visitor]],'NHL Model'!$A$6:$B$38,2,FALSE)</f>
        <v>-4.774288798450349E-3</v>
      </c>
      <c r="J439">
        <f>($B$1+Table4[[#This Row],[Home Differential]])-Table4[[#This Row],[Away Differential]]</f>
        <v>-0.42637586895820445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0.53314268237228135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0.21795575502254858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-1.2591310848703385</v>
      </c>
      <c r="H440" t="s">
        <v>55</v>
      </c>
      <c r="I440">
        <f>VLOOKUP(Table4[[#This Row],[Visitor]],'NHL Model'!$A$6:$B$38,2,FALSE)</f>
        <v>0.12055191373383152</v>
      </c>
      <c r="J440">
        <f>($B$1+Table4[[#This Row],[Home Differential]])-Table4[[#This Row],[Away Differential]]</f>
        <v>-1.2837130034335069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0.58818781817062271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0.16958927310307209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-0.47391784202962389</v>
      </c>
      <c r="H441" t="s">
        <v>23</v>
      </c>
      <c r="I441">
        <f>VLOOKUP(Table4[[#This Row],[Visitor]],'NHL Model'!$A$6:$B$38,2,FALSE)</f>
        <v>2.7346770720058793E-2</v>
      </c>
      <c r="J441">
        <f>($B$1+Table4[[#This Row],[Home Differential]])-Table4[[#This Row],[Away Differential]]</f>
        <v>-0.40529461757901947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0.52124076342862746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0.27169193345965836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-5.5047914862176604E-2</v>
      </c>
      <c r="H442" t="s">
        <v>24</v>
      </c>
      <c r="I442">
        <f>VLOOKUP(Table4[[#This Row],[Visitor]],'NHL Model'!$A$6:$B$38,2,FALSE)</f>
        <v>-0.52712015292731806</v>
      </c>
      <c r="J442">
        <f>($B$1+Table4[[#This Row],[Home Differential]])-Table4[[#This Row],[Away Differential]]</f>
        <v>0.56804223323580472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0.60217757802686256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0.15826267942457303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0.29527586190964761</v>
      </c>
      <c r="H443" t="s">
        <v>29</v>
      </c>
      <c r="I443">
        <f>VLOOKUP(Table4[[#This Row],[Visitor]],'NHL Model'!$A$6:$B$38,2,FALSE)</f>
        <v>-0.74313650334688619</v>
      </c>
      <c r="J443">
        <f>($B$1+Table4[[#This Row],[Home Differential]])-Table4[[#This Row],[Away Differential]]</f>
        <v>1.134382360427197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0.69617765222777783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9.2308019005825109E-2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-0.79148902514100783</v>
      </c>
      <c r="H444" t="s">
        <v>55</v>
      </c>
      <c r="I444">
        <f>VLOOKUP(Table4[[#This Row],[Visitor]],'NHL Model'!$A$6:$B$38,2,FALSE)</f>
        <v>0.12055191373383152</v>
      </c>
      <c r="J444">
        <f>($B$1+Table4[[#This Row],[Home Differential]])-Table4[[#This Row],[Away Differential]]</f>
        <v>-0.8160709437041761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0.54149045266822216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0.29321191033083616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-0.20041140176017086</v>
      </c>
      <c r="H445" t="s">
        <v>40</v>
      </c>
      <c r="I445">
        <f>VLOOKUP(Table4[[#This Row],[Visitor]],'NHL Model'!$A$6:$B$38,2,FALSE)</f>
        <v>-0.47391784202962389</v>
      </c>
      <c r="J445">
        <f>($B$1+Table4[[#This Row],[Home Differential]])-Table4[[#This Row],[Away Differential]]</f>
        <v>0.36947643544011627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0.5768948339682225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0.17901798152277801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-0.42375285621939396</v>
      </c>
      <c r="H446" t="s">
        <v>28</v>
      </c>
      <c r="I446">
        <f>VLOOKUP(Table4[[#This Row],[Visitor]],'NHL Model'!$A$6:$B$38,2,FALSE)</f>
        <v>-0.42584667868780524</v>
      </c>
      <c r="J446">
        <f>($B$1+Table4[[#This Row],[Home Differential]])-Table4[[#This Row],[Away Differential]]</f>
        <v>9.8063817639074513E-2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0.54979236542047383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0.20268691423369217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-0.43624947117902363</v>
      </c>
      <c r="H447" t="s">
        <v>10</v>
      </c>
      <c r="I447">
        <f>VLOOKUP(Table4[[#This Row],[Visitor]],'NHL Model'!$A$6:$B$38,2,FALSE)</f>
        <v>-0.70456324341534593</v>
      </c>
      <c r="J447">
        <f>($B$1+Table4[[#This Row],[Home Differential]])-Table4[[#This Row],[Away Differential]]</f>
        <v>0.36428376740698554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0.57637630935729234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0.17945703127374849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-0.6396663932228257</v>
      </c>
      <c r="H448" t="s">
        <v>12</v>
      </c>
      <c r="I448">
        <f>VLOOKUP(Table4[[#This Row],[Visitor]],'NHL Model'!$A$6:$B$38,2,FALSE)</f>
        <v>1.1751846443488465</v>
      </c>
      <c r="J448">
        <f>($B$1+Table4[[#This Row],[Home Differential]])-Table4[[#This Row],[Away Differential]]</f>
        <v>-1.718881042401009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0.70154401284054435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8.9075976271325158E-2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-0.40390734274709933</v>
      </c>
      <c r="H449" t="s">
        <v>35</v>
      </c>
      <c r="I449">
        <f>VLOOKUP(Table4[[#This Row],[Visitor]],'NHL Model'!$A$6:$B$38,2,FALSE)</f>
        <v>-1.2663626722629573</v>
      </c>
      <c r="J449">
        <f>($B$1+Table4[[#This Row],[Home Differential]])-Table4[[#This Row],[Away Differential]]</f>
        <v>0.9584253246865212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0.63570554393577861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0.40412153859068412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-0.57094405545214133</v>
      </c>
      <c r="H450" t="s">
        <v>26</v>
      </c>
      <c r="I450">
        <f>VLOOKUP(Table4[[#This Row],[Visitor]],'NHL Model'!$A$6:$B$38,2,FALSE)</f>
        <v>-0.17319925920548884</v>
      </c>
      <c r="J450">
        <f>($B$1+Table4[[#This Row],[Home Differential]])-Table4[[#This Row],[Away Differential]]</f>
        <v>-0.30177480107598925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0.52942108042123726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0.22144451955191566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0.65340538721281671</v>
      </c>
      <c r="H451" t="s">
        <v>30</v>
      </c>
      <c r="I451">
        <f>VLOOKUP(Table4[[#This Row],[Visitor]],'NHL Model'!$A$6:$B$38,2,FALSE)</f>
        <v>-0.20908736804509698</v>
      </c>
      <c r="J451">
        <f>($B$1+Table4[[#This Row],[Home Differential]])-Table4[[#This Row],[Away Differential]]</f>
        <v>0.95846275042857698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0.6373759478273584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0.40624809886882352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-0.32175529201986758</v>
      </c>
      <c r="H452" t="s">
        <v>18</v>
      </c>
      <c r="I452">
        <f>VLOOKUP(Table4[[#This Row],[Visitor]],'NHL Model'!$A$6:$B$38,2,FALSE)</f>
        <v>-0.23645483545724041</v>
      </c>
      <c r="J452">
        <f>($B$1+Table4[[#This Row],[Home Differential]])-Table4[[#This Row],[Away Differential]]</f>
        <v>1.0669538608036072E-2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0.50714815391555812</v>
      </c>
      <c r="M452" t="str">
        <f>IF(OR((NHL2025_26Results[[#This Row],[Winning Team]]="")),"-",IF(Table4[[#This Row],[Predicted Winner]]=NHL2025_26Results[[#This Row],[Winning Team]],"YES","NO"))</f>
        <v>NO</v>
      </c>
      <c r="N452">
        <f>IF(Table4[[#This Row],[Adjusted Correct]]="-", "",IF(Table4[[#This Row],[Adjusted Correct]]="YES",(Table4[[#This Row],[Strength of Win]]-1)^2,(Table4[[#This Row],[Strength of Win]]-0)^2))</f>
        <v>0.25719925001995864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-1.2591310848703385</v>
      </c>
      <c r="H453" t="s">
        <v>34</v>
      </c>
      <c r="I453">
        <f>VLOOKUP(Table4[[#This Row],[Visitor]],'NHL Model'!$A$6:$B$38,2,FALSE)</f>
        <v>1.2879210938040288E-2</v>
      </c>
      <c r="J453">
        <f>($B$1+Table4[[#This Row],[Home Differential]])-Table4[[#This Row],[Away Differential]]</f>
        <v>-1.1760403006377156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0.6339648632603001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0.40191144784865102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-0.38289376966531796</v>
      </c>
      <c r="H454" t="s">
        <v>10</v>
      </c>
      <c r="I454">
        <f>VLOOKUP(Table4[[#This Row],[Visitor]],'NHL Model'!$A$6:$B$38,2,FALSE)</f>
        <v>-0.70456324341534593</v>
      </c>
      <c r="J454">
        <f>($B$1+Table4[[#This Row],[Home Differential]])-Table4[[#This Row],[Away Differential]]</f>
        <v>0.4176394689206912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0.61774111969308876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0.1461218515734935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0.29527586190964761</v>
      </c>
      <c r="H455" t="s">
        <v>33</v>
      </c>
      <c r="I455">
        <f>VLOOKUP(Table4[[#This Row],[Visitor]],'NHL Model'!$A$6:$B$38,2,FALSE)</f>
        <v>-0.53461960928306718</v>
      </c>
      <c r="J455">
        <f>($B$1+Table4[[#This Row],[Home Differential]])-Table4[[#This Row],[Away Differential]]</f>
        <v>0.92586546636337808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0.65495421191123371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0.42896501970026524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0.21259592260910548</v>
      </c>
      <c r="H456" t="s">
        <v>14</v>
      </c>
      <c r="I456">
        <f>VLOOKUP(Table4[[#This Row],[Visitor]],'NHL Model'!$A$6:$B$38,2,FALSE)</f>
        <v>3.24300967767114E-5</v>
      </c>
      <c r="J456">
        <f>($B$1+Table4[[#This Row],[Home Differential]])-Table4[[#This Row],[Away Differential]]</f>
        <v>0.30853348768299199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0.54101333145163255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0.21066876190512893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-0.42375285621939396</v>
      </c>
      <c r="H457" t="s">
        <v>30</v>
      </c>
      <c r="I457">
        <f>VLOOKUP(Table4[[#This Row],[Visitor]],'NHL Model'!$A$6:$B$38,2,FALSE)</f>
        <v>-0.20908736804509698</v>
      </c>
      <c r="J457">
        <f>($B$1+Table4[[#This Row],[Home Differential]])-Table4[[#This Row],[Away Differential]]</f>
        <v>-0.11869549300363375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0.49262181482355305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0.242676252440051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-0.23645483545724041</v>
      </c>
      <c r="H458" t="s">
        <v>35</v>
      </c>
      <c r="I458">
        <f>VLOOKUP(Table4[[#This Row],[Visitor]],'NHL Model'!$A$6:$B$38,2,FALSE)</f>
        <v>-1.2663626722629573</v>
      </c>
      <c r="J458">
        <f>($B$1+Table4[[#This Row],[Home Differential]])-Table4[[#This Row],[Away Differential]]</f>
        <v>1.1258778319763803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0.6524268605379121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0.42566080835135622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-0.6396663932228257</v>
      </c>
      <c r="H459" t="s">
        <v>20</v>
      </c>
      <c r="I459">
        <f>VLOOKUP(Table4[[#This Row],[Visitor]],'NHL Model'!$A$6:$B$38,2,FALSE)</f>
        <v>-4.774288798450349E-3</v>
      </c>
      <c r="J459">
        <f>($B$1+Table4[[#This Row],[Home Differential]])-Table4[[#This Row],[Away Differential]]</f>
        <v>-0.53892210925371209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0.54438122007362122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0.20758847262160199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-0.32182316569099201</v>
      </c>
      <c r="H460" t="s">
        <v>12</v>
      </c>
      <c r="I460">
        <f>VLOOKUP(Table4[[#This Row],[Visitor]],'NHL Model'!$A$6:$B$38,2,FALSE)</f>
        <v>1.1751846443488465</v>
      </c>
      <c r="J460">
        <f>($B$1+Table4[[#This Row],[Home Differential]])-Table4[[#This Row],[Away Differential]]</f>
        <v>-1.4010378148691753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0.66980511968557999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0.10902865898585416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-8.9159851516330005E-2</v>
      </c>
      <c r="H461" t="s">
        <v>28</v>
      </c>
      <c r="I461">
        <f>VLOOKUP(Table4[[#This Row],[Visitor]],'NHL Model'!$A$6:$B$38,2,FALSE)</f>
        <v>-0.42584667868780524</v>
      </c>
      <c r="J461">
        <f>($B$1+Table4[[#This Row],[Home Differential]])-Table4[[#This Row],[Away Differential]]</f>
        <v>0.43265682234213848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0.58320384223290789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0.17371903712941072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-0.79148902514100783</v>
      </c>
      <c r="H462" t="s">
        <v>23</v>
      </c>
      <c r="I462">
        <f>VLOOKUP(Table4[[#This Row],[Visitor]],'NHL Model'!$A$6:$B$38,2,FALSE)</f>
        <v>2.7346770720058793E-2</v>
      </c>
      <c r="J462">
        <f>($B$1+Table4[[#This Row],[Home Differential]])-Table4[[#This Row],[Away Differential]]</f>
        <v>-0.72286580069040329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0.55295249102508337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0.30575645733084489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-0.57094405545214133</v>
      </c>
      <c r="H463" t="s">
        <v>34</v>
      </c>
      <c r="I463">
        <f>VLOOKUP(Table4[[#This Row],[Visitor]],'NHL Model'!$A$6:$B$38,2,FALSE)</f>
        <v>1.2879210938040288E-2</v>
      </c>
      <c r="J463">
        <f>($B$1+Table4[[#This Row],[Home Differential]])-Table4[[#This Row],[Away Differential]]</f>
        <v>-0.48785327121951838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0.56524452346589982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0.18901232437639254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-0.32175529201986758</v>
      </c>
      <c r="H464" t="s">
        <v>37</v>
      </c>
      <c r="I464">
        <f>VLOOKUP(Table4[[#This Row],[Visitor]],'NHL Model'!$A$6:$B$38,2,FALSE)</f>
        <v>0.65340538721281671</v>
      </c>
      <c r="J464">
        <f>($B$1+Table4[[#This Row],[Home Differential]])-Table4[[#This Row],[Away Differential]]</f>
        <v>-0.87919068406202106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0.63934495649830247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0.40876197339981629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0.12055191373383152</v>
      </c>
      <c r="H465" t="s">
        <v>13</v>
      </c>
      <c r="I465">
        <f>VLOOKUP(Table4[[#This Row],[Visitor]],'NHL Model'!$A$6:$B$38,2,FALSE)</f>
        <v>-0.43624947117902363</v>
      </c>
      <c r="J465">
        <f>($B$1+Table4[[#This Row],[Home Differential]])-Table4[[#This Row],[Away Differential]]</f>
        <v>0.65277138008351843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0.61103536523357782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0.37336421756613186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-1.2591310848703385</v>
      </c>
      <c r="H466" t="s">
        <v>26</v>
      </c>
      <c r="I466">
        <f>VLOOKUP(Table4[[#This Row],[Visitor]],'NHL Model'!$A$6:$B$38,2,FALSE)</f>
        <v>-0.17319925920548884</v>
      </c>
      <c r="J466">
        <f>($B$1+Table4[[#This Row],[Home Differential]])-Table4[[#This Row],[Away Differential]]</f>
        <v>-0.98996183049418651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0.59814142021563765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0.16149031814630471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0.29527586190964761</v>
      </c>
      <c r="H467" t="s">
        <v>28</v>
      </c>
      <c r="I467">
        <f>VLOOKUP(Table4[[#This Row],[Visitor]],'NHL Model'!$A$6:$B$38,2,FALSE)</f>
        <v>-0.42584667868780524</v>
      </c>
      <c r="J467">
        <f>($B$1+Table4[[#This Row],[Home Differential]])-Table4[[#This Row],[Away Differential]]</f>
        <v>0.81709253576811602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0.66449402026175342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0.11256426244012073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-0.20041140176017086</v>
      </c>
      <c r="H468" t="s">
        <v>23</v>
      </c>
      <c r="I468">
        <f>VLOOKUP(Table4[[#This Row],[Visitor]],'NHL Model'!$A$6:$B$38,2,FALSE)</f>
        <v>2.7346770720058793E-2</v>
      </c>
      <c r="J468">
        <f>($B$1+Table4[[#This Row],[Home Differential]])-Table4[[#This Row],[Away Differential]]</f>
        <v>-0.13178817730956641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0.49392921190583339</v>
      </c>
      <c r="M468" t="str">
        <f>IF(OR((NHL2025_26Results[[#This Row],[Winning Team]]="")),"-",IF(Table4[[#This Row],[Predicted Winner]]=NHL2025_26Results[[#This Row],[Winning Team]],"YES","NO"))</f>
        <v>YES</v>
      </c>
      <c r="N468">
        <f>IF(Table4[[#This Row],[Adjusted Correct]]="-", "",IF(Table4[[#This Row],[Adjusted Correct]]="YES",(Table4[[#This Row],[Strength of Win]]-1)^2,(Table4[[#This Row],[Strength of Win]]-0)^2))</f>
        <v>0.25610764256225088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-0.23645483545724041</v>
      </c>
      <c r="H469" t="s">
        <v>37</v>
      </c>
      <c r="I469">
        <f>VLOOKUP(Table4[[#This Row],[Visitor]],'NHL Model'!$A$6:$B$38,2,FALSE)</f>
        <v>0.65340538721281671</v>
      </c>
      <c r="J469">
        <f>($B$1+Table4[[#This Row],[Home Differential]])-Table4[[#This Row],[Away Differential]]</f>
        <v>-0.79389022749939386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0.63613369907000417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0.13239868495247828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-0.74313650334688619</v>
      </c>
      <c r="H470" t="s">
        <v>12</v>
      </c>
      <c r="I470">
        <f>VLOOKUP(Table4[[#This Row],[Visitor]],'NHL Model'!$A$6:$B$38,2,FALSE)</f>
        <v>1.1751846443488465</v>
      </c>
      <c r="J470">
        <f>($B$1+Table4[[#This Row],[Home Differential]])-Table4[[#This Row],[Away Differential]]</f>
        <v>-1.8223511525250693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0.71187623478361239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0.50676777364969283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-0.20908736804509698</v>
      </c>
      <c r="H471" t="s">
        <v>20</v>
      </c>
      <c r="I471">
        <f>VLOOKUP(Table4[[#This Row],[Visitor]],'NHL Model'!$A$6:$B$38,2,FALSE)</f>
        <v>-4.774288798450349E-3</v>
      </c>
      <c r="J471">
        <f>($B$1+Table4[[#This Row],[Home Differential]])-Table4[[#This Row],[Away Differential]]</f>
        <v>-0.10834308407598338</v>
      </c>
      <c r="K471" t="str">
        <f>IF(Table4[[#This Row],[HomeIce Differential]]&gt;0,Table4[[#This Row],[Home]],Table4[[#This Row],[Visitor]])</f>
        <v>Vegas Golden Knights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0.49230030432150113</v>
      </c>
      <c r="M471" t="str">
        <f>IF(OR((NHL2025_26Results[[#This Row],[Winning Team]]="")),"-",IF(Table4[[#This Row],[Predicted Winner]]=NHL2025_26Results[[#This Row],[Winning Team]],"YES","NO"))</f>
        <v>NO</v>
      </c>
      <c r="N471">
        <f>IF(Table4[[#This Row],[Adjusted Correct]]="-", "",IF(Table4[[#This Row],[Adjusted Correct]]="YES",(Table4[[#This Row],[Strength of Win]]-1)^2,(Table4[[#This Row],[Strength of Win]]-0)^2))</f>
        <v>0.24235958963504262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-0.40390734274709933</v>
      </c>
      <c r="H472" t="s">
        <v>24</v>
      </c>
      <c r="I472">
        <f>VLOOKUP(Table4[[#This Row],[Visitor]],'NHL Model'!$A$6:$B$38,2,FALSE)</f>
        <v>-0.52712015292731806</v>
      </c>
      <c r="J472">
        <f>($B$1+Table4[[#This Row],[Home Differential]])-Table4[[#This Row],[Away Differential]]</f>
        <v>0.21918280535088197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0.52387898442599889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0.27444919032321602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-0.32182316569099201</v>
      </c>
      <c r="H473" t="s">
        <v>33</v>
      </c>
      <c r="I473">
        <f>VLOOKUP(Table4[[#This Row],[Visitor]],'NHL Model'!$A$6:$B$38,2,FALSE)</f>
        <v>-0.53461960928306718</v>
      </c>
      <c r="J473">
        <f>($B$1+Table4[[#This Row],[Home Differential]])-Table4[[#This Row],[Away Differential]]</f>
        <v>0.3087664387627384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0.55006328086183087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0.2024430512288197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3.24300967767114E-5</v>
      </c>
      <c r="H474" t="s">
        <v>31</v>
      </c>
      <c r="I474">
        <f>VLOOKUP(Table4[[#This Row],[Visitor]],'NHL Model'!$A$6:$B$38,2,FALSE)</f>
        <v>-0.38289376966531796</v>
      </c>
      <c r="J474">
        <f>($B$1+Table4[[#This Row],[Home Differential]])-Table4[[#This Row],[Away Differential]]</f>
        <v>0.47889619493275792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0.58782117045979065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0.34553372844071828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-1.2663626722629573</v>
      </c>
      <c r="H475" t="s">
        <v>21</v>
      </c>
      <c r="I475">
        <f>VLOOKUP(Table4[[#This Row],[Visitor]],'NHL Model'!$A$6:$B$38,2,FALSE)</f>
        <v>-5.5047914862176604E-2</v>
      </c>
      <c r="J475">
        <f>($B$1+Table4[[#This Row],[Home Differential]])-Table4[[#This Row],[Away Differential]]</f>
        <v>-1.1153447622301176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0.57137505906375008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0.18371933999260373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-0.47391784202962389</v>
      </c>
      <c r="H476" t="s">
        <v>39</v>
      </c>
      <c r="I476">
        <f>VLOOKUP(Table4[[#This Row],[Visitor]],'NHL Model'!$A$6:$B$38,2,FALSE)</f>
        <v>0.21259592260910548</v>
      </c>
      <c r="J476">
        <f>($B$1+Table4[[#This Row],[Home Differential]])-Table4[[#This Row],[Away Differential]]</f>
        <v>-0.59054376946806619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0.55697793815964891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0.19626854727727586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-0.79148902514100783</v>
      </c>
      <c r="H477" t="s">
        <v>26</v>
      </c>
      <c r="I477">
        <f>VLOOKUP(Table4[[#This Row],[Visitor]],'NHL Model'!$A$6:$B$38,2,FALSE)</f>
        <v>-0.17319925920548884</v>
      </c>
      <c r="J477">
        <f>($B$1+Table4[[#This Row],[Home Differential]])-Table4[[#This Row],[Away Differential]]</f>
        <v>-0.5223197707648557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0.55144405471323699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0.20120243605210153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-0.70456324341534593</v>
      </c>
      <c r="H478" t="s">
        <v>15</v>
      </c>
      <c r="I478">
        <f>VLOOKUP(Table4[[#This Row],[Visitor]],'NHL Model'!$A$6:$B$38,2,FALSE)</f>
        <v>-0.6396663932228257</v>
      </c>
      <c r="J478">
        <f>($B$1+Table4[[#This Row],[Home Differential]])-Table4[[#This Row],[Away Differential]]</f>
        <v>3.1073144978143064E-2</v>
      </c>
      <c r="K478" t="str">
        <f>IF(Table4[[#This Row],[HomeIce Differential]]&gt;0,Table4[[#This Row],[Home]],Table4[[#This Row],[Visitor]])</f>
        <v>Chicago Blackhawks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0.49105468041614198</v>
      </c>
      <c r="M478" t="str">
        <f>IF(OR((NHL2025_26Results[[#This Row],[Winning Team]]="")),"-",IF(Table4[[#This Row],[Predicted Winner]]=NHL2025_26Results[[#This Row],[Winning Team]],"YES","NO"))</f>
        <v>YES</v>
      </c>
      <c r="N478">
        <f>IF(Table4[[#This Row],[Adjusted Correct]]="-", "",IF(Table4[[#This Row],[Adjusted Correct]]="YES",(Table4[[#This Row],[Strength of Win]]-1)^2,(Table4[[#This Row],[Strength of Win]]-0)^2))</f>
        <v>0.25902533832631536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-0.57094405545214133</v>
      </c>
      <c r="H479" t="s">
        <v>13</v>
      </c>
      <c r="I479">
        <f>VLOOKUP(Table4[[#This Row],[Visitor]],'NHL Model'!$A$6:$B$38,2,FALSE)</f>
        <v>-0.43624947117902363</v>
      </c>
      <c r="J479">
        <f>($B$1+Table4[[#This Row],[Home Differential]])-Table4[[#This Row],[Away Differential]]</f>
        <v>-3.8724589102454465E-2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0.49443296170820145</v>
      </c>
      <c r="M479" t="str">
        <f>IF(OR((NHL2025_26Results[[#This Row],[Winning Team]]="")),"-",IF(Table4[[#This Row],[Predicted Winner]]=NHL2025_26Results[[#This Row],[Winning Team]],"YES","NO"))</f>
        <v>NO</v>
      </c>
      <c r="N479">
        <f>IF(Table4[[#This Row],[Adjusted Correct]]="-", "",IF(Table4[[#This Row],[Adjusted Correct]]="YES",(Table4[[#This Row],[Strength of Win]]-1)^2,(Table4[[#This Row],[Strength of Win]]-0)^2))</f>
        <v>0.24446395362354378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0.12055191373383152</v>
      </c>
      <c r="H480" t="s">
        <v>11</v>
      </c>
      <c r="I480">
        <f>VLOOKUP(Table4[[#This Row],[Visitor]],'NHL Model'!$A$6:$B$38,2,FALSE)</f>
        <v>-0.42375285621939396</v>
      </c>
      <c r="J480">
        <f>($B$1+Table4[[#This Row],[Home Differential]])-Table4[[#This Row],[Away Differential]]</f>
        <v>0.6402747651238887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0.58905011675609997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0.34698004005037503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-0.42584667868780524</v>
      </c>
      <c r="H481" t="s">
        <v>36</v>
      </c>
      <c r="I481">
        <f>VLOOKUP(Table4[[#This Row],[Visitor]],'NHL Model'!$A$6:$B$38,2,FALSE)</f>
        <v>-0.40390734274709933</v>
      </c>
      <c r="J481">
        <f>($B$1+Table4[[#This Row],[Home Differential]])-Table4[[#This Row],[Away Differential]]</f>
        <v>7.403065922995733E-2</v>
      </c>
      <c r="K481" t="str">
        <f>IF(Table4[[#This Row],[HomeIce Differential]]&gt;0,Table4[[#This Row],[Home]],Table4[[#This Row],[Visitor]])</f>
        <v>Columbus Blue Jackets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0.54656299157142685</v>
      </c>
      <c r="M481" t="str">
        <f>IF(OR((NHL2025_26Results[[#This Row],[Winning Team]]="")),"-",IF(Table4[[#This Row],[Predicted Winner]]=NHL2025_26Results[[#This Row],[Winning Team]],"YES","NO"))</f>
        <v>NO</v>
      </c>
      <c r="N481">
        <f>IF(Table4[[#This Row],[Adjusted Correct]]="-", "",IF(Table4[[#This Row],[Adjusted Correct]]="YES",(Table4[[#This Row],[Strength of Win]]-1)^2,(Table4[[#This Row],[Strength of Win]]-0)^2))</f>
        <v>0.2987311037555076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1.1751846443488465</v>
      </c>
      <c r="H482" t="s">
        <v>11</v>
      </c>
      <c r="I482">
        <f>VLOOKUP(Table4[[#This Row],[Visitor]],'NHL Model'!$A$6:$B$38,2,FALSE)</f>
        <v>-0.42375285621939396</v>
      </c>
      <c r="J482">
        <f>($B$1+Table4[[#This Row],[Home Differential]])-Table4[[#This Row],[Away Differential]]</f>
        <v>1.6949074957389036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0.74568959778552268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6.4673780674489229E-2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-0.20041140176017086</v>
      </c>
      <c r="H483" t="s">
        <v>26</v>
      </c>
      <c r="I483">
        <f>VLOOKUP(Table4[[#This Row],[Visitor]],'NHL Model'!$A$6:$B$38,2,FALSE)</f>
        <v>-0.17319925920548884</v>
      </c>
      <c r="J483">
        <f>($B$1+Table4[[#This Row],[Home Differential]])-Table4[[#This Row],[Away Differential]]</f>
        <v>6.8757852615981233E-2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0.50757922440601311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0.24247822023658361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1.2879210938040288E-2</v>
      </c>
      <c r="H484" t="s">
        <v>39</v>
      </c>
      <c r="I484">
        <f>VLOOKUP(Table4[[#This Row],[Visitor]],'NHL Model'!$A$6:$B$38,2,FALSE)</f>
        <v>0.21259592260910548</v>
      </c>
      <c r="J484">
        <f>($B$1+Table4[[#This Row],[Home Differential]])-Table4[[#This Row],[Away Differential]]</f>
        <v>-0.10374671650040194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0.50836781117261154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0.25843783143643201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-0.52712015292731806</v>
      </c>
      <c r="H485" t="s">
        <v>37</v>
      </c>
      <c r="I485">
        <f>VLOOKUP(Table4[[#This Row],[Visitor]],'NHL Model'!$A$6:$B$38,2,FALSE)</f>
        <v>0.65340538721281671</v>
      </c>
      <c r="J485">
        <f>($B$1+Table4[[#This Row],[Home Differential]])-Table4[[#This Row],[Away Differential]]</f>
        <v>-1.0845555449694715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0.6651586857801981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0.11211870570844411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-0.74313650334688619</v>
      </c>
      <c r="H486" t="s">
        <v>35</v>
      </c>
      <c r="I486">
        <f>VLOOKUP(Table4[[#This Row],[Visitor]],'NHL Model'!$A$6:$B$38,2,FALSE)</f>
        <v>-1.2663626722629573</v>
      </c>
      <c r="J486">
        <f>($B$1+Table4[[#This Row],[Home Differential]])-Table4[[#This Row],[Away Differential]]</f>
        <v>0.61919616408673439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0.60183111418331037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0.15853846163250401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-0.20908736804509698</v>
      </c>
      <c r="H487" t="s">
        <v>31</v>
      </c>
      <c r="I487">
        <f>VLOOKUP(Table4[[#This Row],[Visitor]],'NHL Model'!$A$6:$B$38,2,FALSE)</f>
        <v>-0.38289376966531796</v>
      </c>
      <c r="J487">
        <f>($B$1+Table4[[#This Row],[Home Differential]])-Table4[[#This Row],[Away Differential]]</f>
        <v>0.26977639679088422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0.57595868815630713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0.17981103415011998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-0.32182316569099201</v>
      </c>
      <c r="H488" t="s">
        <v>20</v>
      </c>
      <c r="I488">
        <f>VLOOKUP(Table4[[#This Row],[Visitor]],'NHL Model'!$A$6:$B$38,2,FALSE)</f>
        <v>-4.774288798450349E-3</v>
      </c>
      <c r="J488">
        <f>($B$1+Table4[[#This Row],[Home Differential]])-Table4[[#This Row],[Away Differential]]</f>
        <v>-0.22107888172187842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0.51264232691865674</v>
      </c>
      <c r="M488" t="str">
        <f>IF(OR((NHL2025_26Results[[#This Row],[Winning Team]]="")),"-",IF(Table4[[#This Row],[Predicted Winner]]=NHL2025_26Results[[#This Row],[Winning Team]],"YES","NO"))</f>
        <v>YES</v>
      </c>
      <c r="N488">
        <f>IF(Table4[[#This Row],[Adjusted Correct]]="-", "",IF(Table4[[#This Row],[Adjusted Correct]]="YES",(Table4[[#This Row],[Strength of Win]]-1)^2,(Table4[[#This Row],[Strength of Win]]-0)^2))</f>
        <v>0.23751750151126144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3.24300967767114E-5</v>
      </c>
      <c r="H489" t="s">
        <v>18</v>
      </c>
      <c r="I489">
        <f>VLOOKUP(Table4[[#This Row],[Visitor]],'NHL Model'!$A$6:$B$38,2,FALSE)</f>
        <v>-0.23645483545724041</v>
      </c>
      <c r="J489">
        <f>($B$1+Table4[[#This Row],[Home Differential]])-Table4[[#This Row],[Away Differential]]</f>
        <v>0.3324572607246804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0.53391147444003695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0.28506146253873421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-0.32175529201986758</v>
      </c>
      <c r="H490" t="s">
        <v>33</v>
      </c>
      <c r="I490">
        <f>VLOOKUP(Table4[[#This Row],[Visitor]],'NHL Model'!$A$6:$B$38,2,FALSE)</f>
        <v>-0.53461960928306718</v>
      </c>
      <c r="J490">
        <f>($B$1+Table4[[#This Row],[Home Differential]])-Table4[[#This Row],[Away Differential]]</f>
        <v>0.30883431243386283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0.55542945323135973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0.30850187751688724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-1.2591310848703385</v>
      </c>
      <c r="H491" t="s">
        <v>23</v>
      </c>
      <c r="I491">
        <f>VLOOKUP(Table4[[#This Row],[Visitor]],'NHL Model'!$A$6:$B$38,2,FALSE)</f>
        <v>2.7346770720058793E-2</v>
      </c>
      <c r="J491">
        <f>($B$1+Table4[[#This Row],[Home Differential]])-Table4[[#This Row],[Away Differential]]</f>
        <v>-1.1905078604197341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0.59964985652748393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0.1602802373784642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-0.47391784202962389</v>
      </c>
      <c r="H492" t="s">
        <v>21</v>
      </c>
      <c r="I492">
        <f>VLOOKUP(Table4[[#This Row],[Visitor]],'NHL Model'!$A$6:$B$38,2,FALSE)</f>
        <v>-5.5047914862176604E-2</v>
      </c>
      <c r="J492">
        <f>($B$1+Table4[[#This Row],[Home Differential]])-Table4[[#This Row],[Away Differential]]</f>
        <v>-0.32289993199678407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0.49224384084246303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0.25781631716241404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-8.9159851516330005E-2</v>
      </c>
      <c r="H493" t="s">
        <v>25</v>
      </c>
      <c r="I493">
        <f>VLOOKUP(Table4[[#This Row],[Visitor]],'NHL Model'!$A$6:$B$38,2,FALSE)</f>
        <v>0.29527586190964761</v>
      </c>
      <c r="J493">
        <f>($B$1+Table4[[#This Row],[Home Differential]])-Table4[[#This Row],[Away Differential]]</f>
        <v>-0.28846571825531436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0.54809317500716526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0.20421977847510456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-1.2663626722629573</v>
      </c>
      <c r="H494" t="s">
        <v>10</v>
      </c>
      <c r="I494">
        <f>VLOOKUP(Table4[[#This Row],[Visitor]],'NHL Model'!$A$6:$B$38,2,FALSE)</f>
        <v>-0.70456324341534593</v>
      </c>
      <c r="J494">
        <f>($B$1+Table4[[#This Row],[Home Differential]])-Table4[[#This Row],[Away Differential]]</f>
        <v>-0.46582943367694818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0.50651636197731942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0.2565588249507389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0.12055191373383152</v>
      </c>
      <c r="H495" t="s">
        <v>32</v>
      </c>
      <c r="I495">
        <f>VLOOKUP(Table4[[#This Row],[Visitor]],'NHL Model'!$A$6:$B$38,2,FALSE)</f>
        <v>-0.57094405545214133</v>
      </c>
      <c r="J495">
        <f>($B$1+Table4[[#This Row],[Home Differential]])-Table4[[#This Row],[Away Differential]]</f>
        <v>0.78746596435663607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0.65467090962652619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0.11925218065817085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-0.42584667868780524</v>
      </c>
      <c r="H496" t="s">
        <v>20</v>
      </c>
      <c r="I496">
        <f>VLOOKUP(Table4[[#This Row],[Visitor]],'NHL Model'!$A$6:$B$38,2,FALSE)</f>
        <v>-4.774288798450349E-3</v>
      </c>
      <c r="J496">
        <f>($B$1+Table4[[#This Row],[Home Differential]])-Table4[[#This Row],[Away Differential]]</f>
        <v>-0.32510239471869162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0.52302981005066485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0.22750056210030487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-0.70456324341534593</v>
      </c>
      <c r="H497" t="s">
        <v>26</v>
      </c>
      <c r="I497">
        <f>VLOOKUP(Table4[[#This Row],[Visitor]],'NHL Model'!$A$6:$B$38,2,FALSE)</f>
        <v>-0.17319925920548884</v>
      </c>
      <c r="J497">
        <f>($B$1+Table4[[#This Row],[Home Differential]])-Table4[[#This Row],[Away Differential]]</f>
        <v>-0.4353939890391938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0.54276390091532023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0.20906485030617511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1.1751846443488465</v>
      </c>
      <c r="H498" t="s">
        <v>29</v>
      </c>
      <c r="I498">
        <f>VLOOKUP(Table4[[#This Row],[Visitor]],'NHL Model'!$A$6:$B$38,2,FALSE)</f>
        <v>-0.74313650334688619</v>
      </c>
      <c r="J498">
        <f>($B$1+Table4[[#This Row],[Home Differential]])-Table4[[#This Row],[Away Differential]]</f>
        <v>2.0142911428663961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0.82692343775443111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2.9955496398744282E-2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0.21259592260910548</v>
      </c>
      <c r="H499" t="s">
        <v>11</v>
      </c>
      <c r="I499">
        <f>VLOOKUP(Table4[[#This Row],[Visitor]],'NHL Model'!$A$6:$B$38,2,FALSE)</f>
        <v>-0.42375285621939396</v>
      </c>
      <c r="J499">
        <f>($B$1+Table4[[#This Row],[Home Differential]])-Table4[[#This Row],[Away Differential]]</f>
        <v>0.73231877399916268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0.58101364179658144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0.33757685195372622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-0.43624947117902363</v>
      </c>
      <c r="H500" t="s">
        <v>16</v>
      </c>
      <c r="I500">
        <f>VLOOKUP(Table4[[#This Row],[Visitor]],'NHL Model'!$A$6:$B$38,2,FALSE)</f>
        <v>-0.79148902514100783</v>
      </c>
      <c r="J500">
        <f>($B$1+Table4[[#This Row],[Home Differential]])-Table4[[#This Row],[Away Differential]]</f>
        <v>0.45120954913264744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0.58505646315520898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0.34229106507968243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1.2879210938040288E-2</v>
      </c>
      <c r="H501" t="s">
        <v>36</v>
      </c>
      <c r="I501">
        <f>VLOOKUP(Table4[[#This Row],[Visitor]],'NHL Model'!$A$6:$B$38,2,FALSE)</f>
        <v>-0.40390734274709933</v>
      </c>
      <c r="J501">
        <f>($B$1+Table4[[#This Row],[Home Differential]])-Table4[[#This Row],[Away Differential]]</f>
        <v>0.51275654885580291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0.59037287307584496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0.16779438311213782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-0.52712015292731806</v>
      </c>
      <c r="H502" t="s">
        <v>31</v>
      </c>
      <c r="I502">
        <f>VLOOKUP(Table4[[#This Row],[Visitor]],'NHL Model'!$A$6:$B$38,2,FALSE)</f>
        <v>-0.38289376966531796</v>
      </c>
      <c r="J502">
        <f>($B$1+Table4[[#This Row],[Home Differential]])-Table4[[#This Row],[Away Differential]]</f>
        <v>-4.8256388091336866E-2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0.46481874148324287</v>
      </c>
      <c r="M502" t="str">
        <f>IF(OR((NHL2025_26Results[[#This Row],[Winning Team]]="")),"-",IF(Table4[[#This Row],[Predicted Winner]]=NHL2025_26Results[[#This Row],[Winning Team]],"YES","NO"))</f>
        <v>NO</v>
      </c>
      <c r="N502">
        <f>IF(Table4[[#This Row],[Adjusted Correct]]="-", "",IF(Table4[[#This Row],[Adjusted Correct]]="YES",(Table4[[#This Row],[Strength of Win]]-1)^2,(Table4[[#This Row],[Strength of Win]]-0)^2))</f>
        <v>0.21605646243406576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-0.20908736804509698</v>
      </c>
      <c r="H503" t="s">
        <v>37</v>
      </c>
      <c r="I503">
        <f>VLOOKUP(Table4[[#This Row],[Visitor]],'NHL Model'!$A$6:$B$38,2,FALSE)</f>
        <v>0.65340538721281671</v>
      </c>
      <c r="J503">
        <f>($B$1+Table4[[#This Row],[Home Differential]])-Table4[[#This Row],[Away Differential]]</f>
        <v>-0.7665227600872504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0.62440892157548644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0.38988650134306196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-0.6396663932228257</v>
      </c>
      <c r="H504" t="s">
        <v>18</v>
      </c>
      <c r="I504">
        <f>VLOOKUP(Table4[[#This Row],[Visitor]],'NHL Model'!$A$6:$B$38,2,FALSE)</f>
        <v>-0.23645483545724041</v>
      </c>
      <c r="J504">
        <f>($B$1+Table4[[#This Row],[Home Differential]])-Table4[[#This Row],[Away Differential]]</f>
        <v>-0.30724156259492197</v>
      </c>
      <c r="K504" t="str">
        <f>IF(Table4[[#This Row],[HomeIce Differential]]&gt;0,Table4[[#This Row],[Home]],Table4[[#This Row],[Visitor]])</f>
        <v>Montreal Canadiens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0.52996697520433655</v>
      </c>
      <c r="M504" t="str">
        <f>IF(OR((NHL2025_26Results[[#This Row],[Winning Team]]="")),"-",IF(Table4[[#This Row],[Predicted Winner]]=NHL2025_26Results[[#This Row],[Winning Team]],"YES","NO"))</f>
        <v>NO</v>
      </c>
      <c r="N504">
        <f>IF(Table4[[#This Row],[Adjusted Correct]]="-", "",IF(Table4[[#This Row],[Adjusted Correct]]="YES",(Table4[[#This Row],[Strength of Win]]-1)^2,(Table4[[#This Row],[Strength of Win]]-0)^2))</f>
        <v>0.28086499480723387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-0.32182316569099201</v>
      </c>
      <c r="H505" t="s">
        <v>25</v>
      </c>
      <c r="I505">
        <f>VLOOKUP(Table4[[#This Row],[Visitor]],'NHL Model'!$A$6:$B$38,2,FALSE)</f>
        <v>0.29527586190964761</v>
      </c>
      <c r="J505">
        <f>($B$1+Table4[[#This Row],[Home Differential]])-Table4[[#This Row],[Away Differential]]</f>
        <v>-0.52112903242997644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0.57132625166263662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0.18376118251360515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3.24300967767114E-5</v>
      </c>
      <c r="H506" t="s">
        <v>33</v>
      </c>
      <c r="I506">
        <f>VLOOKUP(Table4[[#This Row],[Visitor]],'NHL Model'!$A$6:$B$38,2,FALSE)</f>
        <v>-0.53461960928306718</v>
      </c>
      <c r="J506">
        <f>($B$1+Table4[[#This Row],[Home Differential]])-Table4[[#This Row],[Away Differential]]</f>
        <v>0.63062203455050714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0.58220283735123979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0.33896014381983419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-0.32175529201986758</v>
      </c>
      <c r="H507" t="s">
        <v>17</v>
      </c>
      <c r="I507">
        <f>VLOOKUP(Table4[[#This Row],[Visitor]],'NHL Model'!$A$6:$B$38,2,FALSE)</f>
        <v>-0.20041140176017086</v>
      </c>
      <c r="J507">
        <f>($B$1+Table4[[#This Row],[Home Differential]])-Table4[[#This Row],[Away Differential]]</f>
        <v>-2.5373895089033482E-2</v>
      </c>
      <c r="K507" t="str">
        <f>IF(Table4[[#This Row],[HomeIce Differential]]&gt;0,Table4[[#This Row],[Home]],Table4[[#This Row],[Visitor]])</f>
        <v>Edmonton Oilers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0.45950345976656343</v>
      </c>
      <c r="M507" t="str">
        <f>IF(OR((NHL2025_26Results[[#This Row],[Winning Team]]="")),"-",IF(Table4[[#This Row],[Predicted Winner]]=NHL2025_26Results[[#This Row],[Winning Team]],"YES","NO"))</f>
        <v>YES</v>
      </c>
      <c r="N507">
        <f>IF(Table4[[#This Row],[Adjusted Correct]]="-", "",IF(Table4[[#This Row],[Adjusted Correct]]="YES",(Table4[[#This Row],[Strength of Win]]-1)^2,(Table4[[#This Row],[Strength of Win]]-0)^2))</f>
        <v>0.29213651000431484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-0.47391784202962389</v>
      </c>
      <c r="H508" t="s">
        <v>22</v>
      </c>
      <c r="I508">
        <f>VLOOKUP(Table4[[#This Row],[Visitor]],'NHL Model'!$A$6:$B$38,2,FALSE)</f>
        <v>-8.9159851516330005E-2</v>
      </c>
      <c r="J508">
        <f>($B$1+Table4[[#This Row],[Home Differential]])-Table4[[#This Row],[Away Differential]]</f>
        <v>-0.28878799534263067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0.4888375228246703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0.23896212372136005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0.29527586190964761</v>
      </c>
      <c r="H509" t="s">
        <v>27</v>
      </c>
      <c r="I509">
        <f>VLOOKUP(Table4[[#This Row],[Visitor]],'NHL Model'!$A$6:$B$38,2,FALSE)</f>
        <v>-0.32182316569099201</v>
      </c>
      <c r="J509">
        <f>($B$1+Table4[[#This Row],[Home Differential]])-Table4[[#This Row],[Away Differential]]</f>
        <v>0.7130690227713028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0.6437240666950661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0.1269325406523017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1.2879210938040288E-2</v>
      </c>
      <c r="H510" t="s">
        <v>21</v>
      </c>
      <c r="I510">
        <f>VLOOKUP(Table4[[#This Row],[Visitor]],'NHL Model'!$A$6:$B$38,2,FALSE)</f>
        <v>-5.5047914862176604E-2</v>
      </c>
      <c r="J510">
        <f>($B$1+Table4[[#This Row],[Home Differential]])-Table4[[#This Row],[Away Differential]]</f>
        <v>0.16389712097088013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0.5563662861445744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0.19681087206915765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-0.23645483545724041</v>
      </c>
      <c r="H511" t="s">
        <v>17</v>
      </c>
      <c r="I511">
        <f>VLOOKUP(Table4[[#This Row],[Visitor]],'NHL Model'!$A$6:$B$38,2,FALSE)</f>
        <v>-0.20041140176017086</v>
      </c>
      <c r="J511">
        <f>($B$1+Table4[[#This Row],[Home Differential]])-Table4[[#This Row],[Away Differential]]</f>
        <v>5.9926561473593709E-2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0.54367968112100029</v>
      </c>
      <c r="M511" t="str">
        <f>IF(OR((NHL2025_26Results[[#This Row],[Winning Team]]="")),"-",IF(Table4[[#This Row],[Predicted Winner]]=NHL2025_26Results[[#This Row],[Winning Team]],"YES","NO"))</f>
        <v>YES</v>
      </c>
      <c r="N511">
        <f>IF(Table4[[#This Row],[Adjusted Correct]]="-", "",IF(Table4[[#This Row],[Adjusted Correct]]="YES",(Table4[[#This Row],[Strength of Win]]-1)^2,(Table4[[#This Row],[Strength of Win]]-0)^2))</f>
        <v>0.20822823342183197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-0.52712015292731806</v>
      </c>
      <c r="H512" t="s">
        <v>38</v>
      </c>
      <c r="I512">
        <f>VLOOKUP(Table4[[#This Row],[Visitor]],'NHL Model'!$A$6:$B$38,2,FALSE)</f>
        <v>-1.2591310848703385</v>
      </c>
      <c r="J512">
        <f>($B$1+Table4[[#This Row],[Home Differential]])-Table4[[#This Row],[Away Differential]]</f>
        <v>0.82798092711368376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0.62267974870528775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0.38773006944768029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3.24300967767114E-5</v>
      </c>
      <c r="H513" t="s">
        <v>55</v>
      </c>
      <c r="I513">
        <f>VLOOKUP(Table4[[#This Row],[Visitor]],'NHL Model'!$A$6:$B$38,2,FALSE)</f>
        <v>0.12055191373383152</v>
      </c>
      <c r="J513">
        <f>($B$1+Table4[[#This Row],[Home Differential]])-Table4[[#This Row],[Away Differential]]</f>
        <v>-2.4549488466391559E-2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0.46245143996773003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0.28895845439276702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-0.57094405545214133</v>
      </c>
      <c r="H514" t="s">
        <v>23</v>
      </c>
      <c r="I514">
        <f>VLOOKUP(Table4[[#This Row],[Visitor]],'NHL Model'!$A$6:$B$38,2,FALSE)</f>
        <v>2.7346770720058793E-2</v>
      </c>
      <c r="J514">
        <f>($B$1+Table4[[#This Row],[Home Differential]])-Table4[[#This Row],[Away Differential]]</f>
        <v>-0.5023208310015369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0.53092951673308353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0.22002711827225857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0.21259592260910548</v>
      </c>
      <c r="H515" t="s">
        <v>13</v>
      </c>
      <c r="I515">
        <f>VLOOKUP(Table4[[#This Row],[Visitor]],'NHL Model'!$A$6:$B$38,2,FALSE)</f>
        <v>-0.43624947117902363</v>
      </c>
      <c r="J515">
        <f>($B$1+Table4[[#This Row],[Home Differential]])-Table4[[#This Row],[Away Differential]]</f>
        <v>0.74481538895879229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0.60307598815410191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0.15754867117984264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-0.6396663932228257</v>
      </c>
      <c r="H516" t="s">
        <v>31</v>
      </c>
      <c r="I516">
        <f>VLOOKUP(Table4[[#This Row],[Visitor]],'NHL Model'!$A$6:$B$38,2,FALSE)</f>
        <v>-0.38289376966531796</v>
      </c>
      <c r="J516">
        <f>($B$1+Table4[[#This Row],[Home Differential]])-Table4[[#This Row],[Away Differential]]</f>
        <v>-0.16080262838684445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0.47605727918458274</v>
      </c>
      <c r="M516" t="str">
        <f>IF(OR((NHL2025_26Results[[#This Row],[Winning Team]]="")),"-",IF(Table4[[#This Row],[Predicted Winner]]=NHL2025_26Results[[#This Row],[Winning Team]],"YES","NO"))</f>
        <v>YES</v>
      </c>
      <c r="N516">
        <f>IF(Table4[[#This Row],[Adjusted Correct]]="-", "",IF(Table4[[#This Row],[Adjusted Correct]]="YES",(Table4[[#This Row],[Strength of Win]]-1)^2,(Table4[[#This Row],[Strength of Win]]-0)^2))</f>
        <v>0.27451597469546229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-1.2663626722629573</v>
      </c>
      <c r="H517" t="s">
        <v>29</v>
      </c>
      <c r="I517">
        <f>VLOOKUP(Table4[[#This Row],[Visitor]],'NHL Model'!$A$6:$B$38,2,FALSE)</f>
        <v>-0.74313650334688619</v>
      </c>
      <c r="J517">
        <f>($B$1+Table4[[#This Row],[Home Differential]])-Table4[[#This Row],[Away Differential]]</f>
        <v>-0.42725617374540792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0.50266454929245352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0.24734255053047841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0.65340538721281671</v>
      </c>
      <c r="H518" t="s">
        <v>11</v>
      </c>
      <c r="I518">
        <f>VLOOKUP(Table4[[#This Row],[Visitor]],'NHL Model'!$A$6:$B$38,2,FALSE)</f>
        <v>-0.42375285621939396</v>
      </c>
      <c r="J518">
        <f>($B$1+Table4[[#This Row],[Home Differential]])-Table4[[#This Row],[Away Differential]]</f>
        <v>1.1731282386028741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0.62825625877155356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0.39470592668562926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-0.47391784202962389</v>
      </c>
      <c r="H519" t="s">
        <v>36</v>
      </c>
      <c r="I519">
        <f>VLOOKUP(Table4[[#This Row],[Visitor]],'NHL Model'!$A$6:$B$38,2,FALSE)</f>
        <v>-0.40390734274709933</v>
      </c>
      <c r="J519">
        <f>($B$1+Table4[[#This Row],[Home Differential]])-Table4[[#This Row],[Away Differential]]</f>
        <v>2.5959495888138673E-2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0.54176274608880759</v>
      </c>
      <c r="M519" t="str">
        <f>IF(OR((NHL2025_26Results[[#This Row],[Winning Team]]="")),"-",IF(Table4[[#This Row],[Predicted Winner]]=NHL2025_26Results[[#This Row],[Winning Team]],"YES","NO"))</f>
        <v>NO</v>
      </c>
      <c r="N519">
        <f>IF(Table4[[#This Row],[Adjusted Correct]]="-", "",IF(Table4[[#This Row],[Adjusted Correct]]="YES",(Table4[[#This Row],[Strength of Win]]-1)^2,(Table4[[#This Row],[Strength of Win]]-0)^2))</f>
        <v>0.29350687304968581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-5.5047914862176604E-2</v>
      </c>
      <c r="H520" t="s">
        <v>55</v>
      </c>
      <c r="I520">
        <f>VLOOKUP(Table4[[#This Row],[Visitor]],'NHL Model'!$A$6:$B$38,2,FALSE)</f>
        <v>0.12055191373383152</v>
      </c>
      <c r="J520">
        <f>($B$1+Table4[[#This Row],[Home Differential]])-Table4[[#This Row],[Away Differential]]</f>
        <v>-7.9629833425344881E-2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0.42505004737972968</v>
      </c>
      <c r="M520" t="str">
        <f>IF(OR((NHL2025_26Results[[#This Row],[Winning Team]]="")),"-",IF(Table4[[#This Row],[Predicted Winner]]=NHL2025_26Results[[#This Row],[Winning Team]],"YES","NO"))</f>
        <v>NO</v>
      </c>
      <c r="N520">
        <f>IF(Table4[[#This Row],[Adjusted Correct]]="-", "",IF(Table4[[#This Row],[Adjusted Correct]]="YES",(Table4[[#This Row],[Strength of Win]]-1)^2,(Table4[[#This Row],[Strength of Win]]-0)^2))</f>
        <v>0.18066754277751043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-0.42584667868780524</v>
      </c>
      <c r="H521" t="s">
        <v>31</v>
      </c>
      <c r="I521">
        <f>VLOOKUP(Table4[[#This Row],[Visitor]],'NHL Model'!$A$6:$B$38,2,FALSE)</f>
        <v>-0.38289376966531796</v>
      </c>
      <c r="J521">
        <f>($B$1+Table4[[#This Row],[Home Differential]])-Table4[[#This Row],[Away Differential]]</f>
        <v>5.3017086148175963E-2</v>
      </c>
      <c r="K521" t="str">
        <f>IF(Table4[[#This Row],[HomeIce Differential]]&gt;0,Table4[[#This Row],[Home]],Table4[[#This Row],[Visitor]])</f>
        <v>Columbus Blue Jackets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0.54529413083837375</v>
      </c>
      <c r="M521" t="str">
        <f>IF(OR((NHL2025_26Results[[#This Row],[Winning Team]]="")),"-",IF(Table4[[#This Row],[Predicted Winner]]=NHL2025_26Results[[#This Row],[Winning Team]],"YES","NO"))</f>
        <v>YES</v>
      </c>
      <c r="N521">
        <f>IF(Table4[[#This Row],[Adjusted Correct]]="-", "",IF(Table4[[#This Row],[Adjusted Correct]]="YES",(Table4[[#This Row],[Strength of Win]]-1)^2,(Table4[[#This Row],[Strength of Win]]-0)^2))</f>
        <v>0.20675742745002998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-0.17319925920548884</v>
      </c>
      <c r="H522" t="s">
        <v>30</v>
      </c>
      <c r="I522">
        <f>VLOOKUP(Table4[[#This Row],[Visitor]],'NHL Model'!$A$6:$B$38,2,FALSE)</f>
        <v>-0.20908736804509698</v>
      </c>
      <c r="J522">
        <f>($B$1+Table4[[#This Row],[Home Differential]])-Table4[[#This Row],[Away Differential]]</f>
        <v>0.13185810401027137</v>
      </c>
      <c r="K522" t="str">
        <f>IF(Table4[[#This Row],[HomeIce Differential]]&gt;0,Table4[[#This Row],[Home]],Table4[[#This Row],[Visitor]])</f>
        <v>Detroit Red Wings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0.58459553524056285</v>
      </c>
      <c r="M522" t="str">
        <f>IF(OR((NHL2025_26Results[[#This Row],[Winning Team]]="")),"-",IF(Table4[[#This Row],[Predicted Winner]]=NHL2025_26Results[[#This Row],[Winning Team]],"YES","NO"))</f>
        <v>YES</v>
      </c>
      <c r="N522">
        <f>IF(Table4[[#This Row],[Adjusted Correct]]="-", "",IF(Table4[[#This Row],[Adjusted Correct]]="YES",(Table4[[#This Row],[Strength of Win]]-1)^2,(Table4[[#This Row],[Strength of Win]]-0)^2))</f>
        <v>0.17256086934207446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1.2879210938040288E-2</v>
      </c>
      <c r="H523" t="s">
        <v>22</v>
      </c>
      <c r="I523">
        <f>VLOOKUP(Table4[[#This Row],[Visitor]],'NHL Model'!$A$6:$B$38,2,FALSE)</f>
        <v>-8.9159851516330005E-2</v>
      </c>
      <c r="J523">
        <f>($B$1+Table4[[#This Row],[Home Differential]])-Table4[[#This Row],[Away Differential]]</f>
        <v>0.19800905762503354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0.55977260416236718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0.19380016004598385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-0.23645483545724041</v>
      </c>
      <c r="H524" t="s">
        <v>27</v>
      </c>
      <c r="I524">
        <f>VLOOKUP(Table4[[#This Row],[Visitor]],'NHL Model'!$A$6:$B$38,2,FALSE)</f>
        <v>-0.32182316569099201</v>
      </c>
      <c r="J524">
        <f>($B$1+Table4[[#This Row],[Home Differential]])-Table4[[#This Row],[Away Differential]]</f>
        <v>0.18133832540441486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0.54751967840788018</v>
      </c>
      <c r="M524" t="str">
        <f>IF(OR((NHL2025_26Results[[#This Row],[Winning Team]]="")),"-",IF(Table4[[#This Row],[Predicted Winner]]=NHL2025_26Results[[#This Row],[Winning Team]],"YES","NO"))</f>
        <v>NO</v>
      </c>
      <c r="N524">
        <f>IF(Table4[[#This Row],[Adjusted Correct]]="-", "",IF(Table4[[#This Row],[Adjusted Correct]]="YES",(Table4[[#This Row],[Strength of Win]]-1)^2,(Table4[[#This Row],[Strength of Win]]-0)^2))</f>
        <v>0.29977779824386852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-0.6396663932228257</v>
      </c>
      <c r="H525" t="s">
        <v>38</v>
      </c>
      <c r="I525">
        <f>VLOOKUP(Table4[[#This Row],[Visitor]],'NHL Model'!$A$6:$B$38,2,FALSE)</f>
        <v>-1.2591310848703385</v>
      </c>
      <c r="J525">
        <f>($B$1+Table4[[#This Row],[Home Differential]])-Table4[[#This Row],[Away Differential]]</f>
        <v>0.71543468681817612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0.61144121100394788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0.37386035451397431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3.24300967767114E-5</v>
      </c>
      <c r="H526" t="s">
        <v>17</v>
      </c>
      <c r="I526">
        <f>VLOOKUP(Table4[[#This Row],[Visitor]],'NHL Model'!$A$6:$B$38,2,FALSE)</f>
        <v>-0.20041140176017086</v>
      </c>
      <c r="J526">
        <f>($B$1+Table4[[#This Row],[Home Differential]])-Table4[[#This Row],[Away Differential]]</f>
        <v>0.29641382702761082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0.56729460635383977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0.321823170398158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-0.57094405545214133</v>
      </c>
      <c r="H527" t="s">
        <v>12</v>
      </c>
      <c r="I527">
        <f>VLOOKUP(Table4[[#This Row],[Visitor]],'NHL Model'!$A$6:$B$38,2,FALSE)</f>
        <v>1.1751846443488465</v>
      </c>
      <c r="J527">
        <f>($B$1+Table4[[#This Row],[Home Differential]])-Table4[[#This Row],[Away Differential]]</f>
        <v>-1.6501587046303245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0.69468160160466341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9.3219324398693473E-2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-0.53461960928306718</v>
      </c>
      <c r="H528" t="s">
        <v>16</v>
      </c>
      <c r="I528">
        <f>VLOOKUP(Table4[[#This Row],[Visitor]],'NHL Model'!$A$6:$B$38,2,FALSE)</f>
        <v>-0.79148902514100783</v>
      </c>
      <c r="J528">
        <f>($B$1+Table4[[#This Row],[Home Differential]])-Table4[[#This Row],[Away Differential]]</f>
        <v>0.35283941102860389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0.57523350947087848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0.1804265714764263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-0.32175529201986758</v>
      </c>
      <c r="H529" t="s">
        <v>10</v>
      </c>
      <c r="I529">
        <f>VLOOKUP(Table4[[#This Row],[Visitor]],'NHL Model'!$A$6:$B$38,2,FALSE)</f>
        <v>-0.70456324341534593</v>
      </c>
      <c r="J529">
        <f>($B$1+Table4[[#This Row],[Home Differential]])-Table4[[#This Row],[Away Differential]]</f>
        <v>0.47877794656614159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0.59313996920476686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0.16553508465869807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-0.17319925920548884</v>
      </c>
      <c r="H530" t="s">
        <v>55</v>
      </c>
      <c r="I530">
        <f>VLOOKUP(Table4[[#This Row],[Visitor]],'NHL Model'!$A$6:$B$38,2,FALSE)</f>
        <v>0.12055191373383152</v>
      </c>
      <c r="J530">
        <f>($B$1+Table4[[#This Row],[Home Differential]])-Table4[[#This Row],[Away Differential]]</f>
        <v>-0.19778117776865711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0.42803387241642693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0.32714525110294812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-0.42375285621939396</v>
      </c>
      <c r="H531" t="s">
        <v>13</v>
      </c>
      <c r="I531">
        <f>VLOOKUP(Table4[[#This Row],[Visitor]],'NHL Model'!$A$6:$B$38,2,FALSE)</f>
        <v>-0.43624947117902363</v>
      </c>
      <c r="J531">
        <f>($B$1+Table4[[#This Row],[Home Differential]])-Table4[[#This Row],[Away Differential]]</f>
        <v>0.10846661013029291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0.52026512005391934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0.23014555503688042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-0.74313650334688619</v>
      </c>
      <c r="H532" t="s">
        <v>25</v>
      </c>
      <c r="I532">
        <f>VLOOKUP(Table4[[#This Row],[Visitor]],'NHL Model'!$A$6:$B$38,2,FALSE)</f>
        <v>0.29527586190964761</v>
      </c>
      <c r="J532">
        <f>($B$1+Table4[[#This Row],[Home Differential]])-Table4[[#This Row],[Away Differential]]</f>
        <v>-0.94244237008587051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0.61339736676066903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0.14946159602758466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-1.2663626722629573</v>
      </c>
      <c r="H533" t="s">
        <v>40</v>
      </c>
      <c r="I533">
        <f>VLOOKUP(Table4[[#This Row],[Visitor]],'NHL Model'!$A$6:$B$38,2,FALSE)</f>
        <v>-0.47391784202962389</v>
      </c>
      <c r="J533">
        <f>($B$1+Table4[[#This Row],[Home Differential]])-Table4[[#This Row],[Away Differential]]</f>
        <v>-0.69647483506267016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0.52954793577585857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0.28042101628447286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-4.774288798450349E-3</v>
      </c>
      <c r="H534" t="s">
        <v>24</v>
      </c>
      <c r="I534">
        <f>VLOOKUP(Table4[[#This Row],[Visitor]],'NHL Model'!$A$6:$B$38,2,FALSE)</f>
        <v>-0.52712015292731806</v>
      </c>
      <c r="J534">
        <f>($B$1+Table4[[#This Row],[Home Differential]])-Table4[[#This Row],[Away Differential]]</f>
        <v>0.61831585929953092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0.56373524139979914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0.31779742239608982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-5.5047914862176604E-2</v>
      </c>
      <c r="H535" t="s">
        <v>17</v>
      </c>
      <c r="I535">
        <f>VLOOKUP(Table4[[#This Row],[Visitor]],'NHL Model'!$A$6:$B$38,2,FALSE)</f>
        <v>-0.20041140176017086</v>
      </c>
      <c r="J535">
        <f>($B$1+Table4[[#This Row],[Home Differential]])-Table4[[#This Row],[Away Differential]]</f>
        <v>0.24133348206865751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0.60474401550084844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0.36571532428409043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2.7346770720058793E-2</v>
      </c>
      <c r="H536" t="s">
        <v>27</v>
      </c>
      <c r="I536">
        <f>VLOOKUP(Table4[[#This Row],[Visitor]],'NHL Model'!$A$6:$B$38,2,FALSE)</f>
        <v>-0.32182316569099201</v>
      </c>
      <c r="J536">
        <f>($B$1+Table4[[#This Row],[Home Differential]])-Table4[[#This Row],[Away Differential]]</f>
        <v>0.44513993158171405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0.61587894036419766</v>
      </c>
      <c r="M536" t="str">
        <f>IF(OR((NHL2025_26Results[[#This Row],[Winning Team]]="")),"-",IF(Table4[[#This Row],[Predicted Winner]]=NHL2025_26Results[[#This Row],[Winning Team]],"YES","NO"))</f>
        <v>YES</v>
      </c>
      <c r="N536">
        <f>IF(Table4[[#This Row],[Adjusted Correct]]="-", "",IF(Table4[[#This Row],[Adjusted Correct]]="YES",(Table4[[#This Row],[Strength of Win]]-1)^2,(Table4[[#This Row],[Strength of Win]]-0)^2))</f>
        <v>0.14754898845573161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-0.42584667868780524</v>
      </c>
      <c r="H537" t="s">
        <v>34</v>
      </c>
      <c r="I537">
        <f>VLOOKUP(Table4[[#This Row],[Visitor]],'NHL Model'!$A$6:$B$38,2,FALSE)</f>
        <v>1.2879210938040288E-2</v>
      </c>
      <c r="J537">
        <f>($B$1+Table4[[#This Row],[Home Differential]])-Table4[[#This Row],[Away Differential]]</f>
        <v>-0.34275589445518229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0.55075552467882427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0.20182059860659846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-0.79148902514100783</v>
      </c>
      <c r="H538" t="s">
        <v>32</v>
      </c>
      <c r="I538">
        <f>VLOOKUP(Table4[[#This Row],[Visitor]],'NHL Model'!$A$6:$B$38,2,FALSE)</f>
        <v>-0.57094405545214133</v>
      </c>
      <c r="J538">
        <f>($B$1+Table4[[#This Row],[Home Differential]])-Table4[[#This Row],[Away Differential]]</f>
        <v>-0.12457497451820321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0.47243969184657136</v>
      </c>
      <c r="M538" t="str">
        <f>IF(OR((NHL2025_26Results[[#This Row],[Winning Team]]="")),"-",IF(Table4[[#This Row],[Predicted Winner]]=NHL2025_26Results[[#This Row],[Winning Team]],"YES","NO"))</f>
        <v>NO</v>
      </c>
      <c r="N538">
        <f>IF(Table4[[#This Row],[Adjusted Correct]]="-", "",IF(Table4[[#This Row],[Adjusted Correct]]="YES",(Table4[[#This Row],[Strength of Win]]-1)^2,(Table4[[#This Row],[Strength of Win]]-0)^2))</f>
        <v>0.2231992624320833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-0.23645483545724041</v>
      </c>
      <c r="H539" t="s">
        <v>10</v>
      </c>
      <c r="I539">
        <f>VLOOKUP(Table4[[#This Row],[Visitor]],'NHL Model'!$A$6:$B$38,2,FALSE)</f>
        <v>-0.70456324341534593</v>
      </c>
      <c r="J539">
        <f>($B$1+Table4[[#This Row],[Home Differential]])-Table4[[#This Row],[Away Differential]]</f>
        <v>0.56407840312876878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0.59632721611516437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0.16295171644933321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-0.40390734274709933</v>
      </c>
      <c r="H540" t="s">
        <v>14</v>
      </c>
      <c r="I540">
        <f>VLOOKUP(Table4[[#This Row],[Visitor]],'NHL Model'!$A$6:$B$38,2,FALSE)</f>
        <v>3.24300967767114E-5</v>
      </c>
      <c r="J540">
        <f>($B$1+Table4[[#This Row],[Home Differential]])-Table4[[#This Row],[Away Differential]]</f>
        <v>-0.30796977767321282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0.53984386848045374</v>
      </c>
      <c r="M540" t="str">
        <f>IF(OR((NHL2025_26Results[[#This Row],[Winning Team]]="")),"-",IF(Table4[[#This Row],[Predicted Winner]]=NHL2025_26Results[[#This Row],[Winning Team]],"YES","NO"))</f>
        <v>NO</v>
      </c>
      <c r="N540">
        <f>IF(Table4[[#This Row],[Adjusted Correct]]="-", "",IF(Table4[[#This Row],[Adjusted Correct]]="YES",(Table4[[#This Row],[Strength of Win]]-1)^2,(Table4[[#This Row],[Strength of Win]]-0)^2))</f>
        <v>0.29143140233594145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-0.53461960928306718</v>
      </c>
      <c r="H541" t="s">
        <v>39</v>
      </c>
      <c r="I541">
        <f>VLOOKUP(Table4[[#This Row],[Visitor]],'NHL Model'!$A$6:$B$38,2,FALSE)</f>
        <v>0.21259592260910548</v>
      </c>
      <c r="J541">
        <f>($B$1+Table4[[#This Row],[Home Differential]])-Table4[[#This Row],[Away Differential]]</f>
        <v>-0.65124553672150942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0.56303943873065476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0.19093453210482123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-1.2663626722629573</v>
      </c>
      <c r="H542" t="s">
        <v>15</v>
      </c>
      <c r="I542">
        <f>VLOOKUP(Table4[[#This Row],[Visitor]],'NHL Model'!$A$6:$B$38,2,FALSE)</f>
        <v>-0.6396663932228257</v>
      </c>
      <c r="J542">
        <f>($B$1+Table4[[#This Row],[Home Differential]])-Table4[[#This Row],[Away Differential]]</f>
        <v>-0.53072628386946841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0.56504496400660575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0.18918588333601488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0.65340538721281671</v>
      </c>
      <c r="H543" t="s">
        <v>13</v>
      </c>
      <c r="I543">
        <f>VLOOKUP(Table4[[#This Row],[Visitor]],'NHL Model'!$A$6:$B$38,2,FALSE)</f>
        <v>-0.43624947117902363</v>
      </c>
      <c r="J543">
        <f>($B$1+Table4[[#This Row],[Home Differential]])-Table4[[#This Row],[Away Differential]]</f>
        <v>1.1856248535625036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0.65030791662180376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0.42290038642099087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-8.9159851516330005E-2</v>
      </c>
      <c r="H544" t="s">
        <v>19</v>
      </c>
      <c r="I544">
        <f>VLOOKUP(Table4[[#This Row],[Visitor]],'NHL Model'!$A$6:$B$38,2,FALSE)</f>
        <v>-0.32175529201986758</v>
      </c>
      <c r="J544">
        <f>($B$1+Table4[[#This Row],[Home Differential]])-Table4[[#This Row],[Away Differential]]</f>
        <v>0.32856543567420082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0.57280958143502791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0.18249165371371603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-0.38289376966531796</v>
      </c>
      <c r="H545" t="s">
        <v>39</v>
      </c>
      <c r="I545">
        <f>VLOOKUP(Table4[[#This Row],[Visitor]],'NHL Model'!$A$6:$B$38,2,FALSE)</f>
        <v>0.21259592260910548</v>
      </c>
      <c r="J545">
        <f>($B$1+Table4[[#This Row],[Home Differential]])-Table4[[#This Row],[Away Differential]]</f>
        <v>-0.49951969710376021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0.51141903448094639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0.23871135986753064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1.1751846443488465</v>
      </c>
      <c r="H546" t="s">
        <v>40</v>
      </c>
      <c r="I546">
        <f>VLOOKUP(Table4[[#This Row],[Visitor]],'NHL Model'!$A$6:$B$38,2,FALSE)</f>
        <v>-0.47391784202962389</v>
      </c>
      <c r="J546">
        <f>($B$1+Table4[[#This Row],[Home Differential]])-Table4[[#This Row],[Away Differential]]</f>
        <v>1.7450724815491336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0.80004005127102595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3.9983981095693927E-2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-0.42375285621939396</v>
      </c>
      <c r="H547" t="s">
        <v>25</v>
      </c>
      <c r="I547">
        <f>VLOOKUP(Table4[[#This Row],[Visitor]],'NHL Model'!$A$6:$B$38,2,FALSE)</f>
        <v>0.29527586190964761</v>
      </c>
      <c r="J547">
        <f>($B$1+Table4[[#This Row],[Home Differential]])-Table4[[#This Row],[Away Differential]]</f>
        <v>-0.62305872295837839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0.58150465181959932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0.33814766008783342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-0.20908736804509698</v>
      </c>
      <c r="H548" t="s">
        <v>38</v>
      </c>
      <c r="I548">
        <f>VLOOKUP(Table4[[#This Row],[Visitor]],'NHL Model'!$A$6:$B$38,2,FALSE)</f>
        <v>-1.2591310848703385</v>
      </c>
      <c r="J548">
        <f>($B$1+Table4[[#This Row],[Home Differential]])-Table4[[#This Row],[Away Differential]]</f>
        <v>1.1460137119959048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0.66345717834483764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0.44017542749729371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0.12055191373383152</v>
      </c>
      <c r="H549" t="s">
        <v>24</v>
      </c>
      <c r="I549">
        <f>VLOOKUP(Table4[[#This Row],[Visitor]],'NHL Model'!$A$6:$B$38,2,FALSE)</f>
        <v>-0.52712015292731806</v>
      </c>
      <c r="J549">
        <f>($B$1+Table4[[#This Row],[Home Differential]])-Table4[[#This Row],[Away Differential]]</f>
        <v>0.74364206183181281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0.61271945526315874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0.37542513085798196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-0.38289376966531796</v>
      </c>
      <c r="H550" t="s">
        <v>28</v>
      </c>
      <c r="I550">
        <f>VLOOKUP(Table4[[#This Row],[Visitor]],'NHL Model'!$A$6:$B$38,2,FALSE)</f>
        <v>-0.42584667868780524</v>
      </c>
      <c r="J550">
        <f>($B$1+Table4[[#This Row],[Home Differential]])-Table4[[#This Row],[Away Differential]]</f>
        <v>0.13892290419315051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0.58990930041193024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0.16817438188863248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-5.5047914862176604E-2</v>
      </c>
      <c r="H551" t="s">
        <v>38</v>
      </c>
      <c r="I551">
        <f>VLOOKUP(Table4[[#This Row],[Visitor]],'NHL Model'!$A$6:$B$38,2,FALSE)</f>
        <v>-1.2591310848703385</v>
      </c>
      <c r="J551">
        <f>($B$1+Table4[[#This Row],[Home Differential]])-Table4[[#This Row],[Away Differential]]</f>
        <v>1.3000531651788252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0.7127210532363214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0.50797129972629129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2.7346770720058793E-2</v>
      </c>
      <c r="H552" t="s">
        <v>30</v>
      </c>
      <c r="I552">
        <f>VLOOKUP(Table4[[#This Row],[Visitor]],'NHL Model'!$A$6:$B$38,2,FALSE)</f>
        <v>-0.20908736804509698</v>
      </c>
      <c r="J552">
        <f>($B$1+Table4[[#This Row],[Home Differential]])-Table4[[#This Row],[Away Differential]]</f>
        <v>0.33240413393581902</v>
      </c>
      <c r="K552" t="str">
        <f>IF(Table4[[#This Row],[HomeIce Differential]]&gt;0,Table4[[#This Row],[Home]],Table4[[#This Row],[Visitor]])</f>
        <v>Buffalo Sabres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0.59459641136476793</v>
      </c>
      <c r="M552" t="str">
        <f>IF(OR((NHL2025_26Results[[#This Row],[Winning Team]]="")),"-",IF(Table4[[#This Row],[Predicted Winner]]=NHL2025_26Results[[#This Row],[Winning Team]],"YES","NO"))</f>
        <v>YES</v>
      </c>
      <c r="N552">
        <f>IF(Table4[[#This Row],[Adjusted Correct]]="-", "",IF(Table4[[#This Row],[Adjusted Correct]]="YES",(Table4[[#This Row],[Strength of Win]]-1)^2,(Table4[[#This Row],[Strength of Win]]-0)^2))</f>
        <v>0.16435206967832447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-0.79148902514100783</v>
      </c>
      <c r="H553" t="s">
        <v>20</v>
      </c>
      <c r="I553">
        <f>VLOOKUP(Table4[[#This Row],[Visitor]],'NHL Model'!$A$6:$B$38,2,FALSE)</f>
        <v>-4.774288798450349E-3</v>
      </c>
      <c r="J553">
        <f>($B$1+Table4[[#This Row],[Home Differential]])-Table4[[#This Row],[Away Differential]]</f>
        <v>-0.69074474117189422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0.55954178312974001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0.31308700706800902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-0.42375285621939396</v>
      </c>
      <c r="H554" t="s">
        <v>35</v>
      </c>
      <c r="I554">
        <f>VLOOKUP(Table4[[#This Row],[Visitor]],'NHL Model'!$A$6:$B$38,2,FALSE)</f>
        <v>-1.2663626722629573</v>
      </c>
      <c r="J554">
        <f>($B$1+Table4[[#This Row],[Home Differential]])-Table4[[#This Row],[Away Differential]]</f>
        <v>0.93857981121422651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0.63372382912438008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0.40160589160006649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1.2879210938040288E-2</v>
      </c>
      <c r="H555" t="s">
        <v>17</v>
      </c>
      <c r="I555">
        <f>VLOOKUP(Table4[[#This Row],[Visitor]],'NHL Model'!$A$6:$B$38,2,FALSE)</f>
        <v>-0.20041140176017086</v>
      </c>
      <c r="J555">
        <f>($B$1+Table4[[#This Row],[Home Differential]])-Table4[[#This Row],[Away Differential]]</f>
        <v>0.30926060786887438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0.56857744823684098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0.18612541816983563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-0.23645483545724041</v>
      </c>
      <c r="H556" t="s">
        <v>14</v>
      </c>
      <c r="I556">
        <f>VLOOKUP(Table4[[#This Row],[Visitor]],'NHL Model'!$A$6:$B$38,2,FALSE)</f>
        <v>3.24300967767114E-5</v>
      </c>
      <c r="J556">
        <f>($B$1+Table4[[#This Row],[Home Differential]])-Table4[[#This Row],[Away Differential]]</f>
        <v>-0.14051727038335385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0.52312255187832024</v>
      </c>
      <c r="M556" t="str">
        <f>IF(OR((NHL2025_26Results[[#This Row],[Winning Team]]="")),"-",IF(Table4[[#This Row],[Predicted Winner]]=NHL2025_26Results[[#This Row],[Winning Team]],"YES","NO"))</f>
        <v>NO</v>
      </c>
      <c r="N556">
        <f>IF(Table4[[#This Row],[Adjusted Correct]]="-", "",IF(Table4[[#This Row],[Adjusted Correct]]="YES",(Table4[[#This Row],[Strength of Win]]-1)^2,(Table4[[#This Row],[Strength of Win]]-0)^2))</f>
        <v>0.27365720428368584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-0.74313650334688619</v>
      </c>
      <c r="H557" t="s">
        <v>19</v>
      </c>
      <c r="I557">
        <f>VLOOKUP(Table4[[#This Row],[Visitor]],'NHL Model'!$A$6:$B$38,2,FALSE)</f>
        <v>-0.32175529201986758</v>
      </c>
      <c r="J557">
        <f>($B$1+Table4[[#This Row],[Home Differential]])-Table4[[#This Row],[Away Differential]]</f>
        <v>-0.32541121615635532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0.49249461031847591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0.24255094119274745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-0.6396663932228257</v>
      </c>
      <c r="H558" t="s">
        <v>27</v>
      </c>
      <c r="I558">
        <f>VLOOKUP(Table4[[#This Row],[Visitor]],'NHL Model'!$A$6:$B$38,2,FALSE)</f>
        <v>-0.32182316569099201</v>
      </c>
      <c r="J558">
        <f>($B$1+Table4[[#This Row],[Home Differential]])-Table4[[#This Row],[Away Differential]]</f>
        <v>-0.2218732323611704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0.49274384600365362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0.24279649777447232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-0.40390734274709933</v>
      </c>
      <c r="H559" t="s">
        <v>10</v>
      </c>
      <c r="I559">
        <f>VLOOKUP(Table4[[#This Row],[Visitor]],'NHL Model'!$A$6:$B$38,2,FALSE)</f>
        <v>-0.70456324341534593</v>
      </c>
      <c r="J559">
        <f>($B$1+Table4[[#This Row],[Home Differential]])-Table4[[#This Row],[Away Differential]]</f>
        <v>0.39662589583890984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0.57960589951303088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0.17673119972424789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-0.53461960928306718</v>
      </c>
      <c r="H560" t="s">
        <v>32</v>
      </c>
      <c r="I560">
        <f>VLOOKUP(Table4[[#This Row],[Visitor]],'NHL Model'!$A$6:$B$38,2,FALSE)</f>
        <v>-0.57094405545214133</v>
      </c>
      <c r="J560">
        <f>($B$1+Table4[[#This Row],[Home Differential]])-Table4[[#This Row],[Away Differential]]</f>
        <v>0.13229444133973739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0.55321053517887875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0.30604189623290146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0.65340538721281671</v>
      </c>
      <c r="H561" t="s">
        <v>25</v>
      </c>
      <c r="I561">
        <f>VLOOKUP(Table4[[#This Row],[Visitor]],'NHL Model'!$A$6:$B$38,2,FALSE)</f>
        <v>0.29527586190964761</v>
      </c>
      <c r="J561">
        <f>($B$1+Table4[[#This Row],[Home Differential]])-Table4[[#This Row],[Away Differential]]</f>
        <v>0.4540995204738324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0.54857085367492064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0.20378827415178991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-8.9159851516330005E-2</v>
      </c>
      <c r="H562" t="s">
        <v>26</v>
      </c>
      <c r="I562">
        <f>VLOOKUP(Table4[[#This Row],[Visitor]],'NHL Model'!$A$6:$B$38,2,FALSE)</f>
        <v>-0.17319925920548884</v>
      </c>
      <c r="J562">
        <f>($B$1+Table4[[#This Row],[Home Differential]])-Table4[[#This Row],[Away Differential]]</f>
        <v>0.18000940285982209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0.51868847815331776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0.26903773736900477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-5.5047914862176604E-2</v>
      </c>
      <c r="H563" t="s">
        <v>36</v>
      </c>
      <c r="I563">
        <f>VLOOKUP(Table4[[#This Row],[Visitor]],'NHL Model'!$A$6:$B$38,2,FALSE)</f>
        <v>-0.40390734274709933</v>
      </c>
      <c r="J563">
        <f>($B$1+Table4[[#This Row],[Home Differential]])-Table4[[#This Row],[Away Differential]]</f>
        <v>0.44482942305558598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0.62650891470306258</v>
      </c>
      <c r="M563" t="str">
        <f>IF(OR((NHL2025_26Results[[#This Row],[Winning Team]]="")),"-",IF(Table4[[#This Row],[Predicted Winner]]=NHL2025_26Results[[#This Row],[Winning Team]],"YES","NO"))</f>
        <v>NO</v>
      </c>
      <c r="N563">
        <f>IF(Table4[[#This Row],[Adjusted Correct]]="-", "",IF(Table4[[#This Row],[Adjusted Correct]]="YES",(Table4[[#This Row],[Strength of Win]]-1)^2,(Table4[[#This Row],[Strength of Win]]-0)^2))</f>
        <v>0.39251342020240937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0.21259592260910548</v>
      </c>
      <c r="H564" t="s">
        <v>19</v>
      </c>
      <c r="I564">
        <f>VLOOKUP(Table4[[#This Row],[Visitor]],'NHL Model'!$A$6:$B$38,2,FALSE)</f>
        <v>-0.32175529201986758</v>
      </c>
      <c r="J564">
        <f>($B$1+Table4[[#This Row],[Home Differential]])-Table4[[#This Row],[Away Differential]]</f>
        <v>0.63032120979963624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0.62204745995242061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0.14284812252841711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-0.17319925920548884</v>
      </c>
      <c r="H565" t="s">
        <v>22</v>
      </c>
      <c r="I565">
        <f>VLOOKUP(Table4[[#This Row],[Visitor]],'NHL Model'!$A$6:$B$38,2,FALSE)</f>
        <v>-8.9159851516330005E-2</v>
      </c>
      <c r="J565">
        <f>($B$1+Table4[[#This Row],[Home Differential]])-Table4[[#This Row],[Away Differential]]</f>
        <v>1.1930587481504412E-2</v>
      </c>
      <c r="K565" t="str">
        <f>IF(Table4[[#This Row],[HomeIce Differential]]&gt;0,Table4[[#This Row],[Home]],Table4[[#This Row],[Visitor]])</f>
        <v>Detroit Red Wings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0.59290732983066896</v>
      </c>
      <c r="M565" t="str">
        <f>IF(OR((NHL2025_26Results[[#This Row],[Winning Team]]="")),"-",IF(Table4[[#This Row],[Predicted Winner]]=NHL2025_26Results[[#This Row],[Winning Team]],"YES","NO"))</f>
        <v>YES</v>
      </c>
      <c r="N565">
        <f>IF(Table4[[#This Row],[Adjusted Correct]]="-", "",IF(Table4[[#This Row],[Adjusted Correct]]="YES",(Table4[[#This Row],[Strength of Win]]-1)^2,(Table4[[#This Row],[Strength of Win]]-0)^2))</f>
        <v>0.16572444210559575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-0.20041140176017086</v>
      </c>
      <c r="H566" t="s">
        <v>20</v>
      </c>
      <c r="I566">
        <f>VLOOKUP(Table4[[#This Row],[Visitor]],'NHL Model'!$A$6:$B$38,2,FALSE)</f>
        <v>-4.774288798450349E-3</v>
      </c>
      <c r="J566">
        <f>($B$1+Table4[[#This Row],[Home Differential]])-Table4[[#This Row],[Away Differential]]</f>
        <v>-9.9667117791057261E-2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0.50051850401049003</v>
      </c>
      <c r="M566" t="str">
        <f>IF(OR((NHL2025_26Results[[#This Row],[Winning Team]]="")),"-",IF(Table4[[#This Row],[Predicted Winner]]=NHL2025_26Results[[#This Row],[Winning Team]],"YES","NO"))</f>
        <v>NO</v>
      </c>
      <c r="N566">
        <f>IF(Table4[[#This Row],[Adjusted Correct]]="-", "",IF(Table4[[#This Row],[Adjusted Correct]]="YES",(Table4[[#This Row],[Strength of Win]]-1)^2,(Table4[[#This Row],[Strength of Win]]-0)^2))</f>
        <v>0.25051877285689894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1.2879210938040288E-2</v>
      </c>
      <c r="H567" t="s">
        <v>12</v>
      </c>
      <c r="I567">
        <f>VLOOKUP(Table4[[#This Row],[Visitor]],'NHL Model'!$A$6:$B$38,2,FALSE)</f>
        <v>1.1751846443488465</v>
      </c>
      <c r="J567">
        <f>($B$1+Table4[[#This Row],[Home Differential]])-Table4[[#This Row],[Away Differential]]</f>
        <v>-1.0663354382401429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0.63638272131316986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0.1322175253596159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-0.52712015292731806</v>
      </c>
      <c r="H568" t="s">
        <v>23</v>
      </c>
      <c r="I568">
        <f>VLOOKUP(Table4[[#This Row],[Visitor]],'NHL Model'!$A$6:$B$38,2,FALSE)</f>
        <v>2.7346770720058793E-2</v>
      </c>
      <c r="J568">
        <f>($B$1+Table4[[#This Row],[Home Differential]])-Table4[[#This Row],[Away Differential]]</f>
        <v>-0.45849692847671364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0.5265533902676246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0.22415169226708018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-0.74313650334688619</v>
      </c>
      <c r="H569" t="s">
        <v>15</v>
      </c>
      <c r="I569">
        <f>VLOOKUP(Table4[[#This Row],[Visitor]],'NHL Model'!$A$6:$B$38,2,FALSE)</f>
        <v>-0.6396663932228257</v>
      </c>
      <c r="J569">
        <f>($B$1+Table4[[#This Row],[Home Differential]])-Table4[[#This Row],[Away Differential]]</f>
        <v>-7.5001149533971967E-3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0.51279713226872381</v>
      </c>
      <c r="M569" t="str">
        <f>IF(OR((NHL2025_26Results[[#This Row],[Winning Team]]="")),"-",IF(Table4[[#This Row],[Predicted Winner]]=NHL2025_26Results[[#This Row],[Winning Team]],"YES","NO"))</f>
        <v>NO</v>
      </c>
      <c r="N569">
        <f>IF(Table4[[#This Row],[Adjusted Correct]]="-", "",IF(Table4[[#This Row],[Adjusted Correct]]="YES",(Table4[[#This Row],[Strength of Win]]-1)^2,(Table4[[#This Row],[Strength of Win]]-0)^2))</f>
        <v>0.26296089886302704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3.24300967767114E-5</v>
      </c>
      <c r="H570" t="s">
        <v>18</v>
      </c>
      <c r="I570">
        <f>VLOOKUP(Table4[[#This Row],[Visitor]],'NHL Model'!$A$6:$B$38,2,FALSE)</f>
        <v>-0.23645483545724041</v>
      </c>
      <c r="J570">
        <f>($B$1+Table4[[#This Row],[Home Differential]])-Table4[[#This Row],[Away Differential]]</f>
        <v>0.3324572607246804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0.53391147444003695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0.21723851365866034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0.12055191373383152</v>
      </c>
      <c r="H571" t="s">
        <v>40</v>
      </c>
      <c r="I571">
        <f>VLOOKUP(Table4[[#This Row],[Visitor]],'NHL Model'!$A$6:$B$38,2,FALSE)</f>
        <v>-0.47391784202962389</v>
      </c>
      <c r="J571">
        <f>($B$1+Table4[[#This Row],[Home Differential]])-Table4[[#This Row],[Away Differential]]</f>
        <v>0.69043975093411869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0.64498215632207012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0.12603766932972704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-0.38289376966531796</v>
      </c>
      <c r="H572" t="s">
        <v>32</v>
      </c>
      <c r="I572">
        <f>VLOOKUP(Table4[[#This Row],[Visitor]],'NHL Model'!$A$6:$B$38,2,FALSE)</f>
        <v>-0.57094405545214133</v>
      </c>
      <c r="J572">
        <f>($B$1+Table4[[#This Row],[Home Differential]])-Table4[[#This Row],[Away Differential]]</f>
        <v>0.2840202809574866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0.60439829919900567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0.36529730407465077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-0.43624947117902363</v>
      </c>
      <c r="H573" t="s">
        <v>28</v>
      </c>
      <c r="I573">
        <f>VLOOKUP(Table4[[#This Row],[Visitor]],'NHL Model'!$A$6:$B$38,2,FALSE)</f>
        <v>-0.42584667868780524</v>
      </c>
      <c r="J573">
        <f>($B$1+Table4[[#This Row],[Home Differential]])-Table4[[#This Row],[Away Differential]]</f>
        <v>8.5567202679444843E-2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0.54854449007613382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0.30090105759288566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-0.32182316569099201</v>
      </c>
      <c r="H574" t="s">
        <v>38</v>
      </c>
      <c r="I574">
        <f>VLOOKUP(Table4[[#This Row],[Visitor]],'NHL Model'!$A$6:$B$38,2,FALSE)</f>
        <v>-1.2591310848703385</v>
      </c>
      <c r="J574">
        <f>($B$1+Table4[[#This Row],[Home Differential]])-Table4[[#This Row],[Away Differential]]</f>
        <v>1.0332779143500097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0.64318010415891225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0.12732043806804472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0.65340538721281671</v>
      </c>
      <c r="H575" t="s">
        <v>35</v>
      </c>
      <c r="I575">
        <f>VLOOKUP(Table4[[#This Row],[Visitor]],'NHL Model'!$A$6:$B$38,2,FALSE)</f>
        <v>-1.2663626722629573</v>
      </c>
      <c r="J575">
        <f>($B$1+Table4[[#This Row],[Home Differential]])-Table4[[#This Row],[Away Differential]]</f>
        <v>2.0157380546464374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0.76356943136361544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5.5899413785724154E-2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-5.5047914862176604E-2</v>
      </c>
      <c r="H576" t="s">
        <v>18</v>
      </c>
      <c r="I576">
        <f>VLOOKUP(Table4[[#This Row],[Visitor]],'NHL Model'!$A$6:$B$38,2,FALSE)</f>
        <v>-0.23645483545724041</v>
      </c>
      <c r="J576">
        <f>($B$1+Table4[[#This Row],[Home Differential]])-Table4[[#This Row],[Away Differential]]</f>
        <v>0.27737691576572704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0.57188409237375115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0.32705141511014912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0.29527586190964761</v>
      </c>
      <c r="H577" t="s">
        <v>11</v>
      </c>
      <c r="I577">
        <f>VLOOKUP(Table4[[#This Row],[Visitor]],'NHL Model'!$A$6:$B$38,2,FALSE)</f>
        <v>-0.42375285621939396</v>
      </c>
      <c r="J577">
        <f>($B$1+Table4[[#This Row],[Home Differential]])-Table4[[#This Row],[Away Differential]]</f>
        <v>0.81499871329970475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0.613517058975108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0.37640318165346615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-0.70456324341534593</v>
      </c>
      <c r="H578" t="s">
        <v>27</v>
      </c>
      <c r="I578">
        <f>VLOOKUP(Table4[[#This Row],[Visitor]],'NHL Model'!$A$6:$B$38,2,FALSE)</f>
        <v>-0.32182316569099201</v>
      </c>
      <c r="J578">
        <f>($B$1+Table4[[#This Row],[Home Differential]])-Table4[[#This Row],[Away Differential]]</f>
        <v>-0.28677008255369063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0.49922425526185576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0.25077634651804298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1.1751846443488465</v>
      </c>
      <c r="H579" t="s">
        <v>55</v>
      </c>
      <c r="I579">
        <f>VLOOKUP(Table4[[#This Row],[Visitor]],'NHL Model'!$A$6:$B$38,2,FALSE)</f>
        <v>0.12055191373383152</v>
      </c>
      <c r="J579">
        <f>($B$1+Table4[[#This Row],[Home Differential]])-Table4[[#This Row],[Away Differential]]</f>
        <v>1.1506027257856781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0.74067804375383139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6.7247876991339786E-2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-0.17319925920548884</v>
      </c>
      <c r="H580" t="s">
        <v>39</v>
      </c>
      <c r="I580">
        <f>VLOOKUP(Table4[[#This Row],[Visitor]],'NHL Model'!$A$6:$B$38,2,FALSE)</f>
        <v>0.21259592260910548</v>
      </c>
      <c r="J580">
        <f>($B$1+Table4[[#This Row],[Home Differential]])-Table4[[#This Row],[Away Differential]]</f>
        <v>-0.28982518664393109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0.47448564816362609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0.22513663031325637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-0.20041140176017086</v>
      </c>
      <c r="H581" t="s">
        <v>16</v>
      </c>
      <c r="I581">
        <f>VLOOKUP(Table4[[#This Row],[Visitor]],'NHL Model'!$A$6:$B$38,2,FALSE)</f>
        <v>-0.79148902514100783</v>
      </c>
      <c r="J581">
        <f>($B$1+Table4[[#This Row],[Home Differential]])-Table4[[#This Row],[Away Differential]]</f>
        <v>0.68704761855150021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0.60860656156467841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0.15318882365022388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-0.43624947117902363</v>
      </c>
      <c r="H582" t="s">
        <v>32</v>
      </c>
      <c r="I582">
        <f>VLOOKUP(Table4[[#This Row],[Visitor]],'NHL Model'!$A$6:$B$38,2,FALSE)</f>
        <v>-0.57094405545214133</v>
      </c>
      <c r="J582">
        <f>($B$1+Table4[[#This Row],[Home Differential]])-Table4[[#This Row],[Away Differential]]</f>
        <v>0.23066457944378094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0.56303348886320925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0.31700670958147759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1.2879210938040288E-2</v>
      </c>
      <c r="H583" t="s">
        <v>29</v>
      </c>
      <c r="I583">
        <f>VLOOKUP(Table4[[#This Row],[Visitor]],'NHL Model'!$A$6:$B$38,2,FALSE)</f>
        <v>-0.74313650334688619</v>
      </c>
      <c r="J583">
        <f>($B$1+Table4[[#This Row],[Home Differential]])-Table4[[#This Row],[Away Differential]]</f>
        <v>0.85198570945558971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0.62507679591587095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0.39072100079245137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-0.20908736804509698</v>
      </c>
      <c r="H584" t="s">
        <v>24</v>
      </c>
      <c r="I584">
        <f>VLOOKUP(Table4[[#This Row],[Visitor]],'NHL Model'!$A$6:$B$38,2,FALSE)</f>
        <v>-0.52712015292731806</v>
      </c>
      <c r="J584">
        <f>($B$1+Table4[[#This Row],[Home Differential]])-Table4[[#This Row],[Away Differential]]</f>
        <v>0.41400278005288432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0.55242324244262331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0.20032495390557475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-0.40390734274709933</v>
      </c>
      <c r="H585" t="s">
        <v>23</v>
      </c>
      <c r="I585">
        <f>VLOOKUP(Table4[[#This Row],[Visitor]],'NHL Model'!$A$6:$B$38,2,FALSE)</f>
        <v>2.7346770720058793E-2</v>
      </c>
      <c r="J585">
        <f>($B$1+Table4[[#This Row],[Home Differential]])-Table4[[#This Row],[Away Differential]]</f>
        <v>-0.3352841182964949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0.51424972015956416</v>
      </c>
      <c r="M585" t="str">
        <f>IF(OR((NHL2025_26Results[[#This Row],[Winning Team]]="")),"-",IF(Table4[[#This Row],[Predicted Winner]]=NHL2025_26Results[[#This Row],[Winning Team]],"YES","NO"))</f>
        <v>YES</v>
      </c>
      <c r="N585">
        <f>IF(Table4[[#This Row],[Adjusted Correct]]="-", "",IF(Table4[[#This Row],[Adjusted Correct]]="YES",(Table4[[#This Row],[Strength of Win]]-1)^2,(Table4[[#This Row],[Strength of Win]]-0)^2))</f>
        <v>0.23595333436506172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-0.32175529201986758</v>
      </c>
      <c r="H586" t="s">
        <v>14</v>
      </c>
      <c r="I586">
        <f>VLOOKUP(Table4[[#This Row],[Visitor]],'NHL Model'!$A$6:$B$38,2,FALSE)</f>
        <v>3.24300967767114E-5</v>
      </c>
      <c r="J586">
        <f>($B$1+Table4[[#This Row],[Home Differential]])-Table4[[#This Row],[Away Differential]]</f>
        <v>-0.22581772694598104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0.52627158074535418</v>
      </c>
      <c r="M586" t="str">
        <f>IF(OR((NHL2025_26Results[[#This Row],[Winning Team]]="")),"-",IF(Table4[[#This Row],[Predicted Winner]]=NHL2025_26Results[[#This Row],[Winning Team]],"YES","NO"))</f>
        <v>NO</v>
      </c>
      <c r="N586">
        <f>IF(Table4[[#This Row],[Adjusted Correct]]="-", "",IF(Table4[[#This Row],[Adjusted Correct]]="YES",(Table4[[#This Row],[Strength of Win]]-1)^2,(Table4[[#This Row],[Strength of Win]]-0)^2))</f>
        <v>0.27696177670021382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-4.774288798450349E-3</v>
      </c>
      <c r="H587" t="s">
        <v>33</v>
      </c>
      <c r="I587">
        <f>VLOOKUP(Table4[[#This Row],[Visitor]],'NHL Model'!$A$6:$B$38,2,FALSE)</f>
        <v>-0.53461960928306718</v>
      </c>
      <c r="J587">
        <f>($B$1+Table4[[#This Row],[Home Differential]])-Table4[[#This Row],[Away Differential]]</f>
        <v>0.62581531565528004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0.58172285249006705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0.1749557721290462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-8.9159851516330005E-2</v>
      </c>
      <c r="H588" t="s">
        <v>15</v>
      </c>
      <c r="I588">
        <f>VLOOKUP(Table4[[#This Row],[Visitor]],'NHL Model'!$A$6:$B$38,2,FALSE)</f>
        <v>-0.6396663932228257</v>
      </c>
      <c r="J588">
        <f>($B$1+Table4[[#This Row],[Home Differential]])-Table4[[#This Row],[Away Differential]]</f>
        <v>0.646476536877159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0.55250705948477985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0.30526405078051805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2.7346770720058793E-2</v>
      </c>
      <c r="H589" t="s">
        <v>21</v>
      </c>
      <c r="I589">
        <f>VLOOKUP(Table4[[#This Row],[Visitor]],'NHL Model'!$A$6:$B$38,2,FALSE)</f>
        <v>-5.5047914862176604E-2</v>
      </c>
      <c r="J589">
        <f>($B$1+Table4[[#This Row],[Home Differential]])-Table4[[#This Row],[Away Differential]]</f>
        <v>0.17836468075289866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0.5996291560805439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0.16029681266077747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0.29527586190964761</v>
      </c>
      <c r="H590" t="s">
        <v>26</v>
      </c>
      <c r="I590">
        <f>VLOOKUP(Table4[[#This Row],[Visitor]],'NHL Model'!$A$6:$B$38,2,FALSE)</f>
        <v>-0.17319925920548884</v>
      </c>
      <c r="J590">
        <f>($B$1+Table4[[#This Row],[Home Differential]])-Table4[[#This Row],[Away Differential]]</f>
        <v>0.56444511628579974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0.60054988152787725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0.1595603971473929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-0.79148902514100783</v>
      </c>
      <c r="H591" t="s">
        <v>17</v>
      </c>
      <c r="I591">
        <f>VLOOKUP(Table4[[#This Row],[Visitor]],'NHL Model'!$A$6:$B$38,2,FALSE)</f>
        <v>-0.20041140176017086</v>
      </c>
      <c r="J591">
        <f>($B$1+Table4[[#This Row],[Home Differential]])-Table4[[#This Row],[Away Differential]]</f>
        <v>-0.49510762821017368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0.51174440634665219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0.2618823374270875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0.21259592260910548</v>
      </c>
      <c r="H592" t="s">
        <v>10</v>
      </c>
      <c r="I592">
        <f>VLOOKUP(Table4[[#This Row],[Visitor]],'NHL Model'!$A$6:$B$38,2,FALSE)</f>
        <v>-0.70456324341534593</v>
      </c>
      <c r="J592">
        <f>($B$1+Table4[[#This Row],[Home Differential]])-Table4[[#This Row],[Away Differential]]</f>
        <v>1.0131291611951148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0.66027354003145911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0.43596114766567484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-0.42375285621939396</v>
      </c>
      <c r="H593" t="s">
        <v>37</v>
      </c>
      <c r="I593">
        <f>VLOOKUP(Table4[[#This Row],[Visitor]],'NHL Model'!$A$6:$B$38,2,FALSE)</f>
        <v>0.65340538721281671</v>
      </c>
      <c r="J593">
        <f>($B$1+Table4[[#This Row],[Home Differential]])-Table4[[#This Row],[Away Differential]]</f>
        <v>-0.98118824826154749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0.65483673048353619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0.11913768262329504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-0.43624947117902363</v>
      </c>
      <c r="H594" t="s">
        <v>31</v>
      </c>
      <c r="I594">
        <f>VLOOKUP(Table4[[#This Row],[Visitor]],'NHL Model'!$A$6:$B$38,2,FALSE)</f>
        <v>-0.38289376966531796</v>
      </c>
      <c r="J594">
        <f>($B$1+Table4[[#This Row],[Home Differential]])-Table4[[#This Row],[Away Differential]]</f>
        <v>4.2614293656957569E-2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0.54425533846907903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0.20770319651393371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-0.52712015292731806</v>
      </c>
      <c r="H595" t="s">
        <v>22</v>
      </c>
      <c r="I595">
        <f>VLOOKUP(Table4[[#This Row],[Visitor]],'NHL Model'!$A$6:$B$38,2,FALSE)</f>
        <v>-8.9159851516330005E-2</v>
      </c>
      <c r="J595">
        <f>($B$1+Table4[[#This Row],[Home Differential]])-Table4[[#This Row],[Away Differential]]</f>
        <v>-0.34199030624032484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0.49415014966366749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0.25588407108528993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-0.20908736804509698</v>
      </c>
      <c r="H596" t="s">
        <v>15</v>
      </c>
      <c r="I596">
        <f>VLOOKUP(Table4[[#This Row],[Visitor]],'NHL Model'!$A$6:$B$38,2,FALSE)</f>
        <v>-0.6396663932228257</v>
      </c>
      <c r="J596">
        <f>($B$1+Table4[[#This Row],[Home Differential]])-Table4[[#This Row],[Away Differential]]</f>
        <v>0.52654902034839202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0.54962106206152417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0.20284118773858947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-1.2663626722629573</v>
      </c>
      <c r="H597" t="s">
        <v>29</v>
      </c>
      <c r="I597">
        <f>VLOOKUP(Table4[[#This Row],[Visitor]],'NHL Model'!$A$6:$B$38,2,FALSE)</f>
        <v>-0.74313650334688619</v>
      </c>
      <c r="J597">
        <f>($B$1+Table4[[#This Row],[Home Differential]])-Table4[[#This Row],[Away Differential]]</f>
        <v>-0.42725617374540792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0.50266454929245352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0.25267164911538542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-0.32175529201986758</v>
      </c>
      <c r="H598" t="s">
        <v>36</v>
      </c>
      <c r="I598">
        <f>VLOOKUP(Table4[[#This Row],[Visitor]],'NHL Model'!$A$6:$B$38,2,FALSE)</f>
        <v>-0.40390734274709933</v>
      </c>
      <c r="J598">
        <f>($B$1+Table4[[#This Row],[Home Differential]])-Table4[[#This Row],[Away Differential]]</f>
        <v>0.17812204589789499</v>
      </c>
      <c r="K598" t="str">
        <f>IF(Table4[[#This Row],[HomeIce Differential]]&gt;0,Table4[[#This Row],[Home]],Table4[[#This Row],[Visitor]])</f>
        <v>Toronto Maple Leafs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0.56228936325791157</v>
      </c>
      <c r="M598" t="str">
        <f>IF(OR((NHL2025_26Results[[#This Row],[Winning Team]]="")),"-",IF(Table4[[#This Row],[Predicted Winner]]=NHL2025_26Results[[#This Row],[Winning Team]],"YES","NO"))</f>
        <v>YES</v>
      </c>
      <c r="N598">
        <f>IF(Table4[[#This Row],[Adjusted Correct]]="-", "",IF(Table4[[#This Row],[Adjusted Correct]]="YES",(Table4[[#This Row],[Strength of Win]]-1)^2,(Table4[[#This Row],[Strength of Win]]-0)^2))</f>
        <v>0.1915906015171645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-1.2591310848703385</v>
      </c>
      <c r="H599" t="s">
        <v>33</v>
      </c>
      <c r="I599">
        <f>VLOOKUP(Table4[[#This Row],[Visitor]],'NHL Model'!$A$6:$B$38,2,FALSE)</f>
        <v>-0.53461960928306718</v>
      </c>
      <c r="J599">
        <f>($B$1+Table4[[#This Row],[Home Differential]])-Table4[[#This Row],[Away Differential]]</f>
        <v>-0.62854148041660818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0.54353354085165295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0.20836162832742958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-4.774288798450349E-3</v>
      </c>
      <c r="H600" t="s">
        <v>12</v>
      </c>
      <c r="I600">
        <f>VLOOKUP(Table4[[#This Row],[Visitor]],'NHL Model'!$A$6:$B$38,2,FALSE)</f>
        <v>1.1751846443488465</v>
      </c>
      <c r="J600">
        <f>($B$1+Table4[[#This Row],[Home Differential]])-Table4[[#This Row],[Away Differential]]</f>
        <v>-1.0839889379766336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0.6381455480573438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0.13093864439072009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-0.47391784202962389</v>
      </c>
      <c r="H601" t="s">
        <v>34</v>
      </c>
      <c r="I601">
        <f>VLOOKUP(Table4[[#This Row],[Visitor]],'NHL Model'!$A$6:$B$38,2,FALSE)</f>
        <v>1.2879210938040288E-2</v>
      </c>
      <c r="J601">
        <f>($B$1+Table4[[#This Row],[Home Differential]])-Table4[[#This Row],[Away Differential]]</f>
        <v>-0.39082705779700094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0.55555577016144364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0.19753067343678751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-0.42584667868780524</v>
      </c>
      <c r="H602" t="s">
        <v>30</v>
      </c>
      <c r="I602">
        <f>VLOOKUP(Table4[[#This Row],[Visitor]],'NHL Model'!$A$6:$B$38,2,FALSE)</f>
        <v>-0.20908736804509698</v>
      </c>
      <c r="J602">
        <f>($B$1+Table4[[#This Row],[Home Differential]])-Table4[[#This Row],[Away Differential]]</f>
        <v>-0.12078931547204502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0.4928308977985984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0.24288229382497253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-0.70456324341534593</v>
      </c>
      <c r="H603" t="s">
        <v>14</v>
      </c>
      <c r="I603">
        <f>VLOOKUP(Table4[[#This Row],[Visitor]],'NHL Model'!$A$6:$B$38,2,FALSE)</f>
        <v>3.24300967767114E-5</v>
      </c>
      <c r="J603">
        <f>($B$1+Table4[[#This Row],[Home Differential]])-Table4[[#This Row],[Away Differential]]</f>
        <v>-0.60862567834145931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0.56986648554805619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0.18501484025478054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-0.17319925920548884</v>
      </c>
      <c r="H604" t="s">
        <v>19</v>
      </c>
      <c r="I604">
        <f>VLOOKUP(Table4[[#This Row],[Visitor]],'NHL Model'!$A$6:$B$38,2,FALSE)</f>
        <v>-0.32175529201986758</v>
      </c>
      <c r="J604">
        <f>($B$1+Table4[[#This Row],[Home Differential]])-Table4[[#This Row],[Away Differential]]</f>
        <v>0.24452602798504197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0.61613362882026845</v>
      </c>
      <c r="M604" t="str">
        <f>IF(OR((NHL2025_26Results[[#This Row],[Winning Team]]="")),"-",IF(Table4[[#This Row],[Predicted Winner]]=NHL2025_26Results[[#This Row],[Winning Team]],"YES","NO"))</f>
        <v>YES</v>
      </c>
      <c r="N604">
        <f>IF(Table4[[#This Row],[Adjusted Correct]]="-", "",IF(Table4[[#This Row],[Adjusted Correct]]="YES",(Table4[[#This Row],[Strength of Win]]-1)^2,(Table4[[#This Row],[Strength of Win]]-0)^2))</f>
        <v>0.14735339092269542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-0.57094405545214133</v>
      </c>
      <c r="H605" t="s">
        <v>27</v>
      </c>
      <c r="I605">
        <f>VLOOKUP(Table4[[#This Row],[Visitor]],'NHL Model'!$A$6:$B$38,2,FALSE)</f>
        <v>-0.32182316569099201</v>
      </c>
      <c r="J605">
        <f>($B$1+Table4[[#This Row],[Home Differential]])-Table4[[#This Row],[Away Differential]]</f>
        <v>-0.15315089459048609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0.48588143476777268</v>
      </c>
      <c r="M605" t="str">
        <f>IF(OR((NHL2025_26Results[[#This Row],[Winning Team]]="")),"-",IF(Table4[[#This Row],[Predicted Winner]]=NHL2025_26Results[[#This Row],[Winning Team]],"YES","NO"))</f>
        <v>NO</v>
      </c>
      <c r="N605">
        <f>IF(Table4[[#This Row],[Adjusted Correct]]="-", "",IF(Table4[[#This Row],[Adjusted Correct]]="YES",(Table4[[#This Row],[Strength of Win]]-1)^2,(Table4[[#This Row],[Strength of Win]]-0)^2))</f>
        <v>0.23608076865198935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0.65340538721281671</v>
      </c>
      <c r="H606" t="s">
        <v>18</v>
      </c>
      <c r="I606">
        <f>VLOOKUP(Table4[[#This Row],[Visitor]],'NHL Model'!$A$6:$B$38,2,FALSE)</f>
        <v>-0.23645483545724041</v>
      </c>
      <c r="J606">
        <f>($B$1+Table4[[#This Row],[Home Differential]])-Table4[[#This Row],[Away Differential]]</f>
        <v>0.98583021784072045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0.62166193048839646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0.14313969484176695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-0.38289376966531796</v>
      </c>
      <c r="H607" t="s">
        <v>33</v>
      </c>
      <c r="I607">
        <f>VLOOKUP(Table4[[#This Row],[Visitor]],'NHL Model'!$A$6:$B$38,2,FALSE)</f>
        <v>-0.53461960928306718</v>
      </c>
      <c r="J607">
        <f>($B$1+Table4[[#This Row],[Home Differential]])-Table4[[#This Row],[Away Differential]]</f>
        <v>0.24769583478841245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0.58028973566166386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0.33673617731428374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0.29527586190964761</v>
      </c>
      <c r="H608" t="s">
        <v>15</v>
      </c>
      <c r="I608">
        <f>VLOOKUP(Table4[[#This Row],[Visitor]],'NHL Model'!$A$6:$B$38,2,FALSE)</f>
        <v>-0.6396663932228257</v>
      </c>
      <c r="J608">
        <f>($B$1+Table4[[#This Row],[Home Differential]])-Table4[[#This Row],[Away Differential]]</f>
        <v>1.0309122503031365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0.63443993887269068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0.13363415829140213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-0.79148902514100783</v>
      </c>
      <c r="H609" t="s">
        <v>21</v>
      </c>
      <c r="I609">
        <f>VLOOKUP(Table4[[#This Row],[Visitor]],'NHL Model'!$A$6:$B$38,2,FALSE)</f>
        <v>-5.5047914862176604E-2</v>
      </c>
      <c r="J609">
        <f>($B$1+Table4[[#This Row],[Home Differential]])-Table4[[#This Row],[Away Differential]]</f>
        <v>-0.6404711151081679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0.52395556843891899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0.27452943769815075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1.1751846443488465</v>
      </c>
      <c r="H610" t="s">
        <v>13</v>
      </c>
      <c r="I610">
        <f>VLOOKUP(Table4[[#This Row],[Visitor]],'NHL Model'!$A$6:$B$38,2,FALSE)</f>
        <v>-0.43624947117902363</v>
      </c>
      <c r="J610">
        <f>($B$1+Table4[[#This Row],[Home Differential]])-Table4[[#This Row],[Away Differential]]</f>
        <v>1.7074041106985334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0.76715508159015422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5.4216756029287737E-2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-0.42375285621939396</v>
      </c>
      <c r="H611" t="s">
        <v>22</v>
      </c>
      <c r="I611">
        <f>VLOOKUP(Table4[[#This Row],[Visitor]],'NHL Model'!$A$6:$B$38,2,FALSE)</f>
        <v>-8.9159851516330005E-2</v>
      </c>
      <c r="J611">
        <f>($B$1+Table4[[#This Row],[Home Differential]])-Table4[[#This Row],[Away Differential]]</f>
        <v>-0.23862300953240073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0.48382819436700564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0.23408972166443698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-0.40390734274709933</v>
      </c>
      <c r="H612" t="s">
        <v>28</v>
      </c>
      <c r="I612">
        <f>VLOOKUP(Table4[[#This Row],[Visitor]],'NHL Model'!$A$6:$B$38,2,FALSE)</f>
        <v>-0.42584667868780524</v>
      </c>
      <c r="J612">
        <f>($B$1+Table4[[#This Row],[Home Differential]])-Table4[[#This Row],[Away Differential]]</f>
        <v>0.11790933111136914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0.55177408023187235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0.30445463561572872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-0.57094405545214133</v>
      </c>
      <c r="H613" t="s">
        <v>38</v>
      </c>
      <c r="I613">
        <f>VLOOKUP(Table4[[#This Row],[Visitor]],'NHL Model'!$A$6:$B$38,2,FALSE)</f>
        <v>-1.2591310848703385</v>
      </c>
      <c r="J613">
        <f>($B$1+Table4[[#This Row],[Home Differential]])-Table4[[#This Row],[Away Differential]]</f>
        <v>0.7841570245888605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0.61830362223982882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0.38229936927489294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-1.2663626722629573</v>
      </c>
      <c r="H614" t="s">
        <v>23</v>
      </c>
      <c r="I614">
        <f>VLOOKUP(Table4[[#This Row],[Visitor]],'NHL Model'!$A$6:$B$38,2,FALSE)</f>
        <v>2.7346770720058793E-2</v>
      </c>
      <c r="J614">
        <f>($B$1+Table4[[#This Row],[Home Differential]])-Table4[[#This Row],[Away Differential]]</f>
        <v>-1.1977394478123529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0.60037198164991445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0.15970255305041631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0.12055191373383152</v>
      </c>
      <c r="H615" t="s">
        <v>29</v>
      </c>
      <c r="I615">
        <f>VLOOKUP(Table4[[#This Row],[Visitor]],'NHL Model'!$A$6:$B$38,2,FALSE)</f>
        <v>-0.74313650334688619</v>
      </c>
      <c r="J615">
        <f>($B$1+Table4[[#This Row],[Home Differential]])-Table4[[#This Row],[Away Differential]]</f>
        <v>0.95965841225138093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0.67186554280547517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0.45140330760929581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-4.774288798450349E-3</v>
      </c>
      <c r="H616" t="s">
        <v>34</v>
      </c>
      <c r="I616">
        <f>VLOOKUP(Table4[[#This Row],[Visitor]],'NHL Model'!$A$6:$B$38,2,FALSE)</f>
        <v>1.2879210938040288E-2</v>
      </c>
      <c r="J616">
        <f>($B$1+Table4[[#This Row],[Home Differential]])-Table4[[#This Row],[Away Differential]]</f>
        <v>7.8316495434172614E-2</v>
      </c>
      <c r="K616" t="str">
        <f>IF(Table4[[#This Row],[HomeIce Differential]]&gt;0,Table4[[#This Row],[Home]],Table4[[#This Row],[Visitor]])</f>
        <v>Vegas Golden Knights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0.49129153008141985</v>
      </c>
      <c r="M616" t="str">
        <f>IF(OR((NHL2025_26Results[[#This Row],[Winning Team]]="")),"-",IF(Table4[[#This Row],[Predicted Winner]]=NHL2025_26Results[[#This Row],[Winning Team]],"YES","NO"))</f>
        <v>NO</v>
      </c>
      <c r="N616">
        <f>IF(Table4[[#This Row],[Adjusted Correct]]="-", "",IF(Table4[[#This Row],[Adjusted Correct]]="YES",(Table4[[#This Row],[Strength of Win]]-1)^2,(Table4[[#This Row],[Strength of Win]]-0)^2))</f>
        <v>0.24136736752974267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-0.47391784202962389</v>
      </c>
      <c r="H617" t="s">
        <v>17</v>
      </c>
      <c r="I617">
        <f>VLOOKUP(Table4[[#This Row],[Visitor]],'NHL Model'!$A$6:$B$38,2,FALSE)</f>
        <v>-0.20041140176017086</v>
      </c>
      <c r="J617">
        <f>($B$1+Table4[[#This Row],[Home Differential]])-Table4[[#This Row],[Away Differential]]</f>
        <v>-0.1775364450987898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0.48003267875019628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0.27036601516769659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-0.70456324341534593</v>
      </c>
      <c r="H618" t="s">
        <v>30</v>
      </c>
      <c r="I618">
        <f>VLOOKUP(Table4[[#This Row],[Visitor]],'NHL Model'!$A$6:$B$38,2,FALSE)</f>
        <v>-0.20908736804509698</v>
      </c>
      <c r="J618">
        <f>($B$1+Table4[[#This Row],[Home Differential]])-Table4[[#This Row],[Away Differential]]</f>
        <v>-0.39950588019958566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0.52066271707975686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0.22976423079736122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-0.42375285621939396</v>
      </c>
      <c r="H619" t="s">
        <v>18</v>
      </c>
      <c r="I619">
        <f>VLOOKUP(Table4[[#This Row],[Visitor]],'NHL Model'!$A$6:$B$38,2,FALSE)</f>
        <v>-0.23645483545724041</v>
      </c>
      <c r="J619">
        <f>($B$1+Table4[[#This Row],[Home Differential]])-Table4[[#This Row],[Away Differential]]</f>
        <v>-9.1328025591490308E-2</v>
      </c>
      <c r="K619" t="str">
        <f>IF(Table4[[#This Row],[HomeIce Differential]]&gt;0,Table4[[#This Row],[Home]],Table4[[#This Row],[Visitor]])</f>
        <v>Montreal Canadiens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0.50840648220633478</v>
      </c>
      <c r="M619" t="str">
        <f>IF(OR((NHL2025_26Results[[#This Row],[Winning Team]]="")),"-",IF(Table4[[#This Row],[Predicted Winner]]=NHL2025_26Results[[#This Row],[Winning Team]],"YES","NO"))</f>
        <v>YES</v>
      </c>
      <c r="N619">
        <f>IF(Table4[[#This Row],[Adjusted Correct]]="-", "",IF(Table4[[#This Row],[Adjusted Correct]]="YES",(Table4[[#This Row],[Strength of Win]]-1)^2,(Table4[[#This Row],[Strength of Win]]-0)^2))</f>
        <v>0.24166418673675064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3.24300967767114E-5</v>
      </c>
      <c r="H620" t="s">
        <v>25</v>
      </c>
      <c r="I620">
        <f>VLOOKUP(Table4[[#This Row],[Visitor]],'NHL Model'!$A$6:$B$38,2,FALSE)</f>
        <v>0.29527586190964761</v>
      </c>
      <c r="J620">
        <f>($B$1+Table4[[#This Row],[Home Differential]])-Table4[[#This Row],[Away Differential]]</f>
        <v>-0.19927343664220765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0.5391866951732277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0.29072229225182716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-0.32175529201986758</v>
      </c>
      <c r="H621" t="s">
        <v>24</v>
      </c>
      <c r="I621">
        <f>VLOOKUP(Table4[[#This Row],[Visitor]],'NHL Model'!$A$6:$B$38,2,FALSE)</f>
        <v>-0.52712015292731806</v>
      </c>
      <c r="J621">
        <f>($B$1+Table4[[#This Row],[Home Differential]])-Table4[[#This Row],[Away Differential]]</f>
        <v>0.30133485607811372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0.53745168396809584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0.21395094466395029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-1.2591310848703385</v>
      </c>
      <c r="H622" t="s">
        <v>27</v>
      </c>
      <c r="I622">
        <f>VLOOKUP(Table4[[#This Row],[Visitor]],'NHL Model'!$A$6:$B$38,2,FALSE)</f>
        <v>-0.32182316569099201</v>
      </c>
      <c r="J622">
        <f>($B$1+Table4[[#This Row],[Home Differential]])-Table4[[#This Row],[Away Differential]]</f>
        <v>-0.84133792400868335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0.55460177456217308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0.19837957922316529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-0.38289376966531796</v>
      </c>
      <c r="H623" t="s">
        <v>37</v>
      </c>
      <c r="I623">
        <f>VLOOKUP(Table4[[#This Row],[Visitor]],'NHL Model'!$A$6:$B$38,2,FALSE)</f>
        <v>0.65340538721281671</v>
      </c>
      <c r="J623">
        <f>($B$1+Table4[[#This Row],[Home Differential]])-Table4[[#This Row],[Away Differential]]</f>
        <v>-0.94032916170747138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0.61444645934305553</v>
      </c>
      <c r="M623" t="str">
        <f>IF(OR((NHL2025_26Results[[#This Row],[Winning Team]]="")),"-",IF(Table4[[#This Row],[Predicted Winner]]=NHL2025_26Results[[#This Row],[Winning Team]],"YES","NO"))</f>
        <v>YES</v>
      </c>
      <c r="N623">
        <f>IF(Table4[[#This Row],[Adjusted Correct]]="-", "",IF(Table4[[#This Row],[Adjusted Correct]]="YES",(Table4[[#This Row],[Strength of Win]]-1)^2,(Table4[[#This Row],[Strength of Win]]-0)^2))</f>
        <v>0.14865153271310613</v>
      </c>
      <c r="O623">
        <v>-0.69847779328101445</v>
      </c>
      <c r="P623" s="11">
        <v>0.570279633756128</v>
      </c>
      <c r="Q623" t="s">
        <v>37</v>
      </c>
      <c r="R623" t="s">
        <v>248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-0.42584667868780524</v>
      </c>
      <c r="H624" t="s">
        <v>24</v>
      </c>
      <c r="I624">
        <f>VLOOKUP(Table4[[#This Row],[Visitor]],'NHL Model'!$A$6:$B$38,2,FALSE)</f>
        <v>-0.52712015292731806</v>
      </c>
      <c r="J624">
        <f>($B$1+Table4[[#This Row],[Home Differential]])-Table4[[#This Row],[Away Differential]]</f>
        <v>0.19724346941017606</v>
      </c>
      <c r="K624" t="str">
        <f>IF(Table4[[#This Row],[HomeIce Differential]]&gt;0,Table4[[#This Row],[Home]],Table4[[#This Row],[Visitor]])</f>
        <v>Columbus Blue Jackets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0.52168818663955496</v>
      </c>
      <c r="M624" t="str">
        <f>IF(OR((NHL2025_26Results[[#This Row],[Winning Team]]="")),"-",IF(Table4[[#This Row],[Predicted Winner]]=NHL2025_26Results[[#This Row],[Winning Team]],"YES","NO"))</f>
        <v>NO</v>
      </c>
      <c r="N624">
        <f>IF(Table4[[#This Row],[Adjusted Correct]]="-", "",IF(Table4[[#This Row],[Adjusted Correct]]="YES",(Table4[[#This Row],[Strength of Win]]-1)^2,(Table4[[#This Row],[Strength of Win]]-0)^2))</f>
        <v>0.27215856407926714</v>
      </c>
      <c r="O624">
        <v>-5.8888281529556746E-3</v>
      </c>
      <c r="P624" s="11">
        <v>0.48143118584087086</v>
      </c>
      <c r="Q624" t="s">
        <v>24</v>
      </c>
      <c r="R624" t="s">
        <v>248</v>
      </c>
    </row>
    <row r="625" spans="4:18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-0.79148902514100783</v>
      </c>
      <c r="H625" t="s">
        <v>27</v>
      </c>
      <c r="I625">
        <f>VLOOKUP(Table4[[#This Row],[Visitor]],'NHL Model'!$A$6:$B$38,2,FALSE)</f>
        <v>-0.32182316569099201</v>
      </c>
      <c r="J625">
        <f>($B$1+Table4[[#This Row],[Home Differential]])-Table4[[#This Row],[Away Differential]]</f>
        <v>-0.37369586427935253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0.50790440905977241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0.25796688874235663</v>
      </c>
      <c r="O625">
        <v>-0.54363979859023348</v>
      </c>
      <c r="P625" s="11">
        <v>0.51110980189523791</v>
      </c>
      <c r="Q625" t="s">
        <v>27</v>
      </c>
      <c r="R625" t="s">
        <v>249</v>
      </c>
    </row>
    <row r="626" spans="4:18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1.1751846443488465</v>
      </c>
      <c r="H626" t="s">
        <v>35</v>
      </c>
      <c r="I626">
        <f>VLOOKUP(Table4[[#This Row],[Visitor]],'NHL Model'!$A$6:$B$38,2,FALSE)</f>
        <v>-1.2663626722629573</v>
      </c>
      <c r="J626">
        <f>($B$1+Table4[[#This Row],[Home Differential]])-Table4[[#This Row],[Away Differential]]</f>
        <v>2.5375173117824668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0.87917126949231283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1.4599582116099291E-2</v>
      </c>
      <c r="O626">
        <v>2.7959813662746544</v>
      </c>
      <c r="P626" s="11">
        <v>0.97327100225532004</v>
      </c>
      <c r="Q626" t="s">
        <v>12</v>
      </c>
      <c r="R626" t="s">
        <v>248</v>
      </c>
    </row>
    <row r="627" spans="4:18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0.21259592260910548</v>
      </c>
      <c r="H627" t="s">
        <v>23</v>
      </c>
      <c r="I627">
        <f>VLOOKUP(Table4[[#This Row],[Visitor]],'NHL Model'!$A$6:$B$38,2,FALSE)</f>
        <v>2.7346770720058793E-2</v>
      </c>
      <c r="J627">
        <f>($B$1+Table4[[#This Row],[Home Differential]])-Table4[[#This Row],[Away Differential]]</f>
        <v>0.28121914705970991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0.56654325827972907</v>
      </c>
      <c r="M627" t="str">
        <f>IF(OR((NHL2025_26Results[[#This Row],[Winning Team]]="")),"-",IF(Table4[[#This Row],[Predicted Winner]]=NHL2025_26Results[[#This Row],[Winning Team]],"YES","NO"))</f>
        <v>NO</v>
      </c>
      <c r="N627">
        <f>IF(Table4[[#This Row],[Adjusted Correct]]="-", "",IF(Table4[[#This Row],[Adjusted Correct]]="YES",(Table4[[#This Row],[Strength of Win]]-1)^2,(Table4[[#This Row],[Strength of Win]]-0)^2))</f>
        <v>0.32097126350221178</v>
      </c>
      <c r="O627">
        <v>0.91158846592369502</v>
      </c>
      <c r="P627" s="11">
        <v>0.6810624979921458</v>
      </c>
      <c r="Q627" t="s">
        <v>39</v>
      </c>
      <c r="R627" t="s">
        <v>249</v>
      </c>
    </row>
    <row r="628" spans="4:18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-0.17319925920548884</v>
      </c>
      <c r="H628" t="s">
        <v>40</v>
      </c>
      <c r="I628">
        <f>VLOOKUP(Table4[[#This Row],[Visitor]],'NHL Model'!$A$6:$B$38,2,FALSE)</f>
        <v>-0.47391784202962389</v>
      </c>
      <c r="J628">
        <f>($B$1+Table4[[#This Row],[Home Differential]])-Table4[[#This Row],[Away Differential]]</f>
        <v>0.39668857799479829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0.63132813510076757</v>
      </c>
      <c r="M628" t="str">
        <f>IF(OR((NHL2025_26Results[[#This Row],[Winning Team]]="")),"-",IF(Table4[[#This Row],[Predicted Winner]]=NHL2025_26Results[[#This Row],[Winning Team]],"YES","NO"))</f>
        <v>YES</v>
      </c>
      <c r="N628">
        <f>IF(Table4[[#This Row],[Adjusted Correct]]="-", "",IF(Table4[[#This Row],[Adjusted Correct]]="YES",(Table4[[#This Row],[Strength of Win]]-1)^2,(Table4[[#This Row],[Strength of Win]]-0)^2))</f>
        <v>0.13591894396827789</v>
      </c>
      <c r="O628">
        <v>4.9667372656988458E-2</v>
      </c>
      <c r="P628" s="11">
        <v>0.57928118754856484</v>
      </c>
      <c r="Q628" t="s">
        <v>26</v>
      </c>
      <c r="R628" t="s">
        <v>248</v>
      </c>
    </row>
    <row r="629" spans="4:18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-0.20041140176017086</v>
      </c>
      <c r="H629" t="s">
        <v>21</v>
      </c>
      <c r="I629">
        <f>VLOOKUP(Table4[[#This Row],[Visitor]],'NHL Model'!$A$6:$B$38,2,FALSE)</f>
        <v>-5.5047914862176604E-2</v>
      </c>
      <c r="J629">
        <f>($B$1+Table4[[#This Row],[Home Differential]])-Table4[[#This Row],[Away Differential]]</f>
        <v>-4.9393491727331006E-2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0.46493228931966901</v>
      </c>
      <c r="M629" t="str">
        <f>IF(OR((NHL2025_26Results[[#This Row],[Winning Team]]="")),"-",IF(Table4[[#This Row],[Predicted Winner]]=NHL2025_26Results[[#This Row],[Winning Team]],"YES","NO"))</f>
        <v>YES</v>
      </c>
      <c r="N629">
        <f>IF(Table4[[#This Row],[Adjusted Correct]]="-", "",IF(Table4[[#This Row],[Adjusted Correct]]="YES",(Table4[[#This Row],[Strength of Win]]-1)^2,(Table4[[#This Row],[Strength of Win]]-0)^2))</f>
        <v>0.28629745501269038</v>
      </c>
      <c r="O629">
        <v>0.31511129439741992</v>
      </c>
      <c r="P629" s="11">
        <v>0.61145809347621449</v>
      </c>
      <c r="Q629" t="s">
        <v>17</v>
      </c>
      <c r="R629" t="s">
        <v>249</v>
      </c>
    </row>
    <row r="630" spans="4:18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-0.53461960928306718</v>
      </c>
      <c r="H630" t="s">
        <v>34</v>
      </c>
      <c r="I630">
        <f>VLOOKUP(Table4[[#This Row],[Visitor]],'NHL Model'!$A$6:$B$38,2,FALSE)</f>
        <v>1.2879210938040288E-2</v>
      </c>
      <c r="J630">
        <f>($B$1+Table4[[#This Row],[Home Differential]])-Table4[[#This Row],[Away Differential]]</f>
        <v>-0.45152882505044423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0.56161727073244949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0.31541395878496548</v>
      </c>
      <c r="O630">
        <v>-0.7947851387290743</v>
      </c>
      <c r="P630" s="11">
        <v>0.620228734977324</v>
      </c>
      <c r="Q630" t="s">
        <v>34</v>
      </c>
      <c r="R630" t="s">
        <v>249</v>
      </c>
    </row>
    <row r="631" spans="4:18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-4.774288798450349E-3</v>
      </c>
      <c r="H631" t="s">
        <v>29</v>
      </c>
      <c r="I631">
        <f>VLOOKUP(Table4[[#This Row],[Visitor]],'NHL Model'!$A$6:$B$38,2,FALSE)</f>
        <v>-0.74313650334688619</v>
      </c>
      <c r="J631">
        <f>($B$1+Table4[[#This Row],[Home Differential]])-Table4[[#This Row],[Away Differential]]</f>
        <v>0.83433220971909905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0.62331396917169701</v>
      </c>
      <c r="M631" t="str">
        <f>IF(OR((NHL2025_26Results[[#This Row],[Winning Team]]="")),"-",IF(Table4[[#This Row],[Predicted Winner]]=NHL2025_26Results[[#This Row],[Winning Team]],"YES","NO"))</f>
        <v>NO</v>
      </c>
      <c r="N631">
        <f>IF(Table4[[#This Row],[Adjusted Correct]]="-", "",IF(Table4[[#This Row],[Adjusted Correct]]="YES",(Table4[[#This Row],[Strength of Win]]-1)^2,(Table4[[#This Row],[Strength of Win]]-0)^2))</f>
        <v>0.38852030416457528</v>
      </c>
      <c r="O631">
        <v>0.58327322718971741</v>
      </c>
      <c r="P631" s="11">
        <v>0.60556494108192782</v>
      </c>
      <c r="Q631" t="s">
        <v>20</v>
      </c>
      <c r="R631" t="s">
        <v>249</v>
      </c>
    </row>
    <row r="632" spans="4:18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-8.9159851516330005E-2</v>
      </c>
      <c r="H632" t="s">
        <v>15</v>
      </c>
      <c r="I632">
        <f>VLOOKUP(Table4[[#This Row],[Visitor]],'NHL Model'!$A$6:$B$38,2,FALSE)</f>
        <v>-0.6396663932228257</v>
      </c>
      <c r="J632">
        <f>($B$1+Table4[[#This Row],[Home Differential]])-Table4[[#This Row],[Away Differential]]</f>
        <v>0.646476536877159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0.55250705948477985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0.20024993181095835</v>
      </c>
      <c r="O632">
        <v>0.45847708734886722</v>
      </c>
      <c r="P632" s="11">
        <v>0.52620844847327219</v>
      </c>
      <c r="Q632" t="s">
        <v>22</v>
      </c>
      <c r="R632" t="s">
        <v>248</v>
      </c>
    </row>
    <row r="633" spans="4:18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0.29527586190964761</v>
      </c>
      <c r="H633" t="s">
        <v>18</v>
      </c>
      <c r="I633">
        <f>VLOOKUP(Table4[[#This Row],[Visitor]],'NHL Model'!$A$6:$B$38,2,FALSE)</f>
        <v>-0.23645483545724041</v>
      </c>
      <c r="J633">
        <f>($B$1+Table4[[#This Row],[Home Differential]])-Table4[[#This Row],[Away Differential]]</f>
        <v>0.62770069253755123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0.60686639798065889</v>
      </c>
      <c r="M633" t="str">
        <f>IF(OR((NHL2025_26Results[[#This Row],[Winning Team]]="")),"-",IF(Table4[[#This Row],[Predicted Winner]]=NHL2025_26Results[[#This Row],[Winning Team]],"YES","NO"))</f>
        <v>NO</v>
      </c>
      <c r="N633">
        <f>IF(Table4[[#This Row],[Adjusted Correct]]="-", "",IF(Table4[[#This Row],[Adjusted Correct]]="YES",(Table4[[#This Row],[Strength of Win]]-1)^2,(Table4[[#This Row],[Strength of Win]]-0)^2))</f>
        <v>0.36828682499801946</v>
      </c>
      <c r="O633">
        <v>0.56812324937047964</v>
      </c>
      <c r="P633" s="11">
        <v>0.58993253579200533</v>
      </c>
      <c r="Q633" t="s">
        <v>25</v>
      </c>
      <c r="R633" t="s">
        <v>249</v>
      </c>
    </row>
    <row r="634" spans="4:18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-0.70456324341534593</v>
      </c>
      <c r="H634" t="s">
        <v>39</v>
      </c>
      <c r="I634">
        <f>VLOOKUP(Table4[[#This Row],[Visitor]],'NHL Model'!$A$6:$B$38,2,FALSE)</f>
        <v>0.21259592260910548</v>
      </c>
      <c r="J634">
        <f>($B$1+Table4[[#This Row],[Home Differential]])-Table4[[#This Row],[Away Differential]]</f>
        <v>-0.82118917085378818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0.58000951195818817</v>
      </c>
      <c r="M634" t="str">
        <f>IF(OR((NHL2025_26Results[[#This Row],[Winning Team]]="")),"-",IF(Table4[[#This Row],[Predicted Winner]]=NHL2025_26Results[[#This Row],[Winning Team]],"YES","NO"))</f>
        <v>NO</v>
      </c>
      <c r="N634">
        <f>IF(Table4[[#This Row],[Adjusted Correct]]="-", "",IF(Table4[[#This Row],[Adjusted Correct]]="YES",(Table4[[#This Row],[Strength of Win]]-1)^2,(Table4[[#This Row],[Strength of Win]]-0)^2))</f>
        <v>0.33641103396197564</v>
      </c>
      <c r="O634">
        <v>-1.2047750842125553</v>
      </c>
      <c r="P634" s="11">
        <v>0.67562866943339028</v>
      </c>
      <c r="Q634" t="s">
        <v>39</v>
      </c>
      <c r="R634" t="s">
        <v>249</v>
      </c>
    </row>
    <row r="635" spans="4:18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-0.43624947117902363</v>
      </c>
      <c r="H635" t="s">
        <v>37</v>
      </c>
      <c r="I635">
        <f>VLOOKUP(Table4[[#This Row],[Visitor]],'NHL Model'!$A$6:$B$38,2,FALSE)</f>
        <v>0.65340538721281671</v>
      </c>
      <c r="J635">
        <f>($B$1+Table4[[#This Row],[Home Differential]])-Table4[[#This Row],[Away Differential]]</f>
        <v>-0.99368486322117711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0.6560846058278762</v>
      </c>
      <c r="M635" t="str">
        <f>IF(OR((NHL2025_26Results[[#This Row],[Winning Team]]="")),"-",IF(Table4[[#This Row],[Predicted Winner]]=NHL2025_26Results[[#This Row],[Winning Team]],"YES","NO"))</f>
        <v>YES</v>
      </c>
      <c r="N635">
        <f>IF(Table4[[#This Row],[Adjusted Correct]]="-", "",IF(Table4[[#This Row],[Adjusted Correct]]="YES",(Table4[[#This Row],[Strength of Win]]-1)^2,(Table4[[#This Row],[Strength of Win]]-0)^2))</f>
        <v>0.11827779834856729</v>
      </c>
      <c r="O635">
        <v>-0.65827229928461495</v>
      </c>
      <c r="P635" s="11">
        <v>0.60979147613270701</v>
      </c>
      <c r="Q635" t="s">
        <v>37</v>
      </c>
      <c r="R635" t="s">
        <v>248</v>
      </c>
    </row>
    <row r="636" spans="4:18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-0.20908736804509698</v>
      </c>
      <c r="H636" t="s">
        <v>55</v>
      </c>
      <c r="I636">
        <f>VLOOKUP(Table4[[#This Row],[Visitor]],'NHL Model'!$A$6:$B$38,2,FALSE)</f>
        <v>0.12055191373383152</v>
      </c>
      <c r="J636">
        <f>($B$1+Table4[[#This Row],[Home Differential]])-Table4[[#This Row],[Away Differential]]</f>
        <v>-0.23366928660826525</v>
      </c>
      <c r="K636" t="str">
        <f>IF(Table4[[#This Row],[HomeIce Differential]]&gt;0,Table4[[#This Row],[Home]],Table4[[#This Row],[Visitor]])</f>
        <v>Utah Mammoth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0.47431392227121355</v>
      </c>
      <c r="M636" t="str">
        <f>IF(OR((NHL2025_26Results[[#This Row],[Winning Team]]="")),"-",IF(Table4[[#This Row],[Predicted Winner]]=NHL2025_26Results[[#This Row],[Winning Team]],"YES","NO"))</f>
        <v>YES</v>
      </c>
      <c r="N636">
        <f>IF(Table4[[#This Row],[Adjusted Correct]]="-", "",IF(Table4[[#This Row],[Adjusted Correct]]="YES",(Table4[[#This Row],[Strength of Win]]-1)^2,(Table4[[#This Row],[Strength of Win]]-0)^2))</f>
        <v>0.27634585231787567</v>
      </c>
      <c r="O636">
        <v>0.1725636888191219</v>
      </c>
      <c r="P636" s="11">
        <v>0.57255244405268679</v>
      </c>
      <c r="Q636" t="s">
        <v>30</v>
      </c>
      <c r="R636" t="s">
        <v>249</v>
      </c>
    </row>
    <row r="637" spans="4:18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-0.40390734274709933</v>
      </c>
      <c r="H637" t="s">
        <v>22</v>
      </c>
      <c r="I637">
        <f>VLOOKUP(Table4[[#This Row],[Visitor]],'NHL Model'!$A$6:$B$38,2,FALSE)</f>
        <v>-8.9159851516330005E-2</v>
      </c>
      <c r="J637">
        <f>($B$1+Table4[[#This Row],[Home Differential]])-Table4[[#This Row],[Away Differential]]</f>
        <v>-0.2187774960601061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0.48184647955560705</v>
      </c>
      <c r="M637" t="str">
        <f>IF(OR((NHL2025_26Results[[#This Row],[Winning Team]]="")),"-",IF(Table4[[#This Row],[Predicted Winner]]=NHL2025_26Results[[#This Row],[Winning Team]],"YES","NO"))</f>
        <v>NO</v>
      </c>
      <c r="N637">
        <f>IF(Table4[[#This Row],[Adjusted Correct]]="-", "",IF(Table4[[#This Row],[Adjusted Correct]]="YES",(Table4[[#This Row],[Strength of Win]]-1)^2,(Table4[[#This Row],[Strength of Win]]-0)^2))</f>
        <v>0.23217602986013205</v>
      </c>
      <c r="O637">
        <v>-0.36876832173294311</v>
      </c>
      <c r="P637" s="11">
        <v>0.50690074434839572</v>
      </c>
      <c r="Q637" t="s">
        <v>22</v>
      </c>
      <c r="R637" t="s">
        <v>249</v>
      </c>
    </row>
    <row r="638" spans="4:18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3.24300967767114E-5</v>
      </c>
      <c r="H638" t="s">
        <v>26</v>
      </c>
      <c r="I638">
        <f>VLOOKUP(Table4[[#This Row],[Visitor]],'NHL Model'!$A$6:$B$38,2,FALSE)</f>
        <v>-0.17319925920548884</v>
      </c>
      <c r="J638">
        <f>($B$1+Table4[[#This Row],[Home Differential]])-Table4[[#This Row],[Away Differential]]</f>
        <v>0.2692016844729288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0.52759495798725531</v>
      </c>
      <c r="M638" t="str">
        <f>IF(OR((NHL2025_26Results[[#This Row],[Winning Team]]="")),"-",IF(Table4[[#This Row],[Predicted Winner]]=NHL2025_26Results[[#This Row],[Winning Team]],"YES","NO"))</f>
        <v>YES</v>
      </c>
      <c r="N638">
        <f>IF(Table4[[#This Row],[Adjusted Correct]]="-", "",IF(Table4[[#This Row],[Adjusted Correct]]="YES",(Table4[[#This Row],[Strength of Win]]-1)^2,(Table4[[#This Row],[Strength of Win]]-0)^2))</f>
        <v>0.22316652371906306</v>
      </c>
      <c r="O638">
        <v>0.15232609497245597</v>
      </c>
      <c r="P638" s="11">
        <v>0.52277859913721825</v>
      </c>
      <c r="Q638" t="s">
        <v>14</v>
      </c>
      <c r="R638" t="s">
        <v>248</v>
      </c>
    </row>
    <row r="639" spans="4:18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-0.57094405545214133</v>
      </c>
      <c r="H639" t="s">
        <v>29</v>
      </c>
      <c r="I639">
        <f>VLOOKUP(Table4[[#This Row],[Visitor]],'NHL Model'!$A$6:$B$38,2,FALSE)</f>
        <v>-0.74313650334688619</v>
      </c>
      <c r="J639">
        <f>($B$1+Table4[[#This Row],[Home Differential]])-Table4[[#This Row],[Away Differential]]</f>
        <v>0.2681624430654081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0.5667779156243774</v>
      </c>
      <c r="M639" t="str">
        <f>IF(OR((NHL2025_26Results[[#This Row],[Winning Team]]="")),"-",IF(Table4[[#This Row],[Predicted Winner]]=NHL2025_26Results[[#This Row],[Winning Team]],"YES","NO"))</f>
        <v>YES</v>
      </c>
      <c r="N639">
        <f>IF(Table4[[#This Row],[Adjusted Correct]]="-", "",IF(Table4[[#This Row],[Adjusted Correct]]="YES",(Table4[[#This Row],[Strength of Win]]-1)^2,(Table4[[#This Row],[Strength of Win]]-0)^2))</f>
        <v>0.18768137439075908</v>
      </c>
      <c r="O639">
        <v>-4.2897934256173997E-2</v>
      </c>
      <c r="P639" s="11">
        <v>0.46460785548598277</v>
      </c>
      <c r="Q639" t="s">
        <v>29</v>
      </c>
      <c r="R639" t="s">
        <v>249</v>
      </c>
    </row>
    <row r="640" spans="4:18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-0.32175529201986758</v>
      </c>
      <c r="H640" t="s">
        <v>40</v>
      </c>
      <c r="I640">
        <f>VLOOKUP(Table4[[#This Row],[Visitor]],'NHL Model'!$A$6:$B$38,2,FALSE)</f>
        <v>-0.47391784202962389</v>
      </c>
      <c r="J640">
        <f>($B$1+Table4[[#This Row],[Home Differential]])-Table4[[#This Row],[Away Differential]]</f>
        <v>0.24813254518041955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0.5701083954062276</v>
      </c>
      <c r="M640" t="str">
        <f>IF(OR((NHL2025_26Results[[#This Row],[Winning Team]]="")),"-",IF(Table4[[#This Row],[Predicted Winner]]=NHL2025_26Results[[#This Row],[Winning Team]],"YES","NO"))</f>
        <v>YES</v>
      </c>
      <c r="N640">
        <f>IF(Table4[[#This Row],[Adjusted Correct]]="-", "",IF(Table4[[#This Row],[Adjusted Correct]]="YES",(Table4[[#This Row],[Strength of Win]]-1)^2,(Table4[[#This Row],[Strength of Win]]-0)^2))</f>
        <v>0.18480679170020836</v>
      </c>
      <c r="O640">
        <v>0.14342177499266509</v>
      </c>
      <c r="P640" s="11">
        <v>0.56672023607807376</v>
      </c>
      <c r="Q640" t="s">
        <v>19</v>
      </c>
      <c r="R640" t="s">
        <v>248</v>
      </c>
    </row>
    <row r="641" spans="4:18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-0.38289376966531796</v>
      </c>
      <c r="H641" t="s">
        <v>34</v>
      </c>
      <c r="I641">
        <f>VLOOKUP(Table4[[#This Row],[Visitor]],'NHL Model'!$A$6:$B$38,2,FALSE)</f>
        <v>1.2879210938040288E-2</v>
      </c>
      <c r="J641">
        <f>($B$1+Table4[[#This Row],[Home Differential]])-Table4[[#This Row],[Away Differential]]</f>
        <v>-0.29980298543269501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0.50993744745193492</v>
      </c>
      <c r="M641" t="str">
        <f>IF(OR((NHL2025_26Results[[#This Row],[Winning Team]]="")),"-",IF(Table4[[#This Row],[Predicted Winner]]=NHL2025_26Results[[#This Row],[Winning Team]],"YES","NO"))</f>
        <v>YES</v>
      </c>
      <c r="N641">
        <f>IF(Table4[[#This Row],[Adjusted Correct]]="-", "",IF(Table4[[#This Row],[Adjusted Correct]]="YES",(Table4[[#This Row],[Strength of Win]]-1)^2,(Table4[[#This Row],[Strength of Win]]-0)^2))</f>
        <v>0.24016130540992506</v>
      </c>
      <c r="O641">
        <v>-0.52024466586881313</v>
      </c>
      <c r="P641" s="11">
        <v>0.54718241456357686</v>
      </c>
      <c r="Q641" t="s">
        <v>34</v>
      </c>
      <c r="R641" t="s">
        <v>248</v>
      </c>
    </row>
    <row r="642" spans="4:18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-0.42375285621939396</v>
      </c>
      <c r="H642" t="s">
        <v>15</v>
      </c>
      <c r="I642">
        <f>VLOOKUP(Table4[[#This Row],[Visitor]],'NHL Model'!$A$6:$B$38,2,FALSE)</f>
        <v>-0.6396663932228257</v>
      </c>
      <c r="J642">
        <f>($B$1+Table4[[#This Row],[Home Differential]])-Table4[[#This Row],[Away Differential]]</f>
        <v>0.31188353217409498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0.5190955826723459</v>
      </c>
      <c r="M642" t="str">
        <f>IF(OR((NHL2025_26Results[[#This Row],[Winning Team]]="")),"-",IF(Table4[[#This Row],[Predicted Winner]]=NHL2025_26Results[[#This Row],[Winning Team]],"YES","NO"))</f>
        <v>NO</v>
      </c>
      <c r="N642">
        <f>IF(Table4[[#This Row],[Adjusted Correct]]="-", "",IF(Table4[[#This Row],[Adjusted Correct]]="YES",(Table4[[#This Row],[Strength of Win]]-1)^2,(Table4[[#This Row],[Strength of Win]]-0)^2))</f>
        <v>0.26946022394994229</v>
      </c>
      <c r="O642">
        <v>0.2733201492600344</v>
      </c>
      <c r="P642" s="11">
        <v>0.51096042489532689</v>
      </c>
      <c r="Q642" t="s">
        <v>11</v>
      </c>
      <c r="R642" t="s">
        <v>249</v>
      </c>
    </row>
    <row r="643" spans="4:18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-1.2663626722629573</v>
      </c>
      <c r="H643" t="s">
        <v>20</v>
      </c>
      <c r="I643">
        <f>VLOOKUP(Table4[[#This Row],[Visitor]],'NHL Model'!$A$6:$B$38,2,FALSE)</f>
        <v>-4.774288798450349E-3</v>
      </c>
      <c r="J643">
        <f>($B$1+Table4[[#This Row],[Home Differential]])-Table4[[#This Row],[Away Differential]]</f>
        <v>-1.1656183882938438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0.6069612737545711</v>
      </c>
      <c r="M643" t="str">
        <f>IF(OR((NHL2025_26Results[[#This Row],[Winning Team]]="")),"-",IF(Table4[[#This Row],[Predicted Winner]]=NHL2025_26Results[[#This Row],[Winning Team]],"YES","NO"))</f>
        <v>NO</v>
      </c>
      <c r="N643">
        <f>IF(Table4[[#This Row],[Adjusted Correct]]="-", "",IF(Table4[[#This Row],[Adjusted Correct]]="YES",(Table4[[#This Row],[Strength of Win]]-1)^2,(Table4[[#This Row],[Strength of Win]]-0)^2))</f>
        <v>0.36840198783777139</v>
      </c>
      <c r="O643">
        <v>-1.0320041225596803</v>
      </c>
      <c r="P643" s="11">
        <v>0.59207603055752023</v>
      </c>
      <c r="Q643" t="s">
        <v>20</v>
      </c>
      <c r="R643" t="s">
        <v>249</v>
      </c>
    </row>
    <row r="644" spans="4:18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-1.2591310848703385</v>
      </c>
      <c r="H644" t="s">
        <v>32</v>
      </c>
      <c r="I644">
        <f>VLOOKUP(Table4[[#This Row],[Visitor]],'NHL Model'!$A$6:$B$38,2,FALSE)</f>
        <v>-0.57094405545214133</v>
      </c>
      <c r="J644">
        <f>($B$1+Table4[[#This Row],[Home Differential]])-Table4[[#This Row],[Away Differential]]</f>
        <v>-0.59221703424753402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0.51913705734897198</v>
      </c>
      <c r="M644" t="str">
        <f>IF(OR((NHL2025_26Results[[#This Row],[Winning Team]]="")),"-",IF(Table4[[#This Row],[Predicted Winner]]=NHL2025_26Results[[#This Row],[Winning Team]],"YES","NO"))</f>
        <v>YES</v>
      </c>
      <c r="N644">
        <f>IF(Table4[[#This Row],[Adjusted Correct]]="-", "",IF(Table4[[#This Row],[Adjusted Correct]]="YES",(Table4[[#This Row],[Strength of Win]]-1)^2,(Table4[[#This Row],[Strength of Win]]-0)^2))</f>
        <v>0.23122916961500586</v>
      </c>
      <c r="O644">
        <v>-0.12305433287131029</v>
      </c>
      <c r="P644" s="11">
        <v>0.47327202449348393</v>
      </c>
      <c r="Q644" t="s">
        <v>32</v>
      </c>
      <c r="R644" t="s">
        <v>248</v>
      </c>
    </row>
    <row r="645" spans="4:18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0.29527586190964761</v>
      </c>
      <c r="H645" t="s">
        <v>12</v>
      </c>
      <c r="I645">
        <f>VLOOKUP(Table4[[#This Row],[Visitor]],'NHL Model'!$A$6:$B$38,2,FALSE)</f>
        <v>1.1751846443488465</v>
      </c>
      <c r="J645">
        <f>($B$1+Table4[[#This Row],[Home Differential]])-Table4[[#This Row],[Away Differential]]</f>
        <v>-0.78393878726853572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0.56463418702073831</v>
      </c>
      <c r="M645" t="str">
        <f>IF(OR((NHL2025_26Results[[#This Row],[Winning Team]]="")),"-",IF(Table4[[#This Row],[Predicted Winner]]=NHL2025_26Results[[#This Row],[Winning Team]],"YES","NO"))</f>
        <v>YES</v>
      </c>
      <c r="N645">
        <f>IF(Table4[[#This Row],[Adjusted Correct]]="-", "",IF(Table4[[#This Row],[Adjusted Correct]]="YES",(Table4[[#This Row],[Strength of Win]]-1)^2,(Table4[[#This Row],[Strength of Win]]-0)^2))</f>
        <v>0.18954339111109347</v>
      </c>
      <c r="O645">
        <v>-1.3392348608337352</v>
      </c>
      <c r="P645" s="11">
        <v>0.65452898337131626</v>
      </c>
      <c r="Q645" t="s">
        <v>12</v>
      </c>
      <c r="R645" t="s">
        <v>248</v>
      </c>
    </row>
    <row r="646" spans="4:18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-0.42584667868780524</v>
      </c>
      <c r="H646" t="s">
        <v>23</v>
      </c>
      <c r="I646">
        <f>VLOOKUP(Table4[[#This Row],[Visitor]],'NHL Model'!$A$6:$B$38,2,FALSE)</f>
        <v>2.7346770720058793E-2</v>
      </c>
      <c r="J646">
        <f>($B$1+Table4[[#This Row],[Home Differential]])-Table4[[#This Row],[Away Differential]]</f>
        <v>-0.35722345423720081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0.51644051794600809</v>
      </c>
      <c r="M646" t="str">
        <f>IF(OR((NHL2025_26Results[[#This Row],[Winning Team]]="")),"-",IF(Table4[[#This Row],[Predicted Winner]]=NHL2025_26Results[[#This Row],[Winning Team]],"YES","NO"))</f>
        <v>NO</v>
      </c>
      <c r="N646">
        <f>IF(Table4[[#This Row],[Adjusted Correct]]="-", "",IF(Table4[[#This Row],[Adjusted Correct]]="YES",(Table4[[#This Row],[Strength of Win]]-1)^2,(Table4[[#This Row],[Strength of Win]]-0)^2))</f>
        <v>0.26671080857634111</v>
      </c>
      <c r="O646">
        <v>-0.31796849869557647</v>
      </c>
      <c r="P646" s="11">
        <v>0.49379368739036367</v>
      </c>
      <c r="Q646" t="s">
        <v>23</v>
      </c>
      <c r="R646" t="s">
        <v>249</v>
      </c>
    </row>
    <row r="647" spans="4:18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-0.79148902514100783</v>
      </c>
      <c r="H647" t="s">
        <v>29</v>
      </c>
      <c r="I647">
        <f>VLOOKUP(Table4[[#This Row],[Visitor]],'NHL Model'!$A$6:$B$38,2,FALSE)</f>
        <v>-0.74313650334688619</v>
      </c>
      <c r="J647">
        <f>($B$1+Table4[[#This Row],[Home Differential]])-Table4[[#This Row],[Away Differential]]</f>
        <v>4.7617473376541652E-2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0.54475494133237767</v>
      </c>
      <c r="M647" t="str">
        <f>IF(OR((NHL2025_26Results[[#This Row],[Winning Team]]="")),"-",IF(Table4[[#This Row],[Predicted Winner]]=NHL2025_26Results[[#This Row],[Winning Team]],"YES","NO"))</f>
        <v>NO</v>
      </c>
      <c r="N647">
        <f>IF(Table4[[#This Row],[Adjusted Correct]]="-", "",IF(Table4[[#This Row],[Adjusted Correct]]="YES",(Table4[[#This Row],[Strength of Win]]-1)^2,(Table4[[#This Row],[Strength of Win]]-0)^2))</f>
        <v>0.29675794610604223</v>
      </c>
      <c r="O647">
        <v>0.16696403542359595</v>
      </c>
      <c r="P647" s="11">
        <v>0.59633702781733111</v>
      </c>
      <c r="Q647" t="s">
        <v>16</v>
      </c>
      <c r="R647" t="s">
        <v>249</v>
      </c>
    </row>
    <row r="648" spans="4:18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-0.17319925920548884</v>
      </c>
      <c r="H648" t="s">
        <v>14</v>
      </c>
      <c r="I648">
        <f>VLOOKUP(Table4[[#This Row],[Visitor]],'NHL Model'!$A$6:$B$38,2,FALSE)</f>
        <v>3.24300967767114E-5</v>
      </c>
      <c r="J648">
        <f>($B$1+Table4[[#This Row],[Home Differential]])-Table4[[#This Row],[Away Differential]]</f>
        <v>-7.7261694131602304E-2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0.46423686546506432</v>
      </c>
      <c r="M648" t="str">
        <f>IF(OR((NHL2025_26Results[[#This Row],[Winning Team]]="")),"-",IF(Table4[[#This Row],[Predicted Winner]]=NHL2025_26Results[[#This Row],[Winning Team]],"YES","NO"))</f>
        <v>YES</v>
      </c>
      <c r="N648">
        <f>IF(Table4[[#This Row],[Adjusted Correct]]="-", "",IF(Table4[[#This Row],[Adjusted Correct]]="YES",(Table4[[#This Row],[Strength of Win]]-1)^2,(Table4[[#This Row],[Strength of Win]]-0)^2))</f>
        <v>0.2870421363266995</v>
      </c>
      <c r="O648">
        <v>-5.8555891278034684E-2</v>
      </c>
      <c r="P648" s="11">
        <v>0.4329474571995528</v>
      </c>
      <c r="Q648" t="s">
        <v>14</v>
      </c>
      <c r="R648" t="s">
        <v>248</v>
      </c>
    </row>
    <row r="649" spans="4:18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-0.20041140176017086</v>
      </c>
      <c r="H649" t="s">
        <v>27</v>
      </c>
      <c r="I649">
        <f>VLOOKUP(Table4[[#This Row],[Visitor]],'NHL Model'!$A$6:$B$38,2,FALSE)</f>
        <v>-0.32182316569099201</v>
      </c>
      <c r="J649">
        <f>($B$1+Table4[[#This Row],[Home Differential]])-Table4[[#This Row],[Away Differential]]</f>
        <v>0.21738175910148438</v>
      </c>
      <c r="K649" t="str">
        <f>IF(Table4[[#This Row],[HomeIce Differential]]&gt;0,Table4[[#This Row],[Home]],Table4[[#This Row],[Visitor]])</f>
        <v>Edmonton Oilers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0.55111887005947746</v>
      </c>
      <c r="M649" t="str">
        <f>IF(OR((NHL2025_26Results[[#This Row],[Winning Team]]="")),"-",IF(Table4[[#This Row],[Predicted Winner]]=NHL2025_26Results[[#This Row],[Winning Team]],"YES","NO"))</f>
        <v>NO</v>
      </c>
      <c r="N649">
        <f>IF(Table4[[#This Row],[Adjusted Correct]]="-", "",IF(Table4[[#This Row],[Adjusted Correct]]="YES",(Table4[[#This Row],[Strength of Win]]-1)^2,(Table4[[#This Row],[Strength of Win]]-0)^2))</f>
        <v>0.30373200893563518</v>
      </c>
      <c r="O649">
        <v>-3.1363967290720551E-2</v>
      </c>
      <c r="P649" s="11">
        <v>0.44939750192658034</v>
      </c>
      <c r="Q649" t="s">
        <v>27</v>
      </c>
      <c r="R649" t="s">
        <v>248</v>
      </c>
    </row>
    <row r="650" spans="4:18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-0.43624947117902363</v>
      </c>
      <c r="H650" t="s">
        <v>34</v>
      </c>
      <c r="I650">
        <f>VLOOKUP(Table4[[#This Row],[Visitor]],'NHL Model'!$A$6:$B$38,2,FALSE)</f>
        <v>1.2879210938040288E-2</v>
      </c>
      <c r="J650">
        <f>($B$1+Table4[[#This Row],[Home Differential]])-Table4[[#This Row],[Away Differential]]</f>
        <v>-0.35315868694640068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0.55179431704811899</v>
      </c>
      <c r="M650" t="str">
        <f>IF(OR((NHL2025_26Results[[#This Row],[Winning Team]]="")),"-",IF(Table4[[#This Row],[Predicted Winner]]=NHL2025_26Results[[#This Row],[Winning Team]],"YES","NO"))</f>
        <v>NO</v>
      </c>
      <c r="N650">
        <f>IF(Table4[[#This Row],[Adjusted Correct]]="-", "",IF(Table4[[#This Row],[Adjusted Correct]]="YES",(Table4[[#This Row],[Strength of Win]]-1)^2,(Table4[[#This Row],[Strength of Win]]-0)^2))</f>
        <v>0.30447696832660004</v>
      </c>
      <c r="O650">
        <v>-0.5751399739919365</v>
      </c>
      <c r="P650" s="11">
        <v>0.58744165749683552</v>
      </c>
      <c r="Q650" t="s">
        <v>34</v>
      </c>
      <c r="R650" t="s">
        <v>249</v>
      </c>
    </row>
    <row r="651" spans="4:18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-0.52712015292731806</v>
      </c>
      <c r="H651" t="s">
        <v>55</v>
      </c>
      <c r="I651">
        <f>VLOOKUP(Table4[[#This Row],[Visitor]],'NHL Model'!$A$6:$B$38,2,FALSE)</f>
        <v>0.12055191373383152</v>
      </c>
      <c r="J651">
        <f>($B$1+Table4[[#This Row],[Home Differential]])-Table4[[#This Row],[Away Differential]]</f>
        <v>-0.55170207149048633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0.51509135191076338</v>
      </c>
      <c r="M651" t="str">
        <f>IF(OR((NHL2025_26Results[[#This Row],[Winning Team]]="")),"-",IF(Table4[[#This Row],[Predicted Winner]]=NHL2025_26Results[[#This Row],[Winning Team]],"YES","NO"))</f>
        <v>NO</v>
      </c>
      <c r="N651">
        <f>IF(Table4[[#This Row],[Adjusted Correct]]="-", "",IF(Table4[[#This Row],[Adjusted Correct]]="YES",(Table4[[#This Row],[Strength of Win]]-1)^2,(Table4[[#This Row],[Strength of Win]]-0)^2))</f>
        <v>0.26531910081325788</v>
      </c>
      <c r="O651">
        <v>-0.31578709276034944</v>
      </c>
      <c r="P651" s="11">
        <v>0.49356184759947569</v>
      </c>
      <c r="Q651" t="s">
        <v>55</v>
      </c>
      <c r="R651" t="s">
        <v>249</v>
      </c>
    </row>
    <row r="652" spans="4:18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-0.20908736804509698</v>
      </c>
      <c r="H652" t="s">
        <v>19</v>
      </c>
      <c r="I652">
        <f>VLOOKUP(Table4[[#This Row],[Visitor]],'NHL Model'!$A$6:$B$38,2,FALSE)</f>
        <v>-0.32175529201986758</v>
      </c>
      <c r="J652">
        <f>($B$1+Table4[[#This Row],[Home Differential]])-Table4[[#This Row],[Away Differential]]</f>
        <v>0.20863791914543384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0.56985357896548194</v>
      </c>
      <c r="M652" t="str">
        <f>IF(OR((NHL2025_26Results[[#This Row],[Winning Team]]="")),"-",IF(Table4[[#This Row],[Predicted Winner]]=NHL2025_26Results[[#This Row],[Winning Team]],"YES","NO"))</f>
        <v>YES</v>
      </c>
      <c r="N652">
        <f>IF(Table4[[#This Row],[Adjusted Correct]]="-", "",IF(Table4[[#This Row],[Adjusted Correct]]="YES",(Table4[[#This Row],[Strength of Win]]-1)^2,(Table4[[#This Row],[Strength of Win]]-0)^2))</f>
        <v>0.18502594352880489</v>
      </c>
      <c r="O652">
        <v>0.26685126995331337</v>
      </c>
      <c r="P652" s="11">
        <v>0.57085642827167993</v>
      </c>
      <c r="Q652" t="s">
        <v>30</v>
      </c>
      <c r="R652" t="s">
        <v>248</v>
      </c>
    </row>
    <row r="653" spans="4:18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-0.40390734274709933</v>
      </c>
      <c r="H653" t="s">
        <v>40</v>
      </c>
      <c r="I653">
        <f>VLOOKUP(Table4[[#This Row],[Visitor]],'NHL Model'!$A$6:$B$38,2,FALSE)</f>
        <v>-0.47391784202962389</v>
      </c>
      <c r="J653">
        <f>($B$1+Table4[[#This Row],[Home Differential]])-Table4[[#This Row],[Away Differential]]</f>
        <v>0.1659804944531878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0.55657432571449172</v>
      </c>
      <c r="M653" t="str">
        <f>IF(OR((NHL2025_26Results[[#This Row],[Winning Team]]="")),"-",IF(Table4[[#This Row],[Predicted Winner]]=NHL2025_26Results[[#This Row],[Winning Team]],"YES","NO"))</f>
        <v>YES</v>
      </c>
      <c r="N653">
        <f>IF(Table4[[#This Row],[Adjusted Correct]]="-", "",IF(Table4[[#This Row],[Adjusted Correct]]="YES",(Table4[[#This Row],[Strength of Win]]-1)^2,(Table4[[#This Row],[Strength of Win]]-0)^2))</f>
        <v>0.19662632861555768</v>
      </c>
      <c r="O653">
        <v>0.26506266507840248</v>
      </c>
      <c r="P653" s="11">
        <v>0.56817085616739682</v>
      </c>
      <c r="Q653" t="s">
        <v>36</v>
      </c>
      <c r="R653" t="s">
        <v>248</v>
      </c>
    </row>
    <row r="654" spans="4:18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-0.53461960928306718</v>
      </c>
      <c r="H654" t="s">
        <v>37</v>
      </c>
      <c r="I654">
        <f>VLOOKUP(Table4[[#This Row],[Visitor]],'NHL Model'!$A$6:$B$38,2,FALSE)</f>
        <v>0.65340538721281671</v>
      </c>
      <c r="J654">
        <f>($B$1+Table4[[#This Row],[Home Differential]])-Table4[[#This Row],[Away Differential]]</f>
        <v>-1.0920550013252206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0.6659075595122067</v>
      </c>
      <c r="M654" t="str">
        <f>IF(OR((NHL2025_26Results[[#This Row],[Winning Team]]="")),"-",IF(Table4[[#This Row],[Predicted Winner]]=NHL2025_26Results[[#This Row],[Winning Team]],"YES","NO"))</f>
        <v>YES</v>
      </c>
      <c r="N654">
        <f>IF(Table4[[#This Row],[Adjusted Correct]]="-", "",IF(Table4[[#This Row],[Adjusted Correct]]="YES",(Table4[[#This Row],[Strength of Win]]-1)^2,(Table4[[#This Row],[Strength of Win]]-0)^2))</f>
        <v>0.11161775879108971</v>
      </c>
      <c r="O654">
        <v>-0.90085173423704201</v>
      </c>
      <c r="P654" s="11">
        <v>0.64196099653269434</v>
      </c>
      <c r="Q654" t="s">
        <v>37</v>
      </c>
      <c r="R654" t="s">
        <v>248</v>
      </c>
    </row>
    <row r="655" spans="4:18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-1.2663626722629573</v>
      </c>
      <c r="H655" t="s">
        <v>18</v>
      </c>
      <c r="I655">
        <f>VLOOKUP(Table4[[#This Row],[Visitor]],'NHL Model'!$A$6:$B$38,2,FALSE)</f>
        <v>-0.23645483545724041</v>
      </c>
      <c r="J655">
        <f>($B$1+Table4[[#This Row],[Home Differential]])-Table4[[#This Row],[Away Differential]]</f>
        <v>-0.93393784163505367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0.59254702888528643</v>
      </c>
      <c r="M655" t="str">
        <f>IF(OR((NHL2025_26Results[[#This Row],[Winning Team]]="")),"-",IF(Table4[[#This Row],[Predicted Winner]]=NHL2025_26Results[[#This Row],[Winning Team]],"YES","NO"))</f>
        <v>NO</v>
      </c>
      <c r="N655">
        <f>IF(Table4[[#This Row],[Adjusted Correct]]="-", "",IF(Table4[[#This Row],[Adjusted Correct]]="YES",(Table4[[#This Row],[Strength of Win]]-1)^2,(Table4[[#This Row],[Strength of Win]]-0)^2))</f>
        <v>0.35111198144078049</v>
      </c>
      <c r="O655">
        <v>-0.95361239452531932</v>
      </c>
      <c r="P655" s="11">
        <v>0.62766570081511563</v>
      </c>
      <c r="Q655" t="s">
        <v>18</v>
      </c>
      <c r="R655" t="s">
        <v>249</v>
      </c>
    </row>
    <row r="656" spans="4:18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-1.2591310848703385</v>
      </c>
      <c r="H656" t="s">
        <v>21</v>
      </c>
      <c r="I656">
        <f>VLOOKUP(Table4[[#This Row],[Visitor]],'NHL Model'!$A$6:$B$38,2,FALSE)</f>
        <v>-5.5047914862176604E-2</v>
      </c>
      <c r="J656">
        <f>($B$1+Table4[[#This Row],[Home Differential]])-Table4[[#This Row],[Away Differential]]</f>
        <v>-1.1081131748374988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0.57065293394131955</v>
      </c>
      <c r="M656" t="str">
        <f>IF(OR((NHL2025_26Results[[#This Row],[Winning Team]]="")),"-",IF(Table4[[#This Row],[Predicted Winner]]=NHL2025_26Results[[#This Row],[Winning Team]],"YES","NO"))</f>
        <v>YES</v>
      </c>
      <c r="N656">
        <f>IF(Table4[[#This Row],[Adjusted Correct]]="-", "",IF(Table4[[#This Row],[Adjusted Correct]]="YES",(Table4[[#This Row],[Strength of Win]]-1)^2,(Table4[[#This Row],[Strength of Win]]-0)^2))</f>
        <v>0.18433890313319692</v>
      </c>
      <c r="O656">
        <v>-0.46843561711935489</v>
      </c>
      <c r="P656" s="11">
        <v>0.50978533053552388</v>
      </c>
      <c r="Q656" t="s">
        <v>21</v>
      </c>
      <c r="R656" t="s">
        <v>248</v>
      </c>
    </row>
    <row r="657" spans="4:18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-8.9159851516330005E-2</v>
      </c>
      <c r="H657" t="s">
        <v>10</v>
      </c>
      <c r="I657">
        <f>VLOOKUP(Table4[[#This Row],[Visitor]],'NHL Model'!$A$6:$B$38,2,FALSE)</f>
        <v>-0.70456324341534593</v>
      </c>
      <c r="J657">
        <f>($B$1+Table4[[#This Row],[Home Differential]])-Table4[[#This Row],[Away Differential]]</f>
        <v>0.71137338706967923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0.61103566151406641</v>
      </c>
      <c r="M657" t="str">
        <f>IF(OR((NHL2025_26Results[[#This Row],[Winning Team]]="")),"-",IF(Table4[[#This Row],[Predicted Winner]]=NHL2025_26Results[[#This Row],[Winning Team]],"YES","NO"))</f>
        <v>NO</v>
      </c>
      <c r="N657">
        <f>IF(Table4[[#This Row],[Adjusted Correct]]="-", "",IF(Table4[[#This Row],[Adjusted Correct]]="YES",(Table4[[#This Row],[Strength of Win]]-1)^2,(Table4[[#This Row],[Strength of Win]]-0)^2))</f>
        <v>0.37336457964193276</v>
      </c>
      <c r="O657">
        <v>0.92868552427500728</v>
      </c>
      <c r="P657" s="11">
        <v>0.65271730443445475</v>
      </c>
      <c r="Q657" t="s">
        <v>22</v>
      </c>
      <c r="R657" t="s">
        <v>249</v>
      </c>
    </row>
    <row r="658" spans="4:18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-0.42584667868780524</v>
      </c>
      <c r="H658" t="s">
        <v>14</v>
      </c>
      <c r="I658">
        <f>VLOOKUP(Table4[[#This Row],[Visitor]],'NHL Model'!$A$6:$B$38,2,FALSE)</f>
        <v>3.24300967767114E-5</v>
      </c>
      <c r="J658">
        <f>($B$1+Table4[[#This Row],[Home Differential]])-Table4[[#This Row],[Away Differential]]</f>
        <v>-0.32990911361391873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0.54203466626689767</v>
      </c>
      <c r="M658" t="str">
        <f>IF(OR((NHL2025_26Results[[#This Row],[Winning Team]]="")),"-",IF(Table4[[#This Row],[Predicted Winner]]=NHL2025_26Results[[#This Row],[Winning Team]],"YES","NO"))</f>
        <v>YES</v>
      </c>
      <c r="N658">
        <f>IF(Table4[[#This Row],[Adjusted Correct]]="-", "",IF(Table4[[#This Row],[Adjusted Correct]]="YES",(Table4[[#This Row],[Strength of Win]]-1)^2,(Table4[[#This Row],[Strength of Win]]-0)^2))</f>
        <v>0.20973224690127179</v>
      </c>
      <c r="O658">
        <v>-0.1379925267173791</v>
      </c>
      <c r="P658" s="11">
        <v>0.49518014655224557</v>
      </c>
      <c r="Q658" t="s">
        <v>14</v>
      </c>
      <c r="R658" t="s">
        <v>248</v>
      </c>
    </row>
    <row r="659" spans="4:18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-0.70456324341534593</v>
      </c>
      <c r="H659" t="s">
        <v>20</v>
      </c>
      <c r="I659">
        <f>VLOOKUP(Table4[[#This Row],[Visitor]],'NHL Model'!$A$6:$B$38,2,FALSE)</f>
        <v>-4.774288798450349E-3</v>
      </c>
      <c r="J659">
        <f>($B$1+Table4[[#This Row],[Home Differential]])-Table4[[#This Row],[Away Differential]]</f>
        <v>-0.60381895944623232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0.55086162933182337</v>
      </c>
      <c r="M659" t="str">
        <f>IF(OR((NHL2025_26Results[[#This Row],[Winning Team]]="")),"-",IF(Table4[[#This Row],[Predicted Winner]]=NHL2025_26Results[[#This Row],[Winning Team]],"YES","NO"))</f>
        <v>NO</v>
      </c>
      <c r="N659">
        <f>IF(Table4[[#This Row],[Adjusted Correct]]="-", "",IF(Table4[[#This Row],[Adjusted Correct]]="YES",(Table4[[#This Row],[Strength of Win]]-1)^2,(Table4[[#This Row],[Strength of Win]]-0)^2))</f>
        <v>0.30344853467011118</v>
      </c>
      <c r="O659">
        <v>-0.38527348591257271</v>
      </c>
      <c r="P659" s="11">
        <v>0.50752482431619184</v>
      </c>
      <c r="Q659" t="s">
        <v>20</v>
      </c>
      <c r="R659" t="s">
        <v>249</v>
      </c>
    </row>
    <row r="660" spans="4:18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0.21259592260910548</v>
      </c>
      <c r="H660" t="s">
        <v>18</v>
      </c>
      <c r="I660">
        <f>VLOOKUP(Table4[[#This Row],[Visitor]],'NHL Model'!$A$6:$B$38,2,FALSE)</f>
        <v>-0.23645483545724041</v>
      </c>
      <c r="J660">
        <f>($B$1+Table4[[#This Row],[Home Differential]])-Table4[[#This Row],[Away Differential]]</f>
        <v>0.54502075323700916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0.57442417505181909</v>
      </c>
      <c r="M660" t="str">
        <f>IF(OR((NHL2025_26Results[[#This Row],[Winning Team]]="")),"-",IF(Table4[[#This Row],[Predicted Winner]]=NHL2025_26Results[[#This Row],[Winning Team]],"YES","NO"))</f>
        <v>NO</v>
      </c>
      <c r="N660">
        <f>IF(Table4[[#This Row],[Adjusted Correct]]="-", "",IF(Table4[[#This Row],[Adjusted Correct]]="YES",(Table4[[#This Row],[Strength of Win]]-1)^2,(Table4[[#This Row],[Strength of Win]]-0)^2))</f>
        <v>0.3299631328839629</v>
      </c>
      <c r="O660">
        <v>0.78512566392204741</v>
      </c>
      <c r="P660" s="11">
        <v>0.59418782178080576</v>
      </c>
      <c r="Q660" t="s">
        <v>39</v>
      </c>
      <c r="R660" t="s">
        <v>249</v>
      </c>
    </row>
    <row r="661" spans="4:18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-0.42375285621939396</v>
      </c>
      <c r="H661" t="s">
        <v>12</v>
      </c>
      <c r="I661">
        <f>VLOOKUP(Table4[[#This Row],[Visitor]],'NHL Model'!$A$6:$B$38,2,FALSE)</f>
        <v>1.1751846443488465</v>
      </c>
      <c r="J661">
        <f>($B$1+Table4[[#This Row],[Home Differential]])-Table4[[#This Row],[Away Differential]]</f>
        <v>-1.5029675053975773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0.67998351984254268</v>
      </c>
      <c r="M661" t="str">
        <f>IF(OR((NHL2025_26Results[[#This Row],[Winning Team]]="")),"-",IF(Table4[[#This Row],[Predicted Winner]]=NHL2025_26Results[[#This Row],[Winning Team]],"YES","NO"))</f>
        <v>NO</v>
      </c>
      <c r="N661">
        <f>IF(Table4[[#This Row],[Adjusted Correct]]="-", "",IF(Table4[[#This Row],[Adjusted Correct]]="YES",(Table4[[#This Row],[Strength of Win]]-1)^2,(Table4[[#This Row],[Strength of Win]]-0)^2))</f>
        <v>0.46237758725745365</v>
      </c>
      <c r="O661">
        <v>-1.707839778105223</v>
      </c>
      <c r="P661" s="11">
        <v>0.73084030454007021</v>
      </c>
      <c r="Q661" t="s">
        <v>12</v>
      </c>
      <c r="R661" t="s">
        <v>249</v>
      </c>
    </row>
    <row r="662" spans="4:18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-0.52712015292731806</v>
      </c>
      <c r="H662" t="s">
        <v>25</v>
      </c>
      <c r="I662">
        <f>VLOOKUP(Table4[[#This Row],[Visitor]],'NHL Model'!$A$6:$B$38,2,FALSE)</f>
        <v>0.29527586190964761</v>
      </c>
      <c r="J662">
        <f>($B$1+Table4[[#This Row],[Home Differential]])-Table4[[#This Row],[Away Differential]]</f>
        <v>-0.72642601966630238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0.59182660711626112</v>
      </c>
      <c r="M662" t="str">
        <f>IF(OR((NHL2025_26Results[[#This Row],[Winning Team]]="")),"-",IF(Table4[[#This Row],[Predicted Winner]]=NHL2025_26Results[[#This Row],[Winning Team]],"YES","NO"))</f>
        <v>YES</v>
      </c>
      <c r="N662">
        <f>IF(Table4[[#This Row],[Adjusted Correct]]="-", "",IF(Table4[[#This Row],[Adjusted Correct]]="YES",(Table4[[#This Row],[Strength of Win]]-1)^2,(Table4[[#This Row],[Strength of Win]]-0)^2))</f>
        <v>0.16660551865822307</v>
      </c>
      <c r="O662">
        <v>-0.35196784982422791</v>
      </c>
      <c r="P662" s="11">
        <v>0.5495774239576936</v>
      </c>
      <c r="Q662" t="s">
        <v>25</v>
      </c>
      <c r="R662" t="s">
        <v>248</v>
      </c>
    </row>
    <row r="663" spans="4:18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-0.79148902514100783</v>
      </c>
      <c r="H663" t="s">
        <v>32</v>
      </c>
      <c r="I663">
        <f>VLOOKUP(Table4[[#This Row],[Visitor]],'NHL Model'!$A$6:$B$38,2,FALSE)</f>
        <v>-0.57094405545214133</v>
      </c>
      <c r="J663">
        <f>($B$1+Table4[[#This Row],[Home Differential]])-Table4[[#This Row],[Away Differential]]</f>
        <v>-0.12457497451820321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0.47243969184657136</v>
      </c>
      <c r="M663" t="str">
        <f>IF(OR((NHL2025_26Results[[#This Row],[Winning Team]]="")),"-",IF(Table4[[#This Row],[Predicted Winner]]=NHL2025_26Results[[#This Row],[Winning Team]],"YES","NO"))</f>
        <v>YES</v>
      </c>
      <c r="N663">
        <f>IF(Table4[[#This Row],[Adjusted Correct]]="-", "",IF(Table4[[#This Row],[Adjusted Correct]]="YES",(Table4[[#This Row],[Strength of Win]]-1)^2,(Table4[[#This Row],[Strength of Win]]-0)^2))</f>
        <v>0.27831987873894054</v>
      </c>
      <c r="O663">
        <v>8.5435922058882896E-2</v>
      </c>
      <c r="P663" s="11">
        <v>0.56769092458689374</v>
      </c>
      <c r="Q663" t="s">
        <v>16</v>
      </c>
      <c r="R663" t="s">
        <v>249</v>
      </c>
    </row>
    <row r="664" spans="4:18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-0.43624947117902363</v>
      </c>
      <c r="H664" t="s">
        <v>34</v>
      </c>
      <c r="I664">
        <f>VLOOKUP(Table4[[#This Row],[Visitor]],'NHL Model'!$A$6:$B$38,2,FALSE)</f>
        <v>1.2879210938040288E-2</v>
      </c>
      <c r="J664">
        <f>($B$1+Table4[[#This Row],[Home Differential]])-Table4[[#This Row],[Away Differential]]</f>
        <v>-0.35315868694640068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0.55179431704811899</v>
      </c>
      <c r="M664" t="str">
        <f>IF(OR((NHL2025_26Results[[#This Row],[Winning Team]]="")),"-",IF(Table4[[#This Row],[Predicted Winner]]=NHL2025_26Results[[#This Row],[Winning Team]],"YES","NO"))</f>
        <v>NO</v>
      </c>
      <c r="N664">
        <f>IF(Table4[[#This Row],[Adjusted Correct]]="-", "",IF(Table4[[#This Row],[Adjusted Correct]]="YES",(Table4[[#This Row],[Strength of Win]]-1)^2,(Table4[[#This Row],[Strength of Win]]-0)^2))</f>
        <v>0.30447696832660004</v>
      </c>
      <c r="O664">
        <v>-0.48850702586941203</v>
      </c>
      <c r="P664" s="11">
        <v>0.56484096641083315</v>
      </c>
      <c r="Q664" t="s">
        <v>34</v>
      </c>
      <c r="R664" t="s">
        <v>249</v>
      </c>
    </row>
    <row r="665" spans="4:18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-0.6396663932228257</v>
      </c>
      <c r="H665" t="s">
        <v>55</v>
      </c>
      <c r="I665">
        <f>VLOOKUP(Table4[[#This Row],[Visitor]],'NHL Model'!$A$6:$B$38,2,FALSE)</f>
        <v>0.12055191373383152</v>
      </c>
      <c r="J665">
        <f>($B$1+Table4[[#This Row],[Home Differential]])-Table4[[#This Row],[Away Differential]]</f>
        <v>-0.66424831178599397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0.52632988961210336</v>
      </c>
      <c r="M665" t="str">
        <f>IF(OR((NHL2025_26Results[[#This Row],[Winning Team]]="")),"-",IF(Table4[[#This Row],[Predicted Winner]]=NHL2025_26Results[[#This Row],[Winning Team]],"YES","NO"))</f>
        <v>YES</v>
      </c>
      <c r="N665">
        <f>IF(Table4[[#This Row],[Adjusted Correct]]="-", "",IF(Table4[[#This Row],[Adjusted Correct]]="YES",(Table4[[#This Row],[Strength of Win]]-1)^2,(Table4[[#This Row],[Strength of Win]]-0)^2))</f>
        <v>0.22436337347488219</v>
      </c>
      <c r="O665">
        <v>-6.6993406126078847E-2</v>
      </c>
      <c r="P665" s="11">
        <v>0.46695324626845397</v>
      </c>
      <c r="Q665" t="s">
        <v>55</v>
      </c>
      <c r="R665" t="s">
        <v>248</v>
      </c>
    </row>
    <row r="666" spans="4:18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-0.40390734274709933</v>
      </c>
      <c r="H666" t="s">
        <v>26</v>
      </c>
      <c r="I666">
        <f>VLOOKUP(Table4[[#This Row],[Visitor]],'NHL Model'!$A$6:$B$38,2,FALSE)</f>
        <v>-0.17319925920548884</v>
      </c>
      <c r="J666">
        <f>($B$1+Table4[[#This Row],[Home Differential]])-Table4[[#This Row],[Away Differential]]</f>
        <v>-0.13473808837094725</v>
      </c>
      <c r="K666" t="str">
        <f>IF(Table4[[#This Row],[HomeIce Differential]]&gt;0,Table4[[#This Row],[Home]],Table4[[#This Row],[Visitor]])</f>
        <v>Detroit Red Wings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0.51274128384771789</v>
      </c>
      <c r="M666" t="str">
        <f>IF(OR((NHL2025_26Results[[#This Row],[Winning Team]]="")),"-",IF(Table4[[#This Row],[Predicted Winner]]=NHL2025_26Results[[#This Row],[Winning Team]],"YES","NO"))</f>
        <v>YES</v>
      </c>
      <c r="N666">
        <f>IF(Table4[[#This Row],[Adjusted Correct]]="-", "",IF(Table4[[#This Row],[Adjusted Correct]]="YES",(Table4[[#This Row],[Strength of Win]]-1)^2,(Table4[[#This Row],[Strength of Win]]-0)^2))</f>
        <v>0.23742105646637024</v>
      </c>
      <c r="O666">
        <v>0.35592941360234703</v>
      </c>
      <c r="P666" s="11">
        <v>0.55617268650402929</v>
      </c>
      <c r="Q666" t="s">
        <v>36</v>
      </c>
      <c r="R666" t="s">
        <v>249</v>
      </c>
    </row>
    <row r="667" spans="4:18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-8.9159851516330005E-2</v>
      </c>
      <c r="H667" t="s">
        <v>31</v>
      </c>
      <c r="I667">
        <f>VLOOKUP(Table4[[#This Row],[Visitor]],'NHL Model'!$A$6:$B$38,2,FALSE)</f>
        <v>-0.38289376966531796</v>
      </c>
      <c r="J667">
        <f>($B$1+Table4[[#This Row],[Home Differential]])-Table4[[#This Row],[Away Differential]]</f>
        <v>0.38970391331965121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0.5789146906258531</v>
      </c>
      <c r="M667" t="str">
        <f>IF(OR((NHL2025_26Results[[#This Row],[Winning Team]]="")),"-",IF(Table4[[#This Row],[Predicted Winner]]=NHL2025_26Results[[#This Row],[Winning Team]],"YES","NO"))</f>
        <v>YES</v>
      </c>
      <c r="N667">
        <f>IF(Table4[[#This Row],[Adjusted Correct]]="-", "",IF(Table4[[#This Row],[Adjusted Correct]]="YES",(Table4[[#This Row],[Strength of Win]]-1)^2,(Table4[[#This Row],[Strength of Win]]-0)^2))</f>
        <v>0.17731283777072102</v>
      </c>
      <c r="O667">
        <v>0.55788024808914793</v>
      </c>
      <c r="P667" s="11">
        <v>0.60039787553823809</v>
      </c>
      <c r="Q667" t="s">
        <v>22</v>
      </c>
      <c r="R667" t="s">
        <v>248</v>
      </c>
    </row>
    <row r="668" spans="4:18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2.7346770720058793E-2</v>
      </c>
      <c r="H668" t="s">
        <v>38</v>
      </c>
      <c r="I668">
        <f>VLOOKUP(Table4[[#This Row],[Visitor]],'NHL Model'!$A$6:$B$38,2,FALSE)</f>
        <v>-1.2591310848703385</v>
      </c>
      <c r="J668">
        <f>($B$1+Table4[[#This Row],[Home Differential]])-Table4[[#This Row],[Away Differential]]</f>
        <v>1.3824478507610607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0.71986537246729188</v>
      </c>
      <c r="M668" t="str">
        <f>IF(OR((NHL2025_26Results[[#This Row],[Winning Team]]="")),"-",IF(Table4[[#This Row],[Predicted Winner]]=NHL2025_26Results[[#This Row],[Winning Team]],"YES","NO"))</f>
        <v>YES</v>
      </c>
      <c r="N668">
        <f>IF(Table4[[#This Row],[Adjusted Correct]]="-", "",IF(Table4[[#This Row],[Adjusted Correct]]="YES",(Table4[[#This Row],[Strength of Win]]-1)^2,(Table4[[#This Row],[Strength of Win]]-0)^2))</f>
        <v>7.8475409542889119E-2</v>
      </c>
      <c r="O668">
        <v>0.65650839104440339</v>
      </c>
      <c r="P668" s="11">
        <v>0.60442613074402696</v>
      </c>
      <c r="Q668" t="s">
        <v>23</v>
      </c>
      <c r="R668" t="s">
        <v>248</v>
      </c>
    </row>
    <row r="669" spans="4:18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0.29527586190964761</v>
      </c>
      <c r="H669" t="s">
        <v>39</v>
      </c>
      <c r="I669">
        <f>VLOOKUP(Table4[[#This Row],[Visitor]],'NHL Model'!$A$6:$B$38,2,FALSE)</f>
        <v>0.21259592260910548</v>
      </c>
      <c r="J669">
        <f>($B$1+Table4[[#This Row],[Home Differential]])-Table4[[#This Row],[Away Differential]]</f>
        <v>0.17864993447120536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0.5632940043171859</v>
      </c>
      <c r="M669" t="str">
        <f>IF(OR((NHL2025_26Results[[#This Row],[Winning Team]]="")),"-",IF(Table4[[#This Row],[Predicted Winner]]=NHL2025_26Results[[#This Row],[Winning Team]],"YES","NO"))</f>
        <v>YES</v>
      </c>
      <c r="N669">
        <f>IF(Table4[[#This Row],[Adjusted Correct]]="-", "",IF(Table4[[#This Row],[Adjusted Correct]]="YES",(Table4[[#This Row],[Strength of Win]]-1)^2,(Table4[[#This Row],[Strength of Win]]-0)^2))</f>
        <v>0.19071212666531803</v>
      </c>
      <c r="O669">
        <v>-0.19563528179519984</v>
      </c>
      <c r="P669" s="11">
        <v>0.53184401896796396</v>
      </c>
      <c r="Q669" t="s">
        <v>39</v>
      </c>
      <c r="R669" t="s">
        <v>249</v>
      </c>
    </row>
    <row r="670" spans="4:18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-0.20041140176017086</v>
      </c>
      <c r="H670" t="s">
        <v>29</v>
      </c>
      <c r="I670">
        <f>VLOOKUP(Table4[[#This Row],[Visitor]],'NHL Model'!$A$6:$B$38,2,FALSE)</f>
        <v>-0.74313650334688619</v>
      </c>
      <c r="J670">
        <f>($B$1+Table4[[#This Row],[Home Differential]])-Table4[[#This Row],[Away Differential]]</f>
        <v>0.63869509675737857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0.60377822045162755</v>
      </c>
      <c r="M670" t="str">
        <f>IF(OR((NHL2025_26Results[[#This Row],[Winning Team]]="")),"-",IF(Table4[[#This Row],[Predicted Winner]]=NHL2025_26Results[[#This Row],[Winning Team]],"YES","NO"))</f>
        <v>YES</v>
      </c>
      <c r="N670">
        <f>IF(Table4[[#This Row],[Adjusted Correct]]="-", "",IF(Table4[[#This Row],[Adjusted Correct]]="YES",(Table4[[#This Row],[Strength of Win]]-1)^2,(Table4[[#This Row],[Strength of Win]]-0)^2))</f>
        <v>0.15699169858847906</v>
      </c>
      <c r="O670">
        <v>0.35711908511727791</v>
      </c>
      <c r="P670" s="11">
        <v>0.58394910834933933</v>
      </c>
      <c r="Q670" t="s">
        <v>17</v>
      </c>
      <c r="R670" t="s">
        <v>248</v>
      </c>
    </row>
    <row r="671" spans="4:18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-0.20908736804509698</v>
      </c>
      <c r="H671" t="s">
        <v>24</v>
      </c>
      <c r="I671">
        <f>VLOOKUP(Table4[[#This Row],[Visitor]],'NHL Model'!$A$6:$B$38,2,FALSE)</f>
        <v>-0.52712015292731806</v>
      </c>
      <c r="J671">
        <f>($B$1+Table4[[#This Row],[Home Differential]])-Table4[[#This Row],[Away Differential]]</f>
        <v>0.41400278005288432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0.55242324244262331</v>
      </c>
      <c r="M671" t="str">
        <f>IF(OR((NHL2025_26Results[[#This Row],[Winning Team]]="")),"-",IF(Table4[[#This Row],[Predicted Winner]]=NHL2025_26Results[[#This Row],[Winning Team]],"YES","NO"))</f>
        <v>YES</v>
      </c>
      <c r="N671">
        <f>IF(Table4[[#This Row],[Adjusted Correct]]="-", "",IF(Table4[[#This Row],[Adjusted Correct]]="YES",(Table4[[#This Row],[Strength of Win]]-1)^2,(Table4[[#This Row],[Strength of Win]]-0)^2))</f>
        <v>0.20032495390557475</v>
      </c>
      <c r="O671">
        <v>0.27789909383964018</v>
      </c>
      <c r="P671" s="11">
        <v>0.54772830878412493</v>
      </c>
      <c r="Q671" t="s">
        <v>30</v>
      </c>
      <c r="R671" t="s">
        <v>248</v>
      </c>
    </row>
    <row r="672" spans="4:18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-0.32182316569099201</v>
      </c>
      <c r="H672" t="s">
        <v>31</v>
      </c>
      <c r="I672">
        <f>VLOOKUP(Table4[[#This Row],[Visitor]],'NHL Model'!$A$6:$B$38,2,FALSE)</f>
        <v>-0.38289376966531796</v>
      </c>
      <c r="J672">
        <f>($B$1+Table4[[#This Row],[Home Differential]])-Table4[[#This Row],[Away Differential]]</f>
        <v>0.15704059914498919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0.55568161397038174</v>
      </c>
      <c r="M672" t="str">
        <f>IF(OR((NHL2025_26Results[[#This Row],[Winning Team]]="")),"-",IF(Table4[[#This Row],[Predicted Winner]]=NHL2025_26Results[[#This Row],[Winning Team]],"YES","NO"))</f>
        <v>YES</v>
      </c>
      <c r="N672">
        <f>IF(Table4[[#This Row],[Adjusted Correct]]="-", "",IF(Table4[[#This Row],[Adjusted Correct]]="YES",(Table4[[#This Row],[Strength of Win]]-1)^2,(Table4[[#This Row],[Strength of Win]]-0)^2))</f>
        <v>0.19741882816396486</v>
      </c>
      <c r="O672">
        <v>0.4258796391876189</v>
      </c>
      <c r="P672" s="11">
        <v>0.58856303304766699</v>
      </c>
      <c r="Q672" t="s">
        <v>27</v>
      </c>
      <c r="R672" t="s">
        <v>248</v>
      </c>
    </row>
    <row r="673" spans="4:18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-0.57094405545214133</v>
      </c>
      <c r="H673" t="s">
        <v>21</v>
      </c>
      <c r="I673">
        <f>VLOOKUP(Table4[[#This Row],[Visitor]],'NHL Model'!$A$6:$B$38,2,FALSE)</f>
        <v>-5.5047914862176604E-2</v>
      </c>
      <c r="J673">
        <f>($B$1+Table4[[#This Row],[Home Differential]])-Table4[[#This Row],[Away Differential]]</f>
        <v>-0.41992614541930151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0.50193259414691915</v>
      </c>
      <c r="M673" t="str">
        <f>IF(OR((NHL2025_26Results[[#This Row],[Winning Team]]="")),"-",IF(Table4[[#This Row],[Predicted Winner]]=NHL2025_26Results[[#This Row],[Winning Team]],"YES","NO"))</f>
        <v>NO</v>
      </c>
      <c r="N673">
        <f>IF(Table4[[#This Row],[Adjusted Correct]]="-", "",IF(Table4[[#This Row],[Adjusted Correct]]="YES",(Table4[[#This Row],[Strength of Win]]-1)^2,(Table4[[#This Row],[Strength of Win]]-0)^2))</f>
        <v>0.25193632906705588</v>
      </c>
      <c r="O673">
        <v>-0.1493726033383149</v>
      </c>
      <c r="P673" s="11">
        <v>0.48403908635882797</v>
      </c>
      <c r="Q673" t="s">
        <v>21</v>
      </c>
      <c r="R673" t="s">
        <v>249</v>
      </c>
    </row>
    <row r="674" spans="4:18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-0.53461960928306718</v>
      </c>
      <c r="H674" t="s">
        <v>28</v>
      </c>
      <c r="I674">
        <f>VLOOKUP(Table4[[#This Row],[Visitor]],'NHL Model'!$A$6:$B$38,2,FALSE)</f>
        <v>-0.42584667868780524</v>
      </c>
      <c r="J674">
        <f>($B$1+Table4[[#This Row],[Home Differential]])-Table4[[#This Row],[Away Differential]]</f>
        <v>-1.2802935424598705E-2</v>
      </c>
      <c r="K674" t="str">
        <f>IF(Table4[[#This Row],[HomeIce Differential]]&gt;0,Table4[[#This Row],[Home]],Table4[[#This Row],[Visitor]])</f>
        <v>Columbus Blue Jackets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0.46127846360819674</v>
      </c>
      <c r="M674" t="str">
        <f>IF(OR((NHL2025_26Results[[#This Row],[Winning Team]]="")),"-",IF(Table4[[#This Row],[Predicted Winner]]=NHL2025_26Results[[#This Row],[Winning Team]],"YES","NO"))</f>
        <v>NO</v>
      </c>
      <c r="N674">
        <f>IF(Table4[[#This Row],[Adjusted Correct]]="-", "",IF(Table4[[#This Row],[Adjusted Correct]]="YES",(Table4[[#This Row],[Strength of Win]]-1)^2,(Table4[[#This Row],[Strength of Win]]-0)^2))</f>
        <v>0.21277782098873849</v>
      </c>
      <c r="O674">
        <v>-8.6339690571297409E-2</v>
      </c>
      <c r="P674" s="11">
        <v>0.46892197377620171</v>
      </c>
      <c r="Q674" t="s">
        <v>28</v>
      </c>
      <c r="R674" t="s">
        <v>249</v>
      </c>
    </row>
    <row r="675" spans="4:18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0.65340538721281671</v>
      </c>
      <c r="H675" t="s">
        <v>12</v>
      </c>
      <c r="I675">
        <f>VLOOKUP(Table4[[#This Row],[Visitor]],'NHL Model'!$A$6:$B$38,2,FALSE)</f>
        <v>1.1751846443488465</v>
      </c>
      <c r="J675">
        <f>($B$1+Table4[[#This Row],[Home Differential]])-Table4[[#This Row],[Away Differential]]</f>
        <v>-0.4258092619653665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0.54993357398371523</v>
      </c>
      <c r="M675" t="str">
        <f>IF(OR((NHL2025_26Results[[#This Row],[Winning Team]]="")),"-",IF(Table4[[#This Row],[Predicted Winner]]=NHL2025_26Results[[#This Row],[Winning Team]],"YES","NO"))</f>
        <v>NO</v>
      </c>
      <c r="N675">
        <f>IF(Table4[[#This Row],[Adjusted Correct]]="-", "",IF(Table4[[#This Row],[Adjusted Correct]]="YES",(Table4[[#This Row],[Strength of Win]]-1)^2,(Table4[[#This Row],[Strength of Win]]-0)^2))</f>
        <v>0.30242693579450242</v>
      </c>
      <c r="O675">
        <v>-0.87074078682693723</v>
      </c>
      <c r="P675" s="11">
        <v>0.62637709041080225</v>
      </c>
      <c r="Q675" t="s">
        <v>12</v>
      </c>
      <c r="R675" t="s">
        <v>249</v>
      </c>
    </row>
    <row r="676" spans="4:18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-0.32175529201986758</v>
      </c>
      <c r="H676" t="s">
        <v>11</v>
      </c>
      <c r="I676">
        <f>VLOOKUP(Table4[[#This Row],[Visitor]],'NHL Model'!$A$6:$B$38,2,FALSE)</f>
        <v>-0.42375285621939396</v>
      </c>
      <c r="J676">
        <f>($B$1+Table4[[#This Row],[Home Differential]])-Table4[[#This Row],[Away Differential]]</f>
        <v>0.19796755937018962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0.51372819181188711</v>
      </c>
      <c r="M676" t="str">
        <f>IF(OR((NHL2025_26Results[[#This Row],[Winning Team]]="")),"-",IF(Table4[[#This Row],[Predicted Winner]]=NHL2025_26Results[[#This Row],[Winning Team]],"YES","NO"))</f>
        <v>YES</v>
      </c>
      <c r="N676">
        <f>IF(Table4[[#This Row],[Adjusted Correct]]="-", "",IF(Table4[[#This Row],[Adjusted Correct]]="YES",(Table4[[#This Row],[Strength of Win]]-1)^2,(Table4[[#This Row],[Strength of Win]]-0)^2))</f>
        <v>0.23646027143853685</v>
      </c>
      <c r="O676">
        <v>-9.2624193541592389E-2</v>
      </c>
      <c r="P676" s="11">
        <v>0.48718332769116324</v>
      </c>
      <c r="Q676" t="s">
        <v>11</v>
      </c>
      <c r="R676" t="s">
        <v>249</v>
      </c>
    </row>
    <row r="677" spans="4:18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-0.47391784202962389</v>
      </c>
      <c r="H677" t="s">
        <v>20</v>
      </c>
      <c r="I677">
        <f>VLOOKUP(Table4[[#This Row],[Visitor]],'NHL Model'!$A$6:$B$38,2,FALSE)</f>
        <v>-4.774288798450349E-3</v>
      </c>
      <c r="J677">
        <f>($B$1+Table4[[#This Row],[Home Differential]])-Table4[[#This Row],[Away Differential]]</f>
        <v>-0.37317355806051034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0.5278300555332841</v>
      </c>
      <c r="M677" t="str">
        <f>IF(OR((NHL2025_26Results[[#This Row],[Winning Team]]="")),"-",IF(Table4[[#This Row],[Predicted Winner]]=NHL2025_26Results[[#This Row],[Winning Team]],"YES","NO"))</f>
        <v>YES</v>
      </c>
      <c r="N677">
        <f>IF(Table4[[#This Row],[Adjusted Correct]]="-", "",IF(Table4[[#This Row],[Adjusted Correct]]="YES",(Table4[[#This Row],[Strength of Win]]-1)^2,(Table4[[#This Row],[Strength of Win]]-0)^2))</f>
        <v>0.22294445645770158</v>
      </c>
      <c r="O677">
        <v>-0.15163348584501837</v>
      </c>
      <c r="P677" s="11">
        <v>0.47566915488521633</v>
      </c>
      <c r="Q677" t="s">
        <v>20</v>
      </c>
      <c r="R677" t="s">
        <v>248</v>
      </c>
    </row>
    <row r="678" spans="4:18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-0.70456324341534593</v>
      </c>
      <c r="H678" t="s">
        <v>35</v>
      </c>
      <c r="I678">
        <f>VLOOKUP(Table4[[#This Row],[Visitor]],'NHL Model'!$A$6:$B$38,2,FALSE)</f>
        <v>-1.2663626722629573</v>
      </c>
      <c r="J678">
        <f>($B$1+Table4[[#This Row],[Home Differential]])-Table4[[#This Row],[Away Differential]]</f>
        <v>0.65776942401827465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0.60568292686817626</v>
      </c>
      <c r="M678" t="str">
        <f>IF(OR((NHL2025_26Results[[#This Row],[Winning Team]]="")),"-",IF(Table4[[#This Row],[Predicted Winner]]=NHL2025_26Results[[#This Row],[Winning Team]],"YES","NO"))</f>
        <v>YES</v>
      </c>
      <c r="N678">
        <f>IF(Table4[[#This Row],[Adjusted Correct]]="-", "",IF(Table4[[#This Row],[Adjusted Correct]]="YES",(Table4[[#This Row],[Strength of Win]]-1)^2,(Table4[[#This Row],[Strength of Win]]-0)^2))</f>
        <v>0.15548595416324804</v>
      </c>
      <c r="O678">
        <v>0.63670928424151896</v>
      </c>
      <c r="P678" s="11">
        <v>0.60623865455538939</v>
      </c>
      <c r="Q678" t="s">
        <v>10</v>
      </c>
      <c r="R678" t="s">
        <v>248</v>
      </c>
    </row>
    <row r="679" spans="4:18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-0.43624947117902363</v>
      </c>
      <c r="H679" t="s">
        <v>33</v>
      </c>
      <c r="I679">
        <f>VLOOKUP(Table4[[#This Row],[Visitor]],'NHL Model'!$A$6:$B$38,2,FALSE)</f>
        <v>-0.53461960928306718</v>
      </c>
      <c r="J679">
        <f>($B$1+Table4[[#This Row],[Home Differential]])-Table4[[#This Row],[Away Differential]]</f>
        <v>0.19434013327470678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0.53863700536052828</v>
      </c>
      <c r="M679" t="str">
        <f>IF(OR((NHL2025_26Results[[#This Row],[Winning Team]]="")),"-",IF(Table4[[#This Row],[Predicted Winner]]=NHL2025_26Results[[#This Row],[Winning Team]],"YES","NO"))</f>
        <v>NO</v>
      </c>
      <c r="N679">
        <f>IF(Table4[[#This Row],[Adjusted Correct]]="-", "",IF(Table4[[#This Row],[Adjusted Correct]]="YES",(Table4[[#This Row],[Strength of Win]]-1)^2,(Table4[[#This Row],[Strength of Win]]-0)^2))</f>
        <v>0.29012982354375777</v>
      </c>
      <c r="O679">
        <v>0.40478481594275773</v>
      </c>
      <c r="P679" s="11">
        <v>0.57482118130790494</v>
      </c>
      <c r="Q679" t="s">
        <v>13</v>
      </c>
      <c r="R679" t="s">
        <v>249</v>
      </c>
    </row>
    <row r="680" spans="4:18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-0.23645483545724041</v>
      </c>
      <c r="H680" t="s">
        <v>16</v>
      </c>
      <c r="I680">
        <f>VLOOKUP(Table4[[#This Row],[Visitor]],'NHL Model'!$A$6:$B$38,2,FALSE)</f>
        <v>-0.79148902514100783</v>
      </c>
      <c r="J680">
        <f>($B$1+Table4[[#This Row],[Home Differential]])-Table4[[#This Row],[Away Differential]]</f>
        <v>0.65100418485443068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0.60500736991308102</v>
      </c>
      <c r="M680" t="str">
        <f>IF(OR((NHL2025_26Results[[#This Row],[Winning Team]]="")),"-",IF(Table4[[#This Row],[Predicted Winner]]=NHL2025_26Results[[#This Row],[Winning Team]],"YES","NO"))</f>
        <v>YES</v>
      </c>
      <c r="N680">
        <f>IF(Table4[[#This Row],[Adjusted Correct]]="-", "",IF(Table4[[#This Row],[Adjusted Correct]]="YES",(Table4[[#This Row],[Strength of Win]]-1)^2,(Table4[[#This Row],[Strength of Win]]-0)^2))</f>
        <v>0.15601917782298161</v>
      </c>
      <c r="O680">
        <v>0.55118962876510058</v>
      </c>
      <c r="P680" s="11">
        <v>0.59734180467900277</v>
      </c>
      <c r="Q680" t="s">
        <v>18</v>
      </c>
      <c r="R680" t="s">
        <v>248</v>
      </c>
    </row>
    <row r="681" spans="4:18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0.12055191373383152</v>
      </c>
      <c r="H681" t="s">
        <v>36</v>
      </c>
      <c r="I681">
        <f>VLOOKUP(Table4[[#This Row],[Visitor]],'NHL Model'!$A$6:$B$38,2,FALSE)</f>
        <v>-0.40390734274709933</v>
      </c>
      <c r="J681">
        <f>($B$1+Table4[[#This Row],[Home Differential]])-Table4[[#This Row],[Away Differential]]</f>
        <v>0.62042925165159413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0.63717548563161275</v>
      </c>
      <c r="M681" t="str">
        <f>IF(OR((NHL2025_26Results[[#This Row],[Winning Team]]="")),"-",IF(Table4[[#This Row],[Predicted Winner]]=NHL2025_26Results[[#This Row],[Winning Team]],"YES","NO"))</f>
        <v>YES</v>
      </c>
      <c r="N681">
        <f>IF(Table4[[#This Row],[Adjusted Correct]]="-", "",IF(Table4[[#This Row],[Adjusted Correct]]="YES",(Table4[[#This Row],[Strength of Win]]-1)^2,(Table4[[#This Row],[Strength of Win]]-0)^2))</f>
        <v>0.13164162822665604</v>
      </c>
      <c r="O681">
        <v>0.26509851093189646</v>
      </c>
      <c r="P681" s="11">
        <v>0.54680971165138137</v>
      </c>
      <c r="Q681" t="s">
        <v>55</v>
      </c>
      <c r="R681" t="s">
        <v>248</v>
      </c>
    </row>
    <row r="682" spans="4:18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-8.9159851516330005E-2</v>
      </c>
      <c r="H682" t="s">
        <v>39</v>
      </c>
      <c r="I682">
        <f>VLOOKUP(Table4[[#This Row],[Visitor]],'NHL Model'!$A$6:$B$38,2,FALSE)</f>
        <v>0.21259592260910548</v>
      </c>
      <c r="J682">
        <f>($B$1+Table4[[#This Row],[Home Differential]])-Table4[[#This Row],[Away Differential]]</f>
        <v>-0.20578577895477224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0.5185571328895503</v>
      </c>
      <c r="M682" t="str">
        <f>IF(OR((NHL2025_26Results[[#This Row],[Winning Team]]="")),"-",IF(Table4[[#This Row],[Predicted Winner]]=NHL2025_26Results[[#This Row],[Winning Team]],"YES","NO"))</f>
        <v>YES</v>
      </c>
      <c r="N682">
        <f>IF(Table4[[#This Row],[Adjusted Correct]]="-", "",IF(Table4[[#This Row],[Adjusted Correct]]="YES",(Table4[[#This Row],[Strength of Win]]-1)^2,(Table4[[#This Row],[Strength of Win]]-0)^2))</f>
        <v>0.23178723429153014</v>
      </c>
      <c r="O682">
        <v>-6.3130753939898532E-2</v>
      </c>
      <c r="P682" s="11">
        <v>0.51767878069838236</v>
      </c>
      <c r="Q682" t="s">
        <v>39</v>
      </c>
      <c r="R682" t="s">
        <v>248</v>
      </c>
    </row>
    <row r="683" spans="4:18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-5.5047914862176604E-2</v>
      </c>
      <c r="H683" t="s">
        <v>16</v>
      </c>
      <c r="I683">
        <f>VLOOKUP(Table4[[#This Row],[Visitor]],'NHL Model'!$A$6:$B$38,2,FALSE)</f>
        <v>-0.79148902514100783</v>
      </c>
      <c r="J683">
        <f>($B$1+Table4[[#This Row],[Home Differential]])-Table4[[#This Row],[Away Differential]]</f>
        <v>0.83241110544949448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0.66602368773392084</v>
      </c>
      <c r="M683" t="str">
        <f>IF(OR((NHL2025_26Results[[#This Row],[Winning Team]]="")),"-",IF(Table4[[#This Row],[Predicted Winner]]=NHL2025_26Results[[#This Row],[Winning Team]],"YES","NO"))</f>
        <v>YES</v>
      </c>
      <c r="N683">
        <f>IF(Table4[[#This Row],[Adjusted Correct]]="-", "",IF(Table4[[#This Row],[Adjusted Correct]]="YES",(Table4[[#This Row],[Strength of Win]]-1)^2,(Table4[[#This Row],[Strength of Win]]-0)^2))</f>
        <v>0.11154017715484961</v>
      </c>
      <c r="O683">
        <v>0.48247245981484205</v>
      </c>
      <c r="P683" s="11">
        <v>0.60310339588144357</v>
      </c>
      <c r="Q683" t="s">
        <v>21</v>
      </c>
      <c r="R683" t="s">
        <v>248</v>
      </c>
    </row>
    <row r="684" spans="4:18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0.29527586190964761</v>
      </c>
      <c r="H684" t="s">
        <v>31</v>
      </c>
      <c r="I684">
        <f>VLOOKUP(Table4[[#This Row],[Visitor]],'NHL Model'!$A$6:$B$38,2,FALSE)</f>
        <v>-0.38289376966531796</v>
      </c>
      <c r="J684">
        <f>($B$1+Table4[[#This Row],[Home Differential]])-Table4[[#This Row],[Away Differential]]</f>
        <v>0.77413962674562886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0.66020486865469863</v>
      </c>
      <c r="M684" t="str">
        <f>IF(OR((NHL2025_26Results[[#This Row],[Winning Team]]="")),"-",IF(Table4[[#This Row],[Predicted Winner]]=NHL2025_26Results[[#This Row],[Winning Team]],"YES","NO"))</f>
        <v>YES</v>
      </c>
      <c r="N684">
        <f>IF(Table4[[#This Row],[Adjusted Correct]]="-", "",IF(Table4[[#This Row],[Adjusted Correct]]="YES",(Table4[[#This Row],[Strength of Win]]-1)^2,(Table4[[#This Row],[Strength of Win]]-0)^2))</f>
        <v>0.11546073128597061</v>
      </c>
      <c r="O684">
        <v>0.81943340003497567</v>
      </c>
      <c r="P684" s="11">
        <v>0.65293795560755608</v>
      </c>
      <c r="Q684" t="s">
        <v>25</v>
      </c>
      <c r="R684" t="s">
        <v>248</v>
      </c>
    </row>
    <row r="685" spans="4:18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1.1751846443488465</v>
      </c>
      <c r="H685" t="s">
        <v>36</v>
      </c>
      <c r="I685">
        <f>VLOOKUP(Table4[[#This Row],[Visitor]],'NHL Model'!$A$6:$B$38,2,FALSE)</f>
        <v>-0.40390734274709933</v>
      </c>
      <c r="J685">
        <f>($B$1+Table4[[#This Row],[Home Differential]])-Table4[[#This Row],[Away Differential]]</f>
        <v>1.6750619822666091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0.79226678021723185</v>
      </c>
      <c r="M685" t="str">
        <f>IF(OR((NHL2025_26Results[[#This Row],[Winning Team]]="")),"-",IF(Table4[[#This Row],[Predicted Winner]]=NHL2025_26Results[[#This Row],[Winning Team]],"YES","NO"))</f>
        <v>YES</v>
      </c>
      <c r="N685">
        <f>IF(Table4[[#This Row],[Adjusted Correct]]="-", "",IF(Table4[[#This Row],[Adjusted Correct]]="YES",(Table4[[#This Row],[Strength of Win]]-1)^2,(Table4[[#This Row],[Strength of Win]]-0)^2))</f>
        <v>4.3153090601315856E-2</v>
      </c>
      <c r="O685">
        <v>1.8140510220130748</v>
      </c>
      <c r="P685" s="11">
        <v>0.83721247637410434</v>
      </c>
      <c r="Q685" t="s">
        <v>12</v>
      </c>
      <c r="R685" t="s">
        <v>248</v>
      </c>
    </row>
    <row r="686" spans="4:18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-0.17319925920548884</v>
      </c>
      <c r="H686" t="s">
        <v>38</v>
      </c>
      <c r="I686">
        <f>VLOOKUP(Table4[[#This Row],[Visitor]],'NHL Model'!$A$6:$B$38,2,FALSE)</f>
        <v>-1.2591310848703385</v>
      </c>
      <c r="J686">
        <f>($B$1+Table4[[#This Row],[Home Differential]])-Table4[[#This Row],[Away Differential]]</f>
        <v>1.181901820835513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0.70973722819962415</v>
      </c>
      <c r="M686" t="str">
        <f>IF(OR((NHL2025_26Results[[#This Row],[Winning Team]]="")),"-",IF(Table4[[#This Row],[Predicted Winner]]=NHL2025_26Results[[#This Row],[Winning Team]],"YES","NO"))</f>
        <v>YES</v>
      </c>
      <c r="N686">
        <f>IF(Table4[[#This Row],[Adjusted Correct]]="-", "",IF(Table4[[#This Row],[Adjusted Correct]]="YES",(Table4[[#This Row],[Strength of Win]]-1)^2,(Table4[[#This Row],[Strength of Win]]-0)^2))</f>
        <v>8.4252476693237072E-2</v>
      </c>
      <c r="O686">
        <v>0.57090962742495122</v>
      </c>
      <c r="P686" s="11">
        <v>0.59654591628500575</v>
      </c>
      <c r="Q686" t="s">
        <v>26</v>
      </c>
      <c r="R686" t="s">
        <v>248</v>
      </c>
    </row>
    <row r="687" spans="4:18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-0.23645483545724041</v>
      </c>
      <c r="H687" t="s">
        <v>11</v>
      </c>
      <c r="I687">
        <f>VLOOKUP(Table4[[#This Row],[Visitor]],'NHL Model'!$A$6:$B$38,2,FALSE)</f>
        <v>-0.42375285621939396</v>
      </c>
      <c r="J687">
        <f>($B$1+Table4[[#This Row],[Home Differential]])-Table4[[#This Row],[Away Differential]]</f>
        <v>0.28326801593281681</v>
      </c>
      <c r="K687" t="str">
        <f>IF(Table4[[#This Row],[HomeIce Differential]]&gt;0,Table4[[#This Row],[Home]],Table4[[#This Row],[Visitor]])</f>
        <v>Montreal Canadiens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0.51687797396911006</v>
      </c>
      <c r="M687" t="str">
        <f>IF(OR((NHL2025_26Results[[#This Row],[Winning Team]]="")),"-",IF(Table4[[#This Row],[Predicted Winner]]=NHL2025_26Results[[#This Row],[Winning Team]],"YES","NO"))</f>
        <v>YES</v>
      </c>
      <c r="N687">
        <f>IF(Table4[[#This Row],[Adjusted Correct]]="-", "",IF(Table4[[#This Row],[Adjusted Correct]]="YES",(Table4[[#This Row],[Strength of Win]]-1)^2,(Table4[[#This Row],[Strength of Win]]-0)^2))</f>
        <v>0.23340689203619189</v>
      </c>
      <c r="O687">
        <v>0.19209554423642813</v>
      </c>
      <c r="P687" s="11">
        <v>0.53877458077929674</v>
      </c>
      <c r="Q687" t="s">
        <v>18</v>
      </c>
      <c r="R687" t="s">
        <v>248</v>
      </c>
    </row>
    <row r="688" spans="4:18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-0.74313650334688619</v>
      </c>
      <c r="H688" t="s">
        <v>30</v>
      </c>
      <c r="I688">
        <f>VLOOKUP(Table4[[#This Row],[Visitor]],'NHL Model'!$A$6:$B$38,2,FALSE)</f>
        <v>-0.20908736804509698</v>
      </c>
      <c r="J688">
        <f>($B$1+Table4[[#This Row],[Home Differential]])-Table4[[#This Row],[Away Differential]]</f>
        <v>-0.43807914013112592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0.52451452976462276</v>
      </c>
      <c r="M688" t="str">
        <f>IF(OR((NHL2025_26Results[[#This Row],[Winning Team]]="")),"-",IF(Table4[[#This Row],[Predicted Winner]]=NHL2025_26Results[[#This Row],[Winning Team]],"YES","NO"))</f>
        <v>NO</v>
      </c>
      <c r="N688">
        <f>IF(Table4[[#This Row],[Adjusted Correct]]="-", "",IF(Table4[[#This Row],[Adjusted Correct]]="YES",(Table4[[#This Row],[Strength of Win]]-1)^2,(Table4[[#This Row],[Strength of Win]]-0)^2))</f>
        <v>0.27511549193420332</v>
      </c>
      <c r="O688">
        <v>-0.6462123994460458</v>
      </c>
      <c r="P688" s="11">
        <v>0.55932910171034611</v>
      </c>
      <c r="Q688" t="s">
        <v>30</v>
      </c>
      <c r="R688" t="s">
        <v>249</v>
      </c>
    </row>
    <row r="689" spans="4:18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-0.6396663932228257</v>
      </c>
      <c r="H689" t="s">
        <v>23</v>
      </c>
      <c r="I689">
        <f>VLOOKUP(Table4[[#This Row],[Visitor]],'NHL Model'!$A$6:$B$38,2,FALSE)</f>
        <v>2.7346770720058793E-2</v>
      </c>
      <c r="J689">
        <f>($B$1+Table4[[#This Row],[Home Differential]])-Table4[[#This Row],[Away Differential]]</f>
        <v>-0.57104316877222117</v>
      </c>
      <c r="K689" t="str">
        <f>IF(Table4[[#This Row],[HomeIce Differential]]&gt;0,Table4[[#This Row],[Home]],Table4[[#This Row],[Visitor]])</f>
        <v>Buffalo Sabres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0.53779192796896458</v>
      </c>
      <c r="M689" t="str">
        <f>IF(OR((NHL2025_26Results[[#This Row],[Winning Team]]="")),"-",IF(Table4[[#This Row],[Predicted Winner]]=NHL2025_26Results[[#This Row],[Winning Team]],"YES","NO"))</f>
        <v>YES</v>
      </c>
      <c r="N689">
        <f>IF(Table4[[#This Row],[Adjusted Correct]]="-", "",IF(Table4[[#This Row],[Adjusted Correct]]="YES",(Table4[[#This Row],[Strength of Win]]-1)^2,(Table4[[#This Row],[Strength of Win]]-0)^2))</f>
        <v>0.21363630185064683</v>
      </c>
      <c r="O689">
        <v>9.311546863579355E-2</v>
      </c>
      <c r="P689" s="11">
        <v>0.54947357305191291</v>
      </c>
      <c r="Q689" t="s">
        <v>15</v>
      </c>
      <c r="R689" t="s">
        <v>249</v>
      </c>
    </row>
    <row r="690" spans="4:18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-0.32182316569099201</v>
      </c>
      <c r="H690" t="s">
        <v>19</v>
      </c>
      <c r="I690">
        <f>VLOOKUP(Table4[[#This Row],[Visitor]],'NHL Model'!$A$6:$B$38,2,FALSE)</f>
        <v>-0.32175529201986758</v>
      </c>
      <c r="J690">
        <f>($B$1+Table4[[#This Row],[Home Differential]])-Table4[[#This Row],[Away Differential]]</f>
        <v>9.5902121499538806E-2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0.54957650477955655</v>
      </c>
      <c r="M690" t="str">
        <f>IF(OR((NHL2025_26Results[[#This Row],[Winning Team]]="")),"-",IF(Table4[[#This Row],[Predicted Winner]]=NHL2025_26Results[[#This Row],[Winning Team]],"YES","NO"))</f>
        <v>NO</v>
      </c>
      <c r="N690">
        <f>IF(Table4[[#This Row],[Adjusted Correct]]="-", "",IF(Table4[[#This Row],[Adjusted Correct]]="YES",(Table4[[#This Row],[Strength of Win]]-1)^2,(Table4[[#This Row],[Strength of Win]]-0)^2))</f>
        <v>0.30203433460571394</v>
      </c>
      <c r="O690">
        <v>0.34706313094273428</v>
      </c>
      <c r="P690" s="11">
        <v>0.58932684309408745</v>
      </c>
      <c r="Q690" t="s">
        <v>27</v>
      </c>
      <c r="R690" t="s">
        <v>249</v>
      </c>
    </row>
    <row r="691" spans="4:18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3.24300967767114E-5</v>
      </c>
      <c r="H691" t="s">
        <v>24</v>
      </c>
      <c r="I691">
        <f>VLOOKUP(Table4[[#This Row],[Visitor]],'NHL Model'!$A$6:$B$38,2,FALSE)</f>
        <v>-0.52712015292731806</v>
      </c>
      <c r="J691">
        <f>($B$1+Table4[[#This Row],[Home Differential]])-Table4[[#This Row],[Away Differential]]</f>
        <v>0.62312257819475803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0.56421522626097187</v>
      </c>
      <c r="M691" t="str">
        <f>IF(OR((NHL2025_26Results[[#This Row],[Winning Team]]="")),"-",IF(Table4[[#This Row],[Predicted Winner]]=NHL2025_26Results[[#This Row],[Winning Team]],"YES","NO"))</f>
        <v>YES</v>
      </c>
      <c r="N691">
        <f>IF(Table4[[#This Row],[Adjusted Correct]]="-", "",IF(Table4[[#This Row],[Adjusted Correct]]="YES",(Table4[[#This Row],[Strength of Win]]-1)^2,(Table4[[#This Row],[Strength of Win]]-0)^2))</f>
        <v>0.18990836902277594</v>
      </c>
      <c r="O691">
        <v>0.46895955673158585</v>
      </c>
      <c r="P691" s="11">
        <v>0.56694274108870391</v>
      </c>
      <c r="Q691" t="s">
        <v>14</v>
      </c>
      <c r="R691" t="s">
        <v>248</v>
      </c>
    </row>
    <row r="692" spans="4:18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-0.57094405545214133</v>
      </c>
      <c r="H692" t="s">
        <v>34</v>
      </c>
      <c r="I692">
        <f>VLOOKUP(Table4[[#This Row],[Visitor]],'NHL Model'!$A$6:$B$38,2,FALSE)</f>
        <v>1.2879210938040288E-2</v>
      </c>
      <c r="J692">
        <f>($B$1+Table4[[#This Row],[Home Differential]])-Table4[[#This Row],[Away Differential]]</f>
        <v>-0.48785327121951838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0.56524452346589982</v>
      </c>
      <c r="M692" t="str">
        <f>IF(OR((NHL2025_26Results[[#This Row],[Winning Team]]="")),"-",IF(Table4[[#This Row],[Predicted Winner]]=NHL2025_26Results[[#This Row],[Winning Team]],"YES","NO"))</f>
        <v>YES</v>
      </c>
      <c r="N692">
        <f>IF(Table4[[#This Row],[Adjusted Correct]]="-", "",IF(Table4[[#This Row],[Adjusted Correct]]="YES",(Table4[[#This Row],[Strength of Win]]-1)^2,(Table4[[#This Row],[Strength of Win]]-0)^2))</f>
        <v>0.18901232437639254</v>
      </c>
      <c r="O692">
        <v>-0.52357475837102085</v>
      </c>
      <c r="P692" s="11">
        <v>0.55578108837952978</v>
      </c>
      <c r="Q692" t="s">
        <v>34</v>
      </c>
      <c r="R692" t="s">
        <v>248</v>
      </c>
    </row>
    <row r="693" spans="4:18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-4.774288798450349E-3</v>
      </c>
      <c r="H693" t="s">
        <v>28</v>
      </c>
      <c r="I693">
        <f>VLOOKUP(Table4[[#This Row],[Visitor]],'NHL Model'!$A$6:$B$38,2,FALSE)</f>
        <v>-0.42584667868780524</v>
      </c>
      <c r="J693">
        <f>($B$1+Table4[[#This Row],[Home Differential]])-Table4[[#This Row],[Away Differential]]</f>
        <v>0.51704238506001809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0.5916303372056726</v>
      </c>
      <c r="M693" t="str">
        <f>IF(OR((NHL2025_26Results[[#This Row],[Winning Team]]="")),"-",IF(Table4[[#This Row],[Predicted Winner]]=NHL2025_26Results[[#This Row],[Winning Team]],"YES","NO"))</f>
        <v>YES</v>
      </c>
      <c r="N693">
        <f>IF(Table4[[#This Row],[Adjusted Correct]]="-", "",IF(Table4[[#This Row],[Adjusted Correct]]="YES",(Table4[[#This Row],[Strength of Win]]-1)^2,(Table4[[#This Row],[Strength of Win]]-0)^2))</f>
        <v>0.16676578149075266</v>
      </c>
      <c r="O693">
        <v>0.37853831393256088</v>
      </c>
      <c r="P693" s="11">
        <v>0.57851250949522215</v>
      </c>
      <c r="Q693" t="s">
        <v>20</v>
      </c>
      <c r="R693" t="s">
        <v>248</v>
      </c>
    </row>
    <row r="694" spans="4:18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-0.47391784202962389</v>
      </c>
      <c r="H694" t="s">
        <v>17</v>
      </c>
      <c r="I694">
        <f>VLOOKUP(Table4[[#This Row],[Visitor]],'NHL Model'!$A$6:$B$38,2,FALSE)</f>
        <v>-0.20041140176017086</v>
      </c>
      <c r="J694">
        <f>($B$1+Table4[[#This Row],[Home Differential]])-Table4[[#This Row],[Away Differential]]</f>
        <v>-0.1775364450987898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0.48003267875019628</v>
      </c>
      <c r="M694" t="str">
        <f>IF(OR((NHL2025_26Results[[#This Row],[Winning Team]]="")),"-",IF(Table4[[#This Row],[Predicted Winner]]=NHL2025_26Results[[#This Row],[Winning Team]],"YES","NO"))</f>
        <v>YES</v>
      </c>
      <c r="N694">
        <f>IF(Table4[[#This Row],[Adjusted Correct]]="-", "",IF(Table4[[#This Row],[Adjusted Correct]]="YES",(Table4[[#This Row],[Strength of Win]]-1)^2,(Table4[[#This Row],[Strength of Win]]-0)^2))</f>
        <v>0.27036601516769659</v>
      </c>
      <c r="O694">
        <v>-0.13948546371966331</v>
      </c>
      <c r="P694" s="11">
        <v>0.47419125897756825</v>
      </c>
      <c r="Q694" t="s">
        <v>17</v>
      </c>
      <c r="R694" t="s">
        <v>248</v>
      </c>
    </row>
    <row r="695" spans="4:18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-0.70456324341534593</v>
      </c>
      <c r="H695" t="s">
        <v>22</v>
      </c>
      <c r="I695">
        <f>VLOOKUP(Table4[[#This Row],[Visitor]],'NHL Model'!$A$6:$B$38,2,FALSE)</f>
        <v>-8.9159851516330005E-2</v>
      </c>
      <c r="J695">
        <f>($B$1+Table4[[#This Row],[Home Differential]])-Table4[[#This Row],[Away Differential]]</f>
        <v>-0.51943339672835265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0.51186909662320945</v>
      </c>
      <c r="M695" t="str">
        <f>IF(OR((NHL2025_26Results[[#This Row],[Winning Team]]="")),"-",IF(Table4[[#This Row],[Predicted Winner]]=NHL2025_26Results[[#This Row],[Winning Team]],"YES","NO"))</f>
        <v>YES</v>
      </c>
      <c r="N695">
        <f>IF(Table4[[#This Row],[Adjusted Correct]]="-", "",IF(Table4[[#This Row],[Adjusted Correct]]="YES",(Table4[[#This Row],[Strength of Win]]-1)^2,(Table4[[#This Row],[Strength of Win]]-0)^2))</f>
        <v>0.23827177883144163</v>
      </c>
      <c r="O695">
        <v>-0.53030353224347337</v>
      </c>
      <c r="P695" s="11">
        <v>0.51460853240478854</v>
      </c>
      <c r="Q695" t="s">
        <v>22</v>
      </c>
      <c r="R695" t="s">
        <v>248</v>
      </c>
    </row>
    <row r="696" spans="4:18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0.12055191373383152</v>
      </c>
      <c r="H696" t="s">
        <v>35</v>
      </c>
      <c r="I696">
        <f>VLOOKUP(Table4[[#This Row],[Visitor]],'NHL Model'!$A$6:$B$38,2,FALSE)</f>
        <v>-1.2663626722629573</v>
      </c>
      <c r="J696">
        <f>($B$1+Table4[[#This Row],[Home Differential]])-Table4[[#This Row],[Away Differential]]</f>
        <v>1.482884581167452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0.72411337454335711</v>
      </c>
      <c r="M696" t="str">
        <f>IF(OR((NHL2025_26Results[[#This Row],[Winning Team]]="")),"-",IF(Table4[[#This Row],[Predicted Winner]]=NHL2025_26Results[[#This Row],[Winning Team]],"YES","NO"))</f>
        <v>YES</v>
      </c>
      <c r="N696">
        <f>IF(Table4[[#This Row],[Adjusted Correct]]="-", "",IF(Table4[[#This Row],[Adjusted Correct]]="YES",(Table4[[#This Row],[Strength of Win]]-1)^2,(Table4[[#This Row],[Strength of Win]]-0)^2))</f>
        <v>7.611343010585396E-2</v>
      </c>
      <c r="O696">
        <v>1.3566127198780027</v>
      </c>
      <c r="P696" s="11">
        <v>0.68674449273294702</v>
      </c>
      <c r="Q696" t="s">
        <v>55</v>
      </c>
      <c r="R696" t="s">
        <v>248</v>
      </c>
    </row>
    <row r="697" spans="4:18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-0.47391784202962389</v>
      </c>
      <c r="H697" t="s">
        <v>13</v>
      </c>
      <c r="I697">
        <f>VLOOKUP(Table4[[#This Row],[Visitor]],'NHL Model'!$A$6:$B$38,2,FALSE)</f>
        <v>-0.43624947117902363</v>
      </c>
      <c r="J697">
        <f>($B$1+Table4[[#This Row],[Home Differential]])-Table4[[#This Row],[Away Differential]]</f>
        <v>5.8301624320062972E-2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0.51525579159625468</v>
      </c>
      <c r="M697" t="str">
        <f>IF(OR((NHL2025_26Results[[#This Row],[Winning Team]]="")),"-",IF(Table4[[#This Row],[Predicted Winner]]=NHL2025_26Results[[#This Row],[Winning Team]],"YES","NO"))</f>
        <v>YES</v>
      </c>
      <c r="N697">
        <f>IF(Table4[[#This Row],[Adjusted Correct]]="-", "",IF(Table4[[#This Row],[Adjusted Correct]]="YES",(Table4[[#This Row],[Strength of Win]]-1)^2,(Table4[[#This Row],[Strength of Win]]-0)^2))</f>
        <v>0.23497694758097368</v>
      </c>
      <c r="O697">
        <v>-0.12280537167638519</v>
      </c>
      <c r="P697" s="11">
        <v>0.50503633624139388</v>
      </c>
      <c r="Q697" t="s">
        <v>13</v>
      </c>
      <c r="R697" t="s">
        <v>249</v>
      </c>
    </row>
    <row r="698" spans="4:18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-5.5047914862176604E-2</v>
      </c>
      <c r="H698" t="s">
        <v>15</v>
      </c>
      <c r="I698">
        <f>VLOOKUP(Table4[[#This Row],[Visitor]],'NHL Model'!$A$6:$B$38,2,FALSE)</f>
        <v>-0.6396663932228257</v>
      </c>
      <c r="J698">
        <f>($B$1+Table4[[#This Row],[Home Differential]])-Table4[[#This Row],[Away Differential]]</f>
        <v>0.68058847353131235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0.59945763326578294</v>
      </c>
      <c r="M698" t="str">
        <f>IF(OR((NHL2025_26Results[[#This Row],[Winning Team]]="")),"-",IF(Table4[[#This Row],[Predicted Winner]]=NHL2025_26Results[[#This Row],[Winning Team]],"YES","NO"))</f>
        <v>NO</v>
      </c>
      <c r="N698">
        <f>IF(Table4[[#This Row],[Adjusted Correct]]="-", "",IF(Table4[[#This Row],[Adjusted Correct]]="YES",(Table4[[#This Row],[Strength of Win]]-1)^2,(Table4[[#This Row],[Strength of Win]]-0)^2))</f>
        <v>0.35934945408061392</v>
      </c>
      <c r="O698">
        <v>0.13131037265548831</v>
      </c>
      <c r="P698" s="11">
        <v>0.5093947934740124</v>
      </c>
      <c r="Q698" t="s">
        <v>21</v>
      </c>
      <c r="R698" t="s">
        <v>248</v>
      </c>
    </row>
    <row r="699" spans="4:18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2.7346770720058793E-2</v>
      </c>
      <c r="H699" t="s">
        <v>31</v>
      </c>
      <c r="I699">
        <f>VLOOKUP(Table4[[#This Row],[Visitor]],'NHL Model'!$A$6:$B$38,2,FALSE)</f>
        <v>-0.38289376966531796</v>
      </c>
      <c r="J699">
        <f>($B$1+Table4[[#This Row],[Home Differential]])-Table4[[#This Row],[Away Differential]]</f>
        <v>0.50621053555604001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0.63236688227876126</v>
      </c>
      <c r="M699" t="str">
        <f>IF(OR((NHL2025_26Results[[#This Row],[Winning Team]]="")),"-",IF(Table4[[#This Row],[Predicted Winner]]=NHL2025_26Results[[#This Row],[Winning Team]],"YES","NO"))</f>
        <v>YES</v>
      </c>
      <c r="N699">
        <f>IF(Table4[[#This Row],[Adjusted Correct]]="-", "",IF(Table4[[#This Row],[Adjusted Correct]]="YES",(Table4[[#This Row],[Strength of Win]]-1)^2,(Table4[[#This Row],[Strength of Win]]-0)^2))</f>
        <v>0.13515410924543819</v>
      </c>
      <c r="O699">
        <v>0.55034593681266408</v>
      </c>
      <c r="P699" s="11">
        <v>0.64095777956624378</v>
      </c>
      <c r="Q699" t="s">
        <v>23</v>
      </c>
      <c r="R699" t="s">
        <v>248</v>
      </c>
    </row>
    <row r="700" spans="4:18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0.29527586190964761</v>
      </c>
      <c r="H700" t="s">
        <v>32</v>
      </c>
      <c r="I700">
        <f>VLOOKUP(Table4[[#This Row],[Visitor]],'NHL Model'!$A$6:$B$38,2,FALSE)</f>
        <v>-0.57094405545214133</v>
      </c>
      <c r="J700">
        <f>($B$1+Table4[[#This Row],[Home Differential]])-Table4[[#This Row],[Away Differential]]</f>
        <v>0.96218991253245223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0.67898301904882885</v>
      </c>
      <c r="M700" t="str">
        <f>IF(OR((NHL2025_26Results[[#This Row],[Winning Team]]="")),"-",IF(Table4[[#This Row],[Predicted Winner]]=NHL2025_26Results[[#This Row],[Winning Team]],"YES","NO"))</f>
        <v>YES</v>
      </c>
      <c r="N700">
        <f>IF(Table4[[#This Row],[Adjusted Correct]]="-", "",IF(Table4[[#This Row],[Adjusted Correct]]="YES",(Table4[[#This Row],[Strength of Win]]-1)^2,(Table4[[#This Row],[Strength of Win]]-0)^2))</f>
        <v>0.10305190205900458</v>
      </c>
      <c r="O700">
        <v>0.82327287110586178</v>
      </c>
      <c r="P700" s="11">
        <v>0.6383878653240288</v>
      </c>
      <c r="Q700" t="s">
        <v>25</v>
      </c>
      <c r="R700" t="s">
        <v>248</v>
      </c>
    </row>
    <row r="701" spans="4:18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1.1751846443488465</v>
      </c>
      <c r="H701" t="s">
        <v>28</v>
      </c>
      <c r="I701">
        <f>VLOOKUP(Table4[[#This Row],[Visitor]],'NHL Model'!$A$6:$B$38,2,FALSE)</f>
        <v>-0.42584667868780524</v>
      </c>
      <c r="J701">
        <f>($B$1+Table4[[#This Row],[Home Differential]])-Table4[[#This Row],[Away Differential]]</f>
        <v>1.6970013182073149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0.7952398057884067</v>
      </c>
      <c r="M701" t="str">
        <f>IF(OR((NHL2025_26Results[[#This Row],[Winning Team]]="")),"-",IF(Table4[[#This Row],[Predicted Winner]]=NHL2025_26Results[[#This Row],[Winning Team]],"YES","NO"))</f>
        <v>YES</v>
      </c>
      <c r="N701">
        <f>IF(Table4[[#This Row],[Adjusted Correct]]="-", "",IF(Table4[[#This Row],[Adjusted Correct]]="YES",(Table4[[#This Row],[Strength of Win]]-1)^2,(Table4[[#This Row],[Strength of Win]]-0)^2))</f>
        <v>4.1926737133569411E-2</v>
      </c>
      <c r="O701">
        <v>2.1929427291269161</v>
      </c>
      <c r="P701" s="11">
        <v>0.88240420199445602</v>
      </c>
      <c r="Q701" t="s">
        <v>12</v>
      </c>
      <c r="R701" t="s">
        <v>248</v>
      </c>
    </row>
    <row r="702" spans="4:18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-0.20041140176017086</v>
      </c>
      <c r="H702" t="s">
        <v>13</v>
      </c>
      <c r="I702">
        <f>VLOOKUP(Table4[[#This Row],[Visitor]],'NHL Model'!$A$6:$B$38,2,FALSE)</f>
        <v>-0.43624947117902363</v>
      </c>
      <c r="J702">
        <f>($B$1+Table4[[#This Row],[Home Differential]])-Table4[[#This Row],[Away Differential]]</f>
        <v>0.33180806458951601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0.54256734311904875</v>
      </c>
      <c r="M702" t="str">
        <f>IF(OR((NHL2025_26Results[[#This Row],[Winning Team]]="")),"-",IF(Table4[[#This Row],[Predicted Winner]]=NHL2025_26Results[[#This Row],[Winning Team]],"YES","NO"))</f>
        <v>NO</v>
      </c>
      <c r="N702">
        <f>IF(Table4[[#This Row],[Adjusted Correct]]="-", "",IF(Table4[[#This Row],[Adjusted Correct]]="YES",(Table4[[#This Row],[Strength of Win]]-1)^2,(Table4[[#This Row],[Strength of Win]]-0)^2))</f>
        <v>0.29437932181926357</v>
      </c>
      <c r="O702">
        <v>0.27845674209197313</v>
      </c>
      <c r="P702" s="11">
        <v>0.56460185458733902</v>
      </c>
      <c r="Q702" t="s">
        <v>17</v>
      </c>
      <c r="R702" t="s">
        <v>249</v>
      </c>
    </row>
    <row r="703" spans="4:18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1.2879210938040288E-2</v>
      </c>
      <c r="H703" t="s">
        <v>30</v>
      </c>
      <c r="I703">
        <f>VLOOKUP(Table4[[#This Row],[Visitor]],'NHL Model'!$A$6:$B$38,2,FALSE)</f>
        <v>-0.20908736804509698</v>
      </c>
      <c r="J703">
        <f>($B$1+Table4[[#This Row],[Home Differential]])-Table4[[#This Row],[Away Differential]]</f>
        <v>0.3179365741538005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0.55097898370581966</v>
      </c>
      <c r="M703" t="str">
        <f>IF(OR((NHL2025_26Results[[#This Row],[Winning Team]]="")),"-",IF(Table4[[#This Row],[Predicted Winner]]=NHL2025_26Results[[#This Row],[Winning Team]],"YES","NO"))</f>
        <v>NO</v>
      </c>
      <c r="N703">
        <f>IF(Table4[[#This Row],[Adjusted Correct]]="-", "",IF(Table4[[#This Row],[Adjusted Correct]]="YES",(Table4[[#This Row],[Strength of Win]]-1)^2,(Table4[[#This Row],[Strength of Win]]-0)^2))</f>
        <v>0.30357784048549791</v>
      </c>
      <c r="O703">
        <v>0.34863177377515592</v>
      </c>
      <c r="P703" s="11">
        <v>0.57674370624126814</v>
      </c>
      <c r="Q703" t="s">
        <v>34</v>
      </c>
      <c r="R703" t="s">
        <v>249</v>
      </c>
    </row>
    <row r="704" spans="4:18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-0.23645483545724041</v>
      </c>
      <c r="H704" t="s">
        <v>26</v>
      </c>
      <c r="I704">
        <f>VLOOKUP(Table4[[#This Row],[Visitor]],'NHL Model'!$A$6:$B$38,2,FALSE)</f>
        <v>-0.17319925920548884</v>
      </c>
      <c r="J704">
        <f>($B$1+Table4[[#This Row],[Home Differential]])-Table4[[#This Row],[Away Differential]]</f>
        <v>3.2714418918911692E-2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0.50398003275441572</v>
      </c>
      <c r="M704" t="str">
        <f>IF(OR((NHL2025_26Results[[#This Row],[Winning Team]]="")),"-",IF(Table4[[#This Row],[Predicted Winner]]=NHL2025_26Results[[#This Row],[Winning Team]],"YES","NO"))</f>
        <v>NO</v>
      </c>
      <c r="N704">
        <f>IF(Table4[[#This Row],[Adjusted Correct]]="-", "",IF(Table4[[#This Row],[Adjusted Correct]]="YES",(Table4[[#This Row],[Strength of Win]]-1)^2,(Table4[[#This Row],[Strength of Win]]-0)^2))</f>
        <v>0.25399587341514196</v>
      </c>
      <c r="O704">
        <v>0.38774914706935826</v>
      </c>
      <c r="P704" s="11">
        <v>0.54913423027731123</v>
      </c>
      <c r="Q704" t="s">
        <v>18</v>
      </c>
      <c r="R704" t="s">
        <v>249</v>
      </c>
    </row>
    <row r="705" spans="4:18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-0.74313650334688619</v>
      </c>
      <c r="H705" t="s">
        <v>10</v>
      </c>
      <c r="I705">
        <f>VLOOKUP(Table4[[#This Row],[Visitor]],'NHL Model'!$A$6:$B$38,2,FALSE)</f>
        <v>-0.70456324341534593</v>
      </c>
      <c r="J705">
        <f>($B$1+Table4[[#This Row],[Home Differential]])-Table4[[#This Row],[Away Differential]]</f>
        <v>5.7396735239123031E-2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0.54573146976056264</v>
      </c>
      <c r="M705" t="str">
        <f>IF(OR((NHL2025_26Results[[#This Row],[Winning Team]]="")),"-",IF(Table4[[#This Row],[Predicted Winner]]=NHL2025_26Results[[#This Row],[Winning Team]],"YES","NO"))</f>
        <v>NO</v>
      </c>
      <c r="N705">
        <f>IF(Table4[[#This Row],[Adjusted Correct]]="-", "",IF(Table4[[#This Row],[Adjusted Correct]]="YES",(Table4[[#This Row],[Strength of Win]]-1)^2,(Table4[[#This Row],[Strength of Win]]-0)^2))</f>
        <v>0.2978228370870239</v>
      </c>
      <c r="O705">
        <v>0.12917799449905126</v>
      </c>
      <c r="P705" s="11">
        <v>0.55299704148060003</v>
      </c>
      <c r="Q705" t="s">
        <v>29</v>
      </c>
      <c r="R705" t="s">
        <v>249</v>
      </c>
    </row>
    <row r="706" spans="4:18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-0.40390734274709933</v>
      </c>
      <c r="H706" t="s">
        <v>11</v>
      </c>
      <c r="I706">
        <f>VLOOKUP(Table4[[#This Row],[Visitor]],'NHL Model'!$A$6:$B$38,2,FALSE)</f>
        <v>-0.42375285621939396</v>
      </c>
      <c r="J706">
        <f>($B$1+Table4[[#This Row],[Home Differential]])-Table4[[#This Row],[Away Differential]]</f>
        <v>0.11581550864295787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0.50015665736697656</v>
      </c>
      <c r="M706" t="str">
        <f>IF(OR((NHL2025_26Results[[#This Row],[Winning Team]]="")),"-",IF(Table4[[#This Row],[Predicted Winner]]=NHL2025_26Results[[#This Row],[Winning Team]],"YES","NO"))</f>
        <v>NO</v>
      </c>
      <c r="N706">
        <f>IF(Table4[[#This Row],[Adjusted Correct]]="-", "",IF(Table4[[#This Row],[Adjusted Correct]]="YES",(Table4[[#This Row],[Strength of Win]]-1)^2,(Table4[[#This Row],[Strength of Win]]-0)^2))</f>
        <v>0.25015668190850721</v>
      </c>
      <c r="O706">
        <v>0.11058671687547555</v>
      </c>
      <c r="P706" s="11">
        <v>0.54546876765709806</v>
      </c>
      <c r="Q706" t="s">
        <v>36</v>
      </c>
      <c r="R706" t="s">
        <v>249</v>
      </c>
    </row>
    <row r="707" spans="4:18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-0.32182316569099201</v>
      </c>
      <c r="H707" t="s">
        <v>37</v>
      </c>
      <c r="I707">
        <f>VLOOKUP(Table4[[#This Row],[Visitor]],'NHL Model'!$A$6:$B$38,2,FALSE)</f>
        <v>0.65340538721281671</v>
      </c>
      <c r="J707">
        <f>($B$1+Table4[[#This Row],[Home Differential]])-Table4[[#This Row],[Away Differential]]</f>
        <v>-0.87925855773314554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0.6446583303265736</v>
      </c>
      <c r="M707" t="str">
        <f>IF(OR((NHL2025_26Results[[#This Row],[Winning Team]]="")),"-",IF(Table4[[#This Row],[Predicted Winner]]=NHL2025_26Results[[#This Row],[Winning Team]],"YES","NO"))</f>
        <v>YES</v>
      </c>
      <c r="N707">
        <f>IF(Table4[[#This Row],[Adjusted Correct]]="-", "",IF(Table4[[#This Row],[Adjusted Correct]]="YES",(Table4[[#This Row],[Strength of Win]]-1)^2,(Table4[[#This Row],[Strength of Win]]-0)^2))</f>
        <v>0.12626770220629849</v>
      </c>
      <c r="O707">
        <v>-0.50876318724816472</v>
      </c>
      <c r="P707" s="11">
        <v>0.60118841079790286</v>
      </c>
      <c r="Q707" t="s">
        <v>37</v>
      </c>
      <c r="R707" t="s">
        <v>248</v>
      </c>
    </row>
    <row r="708" spans="4:18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3.24300967767114E-5</v>
      </c>
      <c r="H708" t="s">
        <v>16</v>
      </c>
      <c r="I708">
        <f>VLOOKUP(Table4[[#This Row],[Visitor]],'NHL Model'!$A$6:$B$38,2,FALSE)</f>
        <v>-0.79148902514100783</v>
      </c>
      <c r="J708">
        <f>($B$1+Table4[[#This Row],[Home Differential]])-Table4[[#This Row],[Away Differential]]</f>
        <v>0.88749145040844779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0.62862229514592061</v>
      </c>
      <c r="M708" t="str">
        <f>IF(OR((NHL2025_26Results[[#This Row],[Winning Team]]="")),"-",IF(Table4[[#This Row],[Predicted Winner]]=NHL2025_26Results[[#This Row],[Winning Team]],"YES","NO"))</f>
        <v>NO</v>
      </c>
      <c r="N708">
        <f>IF(Table4[[#This Row],[Adjusted Correct]]="-", "",IF(Table4[[#This Row],[Adjusted Correct]]="YES",(Table4[[#This Row],[Strength of Win]]-1)^2,(Table4[[#This Row],[Strength of Win]]-0)^2))</f>
        <v>0.3951659899545249</v>
      </c>
      <c r="O708">
        <v>0.78333122972771418</v>
      </c>
      <c r="P708" s="11">
        <v>0.61881364411409323</v>
      </c>
      <c r="Q708" t="s">
        <v>14</v>
      </c>
      <c r="R708" t="s">
        <v>249</v>
      </c>
    </row>
    <row r="709" spans="4:18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-0.53461960928306718</v>
      </c>
      <c r="H709" t="s">
        <v>39</v>
      </c>
      <c r="I709">
        <f>VLOOKUP(Table4[[#This Row],[Visitor]],'NHL Model'!$A$6:$B$38,2,FALSE)</f>
        <v>0.21259592260910548</v>
      </c>
      <c r="J709">
        <f>($B$1+Table4[[#This Row],[Home Differential]])-Table4[[#This Row],[Away Differential]]</f>
        <v>-0.65124553672150942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0.56303943873065476</v>
      </c>
      <c r="M709" t="str">
        <f>IF(OR((NHL2025_26Results[[#This Row],[Winning Team]]="")),"-",IF(Table4[[#This Row],[Predicted Winner]]=NHL2025_26Results[[#This Row],[Winning Team]],"YES","NO"))</f>
        <v>NO</v>
      </c>
      <c r="N709">
        <f>IF(Table4[[#This Row],[Adjusted Correct]]="-", "",IF(Table4[[#This Row],[Adjusted Correct]]="YES",(Table4[[#This Row],[Strength of Win]]-1)^2,(Table4[[#This Row],[Strength of Win]]-0)^2))</f>
        <v>0.31701340956613072</v>
      </c>
      <c r="O709">
        <v>-0.7552017595702788</v>
      </c>
      <c r="P709" s="11">
        <v>0.60588503126090121</v>
      </c>
      <c r="Q709" t="s">
        <v>39</v>
      </c>
      <c r="R709" t="s">
        <v>249</v>
      </c>
    </row>
    <row r="710" spans="4:18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-0.32175529201986758</v>
      </c>
      <c r="H710" t="s">
        <v>38</v>
      </c>
      <c r="I710">
        <f>VLOOKUP(Table4[[#This Row],[Visitor]],'NHL Model'!$A$6:$B$38,2,FALSE)</f>
        <v>-1.2591310848703385</v>
      </c>
      <c r="J710">
        <f>($B$1+Table4[[#This Row],[Home Differential]])-Table4[[#This Row],[Away Differential]]</f>
        <v>1.0333457880211343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0.64851748850508417</v>
      </c>
      <c r="M710" t="str">
        <f>IF(OR((NHL2025_26Results[[#This Row],[Winning Team]]="")),"-",IF(Table4[[#This Row],[Predicted Winner]]=NHL2025_26Results[[#This Row],[Winning Team]],"YES","NO"))</f>
        <v>YES</v>
      </c>
      <c r="N710">
        <f>IF(Table4[[#This Row],[Adjusted Correct]]="-", "",IF(Table4[[#This Row],[Adjusted Correct]]="YES",(Table4[[#This Row],[Strength of Win]]-1)^2,(Table4[[#This Row],[Strength of Win]]-0)^2))</f>
        <v>0.12353995588677363</v>
      </c>
      <c r="O710">
        <v>0.85274424756893841</v>
      </c>
      <c r="P710" s="11">
        <v>0.63125207158100904</v>
      </c>
      <c r="Q710" t="s">
        <v>19</v>
      </c>
      <c r="R710" t="s">
        <v>248</v>
      </c>
    </row>
    <row r="711" spans="4:18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-4.774288798450349E-3</v>
      </c>
      <c r="H711" t="s">
        <v>35</v>
      </c>
      <c r="I711">
        <f>VLOOKUP(Table4[[#This Row],[Visitor]],'NHL Model'!$A$6:$B$38,2,FALSE)</f>
        <v>-1.2663626722629573</v>
      </c>
      <c r="J711">
        <f>($B$1+Table4[[#This Row],[Home Differential]])-Table4[[#This Row],[Away Differential]]</f>
        <v>1.3575583786351701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0.67556180090957896</v>
      </c>
      <c r="M711" t="str">
        <f>IF(OR((NHL2025_26Results[[#This Row],[Winning Team]]="")),"-",IF(Table4[[#This Row],[Predicted Winner]]=NHL2025_26Results[[#This Row],[Winning Team]],"YES","NO"))</f>
        <v>YES</v>
      </c>
      <c r="N711">
        <f>IF(Table4[[#This Row],[Adjusted Correct]]="-", "",IF(Table4[[#This Row],[Adjusted Correct]]="YES",(Table4[[#This Row],[Strength of Win]]-1)^2,(Table4[[#This Row],[Strength of Win]]-0)^2))</f>
        <v>0.10526014502903568</v>
      </c>
      <c r="O711">
        <v>1.1891359002397888</v>
      </c>
      <c r="P711" s="11">
        <v>0.65964304509775207</v>
      </c>
      <c r="Q711" t="s">
        <v>20</v>
      </c>
      <c r="R711" t="s">
        <v>248</v>
      </c>
    </row>
    <row r="712" spans="4:18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-5.5047914862176604E-2</v>
      </c>
      <c r="H712" t="s">
        <v>14</v>
      </c>
      <c r="I712">
        <f>VLOOKUP(Table4[[#This Row],[Visitor]],'NHL Model'!$A$6:$B$38,2,FALSE)</f>
        <v>3.24300967767114E-5</v>
      </c>
      <c r="J712">
        <f>($B$1+Table4[[#This Row],[Home Differential]])-Table4[[#This Row],[Away Differential]]</f>
        <v>4.0889650211709934E-2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0.53852492585493683</v>
      </c>
      <c r="M712" t="str">
        <f>IF(OR((NHL2025_26Results[[#This Row],[Winning Team]]="")),"-",IF(Table4[[#This Row],[Predicted Winner]]=NHL2025_26Results[[#This Row],[Winning Team]],"YES","NO"))</f>
        <v>YES</v>
      </c>
      <c r="N712">
        <f>IF(Table4[[#This Row],[Adjusted Correct]]="-", "",IF(Table4[[#This Row],[Adjusted Correct]]="YES",(Table4[[#This Row],[Strength of Win]]-1)^2,(Table4[[#This Row],[Strength of Win]]-0)^2))</f>
        <v>0.21295924405719155</v>
      </c>
      <c r="O712">
        <v>0.19233779933227024</v>
      </c>
      <c r="P712" s="11">
        <v>0.53821865705869887</v>
      </c>
      <c r="Q712" t="s">
        <v>21</v>
      </c>
      <c r="R712" t="s">
        <v>248</v>
      </c>
    </row>
    <row r="713" spans="4:18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-0.74313650334688619</v>
      </c>
      <c r="H713" t="s">
        <v>22</v>
      </c>
      <c r="I713">
        <f>VLOOKUP(Table4[[#This Row],[Visitor]],'NHL Model'!$A$6:$B$38,2,FALSE)</f>
        <v>-8.9159851516330005E-2</v>
      </c>
      <c r="J713">
        <f>($B$1+Table4[[#This Row],[Home Differential]])-Table4[[#This Row],[Away Differential]]</f>
        <v>-0.55800665665989291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0.51572090930807535</v>
      </c>
      <c r="M713" t="str">
        <f>IF(OR((NHL2025_26Results[[#This Row],[Winning Team]]="")),"-",IF(Table4[[#This Row],[Predicted Winner]]=NHL2025_26Results[[#This Row],[Winning Team]],"YES","NO"))</f>
        <v>NO</v>
      </c>
      <c r="N713">
        <f>IF(Table4[[#This Row],[Adjusted Correct]]="-", "",IF(Table4[[#This Row],[Adjusted Correct]]="YES",(Table4[[#This Row],[Strength of Win]]-1)^2,(Table4[[#This Row],[Strength of Win]]-0)^2))</f>
        <v>0.26596805629754811</v>
      </c>
      <c r="O713">
        <v>-0.77867379141149162</v>
      </c>
      <c r="P713" s="11">
        <v>0.54636353576084273</v>
      </c>
      <c r="Q713" t="s">
        <v>22</v>
      </c>
      <c r="R713" t="s">
        <v>249</v>
      </c>
    </row>
    <row r="714" spans="4:18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-0.53461960928306718</v>
      </c>
      <c r="H714" t="s">
        <v>20</v>
      </c>
      <c r="I714">
        <f>VLOOKUP(Table4[[#This Row],[Visitor]],'NHL Model'!$A$6:$B$38,2,FALSE)</f>
        <v>-4.774288798450349E-3</v>
      </c>
      <c r="J714">
        <f>($B$1+Table4[[#This Row],[Home Differential]])-Table4[[#This Row],[Away Differential]]</f>
        <v>-0.43387532531395356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0.53389155610428995</v>
      </c>
      <c r="M714" t="str">
        <f>IF(OR((NHL2025_26Results[[#This Row],[Winning Team]]="")),"-",IF(Table4[[#This Row],[Predicted Winner]]=NHL2025_26Results[[#This Row],[Winning Team]],"YES","NO"))</f>
        <v>YES</v>
      </c>
      <c r="N714">
        <f>IF(Table4[[#This Row],[Adjusted Correct]]="-", "",IF(Table4[[#This Row],[Adjusted Correct]]="YES",(Table4[[#This Row],[Strength of Win]]-1)^2,(Table4[[#This Row],[Strength of Win]]-0)^2))</f>
        <v>0.21725708147088027</v>
      </c>
      <c r="O714">
        <v>-0.12719426391699862</v>
      </c>
      <c r="P714" s="11">
        <v>0.48053813942253781</v>
      </c>
      <c r="Q714" t="s">
        <v>20</v>
      </c>
      <c r="R714" t="s">
        <v>248</v>
      </c>
    </row>
    <row r="715" spans="4:18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0.12055191373383152</v>
      </c>
      <c r="H715" t="s">
        <v>28</v>
      </c>
      <c r="I715">
        <f>VLOOKUP(Table4[[#This Row],[Visitor]],'NHL Model'!$A$6:$B$38,2,FALSE)</f>
        <v>-0.42584667868780524</v>
      </c>
      <c r="J715">
        <f>($B$1+Table4[[#This Row],[Home Differential]])-Table4[[#This Row],[Away Differential]]</f>
        <v>0.64236858759229998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0.64018191083945075</v>
      </c>
      <c r="M715" t="str">
        <f>IF(OR((NHL2025_26Results[[#This Row],[Winning Team]]="")),"-",IF(Table4[[#This Row],[Predicted Winner]]=NHL2025_26Results[[#This Row],[Winning Team]],"YES","NO"))</f>
        <v>NO</v>
      </c>
      <c r="N715">
        <f>IF(Table4[[#This Row],[Adjusted Correct]]="-", "",IF(Table4[[#This Row],[Adjusted Correct]]="YES",(Table4[[#This Row],[Strength of Win]]-1)^2,(Table4[[#This Row],[Strength of Win]]-0)^2))</f>
        <v>0.40983287896605047</v>
      </c>
      <c r="O715">
        <v>0.69819665125504082</v>
      </c>
      <c r="P715" s="11">
        <v>0.62696753507233571</v>
      </c>
      <c r="Q715" t="s">
        <v>55</v>
      </c>
      <c r="R715" t="s">
        <v>249</v>
      </c>
    </row>
    <row r="716" spans="4:18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-0.47391784202962389</v>
      </c>
      <c r="H716" t="s">
        <v>24</v>
      </c>
      <c r="I716">
        <f>VLOOKUP(Table4[[#This Row],[Visitor]],'NHL Model'!$A$6:$B$38,2,FALSE)</f>
        <v>-0.52712015292731806</v>
      </c>
      <c r="J716">
        <f>($B$1+Table4[[#This Row],[Home Differential]])-Table4[[#This Row],[Away Differential]]</f>
        <v>0.14917230606835741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0.5168879411569357</v>
      </c>
      <c r="M716" t="str">
        <f>IF(OR((NHL2025_26Results[[#This Row],[Winning Team]]="")),"-",IF(Table4[[#This Row],[Predicted Winner]]=NHL2025_26Results[[#This Row],[Winning Team]],"YES","NO"))</f>
        <v>YES</v>
      </c>
      <c r="N716">
        <f>IF(Table4[[#This Row],[Adjusted Correct]]="-", "",IF(Table4[[#This Row],[Adjusted Correct]]="YES",(Table4[[#This Row],[Strength of Win]]-1)^2,(Table4[[#This Row],[Strength of Win]]-0)^2))</f>
        <v>0.23339726139958442</v>
      </c>
      <c r="O716">
        <v>0.28960386634653146</v>
      </c>
      <c r="P716" s="11">
        <v>0.55923640997822566</v>
      </c>
      <c r="Q716" t="s">
        <v>40</v>
      </c>
      <c r="R716" t="s">
        <v>248</v>
      </c>
    </row>
    <row r="717" spans="4:18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2.7346770720058793E-2</v>
      </c>
      <c r="H717" t="s">
        <v>11</v>
      </c>
      <c r="I717">
        <f>VLOOKUP(Table4[[#This Row],[Visitor]],'NHL Model'!$A$6:$B$38,2,FALSE)</f>
        <v>-0.42375285621939396</v>
      </c>
      <c r="J717">
        <f>($B$1+Table4[[#This Row],[Home Differential]])-Table4[[#This Row],[Away Differential]]</f>
        <v>0.54706962211011601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0.58565330011712002</v>
      </c>
      <c r="M717" t="str">
        <f>IF(OR((NHL2025_26Results[[#This Row],[Winning Team]]="")),"-",IF(Table4[[#This Row],[Predicted Winner]]=NHL2025_26Results[[#This Row],[Winning Team]],"YES","NO"))</f>
        <v>NO</v>
      </c>
      <c r="N717">
        <f>IF(Table4[[#This Row],[Adjusted Correct]]="-", "",IF(Table4[[#This Row],[Adjusted Correct]]="YES",(Table4[[#This Row],[Strength of Win]]-1)^2,(Table4[[#This Row],[Strength of Win]]-0)^2))</f>
        <v>0.34298978793807344</v>
      </c>
      <c r="O717">
        <v>0.33868445578041373</v>
      </c>
      <c r="P717" s="11">
        <v>0.60451678477901716</v>
      </c>
      <c r="Q717" t="s">
        <v>23</v>
      </c>
      <c r="R717" t="s">
        <v>249</v>
      </c>
    </row>
    <row r="718" spans="4:18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-0.70456324341534593</v>
      </c>
      <c r="H718" t="s">
        <v>17</v>
      </c>
      <c r="I718">
        <f>VLOOKUP(Table4[[#This Row],[Visitor]],'NHL Model'!$A$6:$B$38,2,FALSE)</f>
        <v>-0.20041140176017086</v>
      </c>
      <c r="J718">
        <f>($B$1+Table4[[#This Row],[Home Differential]])-Table4[[#This Row],[Away Differential]]</f>
        <v>-0.40818184648451178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0.50306425254873555</v>
      </c>
      <c r="M718" t="str">
        <f>IF(OR((NHL2025_26Results[[#This Row],[Winning Team]]="")),"-",IF(Table4[[#This Row],[Predicted Winner]]=NHL2025_26Results[[#This Row],[Winning Team]],"YES","NO"))</f>
        <v>YES</v>
      </c>
      <c r="N718">
        <f>IF(Table4[[#This Row],[Adjusted Correct]]="-", "",IF(Table4[[#This Row],[Adjusted Correct]]="YES",(Table4[[#This Row],[Strength of Win]]-1)^2,(Table4[[#This Row],[Strength of Win]]-0)^2))</f>
        <v>0.24694513709494689</v>
      </c>
      <c r="O718">
        <v>-0.22655626064424392</v>
      </c>
      <c r="P718" s="11">
        <v>0.48213370516459769</v>
      </c>
      <c r="Q718" t="s">
        <v>17</v>
      </c>
      <c r="R718" t="s">
        <v>248</v>
      </c>
    </row>
    <row r="719" spans="4:18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1.1751846443488465</v>
      </c>
      <c r="H719" t="s">
        <v>19</v>
      </c>
      <c r="I719">
        <f>VLOOKUP(Table4[[#This Row],[Visitor]],'NHL Model'!$A$6:$B$38,2,FALSE)</f>
        <v>-0.32175529201986758</v>
      </c>
      <c r="J719">
        <f>($B$1+Table4[[#This Row],[Home Differential]])-Table4[[#This Row],[Away Differential]]</f>
        <v>1.5929099315393773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0.78484554499052672</v>
      </c>
      <c r="M719" t="str">
        <f>IF(OR((NHL2025_26Results[[#This Row],[Winning Team]]="")),"-",IF(Table4[[#This Row],[Predicted Winner]]=NHL2025_26Results[[#This Row],[Winning Team]],"YES","NO"))</f>
        <v>NO</v>
      </c>
      <c r="N719">
        <f>IF(Table4[[#This Row],[Adjusted Correct]]="-", "",IF(Table4[[#This Row],[Adjusted Correct]]="YES",(Table4[[#This Row],[Strength of Win]]-1)^2,(Table4[[#This Row],[Strength of Win]]-0)^2))</f>
        <v>0.61598252949147692</v>
      </c>
      <c r="O719">
        <v>1.8102399566324268</v>
      </c>
      <c r="P719" s="11">
        <v>0.83979859086954201</v>
      </c>
      <c r="Q719" t="s">
        <v>12</v>
      </c>
      <c r="R719" t="s">
        <v>249</v>
      </c>
    </row>
    <row r="720" spans="4:18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-0.17319925920548884</v>
      </c>
      <c r="H720" t="s">
        <v>25</v>
      </c>
      <c r="I720">
        <f>VLOOKUP(Table4[[#This Row],[Visitor]],'NHL Model'!$A$6:$B$38,2,FALSE)</f>
        <v>0.29527586190964761</v>
      </c>
      <c r="J720">
        <f>($B$1+Table4[[#This Row],[Home Differential]])-Table4[[#This Row],[Away Differential]]</f>
        <v>-0.37250512594447321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0.50386393679205921</v>
      </c>
      <c r="M720" t="str">
        <f>IF(OR((NHL2025_26Results[[#This Row],[Winning Team]]="")),"-",IF(Table4[[#This Row],[Predicted Winner]]=NHL2025_26Results[[#This Row],[Winning Team]],"YES","NO"))</f>
        <v>NO</v>
      </c>
      <c r="N720">
        <f>IF(Table4[[#This Row],[Adjusted Correct]]="-", "",IF(Table4[[#This Row],[Adjusted Correct]]="YES",(Table4[[#This Row],[Strength of Win]]-1)^2,(Table4[[#This Row],[Strength of Win]]-0)^2))</f>
        <v>0.25387886679959226</v>
      </c>
      <c r="O720">
        <v>-0.3625125466038488</v>
      </c>
      <c r="P720" s="11">
        <v>0.52521204768630914</v>
      </c>
      <c r="Q720" t="s">
        <v>25</v>
      </c>
      <c r="R720" t="s">
        <v>249</v>
      </c>
    </row>
    <row r="721" spans="4:18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-0.43624947117902363</v>
      </c>
      <c r="H721" t="s">
        <v>39</v>
      </c>
      <c r="I721">
        <f>VLOOKUP(Table4[[#This Row],[Visitor]],'NHL Model'!$A$6:$B$38,2,FALSE)</f>
        <v>0.21259592260910548</v>
      </c>
      <c r="J721">
        <f>($B$1+Table4[[#This Row],[Home Differential]])-Table4[[#This Row],[Away Differential]]</f>
        <v>-0.55287539861746593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0.55321648504632426</v>
      </c>
      <c r="M721" t="str">
        <f>IF(OR((NHL2025_26Results[[#This Row],[Winning Team]]="")),"-",IF(Table4[[#This Row],[Predicted Winner]]=NHL2025_26Results[[#This Row],[Winning Team]],"YES","NO"))</f>
        <v>YES</v>
      </c>
      <c r="N721">
        <f>IF(Table4[[#This Row],[Adjusted Correct]]="-", "",IF(Table4[[#This Row],[Adjusted Correct]]="YES",(Table4[[#This Row],[Strength of Win]]-1)^2,(Table4[[#This Row],[Strength of Win]]-0)^2))</f>
        <v>0.19961550923436139</v>
      </c>
      <c r="O721">
        <v>-0.52614364272417502</v>
      </c>
      <c r="P721" s="11">
        <v>0.57069011346107879</v>
      </c>
      <c r="Q721" t="s">
        <v>39</v>
      </c>
      <c r="R721" t="s">
        <v>248</v>
      </c>
    </row>
    <row r="722" spans="4:18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1.2879210938040288E-2</v>
      </c>
      <c r="H722" t="s">
        <v>24</v>
      </c>
      <c r="I722">
        <f>VLOOKUP(Table4[[#This Row],[Visitor]],'NHL Model'!$A$6:$B$38,2,FALSE)</f>
        <v>-0.52712015292731806</v>
      </c>
      <c r="J722">
        <f>($B$1+Table4[[#This Row],[Home Differential]])-Table4[[#This Row],[Away Differential]]</f>
        <v>0.63596935903602159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0.56549806814397308</v>
      </c>
      <c r="M722" t="str">
        <f>IF(OR((NHL2025_26Results[[#This Row],[Winning Team]]="")),"-",IF(Table4[[#This Row],[Predicted Winner]]=NHL2025_26Results[[#This Row],[Winning Team]],"YES","NO"))</f>
        <v>NO</v>
      </c>
      <c r="N722">
        <f>IF(Table4[[#This Row],[Adjusted Correct]]="-", "",IF(Table4[[#This Row],[Adjusted Correct]]="YES",(Table4[[#This Row],[Strength of Win]]-1)^2,(Table4[[#This Row],[Strength of Win]]-0)^2))</f>
        <v>0.31978806507456564</v>
      </c>
      <c r="O722">
        <v>0.91831159626243974</v>
      </c>
      <c r="P722" s="11">
        <v>0.64103030551232276</v>
      </c>
      <c r="Q722" t="s">
        <v>34</v>
      </c>
      <c r="R722" t="s">
        <v>249</v>
      </c>
    </row>
    <row r="723" spans="4:18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-0.23645483545724041</v>
      </c>
      <c r="H723" t="s">
        <v>38</v>
      </c>
      <c r="I723">
        <f>VLOOKUP(Table4[[#This Row],[Visitor]],'NHL Model'!$A$6:$B$38,2,FALSE)</f>
        <v>-1.2591310848703385</v>
      </c>
      <c r="J723">
        <f>($B$1+Table4[[#This Row],[Home Differential]])-Table4[[#This Row],[Away Differential]]</f>
        <v>1.1186462445837613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0.65170473541548168</v>
      </c>
      <c r="M723" t="str">
        <f>IF(OR((NHL2025_26Results[[#This Row],[Winning Team]]="")),"-",IF(Table4[[#This Row],[Predicted Winner]]=NHL2025_26Results[[#This Row],[Winning Team]],"YES","NO"))</f>
        <v>YES</v>
      </c>
      <c r="N723">
        <f>IF(Table4[[#This Row],[Adjusted Correct]]="-", "",IF(Table4[[#This Row],[Adjusted Correct]]="YES",(Table4[[#This Row],[Strength of Win]]-1)^2,(Table4[[#This Row],[Strength of Win]]-0)^2))</f>
        <v>0.12130959133199962</v>
      </c>
      <c r="O723">
        <v>0.98792559369139321</v>
      </c>
      <c r="P723" s="11">
        <v>0.62592842574691987</v>
      </c>
      <c r="Q723" t="s">
        <v>18</v>
      </c>
      <c r="R723" t="s">
        <v>248</v>
      </c>
    </row>
    <row r="724" spans="4:18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-0.6396663932228257</v>
      </c>
      <c r="H724" t="s">
        <v>32</v>
      </c>
      <c r="I724">
        <f>VLOOKUP(Table4[[#This Row],[Visitor]],'NHL Model'!$A$6:$B$38,2,FALSE)</f>
        <v>-0.57094405545214133</v>
      </c>
      <c r="J724">
        <f>($B$1+Table4[[#This Row],[Home Differential]])-Table4[[#This Row],[Away Differential]]</f>
        <v>2.724765739997892E-2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0.54272087120954748</v>
      </c>
      <c r="M724" t="str">
        <f>IF(OR((NHL2025_26Results[[#This Row],[Winning Team]]="")),"-",IF(Table4[[#This Row],[Predicted Winner]]=NHL2025_26Results[[#This Row],[Winning Team]],"YES","NO"))</f>
        <v>NO</v>
      </c>
      <c r="N724">
        <f>IF(Table4[[#This Row],[Adjusted Correct]]="-", "",IF(Table4[[#This Row],[Adjusted Correct]]="YES",(Table4[[#This Row],[Strength of Win]]-1)^2,(Table4[[#This Row],[Strength of Win]]-0)^2))</f>
        <v>0.29454594404645024</v>
      </c>
      <c r="O724">
        <v>0.11879654447698801</v>
      </c>
      <c r="P724" s="11">
        <v>0.5430024197610579</v>
      </c>
      <c r="Q724" t="s">
        <v>15</v>
      </c>
      <c r="R724" t="s">
        <v>249</v>
      </c>
    </row>
    <row r="725" spans="4:18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-0.32182316569099201</v>
      </c>
      <c r="H725" t="s">
        <v>37</v>
      </c>
      <c r="I725">
        <f>VLOOKUP(Table4[[#This Row],[Visitor]],'NHL Model'!$A$6:$B$38,2,FALSE)</f>
        <v>0.65340538721281671</v>
      </c>
      <c r="J725">
        <f>($B$1+Table4[[#This Row],[Home Differential]])-Table4[[#This Row],[Away Differential]]</f>
        <v>-0.87925855773314554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0.6446583303265736</v>
      </c>
      <c r="M725" t="str">
        <f>IF(OR((NHL2025_26Results[[#This Row],[Winning Team]]="")),"-",IF(Table4[[#This Row],[Predicted Winner]]=NHL2025_26Results[[#This Row],[Winning Team]],"YES","NO"))</f>
        <v>YES</v>
      </c>
      <c r="N725">
        <f>IF(Table4[[#This Row],[Adjusted Correct]]="-", "",IF(Table4[[#This Row],[Adjusted Correct]]="YES",(Table4[[#This Row],[Strength of Win]]-1)^2,(Table4[[#This Row],[Strength of Win]]-0)^2))</f>
        <v>0.12626770220629849</v>
      </c>
      <c r="O725">
        <v>-0.72537314197084657</v>
      </c>
      <c r="P725" s="11">
        <v>0.62890197599503728</v>
      </c>
      <c r="Q725" t="s">
        <v>37</v>
      </c>
      <c r="R725" t="s">
        <v>248</v>
      </c>
    </row>
    <row r="726" spans="4:18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-0.38289376966531796</v>
      </c>
      <c r="H726" t="s">
        <v>39</v>
      </c>
      <c r="I726">
        <f>VLOOKUP(Table4[[#This Row],[Visitor]],'NHL Model'!$A$6:$B$38,2,FALSE)</f>
        <v>0.21259592260910548</v>
      </c>
      <c r="J726">
        <f>($B$1+Table4[[#This Row],[Home Differential]])-Table4[[#This Row],[Away Differential]]</f>
        <v>-0.49951969710376021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0.51141903448094639</v>
      </c>
      <c r="M726" t="str">
        <f>IF(OR((NHL2025_26Results[[#This Row],[Winning Team]]="")),"-",IF(Table4[[#This Row],[Predicted Winner]]=NHL2025_26Results[[#This Row],[Winning Team]],"YES","NO"))</f>
        <v>NO</v>
      </c>
      <c r="N726">
        <f>IF(Table4[[#This Row],[Adjusted Correct]]="-", "",IF(Table4[[#This Row],[Adjusted Correct]]="YES",(Table4[[#This Row],[Strength of Win]]-1)^2,(Table4[[#This Row],[Strength of Win]]-0)^2))</f>
        <v>0.26154942882942345</v>
      </c>
      <c r="O726">
        <v>-0.83828140327645184</v>
      </c>
      <c r="P726" s="11">
        <v>0.59165089520984382</v>
      </c>
      <c r="Q726" t="s">
        <v>39</v>
      </c>
      <c r="R726" t="s">
        <v>249</v>
      </c>
    </row>
    <row r="727" spans="4:18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-5.5047914862176604E-2</v>
      </c>
      <c r="H727" t="s">
        <v>26</v>
      </c>
      <c r="I727">
        <f>VLOOKUP(Table4[[#This Row],[Visitor]],'NHL Model'!$A$6:$B$38,2,FALSE)</f>
        <v>-0.17319925920548884</v>
      </c>
      <c r="J727">
        <f>($B$1+Table4[[#This Row],[Home Differential]])-Table4[[#This Row],[Away Differential]]</f>
        <v>0.21412133951397549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0.56556757592096951</v>
      </c>
      <c r="M727" t="str">
        <f>IF(OR((NHL2025_26Results[[#This Row],[Winning Team]]="")),"-",IF(Table4[[#This Row],[Predicted Winner]]=NHL2025_26Results[[#This Row],[Winning Team]],"YES","NO"))</f>
        <v>YES</v>
      </c>
      <c r="N727">
        <f>IF(Table4[[#This Row],[Adjusted Correct]]="-", "",IF(Table4[[#This Row],[Adjusted Correct]]="YES",(Table4[[#This Row],[Strength of Win]]-1)^2,(Table4[[#This Row],[Strength of Win]]-0)^2))</f>
        <v>0.1887315310911826</v>
      </c>
      <c r="O727">
        <v>0.19862068081448292</v>
      </c>
      <c r="P727" s="11">
        <v>0.53560461186262776</v>
      </c>
      <c r="Q727" t="s">
        <v>21</v>
      </c>
      <c r="R727" t="s">
        <v>248</v>
      </c>
    </row>
    <row r="728" spans="4:18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-0.42584667868780524</v>
      </c>
      <c r="H728" t="s">
        <v>16</v>
      </c>
      <c r="I728">
        <f>VLOOKUP(Table4[[#This Row],[Visitor]],'NHL Model'!$A$6:$B$38,2,FALSE)</f>
        <v>-0.79148902514100783</v>
      </c>
      <c r="J728">
        <f>($B$1+Table4[[#This Row],[Home Differential]])-Table4[[#This Row],[Away Differential]]</f>
        <v>0.46161234162386583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0.5860952555245037</v>
      </c>
      <c r="M728" t="str">
        <f>IF(OR((NHL2025_26Results[[#This Row],[Winning Team]]="")),"-",IF(Table4[[#This Row],[Predicted Winner]]=NHL2025_26Results[[#This Row],[Winning Team]],"YES","NO"))</f>
        <v>YES</v>
      </c>
      <c r="N728">
        <f>IF(Table4[[#This Row],[Adjusted Correct]]="-", "",IF(Table4[[#This Row],[Adjusted Correct]]="YES",(Table4[[#This Row],[Strength of Win]]-1)^2,(Table4[[#This Row],[Strength of Win]]-0)^2))</f>
        <v>0.17131713749932589</v>
      </c>
      <c r="O728">
        <v>0.30440062137377499</v>
      </c>
      <c r="P728" s="11">
        <v>0.56885234797900286</v>
      </c>
      <c r="Q728" t="s">
        <v>28</v>
      </c>
      <c r="R728" t="s">
        <v>248</v>
      </c>
    </row>
    <row r="729" spans="4:18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-0.74313650334688619</v>
      </c>
      <c r="H729" t="s">
        <v>17</v>
      </c>
      <c r="I729">
        <f>VLOOKUP(Table4[[#This Row],[Visitor]],'NHL Model'!$A$6:$B$38,2,FALSE)</f>
        <v>-0.20041140176017086</v>
      </c>
      <c r="J729">
        <f>($B$1+Table4[[#This Row],[Home Differential]])-Table4[[#This Row],[Away Differential]]</f>
        <v>-0.44675510641605204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0.50691606523360133</v>
      </c>
      <c r="M729" t="str">
        <f>IF(OR((NHL2025_26Results[[#This Row],[Winning Team]]="")),"-",IF(Table4[[#This Row],[Predicted Winner]]=NHL2025_26Results[[#This Row],[Winning Team]],"YES","NO"))</f>
        <v>NO</v>
      </c>
      <c r="N729">
        <f>IF(Table4[[#This Row],[Adjusted Correct]]="-", "",IF(Table4[[#This Row],[Adjusted Correct]]="YES",(Table4[[#This Row],[Strength of Win]]-1)^2,(Table4[[#This Row],[Strength of Win]]-0)^2))</f>
        <v>0.25696389719191676</v>
      </c>
      <c r="O729">
        <v>-0.41702182286404366</v>
      </c>
      <c r="P729" s="11">
        <v>0.50035654363630544</v>
      </c>
      <c r="Q729" t="s">
        <v>17</v>
      </c>
      <c r="R729" t="s">
        <v>249</v>
      </c>
    </row>
    <row r="730" spans="4:18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-0.40390734274709933</v>
      </c>
      <c r="H730" t="s">
        <v>38</v>
      </c>
      <c r="I730">
        <f>VLOOKUP(Table4[[#This Row],[Visitor]],'NHL Model'!$A$6:$B$38,2,FALSE)</f>
        <v>-1.2591310848703385</v>
      </c>
      <c r="J730">
        <f>($B$1+Table4[[#This Row],[Home Differential]])-Table4[[#This Row],[Away Differential]]</f>
        <v>0.95119373729390244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0.63498341881334819</v>
      </c>
      <c r="M730" t="str">
        <f>IF(OR((NHL2025_26Results[[#This Row],[Winning Team]]="")),"-",IF(Table4[[#This Row],[Predicted Winner]]=NHL2025_26Results[[#This Row],[Winning Team]],"YES","NO"))</f>
        <v>YES</v>
      </c>
      <c r="N730">
        <f>IF(Table4[[#This Row],[Adjusted Correct]]="-", "",IF(Table4[[#This Row],[Adjusted Correct]]="YES",(Table4[[#This Row],[Strength of Win]]-1)^2,(Table4[[#This Row],[Strength of Win]]-0)^2))</f>
        <v>0.13323710454119159</v>
      </c>
      <c r="O730">
        <v>0.80995505016960889</v>
      </c>
      <c r="P730" s="11">
        <v>0.61594139144407811</v>
      </c>
      <c r="Q730" t="s">
        <v>36</v>
      </c>
      <c r="R730" t="s">
        <v>248</v>
      </c>
    </row>
    <row r="731" spans="4:18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3.24300967767114E-5</v>
      </c>
      <c r="H731" t="s">
        <v>37</v>
      </c>
      <c r="I731">
        <f>VLOOKUP(Table4[[#This Row],[Visitor]],'NHL Model'!$A$6:$B$38,2,FALSE)</f>
        <v>0.65340538721281671</v>
      </c>
      <c r="J731">
        <f>($B$1+Table4[[#This Row],[Home Differential]])-Table4[[#This Row],[Away Differential]]</f>
        <v>-0.55740296194537675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0.61251877383716469</v>
      </c>
      <c r="M731" t="str">
        <f>IF(OR((NHL2025_26Results[[#This Row],[Winning Team]]="")),"-",IF(Table4[[#This Row],[Predicted Winner]]=NHL2025_26Results[[#This Row],[Winning Team]],"YES","NO"))</f>
        <v>YES</v>
      </c>
      <c r="N731">
        <f>IF(Table4[[#This Row],[Adjusted Correct]]="-", "",IF(Table4[[#This Row],[Adjusted Correct]]="YES",(Table4[[#This Row],[Strength of Win]]-1)^2,(Table4[[#This Row],[Strength of Win]]-0)^2))</f>
        <v>0.15014170062865434</v>
      </c>
      <c r="O731">
        <v>-0.85462809516494664</v>
      </c>
      <c r="P731" s="11">
        <v>0.64398899443819524</v>
      </c>
      <c r="Q731" t="s">
        <v>37</v>
      </c>
      <c r="R731" t="s">
        <v>248</v>
      </c>
    </row>
    <row r="732" spans="4:18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-1.2663626722629573</v>
      </c>
      <c r="H732" t="s">
        <v>25</v>
      </c>
      <c r="I732">
        <f>VLOOKUP(Table4[[#This Row],[Visitor]],'NHL Model'!$A$6:$B$38,2,FALSE)</f>
        <v>0.29527586190964761</v>
      </c>
      <c r="J732">
        <f>($B$1+Table4[[#This Row],[Home Differential]])-Table4[[#This Row],[Away Differential]]</f>
        <v>-1.4656685390019417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0.66564519849855097</v>
      </c>
      <c r="M732" t="str">
        <f>IF(OR((NHL2025_26Results[[#This Row],[Winning Team]]="")),"-",IF(Table4[[#This Row],[Predicted Winner]]=NHL2025_26Results[[#This Row],[Winning Team]],"YES","NO"))</f>
        <v>NO</v>
      </c>
      <c r="N732">
        <f>IF(Table4[[#This Row],[Adjusted Correct]]="-", "",IF(Table4[[#This Row],[Adjusted Correct]]="YES",(Table4[[#This Row],[Strength of Win]]-1)^2,(Table4[[#This Row],[Strength of Win]]-0)^2))</f>
        <v>0.4430835302841753</v>
      </c>
      <c r="O732">
        <v>-1.4080075974347577</v>
      </c>
      <c r="P732" s="11">
        <v>0.64759559222358254</v>
      </c>
      <c r="Q732" t="s">
        <v>25</v>
      </c>
      <c r="R732" t="s">
        <v>249</v>
      </c>
    </row>
    <row r="733" spans="4:18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0.12055191373383152</v>
      </c>
      <c r="H733" t="s">
        <v>19</v>
      </c>
      <c r="I733">
        <f>VLOOKUP(Table4[[#This Row],[Visitor]],'NHL Model'!$A$6:$B$38,2,FALSE)</f>
        <v>-0.32175529201986758</v>
      </c>
      <c r="J733">
        <f>($B$1+Table4[[#This Row],[Home Differential]])-Table4[[#This Row],[Away Differential]]</f>
        <v>0.53827720092436238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0.62978765004157089</v>
      </c>
      <c r="M733" t="str">
        <f>IF(OR((NHL2025_26Results[[#This Row],[Winning Team]]="")),"-",IF(Table4[[#This Row],[Predicted Winner]]=NHL2025_26Results[[#This Row],[Winning Team]],"YES","NO"))</f>
        <v>YES</v>
      </c>
      <c r="N733">
        <f>IF(Table4[[#This Row],[Adjusted Correct]]="-", "",IF(Table4[[#This Row],[Adjusted Correct]]="YES",(Table4[[#This Row],[Strength of Win]]-1)^2,(Table4[[#This Row],[Strength of Win]]-0)^2))</f>
        <v>0.13705718406174239</v>
      </c>
      <c r="O733">
        <v>0.11320947584245544</v>
      </c>
      <c r="P733" s="11">
        <v>0.55528491708779026</v>
      </c>
      <c r="Q733" t="s">
        <v>55</v>
      </c>
      <c r="R733" t="s">
        <v>248</v>
      </c>
    </row>
    <row r="734" spans="4:18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-0.47391784202962389</v>
      </c>
      <c r="H734" t="s">
        <v>30</v>
      </c>
      <c r="I734">
        <f>VLOOKUP(Table4[[#This Row],[Visitor]],'NHL Model'!$A$6:$B$38,2,FALSE)</f>
        <v>-0.20908736804509698</v>
      </c>
      <c r="J734">
        <f>($B$1+Table4[[#This Row],[Home Differential]])-Table4[[#This Row],[Away Differential]]</f>
        <v>-0.16886047881386368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0.49763114328121771</v>
      </c>
      <c r="M734" t="str">
        <f>IF(OR((NHL2025_26Results[[#This Row],[Winning Team]]="")),"-",IF(Table4[[#This Row],[Predicted Winner]]=NHL2025_26Results[[#This Row],[Winning Team]],"YES","NO"))</f>
        <v>NO</v>
      </c>
      <c r="N734">
        <f>IF(Table4[[#This Row],[Adjusted Correct]]="-", "",IF(Table4[[#This Row],[Adjusted Correct]]="YES",(Table4[[#This Row],[Strength of Win]]-1)^2,(Table4[[#This Row],[Strength of Win]]-0)^2))</f>
        <v>0.24763675476337182</v>
      </c>
      <c r="O734">
        <v>-0.3683241528307305</v>
      </c>
      <c r="P734" s="11">
        <v>0.52730161552031518</v>
      </c>
      <c r="Q734" t="s">
        <v>30</v>
      </c>
      <c r="R734" t="s">
        <v>249</v>
      </c>
    </row>
    <row r="735" spans="4:18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-8.9159851516330005E-2</v>
      </c>
      <c r="H735" t="s">
        <v>18</v>
      </c>
      <c r="I735">
        <f>VLOOKUP(Table4[[#This Row],[Visitor]],'NHL Model'!$A$6:$B$38,2,FALSE)</f>
        <v>-0.23645483545724041</v>
      </c>
      <c r="J735">
        <f>($B$1+Table4[[#This Row],[Home Differential]])-Table4[[#This Row],[Away Differential]]</f>
        <v>0.24326497911157366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0.5250049946060994</v>
      </c>
      <c r="M735" t="str">
        <f>IF(OR((NHL2025_26Results[[#This Row],[Winning Team]]="")),"-",IF(Table4[[#This Row],[Predicted Winner]]=NHL2025_26Results[[#This Row],[Winning Team]],"YES","NO"))</f>
        <v>YES</v>
      </c>
      <c r="N735">
        <f>IF(Table4[[#This Row],[Adjusted Correct]]="-", "",IF(Table4[[#This Row],[Adjusted Correct]]="YES",(Table4[[#This Row],[Strength of Win]]-1)^2,(Table4[[#This Row],[Strength of Win]]-0)^2))</f>
        <v>0.22562025514915166</v>
      </c>
      <c r="O735">
        <v>0.36544014570903349</v>
      </c>
      <c r="P735" s="11">
        <v>0.5128987957360307</v>
      </c>
      <c r="Q735" t="s">
        <v>22</v>
      </c>
      <c r="R735" t="s">
        <v>248</v>
      </c>
    </row>
    <row r="736" spans="4:18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2.7346770720058793E-2</v>
      </c>
      <c r="H736" t="s">
        <v>27</v>
      </c>
      <c r="I736">
        <f>VLOOKUP(Table4[[#This Row],[Visitor]],'NHL Model'!$A$6:$B$38,2,FALSE)</f>
        <v>-0.32182316569099201</v>
      </c>
      <c r="J736">
        <f>($B$1+Table4[[#This Row],[Home Differential]])-Table4[[#This Row],[Away Differential]]</f>
        <v>0.44513993158171405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0.61587894036419766</v>
      </c>
      <c r="M736" t="str">
        <f>IF(OR((NHL2025_26Results[[#This Row],[Winning Team]]="")),"-",IF(Table4[[#This Row],[Predicted Winner]]=NHL2025_26Results[[#This Row],[Winning Team]],"YES","NO"))</f>
        <v>YES</v>
      </c>
      <c r="N736">
        <f>IF(Table4[[#This Row],[Adjusted Correct]]="-", "",IF(Table4[[#This Row],[Adjusted Correct]]="YES",(Table4[[#This Row],[Strength of Win]]-1)^2,(Table4[[#This Row],[Strength of Win]]-0)^2))</f>
        <v>0.14754898845573161</v>
      </c>
      <c r="O736">
        <v>0.23223651227145758</v>
      </c>
      <c r="P736" s="11">
        <v>0.58245032898968285</v>
      </c>
      <c r="Q736" t="s">
        <v>23</v>
      </c>
      <c r="R736" t="s">
        <v>248</v>
      </c>
    </row>
    <row r="737" spans="4:18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-0.43624947117902363</v>
      </c>
      <c r="H737" t="s">
        <v>20</v>
      </c>
      <c r="I737">
        <f>VLOOKUP(Table4[[#This Row],[Visitor]],'NHL Model'!$A$6:$B$38,2,FALSE)</f>
        <v>-4.774288798450349E-3</v>
      </c>
      <c r="J737">
        <f>($B$1+Table4[[#This Row],[Home Differential]])-Table4[[#This Row],[Away Differential]]</f>
        <v>-0.33550518720991007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0.52406860241995945</v>
      </c>
      <c r="M737" t="str">
        <f>IF(OR((NHL2025_26Results[[#This Row],[Winning Team]]="")),"-",IF(Table4[[#This Row],[Predicted Winner]]=NHL2025_26Results[[#This Row],[Winning Team]],"YES","NO"))</f>
        <v>YES</v>
      </c>
      <c r="N737">
        <f>IF(Table4[[#This Row],[Adjusted Correct]]="-", "",IF(Table4[[#This Row],[Adjusted Correct]]="YES",(Table4[[#This Row],[Strength of Win]]-1)^2,(Table4[[#This Row],[Strength of Win]]-0)^2))</f>
        <v>0.22651069520249062</v>
      </c>
      <c r="O737">
        <v>-0.11872405584082479</v>
      </c>
      <c r="P737" s="11">
        <v>0.49224629820598437</v>
      </c>
      <c r="Q737" t="s">
        <v>20</v>
      </c>
      <c r="R737" t="s">
        <v>248</v>
      </c>
    </row>
    <row r="738" spans="4:18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-0.52712015292731806</v>
      </c>
      <c r="H738" t="s">
        <v>32</v>
      </c>
      <c r="I738">
        <f>VLOOKUP(Table4[[#This Row],[Visitor]],'NHL Model'!$A$6:$B$38,2,FALSE)</f>
        <v>-0.57094405545214133</v>
      </c>
      <c r="J738">
        <f>($B$1+Table4[[#This Row],[Home Differential]])-Table4[[#This Row],[Away Differential]]</f>
        <v>0.1397938976954865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0.55395940891088735</v>
      </c>
      <c r="M738" t="str">
        <f>IF(OR((NHL2025_26Results[[#This Row],[Winning Team]]="")),"-",IF(Table4[[#This Row],[Predicted Winner]]=NHL2025_26Results[[#This Row],[Winning Team]],"YES","NO"))</f>
        <v>YES</v>
      </c>
      <c r="N738">
        <f>IF(Table4[[#This Row],[Adjusted Correct]]="-", "",IF(Table4[[#This Row],[Adjusted Correct]]="YES",(Table4[[#This Row],[Strength of Win]]-1)^2,(Table4[[#This Row],[Strength of Win]]-0)^2))</f>
        <v>0.19895220889912499</v>
      </c>
      <c r="O738">
        <v>3.3438403300943831E-2</v>
      </c>
      <c r="P738" s="11">
        <v>0.52246326332764237</v>
      </c>
      <c r="Q738" t="s">
        <v>24</v>
      </c>
      <c r="R738" t="s">
        <v>248</v>
      </c>
    </row>
    <row r="739" spans="4:18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-0.6396663932228257</v>
      </c>
      <c r="H739" t="s">
        <v>36</v>
      </c>
      <c r="I739">
        <f>VLOOKUP(Table4[[#This Row],[Visitor]],'NHL Model'!$A$6:$B$38,2,FALSE)</f>
        <v>-0.40390734274709933</v>
      </c>
      <c r="J739">
        <f>($B$1+Table4[[#This Row],[Home Differential]])-Table4[[#This Row],[Away Differential]]</f>
        <v>-0.13978905530506308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0.47478841845152947</v>
      </c>
      <c r="M739" t="str">
        <f>IF(OR((NHL2025_26Results[[#This Row],[Winning Team]]="")),"-",IF(Table4[[#This Row],[Predicted Winner]]=NHL2025_26Results[[#This Row],[Winning Team]],"YES","NO"))</f>
        <v>YES</v>
      </c>
      <c r="N739">
        <f>IF(Table4[[#This Row],[Adjusted Correct]]="-", "",IF(Table4[[#This Row],[Adjusted Correct]]="YES",(Table4[[#This Row],[Strength of Win]]-1)^2,(Table4[[#This Row],[Strength of Win]]-0)^2))</f>
        <v>0.27584720539264579</v>
      </c>
      <c r="O739">
        <v>1.1558257819686585E-2</v>
      </c>
      <c r="P739" s="11">
        <v>0.54111733804500228</v>
      </c>
      <c r="Q739" t="s">
        <v>15</v>
      </c>
      <c r="R739" t="s">
        <v>249</v>
      </c>
    </row>
    <row r="740" spans="4:18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-5.5047914862176604E-2</v>
      </c>
      <c r="H740" t="s">
        <v>32</v>
      </c>
      <c r="I740">
        <f>VLOOKUP(Table4[[#This Row],[Visitor]],'NHL Model'!$A$6:$B$38,2,FALSE)</f>
        <v>-0.57094405545214133</v>
      </c>
      <c r="J740">
        <f>($B$1+Table4[[#This Row],[Home Differential]])-Table4[[#This Row],[Away Differential]]</f>
        <v>0.61186613576062798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0.644000713441921</v>
      </c>
      <c r="M740" t="str">
        <f>IF(OR((NHL2025_26Results[[#This Row],[Winning Team]]="")),"-",IF(Table4[[#This Row],[Predicted Winner]]=NHL2025_26Results[[#This Row],[Winning Team]],"YES","NO"))</f>
        <v>YES</v>
      </c>
      <c r="N740">
        <f>IF(Table4[[#This Row],[Adjusted Correct]]="-", "",IF(Table4[[#This Row],[Adjusted Correct]]="YES",(Table4[[#This Row],[Strength of Win]]-1)^2,(Table4[[#This Row],[Strength of Win]]-0)^2))</f>
        <v>0.12673549202986126</v>
      </c>
      <c r="O740">
        <v>0.52653326727620886</v>
      </c>
      <c r="P740" s="11">
        <v>0.60723678196158626</v>
      </c>
      <c r="Q740" t="s">
        <v>21</v>
      </c>
      <c r="R740" t="s">
        <v>248</v>
      </c>
    </row>
    <row r="741" spans="4:18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2.7346770720058793E-2</v>
      </c>
      <c r="H741" t="s">
        <v>18</v>
      </c>
      <c r="I741">
        <f>VLOOKUP(Table4[[#This Row],[Visitor]],'NHL Model'!$A$6:$B$38,2,FALSE)</f>
        <v>-0.23645483545724041</v>
      </c>
      <c r="J741">
        <f>($B$1+Table4[[#This Row],[Home Differential]])-Table4[[#This Row],[Away Differential]]</f>
        <v>0.35977160134796249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0.57900667762683755</v>
      </c>
      <c r="M741" t="str">
        <f>IF(OR((NHL2025_26Results[[#This Row],[Winning Team]]="")),"-",IF(Table4[[#This Row],[Predicted Winner]]=NHL2025_26Results[[#This Row],[Winning Team]],"YES","NO"))</f>
        <v>YES</v>
      </c>
      <c r="N741">
        <f>IF(Table4[[#This Row],[Adjusted Correct]]="-", "",IF(Table4[[#This Row],[Adjusted Correct]]="YES",(Table4[[#This Row],[Strength of Win]]-1)^2,(Table4[[#This Row],[Strength of Win]]-0)^2))</f>
        <v>0.17723537748279347</v>
      </c>
      <c r="O741">
        <v>0.20321306282380863</v>
      </c>
      <c r="P741" s="11">
        <v>0.55531458524286337</v>
      </c>
      <c r="Q741" t="s">
        <v>23</v>
      </c>
      <c r="R741" t="s">
        <v>248</v>
      </c>
    </row>
    <row r="742" spans="4:18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-0.42584667868780524</v>
      </c>
      <c r="H742" t="s">
        <v>38</v>
      </c>
      <c r="I742">
        <f>VLOOKUP(Table4[[#This Row],[Visitor]],'NHL Model'!$A$6:$B$38,2,FALSE)</f>
        <v>-1.2591310848703385</v>
      </c>
      <c r="J742">
        <f>($B$1+Table4[[#This Row],[Home Differential]])-Table4[[#This Row],[Away Differential]]</f>
        <v>0.92925440135319648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0.63279262102690426</v>
      </c>
      <c r="M742" t="str">
        <f>IF(OR((NHL2025_26Results[[#This Row],[Winning Team]]="")),"-",IF(Table4[[#This Row],[Predicted Winner]]=NHL2025_26Results[[#This Row],[Winning Team]],"YES","NO"))</f>
        <v>YES</v>
      </c>
      <c r="N742">
        <f>IF(Table4[[#This Row],[Adjusted Correct]]="-", "",IF(Table4[[#This Row],[Adjusted Correct]]="YES",(Table4[[#This Row],[Strength of Win]]-1)^2,(Table4[[#This Row],[Strength of Win]]-0)^2))</f>
        <v>0.13484125917229076</v>
      </c>
      <c r="O742">
        <v>0.71844950513796979</v>
      </c>
      <c r="P742" s="11">
        <v>0.6092958676041017</v>
      </c>
      <c r="Q742" t="s">
        <v>28</v>
      </c>
      <c r="R742" t="s">
        <v>248</v>
      </c>
    </row>
    <row r="743" spans="4:18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-0.70456324341534593</v>
      </c>
      <c r="H743" t="s">
        <v>16</v>
      </c>
      <c r="I743">
        <f>VLOOKUP(Table4[[#This Row],[Visitor]],'NHL Model'!$A$6:$B$38,2,FALSE)</f>
        <v>-0.79148902514100783</v>
      </c>
      <c r="J743">
        <f>($B$1+Table4[[#This Row],[Home Differential]])-Table4[[#This Row],[Away Differential]]</f>
        <v>0.18289577689632519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0.55826343624334518</v>
      </c>
      <c r="M743" t="str">
        <f>IF(OR((NHL2025_26Results[[#This Row],[Winning Team]]="")),"-",IF(Table4[[#This Row],[Predicted Winner]]=NHL2025_26Results[[#This Row],[Winning Team]],"YES","NO"))</f>
        <v>NO</v>
      </c>
      <c r="N743">
        <f>IF(Table4[[#This Row],[Adjusted Correct]]="-", "",IF(Table4[[#This Row],[Adjusted Correct]]="YES",(Table4[[#This Row],[Strength of Win]]-1)^2,(Table4[[#This Row],[Strength of Win]]-0)^2))</f>
        <v>0.31165806424622755</v>
      </c>
      <c r="O743">
        <v>0.25394038220108173</v>
      </c>
      <c r="P743" s="11">
        <v>0.56449304923797239</v>
      </c>
      <c r="Q743" t="s">
        <v>10</v>
      </c>
      <c r="R743" t="s">
        <v>249</v>
      </c>
    </row>
    <row r="744" spans="4:18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-0.20041140176017086</v>
      </c>
      <c r="H744" t="s">
        <v>30</v>
      </c>
      <c r="I744">
        <f>VLOOKUP(Table4[[#This Row],[Visitor]],'NHL Model'!$A$6:$B$38,2,FALSE)</f>
        <v>-0.20908736804509698</v>
      </c>
      <c r="J744">
        <f>($B$1+Table4[[#This Row],[Home Differential]])-Table4[[#This Row],[Away Differential]]</f>
        <v>0.10464596145558937</v>
      </c>
      <c r="K744" t="str">
        <f>IF(Table4[[#This Row],[HomeIce Differential]]&gt;0,Table4[[#This Row],[Home]],Table4[[#This Row],[Visitor]])</f>
        <v>Edmonton Oilers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0.52968040824157636</v>
      </c>
      <c r="M744" t="str">
        <f>IF(OR((NHL2025_26Results[[#This Row],[Winning Team]]="")),"-",IF(Table4[[#This Row],[Predicted Winner]]=NHL2025_26Results[[#This Row],[Winning Team]],"YES","NO"))</f>
        <v>NO</v>
      </c>
      <c r="N744">
        <f>IF(Table4[[#This Row],[Adjusted Correct]]="-", "",IF(Table4[[#This Row],[Adjusted Correct]]="YES",(Table4[[#This Row],[Strength of Win]]-1)^2,(Table4[[#This Row],[Strength of Win]]-0)^2))</f>
        <v>0.28056133487496299</v>
      </c>
      <c r="O744">
        <v>-0.11556413087186637</v>
      </c>
      <c r="P744" s="11">
        <v>0.48733686387034808</v>
      </c>
      <c r="Q744" t="s">
        <v>30</v>
      </c>
      <c r="R744" t="s">
        <v>248</v>
      </c>
    </row>
    <row r="745" spans="4:18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1.2879210938040288E-2</v>
      </c>
      <c r="H745" t="s">
        <v>40</v>
      </c>
      <c r="I745">
        <f>VLOOKUP(Table4[[#This Row],[Visitor]],'NHL Model'!$A$6:$B$38,2,FALSE)</f>
        <v>-0.47391784202962389</v>
      </c>
      <c r="J745">
        <f>($B$1+Table4[[#This Row],[Home Differential]])-Table4[[#This Row],[Away Differential]]</f>
        <v>0.58276704813832747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0.59819340943246591</v>
      </c>
      <c r="M745" t="str">
        <f>IF(OR((NHL2025_26Results[[#This Row],[Winning Team]]="")),"-",IF(Table4[[#This Row],[Predicted Winner]]=NHL2025_26Results[[#This Row],[Winning Team]],"YES","NO"))</f>
        <v>NO</v>
      </c>
      <c r="N745">
        <f>IF(Table4[[#This Row],[Adjusted Correct]]="-", "",IF(Table4[[#This Row],[Adjusted Correct]]="YES",(Table4[[#This Row],[Strength of Win]]-1)^2,(Table4[[#This Row],[Strength of Win]]-0)^2))</f>
        <v>0.35783535508843778</v>
      </c>
      <c r="O745">
        <v>0.62732595628950993</v>
      </c>
      <c r="P745" s="11">
        <v>0.60127221313785506</v>
      </c>
      <c r="Q745" t="s">
        <v>34</v>
      </c>
      <c r="R745" t="s">
        <v>249</v>
      </c>
    </row>
    <row r="746" spans="4:18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3.24300967767114E-5</v>
      </c>
      <c r="H746" t="s">
        <v>27</v>
      </c>
      <c r="I746">
        <f>VLOOKUP(Table4[[#This Row],[Visitor]],'NHL Model'!$A$6:$B$38,2,FALSE)</f>
        <v>-0.32182316569099201</v>
      </c>
      <c r="J746">
        <f>($B$1+Table4[[#This Row],[Home Differential]])-Table4[[#This Row],[Away Differential]]</f>
        <v>0.41782559095843197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0.57113460364071966</v>
      </c>
      <c r="M746" t="str">
        <f>IF(OR((NHL2025_26Results[[#This Row],[Winning Team]]="")),"-",IF(Table4[[#This Row],[Predicted Winner]]=NHL2025_26Results[[#This Row],[Winning Team]],"YES","NO"))</f>
        <v>YES</v>
      </c>
      <c r="N746">
        <f>IF(Table4[[#This Row],[Adjusted Correct]]="-", "",IF(Table4[[#This Row],[Adjusted Correct]]="YES",(Table4[[#This Row],[Strength of Win]]-1)^2,(Table4[[#This Row],[Strength of Win]]-0)^2))</f>
        <v>0.18392552819440264</v>
      </c>
      <c r="O746">
        <v>0.22235185295224125</v>
      </c>
      <c r="P746" s="11">
        <v>0.5528427120858983</v>
      </c>
      <c r="Q746" t="s">
        <v>14</v>
      </c>
      <c r="R746" t="s">
        <v>248</v>
      </c>
    </row>
    <row r="747" spans="4:18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0.12055191373383152</v>
      </c>
      <c r="H747" t="s">
        <v>39</v>
      </c>
      <c r="I747">
        <f>VLOOKUP(Table4[[#This Row],[Visitor]],'NHL Model'!$A$6:$B$38,2,FALSE)</f>
        <v>0.21259592260910548</v>
      </c>
      <c r="J747">
        <f>($B$1+Table4[[#This Row],[Home Differential]])-Table4[[#This Row],[Away Differential]]</f>
        <v>3.9259862953892888E-3</v>
      </c>
      <c r="K747" t="str">
        <f>IF(Table4[[#This Row],[HomeIce Differential]]&gt;0,Table4[[#This Row],[Home]],Table4[[#This Row],[Visitor]])</f>
        <v>Utah Mammoth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0.53885357594657424</v>
      </c>
      <c r="M747" t="str">
        <f>IF(OR((NHL2025_26Results[[#This Row],[Winning Team]]="")),"-",IF(Table4[[#This Row],[Predicted Winner]]=NHL2025_26Results[[#This Row],[Winning Team]],"YES","NO"))</f>
        <v>YES</v>
      </c>
      <c r="N747">
        <f>IF(Table4[[#This Row],[Adjusted Correct]]="-", "",IF(Table4[[#This Row],[Adjusted Correct]]="YES",(Table4[[#This Row],[Strength of Win]]-1)^2,(Table4[[#This Row],[Strength of Win]]-0)^2))</f>
        <v>0.21265602441726197</v>
      </c>
      <c r="O747">
        <v>-0.11514779253896568</v>
      </c>
      <c r="P747" s="11">
        <v>0.51349857552654044</v>
      </c>
      <c r="Q747" t="s">
        <v>39</v>
      </c>
      <c r="R747" t="s">
        <v>249</v>
      </c>
    </row>
    <row r="748" spans="4:18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-4.774288798450349E-3</v>
      </c>
      <c r="H748" t="s">
        <v>19</v>
      </c>
      <c r="I748">
        <f>VLOOKUP(Table4[[#This Row],[Visitor]],'NHL Model'!$A$6:$B$38,2,FALSE)</f>
        <v>-0.32175529201986758</v>
      </c>
      <c r="J748">
        <f>($B$1+Table4[[#This Row],[Home Differential]])-Table4[[#This Row],[Away Differential]]</f>
        <v>0.41295099839208049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0.58123607640779273</v>
      </c>
      <c r="M748" t="str">
        <f>IF(OR((NHL2025_26Results[[#This Row],[Winning Team]]="")),"-",IF(Table4[[#This Row],[Predicted Winner]]=NHL2025_26Results[[#This Row],[Winning Team]],"YES","NO"))</f>
        <v>YES</v>
      </c>
      <c r="N748">
        <f>IF(Table4[[#This Row],[Adjusted Correct]]="-", "",IF(Table4[[#This Row],[Adjusted Correct]]="YES",(Table4[[#This Row],[Strength of Win]]-1)^2,(Table4[[#This Row],[Strength of Win]]-0)^2))</f>
        <v>0.17536322370234</v>
      </c>
      <c r="O748">
        <v>0.2328497352810196</v>
      </c>
      <c r="P748" s="11">
        <v>0.56245881486769911</v>
      </c>
      <c r="Q748" t="s">
        <v>20</v>
      </c>
      <c r="R748" t="s">
        <v>248</v>
      </c>
    </row>
    <row r="749" spans="4:18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-8.9159851516330005E-2</v>
      </c>
      <c r="H749" t="s">
        <v>33</v>
      </c>
      <c r="I749">
        <f>VLOOKUP(Table4[[#This Row],[Visitor]],'NHL Model'!$A$6:$B$38,2,FALSE)</f>
        <v>-0.53461960928306718</v>
      </c>
      <c r="J749">
        <f>($B$1+Table4[[#This Row],[Home Differential]])-Table4[[#This Row],[Away Differential]]</f>
        <v>0.54142975293740037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0.57329635751730224</v>
      </c>
      <c r="M749" t="str">
        <f>IF(OR((NHL2025_26Results[[#This Row],[Winning Team]]="")),"-",IF(Table4[[#This Row],[Predicted Winner]]=NHL2025_26Results[[#This Row],[Winning Team]],"YES","NO"))</f>
        <v>NO</v>
      </c>
      <c r="N749">
        <f>IF(Table4[[#This Row],[Adjusted Correct]]="-", "",IF(Table4[[#This Row],[Adjusted Correct]]="YES",(Table4[[#This Row],[Strength of Win]]-1)^2,(Table4[[#This Row],[Strength of Win]]-0)^2))</f>
        <v>0.32866871354260641</v>
      </c>
      <c r="O749">
        <v>0.84030009514520687</v>
      </c>
      <c r="P749" s="11">
        <v>0.60935048342237752</v>
      </c>
      <c r="Q749" t="s">
        <v>22</v>
      </c>
      <c r="R749" t="s">
        <v>249</v>
      </c>
    </row>
    <row r="750" spans="4:18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0.29527586190964761</v>
      </c>
      <c r="H750" t="s">
        <v>11</v>
      </c>
      <c r="I750">
        <f>VLOOKUP(Table4[[#This Row],[Visitor]],'NHL Model'!$A$6:$B$38,2,FALSE)</f>
        <v>-0.42375285621939396</v>
      </c>
      <c r="J750">
        <f>($B$1+Table4[[#This Row],[Home Differential]])-Table4[[#This Row],[Away Differential]]</f>
        <v>0.81499871329970475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0.613517058975108</v>
      </c>
      <c r="M750" t="str">
        <f>IF(OR((NHL2025_26Results[[#This Row],[Winning Team]]="")),"-",IF(Table4[[#This Row],[Predicted Winner]]=NHL2025_26Results[[#This Row],[Winning Team]],"YES","NO"))</f>
        <v>YES</v>
      </c>
      <c r="N750">
        <f>IF(Table4[[#This Row],[Adjusted Correct]]="-", "",IF(Table4[[#This Row],[Adjusted Correct]]="YES",(Table4[[#This Row],[Strength of Win]]-1)^2,(Table4[[#This Row],[Strength of Win]]-0)^2))</f>
        <v>0.14936906370325015</v>
      </c>
      <c r="O750">
        <v>0.55328189122811589</v>
      </c>
      <c r="P750" s="11">
        <v>0.6022374824639154</v>
      </c>
      <c r="Q750" t="s">
        <v>25</v>
      </c>
      <c r="R750" t="s">
        <v>248</v>
      </c>
    </row>
    <row r="751" spans="4:18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1.1751846443488465</v>
      </c>
      <c r="H751" t="s">
        <v>29</v>
      </c>
      <c r="I751">
        <f>VLOOKUP(Table4[[#This Row],[Visitor]],'NHL Model'!$A$6:$B$38,2,FALSE)</f>
        <v>-0.74313650334688619</v>
      </c>
      <c r="J751">
        <f>($B$1+Table4[[#This Row],[Home Differential]])-Table4[[#This Row],[Away Differential]]</f>
        <v>2.0142911428663961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0.82692343775443111</v>
      </c>
      <c r="M751" t="str">
        <f>IF(OR((NHL2025_26Results[[#This Row],[Winning Team]]="")),"-",IF(Table4[[#This Row],[Predicted Winner]]=NHL2025_26Results[[#This Row],[Winning Team]],"YES","NO"))</f>
        <v>NO</v>
      </c>
      <c r="N751">
        <f>IF(Table4[[#This Row],[Adjusted Correct]]="-", "",IF(Table4[[#This Row],[Adjusted Correct]]="YES",(Table4[[#This Row],[Strength of Win]]-1)^2,(Table4[[#This Row],[Strength of Win]]-0)^2))</f>
        <v>0.68380237190760651</v>
      </c>
      <c r="O751">
        <v>2.3322918946726583</v>
      </c>
      <c r="P751" s="11">
        <v>0.87799951135558396</v>
      </c>
      <c r="Q751" t="s">
        <v>12</v>
      </c>
      <c r="R751" t="s">
        <v>249</v>
      </c>
    </row>
    <row r="752" spans="4:18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-0.17319925920548884</v>
      </c>
      <c r="H752" t="s">
        <v>33</v>
      </c>
      <c r="I752">
        <f>VLOOKUP(Table4[[#This Row],[Visitor]],'NHL Model'!$A$6:$B$38,2,FALSE)</f>
        <v>-0.53461960928306718</v>
      </c>
      <c r="J752">
        <f>($B$1+Table4[[#This Row],[Home Differential]])-Table4[[#This Row],[Away Differential]]</f>
        <v>0.45739034524824157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0.61710223076898418</v>
      </c>
      <c r="M752" t="str">
        <f>IF(OR((NHL2025_26Results[[#This Row],[Winning Team]]="")),"-",IF(Table4[[#This Row],[Predicted Winner]]=NHL2025_26Results[[#This Row],[Winning Team]],"YES","NO"))</f>
        <v>YES</v>
      </c>
      <c r="N752">
        <f>IF(Table4[[#This Row],[Adjusted Correct]]="-", "",IF(Table4[[#This Row],[Adjusted Correct]]="YES",(Table4[[#This Row],[Strength of Win]]-1)^2,(Table4[[#This Row],[Strength of Win]]-0)^2))</f>
        <v>0.14661070168208823</v>
      </c>
      <c r="O752">
        <v>0.41348007179325569</v>
      </c>
      <c r="P752" s="11">
        <v>0.58990068958177788</v>
      </c>
      <c r="Q752" t="s">
        <v>26</v>
      </c>
      <c r="R752" t="s">
        <v>248</v>
      </c>
    </row>
    <row r="753" spans="4:18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-0.43624947117902363</v>
      </c>
      <c r="H753" t="s">
        <v>31</v>
      </c>
      <c r="I753">
        <f>VLOOKUP(Table4[[#This Row],[Visitor]],'NHL Model'!$A$6:$B$38,2,FALSE)</f>
        <v>-0.38289376966531796</v>
      </c>
      <c r="J753">
        <f>($B$1+Table4[[#This Row],[Home Differential]])-Table4[[#This Row],[Away Differential]]</f>
        <v>4.2614293656957569E-2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0.54425533846907903</v>
      </c>
      <c r="M753" t="str">
        <f>IF(OR((NHL2025_26Results[[#This Row],[Winning Team]]="")),"-",IF(Table4[[#This Row],[Predicted Winner]]=NHL2025_26Results[[#This Row],[Winning Team]],"YES","NO"))</f>
        <v>NO</v>
      </c>
      <c r="N753">
        <f>IF(Table4[[#This Row],[Adjusted Correct]]="-", "",IF(Table4[[#This Row],[Adjusted Correct]]="YES",(Table4[[#This Row],[Strength of Win]]-1)^2,(Table4[[#This Row],[Strength of Win]]-0)^2))</f>
        <v>0.29621387345209177</v>
      </c>
      <c r="O753">
        <v>0.29260242826826166</v>
      </c>
      <c r="P753" s="11">
        <v>0.56829394694331836</v>
      </c>
      <c r="Q753" t="s">
        <v>13</v>
      </c>
      <c r="R753" t="s">
        <v>249</v>
      </c>
    </row>
    <row r="754" spans="4:18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-1.2663626722629573</v>
      </c>
      <c r="H754" t="s">
        <v>37</v>
      </c>
      <c r="I754">
        <f>VLOOKUP(Table4[[#This Row],[Visitor]],'NHL Model'!$A$6:$B$38,2,FALSE)</f>
        <v>0.65340538721281671</v>
      </c>
      <c r="J754">
        <f>($B$1+Table4[[#This Row],[Home Differential]])-Table4[[#This Row],[Away Differential]]</f>
        <v>-1.8237980643051108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0.73897727716248784</v>
      </c>
      <c r="M754" t="str">
        <f>IF(OR((NHL2025_26Results[[#This Row],[Winning Team]]="")),"-",IF(Table4[[#This Row],[Predicted Winner]]=NHL2025_26Results[[#This Row],[Winning Team]],"YES","NO"))</f>
        <v>NO</v>
      </c>
      <c r="N754">
        <f>IF(Table4[[#This Row],[Adjusted Correct]]="-", "",IF(Table4[[#This Row],[Adjusted Correct]]="YES",(Table4[[#This Row],[Strength of Win]]-1)^2,(Table4[[#This Row],[Strength of Win]]-0)^2))</f>
        <v>0.54608741616248435</v>
      </c>
      <c r="O754">
        <v>-1.8275541753079891</v>
      </c>
      <c r="P754" s="11">
        <v>0.74414329846770499</v>
      </c>
      <c r="Q754" t="s">
        <v>37</v>
      </c>
      <c r="R754" t="s">
        <v>249</v>
      </c>
    </row>
    <row r="755" spans="4:18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-0.38289376966531796</v>
      </c>
      <c r="H755" t="s">
        <v>13</v>
      </c>
      <c r="I755">
        <f>VLOOKUP(Table4[[#This Row],[Visitor]],'NHL Model'!$A$6:$B$38,2,FALSE)</f>
        <v>-0.43624947117902363</v>
      </c>
      <c r="J755">
        <f>($B$1+Table4[[#This Row],[Home Differential]])-Table4[[#This Row],[Away Differential]]</f>
        <v>0.1493256966843689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0.5607627548060572</v>
      </c>
      <c r="M755" t="str">
        <f>IF(OR((NHL2025_26Results[[#This Row],[Winning Team]]="")),"-",IF(Table4[[#This Row],[Predicted Winner]]=NHL2025_26Results[[#This Row],[Winning Team]],"YES","NO"))</f>
        <v>YES</v>
      </c>
      <c r="N755">
        <f>IF(Table4[[#This Row],[Adjusted Correct]]="-", "",IF(Table4[[#This Row],[Adjusted Correct]]="YES",(Table4[[#This Row],[Strength of Win]]-1)^2,(Table4[[#This Row],[Strength of Win]]-0)^2))</f>
        <v>0.19292935756556384</v>
      </c>
      <c r="O755">
        <v>4.605769836706064E-2</v>
      </c>
      <c r="P755" s="11">
        <v>0.53521327506224403</v>
      </c>
      <c r="Q755" t="s">
        <v>31</v>
      </c>
      <c r="R755" t="s">
        <v>248</v>
      </c>
    </row>
    <row r="756" spans="4:18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2.7346770720058793E-2</v>
      </c>
      <c r="H756" t="s">
        <v>34</v>
      </c>
      <c r="I756">
        <f>VLOOKUP(Table4[[#This Row],[Visitor]],'NHL Model'!$A$6:$B$38,2,FALSE)</f>
        <v>1.2879210938040288E-2</v>
      </c>
      <c r="J756">
        <f>($B$1+Table4[[#This Row],[Home Differential]])-Table4[[#This Row],[Away Differential]]</f>
        <v>0.11043755495268176</v>
      </c>
      <c r="K756" t="str">
        <f>IF(Table4[[#This Row],[HomeIce Differential]]&gt;0,Table4[[#This Row],[Home]],Table4[[#This Row],[Visitor]])</f>
        <v>Buffalo Sabres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0.53694453187800761</v>
      </c>
      <c r="M756" t="str">
        <f>IF(OR((NHL2025_26Results[[#This Row],[Winning Team]]="")),"-",IF(Table4[[#This Row],[Predicted Winner]]=NHL2025_26Results[[#This Row],[Winning Team]],"YES","NO"))</f>
        <v>NO</v>
      </c>
      <c r="N756">
        <f>IF(Table4[[#This Row],[Adjusted Correct]]="-", "",IF(Table4[[#This Row],[Adjusted Correct]]="YES",(Table4[[#This Row],[Strength of Win]]-1)^2,(Table4[[#This Row],[Strength of Win]]-0)^2))</f>
        <v>0.28830943031369272</v>
      </c>
      <c r="O756">
        <v>7.3785796204350773E-2</v>
      </c>
      <c r="P756" s="11">
        <v>0.54779252236736897</v>
      </c>
      <c r="Q756" t="s">
        <v>23</v>
      </c>
      <c r="R756" t="s">
        <v>249</v>
      </c>
    </row>
    <row r="757" spans="4:18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-0.79148902514100783</v>
      </c>
      <c r="H757" t="s">
        <v>30</v>
      </c>
      <c r="I757">
        <f>VLOOKUP(Table4[[#This Row],[Visitor]],'NHL Model'!$A$6:$B$38,2,FALSE)</f>
        <v>-0.20908736804509698</v>
      </c>
      <c r="J757">
        <f>($B$1+Table4[[#This Row],[Home Differential]])-Table4[[#This Row],[Away Differential]]</f>
        <v>-0.48643166192524756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0.52934287087767362</v>
      </c>
      <c r="M757" t="str">
        <f>IF(OR((NHL2025_26Results[[#This Row],[Winning Team]]="")),"-",IF(Table4[[#This Row],[Predicted Winner]]=NHL2025_26Results[[#This Row],[Winning Team]],"YES","NO"))</f>
        <v>NO</v>
      </c>
      <c r="N757">
        <f>IF(Table4[[#This Row],[Adjusted Correct]]="-", "",IF(Table4[[#This Row],[Adjusted Correct]]="YES",(Table4[[#This Row],[Strength of Win]]-1)^2,(Table4[[#This Row],[Strength of Win]]-0)^2))</f>
        <v>0.28020387494901744</v>
      </c>
      <c r="O757">
        <v>-0.61790509035672425</v>
      </c>
      <c r="P757" s="11">
        <v>0.53267759220185773</v>
      </c>
      <c r="Q757" t="s">
        <v>30</v>
      </c>
      <c r="R757" t="s">
        <v>249</v>
      </c>
    </row>
    <row r="758" spans="4:18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-0.70456324341534593</v>
      </c>
      <c r="H758" t="s">
        <v>21</v>
      </c>
      <c r="I758">
        <f>VLOOKUP(Table4[[#This Row],[Visitor]],'NHL Model'!$A$6:$B$38,2,FALSE)</f>
        <v>-5.5047914862176604E-2</v>
      </c>
      <c r="J758">
        <f>($B$1+Table4[[#This Row],[Home Differential]])-Table4[[#This Row],[Away Differential]]</f>
        <v>-0.553545333382506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0.51527541464100224</v>
      </c>
      <c r="M758" t="str">
        <f>IF(OR((NHL2025_26Results[[#This Row],[Winning Team]]="")),"-",IF(Table4[[#This Row],[Predicted Winner]]=NHL2025_26Results[[#This Row],[Winning Team]],"YES","NO"))</f>
        <v>YES</v>
      </c>
      <c r="N758">
        <f>IF(Table4[[#This Row],[Adjusted Correct]]="-", "",IF(Table4[[#This Row],[Adjusted Correct]]="YES",(Table4[[#This Row],[Strength of Win]]-1)^2,(Table4[[#This Row],[Strength of Win]]-0)^2))</f>
        <v>0.23495792365145229</v>
      </c>
      <c r="O758">
        <v>-0.54367342814702191</v>
      </c>
      <c r="P758" s="11">
        <v>0.5087488342823866</v>
      </c>
      <c r="Q758" t="s">
        <v>21</v>
      </c>
      <c r="R758" t="s">
        <v>248</v>
      </c>
    </row>
    <row r="759" spans="4:18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-0.52712015292731806</v>
      </c>
      <c r="H759" t="s">
        <v>25</v>
      </c>
      <c r="I759">
        <f>VLOOKUP(Table4[[#This Row],[Visitor]],'NHL Model'!$A$6:$B$38,2,FALSE)</f>
        <v>0.29527586190964761</v>
      </c>
      <c r="J759">
        <f>($B$1+Table4[[#This Row],[Home Differential]])-Table4[[#This Row],[Away Differential]]</f>
        <v>-0.72642601966630238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0.59182660711626112</v>
      </c>
      <c r="M759" t="str">
        <f>IF(OR((NHL2025_26Results[[#This Row],[Winning Team]]="")),"-",IF(Table4[[#This Row],[Predicted Winner]]=NHL2025_26Results[[#This Row],[Winning Team]],"YES","NO"))</f>
        <v>YES</v>
      </c>
      <c r="N759">
        <f>IF(Table4[[#This Row],[Adjusted Correct]]="-", "",IF(Table4[[#This Row],[Adjusted Correct]]="YES",(Table4[[#This Row],[Strength of Win]]-1)^2,(Table4[[#This Row],[Strength of Win]]-0)^2))</f>
        <v>0.16660551865822307</v>
      </c>
      <c r="O759">
        <v>-0.62267411496365654</v>
      </c>
      <c r="P759" s="11">
        <v>0.55583248264634044</v>
      </c>
      <c r="Q759" t="s">
        <v>25</v>
      </c>
      <c r="R759" t="s">
        <v>248</v>
      </c>
    </row>
    <row r="760" spans="4:18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-0.40390734274709933</v>
      </c>
      <c r="H760" t="s">
        <v>18</v>
      </c>
      <c r="I760">
        <f>VLOOKUP(Table4[[#This Row],[Visitor]],'NHL Model'!$A$6:$B$38,2,FALSE)</f>
        <v>-0.23645483545724041</v>
      </c>
      <c r="J760">
        <f>($B$1+Table4[[#This Row],[Home Differential]])-Table4[[#This Row],[Away Differential]]</f>
        <v>-7.1482512119195679E-2</v>
      </c>
      <c r="K760" t="str">
        <f>IF(Table4[[#This Row],[HomeIce Differential]]&gt;0,Table4[[#This Row],[Home]],Table4[[#This Row],[Visitor]])</f>
        <v>Montreal Canadiens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0.50642476739493614</v>
      </c>
      <c r="M760" t="str">
        <f>IF(OR((NHL2025_26Results[[#This Row],[Winning Team]]="")),"-",IF(Table4[[#This Row],[Predicted Winner]]=NHL2025_26Results[[#This Row],[Winning Team]],"YES","NO"))</f>
        <v>YES</v>
      </c>
      <c r="N760">
        <f>IF(Table4[[#This Row],[Adjusted Correct]]="-", "",IF(Table4[[#This Row],[Adjusted Correct]]="YES",(Table4[[#This Row],[Strength of Win]]-1)^2,(Table4[[#This Row],[Strength of Win]]-0)^2))</f>
        <v>0.24361651024114289</v>
      </c>
      <c r="O760">
        <v>3.5837573517154275E-2</v>
      </c>
      <c r="P760" s="11">
        <v>0.5024429834942914</v>
      </c>
      <c r="Q760" t="s">
        <v>36</v>
      </c>
      <c r="R760" t="s">
        <v>249</v>
      </c>
    </row>
    <row r="761" spans="4:18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-0.32182316569099201</v>
      </c>
      <c r="H761" t="s">
        <v>15</v>
      </c>
      <c r="I761">
        <f>VLOOKUP(Table4[[#This Row],[Visitor]],'NHL Model'!$A$6:$B$38,2,FALSE)</f>
        <v>-0.6396663932228257</v>
      </c>
      <c r="J761">
        <f>($B$1+Table4[[#This Row],[Home Differential]])-Table4[[#This Row],[Away Differential]]</f>
        <v>0.41381322270249693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0.52927398282930849</v>
      </c>
      <c r="M761" t="str">
        <f>IF(OR((NHL2025_26Results[[#This Row],[Winning Team]]="")),"-",IF(Table4[[#This Row],[Predicted Winner]]=NHL2025_26Results[[#This Row],[Winning Team]],"YES","NO"))</f>
        <v>NO</v>
      </c>
      <c r="N761">
        <f>IF(Table4[[#This Row],[Adjusted Correct]]="-", "",IF(Table4[[#This Row],[Adjusted Correct]]="YES",(Table4[[#This Row],[Strength of Win]]-1)^2,(Table4[[#This Row],[Strength of Win]]-0)^2))</f>
        <v>0.28013094889999912</v>
      </c>
      <c r="O761">
        <v>0.36857647634550472</v>
      </c>
      <c r="P761" s="11">
        <v>0.50042548222496952</v>
      </c>
      <c r="Q761" t="s">
        <v>27</v>
      </c>
      <c r="R761" t="s">
        <v>249</v>
      </c>
    </row>
    <row r="762" spans="4:18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3.24300967767114E-5</v>
      </c>
      <c r="H762" t="s">
        <v>28</v>
      </c>
      <c r="I762">
        <f>VLOOKUP(Table4[[#This Row],[Visitor]],'NHL Model'!$A$6:$B$38,2,FALSE)</f>
        <v>-0.42584667868780524</v>
      </c>
      <c r="J762">
        <f>($B$1+Table4[[#This Row],[Home Differential]])-Table4[[#This Row],[Away Differential]]</f>
        <v>0.5218491039552452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0.59211032206684533</v>
      </c>
      <c r="M762" t="str">
        <f>IF(OR((NHL2025_26Results[[#This Row],[Winning Team]]="")),"-",IF(Table4[[#This Row],[Predicted Winner]]=NHL2025_26Results[[#This Row],[Winning Team]],"YES","NO"))</f>
        <v>NO</v>
      </c>
      <c r="N762">
        <f>IF(Table4[[#This Row],[Adjusted Correct]]="-", "",IF(Table4[[#This Row],[Adjusted Correct]]="YES",(Table4[[#This Row],[Strength of Win]]-1)^2,(Table4[[#This Row],[Strength of Win]]-0)^2))</f>
        <v>0.35059463349810333</v>
      </c>
      <c r="O762">
        <v>0.45584509082406843</v>
      </c>
      <c r="P762" s="11">
        <v>0.58087364884975146</v>
      </c>
      <c r="Q762" t="s">
        <v>14</v>
      </c>
      <c r="R762" t="s">
        <v>249</v>
      </c>
    </row>
    <row r="763" spans="4:18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0.12055191373383152</v>
      </c>
      <c r="H763" t="s">
        <v>32</v>
      </c>
      <c r="I763">
        <f>VLOOKUP(Table4[[#This Row],[Visitor]],'NHL Model'!$A$6:$B$38,2,FALSE)</f>
        <v>-0.57094405545214133</v>
      </c>
      <c r="J763">
        <f>($B$1+Table4[[#This Row],[Home Differential]])-Table4[[#This Row],[Away Differential]]</f>
        <v>0.78746596435663607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0.65467090962652619</v>
      </c>
      <c r="M763" t="str">
        <f>IF(OR((NHL2025_26Results[[#This Row],[Winning Team]]="")),"-",IF(Table4[[#This Row],[Predicted Winner]]=NHL2025_26Results[[#This Row],[Winning Team]],"YES","NO"))</f>
        <v>YES</v>
      </c>
      <c r="N763">
        <f>IF(Table4[[#This Row],[Adjusted Correct]]="-", "",IF(Table4[[#This Row],[Adjusted Correct]]="YES",(Table4[[#This Row],[Strength of Win]]-1)^2,(Table4[[#This Row],[Strength of Win]]-0)^2))</f>
        <v>0.11925218065817085</v>
      </c>
      <c r="O763">
        <v>0.68429871882904858</v>
      </c>
      <c r="P763" s="11">
        <v>0.62364183016764008</v>
      </c>
      <c r="Q763" t="s">
        <v>55</v>
      </c>
      <c r="R763" t="s">
        <v>248</v>
      </c>
    </row>
    <row r="764" spans="4:18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-1.2591310848703385</v>
      </c>
      <c r="H764" t="s">
        <v>17</v>
      </c>
      <c r="I764">
        <f>VLOOKUP(Table4[[#This Row],[Visitor]],'NHL Model'!$A$6:$B$38,2,FALSE)</f>
        <v>-0.20041140176017086</v>
      </c>
      <c r="J764">
        <f>($B$1+Table4[[#This Row],[Home Differential]])-Table4[[#This Row],[Away Differential]]</f>
        <v>-0.96274968793950455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0.55844177184905286</v>
      </c>
      <c r="M764" t="str">
        <f>IF(OR((NHL2025_26Results[[#This Row],[Winning Team]]="")),"-",IF(Table4[[#This Row],[Predicted Winner]]=NHL2025_26Results[[#This Row],[Winning Team]],"YES","NO"))</f>
        <v>YES</v>
      </c>
      <c r="N764">
        <f>IF(Table4[[#This Row],[Adjusted Correct]]="-", "",IF(Table4[[#This Row],[Adjusted Correct]]="YES",(Table4[[#This Row],[Strength of Win]]-1)^2,(Table4[[#This Row],[Strength of Win]]-0)^2))</f>
        <v>0.1949736688478039</v>
      </c>
      <c r="O764">
        <v>-0.76633896041391392</v>
      </c>
      <c r="P764" s="11">
        <v>0.5287142851779244</v>
      </c>
      <c r="Q764" t="s">
        <v>17</v>
      </c>
      <c r="R764" t="s">
        <v>248</v>
      </c>
    </row>
    <row r="765" spans="4:18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-4.774288798450349E-3</v>
      </c>
      <c r="H765" t="s">
        <v>29</v>
      </c>
      <c r="I765">
        <f>VLOOKUP(Table4[[#This Row],[Visitor]],'NHL Model'!$A$6:$B$38,2,FALSE)</f>
        <v>-0.74313650334688619</v>
      </c>
      <c r="J765">
        <f>($B$1+Table4[[#This Row],[Home Differential]])-Table4[[#This Row],[Away Differential]]</f>
        <v>0.83433220971909905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0.62331396917169701</v>
      </c>
      <c r="M765" t="str">
        <f>IF(OR((NHL2025_26Results[[#This Row],[Winning Team]]="")),"-",IF(Table4[[#This Row],[Predicted Winner]]=NHL2025_26Results[[#This Row],[Winning Team]],"YES","NO"))</f>
        <v>YES</v>
      </c>
      <c r="N765">
        <f>IF(Table4[[#This Row],[Adjusted Correct]]="-", "",IF(Table4[[#This Row],[Adjusted Correct]]="YES",(Table4[[#This Row],[Strength of Win]]-1)^2,(Table4[[#This Row],[Strength of Win]]-0)^2))</f>
        <v>0.14189236582118123</v>
      </c>
      <c r="O765">
        <v>0.6568615969419076</v>
      </c>
      <c r="P765" s="11">
        <v>0.59889792562590638</v>
      </c>
      <c r="Q765" t="s">
        <v>20</v>
      </c>
      <c r="R765" t="s">
        <v>248</v>
      </c>
    </row>
    <row r="766" spans="4:18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-0.47391784202962389</v>
      </c>
      <c r="H766" t="s">
        <v>19</v>
      </c>
      <c r="I766">
        <f>VLOOKUP(Table4[[#This Row],[Visitor]],'NHL Model'!$A$6:$B$38,2,FALSE)</f>
        <v>-0.32175529201986758</v>
      </c>
      <c r="J766">
        <f>($B$1+Table4[[#This Row],[Home Differential]])-Table4[[#This Row],[Away Differential]]</f>
        <v>-5.6192554839093078E-2</v>
      </c>
      <c r="K766" t="str">
        <f>IF(Table4[[#This Row],[HomeIce Differential]]&gt;0,Table4[[#This Row],[Home]],Table4[[#This Row],[Visitor]])</f>
        <v>Toronto Maple Leafs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0.46561122383507081</v>
      </c>
      <c r="M766" t="str">
        <f>IF(OR((NHL2025_26Results[[#This Row],[Winning Team]]="")),"-",IF(Table4[[#This Row],[Predicted Winner]]=NHL2025_26Results[[#This Row],[Winning Team]],"YES","NO"))</f>
        <v>YES</v>
      </c>
      <c r="N766">
        <f>IF(Table4[[#This Row],[Adjusted Correct]]="-", "",IF(Table4[[#This Row],[Adjusted Correct]]="YES",(Table4[[#This Row],[Strength of Win]]-1)^2,(Table4[[#This Row],[Strength of Win]]-0)^2))</f>
        <v>0.28557136409105077</v>
      </c>
      <c r="O766">
        <v>4.4207906972503368E-2</v>
      </c>
      <c r="P766" s="11">
        <v>0.54396393095450479</v>
      </c>
      <c r="Q766" t="s">
        <v>40</v>
      </c>
      <c r="R766" t="s">
        <v>249</v>
      </c>
    </row>
    <row r="767" spans="4:18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-8.9159851516330005E-2</v>
      </c>
      <c r="H767" t="s">
        <v>11</v>
      </c>
      <c r="I767">
        <f>VLOOKUP(Table4[[#This Row],[Visitor]],'NHL Model'!$A$6:$B$38,2,FALSE)</f>
        <v>-0.42375285621939396</v>
      </c>
      <c r="J767">
        <f>($B$1+Table4[[#This Row],[Home Differential]])-Table4[[#This Row],[Away Differential]]</f>
        <v>0.4305629998737272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0.5315864193680121</v>
      </c>
      <c r="M767" t="str">
        <f>IF(OR((NHL2025_26Results[[#This Row],[Winning Team]]="")),"-",IF(Table4[[#This Row],[Predicted Winner]]=NHL2025_26Results[[#This Row],[Winning Team]],"YES","NO"))</f>
        <v>NO</v>
      </c>
      <c r="N767">
        <f>IF(Table4[[#This Row],[Adjusted Correct]]="-", "",IF(Table4[[#This Row],[Adjusted Correct]]="YES",(Table4[[#This Row],[Strength of Win]]-1)^2,(Table4[[#This Row],[Strength of Win]]-0)^2))</f>
        <v>0.28258412125650401</v>
      </c>
      <c r="O767">
        <v>0.6865232416438013</v>
      </c>
      <c r="P767" s="11">
        <v>0.58078832567042327</v>
      </c>
      <c r="Q767" t="s">
        <v>22</v>
      </c>
      <c r="R767" t="s">
        <v>249</v>
      </c>
    </row>
    <row r="768" spans="4:18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0.21259592260910548</v>
      </c>
      <c r="H768" t="s">
        <v>37</v>
      </c>
      <c r="I768">
        <f>VLOOKUP(Table4[[#This Row],[Visitor]],'NHL Model'!$A$6:$B$38,2,FALSE)</f>
        <v>0.65340538721281671</v>
      </c>
      <c r="J768">
        <f>($B$1+Table4[[#This Row],[Home Differential]])-Table4[[#This Row],[Away Differential]]</f>
        <v>-0.344839469433048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0.57217050780626666</v>
      </c>
      <c r="M768" t="str">
        <f>IF(OR((NHL2025_26Results[[#This Row],[Winning Team]]="")),"-",IF(Table4[[#This Row],[Predicted Winner]]=NHL2025_26Results[[#This Row],[Winning Team]],"YES","NO"))</f>
        <v>YES</v>
      </c>
      <c r="N768">
        <f>IF(Table4[[#This Row],[Adjusted Correct]]="-", "",IF(Table4[[#This Row],[Adjusted Correct]]="YES",(Table4[[#This Row],[Strength of Win]]-1)^2,(Table4[[#This Row],[Strength of Win]]-0)^2))</f>
        <v>0.18303807439074773</v>
      </c>
      <c r="O768">
        <v>-0.29412868340858278</v>
      </c>
      <c r="P768" s="11">
        <v>0.58703530289398709</v>
      </c>
      <c r="Q768" t="s">
        <v>37</v>
      </c>
      <c r="R768" t="s">
        <v>248</v>
      </c>
    </row>
    <row r="769" spans="4:18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-0.17319925920548884</v>
      </c>
      <c r="H769" t="s">
        <v>36</v>
      </c>
      <c r="I769">
        <f>VLOOKUP(Table4[[#This Row],[Visitor]],'NHL Model'!$A$6:$B$38,2,FALSE)</f>
        <v>-0.40390734274709933</v>
      </c>
      <c r="J769">
        <f>($B$1+Table4[[#This Row],[Home Differential]])-Table4[[#This Row],[Away Differential]]</f>
        <v>0.32667807871227372</v>
      </c>
      <c r="K769" t="str">
        <f>IF(Table4[[#This Row],[HomeIce Differential]]&gt;0,Table4[[#This Row],[Home]],Table4[[#This Row],[Visitor]])</f>
        <v>Detroit Red Wings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0.62353020640943435</v>
      </c>
      <c r="M769" t="str">
        <f>IF(OR((NHL2025_26Results[[#This Row],[Winning Team]]="")),"-",IF(Table4[[#This Row],[Predicted Winner]]=NHL2025_26Results[[#This Row],[Winning Team]],"YES","NO"))</f>
        <v>YES</v>
      </c>
      <c r="N769">
        <f>IF(Table4[[#This Row],[Adjusted Correct]]="-", "",IF(Table4[[#This Row],[Adjusted Correct]]="YES",(Table4[[#This Row],[Strength of Win]]-1)^2,(Table4[[#This Row],[Strength of Win]]-0)^2))</f>
        <v>0.14172950548612309</v>
      </c>
      <c r="O769">
        <v>0.26616784679399291</v>
      </c>
      <c r="P769" s="11">
        <v>0.61679473114955941</v>
      </c>
      <c r="Q769" t="s">
        <v>26</v>
      </c>
      <c r="R769" t="s">
        <v>248</v>
      </c>
    </row>
    <row r="770" spans="4:18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-0.20041140176017086</v>
      </c>
      <c r="H770" t="s">
        <v>35</v>
      </c>
      <c r="I770">
        <f>VLOOKUP(Table4[[#This Row],[Visitor]],'NHL Model'!$A$6:$B$38,2,FALSE)</f>
        <v>-1.2663626722629573</v>
      </c>
      <c r="J770">
        <f>($B$1+Table4[[#This Row],[Home Differential]])-Table4[[#This Row],[Away Differential]]</f>
        <v>1.1619212656734497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0.65602605218950949</v>
      </c>
      <c r="M770" t="str">
        <f>IF(OR((NHL2025_26Results[[#This Row],[Winning Team]]="")),"-",IF(Table4[[#This Row],[Predicted Winner]]=NHL2025_26Results[[#This Row],[Winning Team]],"YES","NO"))</f>
        <v>YES</v>
      </c>
      <c r="N770">
        <f>IF(Table4[[#This Row],[Adjusted Correct]]="-", "",IF(Table4[[#This Row],[Adjusted Correct]]="YES",(Table4[[#This Row],[Strength of Win]]-1)^2,(Table4[[#This Row],[Strength of Win]]-0)^2))</f>
        <v>0.11831807677233405</v>
      </c>
      <c r="O770">
        <v>1.0846777967928403</v>
      </c>
      <c r="P770" s="11">
        <v>0.64469553398242641</v>
      </c>
      <c r="Q770" t="s">
        <v>17</v>
      </c>
      <c r="R770" t="s">
        <v>248</v>
      </c>
    </row>
    <row r="771" spans="4:18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-0.38289376966531796</v>
      </c>
      <c r="H771" t="s">
        <v>15</v>
      </c>
      <c r="I771">
        <f>VLOOKUP(Table4[[#This Row],[Visitor]],'NHL Model'!$A$6:$B$38,2,FALSE)</f>
        <v>-0.6396663932228257</v>
      </c>
      <c r="J771">
        <f>($B$1+Table4[[#This Row],[Home Differential]])-Table4[[#This Row],[Away Differential]]</f>
        <v>0.35274261872817098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0.55969936855096403</v>
      </c>
      <c r="M771" t="str">
        <f>IF(OR((NHL2025_26Results[[#This Row],[Winning Team]]="")),"-",IF(Table4[[#This Row],[Predicted Winner]]=NHL2025_26Results[[#This Row],[Winning Team]],"YES","NO"))</f>
        <v>YES</v>
      </c>
      <c r="N771">
        <f>IF(Table4[[#This Row],[Adjusted Correct]]="-", "",IF(Table4[[#This Row],[Adjusted Correct]]="YES",(Table4[[#This Row],[Strength of Win]]-1)^2,(Table4[[#This Row],[Strength of Win]]-0)^2))</f>
        <v>0.1938646460544198</v>
      </c>
      <c r="O771">
        <v>0.15600931375598995</v>
      </c>
      <c r="P771" s="11">
        <v>0.52232575029758954</v>
      </c>
      <c r="Q771" t="s">
        <v>31</v>
      </c>
      <c r="R771" t="s">
        <v>248</v>
      </c>
    </row>
    <row r="772" spans="4:18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0.29527586190964761</v>
      </c>
      <c r="H772" t="s">
        <v>23</v>
      </c>
      <c r="I772">
        <f>VLOOKUP(Table4[[#This Row],[Visitor]],'NHL Model'!$A$6:$B$38,2,FALSE)</f>
        <v>2.7346770720058793E-2</v>
      </c>
      <c r="J772">
        <f>($B$1+Table4[[#This Row],[Home Differential]])-Table4[[#This Row],[Away Differential]]</f>
        <v>0.36389908636025203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0.59883789623540262</v>
      </c>
      <c r="M772" t="str">
        <f>IF(OR((NHL2025_26Results[[#This Row],[Winning Team]]="")),"-",IF(Table4[[#This Row],[Predicted Winner]]=NHL2025_26Results[[#This Row],[Winning Team]],"YES","NO"))</f>
        <v>YES</v>
      </c>
      <c r="N772">
        <f>IF(Table4[[#This Row],[Adjusted Correct]]="-", "",IF(Table4[[#This Row],[Adjusted Correct]]="YES",(Table4[[#This Row],[Strength of Win]]-1)^2,(Table4[[#This Row],[Strength of Win]]-0)^2))</f>
        <v>0.1609310334968376</v>
      </c>
      <c r="O772">
        <v>0.51033582732723048</v>
      </c>
      <c r="P772" s="11">
        <v>0.64104344504638999</v>
      </c>
      <c r="Q772" t="s">
        <v>25</v>
      </c>
      <c r="R772" t="s">
        <v>248</v>
      </c>
    </row>
    <row r="773" spans="4:18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-0.79148902514100783</v>
      </c>
      <c r="H773" t="s">
        <v>24</v>
      </c>
      <c r="I773">
        <f>VLOOKUP(Table4[[#This Row],[Visitor]],'NHL Model'!$A$6:$B$38,2,FALSE)</f>
        <v>-0.52712015292731806</v>
      </c>
      <c r="J773">
        <f>($B$1+Table4[[#This Row],[Home Differential]])-Table4[[#This Row],[Away Differential]]</f>
        <v>-0.16839887704302647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0.51482378643952031</v>
      </c>
      <c r="M773" t="str">
        <f>IF(OR((NHL2025_26Results[[#This Row],[Winning Team]]="")),"-",IF(Table4[[#This Row],[Predicted Winner]]=NHL2025_26Results[[#This Row],[Winning Team]],"YES","NO"))</f>
        <v>YES</v>
      </c>
      <c r="N773">
        <f>IF(Table4[[#This Row],[Adjusted Correct]]="-", "",IF(Table4[[#This Row],[Adjusted Correct]]="YES",(Table4[[#This Row],[Strength of Win]]-1)^2,(Table4[[#This Row],[Strength of Win]]-0)^2))</f>
        <v>0.23539595820488418</v>
      </c>
      <c r="O773">
        <v>1.7272952021299803E-2</v>
      </c>
      <c r="P773" s="11">
        <v>0.53228179454511837</v>
      </c>
      <c r="Q773" t="s">
        <v>16</v>
      </c>
      <c r="R773" t="s">
        <v>249</v>
      </c>
    </row>
    <row r="774" spans="4:18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-0.70456324341534593</v>
      </c>
      <c r="H774" t="s">
        <v>40</v>
      </c>
      <c r="I774">
        <f>VLOOKUP(Table4[[#This Row],[Visitor]],'NHL Model'!$A$6:$B$38,2,FALSE)</f>
        <v>-0.47391784202962389</v>
      </c>
      <c r="J774">
        <f>($B$1+Table4[[#This Row],[Home Differential]])-Table4[[#This Row],[Away Differential]]</f>
        <v>-0.13467540621505875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0.47344829135311078</v>
      </c>
      <c r="M774" t="str">
        <f>IF(OR((NHL2025_26Results[[#This Row],[Winning Team]]="")),"-",IF(Table4[[#This Row],[Predicted Winner]]=NHL2025_26Results[[#This Row],[Winning Team]],"YES","NO"))</f>
        <v>NO</v>
      </c>
      <c r="N774">
        <f>IF(Table4[[#This Row],[Adjusted Correct]]="-", "",IF(Table4[[#This Row],[Adjusted Correct]]="YES",(Table4[[#This Row],[Strength of Win]]-1)^2,(Table4[[#This Row],[Strength of Win]]-0)^2))</f>
        <v>0.22415328458518008</v>
      </c>
      <c r="O774">
        <v>-0.31508257834163494</v>
      </c>
      <c r="P774" s="11">
        <v>0.49045489889901844</v>
      </c>
      <c r="Q774" t="s">
        <v>40</v>
      </c>
      <c r="R774" t="s">
        <v>249</v>
      </c>
    </row>
    <row r="775" spans="4:18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1.1751846443488465</v>
      </c>
      <c r="H775" t="s">
        <v>22</v>
      </c>
      <c r="I775">
        <f>VLOOKUP(Table4[[#This Row],[Visitor]],'NHL Model'!$A$6:$B$38,2,FALSE)</f>
        <v>-8.9159851516330005E-2</v>
      </c>
      <c r="J775">
        <f>($B$1+Table4[[#This Row],[Home Differential]])-Table4[[#This Row],[Away Differential]]</f>
        <v>1.3603144910358398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0.76161924600092723</v>
      </c>
      <c r="M775" t="str">
        <f>IF(OR((NHL2025_26Results[[#This Row],[Winning Team]]="")),"-",IF(Table4[[#This Row],[Predicted Winner]]=NHL2025_26Results[[#This Row],[Winning Team]],"YES","NO"))</f>
        <v>YES</v>
      </c>
      <c r="N775">
        <f>IF(Table4[[#This Row],[Adjusted Correct]]="-", "",IF(Table4[[#This Row],[Adjusted Correct]]="YES",(Table4[[#This Row],[Strength of Win]]-1)^2,(Table4[[#This Row],[Strength of Win]]-0)^2))</f>
        <v>5.6825383877166451E-2</v>
      </c>
      <c r="O775">
        <v>1.4696959340473015</v>
      </c>
      <c r="P775" s="11">
        <v>0.78638612013380693</v>
      </c>
      <c r="Q775" t="s">
        <v>12</v>
      </c>
      <c r="R775" t="s">
        <v>248</v>
      </c>
    </row>
    <row r="776" spans="4:18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-0.42375285621939396</v>
      </c>
      <c r="H776" t="s">
        <v>33</v>
      </c>
      <c r="I776">
        <f>VLOOKUP(Table4[[#This Row],[Visitor]],'NHL Model'!$A$6:$B$38,2,FALSE)</f>
        <v>-0.53461960928306718</v>
      </c>
      <c r="J776">
        <f>($B$1+Table4[[#This Row],[Home Differential]])-Table4[[#This Row],[Away Differential]]</f>
        <v>0.20683674823433645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0.53988488070486818</v>
      </c>
      <c r="M776" t="str">
        <f>IF(OR((NHL2025_26Results[[#This Row],[Winning Team]]="")),"-",IF(Table4[[#This Row],[Predicted Winner]]=NHL2025_26Results[[#This Row],[Winning Team]],"YES","NO"))</f>
        <v>NO</v>
      </c>
      <c r="N776">
        <f>IF(Table4[[#This Row],[Adjusted Correct]]="-", "",IF(Table4[[#This Row],[Adjusted Correct]]="YES",(Table4[[#This Row],[Strength of Win]]-1)^2,(Table4[[#This Row],[Strength of Win]]-0)^2))</f>
        <v>0.29147568441370975</v>
      </c>
      <c r="O776">
        <v>0.32341357715179564</v>
      </c>
      <c r="P776" s="11">
        <v>0.53985965584905993</v>
      </c>
      <c r="Q776" t="s">
        <v>11</v>
      </c>
      <c r="R776" t="s">
        <v>249</v>
      </c>
    </row>
    <row r="777" spans="4:18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-0.57094405545214133</v>
      </c>
      <c r="H777" t="s">
        <v>14</v>
      </c>
      <c r="I777">
        <f>VLOOKUP(Table4[[#This Row],[Visitor]],'NHL Model'!$A$6:$B$38,2,FALSE)</f>
        <v>3.24300967767114E-5</v>
      </c>
      <c r="J777">
        <f>($B$1+Table4[[#This Row],[Home Differential]])-Table4[[#This Row],[Away Differential]]</f>
        <v>-0.47500649037825482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0.5565236650539731</v>
      </c>
      <c r="M777" t="str">
        <f>IF(OR((NHL2025_26Results[[#This Row],[Winning Team]]="")),"-",IF(Table4[[#This Row],[Predicted Winner]]=NHL2025_26Results[[#This Row],[Winning Team]],"YES","NO"))</f>
        <v>YES</v>
      </c>
      <c r="N777">
        <f>IF(Table4[[#This Row],[Adjusted Correct]]="-", "",IF(Table4[[#This Row],[Adjusted Correct]]="YES",(Table4[[#This Row],[Strength of Win]]-1)^2,(Table4[[#This Row],[Strength of Win]]-0)^2))</f>
        <v>0.19667125965716065</v>
      </c>
      <c r="O777">
        <v>-0.25853789066106547</v>
      </c>
      <c r="P777" s="11">
        <v>0.51638995721954695</v>
      </c>
      <c r="Q777" t="s">
        <v>14</v>
      </c>
      <c r="R777" t="s">
        <v>248</v>
      </c>
    </row>
    <row r="778" spans="4:18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-0.32175529201986758</v>
      </c>
      <c r="H778" t="s">
        <v>34</v>
      </c>
      <c r="I778">
        <f>VLOOKUP(Table4[[#This Row],[Visitor]],'NHL Model'!$A$6:$B$38,2,FALSE)</f>
        <v>1.2879210938040288E-2</v>
      </c>
      <c r="J778">
        <f>($B$1+Table4[[#This Row],[Home Differential]])-Table4[[#This Row],[Away Differential]]</f>
        <v>-0.23866450778724463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0.53499567551140348</v>
      </c>
      <c r="M778" t="str">
        <f>IF(OR((NHL2025_26Results[[#This Row],[Winning Team]]="")),"-",IF(Table4[[#This Row],[Predicted Winner]]=NHL2025_26Results[[#This Row],[Winning Team]],"YES","NO"))</f>
        <v>YES</v>
      </c>
      <c r="N778">
        <f>IF(Table4[[#This Row],[Adjusted Correct]]="-", "",IF(Table4[[#This Row],[Adjusted Correct]]="YES",(Table4[[#This Row],[Strength of Win]]-1)^2,(Table4[[#This Row],[Strength of Win]]-0)^2))</f>
        <v>0.21622902179309597</v>
      </c>
      <c r="O778">
        <v>-6.8310578131052541E-2</v>
      </c>
      <c r="P778" s="11">
        <v>0.50970827740098135</v>
      </c>
      <c r="Q778" t="s">
        <v>34</v>
      </c>
      <c r="R778" t="s">
        <v>248</v>
      </c>
    </row>
    <row r="779" spans="4:18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-1.2591310848703385</v>
      </c>
      <c r="H779" t="s">
        <v>30</v>
      </c>
      <c r="I779">
        <f>VLOOKUP(Table4[[#This Row],[Visitor]],'NHL Model'!$A$6:$B$38,2,FALSE)</f>
        <v>-0.20908736804509698</v>
      </c>
      <c r="J779">
        <f>($B$1+Table4[[#This Row],[Home Differential]])-Table4[[#This Row],[Away Differential]]</f>
        <v>-0.95407372165457838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0.57604023638007429</v>
      </c>
      <c r="M779" t="str">
        <f>IF(OR((NHL2025_26Results[[#This Row],[Winning Team]]="")),"-",IF(Table4[[#This Row],[Predicted Winner]]=NHL2025_26Results[[#This Row],[Winning Team]],"YES","NO"))</f>
        <v>YES</v>
      </c>
      <c r="N779">
        <f>IF(Table4[[#This Row],[Adjusted Correct]]="-", "",IF(Table4[[#This Row],[Adjusted Correct]]="YES",(Table4[[#This Row],[Strength of Win]]-1)^2,(Table4[[#This Row],[Strength of Win]]-0)^2))</f>
        <v>0.1797418811686633</v>
      </c>
      <c r="O779">
        <v>-1.1177245722900115</v>
      </c>
      <c r="P779" s="11">
        <v>0.59860180735917656</v>
      </c>
      <c r="Q779" t="s">
        <v>30</v>
      </c>
      <c r="R779" t="s">
        <v>248</v>
      </c>
    </row>
    <row r="780" spans="4:18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-4.774288798450349E-3</v>
      </c>
      <c r="H780" t="s">
        <v>27</v>
      </c>
      <c r="I780">
        <f>VLOOKUP(Table4[[#This Row],[Visitor]],'NHL Model'!$A$6:$B$38,2,FALSE)</f>
        <v>-0.32182316569099201</v>
      </c>
      <c r="J780">
        <f>($B$1+Table4[[#This Row],[Home Differential]])-Table4[[#This Row],[Away Differential]]</f>
        <v>0.41301887206320492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0.57065461877954693</v>
      </c>
      <c r="M780" t="str">
        <f>IF(OR((NHL2025_26Results[[#This Row],[Winning Team]]="")),"-",IF(Table4[[#This Row],[Predicted Winner]]=NHL2025_26Results[[#This Row],[Winning Team]],"YES","NO"))</f>
        <v>NO</v>
      </c>
      <c r="N780">
        <f>IF(Table4[[#This Row],[Adjusted Correct]]="-", "",IF(Table4[[#This Row],[Adjusted Correct]]="YES",(Table4[[#This Row],[Strength of Win]]-1)^2,(Table4[[#This Row],[Strength of Win]]-0)^2))</f>
        <v>0.32564669393443002</v>
      </c>
      <c r="O780">
        <v>0.58169956272478196</v>
      </c>
      <c r="P780" s="11">
        <v>0.58654123396583513</v>
      </c>
      <c r="Q780" t="s">
        <v>20</v>
      </c>
      <c r="R780" t="s">
        <v>249</v>
      </c>
    </row>
    <row r="781" spans="4:18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-0.42584667868780524</v>
      </c>
      <c r="H781" t="s">
        <v>36</v>
      </c>
      <c r="I781">
        <f>VLOOKUP(Table4[[#This Row],[Visitor]],'NHL Model'!$A$6:$B$38,2,FALSE)</f>
        <v>-0.40390734274709933</v>
      </c>
      <c r="J781">
        <f>($B$1+Table4[[#This Row],[Home Differential]])-Table4[[#This Row],[Away Differential]]</f>
        <v>7.403065922995733E-2</v>
      </c>
      <c r="K781" t="str">
        <f>IF(Table4[[#This Row],[HomeIce Differential]]&gt;0,Table4[[#This Row],[Home]],Table4[[#This Row],[Visitor]])</f>
        <v>Columbus Blue Jackets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0.54656299157142685</v>
      </c>
      <c r="M781" t="str">
        <f>IF(OR((NHL2025_26Results[[#This Row],[Winning Team]]="")),"-",IF(Table4[[#This Row],[Predicted Winner]]=NHL2025_26Results[[#This Row],[Winning Team]],"YES","NO"))</f>
        <v>NO</v>
      </c>
      <c r="N781">
        <f>IF(Table4[[#This Row],[Adjusted Correct]]="-", "",IF(Table4[[#This Row],[Adjusted Correct]]="YES",(Table4[[#This Row],[Strength of Win]]-1)^2,(Table4[[#This Row],[Strength of Win]]-0)^2))</f>
        <v>0.2987311037555076</v>
      </c>
      <c r="O781">
        <v>2.5798362011819786E-2</v>
      </c>
      <c r="P781" s="11">
        <v>0.54247927475412627</v>
      </c>
      <c r="Q781" t="s">
        <v>28</v>
      </c>
      <c r="R781" t="s">
        <v>249</v>
      </c>
    </row>
    <row r="782" spans="4:18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0.21259592260910548</v>
      </c>
      <c r="H782" t="s">
        <v>21</v>
      </c>
      <c r="I782">
        <f>VLOOKUP(Table4[[#This Row],[Visitor]],'NHL Model'!$A$6:$B$38,2,FALSE)</f>
        <v>-5.5047914862176604E-2</v>
      </c>
      <c r="J782">
        <f>($B$1+Table4[[#This Row],[Home Differential]])-Table4[[#This Row],[Away Differential]]</f>
        <v>0.3636138326419453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0.59541484294502833</v>
      </c>
      <c r="M782" t="str">
        <f>IF(OR((NHL2025_26Results[[#This Row],[Winning Team]]="")),"-",IF(Table4[[#This Row],[Predicted Winner]]=NHL2025_26Results[[#This Row],[Winning Team]],"YES","NO"))</f>
        <v>YES</v>
      </c>
      <c r="N782">
        <f>IF(Table4[[#This Row],[Adjusted Correct]]="-", "",IF(Table4[[#This Row],[Adjusted Correct]]="YES",(Table4[[#This Row],[Strength of Win]]-1)^2,(Table4[[#This Row],[Strength of Win]]-0)^2))</f>
        <v>0.16368914930919609</v>
      </c>
      <c r="O782">
        <v>0.31058868985297045</v>
      </c>
      <c r="P782" s="11">
        <v>0.56266673392978206</v>
      </c>
      <c r="Q782" t="s">
        <v>39</v>
      </c>
      <c r="R782" t="s">
        <v>248</v>
      </c>
    </row>
    <row r="783" spans="4:18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-0.20041140176017086</v>
      </c>
      <c r="H783" t="s">
        <v>24</v>
      </c>
      <c r="I783">
        <f>VLOOKUP(Table4[[#This Row],[Visitor]],'NHL Model'!$A$6:$B$38,2,FALSE)</f>
        <v>-0.52712015292731806</v>
      </c>
      <c r="J783">
        <f>($B$1+Table4[[#This Row],[Home Differential]])-Table4[[#This Row],[Away Differential]]</f>
        <v>0.42267874633781044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0.54419949267972978</v>
      </c>
      <c r="M783" t="str">
        <f>IF(OR((NHL2025_26Results[[#This Row],[Winning Team]]="")),"-",IF(Table4[[#This Row],[Predicted Winner]]=NHL2025_26Results[[#This Row],[Winning Team]],"YES","NO"))</f>
        <v>NO</v>
      </c>
      <c r="N783">
        <f>IF(Table4[[#This Row],[Adjusted Correct]]="-", "",IF(Table4[[#This Row],[Adjusted Correct]]="YES",(Table4[[#This Row],[Strength of Win]]-1)^2,(Table4[[#This Row],[Strength of Win]]-0)^2))</f>
        <v>0.29615308783287525</v>
      </c>
      <c r="O783">
        <v>0.58088534694463267</v>
      </c>
      <c r="P783" s="11">
        <v>0.57756338683764441</v>
      </c>
      <c r="Q783" t="s">
        <v>17</v>
      </c>
      <c r="R783" t="s">
        <v>249</v>
      </c>
    </row>
    <row r="784" spans="4:18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-0.43624947117902363</v>
      </c>
      <c r="H784" t="s">
        <v>15</v>
      </c>
      <c r="I784">
        <f>VLOOKUP(Table4[[#This Row],[Visitor]],'NHL Model'!$A$6:$B$38,2,FALSE)</f>
        <v>-0.6396663932228257</v>
      </c>
      <c r="J784">
        <f>($B$1+Table4[[#This Row],[Home Differential]])-Table4[[#This Row],[Away Differential]]</f>
        <v>0.29938691721446531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0.51784770732800589</v>
      </c>
      <c r="M784" t="str">
        <f>IF(OR((NHL2025_26Results[[#This Row],[Winning Team]]="")),"-",IF(Table4[[#This Row],[Predicted Winner]]=NHL2025_26Results[[#This Row],[Winning Team]],"YES","NO"))</f>
        <v>YES</v>
      </c>
      <c r="N784">
        <f>IF(Table4[[#This Row],[Adjusted Correct]]="-", "",IF(Table4[[#This Row],[Adjusted Correct]]="YES",(Table4[[#This Row],[Strength of Win]]-1)^2,(Table4[[#This Row],[Strength of Win]]-0)^2))</f>
        <v>0.23247083332886026</v>
      </c>
      <c r="O784">
        <v>0.25340499399294708</v>
      </c>
      <c r="P784" s="11">
        <v>0.49508747701990186</v>
      </c>
      <c r="Q784" t="s">
        <v>13</v>
      </c>
      <c r="R784" t="s">
        <v>248</v>
      </c>
    </row>
    <row r="785" spans="4:18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-0.23645483545724041</v>
      </c>
      <c r="H785" t="s">
        <v>34</v>
      </c>
      <c r="I785">
        <f>VLOOKUP(Table4[[#This Row],[Visitor]],'NHL Model'!$A$6:$B$38,2,FALSE)</f>
        <v>1.2879210938040288E-2</v>
      </c>
      <c r="J785">
        <f>($B$1+Table4[[#This Row],[Home Differential]])-Table4[[#This Row],[Away Differential]]</f>
        <v>-0.15336405122461744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0.53184341029024695</v>
      </c>
      <c r="M785" t="str">
        <f>IF(OR((NHL2025_26Results[[#This Row],[Winning Team]]="")),"-",IF(Table4[[#This Row],[Predicted Winner]]=NHL2025_26Results[[#This Row],[Winning Team]],"YES","NO"))</f>
        <v>NO</v>
      </c>
      <c r="N785">
        <f>IF(Table4[[#This Row],[Adjusted Correct]]="-", "",IF(Table4[[#This Row],[Adjusted Correct]]="YES",(Table4[[#This Row],[Strength of Win]]-1)^2,(Table4[[#This Row],[Strength of Win]]-0)^2))</f>
        <v>0.28285741306915996</v>
      </c>
      <c r="O785">
        <v>-0.14721138846894286</v>
      </c>
      <c r="P785" s="11">
        <v>0.53969475735163386</v>
      </c>
      <c r="Q785" t="s">
        <v>34</v>
      </c>
      <c r="R785" t="s">
        <v>249</v>
      </c>
    </row>
    <row r="786" spans="4:18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-0.74313650334688619</v>
      </c>
      <c r="H786" t="s">
        <v>23</v>
      </c>
      <c r="I786">
        <f>VLOOKUP(Table4[[#This Row],[Visitor]],'NHL Model'!$A$6:$B$38,2,FALSE)</f>
        <v>2.7346770720058793E-2</v>
      </c>
      <c r="J786">
        <f>($B$1+Table4[[#This Row],[Home Differential]])-Table4[[#This Row],[Away Differential]]</f>
        <v>-0.67451327889628165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0.54812414991203251</v>
      </c>
      <c r="M786" t="str">
        <f>IF(OR((NHL2025_26Results[[#This Row],[Winning Team]]="")),"-",IF(Table4[[#This Row],[Predicted Winner]]=NHL2025_26Results[[#This Row],[Winning Team]],"YES","NO"))</f>
        <v>YES</v>
      </c>
      <c r="N786">
        <f>IF(Table4[[#This Row],[Adjusted Correct]]="-", "",IF(Table4[[#This Row],[Adjusted Correct]]="YES",(Table4[[#This Row],[Strength of Win]]-1)^2,(Table4[[#This Row],[Strength of Win]]-0)^2))</f>
        <v>0.20419178389272327</v>
      </c>
      <c r="O786">
        <v>-0.4629384947376054</v>
      </c>
      <c r="P786" s="11">
        <v>0.50448932541493463</v>
      </c>
      <c r="Q786" t="s">
        <v>23</v>
      </c>
      <c r="R786" t="s">
        <v>248</v>
      </c>
    </row>
    <row r="787" spans="4:18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0.65340538721281671</v>
      </c>
      <c r="H787" t="s">
        <v>33</v>
      </c>
      <c r="I787">
        <f>VLOOKUP(Table4[[#This Row],[Visitor]],'NHL Model'!$A$6:$B$38,2,FALSE)</f>
        <v>-0.53461960928306718</v>
      </c>
      <c r="J787">
        <f>($B$1+Table4[[#This Row],[Home Differential]])-Table4[[#This Row],[Away Differential]]</f>
        <v>1.2839949916665472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0.66988264335577963</v>
      </c>
      <c r="M787" t="str">
        <f>IF(OR((NHL2025_26Results[[#This Row],[Winning Team]]="")),"-",IF(Table4[[#This Row],[Predicted Winner]]=NHL2025_26Results[[#This Row],[Winning Team]],"YES","NO"))</f>
        <v>YES</v>
      </c>
      <c r="N787">
        <f>IF(Table4[[#This Row],[Adjusted Correct]]="-", "",IF(Table4[[#This Row],[Adjusted Correct]]="YES",(Table4[[#This Row],[Strength of Win]]-1)^2,(Table4[[#This Row],[Strength of Win]]-0)^2))</f>
        <v>0.10897746915776739</v>
      </c>
      <c r="O787">
        <v>1.377346562711087</v>
      </c>
      <c r="P787" s="11">
        <v>0.6550930624253779</v>
      </c>
      <c r="Q787" t="s">
        <v>37</v>
      </c>
      <c r="R787" t="s">
        <v>248</v>
      </c>
    </row>
    <row r="788" spans="4:18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-0.47391784202962389</v>
      </c>
      <c r="H788" t="s">
        <v>35</v>
      </c>
      <c r="I788">
        <f>VLOOKUP(Table4[[#This Row],[Visitor]],'NHL Model'!$A$6:$B$38,2,FALSE)</f>
        <v>-1.2663626722629573</v>
      </c>
      <c r="J788">
        <f>($B$1+Table4[[#This Row],[Home Differential]])-Table4[[#This Row],[Away Differential]]</f>
        <v>0.88841482540399663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0.62871450066671541</v>
      </c>
      <c r="M788" t="str">
        <f>IF(OR((NHL2025_26Results[[#This Row],[Winning Team]]="")),"-",IF(Table4[[#This Row],[Predicted Winner]]=NHL2025_26Results[[#This Row],[Winning Team]],"YES","NO"))</f>
        <v>YES</v>
      </c>
      <c r="N788">
        <f>IF(Table4[[#This Row],[Adjusted Correct]]="-", "",IF(Table4[[#This Row],[Adjusted Correct]]="YES",(Table4[[#This Row],[Strength of Win]]-1)^2,(Table4[[#This Row],[Strength of Win]]-0)^2))</f>
        <v>0.13785292201516647</v>
      </c>
      <c r="O788">
        <v>0.98971533268220646</v>
      </c>
      <c r="P788" s="11">
        <v>0.63511364469443465</v>
      </c>
      <c r="Q788" t="s">
        <v>40</v>
      </c>
      <c r="R788" t="s">
        <v>248</v>
      </c>
    </row>
    <row r="789" spans="4:18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-0.79148902514100783</v>
      </c>
      <c r="H789" t="s">
        <v>14</v>
      </c>
      <c r="I789">
        <f>VLOOKUP(Table4[[#This Row],[Visitor]],'NHL Model'!$A$6:$B$38,2,FALSE)</f>
        <v>3.24300967767114E-5</v>
      </c>
      <c r="J789">
        <f>($B$1+Table4[[#This Row],[Home Differential]])-Table4[[#This Row],[Away Differential]]</f>
        <v>-0.69555146006712121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0.57854663934597284</v>
      </c>
      <c r="M789" t="str">
        <f>IF(OR((NHL2025_26Results[[#This Row],[Winning Team]]="")),"-",IF(Table4[[#This Row],[Predicted Winner]]=NHL2025_26Results[[#This Row],[Winning Team]],"YES","NO"))</f>
        <v>YES</v>
      </c>
      <c r="N789">
        <f>IF(Table4[[#This Row],[Adjusted Correct]]="-", "",IF(Table4[[#This Row],[Adjusted Correct]]="YES",(Table4[[#This Row],[Strength of Win]]-1)^2,(Table4[[#This Row],[Strength of Win]]-0)^2))</f>
        <v>0.17762293520657349</v>
      </c>
      <c r="O789">
        <v>-0.42940603244314635</v>
      </c>
      <c r="P789" s="11">
        <v>0.52236270348476255</v>
      </c>
      <c r="Q789" t="s">
        <v>14</v>
      </c>
      <c r="R789" t="s">
        <v>248</v>
      </c>
    </row>
    <row r="790" spans="4:18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1.1751846443488465</v>
      </c>
      <c r="H790" t="s">
        <v>31</v>
      </c>
      <c r="I790">
        <f>VLOOKUP(Table4[[#This Row],[Visitor]],'NHL Model'!$A$6:$B$38,2,FALSE)</f>
        <v>-0.38289376966531796</v>
      </c>
      <c r="J790">
        <f>($B$1+Table4[[#This Row],[Home Differential]])-Table4[[#This Row],[Away Differential]]</f>
        <v>1.6540484091848278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0.79095065418135191</v>
      </c>
      <c r="M790" t="str">
        <f>IF(OR((NHL2025_26Results[[#This Row],[Winning Team]]="")),"-",IF(Table4[[#This Row],[Predicted Winner]]=NHL2025_26Results[[#This Row],[Winning Team]],"YES","NO"))</f>
        <v>NO</v>
      </c>
      <c r="N790">
        <f>IF(Table4[[#This Row],[Adjusted Correct]]="-", "",IF(Table4[[#This Row],[Adjusted Correct]]="YES",(Table4[[#This Row],[Strength of Win]]-1)^2,(Table4[[#This Row],[Strength of Win]]-0)^2))</f>
        <v>0.62560293734990857</v>
      </c>
      <c r="O790">
        <v>1.9612148112066277</v>
      </c>
      <c r="P790" s="11">
        <v>0.8378119517455378</v>
      </c>
      <c r="Q790" t="s">
        <v>12</v>
      </c>
      <c r="R790" t="s">
        <v>249</v>
      </c>
    </row>
    <row r="791" spans="4:18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-0.57094405545214133</v>
      </c>
      <c r="H791" t="s">
        <v>30</v>
      </c>
      <c r="I791">
        <f>VLOOKUP(Table4[[#This Row],[Visitor]],'NHL Model'!$A$6:$B$38,2,FALSE)</f>
        <v>-0.20908736804509698</v>
      </c>
      <c r="J791">
        <f>($B$1+Table4[[#This Row],[Home Differential]])-Table4[[#This Row],[Away Differential]]</f>
        <v>-0.26588669223638112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0.50731989658567389</v>
      </c>
      <c r="M791" t="str">
        <f>IF(OR((NHL2025_26Results[[#This Row],[Winning Team]]="")),"-",IF(Table4[[#This Row],[Predicted Winner]]=NHL2025_26Results[[#This Row],[Winning Team]],"YES","NO"))</f>
        <v>NO</v>
      </c>
      <c r="N791">
        <f>IF(Table4[[#This Row],[Adjusted Correct]]="-", "",IF(Table4[[#This Row],[Adjusted Correct]]="YES",(Table4[[#This Row],[Strength of Win]]-1)^2,(Table4[[#This Row],[Strength of Win]]-0)^2))</f>
        <v>0.25737347747169886</v>
      </c>
      <c r="O791">
        <v>-0.43049364268996737</v>
      </c>
      <c r="P791" s="11">
        <v>0.53303603852645265</v>
      </c>
      <c r="Q791" t="s">
        <v>30</v>
      </c>
      <c r="R791" t="s">
        <v>249</v>
      </c>
    </row>
    <row r="792" spans="4:18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-0.32175529201986758</v>
      </c>
      <c r="H792" t="s">
        <v>26</v>
      </c>
      <c r="I792">
        <f>VLOOKUP(Table4[[#This Row],[Visitor]],'NHL Model'!$A$6:$B$38,2,FALSE)</f>
        <v>-0.17319925920548884</v>
      </c>
      <c r="J792">
        <f>($B$1+Table4[[#This Row],[Home Differential]])-Table4[[#This Row],[Away Differential]]</f>
        <v>-5.25860376437155E-2</v>
      </c>
      <c r="K792" t="str">
        <f>IF(Table4[[#This Row],[HomeIce Differential]]&gt;0,Table4[[#This Row],[Home]],Table4[[#This Row],[Visitor]])</f>
        <v>Detroit Red Wings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0.49916836253722341</v>
      </c>
      <c r="M792" t="str">
        <f>IF(OR((NHL2025_26Results[[#This Row],[Winning Team]]="")),"-",IF(Table4[[#This Row],[Predicted Winner]]=NHL2025_26Results[[#This Row],[Winning Team]],"YES","NO"))</f>
        <v>YES</v>
      </c>
      <c r="N792">
        <f>IF(Table4[[#This Row],[Adjusted Correct]]="-", "",IF(Table4[[#This Row],[Adjusted Correct]]="YES",(Table4[[#This Row],[Strength of Win]]-1)^2,(Table4[[#This Row],[Strength of Win]]-0)^2))</f>
        <v>0.25083232908364611</v>
      </c>
      <c r="O792">
        <v>0.11662124721034395</v>
      </c>
      <c r="P792" s="11">
        <v>0.54329708197016624</v>
      </c>
      <c r="Q792" t="s">
        <v>19</v>
      </c>
      <c r="R792" t="s">
        <v>249</v>
      </c>
    </row>
    <row r="793" spans="4:18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0.12055191373383152</v>
      </c>
      <c r="H793" t="s">
        <v>27</v>
      </c>
      <c r="I793">
        <f>VLOOKUP(Table4[[#This Row],[Visitor]],'NHL Model'!$A$6:$B$38,2,FALSE)</f>
        <v>-0.32182316569099201</v>
      </c>
      <c r="J793">
        <f>($B$1+Table4[[#This Row],[Home Differential]])-Table4[[#This Row],[Away Differential]]</f>
        <v>0.53834507459548675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0.61936842107650247</v>
      </c>
      <c r="M793" t="str">
        <f>IF(OR((NHL2025_26Results[[#This Row],[Winning Team]]="")),"-",IF(Table4[[#This Row],[Predicted Winner]]=NHL2025_26Results[[#This Row],[Winning Team]],"YES","NO"))</f>
        <v>YES</v>
      </c>
      <c r="N793">
        <f>IF(Table4[[#This Row],[Adjusted Correct]]="-", "",IF(Table4[[#This Row],[Adjusted Correct]]="YES",(Table4[[#This Row],[Strength of Win]]-1)^2,(Table4[[#This Row],[Strength of Win]]-0)^2))</f>
        <v>0.14488039887379472</v>
      </c>
      <c r="O793">
        <v>0.6349938498477794</v>
      </c>
      <c r="P793" s="11">
        <v>0.62264480268872535</v>
      </c>
      <c r="Q793" t="s">
        <v>55</v>
      </c>
      <c r="R793" t="s">
        <v>248</v>
      </c>
    </row>
    <row r="794" spans="4:18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-1.2591310848703385</v>
      </c>
      <c r="H794" t="s">
        <v>22</v>
      </c>
      <c r="I794">
        <f>VLOOKUP(Table4[[#This Row],[Visitor]],'NHL Model'!$A$6:$B$38,2,FALSE)</f>
        <v>-8.9159851516330005E-2</v>
      </c>
      <c r="J794">
        <f>($B$1+Table4[[#This Row],[Home Differential]])-Table4[[#This Row],[Away Differential]]</f>
        <v>-1.0740012381833453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0.56724661592352676</v>
      </c>
      <c r="M794" t="str">
        <f>IF(OR((NHL2025_26Results[[#This Row],[Winning Team]]="")),"-",IF(Table4[[#This Row],[Predicted Winner]]=NHL2025_26Results[[#This Row],[Winning Team]],"YES","NO"))</f>
        <v>NO</v>
      </c>
      <c r="N794">
        <f>IF(Table4[[#This Row],[Adjusted Correct]]="-", "",IF(Table4[[#This Row],[Adjusted Correct]]="YES",(Table4[[#This Row],[Strength of Win]]-1)^2,(Table4[[#This Row],[Strength of Win]]-0)^2))</f>
        <v>0.32176872327669309</v>
      </c>
      <c r="O794">
        <v>-1.1073416058512011</v>
      </c>
      <c r="P794" s="11">
        <v>0.56924388704582551</v>
      </c>
      <c r="Q794" t="s">
        <v>22</v>
      </c>
      <c r="R794" t="s">
        <v>249</v>
      </c>
    </row>
    <row r="795" spans="4:18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-5.5047914862176604E-2</v>
      </c>
      <c r="H795" t="s">
        <v>20</v>
      </c>
      <c r="I795">
        <f>VLOOKUP(Table4[[#This Row],[Visitor]],'NHL Model'!$A$6:$B$38,2,FALSE)</f>
        <v>-4.774288798450349E-3</v>
      </c>
      <c r="J795">
        <f>($B$1+Table4[[#This Row],[Home Differential]])-Table4[[#This Row],[Away Differential]]</f>
        <v>4.5696369106936995E-2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0.55738865831600926</v>
      </c>
      <c r="M795" t="str">
        <f>IF(OR((NHL2025_26Results[[#This Row],[Winning Team]]="")),"-",IF(Table4[[#This Row],[Predicted Winner]]=NHL2025_26Results[[#This Row],[Winning Team]],"YES","NO"))</f>
        <v>YES</v>
      </c>
      <c r="N795">
        <f>IF(Table4[[#This Row],[Adjusted Correct]]="-", "",IF(Table4[[#This Row],[Adjusted Correct]]="YES",(Table4[[#This Row],[Strength of Win]]-1)^2,(Table4[[#This Row],[Strength of Win]]-0)^2))</f>
        <v>0.19590479978730241</v>
      </c>
      <c r="O795">
        <v>9.9324880327453943E-2</v>
      </c>
      <c r="P795" s="11">
        <v>0.55058800659035245</v>
      </c>
      <c r="Q795" t="s">
        <v>21</v>
      </c>
      <c r="R795" t="s">
        <v>248</v>
      </c>
    </row>
    <row r="796" spans="4:18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0.29527586190964761</v>
      </c>
      <c r="H796" t="s">
        <v>10</v>
      </c>
      <c r="I796">
        <f>VLOOKUP(Table4[[#This Row],[Visitor]],'NHL Model'!$A$6:$B$38,2,FALSE)</f>
        <v>-0.70456324341534593</v>
      </c>
      <c r="J796">
        <f>($B$1+Table4[[#This Row],[Home Differential]])-Table4[[#This Row],[Away Differential]]</f>
        <v>1.0958091004956567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0.69232583954291194</v>
      </c>
      <c r="M796" t="str">
        <f>IF(OR((NHL2025_26Results[[#This Row],[Winning Team]]="")),"-",IF(Table4[[#This Row],[Predicted Winner]]=NHL2025_26Results[[#This Row],[Winning Team]],"YES","NO"))</f>
        <v>NO</v>
      </c>
      <c r="N796">
        <f>IF(Table4[[#This Row],[Adjusted Correct]]="-", "",IF(Table4[[#This Row],[Adjusted Correct]]="YES",(Table4[[#This Row],[Strength of Win]]-1)^2,(Table4[[#This Row],[Strength of Win]]-0)^2))</f>
        <v>0.47931506809879787</v>
      </c>
      <c r="O796">
        <v>1.1532065255808752</v>
      </c>
      <c r="P796" s="11">
        <v>0.70098814154917199</v>
      </c>
      <c r="Q796" t="s">
        <v>25</v>
      </c>
      <c r="R796" t="s">
        <v>249</v>
      </c>
    </row>
    <row r="797" spans="4:18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-0.42584667868780524</v>
      </c>
      <c r="H797" t="s">
        <v>39</v>
      </c>
      <c r="I797">
        <f>VLOOKUP(Table4[[#This Row],[Visitor]],'NHL Model'!$A$6:$B$38,2,FALSE)</f>
        <v>0.21259592260910548</v>
      </c>
      <c r="J797">
        <f>($B$1+Table4[[#This Row],[Home Differential]])-Table4[[#This Row],[Away Differential]]</f>
        <v>-0.54247260612624748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0.55217769267702965</v>
      </c>
      <c r="M797" t="str">
        <f>IF(OR((NHL2025_26Results[[#This Row],[Winning Team]]="")),"-",IF(Table4[[#This Row],[Predicted Winner]]=NHL2025_26Results[[#This Row],[Winning Team]],"YES","NO"))</f>
        <v>NO</v>
      </c>
      <c r="N797">
        <f>IF(Table4[[#This Row],[Adjusted Correct]]="-", "",IF(Table4[[#This Row],[Adjusted Correct]]="YES",(Table4[[#This Row],[Strength of Win]]-1)^2,(Table4[[#This Row],[Strength of Win]]-0)^2))</f>
        <v>0.30490020429012821</v>
      </c>
      <c r="O797">
        <v>-0.66414734210036086</v>
      </c>
      <c r="P797" s="11">
        <v>0.57003071946502648</v>
      </c>
      <c r="Q797" t="s">
        <v>39</v>
      </c>
      <c r="R797" t="s">
        <v>249</v>
      </c>
    </row>
    <row r="798" spans="4:18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-0.20041140176017086</v>
      </c>
      <c r="H798" t="s">
        <v>14</v>
      </c>
      <c r="I798">
        <f>VLOOKUP(Table4[[#This Row],[Visitor]],'NHL Model'!$A$6:$B$38,2,FALSE)</f>
        <v>3.24300967767114E-5</v>
      </c>
      <c r="J798">
        <f>($B$1+Table4[[#This Row],[Home Differential]])-Table4[[#This Row],[Away Differential]]</f>
        <v>-0.10447383668628432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0.51952336022672285</v>
      </c>
      <c r="M798" t="str">
        <f>IF(OR((NHL2025_26Results[[#This Row],[Winning Team]]="")),"-",IF(Table4[[#This Row],[Predicted Winner]]=NHL2025_26Results[[#This Row],[Winning Team]],"YES","NO"))</f>
        <v>YES</v>
      </c>
      <c r="N798">
        <f>IF(Table4[[#This Row],[Adjusted Correct]]="-", "",IF(Table4[[#This Row],[Adjusted Correct]]="YES",(Table4[[#This Row],[Strength of Win]]-1)^2,(Table4[[#This Row],[Strength of Win]]-0)^2))</f>
        <v>0.23085780136781953</v>
      </c>
      <c r="O798">
        <v>9.9354988229942764E-2</v>
      </c>
      <c r="P798" s="11">
        <v>0.50864397285387608</v>
      </c>
      <c r="Q798" t="s">
        <v>17</v>
      </c>
      <c r="R798" t="s">
        <v>249</v>
      </c>
    </row>
    <row r="799" spans="4:18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1.2879210938040288E-2</v>
      </c>
      <c r="H799" t="s">
        <v>26</v>
      </c>
      <c r="I799">
        <f>VLOOKUP(Table4[[#This Row],[Visitor]],'NHL Model'!$A$6:$B$38,2,FALSE)</f>
        <v>-0.17319925920548884</v>
      </c>
      <c r="J799">
        <f>($B$1+Table4[[#This Row],[Home Differential]])-Table4[[#This Row],[Away Differential]]</f>
        <v>0.28204846531419236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0.5288777998702564</v>
      </c>
      <c r="M799" t="str">
        <f>IF(OR((NHL2025_26Results[[#This Row],[Winning Team]]="")),"-",IF(Table4[[#This Row],[Predicted Winner]]=NHL2025_26Results[[#This Row],[Winning Team]],"YES","NO"))</f>
        <v>YES</v>
      </c>
      <c r="N799">
        <f>IF(Table4[[#This Row],[Adjusted Correct]]="-", "",IF(Table4[[#This Row],[Adjusted Correct]]="YES",(Table4[[#This Row],[Strength of Win]]-1)^2,(Table4[[#This Row],[Strength of Win]]-0)^2))</f>
        <v>0.22195612745509016</v>
      </c>
      <c r="O799">
        <v>0.39288612470320161</v>
      </c>
      <c r="P799" s="11">
        <v>0.53645753627879822</v>
      </c>
      <c r="Q799" t="s">
        <v>34</v>
      </c>
      <c r="R799" t="s">
        <v>248</v>
      </c>
    </row>
    <row r="800" spans="4:18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-0.23645483545724041</v>
      </c>
      <c r="H800" t="s">
        <v>23</v>
      </c>
      <c r="I800">
        <f>VLOOKUP(Table4[[#This Row],[Visitor]],'NHL Model'!$A$6:$B$38,2,FALSE)</f>
        <v>2.7346770720058793E-2</v>
      </c>
      <c r="J800">
        <f>($B$1+Table4[[#This Row],[Home Differential]])-Table4[[#This Row],[Away Differential]]</f>
        <v>-0.16783161100663593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0.49752840355743072</v>
      </c>
      <c r="M800" t="str">
        <f>IF(OR((NHL2025_26Results[[#This Row],[Winning Team]]="")),"-",IF(Table4[[#This Row],[Predicted Winner]]=NHL2025_26Results[[#This Row],[Winning Team]],"YES","NO"))</f>
        <v>YES</v>
      </c>
      <c r="N800">
        <f>IF(Table4[[#This Row],[Adjusted Correct]]="-", "",IF(Table4[[#This Row],[Adjusted Correct]]="YES",(Table4[[#This Row],[Strength of Win]]-1)^2,(Table4[[#This Row],[Strength of Win]]-0)^2))</f>
        <v>0.25247770523154417</v>
      </c>
      <c r="O800">
        <v>3.0154661826642691E-2</v>
      </c>
      <c r="P800" s="11">
        <v>0.55187691493958158</v>
      </c>
      <c r="Q800" t="s">
        <v>18</v>
      </c>
      <c r="R800" t="s">
        <v>249</v>
      </c>
    </row>
    <row r="801" spans="4:18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-0.74313650334688619</v>
      </c>
      <c r="H801" t="s">
        <v>36</v>
      </c>
      <c r="I801">
        <f>VLOOKUP(Table4[[#This Row],[Visitor]],'NHL Model'!$A$6:$B$38,2,FALSE)</f>
        <v>-0.40390734274709933</v>
      </c>
      <c r="J801">
        <f>($B$1+Table4[[#This Row],[Home Differential]])-Table4[[#This Row],[Away Differential]]</f>
        <v>-0.24325916542912357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0.48512064039459746</v>
      </c>
      <c r="M801" t="str">
        <f>IF(OR((NHL2025_26Results[[#This Row],[Winning Team]]="")),"-",IF(Table4[[#This Row],[Predicted Winner]]=NHL2025_26Results[[#This Row],[Winning Team]],"YES","NO"))</f>
        <v>NO</v>
      </c>
      <c r="N801">
        <f>IF(Table4[[#This Row],[Adjusted Correct]]="-", "",IF(Table4[[#This Row],[Adjusted Correct]]="YES",(Table4[[#This Row],[Strength of Win]]-1)^2,(Table4[[#This Row],[Strength of Win]]-0)^2))</f>
        <v>0.23534203573686435</v>
      </c>
      <c r="O801">
        <v>-0.29227395047383109</v>
      </c>
      <c r="P801" s="11">
        <v>0.49828267397148446</v>
      </c>
      <c r="Q801" t="s">
        <v>36</v>
      </c>
      <c r="R801" t="s">
        <v>249</v>
      </c>
    </row>
    <row r="802" spans="4:18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-0.47391784202962389</v>
      </c>
      <c r="H802" t="s">
        <v>11</v>
      </c>
      <c r="I802">
        <f>VLOOKUP(Table4[[#This Row],[Visitor]],'NHL Model'!$A$6:$B$38,2,FALSE)</f>
        <v>-0.42375285621939396</v>
      </c>
      <c r="J802">
        <f>($B$1+Table4[[#This Row],[Home Differential]])-Table4[[#This Row],[Away Differential]]</f>
        <v>4.5805009360433302E-2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0.49316561409791337</v>
      </c>
      <c r="M802" t="str">
        <f>IF(OR((NHL2025_26Results[[#This Row],[Winning Team]]="")),"-",IF(Table4[[#This Row],[Predicted Winner]]=NHL2025_26Results[[#This Row],[Winning Team]],"YES","NO"))</f>
        <v>NO</v>
      </c>
      <c r="N802">
        <f>IF(Table4[[#This Row],[Adjusted Correct]]="-", "",IF(Table4[[#This Row],[Adjusted Correct]]="YES",(Table4[[#This Row],[Strength of Win]]-1)^2,(Table4[[#This Row],[Strength of Win]]-0)^2))</f>
        <v>0.24321232292857201</v>
      </c>
      <c r="O802">
        <v>0.2384993482041538</v>
      </c>
      <c r="P802" s="11">
        <v>0.53020869122312553</v>
      </c>
      <c r="Q802" t="s">
        <v>40</v>
      </c>
      <c r="R802" t="s">
        <v>249</v>
      </c>
    </row>
    <row r="803" spans="4:18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-0.79148902514100783</v>
      </c>
      <c r="H803" t="s">
        <v>22</v>
      </c>
      <c r="I803">
        <f>VLOOKUP(Table4[[#This Row],[Visitor]],'NHL Model'!$A$6:$B$38,2,FALSE)</f>
        <v>-8.9159851516330005E-2</v>
      </c>
      <c r="J803">
        <f>($B$1+Table4[[#This Row],[Home Differential]])-Table4[[#This Row],[Away Differential]]</f>
        <v>-0.60635917845401455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0.52054925042112621</v>
      </c>
      <c r="M803" t="str">
        <f>IF(OR((NHL2025_26Results[[#This Row],[Winning Team]]="")),"-",IF(Table4[[#This Row],[Predicted Winner]]=NHL2025_26Results[[#This Row],[Winning Team]],"YES","NO"))</f>
        <v>YES</v>
      </c>
      <c r="N803">
        <f>IF(Table4[[#This Row],[Adjusted Correct]]="-", "",IF(Table4[[#This Row],[Adjusted Correct]]="YES",(Table4[[#This Row],[Strength of Win]]-1)^2,(Table4[[#This Row],[Strength of Win]]-0)^2))</f>
        <v>0.22987302127174394</v>
      </c>
      <c r="O803">
        <v>-0.55851665500788217</v>
      </c>
      <c r="P803" s="11">
        <v>0.51169437036962195</v>
      </c>
      <c r="Q803" t="s">
        <v>22</v>
      </c>
      <c r="R803" t="s">
        <v>248</v>
      </c>
    </row>
    <row r="804" spans="4:18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-0.70456324341534593</v>
      </c>
      <c r="H804" t="s">
        <v>37</v>
      </c>
      <c r="I804">
        <f>VLOOKUP(Table4[[#This Row],[Visitor]],'NHL Model'!$A$6:$B$38,2,FALSE)</f>
        <v>0.65340538721281671</v>
      </c>
      <c r="J804">
        <f>($B$1+Table4[[#This Row],[Home Differential]])-Table4[[#This Row],[Away Differential]]</f>
        <v>-1.2619986354574992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0.68287763273974011</v>
      </c>
      <c r="M804" t="str">
        <f>IF(OR((NHL2025_26Results[[#This Row],[Winning Team]]="")),"-",IF(Table4[[#This Row],[Predicted Winner]]=NHL2025_26Results[[#This Row],[Winning Team]],"YES","NO"))</f>
        <v>YES</v>
      </c>
      <c r="N804">
        <f>IF(Table4[[#This Row],[Adjusted Correct]]="-", "",IF(Table4[[#This Row],[Adjusted Correct]]="YES",(Table4[[#This Row],[Strength of Win]]-1)^2,(Table4[[#This Row],[Strength of Win]]-0)^2))</f>
        <v>0.10056659581675115</v>
      </c>
      <c r="O804">
        <v>-1.3240673206821527</v>
      </c>
      <c r="P804" s="11">
        <v>0.68836407681109968</v>
      </c>
      <c r="Q804" t="s">
        <v>37</v>
      </c>
      <c r="R804" t="s">
        <v>248</v>
      </c>
    </row>
    <row r="805" spans="4:18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1.1751846443488465</v>
      </c>
      <c r="H805" t="s">
        <v>27</v>
      </c>
      <c r="I805">
        <f>VLOOKUP(Table4[[#This Row],[Visitor]],'NHL Model'!$A$6:$B$38,2,FALSE)</f>
        <v>-0.32182316569099201</v>
      </c>
      <c r="J805">
        <f>($B$1+Table4[[#This Row],[Home Differential]])-Table4[[#This Row],[Away Differential]]</f>
        <v>1.5929778052105017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0.77483364166969726</v>
      </c>
      <c r="M805" t="str">
        <f>IF(OR((NHL2025_26Results[[#This Row],[Winning Team]]="")),"-",IF(Table4[[#This Row],[Predicted Winner]]=NHL2025_26Results[[#This Row],[Winning Team]],"YES","NO"))</f>
        <v>NO</v>
      </c>
      <c r="N805">
        <f>IF(Table4[[#This Row],[Adjusted Correct]]="-", "",IF(Table4[[#This Row],[Adjusted Correct]]="YES",(Table4[[#This Row],[Strength of Win]]-1)^2,(Table4[[#This Row],[Strength of Win]]-0)^2))</f>
        <v>0.60036717226312486</v>
      </c>
      <c r="O805">
        <v>1.8438471539416217</v>
      </c>
      <c r="P805" s="11">
        <v>0.78642366378144568</v>
      </c>
      <c r="Q805" t="s">
        <v>12</v>
      </c>
      <c r="R805" t="s">
        <v>249</v>
      </c>
    </row>
    <row r="806" spans="4:18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0.21259592260910548</v>
      </c>
      <c r="H806" t="s">
        <v>35</v>
      </c>
      <c r="I806">
        <f>VLOOKUP(Table4[[#This Row],[Visitor]],'NHL Model'!$A$6:$B$38,2,FALSE)</f>
        <v>-1.2663626722629573</v>
      </c>
      <c r="J806">
        <f>($B$1+Table4[[#This Row],[Home Differential]])-Table4[[#This Row],[Away Differential]]</f>
        <v>1.5749285900427261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0.71637318445420683</v>
      </c>
      <c r="M806" t="str">
        <f>IF(OR((NHL2025_26Results[[#This Row],[Winning Team]]="")),"-",IF(Table4[[#This Row],[Predicted Winner]]=NHL2025_26Results[[#This Row],[Winning Team]],"YES","NO"))</f>
        <v>YES</v>
      </c>
      <c r="N806">
        <f>IF(Table4[[#This Row],[Adjusted Correct]]="-", "",IF(Table4[[#This Row],[Adjusted Correct]]="YES",(Table4[[#This Row],[Strength of Win]]-1)^2,(Table4[[#This Row],[Strength of Win]]-0)^2))</f>
        <v>8.0444170496647385E-2</v>
      </c>
      <c r="O806">
        <v>1.622586698628373</v>
      </c>
      <c r="P806" s="11">
        <v>0.70928644561561605</v>
      </c>
      <c r="Q806" t="s">
        <v>39</v>
      </c>
      <c r="R806" t="s">
        <v>248</v>
      </c>
    </row>
    <row r="807" spans="4:18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-0.57094405545214133</v>
      </c>
      <c r="H807" t="s">
        <v>31</v>
      </c>
      <c r="I807">
        <f>VLOOKUP(Table4[[#This Row],[Visitor]],'NHL Model'!$A$6:$B$38,2,FALSE)</f>
        <v>-0.38289376966531796</v>
      </c>
      <c r="J807">
        <f>($B$1+Table4[[#This Row],[Home Differential]])-Table4[[#This Row],[Away Differential]]</f>
        <v>-9.2080290616160132E-2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0.4691948679487018</v>
      </c>
      <c r="M807" t="str">
        <f>IF(OR((NHL2025_26Results[[#This Row],[Winning Team]]="")),"-",IF(Table4[[#This Row],[Predicted Winner]]=NHL2025_26Results[[#This Row],[Winning Team]],"YES","NO"))</f>
        <v>YES</v>
      </c>
      <c r="N807">
        <f>IF(Table4[[#This Row],[Adjusted Correct]]="-", "",IF(Table4[[#This Row],[Adjusted Correct]]="YES",(Table4[[#This Row],[Strength of Win]]-1)^2,(Table4[[#This Row],[Strength of Win]]-0)^2))</f>
        <v>0.2817540882119961</v>
      </c>
      <c r="O807">
        <v>9.4667981365432752E-3</v>
      </c>
      <c r="P807" s="11">
        <v>0.54087621410157949</v>
      </c>
      <c r="Q807" t="s">
        <v>32</v>
      </c>
      <c r="R807" t="s">
        <v>249</v>
      </c>
    </row>
    <row r="808" spans="4:18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-0.53461960928306718</v>
      </c>
      <c r="H808" t="s">
        <v>15</v>
      </c>
      <c r="I808">
        <f>VLOOKUP(Table4[[#This Row],[Visitor]],'NHL Model'!$A$6:$B$38,2,FALSE)</f>
        <v>-0.6396663932228257</v>
      </c>
      <c r="J808">
        <f>($B$1+Table4[[#This Row],[Home Differential]])-Table4[[#This Row],[Away Differential]]</f>
        <v>0.20101677911042176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0.50802475364367539</v>
      </c>
      <c r="M808" t="str">
        <f>IF(OR((NHL2025_26Results[[#This Row],[Winning Team]]="")),"-",IF(Table4[[#This Row],[Predicted Winner]]=NHL2025_26Results[[#This Row],[Winning Team]],"YES","NO"))</f>
        <v>YES</v>
      </c>
      <c r="N808">
        <f>IF(Table4[[#This Row],[Adjusted Correct]]="-", "",IF(Table4[[#This Row],[Adjusted Correct]]="YES",(Table4[[#This Row],[Strength of Win]]-1)^2,(Table4[[#This Row],[Strength of Win]]-0)^2))</f>
        <v>0.2420396430273663</v>
      </c>
      <c r="O808">
        <v>0.15435977719586258</v>
      </c>
      <c r="P808" s="11">
        <v>0.50223881446672602</v>
      </c>
      <c r="Q808" t="s">
        <v>33</v>
      </c>
      <c r="R808" t="s">
        <v>248</v>
      </c>
    </row>
    <row r="809" spans="4:18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-0.32175529201986758</v>
      </c>
      <c r="H809" t="s">
        <v>20</v>
      </c>
      <c r="I809">
        <f>VLOOKUP(Table4[[#This Row],[Visitor]],'NHL Model'!$A$6:$B$38,2,FALSE)</f>
        <v>-4.774288798450349E-3</v>
      </c>
      <c r="J809">
        <f>($B$1+Table4[[#This Row],[Home Differential]])-Table4[[#This Row],[Away Differential]]</f>
        <v>-0.22101100805075399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0.50726899671642101</v>
      </c>
      <c r="M809" t="str">
        <f>IF(OR((NHL2025_26Results[[#This Row],[Winning Team]]="")),"-",IF(Table4[[#This Row],[Predicted Winner]]=NHL2025_26Results[[#This Row],[Winning Team]],"YES","NO"))</f>
        <v>YES</v>
      </c>
      <c r="N809">
        <f>IF(Table4[[#This Row],[Adjusted Correct]]="-", "",IF(Table4[[#This Row],[Adjusted Correct]]="YES",(Table4[[#This Row],[Strength of Win]]-1)^2,(Table4[[#This Row],[Strength of Win]]-0)^2))</f>
        <v>0.24278384159684233</v>
      </c>
      <c r="O809">
        <v>-0.1028612695162565</v>
      </c>
      <c r="P809" s="11">
        <v>0.49471996863607637</v>
      </c>
      <c r="Q809" t="s">
        <v>20</v>
      </c>
      <c r="R809" t="s">
        <v>248</v>
      </c>
    </row>
    <row r="810" spans="4:18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-1.2591310848703385</v>
      </c>
      <c r="H810" t="s">
        <v>24</v>
      </c>
      <c r="I810">
        <f>VLOOKUP(Table4[[#This Row],[Visitor]],'NHL Model'!$A$6:$B$38,2,FALSE)</f>
        <v>-0.52712015292731806</v>
      </c>
      <c r="J810">
        <f>($B$1+Table4[[#This Row],[Home Differential]])-Table4[[#This Row],[Away Differential]]</f>
        <v>-0.63604093677235729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0.56152115194192098</v>
      </c>
      <c r="M810" t="str">
        <f>IF(OR((NHL2025_26Results[[#This Row],[Winning Team]]="")),"-",IF(Table4[[#This Row],[Predicted Winner]]=NHL2025_26Results[[#This Row],[Winning Team]],"YES","NO"))</f>
        <v>YES</v>
      </c>
      <c r="N810">
        <f>IF(Table4[[#This Row],[Adjusted Correct]]="-", "",IF(Table4[[#This Row],[Adjusted Correct]]="YES",(Table4[[#This Row],[Strength of Win]]-1)^2,(Table4[[#This Row],[Strength of Win]]-0)^2))</f>
        <v>0.19226370019433994</v>
      </c>
      <c r="O810">
        <v>-0.58949808893179056</v>
      </c>
      <c r="P810" s="11">
        <v>0.55256987289467052</v>
      </c>
      <c r="Q810" t="s">
        <v>24</v>
      </c>
      <c r="R810" t="s">
        <v>248</v>
      </c>
    </row>
    <row r="811" spans="4:18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-5.5047914862176604E-2</v>
      </c>
      <c r="H811" t="s">
        <v>18</v>
      </c>
      <c r="I811">
        <f>VLOOKUP(Table4[[#This Row],[Visitor]],'NHL Model'!$A$6:$B$38,2,FALSE)</f>
        <v>-0.23645483545724041</v>
      </c>
      <c r="J811">
        <f>($B$1+Table4[[#This Row],[Home Differential]])-Table4[[#This Row],[Away Differential]]</f>
        <v>0.27737691576572704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0.57188409237375115</v>
      </c>
      <c r="M811" t="str">
        <f>IF(OR((NHL2025_26Results[[#This Row],[Winning Team]]="")),"-",IF(Table4[[#This Row],[Predicted Winner]]=NHL2025_26Results[[#This Row],[Winning Team]],"YES","NO"))</f>
        <v>YES</v>
      </c>
      <c r="N811">
        <f>IF(Table4[[#This Row],[Adjusted Correct]]="-", "",IF(Table4[[#This Row],[Adjusted Correct]]="YES",(Table4[[#This Row],[Strength of Win]]-1)^2,(Table4[[#This Row],[Strength of Win]]-0)^2))</f>
        <v>0.18328323036264685</v>
      </c>
      <c r="O811">
        <v>0.28971319127978878</v>
      </c>
      <c r="P811" s="11">
        <v>0.55688251695954605</v>
      </c>
      <c r="Q811" t="s">
        <v>21</v>
      </c>
      <c r="R811" t="s">
        <v>248</v>
      </c>
    </row>
    <row r="812" spans="4:18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-0.42584667868780524</v>
      </c>
      <c r="H812" t="s">
        <v>37</v>
      </c>
      <c r="I812">
        <f>VLOOKUP(Table4[[#This Row],[Visitor]],'NHL Model'!$A$6:$B$38,2,FALSE)</f>
        <v>0.65340538721281671</v>
      </c>
      <c r="J812">
        <f>($B$1+Table4[[#This Row],[Home Differential]])-Table4[[#This Row],[Away Differential]]</f>
        <v>-0.98328207072995877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0.65504581345858159</v>
      </c>
      <c r="M812" t="str">
        <f>IF(OR((NHL2025_26Results[[#This Row],[Winning Team]]="")),"-",IF(Table4[[#This Row],[Predicted Winner]]=NHL2025_26Results[[#This Row],[Winning Team]],"YES","NO"))</f>
        <v>NO</v>
      </c>
      <c r="N812">
        <f>IF(Table4[[#This Row],[Adjusted Correct]]="-", "",IF(Table4[[#This Row],[Adjusted Correct]]="YES",(Table4[[#This Row],[Strength of Win]]-1)^2,(Table4[[#This Row],[Strength of Win]]-0)^2))</f>
        <v>0.42908501772961488</v>
      </c>
      <c r="O812">
        <v>-1.132143048165877</v>
      </c>
      <c r="P812" s="11">
        <v>0.67373589439274417</v>
      </c>
      <c r="Q812" t="s">
        <v>37</v>
      </c>
      <c r="R812" t="s">
        <v>249</v>
      </c>
    </row>
    <row r="813" spans="4:18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-0.20041140176017086</v>
      </c>
      <c r="H813" t="s">
        <v>22</v>
      </c>
      <c r="I813">
        <f>VLOOKUP(Table4[[#This Row],[Visitor]],'NHL Model'!$A$6:$B$38,2,FALSE)</f>
        <v>-8.9159851516330005E-2</v>
      </c>
      <c r="J813">
        <f>($B$1+Table4[[#This Row],[Home Differential]])-Table4[[#This Row],[Away Differential]]</f>
        <v>-1.5281555073177605E-2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0.46152597130187623</v>
      </c>
      <c r="M813" t="str">
        <f>IF(OR((NHL2025_26Results[[#This Row],[Winning Team]]="")),"-",IF(Table4[[#This Row],[Predicted Winner]]=NHL2025_26Results[[#This Row],[Winning Team]],"YES","NO"))</f>
        <v>NO</v>
      </c>
      <c r="N813">
        <f>IF(Table4[[#This Row],[Adjusted Correct]]="-", "",IF(Table4[[#This Row],[Adjusted Correct]]="YES",(Table4[[#This Row],[Strength of Win]]-1)^2,(Table4[[#This Row],[Strength of Win]]-0)^2))</f>
        <v>0.21300622218614026</v>
      </c>
      <c r="O813">
        <v>-3.9623684797399535E-2</v>
      </c>
      <c r="P813" s="11">
        <v>0.46377717585596401</v>
      </c>
      <c r="Q813" t="s">
        <v>22</v>
      </c>
      <c r="R813" t="s">
        <v>249</v>
      </c>
    </row>
    <row r="814" spans="4:18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1.2879210938040288E-2</v>
      </c>
      <c r="H814" t="s">
        <v>11</v>
      </c>
      <c r="I814">
        <f>VLOOKUP(Table4[[#This Row],[Visitor]],'NHL Model'!$A$6:$B$38,2,FALSE)</f>
        <v>-0.42375285621939396</v>
      </c>
      <c r="J814">
        <f>($B$1+Table4[[#This Row],[Home Differential]])-Table4[[#This Row],[Away Differential]]</f>
        <v>0.53260206232809748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0.54177574108495075</v>
      </c>
      <c r="M814" t="str">
        <f>IF(OR((NHL2025_26Results[[#This Row],[Winning Team]]="")),"-",IF(Table4[[#This Row],[Predicted Winner]]=NHL2025_26Results[[#This Row],[Winning Team]],"YES","NO"))</f>
        <v>NO</v>
      </c>
      <c r="N814">
        <f>IF(Table4[[#This Row],[Adjusted Correct]]="-", "",IF(Table4[[#This Row],[Adjusted Correct]]="YES",(Table4[[#This Row],[Strength of Win]]-1)^2,(Table4[[#This Row],[Strength of Win]]-0)^2))</f>
        <v>0.29352095362814756</v>
      </c>
      <c r="O814">
        <v>0.60511488462578689</v>
      </c>
      <c r="P814" s="11">
        <v>0.55517074816469469</v>
      </c>
      <c r="Q814" t="s">
        <v>34</v>
      </c>
      <c r="R814" t="s">
        <v>249</v>
      </c>
    </row>
    <row r="815" spans="4:18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-0.74313650334688619</v>
      </c>
      <c r="H815" t="s">
        <v>55</v>
      </c>
      <c r="I815">
        <f>VLOOKUP(Table4[[#This Row],[Visitor]],'NHL Model'!$A$6:$B$38,2,FALSE)</f>
        <v>0.12055191373383152</v>
      </c>
      <c r="J815">
        <f>($B$1+Table4[[#This Row],[Home Differential]])-Table4[[#This Row],[Away Differential]]</f>
        <v>-0.76771842191005446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0.5366621115551713</v>
      </c>
      <c r="M815" t="str">
        <f>IF(OR((NHL2025_26Results[[#This Row],[Winning Team]]="")),"-",IF(Table4[[#This Row],[Predicted Winner]]=NHL2025_26Results[[#This Row],[Winning Team]],"YES","NO"))</f>
        <v>YES</v>
      </c>
      <c r="N815">
        <f>IF(Table4[[#This Row],[Adjusted Correct]]="-", "",IF(Table4[[#This Row],[Adjusted Correct]]="YES",(Table4[[#This Row],[Strength of Win]]-1)^2,(Table4[[#This Row],[Strength of Win]]-0)^2))</f>
        <v>0.21468199886851252</v>
      </c>
      <c r="O815">
        <v>-0.67430119684244139</v>
      </c>
      <c r="P815" s="11">
        <v>0.52427858018212503</v>
      </c>
      <c r="Q815" t="s">
        <v>55</v>
      </c>
      <c r="R815" t="s">
        <v>248</v>
      </c>
    </row>
    <row r="816" spans="4:18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-0.20908736804509698</v>
      </c>
      <c r="H816" t="s">
        <v>23</v>
      </c>
      <c r="I816">
        <f>VLOOKUP(Table4[[#This Row],[Visitor]],'NHL Model'!$A$6:$B$38,2,FALSE)</f>
        <v>2.7346770720058793E-2</v>
      </c>
      <c r="J816">
        <f>($B$1+Table4[[#This Row],[Home Differential]])-Table4[[#This Row],[Away Differential]]</f>
        <v>-0.14046414359449252</v>
      </c>
      <c r="K816" t="str">
        <f>IF(Table4[[#This Row],[HomeIce Differential]]&gt;0,Table4[[#This Row],[Home]],Table4[[#This Row],[Visitor]])</f>
        <v>Buffalo Sabres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0.48572445090952843</v>
      </c>
      <c r="M816" t="str">
        <f>IF(OR((NHL2025_26Results[[#This Row],[Winning Team]]="")),"-",IF(Table4[[#This Row],[Predicted Winner]]=NHL2025_26Results[[#This Row],[Winning Team]],"YES","NO"))</f>
        <v>YES</v>
      </c>
      <c r="N816">
        <f>IF(Table4[[#This Row],[Adjusted Correct]]="-", "",IF(Table4[[#This Row],[Adjusted Correct]]="YES",(Table4[[#This Row],[Strength of Win]]-1)^2,(Table4[[#This Row],[Strength of Win]]-0)^2))</f>
        <v>0.26447934039230603</v>
      </c>
      <c r="O816">
        <v>4.5418386163908246E-2</v>
      </c>
      <c r="P816" s="11">
        <v>0.55291890449121051</v>
      </c>
      <c r="Q816" t="s">
        <v>30</v>
      </c>
      <c r="R816" t="s">
        <v>249</v>
      </c>
    </row>
    <row r="817" spans="4:18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-0.40390734274709933</v>
      </c>
      <c r="H817" t="s">
        <v>25</v>
      </c>
      <c r="I817">
        <f>VLOOKUP(Table4[[#This Row],[Visitor]],'NHL Model'!$A$6:$B$38,2,FALSE)</f>
        <v>0.29527586190964761</v>
      </c>
      <c r="J817">
        <f>($B$1+Table4[[#This Row],[Home Differential]])-Table4[[#This Row],[Away Differential]]</f>
        <v>-0.6032132094860837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0.57952293700820068</v>
      </c>
      <c r="M817" t="str">
        <f>IF(OR((NHL2025_26Results[[#This Row],[Winning Team]]="")),"-",IF(Table4[[#This Row],[Predicted Winner]]=NHL2025_26Results[[#This Row],[Winning Team]],"YES","NO"))</f>
        <v>YES</v>
      </c>
      <c r="N817">
        <f>IF(Table4[[#This Row],[Adjusted Correct]]="-", "",IF(Table4[[#This Row],[Adjusted Correct]]="YES",(Table4[[#This Row],[Strength of Win]]-1)^2,(Table4[[#This Row],[Strength of Win]]-0)^2))</f>
        <v>0.17680096050220959</v>
      </c>
      <c r="O817">
        <v>-0.49648488414843145</v>
      </c>
      <c r="P817" s="11">
        <v>0.55873636419766592</v>
      </c>
      <c r="Q817" t="s">
        <v>25</v>
      </c>
      <c r="R817" t="s">
        <v>248</v>
      </c>
    </row>
    <row r="818" spans="4:18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-1.2663626722629573</v>
      </c>
      <c r="H818" t="s">
        <v>13</v>
      </c>
      <c r="I818">
        <f>VLOOKUP(Table4[[#This Row],[Visitor]],'NHL Model'!$A$6:$B$38,2,FALSE)</f>
        <v>-0.43624947117902363</v>
      </c>
      <c r="J818">
        <f>($B$1+Table4[[#This Row],[Home Differential]])-Table4[[#This Row],[Away Differential]]</f>
        <v>-0.73414320591327042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0.56387542662503232</v>
      </c>
      <c r="M818" t="str">
        <f>IF(OR((NHL2025_26Results[[#This Row],[Winning Team]]="")),"-",IF(Table4[[#This Row],[Predicted Winner]]=NHL2025_26Results[[#This Row],[Winning Team]],"YES","NO"))</f>
        <v>YES</v>
      </c>
      <c r="N818">
        <f>IF(Table4[[#This Row],[Adjusted Correct]]="-", "",IF(Table4[[#This Row],[Adjusted Correct]]="YES",(Table4[[#This Row],[Strength of Win]]-1)^2,(Table4[[#This Row],[Strength of Win]]-0)^2))</f>
        <v>0.19020464350149757</v>
      </c>
      <c r="O818">
        <v>-0.71503141186574892</v>
      </c>
      <c r="P818" s="11">
        <v>0.54893046814441815</v>
      </c>
      <c r="Q818" t="s">
        <v>13</v>
      </c>
      <c r="R818" t="s">
        <v>248</v>
      </c>
    </row>
    <row r="819" spans="4:18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-0.47391784202962389</v>
      </c>
      <c r="H819" t="s">
        <v>26</v>
      </c>
      <c r="I819">
        <f>VLOOKUP(Table4[[#This Row],[Visitor]],'NHL Model'!$A$6:$B$38,2,FALSE)</f>
        <v>-0.17319925920548884</v>
      </c>
      <c r="J819">
        <f>($B$1+Table4[[#This Row],[Home Differential]])-Table4[[#This Row],[Away Differential]]</f>
        <v>-0.20474858765347181</v>
      </c>
      <c r="K819" t="str">
        <f>IF(Table4[[#This Row],[HomeIce Differential]]&gt;0,Table4[[#This Row],[Home]],Table4[[#This Row],[Visitor]])</f>
        <v>Detroit Red Wings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0.51973232711678108</v>
      </c>
      <c r="M819" t="str">
        <f>IF(OR((NHL2025_26Results[[#This Row],[Winning Team]]="")),"-",IF(Table4[[#This Row],[Predicted Winner]]=NHL2025_26Results[[#This Row],[Winning Team]],"YES","NO"))</f>
        <v>YES</v>
      </c>
      <c r="N819">
        <f>IF(Table4[[#This Row],[Adjusted Correct]]="-", "",IF(Table4[[#This Row],[Adjusted Correct]]="YES",(Table4[[#This Row],[Strength of Win]]-1)^2,(Table4[[#This Row],[Strength of Win]]-0)^2))</f>
        <v>0.23065703761666256</v>
      </c>
      <c r="O819">
        <v>-4.730581321234098E-2</v>
      </c>
      <c r="P819" s="11">
        <v>0.49507552180897402</v>
      </c>
      <c r="Q819" t="s">
        <v>26</v>
      </c>
      <c r="R819" t="s">
        <v>248</v>
      </c>
    </row>
    <row r="820" spans="4:18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-0.79148902514100783</v>
      </c>
      <c r="H820" t="s">
        <v>31</v>
      </c>
      <c r="I820">
        <f>VLOOKUP(Table4[[#This Row],[Visitor]],'NHL Model'!$A$6:$B$38,2,FALSE)</f>
        <v>-0.38289376966531796</v>
      </c>
      <c r="J820">
        <f>($B$1+Table4[[#This Row],[Home Differential]])-Table4[[#This Row],[Away Differential]]</f>
        <v>-0.31262526030502658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0.49121784224070153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O820">
        <v>-0.31262526030502658</v>
      </c>
      <c r="P820" s="11">
        <v>0.49121784224070153</v>
      </c>
      <c r="Q820" t="s">
        <v>31</v>
      </c>
    </row>
    <row r="821" spans="4:18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-0.70456324341534593</v>
      </c>
      <c r="H821" t="s">
        <v>11</v>
      </c>
      <c r="I821">
        <f>VLOOKUP(Table4[[#This Row],[Visitor]],'NHL Model'!$A$6:$B$38,2,FALSE)</f>
        <v>-0.42375285621939396</v>
      </c>
      <c r="J821">
        <f>($B$1+Table4[[#This Row],[Home Differential]])-Table4[[#This Row],[Away Differential]]</f>
        <v>-0.18484039202528868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0.529865959700626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O821">
        <v>-0.18484039202528868</v>
      </c>
      <c r="P821" s="11">
        <v>0.529865959700626</v>
      </c>
      <c r="Q821" t="s">
        <v>11</v>
      </c>
    </row>
    <row r="822" spans="4:18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-0.40390734274709933</v>
      </c>
      <c r="H822" t="s">
        <v>20</v>
      </c>
      <c r="I822">
        <f>VLOOKUP(Table4[[#This Row],[Visitor]],'NHL Model'!$A$6:$B$38,2,FALSE)</f>
        <v>-4.774288798450349E-3</v>
      </c>
      <c r="J822">
        <f>($B$1+Table4[[#This Row],[Home Differential]])-Table4[[#This Row],[Away Differential]]</f>
        <v>-0.30316305877798577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0.52083901226422091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O822">
        <v>-0.30316305877798577</v>
      </c>
      <c r="P822" s="11">
        <v>0.52083901226422091</v>
      </c>
      <c r="Q822" t="s">
        <v>20</v>
      </c>
    </row>
    <row r="823" spans="4:18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-0.57094405545214133</v>
      </c>
      <c r="H823" t="s">
        <v>24</v>
      </c>
      <c r="I823">
        <f>VLOOKUP(Table4[[#This Row],[Visitor]],'NHL Model'!$A$6:$B$38,2,FALSE)</f>
        <v>-0.52712015292731806</v>
      </c>
      <c r="J823">
        <f>($B$1+Table4[[#This Row],[Home Differential]])-Table4[[#This Row],[Away Differential]]</f>
        <v>5.214609264583997E-2</v>
      </c>
      <c r="K823" t="str">
        <f>IF(Table4[[#This Row],[HomeIce Differential]]&gt;0,Table4[[#This Row],[Home]],Table4[[#This Row],[Visitor]])</f>
        <v>Seattle Kraken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0.50719918785247953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O823">
        <v>5.214609264583997E-2</v>
      </c>
      <c r="P823" s="11">
        <v>0.50719918785247953</v>
      </c>
      <c r="Q823" t="s">
        <v>32</v>
      </c>
    </row>
    <row r="824" spans="4:18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-0.32175529201986758</v>
      </c>
      <c r="H824" t="s">
        <v>12</v>
      </c>
      <c r="I824">
        <f>VLOOKUP(Table4[[#This Row],[Visitor]],'NHL Model'!$A$6:$B$38,2,FALSE)</f>
        <v>1.1751846443488465</v>
      </c>
      <c r="J824">
        <f>($B$1+Table4[[#This Row],[Home Differential]])-Table4[[#This Row],[Away Differential]]</f>
        <v>-1.400969941198051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0.66444455593251006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O824">
        <v>-1.400969941198051</v>
      </c>
      <c r="P824" s="11">
        <v>0.66444455593251006</v>
      </c>
      <c r="Q824" t="s">
        <v>12</v>
      </c>
    </row>
    <row r="825" spans="4:18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-1.2591310848703385</v>
      </c>
      <c r="H825" t="s">
        <v>14</v>
      </c>
      <c r="I825">
        <f>VLOOKUP(Table4[[#This Row],[Visitor]],'NHL Model'!$A$6:$B$38,2,FALSE)</f>
        <v>3.24300967767114E-5</v>
      </c>
      <c r="J825">
        <f>($B$1+Table4[[#This Row],[Home Differential]])-Table4[[#This Row],[Away Differential]]</f>
        <v>-1.163193519796452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0.6252440048483735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O825">
        <v>-1.163193519796452</v>
      </c>
      <c r="P825" s="11">
        <v>0.6252440048483735</v>
      </c>
      <c r="Q825" t="s">
        <v>14</v>
      </c>
    </row>
    <row r="826" spans="4:18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-0.42584667868780524</v>
      </c>
      <c r="H826" t="s">
        <v>13</v>
      </c>
      <c r="I826">
        <f>VLOOKUP(Table4[[#This Row],[Visitor]],'NHL Model'!$A$6:$B$38,2,FALSE)</f>
        <v>-0.43624947117902363</v>
      </c>
      <c r="J826">
        <f>($B$1+Table4[[#This Row],[Home Differential]])-Table4[[#This Row],[Away Differential]]</f>
        <v>0.10637278766188163</v>
      </c>
      <c r="K826" t="str">
        <f>IF(Table4[[#This Row],[HomeIce Differential]]&gt;0,Table4[[#This Row],[Home]],Table4[[#This Row],[Visitor]])</f>
        <v>Columbus Blue Jackets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0.52005603707887404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8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-0.20041140176017086</v>
      </c>
      <c r="H827" t="s">
        <v>31</v>
      </c>
      <c r="I827">
        <f>VLOOKUP(Table4[[#This Row],[Visitor]],'NHL Model'!$A$6:$B$38,2,FALSE)</f>
        <v>-0.38289376966531796</v>
      </c>
      <c r="J827">
        <f>($B$1+Table4[[#This Row],[Home Differential]])-Table4[[#This Row],[Away Differential]]</f>
        <v>0.27845236307581034</v>
      </c>
      <c r="K827" t="str">
        <f>IF(Table4[[#This Row],[HomeIce Differential]]&gt;0,Table4[[#This Row],[Home]],Table4[[#This Row],[Visitor]])</f>
        <v>Edmonton Oilers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0.56780543687854845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8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-0.6396663932228257</v>
      </c>
      <c r="H828" t="s">
        <v>21</v>
      </c>
      <c r="I828">
        <f>VLOOKUP(Table4[[#This Row],[Visitor]],'NHL Model'!$A$6:$B$38,2,FALSE)</f>
        <v>-5.5047914862176604E-2</v>
      </c>
      <c r="J828">
        <f>($B$1+Table4[[#This Row],[Home Differential]])-Table4[[#This Row],[Away Differential]]</f>
        <v>-0.48864848318998583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0.5087950053828002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8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-0.32182316569099201</v>
      </c>
      <c r="H829" t="s">
        <v>30</v>
      </c>
      <c r="I829">
        <f>VLOOKUP(Table4[[#This Row],[Visitor]],'NHL Model'!$A$6:$B$38,2,FALSE)</f>
        <v>-0.20908736804509698</v>
      </c>
      <c r="J829">
        <f>($B$1+Table4[[#This Row],[Home Differential]])-Table4[[#This Row],[Away Differential]]</f>
        <v>-1.6765802475231795E-2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0.48244341466659041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8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0.65340538721281671</v>
      </c>
      <c r="H830" t="s">
        <v>55</v>
      </c>
      <c r="I830">
        <f>VLOOKUP(Table4[[#This Row],[Visitor]],'NHL Model'!$A$6:$B$38,2,FALSE)</f>
        <v>0.12055191373383152</v>
      </c>
      <c r="J830">
        <f>($B$1+Table4[[#This Row],[Home Differential]])-Table4[[#This Row],[Away Differential]]</f>
        <v>0.62882346864964844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0.62507620562513377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8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-5.5047914862176604E-2</v>
      </c>
      <c r="H831" t="s">
        <v>29</v>
      </c>
      <c r="I831">
        <f>VLOOKUP(Table4[[#This Row],[Visitor]],'NHL Model'!$A$6:$B$38,2,FALSE)</f>
        <v>-0.74313650334688619</v>
      </c>
      <c r="J831">
        <f>($B$1+Table4[[#This Row],[Home Differential]])-Table4[[#This Row],[Away Differential]]</f>
        <v>0.78405858365537284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0.66119534662086998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8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-0.17319925920548884</v>
      </c>
      <c r="H832" t="s">
        <v>13</v>
      </c>
      <c r="I832">
        <f>VLOOKUP(Table4[[#This Row],[Visitor]],'NHL Model'!$A$6:$B$38,2,FALSE)</f>
        <v>-0.43624947117902363</v>
      </c>
      <c r="J832">
        <f>($B$1+Table4[[#This Row],[Home Differential]])-Table4[[#This Row],[Away Differential]]</f>
        <v>0.35902020714419802</v>
      </c>
      <c r="K832" t="str">
        <f>IF(Table4[[#This Row],[HomeIce Differential]]&gt;0,Table4[[#This Row],[Home]],Table4[[#This Row],[Visitor]])</f>
        <v>Detroit Red Wings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0.59764845846507086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-0.42375285621939396</v>
      </c>
      <c r="H833" t="s">
        <v>55</v>
      </c>
      <c r="I833">
        <f>VLOOKUP(Table4[[#This Row],[Visitor]],'NHL Model'!$A$6:$B$38,2,FALSE)</f>
        <v>0.12055191373383152</v>
      </c>
      <c r="J833">
        <f>($B$1+Table4[[#This Row],[Home Differential]])-Table4[[#This Row],[Away Differential]]</f>
        <v>-0.44833477478256223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0.50476939661410158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1.2879210938040288E-2</v>
      </c>
      <c r="H834" t="s">
        <v>10</v>
      </c>
      <c r="I834">
        <f>VLOOKUP(Table4[[#This Row],[Visitor]],'NHL Model'!$A$6:$B$38,2,FALSE)</f>
        <v>-0.70456324341534593</v>
      </c>
      <c r="J834">
        <f>($B$1+Table4[[#This Row],[Home Differential]])-Table4[[#This Row],[Away Differential]]</f>
        <v>0.81341244952404945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0.62122498323100506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-0.23645483545724041</v>
      </c>
      <c r="H835" t="s">
        <v>20</v>
      </c>
      <c r="I835">
        <f>VLOOKUP(Table4[[#This Row],[Visitor]],'NHL Model'!$A$6:$B$38,2,FALSE)</f>
        <v>-4.774288798450349E-3</v>
      </c>
      <c r="J835">
        <f>($B$1+Table4[[#This Row],[Home Differential]])-Table4[[#This Row],[Away Differential]]</f>
        <v>-0.1357105514881268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0.50411769566208742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-0.52712015292731806</v>
      </c>
      <c r="H836" t="s">
        <v>40</v>
      </c>
      <c r="I836">
        <f>VLOOKUP(Table4[[#This Row],[Visitor]],'NHL Model'!$A$6:$B$38,2,FALSE)</f>
        <v>-0.47391784202962389</v>
      </c>
      <c r="J836">
        <f>($B$1+Table4[[#This Row],[Home Differential]])-Table4[[#This Row],[Away Differential]]</f>
        <v>4.2767684272969064E-2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0.54427065560643129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-0.57094405545214133</v>
      </c>
      <c r="H837" t="s">
        <v>22</v>
      </c>
      <c r="I837">
        <f>VLOOKUP(Table4[[#This Row],[Visitor]],'NHL Model'!$A$6:$B$38,2,FALSE)</f>
        <v>-8.9159851516330005E-2</v>
      </c>
      <c r="J837">
        <f>($B$1+Table4[[#This Row],[Home Differential]])-Table4[[#This Row],[Away Differential]]</f>
        <v>-0.3858142087651481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0.49852627612912642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-1.2663626722629573</v>
      </c>
      <c r="H838" t="s">
        <v>39</v>
      </c>
      <c r="I838">
        <f>VLOOKUP(Table4[[#This Row],[Visitor]],'NHL Model'!$A$6:$B$38,2,FALSE)</f>
        <v>0.21259592260910548</v>
      </c>
      <c r="J838">
        <f>($B$1+Table4[[#This Row],[Home Differential]])-Table4[[#This Row],[Away Differential]]</f>
        <v>-1.3829885997013995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0.6361091563809359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-0.32175529201986758</v>
      </c>
      <c r="H839" t="s">
        <v>23</v>
      </c>
      <c r="I839">
        <f>VLOOKUP(Table4[[#This Row],[Visitor]],'NHL Model'!$A$6:$B$38,2,FALSE)</f>
        <v>2.7346770720058793E-2</v>
      </c>
      <c r="J839">
        <f>($B$1+Table4[[#This Row],[Home Differential]])-Table4[[#This Row],[Away Differential]]</f>
        <v>-0.25313206756926315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0.50068686244447125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-1.2591310848703385</v>
      </c>
      <c r="H840" t="s">
        <v>33</v>
      </c>
      <c r="I840">
        <f>VLOOKUP(Table4[[#This Row],[Visitor]],'NHL Model'!$A$6:$B$38,2,FALSE)</f>
        <v>-0.53461960928306718</v>
      </c>
      <c r="J840">
        <f>($B$1+Table4[[#This Row],[Home Differential]])-Table4[[#This Row],[Away Differential]]</f>
        <v>-0.62854148041660818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0.54353354085165295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-0.42584667868780524</v>
      </c>
      <c r="H841" t="s">
        <v>27</v>
      </c>
      <c r="I841">
        <f>VLOOKUP(Table4[[#This Row],[Visitor]],'NHL Model'!$A$6:$B$38,2,FALSE)</f>
        <v>-0.32182316569099201</v>
      </c>
      <c r="J841">
        <f>($B$1+Table4[[#This Row],[Home Differential]])-Table4[[#This Row],[Away Differential]]</f>
        <v>-8.0535178261499918E-3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0.47139243598069724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-0.20908736804509698</v>
      </c>
      <c r="H842" t="s">
        <v>15</v>
      </c>
      <c r="I842">
        <f>VLOOKUP(Table4[[#This Row],[Visitor]],'NHL Model'!$A$6:$B$38,2,FALSE)</f>
        <v>-0.6396663932228257</v>
      </c>
      <c r="J842">
        <f>($B$1+Table4[[#This Row],[Home Differential]])-Table4[[#This Row],[Away Differential]]</f>
        <v>0.52654902034839202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0.54962106206152417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-0.40390734274709933</v>
      </c>
      <c r="H843" t="s">
        <v>12</v>
      </c>
      <c r="I843">
        <f>VLOOKUP(Table4[[#This Row],[Visitor]],'NHL Model'!$A$6:$B$38,2,FALSE)</f>
        <v>1.1751846443488465</v>
      </c>
      <c r="J843">
        <f>($B$1+Table4[[#This Row],[Home Differential]])-Table4[[#This Row],[Away Differential]]</f>
        <v>-1.4831219919252825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0.67800180503114404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-5.5047914862176604E-2</v>
      </c>
      <c r="H844" t="s">
        <v>27</v>
      </c>
      <c r="I844">
        <f>VLOOKUP(Table4[[#This Row],[Visitor]],'NHL Model'!$A$6:$B$38,2,FALSE)</f>
        <v>-0.32182316569099201</v>
      </c>
      <c r="J844">
        <f>($B$1+Table4[[#This Row],[Home Differential]])-Table4[[#This Row],[Away Differential]]</f>
        <v>0.36274524599947866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0.60874176108815825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2.7346770720058793E-2</v>
      </c>
      <c r="H845" t="s">
        <v>13</v>
      </c>
      <c r="I845">
        <f>VLOOKUP(Table4[[#This Row],[Visitor]],'NHL Model'!$A$6:$B$38,2,FALSE)</f>
        <v>-0.43624947117902363</v>
      </c>
      <c r="J845">
        <f>($B$1+Table4[[#This Row],[Home Differential]])-Table4[[#This Row],[Away Differential]]</f>
        <v>0.55956623706974562</v>
      </c>
      <c r="K845" t="str">
        <f>IF(Table4[[#This Row],[HomeIce Differential]]&gt;0,Table4[[#This Row],[Home]],Table4[[#This Row],[Visitor]])</f>
        <v>Buffalo Sabres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0.60760078236796333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0.29527586190964761</v>
      </c>
      <c r="H846" t="s">
        <v>55</v>
      </c>
      <c r="I846">
        <f>VLOOKUP(Table4[[#This Row],[Visitor]],'NHL Model'!$A$6:$B$38,2,FALSE)</f>
        <v>0.12055191373383152</v>
      </c>
      <c r="J846">
        <f>($B$1+Table4[[#This Row],[Home Differential]])-Table4[[#This Row],[Away Differential]]</f>
        <v>0.27069394334647934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0.60993225822717811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-0.17319925920548884</v>
      </c>
      <c r="H847" t="s">
        <v>22</v>
      </c>
      <c r="I847">
        <f>VLOOKUP(Table4[[#This Row],[Visitor]],'NHL Model'!$A$6:$B$38,2,FALSE)</f>
        <v>-8.9159851516330005E-2</v>
      </c>
      <c r="J847">
        <f>($B$1+Table4[[#This Row],[Home Differential]])-Table4[[#This Row],[Away Differential]]</f>
        <v>1.1930587481504412E-2</v>
      </c>
      <c r="K847" t="str">
        <f>IF(Table4[[#This Row],[HomeIce Differential]]&gt;0,Table4[[#This Row],[Home]],Table4[[#This Row],[Visitor]])</f>
        <v>Detroit Red Wings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0.59290732983066896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-0.20041140176017086</v>
      </c>
      <c r="H848" t="s">
        <v>33</v>
      </c>
      <c r="I848">
        <f>VLOOKUP(Table4[[#This Row],[Visitor]],'NHL Model'!$A$6:$B$38,2,FALSE)</f>
        <v>-0.53461960928306718</v>
      </c>
      <c r="J848">
        <f>($B$1+Table4[[#This Row],[Home Differential]])-Table4[[#This Row],[Away Differential]]</f>
        <v>0.43017820269355955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0.56218710376999759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1.2879210938040288E-2</v>
      </c>
      <c r="H849" t="s">
        <v>16</v>
      </c>
      <c r="I849">
        <f>VLOOKUP(Table4[[#This Row],[Visitor]],'NHL Model'!$A$6:$B$38,2,FALSE)</f>
        <v>-0.79148902514100783</v>
      </c>
      <c r="J849">
        <f>($B$1+Table4[[#This Row],[Home Differential]])-Table4[[#This Row],[Away Differential]]</f>
        <v>0.90033823124971135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0.6299051370289217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-0.23645483545724041</v>
      </c>
      <c r="H850" t="s">
        <v>12</v>
      </c>
      <c r="I850">
        <f>VLOOKUP(Table4[[#This Row],[Visitor]],'NHL Model'!$A$6:$B$38,2,FALSE)</f>
        <v>1.1751846443488465</v>
      </c>
      <c r="J850">
        <f>($B$1+Table4[[#This Row],[Home Differential]])-Table4[[#This Row],[Away Differential]]</f>
        <v>-1.3156694846354235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0.66128048842901055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-0.52712015292731806</v>
      </c>
      <c r="H851" t="s">
        <v>29</v>
      </c>
      <c r="I851">
        <f>VLOOKUP(Table4[[#This Row],[Visitor]],'NHL Model'!$A$6:$B$38,2,FALSE)</f>
        <v>-0.74313650334688619</v>
      </c>
      <c r="J851">
        <f>($B$1+Table4[[#This Row],[Home Differential]])-Table4[[#This Row],[Away Differential]]</f>
        <v>0.31198634559023136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0.57115404208983633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-0.6396663932228257</v>
      </c>
      <c r="H852" t="s">
        <v>30</v>
      </c>
      <c r="I852">
        <f>VLOOKUP(Table4[[#This Row],[Visitor]],'NHL Model'!$A$6:$B$38,2,FALSE)</f>
        <v>-0.20908736804509698</v>
      </c>
      <c r="J852">
        <f>($B$1+Table4[[#This Row],[Home Differential]])-Table4[[#This Row],[Away Differential]]</f>
        <v>-0.33460903000706543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0.51418230782155483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3.24300967767114E-5</v>
      </c>
      <c r="H853" t="s">
        <v>10</v>
      </c>
      <c r="I853">
        <f>VLOOKUP(Table4[[#This Row],[Visitor]],'NHL Model'!$A$6:$B$38,2,FALSE)</f>
        <v>-0.70456324341534593</v>
      </c>
      <c r="J853">
        <f>($B$1+Table4[[#This Row],[Home Differential]])-Table4[[#This Row],[Away Differential]]</f>
        <v>0.80056566868278589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0.61994214134800385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-0.57094405545214133</v>
      </c>
      <c r="H854" t="s">
        <v>19</v>
      </c>
      <c r="I854">
        <f>VLOOKUP(Table4[[#This Row],[Visitor]],'NHL Model'!$A$6:$B$38,2,FALSE)</f>
        <v>-0.32175529201986758</v>
      </c>
      <c r="J854">
        <f>($B$1+Table4[[#This Row],[Home Differential]])-Table4[[#This Row],[Away Differential]]</f>
        <v>-0.15321876826161052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0.47529997713952693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-1.2663626722629573</v>
      </c>
      <c r="H855" t="s">
        <v>11</v>
      </c>
      <c r="I855">
        <f>VLOOKUP(Table4[[#This Row],[Visitor]],'NHL Model'!$A$6:$B$38,2,FALSE)</f>
        <v>-0.42375285621939396</v>
      </c>
      <c r="J855">
        <f>($B$1+Table4[[#This Row],[Home Differential]])-Table4[[#This Row],[Away Differential]]</f>
        <v>-0.74663982087290015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0.58596560412337373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0.65340538721281671</v>
      </c>
      <c r="H856" t="s">
        <v>40</v>
      </c>
      <c r="I856">
        <f>VLOOKUP(Table4[[#This Row],[Visitor]],'NHL Model'!$A$6:$B$38,2,FALSE)</f>
        <v>-0.47391784202962389</v>
      </c>
      <c r="J856">
        <f>($B$1+Table4[[#This Row],[Home Differential]])-Table4[[#This Row],[Away Differential]]</f>
        <v>1.2232932244131038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0.68443821314232844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-1.2591310848703385</v>
      </c>
      <c r="H857" t="s">
        <v>31</v>
      </c>
      <c r="I857">
        <f>VLOOKUP(Table4[[#This Row],[Visitor]],'NHL Model'!$A$6:$B$38,2,FALSE)</f>
        <v>-0.38289376966531796</v>
      </c>
      <c r="J857">
        <f>($B$1+Table4[[#This Row],[Home Differential]])-Table4[[#This Row],[Away Differential]]</f>
        <v>-0.78026732003435739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0.5379152077431022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-4.774288798450349E-3</v>
      </c>
      <c r="H858" t="s">
        <v>39</v>
      </c>
      <c r="I858">
        <f>VLOOKUP(Table4[[#This Row],[Visitor]],'NHL Model'!$A$6:$B$38,2,FALSE)</f>
        <v>0.21259592260910548</v>
      </c>
      <c r="J858">
        <f>($B$1+Table4[[#This Row],[Home Differential]])-Table4[[#This Row],[Away Differential]]</f>
        <v>-0.12140021623689258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0.51013063791678548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-0.70456324341534593</v>
      </c>
      <c r="H859" t="s">
        <v>28</v>
      </c>
      <c r="I859">
        <f>VLOOKUP(Table4[[#This Row],[Visitor]],'NHL Model'!$A$6:$B$38,2,FALSE)</f>
        <v>-0.42584667868780524</v>
      </c>
      <c r="J859">
        <f>($B$1+Table4[[#This Row],[Home Differential]])-Table4[[#This Row],[Away Differential]]</f>
        <v>-0.1827465695568774</v>
      </c>
      <c r="K859" t="str">
        <f>IF(Table4[[#This Row],[HomeIce Differential]]&gt;0,Table4[[#This Row],[Home]],Table4[[#This Row],[Visitor]])</f>
        <v>Columbus Blue Jackets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0.4782485368357301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2.7346770720058793E-2</v>
      </c>
      <c r="H860" t="s">
        <v>18</v>
      </c>
      <c r="I860">
        <f>VLOOKUP(Table4[[#This Row],[Visitor]],'NHL Model'!$A$6:$B$38,2,FALSE)</f>
        <v>-0.23645483545724041</v>
      </c>
      <c r="J860">
        <f>($B$1+Table4[[#This Row],[Home Differential]])-Table4[[#This Row],[Away Differential]]</f>
        <v>0.35977160134796249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0.57900667762683755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-0.79148902514100783</v>
      </c>
      <c r="H861" t="s">
        <v>33</v>
      </c>
      <c r="I861">
        <f>VLOOKUP(Table4[[#This Row],[Visitor]],'NHL Model'!$A$6:$B$38,2,FALSE)</f>
        <v>-0.53461960928306718</v>
      </c>
      <c r="J861">
        <f>($B$1+Table4[[#This Row],[Home Differential]])-Table4[[#This Row],[Away Differential]]</f>
        <v>-0.16089942068727736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0.49683617534925234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-0.17319925920548884</v>
      </c>
      <c r="H862" t="s">
        <v>12</v>
      </c>
      <c r="I862">
        <f>VLOOKUP(Table4[[#This Row],[Visitor]],'NHL Model'!$A$6:$B$38,2,FALSE)</f>
        <v>1.1751846443488465</v>
      </c>
      <c r="J862">
        <f>($B$1+Table4[[#This Row],[Home Differential]])-Table4[[#This Row],[Away Differential]]</f>
        <v>-1.2524139083836721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0.60233510954418723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-0.20041140176017086</v>
      </c>
      <c r="H863" t="s">
        <v>34</v>
      </c>
      <c r="I863">
        <f>VLOOKUP(Table4[[#This Row],[Visitor]],'NHL Model'!$A$6:$B$38,2,FALSE)</f>
        <v>1.2879210938040288E-2</v>
      </c>
      <c r="J863">
        <f>($B$1+Table4[[#This Row],[Home Differential]])-Table4[[#This Row],[Away Differential]]</f>
        <v>-0.1173206175275479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0.52824421863864957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-0.42375285621939396</v>
      </c>
      <c r="H864" t="s">
        <v>40</v>
      </c>
      <c r="I864">
        <f>VLOOKUP(Table4[[#This Row],[Visitor]],'NHL Model'!$A$6:$B$38,2,FALSE)</f>
        <v>-0.47391784202962389</v>
      </c>
      <c r="J864">
        <f>($B$1+Table4[[#This Row],[Home Differential]])-Table4[[#This Row],[Away Differential]]</f>
        <v>0.14613498098089317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0.55459261090309309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-0.20908736804509698</v>
      </c>
      <c r="H865" t="s">
        <v>29</v>
      </c>
      <c r="I865">
        <f>VLOOKUP(Table4[[#This Row],[Visitor]],'NHL Model'!$A$6:$B$38,2,FALSE)</f>
        <v>-0.74313650334688619</v>
      </c>
      <c r="J865">
        <f>($B$1+Table4[[#This Row],[Home Differential]])-Table4[[#This Row],[Away Differential]]</f>
        <v>0.6300191304724525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0.61193147172938622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-0.40390734274709933</v>
      </c>
      <c r="H866" t="s">
        <v>24</v>
      </c>
      <c r="I866">
        <f>VLOOKUP(Table4[[#This Row],[Visitor]],'NHL Model'!$A$6:$B$38,2,FALSE)</f>
        <v>-0.52712015292731806</v>
      </c>
      <c r="J866">
        <f>($B$1+Table4[[#This Row],[Home Differential]])-Table4[[#This Row],[Away Differential]]</f>
        <v>0.21918280535088197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0.52387898442599889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-0.32182316569099201</v>
      </c>
      <c r="H867" t="s">
        <v>13</v>
      </c>
      <c r="I867">
        <f>VLOOKUP(Table4[[#This Row],[Visitor]],'NHL Model'!$A$6:$B$38,2,FALSE)</f>
        <v>-0.43624947117902363</v>
      </c>
      <c r="J867">
        <f>($B$1+Table4[[#This Row],[Home Differential]])-Table4[[#This Row],[Away Differential]]</f>
        <v>0.21039630065869486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0.53044352021088204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3.24300967767114E-5</v>
      </c>
      <c r="H868" t="s">
        <v>15</v>
      </c>
      <c r="I868">
        <f>VLOOKUP(Table4[[#This Row],[Visitor]],'NHL Model'!$A$6:$B$38,2,FALSE)</f>
        <v>-0.6396663932228257</v>
      </c>
      <c r="J868">
        <f>($B$1+Table4[[#This Row],[Home Differential]])-Table4[[#This Row],[Away Differential]]</f>
        <v>0.73566881849026566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0.5614135393187174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-1.2663626722629573</v>
      </c>
      <c r="H869" t="s">
        <v>28</v>
      </c>
      <c r="I869">
        <f>VLOOKUP(Table4[[#This Row],[Visitor]],'NHL Model'!$A$6:$B$38,2,FALSE)</f>
        <v>-0.42584667868780524</v>
      </c>
      <c r="J869">
        <f>($B$1+Table4[[#This Row],[Home Differential]])-Table4[[#This Row],[Away Differential]]</f>
        <v>-0.74454599840448887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0.53434818125847783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0.12055191373383152</v>
      </c>
      <c r="H870" t="s">
        <v>39</v>
      </c>
      <c r="I870">
        <f>VLOOKUP(Table4[[#This Row],[Visitor]],'NHL Model'!$A$6:$B$38,2,FALSE)</f>
        <v>0.21259592260910548</v>
      </c>
      <c r="J870">
        <f>($B$1+Table4[[#This Row],[Home Differential]])-Table4[[#This Row],[Away Differential]]</f>
        <v>3.9259862953892888E-3</v>
      </c>
      <c r="K870" t="str">
        <f>IF(Table4[[#This Row],[HomeIce Differential]]&gt;0,Table4[[#This Row],[Home]],Table4[[#This Row],[Visitor]])</f>
        <v>Utah Mammoth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0.53885357594657424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-1.2591310848703385</v>
      </c>
      <c r="H871" t="s">
        <v>19</v>
      </c>
      <c r="I871">
        <f>VLOOKUP(Table4[[#This Row],[Visitor]],'NHL Model'!$A$6:$B$38,2,FALSE)</f>
        <v>-0.32175529201986758</v>
      </c>
      <c r="J871">
        <f>($B$1+Table4[[#This Row],[Home Differential]])-Table4[[#This Row],[Away Differential]]</f>
        <v>-0.84140579767980772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0.54402031693392727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-4.774288798450349E-3</v>
      </c>
      <c r="H872" t="s">
        <v>32</v>
      </c>
      <c r="I872">
        <f>VLOOKUP(Table4[[#This Row],[Visitor]],'NHL Model'!$A$6:$B$38,2,FALSE)</f>
        <v>-0.57094405545214133</v>
      </c>
      <c r="J872">
        <f>($B$1+Table4[[#This Row],[Home Differential]])-Table4[[#This Row],[Away Differential]]</f>
        <v>0.66213976182435419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0.60611933599274803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-8.9159851516330005E-2</v>
      </c>
      <c r="H873" t="s">
        <v>25</v>
      </c>
      <c r="I873">
        <f>VLOOKUP(Table4[[#This Row],[Visitor]],'NHL Model'!$A$6:$B$38,2,FALSE)</f>
        <v>0.29527586190964761</v>
      </c>
      <c r="J873">
        <f>($B$1+Table4[[#This Row],[Home Differential]])-Table4[[#This Row],[Away Differential]]</f>
        <v>-0.28846571825531436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0.54809317500716526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-0.38289376966531796</v>
      </c>
      <c r="H874" t="s">
        <v>20</v>
      </c>
      <c r="I874">
        <f>VLOOKUP(Table4[[#This Row],[Visitor]],'NHL Model'!$A$6:$B$38,2,FALSE)</f>
        <v>-4.774288798450349E-3</v>
      </c>
      <c r="J874">
        <f>($B$1+Table4[[#This Row],[Home Differential]])-Table4[[#This Row],[Away Differential]]</f>
        <v>-0.28214948569620435</v>
      </c>
      <c r="K874" t="str">
        <f>IF(Table4[[#This Row],[HomeIce Differential]]&gt;0,Table4[[#This Row],[Home]],Table4[[#This Row],[Visitor]])</f>
        <v>Vegas Golden Knights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0.48232309232348153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0.29527586190964761</v>
      </c>
      <c r="H875" t="s">
        <v>13</v>
      </c>
      <c r="I875">
        <f>VLOOKUP(Table4[[#This Row],[Visitor]],'NHL Model'!$A$6:$B$38,2,FALSE)</f>
        <v>-0.43624947117902363</v>
      </c>
      <c r="J875">
        <f>($B$1+Table4[[#This Row],[Home Differential]])-Table4[[#This Row],[Away Differential]]</f>
        <v>0.82749532825933447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0.63545681105245588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0.65340538721281671</v>
      </c>
      <c r="H876" t="s">
        <v>21</v>
      </c>
      <c r="I876">
        <f>VLOOKUP(Table4[[#This Row],[Visitor]],'NHL Model'!$A$6:$B$38,2,FALSE)</f>
        <v>-5.5047914862176604E-2</v>
      </c>
      <c r="J876">
        <f>($B$1+Table4[[#This Row],[Home Differential]])-Table4[[#This Row],[Away Differential]]</f>
        <v>0.80442329724565664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0.64261108985443693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-0.79148902514100783</v>
      </c>
      <c r="H877" t="s">
        <v>19</v>
      </c>
      <c r="I877">
        <f>VLOOKUP(Table4[[#This Row],[Visitor]],'NHL Model'!$A$6:$B$38,2,FALSE)</f>
        <v>-0.32175529201986758</v>
      </c>
      <c r="J877">
        <f>($B$1+Table4[[#This Row],[Home Differential]])-Table4[[#This Row],[Away Differential]]</f>
        <v>-0.37376373795047696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0.49732295143152672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-0.70456324341534593</v>
      </c>
      <c r="H878" t="s">
        <v>33</v>
      </c>
      <c r="I878">
        <f>VLOOKUP(Table4[[#This Row],[Visitor]],'NHL Model'!$A$6:$B$38,2,FALSE)</f>
        <v>-0.53461960928306718</v>
      </c>
      <c r="J878">
        <f>($B$1+Table4[[#This Row],[Home Differential]])-Table4[[#This Row],[Away Differential]]</f>
        <v>-7.3973638961615462E-2</v>
      </c>
      <c r="K878" t="str">
        <f>IF(Table4[[#This Row],[HomeIce Differential]]&gt;0,Table4[[#This Row],[Home]],Table4[[#This Row],[Visitor]])</f>
        <v>San Jose Sharks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0.48815602155133564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1.1751846443488465</v>
      </c>
      <c r="H879" t="s">
        <v>26</v>
      </c>
      <c r="I879">
        <f>VLOOKUP(Table4[[#This Row],[Visitor]],'NHL Model'!$A$6:$B$38,2,FALSE)</f>
        <v>-0.17319925920548884</v>
      </c>
      <c r="J879">
        <f>($B$1+Table4[[#This Row],[Home Differential]])-Table4[[#This Row],[Away Differential]]</f>
        <v>1.4443538987249984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0.73246424127996379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0.21259592260910548</v>
      </c>
      <c r="H880" t="s">
        <v>40</v>
      </c>
      <c r="I880">
        <f>VLOOKUP(Table4[[#This Row],[Visitor]],'NHL Model'!$A$6:$B$38,2,FALSE)</f>
        <v>-0.47391784202962389</v>
      </c>
      <c r="J880">
        <f>($B$1+Table4[[#This Row],[Home Differential]])-Table4[[#This Row],[Away Differential]]</f>
        <v>0.78248375980939255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0.63724196623291984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-0.42375285621939396</v>
      </c>
      <c r="H881" t="s">
        <v>23</v>
      </c>
      <c r="I881">
        <f>VLOOKUP(Table4[[#This Row],[Visitor]],'NHL Model'!$A$6:$B$38,2,FALSE)</f>
        <v>2.7346770720058793E-2</v>
      </c>
      <c r="J881">
        <f>($B$1+Table4[[#This Row],[Home Differential]])-Table4[[#This Row],[Away Differential]]</f>
        <v>-0.35512963176878953</v>
      </c>
      <c r="K881" t="str">
        <f>IF(Table4[[#This Row],[HomeIce Differential]]&gt;0,Table4[[#This Row],[Home]],Table4[[#This Row],[Visitor]])</f>
        <v>Buffalo Sabres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0.5162314349709628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1.2879210938040288E-2</v>
      </c>
      <c r="H882" t="s">
        <v>18</v>
      </c>
      <c r="I882">
        <f>VLOOKUP(Table4[[#This Row],[Visitor]],'NHL Model'!$A$6:$B$38,2,FALSE)</f>
        <v>-0.23645483545724041</v>
      </c>
      <c r="J882">
        <f>($B$1+Table4[[#This Row],[Home Differential]])-Table4[[#This Row],[Away Differential]]</f>
        <v>0.34530404156594396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0.53519431632303804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-0.74313650334688619</v>
      </c>
      <c r="H883" t="s">
        <v>35</v>
      </c>
      <c r="I883">
        <f>VLOOKUP(Table4[[#This Row],[Visitor]],'NHL Model'!$A$6:$B$38,2,FALSE)</f>
        <v>-1.2663626722629573</v>
      </c>
      <c r="J883">
        <f>($B$1+Table4[[#This Row],[Home Differential]])-Table4[[#This Row],[Away Differential]]</f>
        <v>0.61919616408673439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0.60183111418331037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3.24300967767114E-5</v>
      </c>
      <c r="H884" t="s">
        <v>36</v>
      </c>
      <c r="I884">
        <f>VLOOKUP(Table4[[#This Row],[Visitor]],'NHL Model'!$A$6:$B$38,2,FALSE)</f>
        <v>-0.40390734274709933</v>
      </c>
      <c r="J884">
        <f>($B$1+Table4[[#This Row],[Home Differential]])-Table4[[#This Row],[Away Differential]]</f>
        <v>0.49990976801453929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0.58909003119284375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0.12055191373383152</v>
      </c>
      <c r="H885" t="s">
        <v>38</v>
      </c>
      <c r="I885">
        <f>VLOOKUP(Table4[[#This Row],[Visitor]],'NHL Model'!$A$6:$B$38,2,FALSE)</f>
        <v>-1.2591310848703385</v>
      </c>
      <c r="J885">
        <f>($B$1+Table4[[#This Row],[Home Differential]])-Table4[[#This Row],[Away Differential]]</f>
        <v>1.4756529937748333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0.72339124942092659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-8.9159851516330005E-2</v>
      </c>
      <c r="H886" t="s">
        <v>30</v>
      </c>
      <c r="I886">
        <f>VLOOKUP(Table4[[#This Row],[Visitor]],'NHL Model'!$A$6:$B$38,2,FALSE)</f>
        <v>-0.20908736804509698</v>
      </c>
      <c r="J886">
        <f>($B$1+Table4[[#This Row],[Home Differential]])-Table4[[#This Row],[Away Differential]]</f>
        <v>0.21589751169943022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0.54078966198888101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-0.38289376966531796</v>
      </c>
      <c r="H887" t="s">
        <v>32</v>
      </c>
      <c r="I887">
        <f>VLOOKUP(Table4[[#This Row],[Visitor]],'NHL Model'!$A$6:$B$38,2,FALSE)</f>
        <v>-0.57094405545214133</v>
      </c>
      <c r="J887">
        <f>($B$1+Table4[[#This Row],[Home Differential]])-Table4[[#This Row],[Away Differential]]</f>
        <v>0.2840202809574866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0.60439829919900567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0.29527586190964761</v>
      </c>
      <c r="H888" t="s">
        <v>36</v>
      </c>
      <c r="I888">
        <f>VLOOKUP(Table4[[#This Row],[Visitor]],'NHL Model'!$A$6:$B$38,2,FALSE)</f>
        <v>-0.40390734274709933</v>
      </c>
      <c r="J888">
        <f>($B$1+Table4[[#This Row],[Home Differential]])-Table4[[#This Row],[Away Differential]]</f>
        <v>0.79515319982741017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0.66149122030997043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-0.20041140176017086</v>
      </c>
      <c r="H889" t="s">
        <v>19</v>
      </c>
      <c r="I889">
        <f>VLOOKUP(Table4[[#This Row],[Visitor]],'NHL Model'!$A$6:$B$38,2,FALSE)</f>
        <v>-0.32175529201986758</v>
      </c>
      <c r="J889">
        <f>($B$1+Table4[[#This Row],[Home Differential]])-Table4[[#This Row],[Away Differential]]</f>
        <v>0.21731388543035995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0.56170032768772327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-0.52712015292731806</v>
      </c>
      <c r="H890" t="s">
        <v>28</v>
      </c>
      <c r="I890">
        <f>VLOOKUP(Table4[[#This Row],[Visitor]],'NHL Model'!$A$6:$B$38,2,FALSE)</f>
        <v>-0.42584667868780524</v>
      </c>
      <c r="J890">
        <f>($B$1+Table4[[#This Row],[Home Differential]])-Table4[[#This Row],[Away Differential]]</f>
        <v>-5.3034790688495925E-3</v>
      </c>
      <c r="K890" t="str">
        <f>IF(Table4[[#This Row],[HomeIce Differential]]&gt;0,Table4[[#This Row],[Home]],Table4[[#This Row],[Visitor]])</f>
        <v>Columbus Blue Jackets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0.46052958987618814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-0.20908736804509698</v>
      </c>
      <c r="H891" t="s">
        <v>14</v>
      </c>
      <c r="I891">
        <f>VLOOKUP(Table4[[#This Row],[Visitor]],'NHL Model'!$A$6:$B$38,2,FALSE)</f>
        <v>3.24300967767114E-5</v>
      </c>
      <c r="J891">
        <f>($B$1+Table4[[#This Row],[Home Differential]])-Table4[[#This Row],[Away Differential]]</f>
        <v>-0.11314980297121044</v>
      </c>
      <c r="K891" t="str">
        <f>IF(Table4[[#This Row],[HomeIce Differential]]&gt;0,Table4[[#This Row],[Home]],Table4[[#This Row],[Visitor]])</f>
        <v>Pittsburgh Penguins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0.5112988077011924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-0.32182316569099201</v>
      </c>
      <c r="H892" t="s">
        <v>22</v>
      </c>
      <c r="I892">
        <f>VLOOKUP(Table4[[#This Row],[Visitor]],'NHL Model'!$A$6:$B$38,2,FALSE)</f>
        <v>-8.9159851516330005E-2</v>
      </c>
      <c r="J892">
        <f>($B$1+Table4[[#This Row],[Home Differential]])-Table4[[#This Row],[Away Differential]]</f>
        <v>-0.13669331900399878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0.47364979421004294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0.65340538721281671</v>
      </c>
      <c r="H893" t="s">
        <v>23</v>
      </c>
      <c r="I893">
        <f>VLOOKUP(Table4[[#This Row],[Visitor]],'NHL Model'!$A$6:$B$38,2,FALSE)</f>
        <v>2.7346770720058793E-2</v>
      </c>
      <c r="J893">
        <f>($B$1+Table4[[#This Row],[Home Differential]])-Table4[[#This Row],[Away Differential]]</f>
        <v>0.72202861166342125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0.61376632767994865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-0.42584667868780524</v>
      </c>
      <c r="H894" t="s">
        <v>10</v>
      </c>
      <c r="I894">
        <f>VLOOKUP(Table4[[#This Row],[Visitor]],'NHL Model'!$A$6:$B$38,2,FALSE)</f>
        <v>-0.70456324341534593</v>
      </c>
      <c r="J894">
        <f>($B$1+Table4[[#This Row],[Home Differential]])-Table4[[#This Row],[Away Differential]]</f>
        <v>0.37468655989820393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0.57741510172658694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-0.79148902514100783</v>
      </c>
      <c r="H895" t="s">
        <v>17</v>
      </c>
      <c r="I895">
        <f>VLOOKUP(Table4[[#This Row],[Visitor]],'NHL Model'!$A$6:$B$38,2,FALSE)</f>
        <v>-0.20041140176017086</v>
      </c>
      <c r="J895">
        <f>($B$1+Table4[[#This Row],[Home Differential]])-Table4[[#This Row],[Away Differential]]</f>
        <v>-0.49510762821017368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0.51174440634665219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1.1751846443488465</v>
      </c>
      <c r="H896" t="s">
        <v>33</v>
      </c>
      <c r="I896">
        <f>VLOOKUP(Table4[[#This Row],[Visitor]],'NHL Model'!$A$6:$B$38,2,FALSE)</f>
        <v>-0.53461960928306718</v>
      </c>
      <c r="J896">
        <f>($B$1+Table4[[#This Row],[Home Differential]])-Table4[[#This Row],[Away Differential]]</f>
        <v>1.8057742488025768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0.78637993011790697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0.21259592260910548</v>
      </c>
      <c r="H897" t="s">
        <v>35</v>
      </c>
      <c r="I897">
        <f>VLOOKUP(Table4[[#This Row],[Visitor]],'NHL Model'!$A$6:$B$38,2,FALSE)</f>
        <v>-1.2663626722629573</v>
      </c>
      <c r="J897">
        <f>($B$1+Table4[[#This Row],[Home Differential]])-Table4[[#This Row],[Away Differential]]</f>
        <v>1.5749285900427261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0.71637318445420683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-0.42375285621939396</v>
      </c>
      <c r="H898" t="s">
        <v>21</v>
      </c>
      <c r="I898">
        <f>VLOOKUP(Table4[[#This Row],[Visitor]],'NHL Model'!$A$6:$B$38,2,FALSE)</f>
        <v>-5.5047914862176604E-2</v>
      </c>
      <c r="J898">
        <f>($B$1+Table4[[#This Row],[Home Differential]])-Table4[[#This Row],[Away Differential]]</f>
        <v>-0.27273494618655414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0.48723451238479842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-0.43624947117902363</v>
      </c>
      <c r="H899" t="s">
        <v>32</v>
      </c>
      <c r="I899">
        <f>VLOOKUP(Table4[[#This Row],[Visitor]],'NHL Model'!$A$6:$B$38,2,FALSE)</f>
        <v>-0.57094405545214133</v>
      </c>
      <c r="J899">
        <f>($B$1+Table4[[#This Row],[Home Differential]])-Table4[[#This Row],[Away Differential]]</f>
        <v>0.23066457944378094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0.56303348886320925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-0.74313650334688619</v>
      </c>
      <c r="H900" t="s">
        <v>34</v>
      </c>
      <c r="I900">
        <f>VLOOKUP(Table4[[#This Row],[Visitor]],'NHL Model'!$A$6:$B$38,2,FALSE)</f>
        <v>1.2879210938040288E-2</v>
      </c>
      <c r="J900">
        <f>($B$1+Table4[[#This Row],[Home Differential]])-Table4[[#This Row],[Away Differential]]</f>
        <v>-0.66004571911426324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0.58243915664484869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0.12055191373383152</v>
      </c>
      <c r="H901" t="s">
        <v>26</v>
      </c>
      <c r="I901">
        <f>VLOOKUP(Table4[[#This Row],[Visitor]],'NHL Model'!$A$6:$B$38,2,FALSE)</f>
        <v>-0.17319925920548884</v>
      </c>
      <c r="J901">
        <f>($B$1+Table4[[#This Row],[Home Differential]])-Table4[[#This Row],[Away Differential]]</f>
        <v>0.38972116810998358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0.57610649628327293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-4.774288798450349E-3</v>
      </c>
      <c r="H902" t="s">
        <v>38</v>
      </c>
      <c r="I902">
        <f>VLOOKUP(Table4[[#This Row],[Visitor]],'NHL Model'!$A$6:$B$38,2,FALSE)</f>
        <v>-1.2591310848703385</v>
      </c>
      <c r="J902">
        <f>($B$1+Table4[[#This Row],[Home Differential]])-Table4[[#This Row],[Away Differential]]</f>
        <v>1.3503267912425514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0.67483967578714843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-0.47391784202962389</v>
      </c>
      <c r="H903" t="s">
        <v>18</v>
      </c>
      <c r="I903">
        <f>VLOOKUP(Table4[[#This Row],[Visitor]],'NHL Model'!$A$6:$B$38,2,FALSE)</f>
        <v>-0.23645483545724041</v>
      </c>
      <c r="J903">
        <f>($B$1+Table4[[#This Row],[Home Differential]])-Table4[[#This Row],[Away Differential]]</f>
        <v>-0.14149301140172024</v>
      </c>
      <c r="K903" t="str">
        <f>IF(Table4[[#This Row],[HomeIce Differential]]&gt;0,Table4[[#This Row],[Home]],Table4[[#This Row],[Visitor]])</f>
        <v>Montreal Canadiens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0.51341581066399944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2.7346770720058793E-2</v>
      </c>
      <c r="H904" t="s">
        <v>14</v>
      </c>
      <c r="I904">
        <f>VLOOKUP(Table4[[#This Row],[Visitor]],'NHL Model'!$A$6:$B$38,2,FALSE)</f>
        <v>3.24300967767114E-5</v>
      </c>
      <c r="J904">
        <f>($B$1+Table4[[#This Row],[Home Differential]])-Table4[[#This Row],[Away Differential]]</f>
        <v>0.12328433579394533</v>
      </c>
      <c r="K904" t="str">
        <f>IF(Table4[[#This Row],[HomeIce Differential]]&gt;0,Table4[[#This Row],[Home]],Table4[[#This Row],[Visitor]])</f>
        <v>Buffalo Sabres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0.54564414577955056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-0.52712015292731806</v>
      </c>
      <c r="H905" t="s">
        <v>30</v>
      </c>
      <c r="I905">
        <f>VLOOKUP(Table4[[#This Row],[Visitor]],'NHL Model'!$A$6:$B$38,2,FALSE)</f>
        <v>-0.20908736804509698</v>
      </c>
      <c r="J905">
        <f>($B$1+Table4[[#This Row],[Home Differential]])-Table4[[#This Row],[Away Differential]]</f>
        <v>-0.22206278971155785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0.50294377012021496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-0.6396663932228257</v>
      </c>
      <c r="H906" t="s">
        <v>25</v>
      </c>
      <c r="I906">
        <f>VLOOKUP(Table4[[#This Row],[Visitor]],'NHL Model'!$A$6:$B$38,2,FALSE)</f>
        <v>0.29527586190964761</v>
      </c>
      <c r="J906">
        <f>($B$1+Table4[[#This Row],[Home Differential]])-Table4[[#This Row],[Away Differential]]</f>
        <v>-0.83897225996181002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0.6030651448176011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-0.32182316569099201</v>
      </c>
      <c r="H907" t="s">
        <v>36</v>
      </c>
      <c r="I907">
        <f>VLOOKUP(Table4[[#This Row],[Visitor]],'NHL Model'!$A$6:$B$38,2,FALSE)</f>
        <v>-0.40390734274709933</v>
      </c>
      <c r="J907">
        <f>($B$1+Table4[[#This Row],[Home Differential]])-Table4[[#This Row],[Away Differential]]</f>
        <v>0.17805417222677056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0.55695047470343495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0.65340538721281671</v>
      </c>
      <c r="H908" t="s">
        <v>11</v>
      </c>
      <c r="I908">
        <f>VLOOKUP(Table4[[#This Row],[Visitor]],'NHL Model'!$A$6:$B$38,2,FALSE)</f>
        <v>-0.42375285621939396</v>
      </c>
      <c r="J908">
        <f>($B$1+Table4[[#This Row],[Home Differential]])-Table4[[#This Row],[Away Differential]]</f>
        <v>1.1731282386028741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0.62825625877155356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-4.774288798450349E-3</v>
      </c>
      <c r="H909" t="s">
        <v>13</v>
      </c>
      <c r="I909">
        <f>VLOOKUP(Table4[[#This Row],[Visitor]],'NHL Model'!$A$6:$B$38,2,FALSE)</f>
        <v>-0.43624947117902363</v>
      </c>
      <c r="J909">
        <f>($B$1+Table4[[#This Row],[Home Differential]])-Table4[[#This Row],[Away Differential]]</f>
        <v>0.52744517755123654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0.56210309183911822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-8.9159851516330005E-2</v>
      </c>
      <c r="H910" t="s">
        <v>29</v>
      </c>
      <c r="I910">
        <f>VLOOKUP(Table4[[#This Row],[Visitor]],'NHL Model'!$A$6:$B$38,2,FALSE)</f>
        <v>-0.74313650334688619</v>
      </c>
      <c r="J910">
        <f>($B$1+Table4[[#This Row],[Home Differential]])-Table4[[#This Row],[Away Differential]]</f>
        <v>0.74994664700121949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0.61488747419893219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-0.38289376966531796</v>
      </c>
      <c r="H911" t="s">
        <v>17</v>
      </c>
      <c r="I911">
        <f>VLOOKUP(Table4[[#This Row],[Visitor]],'NHL Model'!$A$6:$B$38,2,FALSE)</f>
        <v>-0.20041140176017086</v>
      </c>
      <c r="J911">
        <f>($B$1+Table4[[#This Row],[Home Differential]])-Table4[[#This Row],[Away Differential]]</f>
        <v>-8.6512372734483867E-2</v>
      </c>
      <c r="K911" t="str">
        <f>IF(Table4[[#This Row],[HomeIce Differential]]&gt;0,Table4[[#This Row],[Home]],Table4[[#This Row],[Visitor]])</f>
        <v>Edmonton Oilers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0.43486838018441287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0.21259592260910548</v>
      </c>
      <c r="H912" t="s">
        <v>32</v>
      </c>
      <c r="I912">
        <f>VLOOKUP(Table4[[#This Row],[Visitor]],'NHL Model'!$A$6:$B$38,2,FALSE)</f>
        <v>-0.57094405545214133</v>
      </c>
      <c r="J912">
        <f>($B$1+Table4[[#This Row],[Home Differential]])-Table4[[#This Row],[Away Differential]]</f>
        <v>0.87950997323191005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0.64693071953737602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-0.43624947117902363</v>
      </c>
      <c r="H913" t="s">
        <v>20</v>
      </c>
      <c r="I913">
        <f>VLOOKUP(Table4[[#This Row],[Visitor]],'NHL Model'!$A$6:$B$38,2,FALSE)</f>
        <v>-4.774288798450349E-3</v>
      </c>
      <c r="J913">
        <f>($B$1+Table4[[#This Row],[Home Differential]])-Table4[[#This Row],[Away Differential]]</f>
        <v>-0.33550518720991007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0.52406860241995945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-0.52712015292731806</v>
      </c>
      <c r="H914" t="s">
        <v>23</v>
      </c>
      <c r="I914">
        <f>VLOOKUP(Table4[[#This Row],[Visitor]],'NHL Model'!$A$6:$B$38,2,FALSE)</f>
        <v>2.7346770720058793E-2</v>
      </c>
      <c r="J914">
        <f>($B$1+Table4[[#This Row],[Home Differential]])-Table4[[#This Row],[Away Differential]]</f>
        <v>-0.45849692847671364</v>
      </c>
      <c r="K914" t="str">
        <f>IF(Table4[[#This Row],[HomeIce Differential]]&gt;0,Table4[[#This Row],[Home]],Table4[[#This Row],[Visitor]])</f>
        <v>Buffalo Sabres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0.5265533902676246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0.65340538721281671</v>
      </c>
      <c r="H915" t="s">
        <v>19</v>
      </c>
      <c r="I915">
        <f>VLOOKUP(Table4[[#This Row],[Visitor]],'NHL Model'!$A$6:$B$38,2,FALSE)</f>
        <v>-0.32175529201986758</v>
      </c>
      <c r="J915">
        <f>($B$1+Table4[[#This Row],[Home Differential]])-Table4[[#This Row],[Away Differential]]</f>
        <v>1.0711306744033475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0.66924370686182921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0.12055191373383152</v>
      </c>
      <c r="H916" t="s">
        <v>12</v>
      </c>
      <c r="I916">
        <f>VLOOKUP(Table4[[#This Row],[Visitor]],'NHL Model'!$A$6:$B$38,2,FALSE)</f>
        <v>1.1751846443488465</v>
      </c>
      <c r="J916">
        <f>($B$1+Table4[[#This Row],[Home Differential]])-Table4[[#This Row],[Away Differential]]</f>
        <v>-0.95866273544435177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0.58912132156282504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-1.2591310848703385</v>
      </c>
      <c r="H917" t="s">
        <v>40</v>
      </c>
      <c r="I917">
        <f>VLOOKUP(Table4[[#This Row],[Visitor]],'NHL Model'!$A$6:$B$38,2,FALSE)</f>
        <v>-0.47391784202962389</v>
      </c>
      <c r="J917">
        <f>($B$1+Table4[[#This Row],[Home Differential]])-Table4[[#This Row],[Away Differential]]</f>
        <v>-0.68924324767005141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0.52882581065342815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-8.9159851516330005E-2</v>
      </c>
      <c r="H918" t="s">
        <v>27</v>
      </c>
      <c r="I918">
        <f>VLOOKUP(Table4[[#This Row],[Visitor]],'NHL Model'!$A$6:$B$38,2,FALSE)</f>
        <v>-0.32182316569099201</v>
      </c>
      <c r="J918">
        <f>($B$1+Table4[[#This Row],[Home Differential]])-Table4[[#This Row],[Away Differential]]</f>
        <v>0.32863330934532525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0.56222812380678211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-5.5047914862176604E-2</v>
      </c>
      <c r="H919" t="s">
        <v>28</v>
      </c>
      <c r="I919">
        <f>VLOOKUP(Table4[[#This Row],[Visitor]],'NHL Model'!$A$6:$B$38,2,FALSE)</f>
        <v>-0.42584667868780524</v>
      </c>
      <c r="J919">
        <f>($B$1+Table4[[#This Row],[Home Differential]])-Table4[[#This Row],[Away Differential]]</f>
        <v>0.46676875899629189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0.62951171465484557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0.29527586190964761</v>
      </c>
      <c r="H920" t="s">
        <v>37</v>
      </c>
      <c r="I920">
        <f>VLOOKUP(Table4[[#This Row],[Visitor]],'NHL Model'!$A$6:$B$38,2,FALSE)</f>
        <v>0.65340538721281671</v>
      </c>
      <c r="J920">
        <f>($B$1+Table4[[#This Row],[Home Differential]])-Table4[[#This Row],[Away Differential]]</f>
        <v>-0.26215953013250587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0.53969199584596439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1.1751846443488465</v>
      </c>
      <c r="H921" t="s">
        <v>34</v>
      </c>
      <c r="I921">
        <f>VLOOKUP(Table4[[#This Row],[Visitor]],'NHL Model'!$A$6:$B$38,2,FALSE)</f>
        <v>1.2879210938040288E-2</v>
      </c>
      <c r="J921">
        <f>($B$1+Table4[[#This Row],[Home Differential]])-Table4[[#This Row],[Away Differential]]</f>
        <v>1.2582754285814695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0.69707626792782906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-0.42375285621939396</v>
      </c>
      <c r="H922" t="s">
        <v>19</v>
      </c>
      <c r="I922">
        <f>VLOOKUP(Table4[[#This Row],[Visitor]],'NHL Model'!$A$6:$B$38,2,FALSE)</f>
        <v>-0.32175529201986758</v>
      </c>
      <c r="J922">
        <f>($B$1+Table4[[#This Row],[Home Differential]])-Table4[[#This Row],[Away Differential]]</f>
        <v>-6.0275690288631445E-3</v>
      </c>
      <c r="K922" t="str">
        <f>IF(Table4[[#This Row],[HomeIce Differential]]&gt;0,Table4[[#This Row],[Home]],Table4[[#This Row],[Visitor]])</f>
        <v>Toronto Maple Leafs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0.46060189537740615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-0.43624947117902363</v>
      </c>
      <c r="H923" t="s">
        <v>17</v>
      </c>
      <c r="I923">
        <f>VLOOKUP(Table4[[#This Row],[Visitor]],'NHL Model'!$A$6:$B$38,2,FALSE)</f>
        <v>-0.20041140176017086</v>
      </c>
      <c r="J923">
        <f>($B$1+Table4[[#This Row],[Home Differential]])-Table4[[#This Row],[Away Differential]]</f>
        <v>-0.13986807424818953</v>
      </c>
      <c r="K923" t="str">
        <f>IF(Table4[[#This Row],[HomeIce Differential]]&gt;0,Table4[[#This Row],[Home]],Table4[[#This Row],[Visitor]])</f>
        <v>Edmonton Oilers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0.47627122563687163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-0.23645483545724041</v>
      </c>
      <c r="H924" t="s">
        <v>30</v>
      </c>
      <c r="I924">
        <f>VLOOKUP(Table4[[#This Row],[Visitor]],'NHL Model'!$A$6:$B$38,2,FALSE)</f>
        <v>-0.20908736804509698</v>
      </c>
      <c r="J924">
        <f>($B$1+Table4[[#This Row],[Home Differential]])-Table4[[#This Row],[Away Differential]]</f>
        <v>6.8602527758519827E-2</v>
      </c>
      <c r="K924" t="str">
        <f>IF(Table4[[#This Row],[HomeIce Differential]]&gt;0,Table4[[#This Row],[Home]],Table4[[#This Row],[Visitor]])</f>
        <v>Montreal Canadiens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0.52608121658997897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-0.74313650334688619</v>
      </c>
      <c r="H925" t="s">
        <v>10</v>
      </c>
      <c r="I925">
        <f>VLOOKUP(Table4[[#This Row],[Visitor]],'NHL Model'!$A$6:$B$38,2,FALSE)</f>
        <v>-0.70456324341534593</v>
      </c>
      <c r="J925">
        <f>($B$1+Table4[[#This Row],[Home Differential]])-Table4[[#This Row],[Away Differential]]</f>
        <v>5.7396735239123031E-2</v>
      </c>
      <c r="K925" t="str">
        <f>IF(Table4[[#This Row],[HomeIce Differential]]&gt;0,Table4[[#This Row],[Home]],Table4[[#This Row],[Visitor]])</f>
        <v>Nashville Predators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0.54573146976056264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-0.6396663932228257</v>
      </c>
      <c r="H926" t="s">
        <v>27</v>
      </c>
      <c r="I926">
        <f>VLOOKUP(Table4[[#This Row],[Visitor]],'NHL Model'!$A$6:$B$38,2,FALSE)</f>
        <v>-0.32182316569099201</v>
      </c>
      <c r="J926">
        <f>($B$1+Table4[[#This Row],[Home Differential]])-Table4[[#This Row],[Away Differential]]</f>
        <v>-0.2218732323611704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0.49274384600365362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-0.40390734274709933</v>
      </c>
      <c r="H927" t="s">
        <v>26</v>
      </c>
      <c r="I927">
        <f>VLOOKUP(Table4[[#This Row],[Visitor]],'NHL Model'!$A$6:$B$38,2,FALSE)</f>
        <v>-0.17319925920548884</v>
      </c>
      <c r="J927">
        <f>($B$1+Table4[[#This Row],[Home Differential]])-Table4[[#This Row],[Away Differential]]</f>
        <v>-0.13473808837094725</v>
      </c>
      <c r="K927" t="str">
        <f>IF(Table4[[#This Row],[HomeIce Differential]]&gt;0,Table4[[#This Row],[Home]],Table4[[#This Row],[Visitor]])</f>
        <v>Detroit Red Wings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0.51274128384771789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3.24300967767114E-5</v>
      </c>
      <c r="H928" t="s">
        <v>24</v>
      </c>
      <c r="I928">
        <f>VLOOKUP(Table4[[#This Row],[Visitor]],'NHL Model'!$A$6:$B$38,2,FALSE)</f>
        <v>-0.52712015292731806</v>
      </c>
      <c r="J928">
        <f>($B$1+Table4[[#This Row],[Home Differential]])-Table4[[#This Row],[Away Differential]]</f>
        <v>0.62312257819475803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0.56421522626097187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-0.53461960928306718</v>
      </c>
      <c r="H929" t="s">
        <v>16</v>
      </c>
      <c r="I929">
        <f>VLOOKUP(Table4[[#This Row],[Visitor]],'NHL Model'!$A$6:$B$38,2,FALSE)</f>
        <v>-0.79148902514100783</v>
      </c>
      <c r="J929">
        <f>($B$1+Table4[[#This Row],[Home Differential]])-Table4[[#This Row],[Away Differential]]</f>
        <v>0.35283941102860389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0.57523350947087848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-1.2663626722629573</v>
      </c>
      <c r="H930" t="s">
        <v>32</v>
      </c>
      <c r="I930">
        <f>VLOOKUP(Table4[[#This Row],[Visitor]],'NHL Model'!$A$6:$B$38,2,FALSE)</f>
        <v>-0.57094405545214133</v>
      </c>
      <c r="J930">
        <f>($B$1+Table4[[#This Row],[Home Differential]])-Table4[[#This Row],[Away Differential]]</f>
        <v>-0.59944862164015278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0.51985918247140239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-0.38289376966531796</v>
      </c>
      <c r="H931" t="s">
        <v>40</v>
      </c>
      <c r="I931">
        <f>VLOOKUP(Table4[[#This Row],[Visitor]],'NHL Model'!$A$6:$B$38,2,FALSE)</f>
        <v>-0.47391784202962389</v>
      </c>
      <c r="J931">
        <f>($B$1+Table4[[#This Row],[Home Differential]])-Table4[[#This Row],[Away Differential]]</f>
        <v>0.18699406753496917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0.5947095458945495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-0.42375285621939396</v>
      </c>
      <c r="H932" t="s">
        <v>23</v>
      </c>
      <c r="I932">
        <f>VLOOKUP(Table4[[#This Row],[Visitor]],'NHL Model'!$A$6:$B$38,2,FALSE)</f>
        <v>2.7346770720058793E-2</v>
      </c>
      <c r="J932">
        <f>($B$1+Table4[[#This Row],[Home Differential]])-Table4[[#This Row],[Away Differential]]</f>
        <v>-0.35512963176878953</v>
      </c>
      <c r="K932" t="str">
        <f>IF(Table4[[#This Row],[HomeIce Differential]]&gt;0,Table4[[#This Row],[Home]],Table4[[#This Row],[Visitor]])</f>
        <v>Buffalo Sabres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0.5162314349709628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0.12055191373383152</v>
      </c>
      <c r="H933" t="s">
        <v>34</v>
      </c>
      <c r="I933">
        <f>VLOOKUP(Table4[[#This Row],[Visitor]],'NHL Model'!$A$6:$B$38,2,FALSE)</f>
        <v>1.2879210938040288E-2</v>
      </c>
      <c r="J933">
        <f>($B$1+Table4[[#This Row],[Home Differential]])-Table4[[#This Row],[Away Differential]]</f>
        <v>0.20364269796645448</v>
      </c>
      <c r="K933" t="str">
        <f>IF(Table4[[#This Row],[HomeIce Differential]]&gt;0,Table4[[#This Row],[Home]],Table4[[#This Row],[Visitor]])</f>
        <v>Utah Mammoth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0.5403351629755857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-8.9159851516330005E-2</v>
      </c>
      <c r="H934" t="s">
        <v>20</v>
      </c>
      <c r="I934">
        <f>VLOOKUP(Table4[[#This Row],[Visitor]],'NHL Model'!$A$6:$B$38,2,FALSE)</f>
        <v>-4.774288798450349E-3</v>
      </c>
      <c r="J934">
        <f>($B$1+Table4[[#This Row],[Home Differential]])-Table4[[#This Row],[Away Differential]]</f>
        <v>1.1584432452783594E-2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0.51059074973681462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0.29527586190964761</v>
      </c>
      <c r="H935" t="s">
        <v>26</v>
      </c>
      <c r="I935">
        <f>VLOOKUP(Table4[[#This Row],[Visitor]],'NHL Model'!$A$6:$B$38,2,FALSE)</f>
        <v>-0.17319925920548884</v>
      </c>
      <c r="J935">
        <f>($B$1+Table4[[#This Row],[Home Differential]])-Table4[[#This Row],[Away Differential]]</f>
        <v>0.56444511628579974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0.60054988152787725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-0.42584667868780524</v>
      </c>
      <c r="H936" t="s">
        <v>30</v>
      </c>
      <c r="I936">
        <f>VLOOKUP(Table4[[#This Row],[Visitor]],'NHL Model'!$A$6:$B$38,2,FALSE)</f>
        <v>-0.20908736804509698</v>
      </c>
      <c r="J936">
        <f>($B$1+Table4[[#This Row],[Home Differential]])-Table4[[#This Row],[Away Differential]]</f>
        <v>-0.12078931547204502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0.4928308977985984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1.1751846443488465</v>
      </c>
      <c r="H937" t="s">
        <v>10</v>
      </c>
      <c r="I937">
        <f>VLOOKUP(Table4[[#This Row],[Visitor]],'NHL Model'!$A$6:$B$38,2,FALSE)</f>
        <v>-0.70456324341534593</v>
      </c>
      <c r="J937">
        <f>($B$1+Table4[[#This Row],[Home Differential]])-Table4[[#This Row],[Away Differential]]</f>
        <v>1.9757178829348556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0.82307162506956522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0.21259592260910548</v>
      </c>
      <c r="H938" t="s">
        <v>29</v>
      </c>
      <c r="I938">
        <f>VLOOKUP(Table4[[#This Row],[Visitor]],'NHL Model'!$A$6:$B$38,2,FALSE)</f>
        <v>-0.74313650334688619</v>
      </c>
      <c r="J938">
        <f>($B$1+Table4[[#This Row],[Home Differential]])-Table4[[#This Row],[Away Differential]]</f>
        <v>1.051702421126655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0.66412535271632489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-0.43624947117902363</v>
      </c>
      <c r="H939" t="s">
        <v>16</v>
      </c>
      <c r="I939">
        <f>VLOOKUP(Table4[[#This Row],[Visitor]],'NHL Model'!$A$6:$B$38,2,FALSE)</f>
        <v>-0.79148902514100783</v>
      </c>
      <c r="J939">
        <f>($B$1+Table4[[#This Row],[Home Differential]])-Table4[[#This Row],[Away Differential]]</f>
        <v>0.45120954913264744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0.58505646315520898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-0.23645483545724041</v>
      </c>
      <c r="H940" t="s">
        <v>22</v>
      </c>
      <c r="I940">
        <f>VLOOKUP(Table4[[#This Row],[Visitor]],'NHL Model'!$A$6:$B$38,2,FALSE)</f>
        <v>-8.9159851516330005E-2</v>
      </c>
      <c r="J940">
        <f>($B$1+Table4[[#This Row],[Home Differential]])-Table4[[#This Row],[Away Differential]]</f>
        <v>-5.1324988770247146E-2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0.46512516295347361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-0.6396663932228257</v>
      </c>
      <c r="H941" t="s">
        <v>14</v>
      </c>
      <c r="I941">
        <f>VLOOKUP(Table4[[#This Row],[Visitor]],'NHL Model'!$A$6:$B$38,2,FALSE)</f>
        <v>3.24300967767114E-5</v>
      </c>
      <c r="J941">
        <f>($B$1+Table4[[#This Row],[Home Differential]])-Table4[[#This Row],[Away Differential]]</f>
        <v>-0.54372882814893908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0.56338607628985404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-0.32182316569099201</v>
      </c>
      <c r="H942" t="s">
        <v>21</v>
      </c>
      <c r="I942">
        <f>VLOOKUP(Table4[[#This Row],[Visitor]],'NHL Model'!$A$6:$B$38,2,FALSE)</f>
        <v>-5.5047914862176604E-2</v>
      </c>
      <c r="J942">
        <f>($B$1+Table4[[#This Row],[Home Differential]])-Table4[[#This Row],[Away Differential]]</f>
        <v>-0.17080525565815216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0.47705611222783573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-0.57094405545214133</v>
      </c>
      <c r="H943" t="s">
        <v>38</v>
      </c>
      <c r="I943">
        <f>VLOOKUP(Table4[[#This Row],[Visitor]],'NHL Model'!$A$6:$B$38,2,FALSE)</f>
        <v>-1.2591310848703385</v>
      </c>
      <c r="J943">
        <f>($B$1+Table4[[#This Row],[Home Differential]])-Table4[[#This Row],[Away Differential]]</f>
        <v>0.7841570245888605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0.61830362223982882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-0.53461960928306718</v>
      </c>
      <c r="H944" t="s">
        <v>17</v>
      </c>
      <c r="I944">
        <f>VLOOKUP(Table4[[#This Row],[Visitor]],'NHL Model'!$A$6:$B$38,2,FALSE)</f>
        <v>-0.20041140176017086</v>
      </c>
      <c r="J944">
        <f>($B$1+Table4[[#This Row],[Home Differential]])-Table4[[#This Row],[Away Differential]]</f>
        <v>-0.23823821235223308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0.48609417932120214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-1.2663626722629573</v>
      </c>
      <c r="H945" t="s">
        <v>24</v>
      </c>
      <c r="I945">
        <f>VLOOKUP(Table4[[#This Row],[Visitor]],'NHL Model'!$A$6:$B$38,2,FALSE)</f>
        <v>-0.52712015292731806</v>
      </c>
      <c r="J945">
        <f>($B$1+Table4[[#This Row],[Home Differential]])-Table4[[#This Row],[Away Differential]]</f>
        <v>-0.64327252416497605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0.5622432770643514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0.65340538721281671</v>
      </c>
      <c r="H946" t="s">
        <v>23</v>
      </c>
      <c r="I946">
        <f>VLOOKUP(Table4[[#This Row],[Visitor]],'NHL Model'!$A$6:$B$38,2,FALSE)</f>
        <v>2.7346770720058793E-2</v>
      </c>
      <c r="J946">
        <f>($B$1+Table4[[#This Row],[Home Differential]])-Table4[[#This Row],[Away Differential]]</f>
        <v>0.72202861166342125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0.61376632767994865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-0.32175529201986758</v>
      </c>
      <c r="H947" t="s">
        <v>36</v>
      </c>
      <c r="I947">
        <f>VLOOKUP(Table4[[#This Row],[Visitor]],'NHL Model'!$A$6:$B$38,2,FALSE)</f>
        <v>-0.40390734274709933</v>
      </c>
      <c r="J947">
        <f>($B$1+Table4[[#This Row],[Home Differential]])-Table4[[#This Row],[Away Differential]]</f>
        <v>0.17812204589789499</v>
      </c>
      <c r="K947" t="str">
        <f>IF(Table4[[#This Row],[HomeIce Differential]]&gt;0,Table4[[#This Row],[Home]],Table4[[#This Row],[Visitor]])</f>
        <v>Toronto Maple Leafs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0.56228936325791157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-0.38289376966531796</v>
      </c>
      <c r="H948" t="s">
        <v>16</v>
      </c>
      <c r="I948">
        <f>VLOOKUP(Table4[[#This Row],[Visitor]],'NHL Model'!$A$6:$B$38,2,FALSE)</f>
        <v>-0.79148902514100783</v>
      </c>
      <c r="J948">
        <f>($B$1+Table4[[#This Row],[Home Differential]])-Table4[[#This Row],[Away Differential]]</f>
        <v>0.50456525064635316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0.6264212734910054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1.2879210938040288E-2</v>
      </c>
      <c r="H949" t="s">
        <v>35</v>
      </c>
      <c r="I949">
        <f>VLOOKUP(Table4[[#This Row],[Visitor]],'NHL Model'!$A$6:$B$38,2,FALSE)</f>
        <v>-1.2663626722629573</v>
      </c>
      <c r="J949">
        <f>($B$1+Table4[[#This Row],[Home Differential]])-Table4[[#This Row],[Away Differential]]</f>
        <v>1.3752118783716609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0.67732462765375279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-0.20908736804509698</v>
      </c>
      <c r="H950" t="s">
        <v>11</v>
      </c>
      <c r="I950">
        <f>VLOOKUP(Table4[[#This Row],[Visitor]],'NHL Model'!$A$6:$B$38,2,FALSE)</f>
        <v>-0.42375285621939396</v>
      </c>
      <c r="J950">
        <f>($B$1+Table4[[#This Row],[Home Differential]])-Table4[[#This Row],[Away Differential]]</f>
        <v>0.31063548334496022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0.52870075636403557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3.24300967767114E-5</v>
      </c>
      <c r="H951" t="s">
        <v>20</v>
      </c>
      <c r="I951">
        <f>VLOOKUP(Table4[[#This Row],[Visitor]],'NHL Model'!$A$6:$B$38,2,FALSE)</f>
        <v>-4.774288798450349E-3</v>
      </c>
      <c r="J951">
        <f>($B$1+Table4[[#This Row],[Home Differential]])-Table4[[#This Row],[Away Differential]]</f>
        <v>0.10077671406589031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0.51949722957075206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-0.53461960928306718</v>
      </c>
      <c r="H952" t="s">
        <v>40</v>
      </c>
      <c r="I952">
        <f>VLOOKUP(Table4[[#This Row],[Visitor]],'NHL Model'!$A$6:$B$38,2,FALSE)</f>
        <v>-0.47391784202962389</v>
      </c>
      <c r="J952">
        <f>($B$1+Table4[[#This Row],[Home Differential]])-Table4[[#This Row],[Away Differential]]</f>
        <v>3.5268227917219952E-2</v>
      </c>
      <c r="K952" t="str">
        <f>IF(Table4[[#This Row],[HomeIce Differential]]&gt;0,Table4[[#This Row],[Home]],Table4[[#This Row],[Visitor]])</f>
        <v>San Jose Sharks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0.54352178187442257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0.12055191373383152</v>
      </c>
      <c r="H953" t="s">
        <v>10</v>
      </c>
      <c r="I953">
        <f>VLOOKUP(Table4[[#This Row],[Visitor]],'NHL Model'!$A$6:$B$38,2,FALSE)</f>
        <v>-0.70456324341534593</v>
      </c>
      <c r="J953">
        <f>($B$1+Table4[[#This Row],[Home Differential]])-Table4[[#This Row],[Away Differential]]</f>
        <v>0.92108515231984067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0.66801373012060927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-0.43624947117902363</v>
      </c>
      <c r="H954" t="s">
        <v>12</v>
      </c>
      <c r="I954">
        <f>VLOOKUP(Table4[[#This Row],[Visitor]],'NHL Model'!$A$6:$B$38,2,FALSE)</f>
        <v>1.1751846443488465</v>
      </c>
      <c r="J954">
        <f>($B$1+Table4[[#This Row],[Home Differential]])-Table4[[#This Row],[Away Differential]]</f>
        <v>-1.515464120357207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0.68123139518688269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-0.74313650334688619</v>
      </c>
      <c r="H955" t="s">
        <v>26</v>
      </c>
      <c r="I955">
        <f>VLOOKUP(Table4[[#This Row],[Visitor]],'NHL Model'!$A$6:$B$38,2,FALSE)</f>
        <v>-0.17319925920548884</v>
      </c>
      <c r="J955">
        <f>($B$1+Table4[[#This Row],[Home Differential]])-Table4[[#This Row],[Away Differential]]</f>
        <v>-0.47396724897073406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0.54661571360018613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-0.6396663932228257</v>
      </c>
      <c r="H956" t="s">
        <v>28</v>
      </c>
      <c r="I956">
        <f>VLOOKUP(Table4[[#This Row],[Visitor]],'NHL Model'!$A$6:$B$38,2,FALSE)</f>
        <v>-0.42584667868780524</v>
      </c>
      <c r="J956">
        <f>($B$1+Table4[[#This Row],[Home Differential]])-Table4[[#This Row],[Away Differential]]</f>
        <v>-0.11784971936435717</v>
      </c>
      <c r="K956" t="str">
        <f>IF(Table4[[#This Row],[HomeIce Differential]]&gt;0,Table4[[#This Row],[Home]],Table4[[#This Row],[Visitor]])</f>
        <v>Columbus Blue Jackets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0.47176812757752801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-0.57094405545214133</v>
      </c>
      <c r="H957" t="s">
        <v>25</v>
      </c>
      <c r="I957">
        <f>VLOOKUP(Table4[[#This Row],[Visitor]],'NHL Model'!$A$6:$B$38,2,FALSE)</f>
        <v>0.29527586190964761</v>
      </c>
      <c r="J957">
        <f>($B$1+Table4[[#This Row],[Home Differential]])-Table4[[#This Row],[Away Differential]]</f>
        <v>-0.77024992219112565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0.59620273358172005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-0.32175529201986758</v>
      </c>
      <c r="H958" t="s">
        <v>27</v>
      </c>
      <c r="I958">
        <f>VLOOKUP(Table4[[#This Row],[Visitor]],'NHL Model'!$A$6:$B$38,2,FALSE)</f>
        <v>-0.32182316569099201</v>
      </c>
      <c r="J958">
        <f>($B$1+Table4[[#This Row],[Home Differential]])-Table4[[#This Row],[Away Differential]]</f>
        <v>9.6037868841787666E-2</v>
      </c>
      <c r="K958" t="str">
        <f>IF(Table4[[#This Row],[HomeIce Differential]]&gt;0,Table4[[#This Row],[Home]],Table4[[#This Row],[Visitor]])</f>
        <v>Toronto Maple Leafs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0.54434941840007034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-1.2591310848703385</v>
      </c>
      <c r="H959" t="s">
        <v>39</v>
      </c>
      <c r="I959">
        <f>VLOOKUP(Table4[[#This Row],[Visitor]],'NHL Model'!$A$6:$B$38,2,FALSE)</f>
        <v>0.21259592260910548</v>
      </c>
      <c r="J959">
        <f>($B$1+Table4[[#This Row],[Home Differential]])-Table4[[#This Row],[Away Differential]]</f>
        <v>-1.3757570123087808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0.63538703125850549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-0.38289376966531796</v>
      </c>
      <c r="H960" t="s">
        <v>12</v>
      </c>
      <c r="I960">
        <f>VLOOKUP(Table4[[#This Row],[Visitor]],'NHL Model'!$A$6:$B$38,2,FALSE)</f>
        <v>1.1751846443488465</v>
      </c>
      <c r="J960">
        <f>($B$1+Table4[[#This Row],[Home Differential]])-Table4[[#This Row],[Away Differential]]</f>
        <v>-1.4621084188435012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0.63939393199034567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-5.5047914862176604E-2</v>
      </c>
      <c r="H961" t="s">
        <v>14</v>
      </c>
      <c r="I961">
        <f>VLOOKUP(Table4[[#This Row],[Visitor]],'NHL Model'!$A$6:$B$38,2,FALSE)</f>
        <v>3.24300967767114E-5</v>
      </c>
      <c r="J961">
        <f>($B$1+Table4[[#This Row],[Home Differential]])-Table4[[#This Row],[Away Differential]]</f>
        <v>4.0889650211709934E-2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0.53852492585493683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2.7346770720058793E-2</v>
      </c>
      <c r="H962" t="s">
        <v>20</v>
      </c>
      <c r="I962">
        <f>VLOOKUP(Table4[[#This Row],[Visitor]],'NHL Model'!$A$6:$B$38,2,FALSE)</f>
        <v>-4.774288798450349E-3</v>
      </c>
      <c r="J962">
        <f>($B$1+Table4[[#This Row],[Home Differential]])-Table4[[#This Row],[Away Differential]]</f>
        <v>0.1280910546891724</v>
      </c>
      <c r="K962" t="str">
        <f>IF(Table4[[#This Row],[HomeIce Differential]]&gt;0,Table4[[#This Row],[Home]],Table4[[#This Row],[Visitor]])</f>
        <v>Buffalo Sabres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0.56451493523842455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-0.42584667868780524</v>
      </c>
      <c r="H963" t="s">
        <v>29</v>
      </c>
      <c r="I963">
        <f>VLOOKUP(Table4[[#This Row],[Visitor]],'NHL Model'!$A$6:$B$38,2,FALSE)</f>
        <v>-0.74313650334688619</v>
      </c>
      <c r="J963">
        <f>($B$1+Table4[[#This Row],[Home Differential]])-Table4[[#This Row],[Away Differential]]</f>
        <v>0.41325981982974419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0.58126691441145284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-0.79148902514100783</v>
      </c>
      <c r="H964" t="s">
        <v>39</v>
      </c>
      <c r="I964">
        <f>VLOOKUP(Table4[[#This Row],[Visitor]],'NHL Model'!$A$6:$B$38,2,FALSE)</f>
        <v>0.21259592260910548</v>
      </c>
      <c r="J964">
        <f>($B$1+Table4[[#This Row],[Home Differential]])-Table4[[#This Row],[Away Differential]]</f>
        <v>-0.90811495257945007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0.58868966575610482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-0.20041140176017086</v>
      </c>
      <c r="H965" t="s">
        <v>36</v>
      </c>
      <c r="I965">
        <f>VLOOKUP(Table4[[#This Row],[Visitor]],'NHL Model'!$A$6:$B$38,2,FALSE)</f>
        <v>-0.40390734274709933</v>
      </c>
      <c r="J965">
        <f>($B$1+Table4[[#This Row],[Home Differential]])-Table4[[#This Row],[Away Differential]]</f>
        <v>0.29946593615759171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0.56907429761160166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1.2879210938040288E-2</v>
      </c>
      <c r="H966" t="s">
        <v>37</v>
      </c>
      <c r="I966">
        <f>VLOOKUP(Table4[[#This Row],[Visitor]],'NHL Model'!$A$6:$B$38,2,FALSE)</f>
        <v>0.65340538721281671</v>
      </c>
      <c r="J966">
        <f>($B$1+Table4[[#This Row],[Home Differential]])-Table4[[#This Row],[Away Differential]]</f>
        <v>-0.54455618110411319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0.61123593195416348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-0.52712015292731806</v>
      </c>
      <c r="H967" t="s">
        <v>11</v>
      </c>
      <c r="I967">
        <f>VLOOKUP(Table4[[#This Row],[Visitor]],'NHL Model'!$A$6:$B$38,2,FALSE)</f>
        <v>-0.42375285621939396</v>
      </c>
      <c r="J967">
        <f>($B$1+Table4[[#This Row],[Home Differential]])-Table4[[#This Row],[Away Differential]]</f>
        <v>-7.3973015372608697E-3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0.51214701274108398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-0.53461960928306718</v>
      </c>
      <c r="H968" t="s">
        <v>18</v>
      </c>
      <c r="I968">
        <f>VLOOKUP(Table4[[#This Row],[Visitor]],'NHL Model'!$A$6:$B$38,2,FALSE)</f>
        <v>-0.23645483545724041</v>
      </c>
      <c r="J968">
        <f>($B$1+Table4[[#This Row],[Home Differential]])-Table4[[#This Row],[Away Differential]]</f>
        <v>-0.20219477865516353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0.51947731123500529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-0.47391784202962389</v>
      </c>
      <c r="H969" t="s">
        <v>10</v>
      </c>
      <c r="I969">
        <f>VLOOKUP(Table4[[#This Row],[Visitor]],'NHL Model'!$A$6:$B$38,2,FALSE)</f>
        <v>-0.70456324341534593</v>
      </c>
      <c r="J969">
        <f>($B$1+Table4[[#This Row],[Home Differential]])-Table4[[#This Row],[Away Differential]]</f>
        <v>0.32661539655638527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0.57261485624396768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-8.9159851516330005E-2</v>
      </c>
      <c r="H970" t="s">
        <v>55</v>
      </c>
      <c r="I970">
        <f>VLOOKUP(Table4[[#This Row],[Visitor]],'NHL Model'!$A$6:$B$38,2,FALSE)</f>
        <v>0.12055191373383152</v>
      </c>
      <c r="J970">
        <f>($B$1+Table4[[#This Row],[Home Differential]])-Table4[[#This Row],[Away Differential]]</f>
        <v>-0.11374177007949828</v>
      </c>
      <c r="K970" t="str">
        <f>IF(Table4[[#This Row],[HomeIce Differential]]&gt;0,Table4[[#This Row],[Home]],Table4[[#This Row],[Visitor]])</f>
        <v>Utah Mammoth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0.47135791980166752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-0.38289376966531796</v>
      </c>
      <c r="H971" t="s">
        <v>30</v>
      </c>
      <c r="I971">
        <f>VLOOKUP(Table4[[#This Row],[Visitor]],'NHL Model'!$A$6:$B$38,2,FALSE)</f>
        <v>-0.20908736804509698</v>
      </c>
      <c r="J971">
        <f>($B$1+Table4[[#This Row],[Home Differential]])-Table4[[#This Row],[Away Differential]]</f>
        <v>-7.7836406449557749E-2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0.45221695986675736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-0.17319925920548884</v>
      </c>
      <c r="H972" t="s">
        <v>20</v>
      </c>
      <c r="I972">
        <f>VLOOKUP(Table4[[#This Row],[Visitor]],'NHL Model'!$A$6:$B$38,2,FALSE)</f>
        <v>-4.774288798450349E-3</v>
      </c>
      <c r="J972">
        <f>($B$1+Table4[[#This Row],[Home Differential]])-Table4[[#This Row],[Away Differential]]</f>
        <v>-7.2454975236375244E-2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0.44543738866446803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-0.52712015292731806</v>
      </c>
      <c r="H973" t="s">
        <v>19</v>
      </c>
      <c r="I973">
        <f>VLOOKUP(Table4[[#This Row],[Visitor]],'NHL Model'!$A$6:$B$38,2,FALSE)</f>
        <v>-0.32175529201986758</v>
      </c>
      <c r="J973">
        <f>($B$1+Table4[[#This Row],[Home Differential]])-Table4[[#This Row],[Away Differential]]</f>
        <v>-0.10939486573678725</v>
      </c>
      <c r="K973" t="str">
        <f>IF(Table4[[#This Row],[HomeIce Differential]]&gt;0,Table4[[#This Row],[Home]],Table4[[#This Row],[Visitor]])</f>
        <v>Toronto Maple Leafs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0.470923850674068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-0.57094405545214133</v>
      </c>
      <c r="H974" t="s">
        <v>35</v>
      </c>
      <c r="I974">
        <f>VLOOKUP(Table4[[#This Row],[Visitor]],'NHL Model'!$A$6:$B$38,2,FALSE)</f>
        <v>-1.2663626722629573</v>
      </c>
      <c r="J974">
        <f>($B$1+Table4[[#This Row],[Home Differential]])-Table4[[#This Row],[Away Differential]]</f>
        <v>0.79138861198147925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0.61902574736225935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-1.2591310848703385</v>
      </c>
      <c r="H975" t="s">
        <v>25</v>
      </c>
      <c r="I975">
        <f>VLOOKUP(Table4[[#This Row],[Visitor]],'NHL Model'!$A$6:$B$38,2,FALSE)</f>
        <v>0.29527586190964761</v>
      </c>
      <c r="J975">
        <f>($B$1+Table4[[#This Row],[Home Differential]])-Table4[[#This Row],[Away Differential]]</f>
        <v>-1.458436951609323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0.66492307337612044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-0.42584667868780524</v>
      </c>
      <c r="H976" t="s">
        <v>11</v>
      </c>
      <c r="I976">
        <f>VLOOKUP(Table4[[#This Row],[Visitor]],'NHL Model'!$A$6:$B$38,2,FALSE)</f>
        <v>-0.42375285621939396</v>
      </c>
      <c r="J976">
        <f>($B$1+Table4[[#This Row],[Home Differential]])-Table4[[#This Row],[Away Differential]]</f>
        <v>9.3876172702251959E-2</v>
      </c>
      <c r="K976" t="str">
        <f>IF(Table4[[#This Row],[HomeIce Differential]]&gt;0,Table4[[#This Row],[Home]],Table4[[#This Row],[Visitor]])</f>
        <v>Columbus Blue Jackets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0.49796585958053269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-0.79148902514100783</v>
      </c>
      <c r="H977" t="s">
        <v>36</v>
      </c>
      <c r="I977">
        <f>VLOOKUP(Table4[[#This Row],[Visitor]],'NHL Model'!$A$6:$B$38,2,FALSE)</f>
        <v>-0.40390734274709933</v>
      </c>
      <c r="J977">
        <f>($B$1+Table4[[#This Row],[Home Differential]])-Table4[[#This Row],[Away Differential]]</f>
        <v>-0.29161168722324521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0.48994898150764826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-0.43624947117902363</v>
      </c>
      <c r="H978" t="s">
        <v>30</v>
      </c>
      <c r="I978">
        <f>VLOOKUP(Table4[[#This Row],[Visitor]],'NHL Model'!$A$6:$B$38,2,FALSE)</f>
        <v>-0.20908736804509698</v>
      </c>
      <c r="J978">
        <f>($B$1+Table4[[#This Row],[Home Differential]])-Table4[[#This Row],[Away Differential]]</f>
        <v>-0.13119210796326342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0.49386969016789306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-0.74313650334688619</v>
      </c>
      <c r="H979" t="s">
        <v>21</v>
      </c>
      <c r="I979">
        <f>VLOOKUP(Table4[[#This Row],[Visitor]],'NHL Model'!$A$6:$B$38,2,FALSE)</f>
        <v>-5.5047914862176604E-2</v>
      </c>
      <c r="J979">
        <f>($B$1+Table4[[#This Row],[Home Differential]])-Table4[[#This Row],[Away Differential]]</f>
        <v>-0.59211859331404626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0.51912722732586813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-0.6396663932228257</v>
      </c>
      <c r="H980" t="s">
        <v>19</v>
      </c>
      <c r="I980">
        <f>VLOOKUP(Table4[[#This Row],[Visitor]],'NHL Model'!$A$6:$B$38,2,FALSE)</f>
        <v>-0.32175529201986758</v>
      </c>
      <c r="J980">
        <f>($B$1+Table4[[#This Row],[Home Differential]])-Table4[[#This Row],[Away Differential]]</f>
        <v>-0.22194110603229483</v>
      </c>
      <c r="K980" t="str">
        <f>IF(Table4[[#This Row],[HomeIce Differential]]&gt;0,Table4[[#This Row],[Home]],Table4[[#This Row],[Visitor]])</f>
        <v>Toronto Maple Leafs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0.48216238837540792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-0.32182316569099201</v>
      </c>
      <c r="H981" t="s">
        <v>55</v>
      </c>
      <c r="I981">
        <f>VLOOKUP(Table4[[#This Row],[Visitor]],'NHL Model'!$A$6:$B$38,2,FALSE)</f>
        <v>0.12055191373383152</v>
      </c>
      <c r="J981">
        <f>($B$1+Table4[[#This Row],[Home Differential]])-Table4[[#This Row],[Away Differential]]</f>
        <v>-0.34640508425416028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0.49459099645713889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3.24300967767114E-5</v>
      </c>
      <c r="H982" t="s">
        <v>23</v>
      </c>
      <c r="I982">
        <f>VLOOKUP(Table4[[#This Row],[Visitor]],'NHL Model'!$A$6:$B$38,2,FALSE)</f>
        <v>2.7346770720058793E-2</v>
      </c>
      <c r="J982">
        <f>($B$1+Table4[[#This Row],[Home Differential]])-Table4[[#This Row],[Away Differential]]</f>
        <v>6.8655654547381165E-2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0.52608652167540881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-0.47391784202962389</v>
      </c>
      <c r="H983" t="s">
        <v>37</v>
      </c>
      <c r="I983">
        <f>VLOOKUP(Table4[[#This Row],[Visitor]],'NHL Model'!$A$6:$B$38,2,FALSE)</f>
        <v>0.65340538721281671</v>
      </c>
      <c r="J983">
        <f>($B$1+Table4[[#This Row],[Home Differential]])-Table4[[#This Row],[Away Differential]]</f>
        <v>-1.0313532340717773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0.65984605894120085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-0.38289376966531796</v>
      </c>
      <c r="H984" t="s">
        <v>18</v>
      </c>
      <c r="I984">
        <f>VLOOKUP(Table4[[#This Row],[Visitor]],'NHL Model'!$A$6:$B$38,2,FALSE)</f>
        <v>-0.23645483545724041</v>
      </c>
      <c r="J984">
        <f>($B$1+Table4[[#This Row],[Home Differential]])-Table4[[#This Row],[Away Differential]]</f>
        <v>-5.0468939037414312E-2</v>
      </c>
      <c r="K984" t="str">
        <f>IF(Table4[[#This Row],[HomeIce Differential]]&gt;0,Table4[[#This Row],[Home]],Table4[[#This Row],[Visitor]])</f>
        <v>Montreal Canadiens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0.46784959769146617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-0.70456324341534593</v>
      </c>
      <c r="H985" t="s">
        <v>38</v>
      </c>
      <c r="I985">
        <f>VLOOKUP(Table4[[#This Row],[Visitor]],'NHL Model'!$A$6:$B$38,2,FALSE)</f>
        <v>-1.2591310848703385</v>
      </c>
      <c r="J985">
        <f>($B$1+Table4[[#This Row],[Home Differential]])-Table4[[#This Row],[Away Differential]]</f>
        <v>0.6505378366256559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0.60496080174574574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0.21259592260910548</v>
      </c>
      <c r="H986" t="s">
        <v>12</v>
      </c>
      <c r="I986">
        <f>VLOOKUP(Table4[[#This Row],[Visitor]],'NHL Model'!$A$6:$B$38,2,FALSE)</f>
        <v>1.1751846443488465</v>
      </c>
      <c r="J986">
        <f>($B$1+Table4[[#This Row],[Home Differential]])-Table4[[#This Row],[Away Differential]]</f>
        <v>-0.86661872656907779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0.59717630399019128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-0.17319925920548884</v>
      </c>
      <c r="H987" t="s">
        <v>11</v>
      </c>
      <c r="I987">
        <f>VLOOKUP(Table4[[#This Row],[Visitor]],'NHL Model'!$A$6:$B$38,2,FALSE)</f>
        <v>-0.42375285621939396</v>
      </c>
      <c r="J987">
        <f>($B$1+Table4[[#This Row],[Home Differential]])-Table4[[#This Row],[Away Differential]]</f>
        <v>0.34652359218456835</v>
      </c>
      <c r="K987" t="str">
        <f>IF(Table4[[#This Row],[HomeIce Differential]]&gt;0,Table4[[#This Row],[Home]],Table4[[#This Row],[Visitor]])</f>
        <v>Detroit Red Wings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0.57577930089997742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-0.20041140176017086</v>
      </c>
      <c r="H988" t="s">
        <v>25</v>
      </c>
      <c r="I988">
        <f>VLOOKUP(Table4[[#This Row],[Visitor]],'NHL Model'!$A$6:$B$38,2,FALSE)</f>
        <v>0.29527586190964761</v>
      </c>
      <c r="J988">
        <f>($B$1+Table4[[#This Row],[Home Differential]])-Table4[[#This Row],[Away Differential]]</f>
        <v>-0.39971726849915523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0.5592024287544699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-0.53461960928306718</v>
      </c>
      <c r="H989" t="s">
        <v>35</v>
      </c>
      <c r="I989">
        <f>VLOOKUP(Table4[[#This Row],[Visitor]],'NHL Model'!$A$6:$B$38,2,FALSE)</f>
        <v>-1.2663626722629573</v>
      </c>
      <c r="J989">
        <f>($B$1+Table4[[#This Row],[Home Differential]])-Table4[[#This Row],[Away Differential]]</f>
        <v>0.8277130581505534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0.62265300009570956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-4.774288798450349E-3</v>
      </c>
      <c r="H990" t="s">
        <v>34</v>
      </c>
      <c r="I990">
        <f>VLOOKUP(Table4[[#This Row],[Visitor]],'NHL Model'!$A$6:$B$38,2,FALSE)</f>
        <v>1.2879210938040288E-2</v>
      </c>
      <c r="J990">
        <f>($B$1+Table4[[#This Row],[Home Differential]])-Table4[[#This Row],[Away Differential]]</f>
        <v>7.8316495434172614E-2</v>
      </c>
      <c r="K990" t="str">
        <f>IF(Table4[[#This Row],[HomeIce Differential]]&gt;0,Table4[[#This Row],[Home]],Table4[[#This Row],[Visitor]])</f>
        <v>Vegas Golden Knights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0.49129153008141985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-5.5047914862176604E-2</v>
      </c>
      <c r="H991" t="s">
        <v>22</v>
      </c>
      <c r="I991">
        <f>VLOOKUP(Table4[[#This Row],[Visitor]],'NHL Model'!$A$6:$B$38,2,FALSE)</f>
        <v>-8.9159851516330005E-2</v>
      </c>
      <c r="J991">
        <f>($B$1+Table4[[#This Row],[Home Differential]])-Table4[[#This Row],[Away Differential]]</f>
        <v>0.13008193182481664</v>
      </c>
      <c r="K991" t="str">
        <f>IF(Table4[[#This Row],[HomeIce Differential]]&gt;0,Table4[[#This Row],[Home]],Table4[[#This Row],[Visitor]])</f>
        <v>Boston Bruins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0.59589115486736621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2.7346770720058793E-2</v>
      </c>
      <c r="H992" t="s">
        <v>29</v>
      </c>
      <c r="I992">
        <f>VLOOKUP(Table4[[#This Row],[Visitor]],'NHL Model'!$A$6:$B$38,2,FALSE)</f>
        <v>-0.74313650334688619</v>
      </c>
      <c r="J992">
        <f>($B$1+Table4[[#This Row],[Home Differential]])-Table4[[#This Row],[Away Differential]]</f>
        <v>0.86645326923760824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0.66833966585184046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-0.42584667868780524</v>
      </c>
      <c r="H993" t="s">
        <v>55</v>
      </c>
      <c r="I993">
        <f>VLOOKUP(Table4[[#This Row],[Visitor]],'NHL Model'!$A$6:$B$38,2,FALSE)</f>
        <v>0.12055191373383152</v>
      </c>
      <c r="J993">
        <f>($B$1+Table4[[#This Row],[Home Differential]])-Table4[[#This Row],[Away Differential]]</f>
        <v>-0.45042859725097351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0.50497847958914688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-0.79148902514100783</v>
      </c>
      <c r="H994" t="s">
        <v>25</v>
      </c>
      <c r="I994">
        <f>VLOOKUP(Table4[[#This Row],[Visitor]],'NHL Model'!$A$6:$B$38,2,FALSE)</f>
        <v>0.29527586190964761</v>
      </c>
      <c r="J994">
        <f>($B$1+Table4[[#This Row],[Home Differential]])-Table4[[#This Row],[Away Differential]]</f>
        <v>-0.99079489187999215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0.61822570787371989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-0.43624947117902363</v>
      </c>
      <c r="H995" t="s">
        <v>18</v>
      </c>
      <c r="I995">
        <f>VLOOKUP(Table4[[#This Row],[Visitor]],'NHL Model'!$A$6:$B$38,2,FALSE)</f>
        <v>-0.23645483545724041</v>
      </c>
      <c r="J995">
        <f>($B$1+Table4[[#This Row],[Home Differential]])-Table4[[#This Row],[Away Differential]]</f>
        <v>-0.10382464055111998</v>
      </c>
      <c r="K995" t="str">
        <f>IF(Table4[[#This Row],[HomeIce Differential]]&gt;0,Table4[[#This Row],[Home]],Table4[[#This Row],[Visitor]])</f>
        <v>Montreal Canadiens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0.50965435755067479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-0.52712015292731806</v>
      </c>
      <c r="H996" t="s">
        <v>15</v>
      </c>
      <c r="I996">
        <f>VLOOKUP(Table4[[#This Row],[Visitor]],'NHL Model'!$A$6:$B$38,2,FALSE)</f>
        <v>-0.6396663932228257</v>
      </c>
      <c r="J996">
        <f>($B$1+Table4[[#This Row],[Home Differential]])-Table4[[#This Row],[Away Differential]]</f>
        <v>0.20851623546617087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0.50877362737568399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3.24300967767114E-5</v>
      </c>
      <c r="H997" t="s">
        <v>27</v>
      </c>
      <c r="I997">
        <f>VLOOKUP(Table4[[#This Row],[Visitor]],'NHL Model'!$A$6:$B$38,2,FALSE)</f>
        <v>-0.32182316569099201</v>
      </c>
      <c r="J997">
        <f>($B$1+Table4[[#This Row],[Home Differential]])-Table4[[#This Row],[Away Differential]]</f>
        <v>0.41782559095843197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0.57113460364071966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-0.57094405545214133</v>
      </c>
      <c r="H998" t="s">
        <v>36</v>
      </c>
      <c r="I998">
        <f>VLOOKUP(Table4[[#This Row],[Visitor]],'NHL Model'!$A$6:$B$38,2,FALSE)</f>
        <v>-0.40390734274709933</v>
      </c>
      <c r="J998">
        <f>($B$1+Table4[[#This Row],[Home Differential]])-Table4[[#This Row],[Away Differential]]</f>
        <v>-7.1066717534378765E-2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0.46792600721564848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-0.53461960928306718</v>
      </c>
      <c r="H999" t="s">
        <v>30</v>
      </c>
      <c r="I999">
        <f>VLOOKUP(Table4[[#This Row],[Visitor]],'NHL Model'!$A$6:$B$38,2,FALSE)</f>
        <v>-0.20908736804509698</v>
      </c>
      <c r="J999">
        <f>($B$1+Table4[[#This Row],[Home Differential]])-Table4[[#This Row],[Away Differential]]</f>
        <v>-0.22956224606730696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0.50369264385222356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-0.32175529201986758</v>
      </c>
      <c r="H1000" t="s">
        <v>37</v>
      </c>
      <c r="I1000">
        <f>VLOOKUP(Table4[[#This Row],[Visitor]],'NHL Model'!$A$6:$B$38,2,FALSE)</f>
        <v>0.65340538721281671</v>
      </c>
      <c r="J1000">
        <f>($B$1+Table4[[#This Row],[Home Differential]])-Table4[[#This Row],[Away Differential]]</f>
        <v>-0.87919068406202106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0.63934495649830247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-0.47391784202962389</v>
      </c>
      <c r="H1001" t="s">
        <v>38</v>
      </c>
      <c r="I1001">
        <f>VLOOKUP(Table4[[#This Row],[Visitor]],'NHL Model'!$A$6:$B$38,2,FALSE)</f>
        <v>-1.2591310848703385</v>
      </c>
      <c r="J1001">
        <f>($B$1+Table4[[#This Row],[Home Differential]])-Table4[[#This Row],[Away Differential]]</f>
        <v>0.88118323801137788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0.627992375544285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-0.38289376966531796</v>
      </c>
      <c r="H1002" t="s">
        <v>35</v>
      </c>
      <c r="I1002">
        <f>VLOOKUP(Table4[[#This Row],[Visitor]],'NHL Model'!$A$6:$B$38,2,FALSE)</f>
        <v>-1.2663626722629573</v>
      </c>
      <c r="J1002">
        <f>($B$1+Table4[[#This Row],[Home Differential]])-Table4[[#This Row],[Away Differential]]</f>
        <v>0.97943889776830262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0.67384076411583649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2.7346770720058793E-2</v>
      </c>
      <c r="H1003" t="s">
        <v>37</v>
      </c>
      <c r="I1003">
        <f>VLOOKUP(Table4[[#This Row],[Visitor]],'NHL Model'!$A$6:$B$38,2,FALSE)</f>
        <v>0.65340538721281671</v>
      </c>
      <c r="J1003">
        <f>($B$1+Table4[[#This Row],[Home Differential]])-Table4[[#This Row],[Away Differential]]</f>
        <v>-0.53008862132209467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0.56755931497399603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1.1751846443488465</v>
      </c>
      <c r="H1004" t="s">
        <v>34</v>
      </c>
      <c r="I1004">
        <f>VLOOKUP(Table4[[#This Row],[Visitor]],'NHL Model'!$A$6:$B$38,2,FALSE)</f>
        <v>1.2879210938040288E-2</v>
      </c>
      <c r="J1004">
        <f>($B$1+Table4[[#This Row],[Home Differential]])-Table4[[#This Row],[Away Differential]]</f>
        <v>1.2582754285814695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0.69707626792782906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0.21259592260910548</v>
      </c>
      <c r="H1005" t="s">
        <v>10</v>
      </c>
      <c r="I1005">
        <f>VLOOKUP(Table4[[#This Row],[Visitor]],'NHL Model'!$A$6:$B$38,2,FALSE)</f>
        <v>-0.70456324341534593</v>
      </c>
      <c r="J1005">
        <f>($B$1+Table4[[#This Row],[Home Differential]])-Table4[[#This Row],[Away Differential]]</f>
        <v>1.0131291611951148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0.66027354003145911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-0.52712015292731806</v>
      </c>
      <c r="H1006" t="s">
        <v>26</v>
      </c>
      <c r="I1006">
        <f>VLOOKUP(Table4[[#This Row],[Visitor]],'NHL Model'!$A$6:$B$38,2,FALSE)</f>
        <v>-0.17319925920548884</v>
      </c>
      <c r="J1006">
        <f>($B$1+Table4[[#This Row],[Home Differential]])-Table4[[#This Row],[Away Differential]]</f>
        <v>-0.25795089855116599</v>
      </c>
      <c r="K1006" t="str">
        <f>IF(Table4[[#This Row],[HomeIce Differential]]&gt;0,Table4[[#This Row],[Home]],Table4[[#This Row],[Visitor]])</f>
        <v>Detroit Red Wings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0.52504495395577833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3.24300967767114E-5</v>
      </c>
      <c r="H1007" t="s">
        <v>21</v>
      </c>
      <c r="I1007">
        <f>VLOOKUP(Table4[[#This Row],[Visitor]],'NHL Model'!$A$6:$B$38,2,FALSE)</f>
        <v>-5.5047914862176604E-2</v>
      </c>
      <c r="J1007">
        <f>($B$1+Table4[[#This Row],[Home Differential]])-Table4[[#This Row],[Away Differential]]</f>
        <v>0.15105034012961657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0.55508344426157319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-4.774288798450349E-3</v>
      </c>
      <c r="H1008" t="s">
        <v>17</v>
      </c>
      <c r="I1008">
        <f>VLOOKUP(Table4[[#This Row],[Visitor]],'NHL Model'!$A$6:$B$38,2,FALSE)</f>
        <v>-0.20041140176017086</v>
      </c>
      <c r="J1008">
        <f>($B$1+Table4[[#This Row],[Home Differential]])-Table4[[#This Row],[Away Differential]]</f>
        <v>0.29160710813238377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0.56681462149266704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-0.70456324341534593</v>
      </c>
      <c r="H1009" t="s">
        <v>55</v>
      </c>
      <c r="I1009">
        <f>VLOOKUP(Table4[[#This Row],[Visitor]],'NHL Model'!$A$6:$B$38,2,FALSE)</f>
        <v>0.12055191373383152</v>
      </c>
      <c r="J1009">
        <f>($B$1+Table4[[#This Row],[Home Differential]])-Table4[[#This Row],[Away Differential]]</f>
        <v>-0.7291451619785142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0.5328102988703054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-0.32182316569099201</v>
      </c>
      <c r="H1010" t="s">
        <v>15</v>
      </c>
      <c r="I1010">
        <f>VLOOKUP(Table4[[#This Row],[Visitor]],'NHL Model'!$A$6:$B$38,2,FALSE)</f>
        <v>-0.6396663932228257</v>
      </c>
      <c r="J1010">
        <f>($B$1+Table4[[#This Row],[Home Differential]])-Table4[[#This Row],[Away Differential]]</f>
        <v>0.41381322270249693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0.52927398282930849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-1.2591310848703385</v>
      </c>
      <c r="H1011" t="s">
        <v>36</v>
      </c>
      <c r="I1011">
        <f>VLOOKUP(Table4[[#This Row],[Visitor]],'NHL Model'!$A$6:$B$38,2,FALSE)</f>
        <v>-0.40390734274709933</v>
      </c>
      <c r="J1011">
        <f>($B$1+Table4[[#This Row],[Home Differential]])-Table4[[#This Row],[Away Differential]]</f>
        <v>-0.75925374695257597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0.53664634701004887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-8.9159851516330005E-2</v>
      </c>
      <c r="H1012" t="s">
        <v>16</v>
      </c>
      <c r="I1012">
        <f>VLOOKUP(Table4[[#This Row],[Visitor]],'NHL Model'!$A$6:$B$38,2,FALSE)</f>
        <v>-0.79148902514100783</v>
      </c>
      <c r="J1012">
        <f>($B$1+Table4[[#This Row],[Home Differential]])-Table4[[#This Row],[Away Differential]]</f>
        <v>0.79829916879534113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0.61971581531198305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-5.5047914862176604E-2</v>
      </c>
      <c r="H1013" t="s">
        <v>13</v>
      </c>
      <c r="I1013">
        <f>VLOOKUP(Table4[[#This Row],[Visitor]],'NHL Model'!$A$6:$B$38,2,FALSE)</f>
        <v>-0.43624947117902363</v>
      </c>
      <c r="J1013">
        <f>($B$1+Table4[[#This Row],[Home Differential]])-Table4[[#This Row],[Away Differential]]</f>
        <v>0.47717155148751028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0.60047450544554815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2.7346770720058793E-2</v>
      </c>
      <c r="H1014" t="s">
        <v>33</v>
      </c>
      <c r="I1014">
        <f>VLOOKUP(Table4[[#This Row],[Visitor]],'NHL Model'!$A$6:$B$38,2,FALSE)</f>
        <v>-0.53461960928306718</v>
      </c>
      <c r="J1014">
        <f>($B$1+Table4[[#This Row],[Home Differential]])-Table4[[#This Row],[Away Differential]]</f>
        <v>0.65793637517378922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0.62710310689318916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0.29527586190964761</v>
      </c>
      <c r="H1015" t="s">
        <v>14</v>
      </c>
      <c r="I1015">
        <f>VLOOKUP(Table4[[#This Row],[Visitor]],'NHL Model'!$A$6:$B$38,2,FALSE)</f>
        <v>3.24300967767114E-5</v>
      </c>
      <c r="J1015">
        <f>($B$1+Table4[[#This Row],[Home Differential]])-Table4[[#This Row],[Away Differential]]</f>
        <v>0.39121342698353412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0.57350723146184468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1.1751846443488465</v>
      </c>
      <c r="H1016" t="s">
        <v>17</v>
      </c>
      <c r="I1016">
        <f>VLOOKUP(Table4[[#This Row],[Visitor]],'NHL Model'!$A$6:$B$38,2,FALSE)</f>
        <v>-0.20041140176017086</v>
      </c>
      <c r="J1016">
        <f>($B$1+Table4[[#This Row],[Home Differential]])-Table4[[#This Row],[Away Differential]]</f>
        <v>1.4715660412796805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0.77055428978087293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0.21259592260910548</v>
      </c>
      <c r="H1017" t="s">
        <v>20</v>
      </c>
      <c r="I1017">
        <f>VLOOKUP(Table4[[#This Row],[Visitor]],'NHL Model'!$A$6:$B$38,2,FALSE)</f>
        <v>-4.774288798450349E-3</v>
      </c>
      <c r="J1017">
        <f>($B$1+Table4[[#This Row],[Home Differential]])-Table4[[#This Row],[Away Differential]]</f>
        <v>0.31334020657821904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0.55999014102456313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-0.42375285621939396</v>
      </c>
      <c r="H1018" t="s">
        <v>26</v>
      </c>
      <c r="I1018">
        <f>VLOOKUP(Table4[[#This Row],[Visitor]],'NHL Model'!$A$6:$B$38,2,FALSE)</f>
        <v>-0.17319925920548884</v>
      </c>
      <c r="J1018">
        <f>($B$1+Table4[[#This Row],[Home Differential]])-Table4[[#This Row],[Away Differential]]</f>
        <v>-0.15458360184324188</v>
      </c>
      <c r="K1018" t="str">
        <f>IF(Table4[[#This Row],[HomeIce Differential]]&gt;0,Table4[[#This Row],[Home]],Table4[[#This Row],[Visitor]])</f>
        <v>Detroit Red Wings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0.51472299865911642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1.2879210938040288E-2</v>
      </c>
      <c r="H1019" t="s">
        <v>55</v>
      </c>
      <c r="I1019">
        <f>VLOOKUP(Table4[[#This Row],[Visitor]],'NHL Model'!$A$6:$B$38,2,FALSE)</f>
        <v>0.12055191373383152</v>
      </c>
      <c r="J1019">
        <f>($B$1+Table4[[#This Row],[Home Differential]])-Table4[[#This Row],[Away Differential]]</f>
        <v>-1.1702707625127984E-2</v>
      </c>
      <c r="K1019" t="str">
        <f>IF(Table4[[#This Row],[HomeIce Differential]]&gt;0,Table4[[#This Row],[Home]],Table4[[#This Row],[Visitor]])</f>
        <v>Utah Mammoth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0.46116859808472882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-0.23645483545724041</v>
      </c>
      <c r="H1020" t="s">
        <v>19</v>
      </c>
      <c r="I1020">
        <f>VLOOKUP(Table4[[#This Row],[Visitor]],'NHL Model'!$A$6:$B$38,2,FALSE)</f>
        <v>-0.32175529201986758</v>
      </c>
      <c r="J1020">
        <f>($B$1+Table4[[#This Row],[Home Differential]])-Table4[[#This Row],[Away Differential]]</f>
        <v>0.18127045173329043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0.55810113603612599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-0.6396663932228257</v>
      </c>
      <c r="H1021" t="s">
        <v>16</v>
      </c>
      <c r="I1021">
        <f>VLOOKUP(Table4[[#This Row],[Visitor]],'NHL Model'!$A$6:$B$38,2,FALSE)</f>
        <v>-0.79148902514100783</v>
      </c>
      <c r="J1021">
        <f>($B$1+Table4[[#This Row],[Home Differential]])-Table4[[#This Row],[Away Differential]]</f>
        <v>0.24779262708884542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0.56474384550154721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-0.57094405545214133</v>
      </c>
      <c r="H1022" t="s">
        <v>29</v>
      </c>
      <c r="I1022">
        <f>VLOOKUP(Table4[[#This Row],[Visitor]],'NHL Model'!$A$6:$B$38,2,FALSE)</f>
        <v>-0.74313650334688619</v>
      </c>
      <c r="J1022">
        <f>($B$1+Table4[[#This Row],[Home Differential]])-Table4[[#This Row],[Away Differential]]</f>
        <v>0.2681624430654081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0.5667779156243774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-1.2663626722629573</v>
      </c>
      <c r="H1023" t="s">
        <v>30</v>
      </c>
      <c r="I1023">
        <f>VLOOKUP(Table4[[#This Row],[Visitor]],'NHL Model'!$A$6:$B$38,2,FALSE)</f>
        <v>-0.20908736804509698</v>
      </c>
      <c r="J1023">
        <f>($B$1+Table4[[#This Row],[Home Differential]])-Table4[[#This Row],[Away Differential]]</f>
        <v>-0.96130530904719713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0.57676236150250471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0.65340538721281671</v>
      </c>
      <c r="H1024" t="s">
        <v>28</v>
      </c>
      <c r="I1024">
        <f>VLOOKUP(Table4[[#This Row],[Visitor]],'NHL Model'!$A$6:$B$38,2,FALSE)</f>
        <v>-0.42584667868780524</v>
      </c>
      <c r="J1024">
        <f>($B$1+Table4[[#This Row],[Home Differential]])-Table4[[#This Row],[Away Differential]]</f>
        <v>1.1752220610712851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0.67963796765970907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-0.47391784202962389</v>
      </c>
      <c r="H1025" t="s">
        <v>31</v>
      </c>
      <c r="I1025">
        <f>VLOOKUP(Table4[[#This Row],[Visitor]],'NHL Model'!$A$6:$B$38,2,FALSE)</f>
        <v>-0.38289376966531796</v>
      </c>
      <c r="J1025">
        <f>($B$1+Table4[[#This Row],[Home Differential]])-Table4[[#This Row],[Away Differential]]</f>
        <v>4.9459228063573057E-3</v>
      </c>
      <c r="K1025" t="str">
        <f>IF(Table4[[#This Row],[HomeIce Differential]]&gt;0,Table4[[#This Row],[Home]],Table4[[#This Row],[Visitor]])</f>
        <v>Winnipeg Jets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0.54049388535575438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-0.40390734274709933</v>
      </c>
      <c r="H1026" t="s">
        <v>18</v>
      </c>
      <c r="I1026">
        <f>VLOOKUP(Table4[[#This Row],[Visitor]],'NHL Model'!$A$6:$B$38,2,FALSE)</f>
        <v>-0.23645483545724041</v>
      </c>
      <c r="J1026">
        <f>($B$1+Table4[[#This Row],[Home Differential]])-Table4[[#This Row],[Away Differential]]</f>
        <v>-7.1482512119195679E-2</v>
      </c>
      <c r="K1026" t="str">
        <f>IF(Table4[[#This Row],[HomeIce Differential]]&gt;0,Table4[[#This Row],[Home]],Table4[[#This Row],[Visitor]])</f>
        <v>Montreal Canadiens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0.50642476739493614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-0.32182316569099201</v>
      </c>
      <c r="H1027" t="s">
        <v>22</v>
      </c>
      <c r="I1027">
        <f>VLOOKUP(Table4[[#This Row],[Visitor]],'NHL Model'!$A$6:$B$38,2,FALSE)</f>
        <v>-8.9159851516330005E-2</v>
      </c>
      <c r="J1027">
        <f>($B$1+Table4[[#This Row],[Home Differential]])-Table4[[#This Row],[Away Differential]]</f>
        <v>-0.13669331900399878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0.47364979421004294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-5.5047914862176604E-2</v>
      </c>
      <c r="H1028" t="s">
        <v>33</v>
      </c>
      <c r="I1028">
        <f>VLOOKUP(Table4[[#This Row],[Visitor]],'NHL Model'!$A$6:$B$38,2,FALSE)</f>
        <v>-0.53461960928306718</v>
      </c>
      <c r="J1028">
        <f>($B$1+Table4[[#This Row],[Home Differential]])-Table4[[#This Row],[Away Differential]]</f>
        <v>0.57554168959155383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0.61997190630432586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2.7346770720058793E-2</v>
      </c>
      <c r="H1029" t="s">
        <v>22</v>
      </c>
      <c r="I1029">
        <f>VLOOKUP(Table4[[#This Row],[Visitor]],'NHL Model'!$A$6:$B$38,2,FALSE)</f>
        <v>-8.9159851516330005E-2</v>
      </c>
      <c r="J1029">
        <f>($B$1+Table4[[#This Row],[Home Differential]])-Table4[[#This Row],[Away Differential]]</f>
        <v>0.21247661740705204</v>
      </c>
      <c r="K1029" t="str">
        <f>IF(Table4[[#This Row],[HomeIce Differential]]&gt;0,Table4[[#This Row],[Home]],Table4[[#This Row],[Visitor]])</f>
        <v>Buffalo Sabres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0.60303547409833669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0.29527586190964761</v>
      </c>
      <c r="H1030" t="s">
        <v>35</v>
      </c>
      <c r="I1030">
        <f>VLOOKUP(Table4[[#This Row],[Visitor]],'NHL Model'!$A$6:$B$38,2,FALSE)</f>
        <v>-1.2663626722629573</v>
      </c>
      <c r="J1030">
        <f>($B$1+Table4[[#This Row],[Home Differential]])-Table4[[#This Row],[Away Differential]]</f>
        <v>1.6576085293432681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0.74842548396565967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0.21259592260910548</v>
      </c>
      <c r="H1031" t="s">
        <v>17</v>
      </c>
      <c r="I1031">
        <f>VLOOKUP(Table4[[#This Row],[Visitor]],'NHL Model'!$A$6:$B$38,2,FALSE)</f>
        <v>-0.20041140176017086</v>
      </c>
      <c r="J1031">
        <f>($B$1+Table4[[#This Row],[Home Differential]])-Table4[[#This Row],[Away Differential]]</f>
        <v>0.50897731953993963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0.60764316521840356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-0.42375285621939396</v>
      </c>
      <c r="H1032" t="s">
        <v>28</v>
      </c>
      <c r="I1032">
        <f>VLOOKUP(Table4[[#This Row],[Visitor]],'NHL Model'!$A$6:$B$38,2,FALSE)</f>
        <v>-0.42584667868780524</v>
      </c>
      <c r="J1032">
        <f>($B$1+Table4[[#This Row],[Home Differential]])-Table4[[#This Row],[Away Differential]]</f>
        <v>9.8063817639074513E-2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0.54979236542047383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1.2879210938040288E-2</v>
      </c>
      <c r="H1033" t="s">
        <v>27</v>
      </c>
      <c r="I1033">
        <f>VLOOKUP(Table4[[#This Row],[Visitor]],'NHL Model'!$A$6:$B$38,2,FALSE)</f>
        <v>-0.32182316569099201</v>
      </c>
      <c r="J1033">
        <f>($B$1+Table4[[#This Row],[Home Differential]])-Table4[[#This Row],[Away Differential]]</f>
        <v>0.43067237179969553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0.57241744552372087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-0.52712015292731806</v>
      </c>
      <c r="H1034" t="s">
        <v>16</v>
      </c>
      <c r="I1034">
        <f>VLOOKUP(Table4[[#This Row],[Visitor]],'NHL Model'!$A$6:$B$38,2,FALSE)</f>
        <v>-0.79148902514100783</v>
      </c>
      <c r="J1034">
        <f>($B$1+Table4[[#This Row],[Home Differential]])-Table4[[#This Row],[Away Differential]]</f>
        <v>0.360338867384353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0.57598238320288719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-0.57094405545214133</v>
      </c>
      <c r="H1035" t="s">
        <v>12</v>
      </c>
      <c r="I1035">
        <f>VLOOKUP(Table4[[#This Row],[Visitor]],'NHL Model'!$A$6:$B$38,2,FALSE)</f>
        <v>1.1751846443488465</v>
      </c>
      <c r="J1035">
        <f>($B$1+Table4[[#This Row],[Home Differential]])-Table4[[#This Row],[Away Differential]]</f>
        <v>-1.6501587046303245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0.69468160160466341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0.65340538721281671</v>
      </c>
      <c r="H1036" t="s">
        <v>26</v>
      </c>
      <c r="I1036">
        <f>VLOOKUP(Table4[[#This Row],[Visitor]],'NHL Model'!$A$6:$B$38,2,FALSE)</f>
        <v>-0.17319925920548884</v>
      </c>
      <c r="J1036">
        <f>($B$1+Table4[[#This Row],[Home Differential]])-Table4[[#This Row],[Away Differential]]</f>
        <v>0.92257464158896885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0.61534541403561482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-0.32175529201986758</v>
      </c>
      <c r="H1037" t="s">
        <v>31</v>
      </c>
      <c r="I1037">
        <f>VLOOKUP(Table4[[#This Row],[Visitor]],'NHL Model'!$A$6:$B$38,2,FALSE)</f>
        <v>-0.38289376966531796</v>
      </c>
      <c r="J1037">
        <f>($B$1+Table4[[#This Row],[Home Differential]])-Table4[[#This Row],[Away Differential]]</f>
        <v>0.15710847281611362</v>
      </c>
      <c r="K1037" t="str">
        <f>IF(Table4[[#This Row],[HomeIce Differential]]&gt;0,Table4[[#This Row],[Home]],Table4[[#This Row],[Visitor]])</f>
        <v>Toronto Maple Leafs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0.56101899831655355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0.12055191373383152</v>
      </c>
      <c r="H1038" t="s">
        <v>10</v>
      </c>
      <c r="I1038">
        <f>VLOOKUP(Table4[[#This Row],[Visitor]],'NHL Model'!$A$6:$B$38,2,FALSE)</f>
        <v>-0.70456324341534593</v>
      </c>
      <c r="J1038">
        <f>($B$1+Table4[[#This Row],[Home Differential]])-Table4[[#This Row],[Away Differential]]</f>
        <v>0.92108515231984067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0.66801373012060927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-1.2591310848703385</v>
      </c>
      <c r="H1039" t="s">
        <v>29</v>
      </c>
      <c r="I1039">
        <f>VLOOKUP(Table4[[#This Row],[Visitor]],'NHL Model'!$A$6:$B$38,2,FALSE)</f>
        <v>-0.74313650334688619</v>
      </c>
      <c r="J1039">
        <f>($B$1+Table4[[#This Row],[Home Differential]])-Table4[[#This Row],[Away Differential]]</f>
        <v>-0.42002458635278916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0.50194242417002299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-4.774288798450349E-3</v>
      </c>
      <c r="H1040" t="s">
        <v>14</v>
      </c>
      <c r="I1040">
        <f>VLOOKUP(Table4[[#This Row],[Visitor]],'NHL Model'!$A$6:$B$38,2,FALSE)</f>
        <v>3.24300967767114E-5</v>
      </c>
      <c r="J1040">
        <f>($B$1+Table4[[#This Row],[Home Differential]])-Table4[[#This Row],[Away Differential]]</f>
        <v>9.1163276275436189E-2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0.50001238849334662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-0.47391784202962389</v>
      </c>
      <c r="H1041" t="s">
        <v>15</v>
      </c>
      <c r="I1041">
        <f>VLOOKUP(Table4[[#This Row],[Visitor]],'NHL Model'!$A$6:$B$38,2,FALSE)</f>
        <v>-0.6396663932228257</v>
      </c>
      <c r="J1041">
        <f>($B$1+Table4[[#This Row],[Home Differential]])-Table4[[#This Row],[Away Differential]]</f>
        <v>0.26171854636386505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0.51408625421468124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-0.20908736804509698</v>
      </c>
      <c r="H1042" t="s">
        <v>13</v>
      </c>
      <c r="I1042">
        <f>VLOOKUP(Table4[[#This Row],[Visitor]],'NHL Model'!$A$6:$B$38,2,FALSE)</f>
        <v>-0.43624947117902363</v>
      </c>
      <c r="J1042">
        <f>($B$1+Table4[[#This Row],[Home Differential]])-Table4[[#This Row],[Away Differential]]</f>
        <v>0.32313209830458989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0.5507855428080376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-1.2663626722629573</v>
      </c>
      <c r="H1043" t="s">
        <v>17</v>
      </c>
      <c r="I1043">
        <f>VLOOKUP(Table4[[#This Row],[Visitor]],'NHL Model'!$A$6:$B$38,2,FALSE)</f>
        <v>-0.20041140176017086</v>
      </c>
      <c r="J1043">
        <f>($B$1+Table4[[#This Row],[Home Differential]])-Table4[[#This Row],[Away Differential]]</f>
        <v>-0.9699812753321233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0.55916389697148328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2.7346770720058793E-2</v>
      </c>
      <c r="H1044" t="s">
        <v>19</v>
      </c>
      <c r="I1044">
        <f>VLOOKUP(Table4[[#This Row],[Visitor]],'NHL Model'!$A$6:$B$38,2,FALSE)</f>
        <v>-0.32175529201986758</v>
      </c>
      <c r="J1044">
        <f>($B$1+Table4[[#This Row],[Home Differential]])-Table4[[#This Row],[Away Differential]]</f>
        <v>0.44507205791058962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0.62626177308793618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0.21259592260910548</v>
      </c>
      <c r="H1045" t="s">
        <v>26</v>
      </c>
      <c r="I1045">
        <f>VLOOKUP(Table4[[#This Row],[Visitor]],'NHL Model'!$A$6:$B$38,2,FALSE)</f>
        <v>-0.17319925920548884</v>
      </c>
      <c r="J1045">
        <f>($B$1+Table4[[#This Row],[Home Differential]])-Table4[[#This Row],[Away Differential]]</f>
        <v>0.48176517698525756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0.56810765859903745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1.2879210938040288E-2</v>
      </c>
      <c r="H1046" t="s">
        <v>15</v>
      </c>
      <c r="I1046">
        <f>VLOOKUP(Table4[[#This Row],[Visitor]],'NHL Model'!$A$6:$B$38,2,FALSE)</f>
        <v>-0.6396663932228257</v>
      </c>
      <c r="J1046">
        <f>($B$1+Table4[[#This Row],[Home Differential]])-Table4[[#This Row],[Away Differential]]</f>
        <v>0.74851559933152922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0.56269638120171861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-0.23645483545724041</v>
      </c>
      <c r="H1047" t="s">
        <v>33</v>
      </c>
      <c r="I1047">
        <f>VLOOKUP(Table4[[#This Row],[Visitor]],'NHL Model'!$A$6:$B$38,2,FALSE)</f>
        <v>-0.53461960928306718</v>
      </c>
      <c r="J1047">
        <f>($B$1+Table4[[#This Row],[Home Differential]])-Table4[[#This Row],[Away Differential]]</f>
        <v>0.39413476899649003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0.55858791211840031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-0.52712015292731806</v>
      </c>
      <c r="H1048" t="s">
        <v>13</v>
      </c>
      <c r="I1048">
        <f>VLOOKUP(Table4[[#This Row],[Visitor]],'NHL Model'!$A$6:$B$38,2,FALSE)</f>
        <v>-0.43624947117902363</v>
      </c>
      <c r="J1048">
        <f>($B$1+Table4[[#This Row],[Home Differential]])-Table4[[#This Row],[Away Differential]]</f>
        <v>5.0993134223688008E-3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0.50994316475725743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-0.20908736804509698</v>
      </c>
      <c r="H1049" t="s">
        <v>16</v>
      </c>
      <c r="I1049">
        <f>VLOOKUP(Table4[[#This Row],[Visitor]],'NHL Model'!$A$6:$B$38,2,FALSE)</f>
        <v>-0.79148902514100783</v>
      </c>
      <c r="J1049">
        <f>($B$1+Table4[[#This Row],[Home Differential]])-Table4[[#This Row],[Away Differential]]</f>
        <v>0.67837165226657414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0.61675981284243697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-0.40390734274709933</v>
      </c>
      <c r="H1050" t="s">
        <v>31</v>
      </c>
      <c r="I1050">
        <f>VLOOKUP(Table4[[#This Row],[Visitor]],'NHL Model'!$A$6:$B$38,2,FALSE)</f>
        <v>-0.38289376966531796</v>
      </c>
      <c r="J1050">
        <f>($B$1+Table4[[#This Row],[Home Differential]])-Table4[[#This Row],[Away Differential]]</f>
        <v>7.4956422088881869E-2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0.54748492862481768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-0.32182316569099201</v>
      </c>
      <c r="H1051" t="s">
        <v>28</v>
      </c>
      <c r="I1051">
        <f>VLOOKUP(Table4[[#This Row],[Visitor]],'NHL Model'!$A$6:$B$38,2,FALSE)</f>
        <v>-0.42584667868780524</v>
      </c>
      <c r="J1051">
        <f>($B$1+Table4[[#This Row],[Home Differential]])-Table4[[#This Row],[Away Differential]]</f>
        <v>0.19999350816747646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0.55997076557743652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0.65340538721281671</v>
      </c>
      <c r="H1052" t="s">
        <v>25</v>
      </c>
      <c r="I1052">
        <f>VLOOKUP(Table4[[#This Row],[Visitor]],'NHL Model'!$A$6:$B$38,2,FALSE)</f>
        <v>0.29527586190964761</v>
      </c>
      <c r="J1052">
        <f>($B$1+Table4[[#This Row],[Home Differential]])-Table4[[#This Row],[Away Differential]]</f>
        <v>0.4540995204738324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0.54857085367492064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0.12055191373383152</v>
      </c>
      <c r="H1053" t="s">
        <v>14</v>
      </c>
      <c r="I1053">
        <f>VLOOKUP(Table4[[#This Row],[Visitor]],'NHL Model'!$A$6:$B$38,2,FALSE)</f>
        <v>3.24300967767114E-5</v>
      </c>
      <c r="J1053">
        <f>($B$1+Table4[[#This Row],[Home Differential]])-Table4[[#This Row],[Away Differential]]</f>
        <v>0.21648947880771807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0.54904416519613952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-1.2591310848703385</v>
      </c>
      <c r="H1054" t="s">
        <v>32</v>
      </c>
      <c r="I1054">
        <f>VLOOKUP(Table4[[#This Row],[Visitor]],'NHL Model'!$A$6:$B$38,2,FALSE)</f>
        <v>-0.57094405545214133</v>
      </c>
      <c r="J1054">
        <f>($B$1+Table4[[#This Row],[Home Differential]])-Table4[[#This Row],[Away Differential]]</f>
        <v>-0.59221703424753402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0.51913705734897198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-4.774288798450349E-3</v>
      </c>
      <c r="H1055" t="s">
        <v>10</v>
      </c>
      <c r="I1055">
        <f>VLOOKUP(Table4[[#This Row],[Visitor]],'NHL Model'!$A$6:$B$38,2,FALSE)</f>
        <v>-0.70456324341534593</v>
      </c>
      <c r="J1055">
        <f>($B$1+Table4[[#This Row],[Home Differential]])-Table4[[#This Row],[Away Differential]]</f>
        <v>0.79575894978755879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0.61946215648683112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-0.47391784202962389</v>
      </c>
      <c r="H1056" t="s">
        <v>12</v>
      </c>
      <c r="I1056">
        <f>VLOOKUP(Table4[[#This Row],[Visitor]],'NHL Model'!$A$6:$B$38,2,FALSE)</f>
        <v>1.1751846443488465</v>
      </c>
      <c r="J1056">
        <f>($B$1+Table4[[#This Row],[Home Differential]])-Table4[[#This Row],[Away Differential]]</f>
        <v>-1.5531324912078071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0.68499284830020724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-8.9159851516330005E-2</v>
      </c>
      <c r="H1057" t="s">
        <v>21</v>
      </c>
      <c r="I1057">
        <f>VLOOKUP(Table4[[#This Row],[Visitor]],'NHL Model'!$A$6:$B$38,2,FALSE)</f>
        <v>-5.5047914862176604E-2</v>
      </c>
      <c r="J1057">
        <f>($B$1+Table4[[#This Row],[Home Differential]])-Table4[[#This Row],[Away Differential]]</f>
        <v>6.1858058516509849E-2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0.54617696442763575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-0.20041140176017086</v>
      </c>
      <c r="H1058" t="s">
        <v>29</v>
      </c>
      <c r="I1058">
        <f>VLOOKUP(Table4[[#This Row],[Visitor]],'NHL Model'!$A$6:$B$38,2,FALSE)</f>
        <v>-0.74313650334688619</v>
      </c>
      <c r="J1058">
        <f>($B$1+Table4[[#This Row],[Home Differential]])-Table4[[#This Row],[Away Differential]]</f>
        <v>0.63869509675737857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0.60377822045162755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1.2879210938040288E-2</v>
      </c>
      <c r="H1059" t="s">
        <v>19</v>
      </c>
      <c r="I1059">
        <f>VLOOKUP(Table4[[#This Row],[Visitor]],'NHL Model'!$A$6:$B$38,2,FALSE)</f>
        <v>-0.32175529201986758</v>
      </c>
      <c r="J1059">
        <f>($B$1+Table4[[#This Row],[Home Differential]])-Table4[[#This Row],[Away Differential]]</f>
        <v>0.4306044981285711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0.58299890315196667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-0.23645483545724041</v>
      </c>
      <c r="H1060" t="s">
        <v>31</v>
      </c>
      <c r="I1060">
        <f>VLOOKUP(Table4[[#This Row],[Visitor]],'NHL Model'!$A$6:$B$38,2,FALSE)</f>
        <v>-0.38289376966531796</v>
      </c>
      <c r="J1060">
        <f>($B$1+Table4[[#This Row],[Home Differential]])-Table4[[#This Row],[Away Differential]]</f>
        <v>0.24240892937874081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0.56420624522695106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-0.40390734274709933</v>
      </c>
      <c r="H1061" t="s">
        <v>33</v>
      </c>
      <c r="I1061">
        <f>VLOOKUP(Table4[[#This Row],[Visitor]],'NHL Model'!$A$6:$B$38,2,FALSE)</f>
        <v>-0.53461960928306718</v>
      </c>
      <c r="J1061">
        <f>($B$1+Table4[[#This Row],[Home Differential]])-Table4[[#This Row],[Away Differential]]</f>
        <v>0.22668226170663108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0.54186659551626681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-0.57094405545214133</v>
      </c>
      <c r="H1062" t="s">
        <v>11</v>
      </c>
      <c r="I1062">
        <f>VLOOKUP(Table4[[#This Row],[Visitor]],'NHL Model'!$A$6:$B$38,2,FALSE)</f>
        <v>-0.42375285621939396</v>
      </c>
      <c r="J1062">
        <f>($B$1+Table4[[#This Row],[Home Differential]])-Table4[[#This Row],[Away Differential]]</f>
        <v>-5.1221204062084136E-2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0.51652313920654291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-0.47391784202962389</v>
      </c>
      <c r="H1063" t="s">
        <v>35</v>
      </c>
      <c r="I1063">
        <f>VLOOKUP(Table4[[#This Row],[Visitor]],'NHL Model'!$A$6:$B$38,2,FALSE)</f>
        <v>-1.2663626722629573</v>
      </c>
      <c r="J1063">
        <f>($B$1+Table4[[#This Row],[Home Differential]])-Table4[[#This Row],[Away Differential]]</f>
        <v>0.88841482540399663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0.62871450066671541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1.1751846443488465</v>
      </c>
      <c r="H1064" t="s">
        <v>14</v>
      </c>
      <c r="I1064">
        <f>VLOOKUP(Table4[[#This Row],[Visitor]],'NHL Model'!$A$6:$B$38,2,FALSE)</f>
        <v>3.24300967767114E-5</v>
      </c>
      <c r="J1064">
        <f>($B$1+Table4[[#This Row],[Home Differential]])-Table4[[#This Row],[Away Differential]]</f>
        <v>1.271122209422733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0.70563424208596259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0.21259592260910548</v>
      </c>
      <c r="H1065" t="s">
        <v>55</v>
      </c>
      <c r="I1065">
        <f>VLOOKUP(Table4[[#This Row],[Visitor]],'NHL Model'!$A$6:$B$38,2,FALSE)</f>
        <v>0.12055191373383152</v>
      </c>
      <c r="J1065">
        <f>($B$1+Table4[[#This Row],[Home Differential]])-Table4[[#This Row],[Away Differential]]</f>
        <v>0.18801400404593721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0.57787995871572517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-0.17319925920548884</v>
      </c>
      <c r="H1066" t="s">
        <v>16</v>
      </c>
      <c r="I1066">
        <f>VLOOKUP(Table4[[#This Row],[Visitor]],'NHL Model'!$A$6:$B$38,2,FALSE)</f>
        <v>-0.79148902514100783</v>
      </c>
      <c r="J1066">
        <f>($B$1+Table4[[#This Row],[Home Differential]])-Table4[[#This Row],[Away Differential]]</f>
        <v>0.71425976110618228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0.66303986269722359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-0.52712015292731806</v>
      </c>
      <c r="H1067" t="s">
        <v>21</v>
      </c>
      <c r="I1067">
        <f>VLOOKUP(Table4[[#This Row],[Visitor]],'NHL Model'!$A$6:$B$38,2,FALSE)</f>
        <v>-5.5047914862176604E-2</v>
      </c>
      <c r="J1067">
        <f>($B$1+Table4[[#This Row],[Home Differential]])-Table4[[#This Row],[Away Differential]]</f>
        <v>-0.37610224289447824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0.49755646768146028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-0.6396663932228257</v>
      </c>
      <c r="H1068" t="s">
        <v>13</v>
      </c>
      <c r="I1068">
        <f>VLOOKUP(Table4[[#This Row],[Visitor]],'NHL Model'!$A$6:$B$38,2,FALSE)</f>
        <v>-0.43624947117902363</v>
      </c>
      <c r="J1068">
        <f>($B$1+Table4[[#This Row],[Home Differential]])-Table4[[#This Row],[Away Differential]]</f>
        <v>-0.10744692687313878</v>
      </c>
      <c r="K1068" t="str">
        <f>IF(Table4[[#This Row],[HomeIce Differential]]&gt;0,Table4[[#This Row],[Home]],Table4[[#This Row],[Visitor]])</f>
        <v>Los Angeles Kings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0.50129537294408244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-0.42584667868780524</v>
      </c>
      <c r="H1069" t="s">
        <v>25</v>
      </c>
      <c r="I1069">
        <f>VLOOKUP(Table4[[#This Row],[Visitor]],'NHL Model'!$A$6:$B$38,2,FALSE)</f>
        <v>0.29527586190964761</v>
      </c>
      <c r="J1069">
        <f>($B$1+Table4[[#This Row],[Home Differential]])-Table4[[#This Row],[Away Differential]]</f>
        <v>-0.62515254542678966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0.58171373479464461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-0.70456324341534593</v>
      </c>
      <c r="H1070" t="s">
        <v>34</v>
      </c>
      <c r="I1070">
        <f>VLOOKUP(Table4[[#This Row],[Visitor]],'NHL Model'!$A$6:$B$38,2,FALSE)</f>
        <v>1.2879210938040288E-2</v>
      </c>
      <c r="J1070">
        <f>($B$1+Table4[[#This Row],[Home Differential]])-Table4[[#This Row],[Away Differential]]</f>
        <v>-0.62147245918272298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0.57858734395998279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-0.20041140176017086</v>
      </c>
      <c r="H1071" t="s">
        <v>33</v>
      </c>
      <c r="I1071">
        <f>VLOOKUP(Table4[[#This Row],[Visitor]],'NHL Model'!$A$6:$B$38,2,FALSE)</f>
        <v>-0.53461960928306718</v>
      </c>
      <c r="J1071">
        <f>($B$1+Table4[[#This Row],[Home Differential]])-Table4[[#This Row],[Away Differential]]</f>
        <v>0.43017820269355955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0.56218710376999759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-0.23645483545724041</v>
      </c>
      <c r="H1072" t="s">
        <v>21</v>
      </c>
      <c r="I1072">
        <f>VLOOKUP(Table4[[#This Row],[Visitor]],'NHL Model'!$A$6:$B$38,2,FALSE)</f>
        <v>-5.5047914862176604E-2</v>
      </c>
      <c r="J1072">
        <f>($B$1+Table4[[#This Row],[Home Differential]])-Table4[[#This Row],[Away Differential]]</f>
        <v>-8.5436925424400539E-2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0.46853148097126635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-0.57094405545214133</v>
      </c>
      <c r="H1073" t="s">
        <v>37</v>
      </c>
      <c r="I1073">
        <f>VLOOKUP(Table4[[#This Row],[Visitor]],'NHL Model'!$A$6:$B$38,2,FALSE)</f>
        <v>0.65340538721281671</v>
      </c>
      <c r="J1073">
        <f>($B$1+Table4[[#This Row],[Home Differential]])-Table4[[#This Row],[Away Differential]]</f>
        <v>-1.1283794474942948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0.66953481224565703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-0.32175529201986758</v>
      </c>
      <c r="H1074" t="s">
        <v>30</v>
      </c>
      <c r="I1074">
        <f>VLOOKUP(Table4[[#This Row],[Visitor]],'NHL Model'!$A$6:$B$38,2,FALSE)</f>
        <v>-0.20908736804509698</v>
      </c>
      <c r="J1074">
        <f>($B$1+Table4[[#This Row],[Home Differential]])-Table4[[#This Row],[Away Differential]]</f>
        <v>-1.6697928804107365E-2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0.47707724229706155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-1.2591310848703385</v>
      </c>
      <c r="H1075" t="s">
        <v>11</v>
      </c>
      <c r="I1075">
        <f>VLOOKUP(Table4[[#This Row],[Visitor]],'NHL Model'!$A$6:$B$38,2,FALSE)</f>
        <v>-0.42375285621939396</v>
      </c>
      <c r="J1075">
        <f>($B$1+Table4[[#This Row],[Home Differential]])-Table4[[#This Row],[Away Differential]]</f>
        <v>-0.7394082334802814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0.58524347900094331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-4.774288798450349E-3</v>
      </c>
      <c r="H1076" t="s">
        <v>23</v>
      </c>
      <c r="I1076">
        <f>VLOOKUP(Table4[[#This Row],[Visitor]],'NHL Model'!$A$6:$B$38,2,FALSE)</f>
        <v>2.7346770720058793E-2</v>
      </c>
      <c r="J1076">
        <f>($B$1+Table4[[#This Row],[Home Differential]])-Table4[[#This Row],[Away Differential]]</f>
        <v>6.3848935652154104E-2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0.52560653681423608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-0.47391784202962389</v>
      </c>
      <c r="H1077" t="s">
        <v>29</v>
      </c>
      <c r="I1077">
        <f>VLOOKUP(Table4[[#This Row],[Visitor]],'NHL Model'!$A$6:$B$38,2,FALSE)</f>
        <v>-0.74313650334688619</v>
      </c>
      <c r="J1077">
        <f>($B$1+Table4[[#This Row],[Home Differential]])-Table4[[#This Row],[Away Differential]]</f>
        <v>0.36518865648792553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0.57646666892883358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-0.38289376966531796</v>
      </c>
      <c r="H1078" t="s">
        <v>27</v>
      </c>
      <c r="I1078">
        <f>VLOOKUP(Table4[[#This Row],[Visitor]],'NHL Model'!$A$6:$B$38,2,FALSE)</f>
        <v>-0.32182316569099201</v>
      </c>
      <c r="J1078">
        <f>($B$1+Table4[[#This Row],[Home Differential]])-Table4[[#This Row],[Away Differential]]</f>
        <v>3.4899391196337282E-2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0.56909581064898196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0.29527586190964761</v>
      </c>
      <c r="H1079" t="s">
        <v>14</v>
      </c>
      <c r="I1079">
        <f>VLOOKUP(Table4[[#This Row],[Visitor]],'NHL Model'!$A$6:$B$38,2,FALSE)</f>
        <v>3.24300967767114E-5</v>
      </c>
      <c r="J1079">
        <f>($B$1+Table4[[#This Row],[Home Differential]])-Table4[[#This Row],[Away Differential]]</f>
        <v>0.39121342698353412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0.57350723146184468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-0.79148902514100783</v>
      </c>
      <c r="H1080" t="s">
        <v>35</v>
      </c>
      <c r="I1080">
        <f>VLOOKUP(Table4[[#This Row],[Visitor]],'NHL Model'!$A$6:$B$38,2,FALSE)</f>
        <v>-1.2663626722629573</v>
      </c>
      <c r="J1080">
        <f>($B$1+Table4[[#This Row],[Home Differential]])-Table4[[#This Row],[Away Differential]]</f>
        <v>0.57084364229261275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0.59700277307025951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1.1751846443488465</v>
      </c>
      <c r="H1081" t="s">
        <v>39</v>
      </c>
      <c r="I1081">
        <f>VLOOKUP(Table4[[#This Row],[Visitor]],'NHL Model'!$A$6:$B$38,2,FALSE)</f>
        <v>0.21259592260910548</v>
      </c>
      <c r="J1081">
        <f>($B$1+Table4[[#This Row],[Home Differential]])-Table4[[#This Row],[Away Differential]]</f>
        <v>1.0585587169104043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0.69517825521923404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-0.6396663932228257</v>
      </c>
      <c r="H1082" t="s">
        <v>24</v>
      </c>
      <c r="I1082">
        <f>VLOOKUP(Table4[[#This Row],[Visitor]],'NHL Model'!$A$6:$B$38,2,FALSE)</f>
        <v>-0.52712015292731806</v>
      </c>
      <c r="J1082">
        <f>($B$1+Table4[[#This Row],[Home Differential]])-Table4[[#This Row],[Away Differential]]</f>
        <v>-1.6576245124844347E-2</v>
      </c>
      <c r="K1082" t="str">
        <f>IF(Table4[[#This Row],[HomeIce Differential]]&gt;0,Table4[[#This Row],[Home]],Table4[[#This Row],[Visitor]])</f>
        <v>New Jersey Devils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0.49966322338340152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-8.9159851516330005E-2</v>
      </c>
      <c r="H1083" t="s">
        <v>36</v>
      </c>
      <c r="I1083">
        <f>VLOOKUP(Table4[[#This Row],[Visitor]],'NHL Model'!$A$6:$B$38,2,FALSE)</f>
        <v>-0.40390734274709933</v>
      </c>
      <c r="J1083">
        <f>($B$1+Table4[[#This Row],[Home Differential]])-Table4[[#This Row],[Away Differential]]</f>
        <v>0.41071748640143257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0.58018355135890631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-5.5047914862176604E-2</v>
      </c>
      <c r="H1084" t="s">
        <v>40</v>
      </c>
      <c r="I1084">
        <f>VLOOKUP(Table4[[#This Row],[Visitor]],'NHL Model'!$A$6:$B$38,2,FALSE)</f>
        <v>-0.47391784202962389</v>
      </c>
      <c r="J1084">
        <f>($B$1+Table4[[#This Row],[Home Differential]])-Table4[[#This Row],[Away Differential]]</f>
        <v>0.51483992233811049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0.63431196013746494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-0.42584667868780524</v>
      </c>
      <c r="H1085" t="s">
        <v>15</v>
      </c>
      <c r="I1085">
        <f>VLOOKUP(Table4[[#This Row],[Visitor]],'NHL Model'!$A$6:$B$38,2,FALSE)</f>
        <v>-0.6396663932228257</v>
      </c>
      <c r="J1085">
        <f>($B$1+Table4[[#This Row],[Home Differential]])-Table4[[#This Row],[Away Differential]]</f>
        <v>0.3097897097056837</v>
      </c>
      <c r="K1085" t="str">
        <f>IF(Table4[[#This Row],[HomeIce Differential]]&gt;0,Table4[[#This Row],[Home]],Table4[[#This Row],[Visitor]])</f>
        <v>Columbus Blue Jackets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0.5188864996973005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-0.17319925920548884</v>
      </c>
      <c r="H1086" t="s">
        <v>18</v>
      </c>
      <c r="I1086">
        <f>VLOOKUP(Table4[[#This Row],[Visitor]],'NHL Model'!$A$6:$B$38,2,FALSE)</f>
        <v>-0.23645483545724041</v>
      </c>
      <c r="J1086">
        <f>($B$1+Table4[[#This Row],[Home Differential]])-Table4[[#This Row],[Away Differential]]</f>
        <v>0.15922557142241484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0.56909128825991218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-0.20041140176017086</v>
      </c>
      <c r="H1087" t="s">
        <v>11</v>
      </c>
      <c r="I1087">
        <f>VLOOKUP(Table4[[#This Row],[Visitor]],'NHL Model'!$A$6:$B$38,2,FALSE)</f>
        <v>-0.42375285621939396</v>
      </c>
      <c r="J1087">
        <f>($B$1+Table4[[#This Row],[Home Differential]])-Table4[[#This Row],[Away Differential]]</f>
        <v>0.31931144962988633</v>
      </c>
      <c r="K1087" t="str">
        <f>IF(Table4[[#This Row],[HomeIce Differential]]&gt;0,Table4[[#This Row],[Home]],Table4[[#This Row],[Visitor]])</f>
        <v>Edmonton Oilers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0.52047716562070745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-0.43624947117902363</v>
      </c>
      <c r="H1088" t="s">
        <v>27</v>
      </c>
      <c r="I1088">
        <f>VLOOKUP(Table4[[#This Row],[Visitor]],'NHL Model'!$A$6:$B$38,2,FALSE)</f>
        <v>-0.32182316569099201</v>
      </c>
      <c r="J1088">
        <f>($B$1+Table4[[#This Row],[Home Differential]])-Table4[[#This Row],[Away Differential]]</f>
        <v>-1.8456310317368385E-2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0.47243122834999185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1.2879210938040288E-2</v>
      </c>
      <c r="H1089" t="s">
        <v>10</v>
      </c>
      <c r="I1089">
        <f>VLOOKUP(Table4[[#This Row],[Visitor]],'NHL Model'!$A$6:$B$38,2,FALSE)</f>
        <v>-0.70456324341534593</v>
      </c>
      <c r="J1089">
        <f>($B$1+Table4[[#This Row],[Home Differential]])-Table4[[#This Row],[Away Differential]]</f>
        <v>0.81341244952404945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0.62122498323100506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-0.74313650334688619</v>
      </c>
      <c r="H1090" t="s">
        <v>32</v>
      </c>
      <c r="I1090">
        <f>VLOOKUP(Table4[[#This Row],[Visitor]],'NHL Model'!$A$6:$B$38,2,FALSE)</f>
        <v>-0.57094405545214133</v>
      </c>
      <c r="J1090">
        <f>($B$1+Table4[[#This Row],[Home Differential]])-Table4[[#This Row],[Away Differential]]</f>
        <v>-7.6222452724081569E-2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0.46761135073352056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-0.40390734274709933</v>
      </c>
      <c r="H1091" t="s">
        <v>30</v>
      </c>
      <c r="I1091">
        <f>VLOOKUP(Table4[[#This Row],[Visitor]],'NHL Model'!$A$6:$B$38,2,FALSE)</f>
        <v>-0.20908736804509698</v>
      </c>
      <c r="J1091">
        <f>($B$1+Table4[[#This Row],[Home Differential]])-Table4[[#This Row],[Away Differential]]</f>
        <v>-9.8849979531339116E-2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0.49064010001215447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-0.53461960928306718</v>
      </c>
      <c r="H1092" t="s">
        <v>23</v>
      </c>
      <c r="I1092">
        <f>VLOOKUP(Table4[[#This Row],[Visitor]],'NHL Model'!$A$6:$B$38,2,FALSE)</f>
        <v>2.7346770720058793E-2</v>
      </c>
      <c r="J1092">
        <f>($B$1+Table4[[#This Row],[Home Differential]])-Table4[[#This Row],[Away Differential]]</f>
        <v>-0.46599638483246275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0.52730226399963331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-1.2591310848703385</v>
      </c>
      <c r="H1093" t="s">
        <v>37</v>
      </c>
      <c r="I1093">
        <f>VLOOKUP(Table4[[#This Row],[Visitor]],'NHL Model'!$A$6:$B$38,2,FALSE)</f>
        <v>0.65340538721281671</v>
      </c>
      <c r="J1093">
        <f>($B$1+Table4[[#This Row],[Home Differential]])-Table4[[#This Row],[Away Differential]]</f>
        <v>-1.8165664769124921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0.73825515204005743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-4.774288798450349E-3</v>
      </c>
      <c r="H1094" t="s">
        <v>55</v>
      </c>
      <c r="I1094">
        <f>VLOOKUP(Table4[[#This Row],[Visitor]],'NHL Model'!$A$6:$B$38,2,FALSE)</f>
        <v>0.12055191373383152</v>
      </c>
      <c r="J1094">
        <f>($B$1+Table4[[#This Row],[Home Differential]])-Table4[[#This Row],[Away Differential]]</f>
        <v>-2.9356207361618619E-2</v>
      </c>
      <c r="K1094" t="str">
        <f>IF(Table4[[#This Row],[HomeIce Differential]]&gt;0,Table4[[#This Row],[Home]],Table4[[#This Row],[Visitor]])</f>
        <v>Utah Mammoth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0.46293142482890276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-0.79148902514100783</v>
      </c>
      <c r="H1095" t="s">
        <v>11</v>
      </c>
      <c r="I1095">
        <f>VLOOKUP(Table4[[#This Row],[Visitor]],'NHL Model'!$A$6:$B$38,2,FALSE)</f>
        <v>-0.42375285621939396</v>
      </c>
      <c r="J1095">
        <f>($B$1+Table4[[#This Row],[Home Differential]])-Table4[[#This Row],[Away Differential]]</f>
        <v>-0.27176617375095058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0.53854611349854264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-0.70456324341534593</v>
      </c>
      <c r="H1096" t="s">
        <v>12</v>
      </c>
      <c r="I1096">
        <f>VLOOKUP(Table4[[#This Row],[Visitor]],'NHL Model'!$A$6:$B$38,2,FALSE)</f>
        <v>1.1751846443488465</v>
      </c>
      <c r="J1096">
        <f>($B$1+Table4[[#This Row],[Home Differential]])-Table4[[#This Row],[Away Differential]]</f>
        <v>-1.783777892593529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0.7080244220987465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-0.32175529201986758</v>
      </c>
      <c r="H1097" t="s">
        <v>25</v>
      </c>
      <c r="I1097">
        <f>VLOOKUP(Table4[[#This Row],[Visitor]],'NHL Model'!$A$6:$B$38,2,FALSE)</f>
        <v>0.29527586190964761</v>
      </c>
      <c r="J1097">
        <f>($B$1+Table4[[#This Row],[Home Differential]])-Table4[[#This Row],[Away Differential]]</f>
        <v>-0.52106115875885195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0.5659556908017831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0.12055191373383152</v>
      </c>
      <c r="H1098" t="s">
        <v>31</v>
      </c>
      <c r="I1098">
        <f>VLOOKUP(Table4[[#This Row],[Visitor]],'NHL Model'!$A$6:$B$38,2,FALSE)</f>
        <v>-0.38289376966531796</v>
      </c>
      <c r="J1098">
        <f>($B$1+Table4[[#This Row],[Home Differential]])-Table4[[#This Row],[Away Differential]]</f>
        <v>0.5994156785698127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0.63589275923239608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-8.9159851516330005E-2</v>
      </c>
      <c r="H1099" t="s">
        <v>24</v>
      </c>
      <c r="I1099">
        <f>VLOOKUP(Table4[[#This Row],[Visitor]],'NHL Model'!$A$6:$B$38,2,FALSE)</f>
        <v>-0.52712015292731806</v>
      </c>
      <c r="J1099">
        <f>($B$1+Table4[[#This Row],[Home Differential]])-Table4[[#This Row],[Away Differential]]</f>
        <v>0.53393029658165125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0.55530874642703443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-0.42584667868780524</v>
      </c>
      <c r="H1100" t="s">
        <v>32</v>
      </c>
      <c r="I1100">
        <f>VLOOKUP(Table4[[#This Row],[Visitor]],'NHL Model'!$A$6:$B$38,2,FALSE)</f>
        <v>-0.57094405545214133</v>
      </c>
      <c r="J1100">
        <f>($B$1+Table4[[#This Row],[Home Differential]])-Table4[[#This Row],[Away Differential]]</f>
        <v>0.24106737193499933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0.56407228123250386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-0.17319925920548884</v>
      </c>
      <c r="H1101" t="s">
        <v>21</v>
      </c>
      <c r="I1101">
        <f>VLOOKUP(Table4[[#This Row],[Visitor]],'NHL Model'!$A$6:$B$38,2,FALSE)</f>
        <v>-5.5047914862176604E-2</v>
      </c>
      <c r="J1101">
        <f>($B$1+Table4[[#This Row],[Home Differential]])-Table4[[#This Row],[Away Differential]]</f>
        <v>-2.2181349172648988E-2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0.41049898818712377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-0.20041140176017086</v>
      </c>
      <c r="H1102" t="s">
        <v>37</v>
      </c>
      <c r="I1102">
        <f>VLOOKUP(Table4[[#This Row],[Visitor]],'NHL Model'!$A$6:$B$38,2,FALSE)</f>
        <v>0.65340538721281671</v>
      </c>
      <c r="J1102">
        <f>($B$1+Table4[[#This Row],[Home Differential]])-Table4[[#This Row],[Away Differential]]</f>
        <v>-0.75784679380232434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0.63253450741840678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-0.43624947117902363</v>
      </c>
      <c r="H1103" t="s">
        <v>23</v>
      </c>
      <c r="I1103">
        <f>VLOOKUP(Table4[[#This Row],[Visitor]],'NHL Model'!$A$6:$B$38,2,FALSE)</f>
        <v>2.7346770720058793E-2</v>
      </c>
      <c r="J1103">
        <f>($B$1+Table4[[#This Row],[Home Differential]])-Table4[[#This Row],[Away Differential]]</f>
        <v>-0.3676262467284192</v>
      </c>
      <c r="K1103" t="str">
        <f>IF(Table4[[#This Row],[HomeIce Differential]]&gt;0,Table4[[#This Row],[Home]],Table4[[#This Row],[Visitor]])</f>
        <v>Buffalo Sabres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0.51747931031530281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1.2879210938040288E-2</v>
      </c>
      <c r="H1104" t="s">
        <v>39</v>
      </c>
      <c r="I1104">
        <f>VLOOKUP(Table4[[#This Row],[Visitor]],'NHL Model'!$A$6:$B$38,2,FALSE)</f>
        <v>0.21259592260910548</v>
      </c>
      <c r="J1104">
        <f>($B$1+Table4[[#This Row],[Home Differential]])-Table4[[#This Row],[Away Differential]]</f>
        <v>-0.10374671650040194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0.50836781117261154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-0.23645483545724041</v>
      </c>
      <c r="H1105" t="s">
        <v>30</v>
      </c>
      <c r="I1105">
        <f>VLOOKUP(Table4[[#This Row],[Visitor]],'NHL Model'!$A$6:$B$38,2,FALSE)</f>
        <v>-0.20908736804509698</v>
      </c>
      <c r="J1105">
        <f>($B$1+Table4[[#This Row],[Home Differential]])-Table4[[#This Row],[Away Differential]]</f>
        <v>6.8602527758519827E-2</v>
      </c>
      <c r="K1105" t="str">
        <f>IF(Table4[[#This Row],[HomeIce Differential]]&gt;0,Table4[[#This Row],[Home]],Table4[[#This Row],[Visitor]])</f>
        <v>Montreal Canadiens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0.52608121658997897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-0.74313650334688619</v>
      </c>
      <c r="H1106" t="s">
        <v>20</v>
      </c>
      <c r="I1106">
        <f>VLOOKUP(Table4[[#This Row],[Visitor]],'NHL Model'!$A$6:$B$38,2,FALSE)</f>
        <v>-4.774288798450349E-3</v>
      </c>
      <c r="J1106">
        <f>($B$1+Table4[[#This Row],[Home Differential]])-Table4[[#This Row],[Away Differential]]</f>
        <v>-0.64239221937777258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0.55471344201668926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-0.40390734274709933</v>
      </c>
      <c r="H1107" t="s">
        <v>19</v>
      </c>
      <c r="I1107">
        <f>VLOOKUP(Table4[[#This Row],[Visitor]],'NHL Model'!$A$6:$B$38,2,FALSE)</f>
        <v>-0.32175529201986758</v>
      </c>
      <c r="J1107">
        <f>($B$1+Table4[[#This Row],[Home Differential]])-Table4[[#This Row],[Away Differential]]</f>
        <v>1.3817944443431485E-2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0.54137981943399249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3.24300967767114E-5</v>
      </c>
      <c r="H1108" t="s">
        <v>40</v>
      </c>
      <c r="I1108">
        <f>VLOOKUP(Table4[[#This Row],[Visitor]],'NHL Model'!$A$6:$B$38,2,FALSE)</f>
        <v>-0.47391784202962389</v>
      </c>
      <c r="J1108">
        <f>($B$1+Table4[[#This Row],[Home Differential]])-Table4[[#This Row],[Away Differential]]</f>
        <v>0.5699202672970638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0.5969105675494647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-0.53461960928306718</v>
      </c>
      <c r="H1109" t="s">
        <v>27</v>
      </c>
      <c r="I1109">
        <f>VLOOKUP(Table4[[#This Row],[Visitor]],'NHL Model'!$A$6:$B$38,2,FALSE)</f>
        <v>-0.32182316569099201</v>
      </c>
      <c r="J1109">
        <f>($B$1+Table4[[#This Row],[Home Differential]])-Table4[[#This Row],[Away Differential]]</f>
        <v>-0.11682644842141193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0.48225418203432241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-1.2591310848703385</v>
      </c>
      <c r="H1110" t="s">
        <v>35</v>
      </c>
      <c r="I1110">
        <f>VLOOKUP(Table4[[#This Row],[Visitor]],'NHL Model'!$A$6:$B$38,2,FALSE)</f>
        <v>-1.2663626722629573</v>
      </c>
      <c r="J1110">
        <f>($B$1+Table4[[#This Row],[Home Differential]])-Table4[[#This Row],[Away Differential]]</f>
        <v>0.10320158256328194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0.55030540756785895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-0.38289376966531796</v>
      </c>
      <c r="H1111" t="s">
        <v>23</v>
      </c>
      <c r="I1111">
        <f>VLOOKUP(Table4[[#This Row],[Visitor]],'NHL Model'!$A$6:$B$38,2,FALSE)</f>
        <v>2.7346770720058793E-2</v>
      </c>
      <c r="J1111">
        <f>($B$1+Table4[[#This Row],[Home Differential]])-Table4[[#This Row],[Away Differential]]</f>
        <v>-0.31427054521471354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0.47582658001416711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-0.79148902514100783</v>
      </c>
      <c r="H1112" t="s">
        <v>37</v>
      </c>
      <c r="I1112">
        <f>VLOOKUP(Table4[[#This Row],[Visitor]],'NHL Model'!$A$6:$B$38,2,FALSE)</f>
        <v>0.65340538721281671</v>
      </c>
      <c r="J1112">
        <f>($B$1+Table4[[#This Row],[Home Differential]])-Table4[[#This Row],[Away Differential]]</f>
        <v>-1.3489244171831611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0.69155778653765676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-0.70456324341534593</v>
      </c>
      <c r="H1113" t="s">
        <v>29</v>
      </c>
      <c r="I1113">
        <f>VLOOKUP(Table4[[#This Row],[Visitor]],'NHL Model'!$A$6:$B$38,2,FALSE)</f>
        <v>-0.74313650334688619</v>
      </c>
      <c r="J1113">
        <f>($B$1+Table4[[#This Row],[Home Differential]])-Table4[[#This Row],[Away Differential]]</f>
        <v>0.13454325510220355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0.55343509513029432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0.21259592260910548</v>
      </c>
      <c r="H1114" t="s">
        <v>20</v>
      </c>
      <c r="I1114">
        <f>VLOOKUP(Table4[[#This Row],[Visitor]],'NHL Model'!$A$6:$B$38,2,FALSE)</f>
        <v>-4.774288798450349E-3</v>
      </c>
      <c r="J1114">
        <f>($B$1+Table4[[#This Row],[Home Differential]])-Table4[[#This Row],[Away Differential]]</f>
        <v>0.31334020657821904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0.55999014102456313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-0.20908736804509698</v>
      </c>
      <c r="H1115" t="s">
        <v>28</v>
      </c>
      <c r="I1115">
        <f>VLOOKUP(Table4[[#This Row],[Visitor]],'NHL Model'!$A$6:$B$38,2,FALSE)</f>
        <v>-0.42584667868780524</v>
      </c>
      <c r="J1115">
        <f>($B$1+Table4[[#This Row],[Home Differential]])-Table4[[#This Row],[Away Differential]]</f>
        <v>0.31272930581337149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0.58024783976336181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-0.6396663932228257</v>
      </c>
      <c r="H1116" t="s">
        <v>40</v>
      </c>
      <c r="I1116">
        <f>VLOOKUP(Table4[[#This Row],[Visitor]],'NHL Model'!$A$6:$B$38,2,FALSE)</f>
        <v>-0.47391784202962389</v>
      </c>
      <c r="J1116">
        <f>($B$1+Table4[[#This Row],[Home Differential]])-Table4[[#This Row],[Away Differential]]</f>
        <v>-6.9778556022538518E-2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0.46696788209490869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3.24300967767114E-5</v>
      </c>
      <c r="H1117" t="s">
        <v>25</v>
      </c>
      <c r="I1117">
        <f>VLOOKUP(Table4[[#This Row],[Visitor]],'NHL Model'!$A$6:$B$38,2,FALSE)</f>
        <v>0.29527586190964761</v>
      </c>
      <c r="J1117">
        <f>($B$1+Table4[[#This Row],[Home Differential]])-Table4[[#This Row],[Away Differential]]</f>
        <v>-0.19927343664220765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0.5391866951732277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0.12055191373383152</v>
      </c>
      <c r="H1118" t="s">
        <v>13</v>
      </c>
      <c r="I1118">
        <f>VLOOKUP(Table4[[#This Row],[Visitor]],'NHL Model'!$A$6:$B$38,2,FALSE)</f>
        <v>-0.43624947117902363</v>
      </c>
      <c r="J1118">
        <f>($B$1+Table4[[#This Row],[Home Differential]])-Table4[[#This Row],[Away Differential]]</f>
        <v>0.65277138008351843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0.61103536523357782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-8.9159851516330005E-2</v>
      </c>
      <c r="H1119" t="s">
        <v>12</v>
      </c>
      <c r="I1119">
        <f>VLOOKUP(Table4[[#This Row],[Visitor]],'NHL Model'!$A$6:$B$38,2,FALSE)</f>
        <v>1.1751846443488465</v>
      </c>
      <c r="J1119">
        <f>($B$1+Table4[[#This Row],[Home Differential]])-Table4[[#This Row],[Away Differential]]</f>
        <v>-1.1683745006945132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0.64657204303010862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-0.6396663932228257</v>
      </c>
      <c r="H1120" t="s">
        <v>36</v>
      </c>
      <c r="I1120">
        <f>VLOOKUP(Table4[[#This Row],[Visitor]],'NHL Model'!$A$6:$B$38,2,FALSE)</f>
        <v>-0.40390734274709933</v>
      </c>
      <c r="J1120">
        <f>($B$1+Table4[[#This Row],[Home Differential]])-Table4[[#This Row],[Away Differential]]</f>
        <v>-0.13978905530506308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0.47478841845152947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-5.5047914862176604E-2</v>
      </c>
      <c r="H1121" t="s">
        <v>19</v>
      </c>
      <c r="I1121">
        <f>VLOOKUP(Table4[[#This Row],[Visitor]],'NHL Model'!$A$6:$B$38,2,FALSE)</f>
        <v>-0.32175529201986758</v>
      </c>
      <c r="J1121">
        <f>($B$1+Table4[[#This Row],[Home Differential]])-Table4[[#This Row],[Away Differential]]</f>
        <v>0.36267737232835423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0.6191174538569657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-0.79148902514100783</v>
      </c>
      <c r="H1122" t="s">
        <v>13</v>
      </c>
      <c r="I1122">
        <f>VLOOKUP(Table4[[#This Row],[Visitor]],'NHL Model'!$A$6:$B$38,2,FALSE)</f>
        <v>-0.43624947117902363</v>
      </c>
      <c r="J1122">
        <f>($B$1+Table4[[#This Row],[Home Differential]])-Table4[[#This Row],[Away Differential]]</f>
        <v>-0.25926955879132091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0.51645593600020123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0.21259592260910548</v>
      </c>
      <c r="H1123" t="s">
        <v>24</v>
      </c>
      <c r="I1123">
        <f>VLOOKUP(Table4[[#This Row],[Visitor]],'NHL Model'!$A$6:$B$38,2,FALSE)</f>
        <v>-0.52712015292731806</v>
      </c>
      <c r="J1123">
        <f>($B$1+Table4[[#This Row],[Home Differential]])-Table4[[#This Row],[Away Differential]]</f>
        <v>0.83568607070708678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0.60472575750669388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-0.17319925920548884</v>
      </c>
      <c r="H1124" t="s">
        <v>36</v>
      </c>
      <c r="I1124">
        <f>VLOOKUP(Table4[[#This Row],[Visitor]],'NHL Model'!$A$6:$B$38,2,FALSE)</f>
        <v>-0.40390734274709933</v>
      </c>
      <c r="J1124">
        <f>($B$1+Table4[[#This Row],[Home Differential]])-Table4[[#This Row],[Away Differential]]</f>
        <v>0.32667807871227372</v>
      </c>
      <c r="K1124" t="str">
        <f>IF(Table4[[#This Row],[HomeIce Differential]]&gt;0,Table4[[#This Row],[Home]],Table4[[#This Row],[Visitor]])</f>
        <v>Detroit Red Wings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0.62353020640943435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-0.42375285621939396</v>
      </c>
      <c r="H1125" t="s">
        <v>32</v>
      </c>
      <c r="I1125">
        <f>VLOOKUP(Table4[[#This Row],[Visitor]],'NHL Model'!$A$6:$B$38,2,FALSE)</f>
        <v>-0.57094405545214133</v>
      </c>
      <c r="J1125">
        <f>($B$1+Table4[[#This Row],[Home Differential]])-Table4[[#This Row],[Away Differential]]</f>
        <v>0.24316119440341061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0.56428136420754926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-0.23645483545724041</v>
      </c>
      <c r="H1126" t="s">
        <v>25</v>
      </c>
      <c r="I1126">
        <f>VLOOKUP(Table4[[#This Row],[Visitor]],'NHL Model'!$A$6:$B$38,2,FALSE)</f>
        <v>0.29527586190964761</v>
      </c>
      <c r="J1126">
        <f>($B$1+Table4[[#This Row],[Home Differential]])-Table4[[#This Row],[Away Differential]]</f>
        <v>-0.43576070219622476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0.56280162040606729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-0.74313650334688619</v>
      </c>
      <c r="H1127" t="s">
        <v>33</v>
      </c>
      <c r="I1127">
        <f>VLOOKUP(Table4[[#This Row],[Visitor]],'NHL Model'!$A$6:$B$38,2,FALSE)</f>
        <v>-0.53461960928306718</v>
      </c>
      <c r="J1127">
        <f>($B$1+Table4[[#This Row],[Home Differential]])-Table4[[#This Row],[Away Differential]]</f>
        <v>-0.11254689889315572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0.49200783423620154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-0.20908736804509698</v>
      </c>
      <c r="H1128" t="s">
        <v>10</v>
      </c>
      <c r="I1128">
        <f>VLOOKUP(Table4[[#This Row],[Visitor]],'NHL Model'!$A$6:$B$38,2,FALSE)</f>
        <v>-0.70456324341534593</v>
      </c>
      <c r="J1128">
        <f>($B$1+Table4[[#This Row],[Home Differential]])-Table4[[#This Row],[Away Differential]]</f>
        <v>0.59144587054091224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0.60807965904452033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-0.32182316569099201</v>
      </c>
      <c r="H1129" t="s">
        <v>28</v>
      </c>
      <c r="I1129">
        <f>VLOOKUP(Table4[[#This Row],[Visitor]],'NHL Model'!$A$6:$B$38,2,FALSE)</f>
        <v>-0.42584667868780524</v>
      </c>
      <c r="J1129">
        <f>($B$1+Table4[[#This Row],[Home Differential]])-Table4[[#This Row],[Away Differential]]</f>
        <v>0.19999350816747646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0.55997076557743652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3.24300967767114E-5</v>
      </c>
      <c r="H1130" t="s">
        <v>12</v>
      </c>
      <c r="I1130">
        <f>VLOOKUP(Table4[[#This Row],[Visitor]],'NHL Model'!$A$6:$B$38,2,FALSE)</f>
        <v>1.1751846443488465</v>
      </c>
      <c r="J1130">
        <f>($B$1+Table4[[#This Row],[Home Differential]])-Table4[[#This Row],[Away Differential]]</f>
        <v>-1.0791822190814067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0.63766556319617107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-1.2663626722629573</v>
      </c>
      <c r="H1131" t="s">
        <v>22</v>
      </c>
      <c r="I1131">
        <f>VLOOKUP(Table4[[#This Row],[Visitor]],'NHL Model'!$A$6:$B$38,2,FALSE)</f>
        <v>-8.9159851516330005E-2</v>
      </c>
      <c r="J1131">
        <f>($B$1+Table4[[#This Row],[Home Differential]])-Table4[[#This Row],[Away Differential]]</f>
        <v>-1.081232825575964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0.56796874104595729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0.65340538721281671</v>
      </c>
      <c r="H1132" t="s">
        <v>34</v>
      </c>
      <c r="I1132">
        <f>VLOOKUP(Table4[[#This Row],[Visitor]],'NHL Model'!$A$6:$B$38,2,FALSE)</f>
        <v>1.2879210938040288E-2</v>
      </c>
      <c r="J1132">
        <f>($B$1+Table4[[#This Row],[Home Differential]])-Table4[[#This Row],[Away Differential]]</f>
        <v>0.73649617144543966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0.57953237308316541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0.12055191373383152</v>
      </c>
      <c r="H1133" t="s">
        <v>17</v>
      </c>
      <c r="I1133">
        <f>VLOOKUP(Table4[[#This Row],[Visitor]],'NHL Model'!$A$6:$B$38,2,FALSE)</f>
        <v>-0.20041140176017086</v>
      </c>
      <c r="J1133">
        <f>($B$1+Table4[[#This Row],[Home Differential]])-Table4[[#This Row],[Away Differential]]</f>
        <v>0.41693331066466566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0.61540423024310764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-1.2591310848703385</v>
      </c>
      <c r="H1134" t="s">
        <v>31</v>
      </c>
      <c r="I1134">
        <f>VLOOKUP(Table4[[#This Row],[Visitor]],'NHL Model'!$A$6:$B$38,2,FALSE)</f>
        <v>-0.38289376966531796</v>
      </c>
      <c r="J1134">
        <f>($B$1+Table4[[#This Row],[Home Differential]])-Table4[[#This Row],[Away Differential]]</f>
        <v>-0.78026732003435739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0.5379152077431022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-0.47391784202962389</v>
      </c>
      <c r="H1135" t="s">
        <v>20</v>
      </c>
      <c r="I1135">
        <f>VLOOKUP(Table4[[#This Row],[Visitor]],'NHL Model'!$A$6:$B$38,2,FALSE)</f>
        <v>-4.774288798450349E-3</v>
      </c>
      <c r="J1135">
        <f>($B$1+Table4[[#This Row],[Home Differential]])-Table4[[#This Row],[Away Differential]]</f>
        <v>-0.37317355806051034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0.5278300555332841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2.7346770720058793E-2</v>
      </c>
      <c r="H1136" t="s">
        <v>21</v>
      </c>
      <c r="I1136">
        <f>VLOOKUP(Table4[[#This Row],[Visitor]],'NHL Model'!$A$6:$B$38,2,FALSE)</f>
        <v>-5.5047914862176604E-2</v>
      </c>
      <c r="J1136">
        <f>($B$1+Table4[[#This Row],[Home Differential]])-Table4[[#This Row],[Away Differential]]</f>
        <v>0.17836468075289866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0.5996291560805439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-0.32175529201986758</v>
      </c>
      <c r="H1137" t="s">
        <v>15</v>
      </c>
      <c r="I1137">
        <f>VLOOKUP(Table4[[#This Row],[Visitor]],'NHL Model'!$A$6:$B$38,2,FALSE)</f>
        <v>-0.6396663932228257</v>
      </c>
      <c r="J1137">
        <f>($B$1+Table4[[#This Row],[Home Differential]])-Table4[[#This Row],[Away Differential]]</f>
        <v>0.41388109637362136</v>
      </c>
      <c r="K1137" t="str">
        <f>IF(Table4[[#This Row],[HomeIce Differential]]&gt;0,Table4[[#This Row],[Home]],Table4[[#This Row],[Visitor]])</f>
        <v>Toronto Maple Leafs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0.5346485832765423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-0.79148902514100783</v>
      </c>
      <c r="H1138" t="s">
        <v>31</v>
      </c>
      <c r="I1138">
        <f>VLOOKUP(Table4[[#This Row],[Visitor]],'NHL Model'!$A$6:$B$38,2,FALSE)</f>
        <v>-0.38289376966531796</v>
      </c>
      <c r="J1138">
        <f>($B$1+Table4[[#This Row],[Home Differential]])-Table4[[#This Row],[Away Differential]]</f>
        <v>-0.31262526030502658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0.49121784224070153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-0.42375285621939396</v>
      </c>
      <c r="H1139" t="s">
        <v>34</v>
      </c>
      <c r="I1139">
        <f>VLOOKUP(Table4[[#This Row],[Visitor]],'NHL Model'!$A$6:$B$38,2,FALSE)</f>
        <v>1.2879210938040288E-2</v>
      </c>
      <c r="J1139">
        <f>($B$1+Table4[[#This Row],[Home Differential]])-Table4[[#This Row],[Away Differential]]</f>
        <v>-0.34066207198677101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0.55054644170377898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-0.23645483545724041</v>
      </c>
      <c r="H1140" t="s">
        <v>28</v>
      </c>
      <c r="I1140">
        <f>VLOOKUP(Table4[[#This Row],[Visitor]],'NHL Model'!$A$6:$B$38,2,FALSE)</f>
        <v>-0.42584667868780524</v>
      </c>
      <c r="J1140">
        <f>($B$1+Table4[[#This Row],[Home Differential]])-Table4[[#This Row],[Away Differential]]</f>
        <v>0.28536183840122809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0.56849539683400585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-0.74313650334688619</v>
      </c>
      <c r="H1141" t="s">
        <v>24</v>
      </c>
      <c r="I1141">
        <f>VLOOKUP(Table4[[#This Row],[Visitor]],'NHL Model'!$A$6:$B$38,2,FALSE)</f>
        <v>-0.52712015292731806</v>
      </c>
      <c r="J1141">
        <f>($B$1+Table4[[#This Row],[Home Differential]])-Table4[[#This Row],[Away Differential]]</f>
        <v>-0.12004635524890483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0.50999544532646945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-0.20908736804509698</v>
      </c>
      <c r="H1142" t="s">
        <v>39</v>
      </c>
      <c r="I1142">
        <f>VLOOKUP(Table4[[#This Row],[Visitor]],'NHL Model'!$A$6:$B$38,2,FALSE)</f>
        <v>0.21259592260910548</v>
      </c>
      <c r="J1142">
        <f>($B$1+Table4[[#This Row],[Home Differential]])-Table4[[#This Row],[Away Differential]]</f>
        <v>-0.32571329548353922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0.52144263687396131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-0.40390734274709933</v>
      </c>
      <c r="H1143" t="s">
        <v>14</v>
      </c>
      <c r="I1143">
        <f>VLOOKUP(Table4[[#This Row],[Visitor]],'NHL Model'!$A$6:$B$38,2,FALSE)</f>
        <v>3.24300967767114E-5</v>
      </c>
      <c r="J1143">
        <f>($B$1+Table4[[#This Row],[Home Differential]])-Table4[[#This Row],[Away Differential]]</f>
        <v>-0.30796977767321282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0.53984386848045374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-0.32182316569099201</v>
      </c>
      <c r="H1144" t="s">
        <v>10</v>
      </c>
      <c r="I1144">
        <f>VLOOKUP(Table4[[#This Row],[Visitor]],'NHL Model'!$A$6:$B$38,2,FALSE)</f>
        <v>-0.70456324341534593</v>
      </c>
      <c r="J1144">
        <f>($B$1+Table4[[#This Row],[Home Differential]])-Table4[[#This Row],[Away Differential]]</f>
        <v>0.47871007289501716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0.58780258485859505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-1.2663626722629573</v>
      </c>
      <c r="H1145" t="s">
        <v>33</v>
      </c>
      <c r="I1145">
        <f>VLOOKUP(Table4[[#This Row],[Visitor]],'NHL Model'!$A$6:$B$38,2,FALSE)</f>
        <v>-0.53461960928306718</v>
      </c>
      <c r="J1145">
        <f>($B$1+Table4[[#This Row],[Home Differential]])-Table4[[#This Row],[Away Differential]]</f>
        <v>-0.63577306780922693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0.54425566597408337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0.65340538721281671</v>
      </c>
      <c r="H1146" t="s">
        <v>32</v>
      </c>
      <c r="I1146">
        <f>VLOOKUP(Table4[[#This Row],[Visitor]],'NHL Model'!$A$6:$B$38,2,FALSE)</f>
        <v>-0.57094405545214133</v>
      </c>
      <c r="J1146">
        <f>($B$1+Table4[[#This Row],[Home Differential]])-Table4[[#This Row],[Away Differential]]</f>
        <v>1.3203194378356213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0.69412696644678462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0.12055191373383152</v>
      </c>
      <c r="H1147" t="s">
        <v>22</v>
      </c>
      <c r="I1147">
        <f>VLOOKUP(Table4[[#This Row],[Visitor]],'NHL Model'!$A$6:$B$38,2,FALSE)</f>
        <v>-8.9159851516330005E-2</v>
      </c>
      <c r="J1147">
        <f>($B$1+Table4[[#This Row],[Home Differential]])-Table4[[#This Row],[Away Differential]]</f>
        <v>0.30568176042082479</v>
      </c>
      <c r="K1147" t="str">
        <f>IF(Table4[[#This Row],[HomeIce Differential]]&gt;0,Table4[[#This Row],[Home]],Table4[[#This Row],[Visitor]])</f>
        <v>Utah Mammoth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0.6065613510519714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-1.2591310848703385</v>
      </c>
      <c r="H1148" t="s">
        <v>13</v>
      </c>
      <c r="I1148">
        <f>VLOOKUP(Table4[[#This Row],[Visitor]],'NHL Model'!$A$6:$B$38,2,FALSE)</f>
        <v>-0.43624947117902363</v>
      </c>
      <c r="J1148">
        <f>($B$1+Table4[[#This Row],[Home Differential]])-Table4[[#This Row],[Away Differential]]</f>
        <v>-0.72691161852065167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0.56315330150260179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-4.774288798450349E-3</v>
      </c>
      <c r="H1149" t="s">
        <v>17</v>
      </c>
      <c r="I1149">
        <f>VLOOKUP(Table4[[#This Row],[Visitor]],'NHL Model'!$A$6:$B$38,2,FALSE)</f>
        <v>-0.20041140176017086</v>
      </c>
      <c r="J1149">
        <f>($B$1+Table4[[#This Row],[Home Differential]])-Table4[[#This Row],[Away Differential]]</f>
        <v>0.29160710813238377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0.56681462149266704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-0.47391784202962389</v>
      </c>
      <c r="H1150" t="s">
        <v>12</v>
      </c>
      <c r="I1150">
        <f>VLOOKUP(Table4[[#This Row],[Visitor]],'NHL Model'!$A$6:$B$38,2,FALSE)</f>
        <v>1.1751846443488465</v>
      </c>
      <c r="J1150">
        <f>($B$1+Table4[[#This Row],[Home Differential]])-Table4[[#This Row],[Away Differential]]</f>
        <v>-1.5531324912078071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0.68499284830020724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2.7346770720058793E-2</v>
      </c>
      <c r="H1151" t="s">
        <v>26</v>
      </c>
      <c r="I1151">
        <f>VLOOKUP(Table4[[#This Row],[Visitor]],'NHL Model'!$A$6:$B$38,2,FALSE)</f>
        <v>-0.17319925920548884</v>
      </c>
      <c r="J1151">
        <f>($B$1+Table4[[#This Row],[Home Differential]])-Table4[[#This Row],[Away Differential]]</f>
        <v>0.29651602509621089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0.57269016117405591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-0.6396663932228257</v>
      </c>
      <c r="H1152" t="s">
        <v>10</v>
      </c>
      <c r="I1152">
        <f>VLOOKUP(Table4[[#This Row],[Visitor]],'NHL Model'!$A$6:$B$38,2,FALSE)</f>
        <v>-0.70456324341534593</v>
      </c>
      <c r="J1152">
        <f>($B$1+Table4[[#This Row],[Home Differential]])-Table4[[#This Row],[Away Differential]]</f>
        <v>0.16086684536318352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0.55606369170363057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-5.5047914862176604E-2</v>
      </c>
      <c r="H1153" t="s">
        <v>34</v>
      </c>
      <c r="I1153">
        <f>VLOOKUP(Table4[[#This Row],[Visitor]],'NHL Model'!$A$6:$B$38,2,FALSE)</f>
        <v>1.2879210938040288E-2</v>
      </c>
      <c r="J1153">
        <f>($B$1+Table4[[#This Row],[Home Differential]])-Table4[[#This Row],[Away Differential]]</f>
        <v>2.8042869370446359E-2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0.5298273057733095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2.7346770720058793E-2</v>
      </c>
      <c r="H1154" t="s">
        <v>32</v>
      </c>
      <c r="I1154">
        <f>VLOOKUP(Table4[[#This Row],[Visitor]],'NHL Model'!$A$6:$B$38,2,FALSE)</f>
        <v>-0.57094405545214133</v>
      </c>
      <c r="J1154">
        <f>($B$1+Table4[[#This Row],[Home Differential]])-Table4[[#This Row],[Away Differential]]</f>
        <v>0.69426082134286338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0.65114503267289148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0.29527586190964761</v>
      </c>
      <c r="H1155" t="s">
        <v>24</v>
      </c>
      <c r="I1155">
        <f>VLOOKUP(Table4[[#This Row],[Visitor]],'NHL Model'!$A$6:$B$38,2,FALSE)</f>
        <v>-0.52712015292731806</v>
      </c>
      <c r="J1155">
        <f>($B$1+Table4[[#This Row],[Home Differential]])-Table4[[#This Row],[Away Differential]]</f>
        <v>0.91836601000762896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0.63715988363377041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-0.42584667868780524</v>
      </c>
      <c r="H1156" t="s">
        <v>33</v>
      </c>
      <c r="I1156">
        <f>VLOOKUP(Table4[[#This Row],[Visitor]],'NHL Model'!$A$6:$B$38,2,FALSE)</f>
        <v>-0.53461960928306718</v>
      </c>
      <c r="J1156">
        <f>($B$1+Table4[[#This Row],[Home Differential]])-Table4[[#This Row],[Away Differential]]</f>
        <v>0.20474292576592518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0.53967579772982288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-0.79148902514100783</v>
      </c>
      <c r="H1157" t="s">
        <v>38</v>
      </c>
      <c r="I1157">
        <f>VLOOKUP(Table4[[#This Row],[Visitor]],'NHL Model'!$A$6:$B$38,2,FALSE)</f>
        <v>-1.2591310848703385</v>
      </c>
      <c r="J1157">
        <f>($B$1+Table4[[#This Row],[Home Differential]])-Table4[[#This Row],[Away Differential]]</f>
        <v>0.563612054899994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0.59628064794782909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1.1751846443488465</v>
      </c>
      <c r="H1158" t="s">
        <v>40</v>
      </c>
      <c r="I1158">
        <f>VLOOKUP(Table4[[#This Row],[Visitor]],'NHL Model'!$A$6:$B$38,2,FALSE)</f>
        <v>-0.47391784202962389</v>
      </c>
      <c r="J1158">
        <f>($B$1+Table4[[#This Row],[Home Differential]])-Table4[[#This Row],[Away Differential]]</f>
        <v>1.7450724815491336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0.80004005127102595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-0.17319925920548884</v>
      </c>
      <c r="H1159" t="s">
        <v>27</v>
      </c>
      <c r="I1159">
        <f>VLOOKUP(Table4[[#This Row],[Visitor]],'NHL Model'!$A$6:$B$38,2,FALSE)</f>
        <v>-0.32182316569099201</v>
      </c>
      <c r="J1159">
        <f>($B$1+Table4[[#This Row],[Home Differential]])-Table4[[#This Row],[Away Differential]]</f>
        <v>0.2445939016561664</v>
      </c>
      <c r="K1159" t="str">
        <f>IF(Table4[[#This Row],[HomeIce Differential]]&gt;0,Table4[[#This Row],[Home]],Table4[[#This Row],[Visitor]])</f>
        <v>Detroit Red Wings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0.6058197789919888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-0.20041140176017086</v>
      </c>
      <c r="H1160" t="s">
        <v>31</v>
      </c>
      <c r="I1160">
        <f>VLOOKUP(Table4[[#This Row],[Visitor]],'NHL Model'!$A$6:$B$38,2,FALSE)</f>
        <v>-0.38289376966531796</v>
      </c>
      <c r="J1160">
        <f>($B$1+Table4[[#This Row],[Home Differential]])-Table4[[#This Row],[Away Differential]]</f>
        <v>0.27845236307581034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0.56780543687854845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-0.43624947117902363</v>
      </c>
      <c r="H1161" t="s">
        <v>55</v>
      </c>
      <c r="I1161">
        <f>VLOOKUP(Table4[[#This Row],[Visitor]],'NHL Model'!$A$6:$B$38,2,FALSE)</f>
        <v>0.12055191373383152</v>
      </c>
      <c r="J1161">
        <f>($B$1+Table4[[#This Row],[Home Differential]])-Table4[[#This Row],[Away Differential]]</f>
        <v>-0.4608313897421919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0.50601727195844159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-0.74313650334688619</v>
      </c>
      <c r="H1162" t="s">
        <v>18</v>
      </c>
      <c r="I1162">
        <f>VLOOKUP(Table4[[#This Row],[Visitor]],'NHL Model'!$A$6:$B$38,2,FALSE)</f>
        <v>-0.23645483545724041</v>
      </c>
      <c r="J1162">
        <f>($B$1+Table4[[#This Row],[Home Differential]])-Table4[[#This Row],[Away Differential]]</f>
        <v>-0.41071167271898246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0.54029919714740449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-0.20908736804509698</v>
      </c>
      <c r="H1163" t="s">
        <v>11</v>
      </c>
      <c r="I1163">
        <f>VLOOKUP(Table4[[#This Row],[Visitor]],'NHL Model'!$A$6:$B$38,2,FALSE)</f>
        <v>-0.42375285621939396</v>
      </c>
      <c r="J1163">
        <f>($B$1+Table4[[#This Row],[Home Differential]])-Table4[[#This Row],[Away Differential]]</f>
        <v>0.31063548334496022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0.52870075636403557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3.24300967767114E-5</v>
      </c>
      <c r="H1164" t="s">
        <v>39</v>
      </c>
      <c r="I1164">
        <f>VLOOKUP(Table4[[#This Row],[Visitor]],'NHL Model'!$A$6:$B$38,2,FALSE)</f>
        <v>0.21259592260910548</v>
      </c>
      <c r="J1164">
        <f>($B$1+Table4[[#This Row],[Home Differential]])-Table4[[#This Row],[Away Differential]]</f>
        <v>-0.11659349734166552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0.50965065305561275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-1.2663626722629573</v>
      </c>
      <c r="H1165" t="s">
        <v>19</v>
      </c>
      <c r="I1165">
        <f>VLOOKUP(Table4[[#This Row],[Visitor]],'NHL Model'!$A$6:$B$38,2,FALSE)</f>
        <v>-0.32175529201986758</v>
      </c>
      <c r="J1165">
        <f>($B$1+Table4[[#This Row],[Home Differential]])-Table4[[#This Row],[Away Differential]]</f>
        <v>-0.84863738507242648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0.5447424420563578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0.65340538721281671</v>
      </c>
      <c r="H1166" t="s">
        <v>36</v>
      </c>
      <c r="I1166">
        <f>VLOOKUP(Table4[[#This Row],[Visitor]],'NHL Model'!$A$6:$B$38,2,FALSE)</f>
        <v>-0.40390734274709933</v>
      </c>
      <c r="J1166">
        <f>($B$1+Table4[[#This Row],[Home Differential]])-Table4[[#This Row],[Away Differential]]</f>
        <v>1.1532827251305793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0.6766252268689773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-4.774288798450349E-3</v>
      </c>
      <c r="H1167" t="s">
        <v>22</v>
      </c>
      <c r="I1167">
        <f>VLOOKUP(Table4[[#This Row],[Visitor]],'NHL Model'!$A$6:$B$38,2,FALSE)</f>
        <v>-8.9159851516330005E-2</v>
      </c>
      <c r="J1167">
        <f>($B$1+Table4[[#This Row],[Home Differential]])-Table4[[#This Row],[Away Differential]]</f>
        <v>0.18035555788854291</v>
      </c>
      <c r="K1167" t="str">
        <f>IF(Table4[[#This Row],[HomeIce Differential]]&gt;0,Table4[[#This Row],[Home]],Table4[[#This Row],[Visitor]])</f>
        <v>Vegas Golden Knights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0.55800977741819324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0.29527586190964761</v>
      </c>
      <c r="H1168" t="s">
        <v>18</v>
      </c>
      <c r="I1168">
        <f>VLOOKUP(Table4[[#This Row],[Visitor]],'NHL Model'!$A$6:$B$38,2,FALSE)</f>
        <v>-0.23645483545724041</v>
      </c>
      <c r="J1168">
        <f>($B$1+Table4[[#This Row],[Home Differential]])-Table4[[#This Row],[Away Differential]]</f>
        <v>0.62770069253755123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0.60686639798065889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-0.42584667868780524</v>
      </c>
      <c r="H1169" t="s">
        <v>21</v>
      </c>
      <c r="I1169">
        <f>VLOOKUP(Table4[[#This Row],[Visitor]],'NHL Model'!$A$6:$B$38,2,FALSE)</f>
        <v>-5.5047914862176604E-2</v>
      </c>
      <c r="J1169">
        <f>($B$1+Table4[[#This Row],[Home Differential]])-Table4[[#This Row],[Away Differential]]</f>
        <v>-0.27482876865496542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0.48744359535984377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-0.52712015292731806</v>
      </c>
      <c r="H1170" t="s">
        <v>10</v>
      </c>
      <c r="I1170">
        <f>VLOOKUP(Table4[[#This Row],[Visitor]],'NHL Model'!$A$6:$B$38,2,FALSE)</f>
        <v>-0.70456324341534593</v>
      </c>
      <c r="J1170">
        <f>($B$1+Table4[[#This Row],[Home Differential]])-Table4[[#This Row],[Away Differential]]</f>
        <v>0.2734130856586911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0.56730222940497044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-0.6396663932228257</v>
      </c>
      <c r="H1171" t="s">
        <v>11</v>
      </c>
      <c r="I1171">
        <f>VLOOKUP(Table4[[#This Row],[Visitor]],'NHL Model'!$A$6:$B$38,2,FALSE)</f>
        <v>-0.42375285621939396</v>
      </c>
      <c r="J1171">
        <f>($B$1+Table4[[#This Row],[Home Differential]])-Table4[[#This Row],[Away Differential]]</f>
        <v>-0.11994354183276845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0.52338555044242385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-0.32182316569099201</v>
      </c>
      <c r="H1172" t="s">
        <v>39</v>
      </c>
      <c r="I1172">
        <f>VLOOKUP(Table4[[#This Row],[Visitor]],'NHL Model'!$A$6:$B$38,2,FALSE)</f>
        <v>0.21259592260910548</v>
      </c>
      <c r="J1172">
        <f>($B$1+Table4[[#This Row],[Home Differential]])-Table4[[#This Row],[Away Differential]]</f>
        <v>-0.43844909312943425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0.54179020954502166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0.65340538721281671</v>
      </c>
      <c r="H1173" t="s">
        <v>29</v>
      </c>
      <c r="I1173">
        <f>VLOOKUP(Table4[[#This Row],[Visitor]],'NHL Model'!$A$6:$B$38,2,FALSE)</f>
        <v>-0.74313650334688619</v>
      </c>
      <c r="J1173">
        <f>($B$1+Table4[[#This Row],[Home Differential]])-Table4[[#This Row],[Away Differential]]</f>
        <v>1.4925118857303663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0.71132159962573349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-0.38289376966531796</v>
      </c>
      <c r="H1174" t="s">
        <v>19</v>
      </c>
      <c r="I1174">
        <f>VLOOKUP(Table4[[#This Row],[Visitor]],'NHL Model'!$A$6:$B$38,2,FALSE)</f>
        <v>-0.32175529201986758</v>
      </c>
      <c r="J1174">
        <f>($B$1+Table4[[#This Row],[Home Differential]])-Table4[[#This Row],[Away Differential]]</f>
        <v>3.4831517525212852E-2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0.57951503961405038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1.1751846443488465</v>
      </c>
      <c r="H1175" t="s">
        <v>16</v>
      </c>
      <c r="I1175">
        <f>VLOOKUP(Table4[[#This Row],[Visitor]],'NHL Model'!$A$6:$B$38,2,FALSE)</f>
        <v>-0.79148902514100783</v>
      </c>
      <c r="J1175">
        <f>($B$1+Table4[[#This Row],[Home Differential]])-Table4[[#This Row],[Away Differential]]</f>
        <v>2.0626436646605173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0.83175177886748186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-0.20908736804509698</v>
      </c>
      <c r="H1176" t="s">
        <v>14</v>
      </c>
      <c r="I1176">
        <f>VLOOKUP(Table4[[#This Row],[Visitor]],'NHL Model'!$A$6:$B$38,2,FALSE)</f>
        <v>3.24300967767114E-5</v>
      </c>
      <c r="J1176">
        <f>($B$1+Table4[[#This Row],[Home Differential]])-Table4[[#This Row],[Away Differential]]</f>
        <v>-0.11314980297121044</v>
      </c>
      <c r="K1176" t="str">
        <f>IF(Table4[[#This Row],[HomeIce Differential]]&gt;0,Table4[[#This Row],[Home]],Table4[[#This Row],[Visitor]])</f>
        <v>Pittsburgh Penguins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0.5112988077011924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-0.53461960928306718</v>
      </c>
      <c r="H1177" t="s">
        <v>35</v>
      </c>
      <c r="I1177">
        <f>VLOOKUP(Table4[[#This Row],[Visitor]],'NHL Model'!$A$6:$B$38,2,FALSE)</f>
        <v>-1.2663626722629573</v>
      </c>
      <c r="J1177">
        <f>($B$1+Table4[[#This Row],[Home Differential]])-Table4[[#This Row],[Away Differential]]</f>
        <v>0.8277130581505534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0.62265300009570956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-4.774288798450349E-3</v>
      </c>
      <c r="H1178" t="s">
        <v>38</v>
      </c>
      <c r="I1178">
        <f>VLOOKUP(Table4[[#This Row],[Visitor]],'NHL Model'!$A$6:$B$38,2,FALSE)</f>
        <v>-1.2591310848703385</v>
      </c>
      <c r="J1178">
        <f>($B$1+Table4[[#This Row],[Home Differential]])-Table4[[#This Row],[Away Differential]]</f>
        <v>1.3503267912425514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0.67483967578714843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-5.5047914862176604E-2</v>
      </c>
      <c r="H1179" t="s">
        <v>39</v>
      </c>
      <c r="I1179">
        <f>VLOOKUP(Table4[[#This Row],[Visitor]],'NHL Model'!$A$6:$B$38,2,FALSE)</f>
        <v>0.21259592260910548</v>
      </c>
      <c r="J1179">
        <f>($B$1+Table4[[#This Row],[Home Differential]])-Table4[[#This Row],[Away Differential]]</f>
        <v>-0.17167384230061883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0.471688301289722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2.7346770720058793E-2</v>
      </c>
      <c r="H1180" t="s">
        <v>30</v>
      </c>
      <c r="I1180">
        <f>VLOOKUP(Table4[[#This Row],[Visitor]],'NHL Model'!$A$6:$B$38,2,FALSE)</f>
        <v>-0.20908736804509698</v>
      </c>
      <c r="J1180">
        <f>($B$1+Table4[[#This Row],[Home Differential]])-Table4[[#This Row],[Away Differential]]</f>
        <v>0.33240413393581902</v>
      </c>
      <c r="K1180" t="str">
        <f>IF(Table4[[#This Row],[HomeIce Differential]]&gt;0,Table4[[#This Row],[Home]],Table4[[#This Row],[Visitor]])</f>
        <v>Buffalo Sabres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0.59459641136476793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-0.42584667868780524</v>
      </c>
      <c r="H1181" t="s">
        <v>25</v>
      </c>
      <c r="I1181">
        <f>VLOOKUP(Table4[[#This Row],[Visitor]],'NHL Model'!$A$6:$B$38,2,FALSE)</f>
        <v>0.29527586190964761</v>
      </c>
      <c r="J1181">
        <f>($B$1+Table4[[#This Row],[Home Differential]])-Table4[[#This Row],[Away Differential]]</f>
        <v>-0.62515254542678966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0.58171373479464461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-0.70456324341534593</v>
      </c>
      <c r="H1182" t="s">
        <v>40</v>
      </c>
      <c r="I1182">
        <f>VLOOKUP(Table4[[#This Row],[Visitor]],'NHL Model'!$A$6:$B$38,2,FALSE)</f>
        <v>-0.47391784202962389</v>
      </c>
      <c r="J1182">
        <f>($B$1+Table4[[#This Row],[Home Differential]])-Table4[[#This Row],[Away Differential]]</f>
        <v>-0.13467540621505875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0.47344829135311078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-0.20041140176017086</v>
      </c>
      <c r="H1183" t="s">
        <v>32</v>
      </c>
      <c r="I1183">
        <f>VLOOKUP(Table4[[#This Row],[Visitor]],'NHL Model'!$A$6:$B$38,2,FALSE)</f>
        <v>-0.57094405545214133</v>
      </c>
      <c r="J1183">
        <f>($B$1+Table4[[#This Row],[Home Differential]])-Table4[[#This Row],[Away Differential]]</f>
        <v>0.46650264886263371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0.58658358727267867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-0.42375285621939396</v>
      </c>
      <c r="H1184" t="s">
        <v>36</v>
      </c>
      <c r="I1184">
        <f>VLOOKUP(Table4[[#This Row],[Visitor]],'NHL Model'!$A$6:$B$38,2,FALSE)</f>
        <v>-0.40390734274709933</v>
      </c>
      <c r="J1184">
        <f>($B$1+Table4[[#This Row],[Home Differential]])-Table4[[#This Row],[Away Differential]]</f>
        <v>7.6124481698368607E-2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0.54677207454647225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-0.6396663932228257</v>
      </c>
      <c r="H1185" t="s">
        <v>24</v>
      </c>
      <c r="I1185">
        <f>VLOOKUP(Table4[[#This Row],[Visitor]],'NHL Model'!$A$6:$B$38,2,FALSE)</f>
        <v>-0.52712015292731806</v>
      </c>
      <c r="J1185">
        <f>($B$1+Table4[[#This Row],[Home Differential]])-Table4[[#This Row],[Away Differential]]</f>
        <v>-1.6576245124844347E-2</v>
      </c>
      <c r="K1185" t="str">
        <f>IF(Table4[[#This Row],[HomeIce Differential]]&gt;0,Table4[[#This Row],[Home]],Table4[[#This Row],[Visitor]])</f>
        <v>New Jersey Devils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0.49966322338340152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3.24300967767114E-5</v>
      </c>
      <c r="H1186" t="s">
        <v>26</v>
      </c>
      <c r="I1186">
        <f>VLOOKUP(Table4[[#This Row],[Visitor]],'NHL Model'!$A$6:$B$38,2,FALSE)</f>
        <v>-0.17319925920548884</v>
      </c>
      <c r="J1186">
        <f>($B$1+Table4[[#This Row],[Home Differential]])-Table4[[#This Row],[Away Differential]]</f>
        <v>0.2692016844729288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0.52759495798725531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0.65340538721281671</v>
      </c>
      <c r="H1187" t="s">
        <v>18</v>
      </c>
      <c r="I1187">
        <f>VLOOKUP(Table4[[#This Row],[Visitor]],'NHL Model'!$A$6:$B$38,2,FALSE)</f>
        <v>-0.23645483545724041</v>
      </c>
      <c r="J1187">
        <f>($B$1+Table4[[#This Row],[Home Differential]])-Table4[[#This Row],[Away Differential]]</f>
        <v>0.98583021784072045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0.62166193048839646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-8.9159851516330005E-2</v>
      </c>
      <c r="H1188" t="s">
        <v>27</v>
      </c>
      <c r="I1188">
        <f>VLOOKUP(Table4[[#This Row],[Visitor]],'NHL Model'!$A$6:$B$38,2,FALSE)</f>
        <v>-0.32182316569099201</v>
      </c>
      <c r="J1188">
        <f>($B$1+Table4[[#This Row],[Home Differential]])-Table4[[#This Row],[Away Differential]]</f>
        <v>0.32863330934532525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0.56222812380678211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1.1751846443488465</v>
      </c>
      <c r="H1189" t="s">
        <v>38</v>
      </c>
      <c r="I1189">
        <f>VLOOKUP(Table4[[#This Row],[Visitor]],'NHL Model'!$A$6:$B$38,2,FALSE)</f>
        <v>-1.2591310848703385</v>
      </c>
      <c r="J1189">
        <f>($B$1+Table4[[#This Row],[Home Differential]])-Table4[[#This Row],[Away Differential]]</f>
        <v>2.5302857243898482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0.87844914436988253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-0.43624947117902363</v>
      </c>
      <c r="H1190" t="s">
        <v>35</v>
      </c>
      <c r="I1190">
        <f>VLOOKUP(Table4[[#This Row],[Visitor]],'NHL Model'!$A$6:$B$38,2,FALSE)</f>
        <v>-1.2663626722629573</v>
      </c>
      <c r="J1190">
        <f>($B$1+Table4[[#This Row],[Home Differential]])-Table4[[#This Row],[Away Differential]]</f>
        <v>0.9260831962545969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0.63247595378004007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-0.53461960928306718</v>
      </c>
      <c r="H1191" t="s">
        <v>31</v>
      </c>
      <c r="I1191">
        <f>VLOOKUP(Table4[[#This Row],[Visitor]],'NHL Model'!$A$6:$B$38,2,FALSE)</f>
        <v>-0.38289376966531796</v>
      </c>
      <c r="J1191">
        <f>($B$1+Table4[[#This Row],[Home Differential]])-Table4[[#This Row],[Away Differential]]</f>
        <v>-5.5755844447085978E-2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0.46556761521525153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0.29527586190964761</v>
      </c>
      <c r="H1192" t="s">
        <v>28</v>
      </c>
      <c r="I1192">
        <f>VLOOKUP(Table4[[#This Row],[Visitor]],'NHL Model'!$A$6:$B$38,2,FALSE)</f>
        <v>-0.42584667868780524</v>
      </c>
      <c r="J1192">
        <f>($B$1+Table4[[#This Row],[Home Differential]])-Table4[[#This Row],[Away Differential]]</f>
        <v>0.81709253576811602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0.66449402026175342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0.21259592260910548</v>
      </c>
      <c r="H1193" t="s">
        <v>40</v>
      </c>
      <c r="I1193">
        <f>VLOOKUP(Table4[[#This Row],[Visitor]],'NHL Model'!$A$6:$B$38,2,FALSE)</f>
        <v>-0.47391784202962389</v>
      </c>
      <c r="J1193">
        <f>($B$1+Table4[[#This Row],[Home Differential]])-Table4[[#This Row],[Away Differential]]</f>
        <v>0.78248375980939255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0.63724196623291984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-0.20041140176017086</v>
      </c>
      <c r="H1194" t="s">
        <v>10</v>
      </c>
      <c r="I1194">
        <f>VLOOKUP(Table4[[#This Row],[Visitor]],'NHL Model'!$A$6:$B$38,2,FALSE)</f>
        <v>-0.70456324341534593</v>
      </c>
      <c r="J1194">
        <f>($B$1+Table4[[#This Row],[Home Differential]])-Table4[[#This Row],[Away Differential]]</f>
        <v>0.60012183682583831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0.59992640776676176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-0.42375285621939396</v>
      </c>
      <c r="H1195" t="s">
        <v>21</v>
      </c>
      <c r="I1195">
        <f>VLOOKUP(Table4[[#This Row],[Visitor]],'NHL Model'!$A$6:$B$38,2,FALSE)</f>
        <v>-5.5047914862176604E-2</v>
      </c>
      <c r="J1195">
        <f>($B$1+Table4[[#This Row],[Home Differential]])-Table4[[#This Row],[Away Differential]]</f>
        <v>-0.27273494618655414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0.48723451238479842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-0.43624947117902363</v>
      </c>
      <c r="H1196" t="s">
        <v>29</v>
      </c>
      <c r="I1196">
        <f>VLOOKUP(Table4[[#This Row],[Visitor]],'NHL Model'!$A$6:$B$38,2,FALSE)</f>
        <v>-0.74313650334688619</v>
      </c>
      <c r="J1196">
        <f>($B$1+Table4[[#This Row],[Home Differential]])-Table4[[#This Row],[Away Differential]]</f>
        <v>0.4028570273385258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0.58022812204215823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1.2879210938040288E-2</v>
      </c>
      <c r="H1197" t="s">
        <v>38</v>
      </c>
      <c r="I1197">
        <f>VLOOKUP(Table4[[#This Row],[Visitor]],'NHL Model'!$A$6:$B$38,2,FALSE)</f>
        <v>-1.2591310848703385</v>
      </c>
      <c r="J1197">
        <f>($B$1+Table4[[#This Row],[Home Differential]])-Table4[[#This Row],[Away Differential]]</f>
        <v>1.3679802909790422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0.67660250253132237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-0.52712015292731806</v>
      </c>
      <c r="H1198" t="s">
        <v>22</v>
      </c>
      <c r="I1198">
        <f>VLOOKUP(Table4[[#This Row],[Visitor]],'NHL Model'!$A$6:$B$38,2,FALSE)</f>
        <v>-8.9159851516330005E-2</v>
      </c>
      <c r="J1198">
        <f>($B$1+Table4[[#This Row],[Home Differential]])-Table4[[#This Row],[Away Differential]]</f>
        <v>-0.34199030624032484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0.49415014966366749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-0.6396663932228257</v>
      </c>
      <c r="H1199" t="s">
        <v>18</v>
      </c>
      <c r="I1199">
        <f>VLOOKUP(Table4[[#This Row],[Visitor]],'NHL Model'!$A$6:$B$38,2,FALSE)</f>
        <v>-0.23645483545724041</v>
      </c>
      <c r="J1199">
        <f>($B$1+Table4[[#This Row],[Home Differential]])-Table4[[#This Row],[Away Differential]]</f>
        <v>-0.30724156259492197</v>
      </c>
      <c r="K1199" t="str">
        <f>IF(Table4[[#This Row],[HomeIce Differential]]&gt;0,Table4[[#This Row],[Home]],Table4[[#This Row],[Visitor]])</f>
        <v>Montreal Canadiens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0.52996697520433655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-0.40390734274709933</v>
      </c>
      <c r="H1200" t="s">
        <v>23</v>
      </c>
      <c r="I1200">
        <f>VLOOKUP(Table4[[#This Row],[Visitor]],'NHL Model'!$A$6:$B$38,2,FALSE)</f>
        <v>2.7346770720058793E-2</v>
      </c>
      <c r="J1200">
        <f>($B$1+Table4[[#This Row],[Home Differential]])-Table4[[#This Row],[Away Differential]]</f>
        <v>-0.3352841182964949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0.51424972015956416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-0.32182316569099201</v>
      </c>
      <c r="H1201" t="s">
        <v>26</v>
      </c>
      <c r="I1201">
        <f>VLOOKUP(Table4[[#This Row],[Visitor]],'NHL Model'!$A$6:$B$38,2,FALSE)</f>
        <v>-0.17319925920548884</v>
      </c>
      <c r="J1201">
        <f>($B$1+Table4[[#This Row],[Home Differential]])-Table4[[#This Row],[Away Differential]]</f>
        <v>-5.265391131483993E-2</v>
      </c>
      <c r="K1201" t="str">
        <f>IF(Table4[[#This Row],[HomeIce Differential]]&gt;0,Table4[[#This Row],[Home]],Table4[[#This Row],[Visitor]])</f>
        <v>Detroit Red Wings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0.50454459850215372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-0.57094405545214133</v>
      </c>
      <c r="H1202" t="s">
        <v>55</v>
      </c>
      <c r="I1202">
        <f>VLOOKUP(Table4[[#This Row],[Visitor]],'NHL Model'!$A$6:$B$38,2,FALSE)</f>
        <v>0.12055191373383152</v>
      </c>
      <c r="J1202">
        <f>($B$1+Table4[[#This Row],[Home Differential]])-Table4[[#This Row],[Away Differential]]</f>
        <v>-0.5955259740153096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0.51946747837622231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-0.53461960928306718</v>
      </c>
      <c r="H1203" t="s">
        <v>19</v>
      </c>
      <c r="I1203">
        <f>VLOOKUP(Table4[[#This Row],[Visitor]],'NHL Model'!$A$6:$B$38,2,FALSE)</f>
        <v>-0.32175529201986758</v>
      </c>
      <c r="J1203">
        <f>($B$1+Table4[[#This Row],[Home Differential]])-Table4[[#This Row],[Away Differential]]</f>
        <v>-0.11689432209253636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0.47167272440607666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0.65340538721281671</v>
      </c>
      <c r="H1204" t="s">
        <v>14</v>
      </c>
      <c r="I1204">
        <f>VLOOKUP(Table4[[#This Row],[Visitor]],'NHL Model'!$A$6:$B$38,2,FALSE)</f>
        <v>3.24300967767114E-5</v>
      </c>
      <c r="J1204">
        <f>($B$1+Table4[[#This Row],[Home Differential]])-Table4[[#This Row],[Away Differential]]</f>
        <v>0.74934295228670333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0.58825531107726192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-4.774288798450349E-3</v>
      </c>
      <c r="H1205" t="s">
        <v>16</v>
      </c>
      <c r="I1205">
        <f>VLOOKUP(Table4[[#This Row],[Visitor]],'NHL Model'!$A$6:$B$38,2,FALSE)</f>
        <v>-0.79148902514100783</v>
      </c>
      <c r="J1205">
        <f>($B$1+Table4[[#This Row],[Home Differential]])-Table4[[#This Row],[Away Differential]]</f>
        <v>0.88268473151322069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0.62814231028474787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-0.38289376966531796</v>
      </c>
      <c r="H1206" t="s">
        <v>35</v>
      </c>
      <c r="I1206">
        <f>VLOOKUP(Table4[[#This Row],[Visitor]],'NHL Model'!$A$6:$B$38,2,FALSE)</f>
        <v>-1.2663626722629573</v>
      </c>
      <c r="J1206">
        <f>($B$1+Table4[[#This Row],[Home Differential]])-Table4[[#This Row],[Away Differential]]</f>
        <v>0.97943889776830262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0.67384076411583649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-0.20908736804509698</v>
      </c>
      <c r="H1207" t="s">
        <v>27</v>
      </c>
      <c r="I1207">
        <f>VLOOKUP(Table4[[#This Row],[Visitor]],'NHL Model'!$A$6:$B$38,2,FALSE)</f>
        <v>-0.32182316569099201</v>
      </c>
      <c r="J1207">
        <f>($B$1+Table4[[#This Row],[Home Differential]])-Table4[[#This Row],[Away Differential]]</f>
        <v>0.20870579281655827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0.55930228724975506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-0.38289376966531796</v>
      </c>
      <c r="H1208" t="s">
        <v>16</v>
      </c>
      <c r="I1208">
        <f>VLOOKUP(Table4[[#This Row],[Visitor]],'NHL Model'!$A$6:$B$38,2,FALSE)</f>
        <v>-0.79148902514100783</v>
      </c>
      <c r="J1208">
        <f>($B$1+Table4[[#This Row],[Home Differential]])-Table4[[#This Row],[Away Differential]]</f>
        <v>0.50456525064635316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0.6264212734910054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0.29527586190964761</v>
      </c>
      <c r="H1209" t="s">
        <v>30</v>
      </c>
      <c r="I1209">
        <f>VLOOKUP(Table4[[#This Row],[Visitor]],'NHL Model'!$A$6:$B$38,2,FALSE)</f>
        <v>-0.20908736804509698</v>
      </c>
      <c r="J1209">
        <f>($B$1+Table4[[#This Row],[Home Differential]])-Table4[[#This Row],[Away Differential]]</f>
        <v>0.60033322512540788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0.62244751638281237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-0.42584667868780524</v>
      </c>
      <c r="H1210" t="s">
        <v>40</v>
      </c>
      <c r="I1210">
        <f>VLOOKUP(Table4[[#This Row],[Visitor]],'NHL Model'!$A$6:$B$38,2,FALSE)</f>
        <v>-0.47391784202962389</v>
      </c>
      <c r="J1210">
        <f>($B$1+Table4[[#This Row],[Home Differential]])-Table4[[#This Row],[Away Differential]]</f>
        <v>0.14404115851248189</v>
      </c>
      <c r="K1210" t="str">
        <f>IF(Table4[[#This Row],[HomeIce Differential]]&gt;0,Table4[[#This Row],[Home]],Table4[[#This Row],[Visitor]])</f>
        <v>Columbus Blue Jackets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0.55438352792804779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0.21259592260910548</v>
      </c>
      <c r="H1211" t="s">
        <v>12</v>
      </c>
      <c r="I1211">
        <f>VLOOKUP(Table4[[#This Row],[Visitor]],'NHL Model'!$A$6:$B$38,2,FALSE)</f>
        <v>1.1751846443488465</v>
      </c>
      <c r="J1211">
        <f>($B$1+Table4[[#This Row],[Home Differential]])-Table4[[#This Row],[Away Differential]]</f>
        <v>-0.86661872656907779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0.59717630399019128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-0.20041140176017086</v>
      </c>
      <c r="H1212" t="s">
        <v>20</v>
      </c>
      <c r="I1212">
        <f>VLOOKUP(Table4[[#This Row],[Visitor]],'NHL Model'!$A$6:$B$38,2,FALSE)</f>
        <v>-4.774288798450349E-3</v>
      </c>
      <c r="J1212">
        <f>($B$1+Table4[[#This Row],[Home Differential]])-Table4[[#This Row],[Away Differential]]</f>
        <v>-9.9667117791057261E-2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0.50051850401049003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-0.43624947117902363</v>
      </c>
      <c r="H1213" t="s">
        <v>19</v>
      </c>
      <c r="I1213">
        <f>VLOOKUP(Table4[[#This Row],[Visitor]],'NHL Model'!$A$6:$B$38,2,FALSE)</f>
        <v>-0.32175529201986758</v>
      </c>
      <c r="J1213">
        <f>($B$1+Table4[[#This Row],[Home Differential]])-Table4[[#This Row],[Away Differential]]</f>
        <v>-1.8524183988492815E-2</v>
      </c>
      <c r="K1213" t="str">
        <f>IF(Table4[[#This Row],[HomeIce Differential]]&gt;0,Table4[[#This Row],[Home]],Table4[[#This Row],[Visitor]])</f>
        <v>Toronto Maple Leafs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0.46184977072174616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-0.52712015292731806</v>
      </c>
      <c r="H1214" t="s">
        <v>18</v>
      </c>
      <c r="I1214">
        <f>VLOOKUP(Table4[[#This Row],[Visitor]],'NHL Model'!$A$6:$B$38,2,FALSE)</f>
        <v>-0.23645483545724041</v>
      </c>
      <c r="J1214">
        <f>($B$1+Table4[[#This Row],[Home Differential]])-Table4[[#This Row],[Away Differential]]</f>
        <v>-0.19469532229941441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0.51872843750299658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-0.6396663932228257</v>
      </c>
      <c r="H1215" t="s">
        <v>26</v>
      </c>
      <c r="I1215">
        <f>VLOOKUP(Table4[[#This Row],[Visitor]],'NHL Model'!$A$6:$B$38,2,FALSE)</f>
        <v>-0.17319925920548884</v>
      </c>
      <c r="J1215">
        <f>($B$1+Table4[[#This Row],[Home Differential]])-Table4[[#This Row],[Away Differential]]</f>
        <v>-0.37049713884667357</v>
      </c>
      <c r="K1215" t="str">
        <f>IF(Table4[[#This Row],[HomeIce Differential]]&gt;0,Table4[[#This Row],[Home]],Table4[[#This Row],[Visitor]])</f>
        <v>Detroit Red Wings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0.53628349165711819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-0.40390734274709933</v>
      </c>
      <c r="H1216" t="s">
        <v>34</v>
      </c>
      <c r="I1216">
        <f>VLOOKUP(Table4[[#This Row],[Visitor]],'NHL Model'!$A$6:$B$38,2,FALSE)</f>
        <v>1.2879210938040288E-2</v>
      </c>
      <c r="J1216">
        <f>($B$1+Table4[[#This Row],[Home Differential]])-Table4[[#This Row],[Away Differential]]</f>
        <v>-0.32081655851447638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0.54856472689238034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3.24300967767114E-5</v>
      </c>
      <c r="H1217" t="s">
        <v>11</v>
      </c>
      <c r="I1217">
        <f>VLOOKUP(Table4[[#This Row],[Visitor]],'NHL Model'!$A$6:$B$38,2,FALSE)</f>
        <v>-0.42375285621939396</v>
      </c>
      <c r="J1217">
        <f>($B$1+Table4[[#This Row],[Home Differential]])-Table4[[#This Row],[Away Differential]]</f>
        <v>0.51975528148683392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0.54049289920194954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-0.57094405545214133</v>
      </c>
      <c r="H1218" t="s">
        <v>10</v>
      </c>
      <c r="I1218">
        <f>VLOOKUP(Table4[[#This Row],[Visitor]],'NHL Model'!$A$6:$B$38,2,FALSE)</f>
        <v>-0.70456324341534593</v>
      </c>
      <c r="J1218">
        <f>($B$1+Table4[[#This Row],[Home Differential]])-Table4[[#This Row],[Away Differential]]</f>
        <v>0.22958918313386784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0.56292610293951151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-0.53461960928306718</v>
      </c>
      <c r="H1219" t="s">
        <v>29</v>
      </c>
      <c r="I1219">
        <f>VLOOKUP(Table4[[#This Row],[Visitor]],'NHL Model'!$A$6:$B$38,2,FALSE)</f>
        <v>-0.74313650334688619</v>
      </c>
      <c r="J1219">
        <f>($B$1+Table4[[#This Row],[Home Differential]])-Table4[[#This Row],[Away Differential]]</f>
        <v>0.30448688923448225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0.57040516835782773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0.65340538721281671</v>
      </c>
      <c r="H1220" t="s">
        <v>21</v>
      </c>
      <c r="I1220">
        <f>VLOOKUP(Table4[[#This Row],[Visitor]],'NHL Model'!$A$6:$B$38,2,FALSE)</f>
        <v>-5.5047914862176604E-2</v>
      </c>
      <c r="J1220">
        <f>($B$1+Table4[[#This Row],[Home Differential]])-Table4[[#This Row],[Away Differential]]</f>
        <v>0.80442329724565664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0.64261108985443693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-1.2591310848703385</v>
      </c>
      <c r="H1221" t="s">
        <v>55</v>
      </c>
      <c r="I1221">
        <f>VLOOKUP(Table4[[#This Row],[Visitor]],'NHL Model'!$A$6:$B$38,2,FALSE)</f>
        <v>0.12055191373383152</v>
      </c>
      <c r="J1221">
        <f>($B$1+Table4[[#This Row],[Home Differential]])-Table4[[#This Row],[Away Differential]]</f>
        <v>-1.2837130034335069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0.58818781817062271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-8.9159851516330005E-2</v>
      </c>
      <c r="H1222" t="s">
        <v>23</v>
      </c>
      <c r="I1222">
        <f>VLOOKUP(Table4[[#This Row],[Visitor]],'NHL Model'!$A$6:$B$38,2,FALSE)</f>
        <v>2.7346770720058793E-2</v>
      </c>
      <c r="J1222">
        <f>($B$1+Table4[[#This Row],[Home Differential]])-Table4[[#This Row],[Away Differential]]</f>
        <v>-2.0536627065725548E-2</v>
      </c>
      <c r="K1222" t="str">
        <f>IF(Table4[[#This Row],[HomeIce Differential]]&gt;0,Table4[[#This Row],[Home]],Table4[[#This Row],[Visitor]])</f>
        <v>Buffalo Sabres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0.48281995815852874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1.1751846443488465</v>
      </c>
      <c r="H1223" t="s">
        <v>35</v>
      </c>
      <c r="I1223">
        <f>VLOOKUP(Table4[[#This Row],[Visitor]],'NHL Model'!$A$6:$B$38,2,FALSE)</f>
        <v>-1.2663626722629573</v>
      </c>
      <c r="J1223">
        <f>($B$1+Table4[[#This Row],[Home Differential]])-Table4[[#This Row],[Away Differential]]</f>
        <v>2.5375173117824668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0.87917126949231283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-0.17319925920548884</v>
      </c>
      <c r="H1224" t="s">
        <v>34</v>
      </c>
      <c r="I1224">
        <f>VLOOKUP(Table4[[#This Row],[Visitor]],'NHL Model'!$A$6:$B$38,2,FALSE)</f>
        <v>1.2879210938040288E-2</v>
      </c>
      <c r="J1224">
        <f>($B$1+Table4[[#This Row],[Home Differential]])-Table4[[#This Row],[Away Differential]]</f>
        <v>-9.0108474972865879E-2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0.47291549399082644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-0.23645483545724041</v>
      </c>
      <c r="H1225" t="s">
        <v>24</v>
      </c>
      <c r="I1225">
        <f>VLOOKUP(Table4[[#This Row],[Visitor]],'NHL Model'!$A$6:$B$38,2,FALSE)</f>
        <v>-0.52712015292731806</v>
      </c>
      <c r="J1225">
        <f>($B$1+Table4[[#This Row],[Home Differential]])-Table4[[#This Row],[Away Differential]]</f>
        <v>0.38663531264074091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0.54060030102813239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-0.6396663932228257</v>
      </c>
      <c r="H1226" t="s">
        <v>22</v>
      </c>
      <c r="I1226">
        <f>VLOOKUP(Table4[[#This Row],[Visitor]],'NHL Model'!$A$6:$B$38,2,FALSE)</f>
        <v>-8.9159851516330005E-2</v>
      </c>
      <c r="J1226">
        <f>($B$1+Table4[[#This Row],[Home Differential]])-Table4[[#This Row],[Away Differential]]</f>
        <v>-0.45453654653583242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0.50538868736500742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-0.40390734274709933</v>
      </c>
      <c r="H1227" t="s">
        <v>25</v>
      </c>
      <c r="I1227">
        <f>VLOOKUP(Table4[[#This Row],[Visitor]],'NHL Model'!$A$6:$B$38,2,FALSE)</f>
        <v>0.29527586190964761</v>
      </c>
      <c r="J1227">
        <f>($B$1+Table4[[#This Row],[Home Differential]])-Table4[[#This Row],[Away Differential]]</f>
        <v>-0.6032132094860837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0.57952293700820068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-0.32182316569099201</v>
      </c>
      <c r="H1228" t="s">
        <v>21</v>
      </c>
      <c r="I1228">
        <f>VLOOKUP(Table4[[#This Row],[Visitor]],'NHL Model'!$A$6:$B$38,2,FALSE)</f>
        <v>-5.5047914862176604E-2</v>
      </c>
      <c r="J1228">
        <f>($B$1+Table4[[#This Row],[Home Differential]])-Table4[[#This Row],[Away Differential]]</f>
        <v>-0.17080525565815216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0.47705611222783573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3.24300967767114E-5</v>
      </c>
      <c r="H1229" t="s">
        <v>11</v>
      </c>
      <c r="I1229">
        <f>VLOOKUP(Table4[[#This Row],[Visitor]],'NHL Model'!$A$6:$B$38,2,FALSE)</f>
        <v>-0.42375285621939396</v>
      </c>
      <c r="J1229">
        <f>($B$1+Table4[[#This Row],[Home Differential]])-Table4[[#This Row],[Away Differential]]</f>
        <v>0.51975528148683392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0.54049289920194954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2.7346770720058793E-2</v>
      </c>
      <c r="H1230" t="s">
        <v>37</v>
      </c>
      <c r="I1230">
        <f>VLOOKUP(Table4[[#This Row],[Visitor]],'NHL Model'!$A$6:$B$38,2,FALSE)</f>
        <v>0.65340538721281671</v>
      </c>
      <c r="J1230">
        <f>($B$1+Table4[[#This Row],[Home Differential]])-Table4[[#This Row],[Away Differential]]</f>
        <v>-0.53008862132209467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0.56755931497399603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-0.43624947117902363</v>
      </c>
      <c r="H1231" t="s">
        <v>29</v>
      </c>
      <c r="I1231">
        <f>VLOOKUP(Table4[[#This Row],[Visitor]],'NHL Model'!$A$6:$B$38,2,FALSE)</f>
        <v>-0.74313650334688619</v>
      </c>
      <c r="J1231">
        <f>($B$1+Table4[[#This Row],[Home Differential]])-Table4[[#This Row],[Away Differential]]</f>
        <v>0.4028570273385258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0.58022812204215823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-0.53461960928306718</v>
      </c>
      <c r="H1232" t="s">
        <v>10</v>
      </c>
      <c r="I1232">
        <f>VLOOKUP(Table4[[#This Row],[Visitor]],'NHL Model'!$A$6:$B$38,2,FALSE)</f>
        <v>-0.70456324341534593</v>
      </c>
      <c r="J1232">
        <f>($B$1+Table4[[#This Row],[Home Differential]])-Table4[[#This Row],[Away Differential]]</f>
        <v>0.26591362930294199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0.56655335567296183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-0.47391784202962389</v>
      </c>
      <c r="H1233" t="s">
        <v>32</v>
      </c>
      <c r="I1233">
        <f>VLOOKUP(Table4[[#This Row],[Visitor]],'NHL Model'!$A$6:$B$38,2,FALSE)</f>
        <v>-0.57094405545214133</v>
      </c>
      <c r="J1233">
        <f>($B$1+Table4[[#This Row],[Home Differential]])-Table4[[#This Row],[Away Differential]]</f>
        <v>0.19299620859318067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0.5592720357498846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-0.38289376966531796</v>
      </c>
      <c r="H1234" t="s">
        <v>29</v>
      </c>
      <c r="I1234">
        <f>VLOOKUP(Table4[[#This Row],[Visitor]],'NHL Model'!$A$6:$B$38,2,FALSE)</f>
        <v>-0.74313650334688619</v>
      </c>
      <c r="J1234">
        <f>($B$1+Table4[[#This Row],[Home Differential]])-Table4[[#This Row],[Away Differential]]</f>
        <v>0.45621272885223146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0.62159293237795465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0.29527586190964761</v>
      </c>
      <c r="H1235" t="s">
        <v>21</v>
      </c>
      <c r="I1235">
        <f>VLOOKUP(Table4[[#This Row],[Visitor]],'NHL Model'!$A$6:$B$38,2,FALSE)</f>
        <v>-5.5047914862176604E-2</v>
      </c>
      <c r="J1235">
        <f>($B$1+Table4[[#This Row],[Home Differential]])-Table4[[#This Row],[Away Differential]]</f>
        <v>0.44629377194248743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0.62746714245648127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0.21259592260910548</v>
      </c>
      <c r="H1236" t="s">
        <v>16</v>
      </c>
      <c r="I1236">
        <f>VLOOKUP(Table4[[#This Row],[Visitor]],'NHL Model'!$A$6:$B$38,2,FALSE)</f>
        <v>-0.79148902514100783</v>
      </c>
      <c r="J1236">
        <f>($B$1+Table4[[#This Row],[Home Differential]])-Table4[[#This Row],[Away Differential]]</f>
        <v>1.1000549429207767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0.66895369382937575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-0.17319925920548884</v>
      </c>
      <c r="H1237" t="s">
        <v>28</v>
      </c>
      <c r="I1237">
        <f>VLOOKUP(Table4[[#This Row],[Visitor]],'NHL Model'!$A$6:$B$38,2,FALSE)</f>
        <v>-0.42584667868780524</v>
      </c>
      <c r="J1237">
        <f>($B$1+Table4[[#This Row],[Home Differential]])-Table4[[#This Row],[Away Differential]]</f>
        <v>0.34861741465297963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0.62652788961814831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1.2879210938040288E-2</v>
      </c>
      <c r="H1238" t="s">
        <v>32</v>
      </c>
      <c r="I1238">
        <f>VLOOKUP(Table4[[#This Row],[Visitor]],'NHL Model'!$A$6:$B$38,2,FALSE)</f>
        <v>-0.57094405545214133</v>
      </c>
      <c r="J1238">
        <f>($B$1+Table4[[#This Row],[Home Differential]])-Table4[[#This Row],[Away Differential]]</f>
        <v>0.67979326156084485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0.60788216273692197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-0.23645483545724041</v>
      </c>
      <c r="H1239" t="s">
        <v>11</v>
      </c>
      <c r="I1239">
        <f>VLOOKUP(Table4[[#This Row],[Visitor]],'NHL Model'!$A$6:$B$38,2,FALSE)</f>
        <v>-0.42375285621939396</v>
      </c>
      <c r="J1239">
        <f>($B$1+Table4[[#This Row],[Home Differential]])-Table4[[#This Row],[Away Differential]]</f>
        <v>0.28326801593281681</v>
      </c>
      <c r="K1239" t="str">
        <f>IF(Table4[[#This Row],[HomeIce Differential]]&gt;0,Table4[[#This Row],[Home]],Table4[[#This Row],[Visitor]])</f>
        <v>Montreal Canadiens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0.51687797396911006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-0.52712015292731806</v>
      </c>
      <c r="H1240" t="s">
        <v>27</v>
      </c>
      <c r="I1240">
        <f>VLOOKUP(Table4[[#This Row],[Visitor]],'NHL Model'!$A$6:$B$38,2,FALSE)</f>
        <v>-0.32182316569099201</v>
      </c>
      <c r="J1240">
        <f>($B$1+Table4[[#This Row],[Home Differential]])-Table4[[#This Row],[Away Differential]]</f>
        <v>-0.10932699206566282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0.48150530830231375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-0.40390734274709933</v>
      </c>
      <c r="H1241" t="s">
        <v>37</v>
      </c>
      <c r="I1241">
        <f>VLOOKUP(Table4[[#This Row],[Visitor]],'NHL Model'!$A$6:$B$38,2,FALSE)</f>
        <v>0.65340538721281671</v>
      </c>
      <c r="J1241">
        <f>($B$1+Table4[[#This Row],[Home Differential]])-Table4[[#This Row],[Away Differential]]</f>
        <v>-0.96134273478925281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0.65285501567213766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-1.2663626722629573</v>
      </c>
      <c r="H1242" t="s">
        <v>12</v>
      </c>
      <c r="I1242">
        <f>VLOOKUP(Table4[[#This Row],[Visitor]],'NHL Model'!$A$6:$B$38,2,FALSE)</f>
        <v>1.1751846443488465</v>
      </c>
      <c r="J1242">
        <f>($B$1+Table4[[#This Row],[Home Differential]])-Table4[[#This Row],[Away Differential]]</f>
        <v>-2.3455773214411408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0.76412406652149434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0.12055191373383152</v>
      </c>
      <c r="H1243" t="s">
        <v>17</v>
      </c>
      <c r="I1243">
        <f>VLOOKUP(Table4[[#This Row],[Visitor]],'NHL Model'!$A$6:$B$38,2,FALSE)</f>
        <v>-0.20041140176017086</v>
      </c>
      <c r="J1243">
        <f>($B$1+Table4[[#This Row],[Home Differential]])-Table4[[#This Row],[Away Differential]]</f>
        <v>0.41693331066466566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0.61540423024310764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-1.2591310848703385</v>
      </c>
      <c r="H1244" t="s">
        <v>20</v>
      </c>
      <c r="I1244">
        <f>VLOOKUP(Table4[[#This Row],[Visitor]],'NHL Model'!$A$6:$B$38,2,FALSE)</f>
        <v>-4.774288798450349E-3</v>
      </c>
      <c r="J1244">
        <f>($B$1+Table4[[#This Row],[Home Differential]])-Table4[[#This Row],[Away Differential]]</f>
        <v>-1.158386800901225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0.60623914863214068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-0.6396663932228257</v>
      </c>
      <c r="H1245" t="s">
        <v>23</v>
      </c>
      <c r="I1245">
        <f>VLOOKUP(Table4[[#This Row],[Visitor]],'NHL Model'!$A$6:$B$38,2,FALSE)</f>
        <v>2.7346770720058793E-2</v>
      </c>
      <c r="J1245">
        <f>($B$1+Table4[[#This Row],[Home Differential]])-Table4[[#This Row],[Away Differential]]</f>
        <v>-0.57104316877222117</v>
      </c>
      <c r="K1245" t="str">
        <f>IF(Table4[[#This Row],[HomeIce Differential]]&gt;0,Table4[[#This Row],[Home]],Table4[[#This Row],[Visitor]])</f>
        <v>Buffalo Sabres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0.53779192796896458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-0.53461960928306718</v>
      </c>
      <c r="H1246" t="s">
        <v>17</v>
      </c>
      <c r="I1246">
        <f>VLOOKUP(Table4[[#This Row],[Visitor]],'NHL Model'!$A$6:$B$38,2,FALSE)</f>
        <v>-0.20041140176017086</v>
      </c>
      <c r="J1246">
        <f>($B$1+Table4[[#This Row],[Home Differential]])-Table4[[#This Row],[Away Differential]]</f>
        <v>-0.23823821235223308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0.48609417932120214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-0.32175529201986758</v>
      </c>
      <c r="H1247" t="s">
        <v>22</v>
      </c>
      <c r="I1247">
        <f>VLOOKUP(Table4[[#This Row],[Visitor]],'NHL Model'!$A$6:$B$38,2,FALSE)</f>
        <v>-8.9159851516330005E-2</v>
      </c>
      <c r="J1247">
        <f>($B$1+Table4[[#This Row],[Home Differential]])-Table4[[#This Row],[Away Differential]]</f>
        <v>-0.13662544533287435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0.46831240986387118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-0.38289376966531796</v>
      </c>
      <c r="H1248" t="s">
        <v>33</v>
      </c>
      <c r="I1248">
        <f>VLOOKUP(Table4[[#This Row],[Visitor]],'NHL Model'!$A$6:$B$38,2,FALSE)</f>
        <v>-0.53461960928306718</v>
      </c>
      <c r="J1248">
        <f>($B$1+Table4[[#This Row],[Home Differential]])-Table4[[#This Row],[Away Differential]]</f>
        <v>0.24769583478841245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0.58028973566166386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2.7346770720058793E-2</v>
      </c>
      <c r="H1249" t="s">
        <v>28</v>
      </c>
      <c r="I1249">
        <f>VLOOKUP(Table4[[#This Row],[Visitor]],'NHL Model'!$A$6:$B$38,2,FALSE)</f>
        <v>-0.42584667868780524</v>
      </c>
      <c r="J1249">
        <f>($B$1+Table4[[#This Row],[Home Differential]])-Table4[[#This Row],[Away Differential]]</f>
        <v>0.54916344457852728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0.63665603388581604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-0.70456324341534593</v>
      </c>
      <c r="H1250" t="s">
        <v>25</v>
      </c>
      <c r="I1250">
        <f>VLOOKUP(Table4[[#This Row],[Visitor]],'NHL Model'!$A$6:$B$38,2,FALSE)</f>
        <v>0.29527586190964761</v>
      </c>
      <c r="J1250">
        <f>($B$1+Table4[[#This Row],[Home Differential]])-Table4[[#This Row],[Away Differential]]</f>
        <v>-0.90386911015433025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0.60954555407580313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1.1751846443488465</v>
      </c>
      <c r="H1251" t="s">
        <v>16</v>
      </c>
      <c r="I1251">
        <f>VLOOKUP(Table4[[#This Row],[Visitor]],'NHL Model'!$A$6:$B$38,2,FALSE)</f>
        <v>-0.79148902514100783</v>
      </c>
      <c r="J1251">
        <f>($B$1+Table4[[#This Row],[Home Differential]])-Table4[[#This Row],[Away Differential]]</f>
        <v>2.0626436646605173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0.83175177886748186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0.21259592260910548</v>
      </c>
      <c r="H1252" t="s">
        <v>34</v>
      </c>
      <c r="I1252">
        <f>VLOOKUP(Table4[[#This Row],[Visitor]],'NHL Model'!$A$6:$B$38,2,FALSE)</f>
        <v>1.2879210938040288E-2</v>
      </c>
      <c r="J1252">
        <f>($B$1+Table4[[#This Row],[Home Differential]])-Table4[[#This Row],[Away Differential]]</f>
        <v>0.29568670684172843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0.53228883887520495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-0.17319925920548884</v>
      </c>
      <c r="H1253" t="s">
        <v>27</v>
      </c>
      <c r="I1253">
        <f>VLOOKUP(Table4[[#This Row],[Visitor]],'NHL Model'!$A$6:$B$38,2,FALSE)</f>
        <v>-0.32182316569099201</v>
      </c>
      <c r="J1253">
        <f>($B$1+Table4[[#This Row],[Home Differential]])-Table4[[#This Row],[Away Differential]]</f>
        <v>0.2445939016561664</v>
      </c>
      <c r="K1253" t="str">
        <f>IF(Table4[[#This Row],[HomeIce Differential]]&gt;0,Table4[[#This Row],[Home]],Table4[[#This Row],[Visitor]])</f>
        <v>Detroit Red Wings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0.6058197789919888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-0.43624947117902363</v>
      </c>
      <c r="H1254" t="s">
        <v>38</v>
      </c>
      <c r="I1254">
        <f>VLOOKUP(Table4[[#This Row],[Visitor]],'NHL Model'!$A$6:$B$38,2,FALSE)</f>
        <v>-1.2591310848703385</v>
      </c>
      <c r="J1254">
        <f>($B$1+Table4[[#This Row],[Home Differential]])-Table4[[#This Row],[Away Differential]]</f>
        <v>0.91885160886197814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0.63175382865760965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-0.23645483545724041</v>
      </c>
      <c r="H1255" t="s">
        <v>37</v>
      </c>
      <c r="I1255">
        <f>VLOOKUP(Table4[[#This Row],[Visitor]],'NHL Model'!$A$6:$B$38,2,FALSE)</f>
        <v>0.65340538721281671</v>
      </c>
      <c r="J1255">
        <f>($B$1+Table4[[#This Row],[Home Differential]])-Table4[[#This Row],[Away Differential]]</f>
        <v>-0.79389022749939386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0.63613369907000417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-0.52712015292731806</v>
      </c>
      <c r="H1256" t="s">
        <v>14</v>
      </c>
      <c r="I1256">
        <f>VLOOKUP(Table4[[#This Row],[Visitor]],'NHL Model'!$A$6:$B$38,2,FALSE)</f>
        <v>3.24300967767114E-5</v>
      </c>
      <c r="J1256">
        <f>($B$1+Table4[[#This Row],[Home Differential]])-Table4[[#This Row],[Away Differential]]</f>
        <v>-0.43118258785343155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0.55214753858851418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-0.20908736804509698</v>
      </c>
      <c r="H1257" t="s">
        <v>19</v>
      </c>
      <c r="I1257">
        <f>VLOOKUP(Table4[[#This Row],[Visitor]],'NHL Model'!$A$6:$B$38,2,FALSE)</f>
        <v>-0.32175529201986758</v>
      </c>
      <c r="J1257">
        <f>($B$1+Table4[[#This Row],[Home Differential]])-Table4[[#This Row],[Away Differential]]</f>
        <v>0.20863791914543384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0.56985357896548194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-0.40390734274709933</v>
      </c>
      <c r="H1258" t="s">
        <v>11</v>
      </c>
      <c r="I1258">
        <f>VLOOKUP(Table4[[#This Row],[Visitor]],'NHL Model'!$A$6:$B$38,2,FALSE)</f>
        <v>-0.42375285621939396</v>
      </c>
      <c r="J1258">
        <f>($B$1+Table4[[#This Row],[Home Differential]])-Table4[[#This Row],[Away Differential]]</f>
        <v>0.11581550864295787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0.50015665736697656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-0.57094405545214133</v>
      </c>
      <c r="H1259" t="s">
        <v>20</v>
      </c>
      <c r="I1259">
        <f>VLOOKUP(Table4[[#This Row],[Visitor]],'NHL Model'!$A$6:$B$38,2,FALSE)</f>
        <v>-4.774288798450349E-3</v>
      </c>
      <c r="J1259">
        <f>($B$1+Table4[[#This Row],[Home Differential]])-Table4[[#This Row],[Away Differential]]</f>
        <v>-0.47019977148302772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0.53751880883774028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-1.2663626722629573</v>
      </c>
      <c r="H1260" t="s">
        <v>40</v>
      </c>
      <c r="I1260">
        <f>VLOOKUP(Table4[[#This Row],[Visitor]],'NHL Model'!$A$6:$B$38,2,FALSE)</f>
        <v>-0.47391784202962389</v>
      </c>
      <c r="J1260">
        <f>($B$1+Table4[[#This Row],[Home Differential]])-Table4[[#This Row],[Away Differential]]</f>
        <v>-0.69647483506267016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0.52954793577585857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0.12055191373383152</v>
      </c>
      <c r="H1261" t="s">
        <v>29</v>
      </c>
      <c r="I1261">
        <f>VLOOKUP(Table4[[#This Row],[Visitor]],'NHL Model'!$A$6:$B$38,2,FALSE)</f>
        <v>-0.74313650334688619</v>
      </c>
      <c r="J1261">
        <f>($B$1+Table4[[#This Row],[Home Differential]])-Table4[[#This Row],[Away Differential]]</f>
        <v>0.95965841225138093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0.67186554280547517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-5.5047914862176604E-2</v>
      </c>
      <c r="H1262" t="s">
        <v>37</v>
      </c>
      <c r="I1262">
        <f>VLOOKUP(Table4[[#This Row],[Visitor]],'NHL Model'!$A$6:$B$38,2,FALSE)</f>
        <v>0.65340538721281671</v>
      </c>
      <c r="J1262">
        <f>($B$1+Table4[[#This Row],[Home Differential]])-Table4[[#This Row],[Away Differential]]</f>
        <v>-0.61248330690433006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0.57467430145287224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-0.70456324341534593</v>
      </c>
      <c r="H1263" t="s">
        <v>35</v>
      </c>
      <c r="I1263">
        <f>VLOOKUP(Table4[[#This Row],[Visitor]],'NHL Model'!$A$6:$B$38,2,FALSE)</f>
        <v>-1.2663626722629573</v>
      </c>
      <c r="J1263">
        <f>($B$1+Table4[[#This Row],[Home Differential]])-Table4[[#This Row],[Away Differential]]</f>
        <v>0.65776942401827465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0.60568292686817626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1.1751846443488465</v>
      </c>
      <c r="H1264" t="s">
        <v>20</v>
      </c>
      <c r="I1264">
        <f>VLOOKUP(Table4[[#This Row],[Visitor]],'NHL Model'!$A$6:$B$38,2,FALSE)</f>
        <v>-4.774288798450349E-3</v>
      </c>
      <c r="J1264">
        <f>($B$1+Table4[[#This Row],[Home Differential]])-Table4[[#This Row],[Away Differential]]</f>
        <v>1.27592892831796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0.72406923446061544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0.21259592260910548</v>
      </c>
      <c r="H1265" t="s">
        <v>15</v>
      </c>
      <c r="I1265">
        <f>VLOOKUP(Table4[[#This Row],[Visitor]],'NHL Model'!$A$6:$B$38,2,FALSE)</f>
        <v>-0.6396663932228257</v>
      </c>
      <c r="J1265">
        <f>($B$1+Table4[[#This Row],[Home Differential]])-Table4[[#This Row],[Away Differential]]</f>
        <v>0.94823231100259442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0.60193407627494711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-0.17319925920548884</v>
      </c>
      <c r="H1266" t="s">
        <v>24</v>
      </c>
      <c r="I1266">
        <f>VLOOKUP(Table4[[#This Row],[Visitor]],'NHL Model'!$A$6:$B$38,2,FALSE)</f>
        <v>-0.52712015292731806</v>
      </c>
      <c r="J1266">
        <f>($B$1+Table4[[#This Row],[Home Differential]])-Table4[[#This Row],[Away Differential]]</f>
        <v>0.44989088889249246</v>
      </c>
      <c r="K1266" t="str">
        <f>IF(Table4[[#This Row],[HomeIce Differential]]&gt;0,Table4[[#This Row],[Home]],Table4[[#This Row],[Visitor]])</f>
        <v>Detroit Red Wings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0.59938023115295846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-0.43624947117902363</v>
      </c>
      <c r="H1267" t="s">
        <v>17</v>
      </c>
      <c r="I1267">
        <f>VLOOKUP(Table4[[#This Row],[Visitor]],'NHL Model'!$A$6:$B$38,2,FALSE)</f>
        <v>-0.20041140176017086</v>
      </c>
      <c r="J1267">
        <f>($B$1+Table4[[#This Row],[Home Differential]])-Table4[[#This Row],[Away Differential]]</f>
        <v>-0.13986807424818953</v>
      </c>
      <c r="K1267" t="str">
        <f>IF(Table4[[#This Row],[HomeIce Differential]]&gt;0,Table4[[#This Row],[Home]],Table4[[#This Row],[Visitor]])</f>
        <v>Edmonton Oilers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0.47627122563687163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-0.23645483545724041</v>
      </c>
      <c r="H1268" t="s">
        <v>28</v>
      </c>
      <c r="I1268">
        <f>VLOOKUP(Table4[[#This Row],[Visitor]],'NHL Model'!$A$6:$B$38,2,FALSE)</f>
        <v>-0.42584667868780524</v>
      </c>
      <c r="J1268">
        <f>($B$1+Table4[[#This Row],[Home Differential]])-Table4[[#This Row],[Away Differential]]</f>
        <v>0.28536183840122809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0.56849539683400585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-0.74313650334688619</v>
      </c>
      <c r="H1269" t="s">
        <v>34</v>
      </c>
      <c r="I1269">
        <f>VLOOKUP(Table4[[#This Row],[Visitor]],'NHL Model'!$A$6:$B$38,2,FALSE)</f>
        <v>1.2879210938040288E-2</v>
      </c>
      <c r="J1269">
        <f>($B$1+Table4[[#This Row],[Home Differential]])-Table4[[#This Row],[Away Differential]]</f>
        <v>-0.66004571911426324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0.58243915664484869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-0.20908736804509698</v>
      </c>
      <c r="H1270" t="s">
        <v>36</v>
      </c>
      <c r="I1270">
        <f>VLOOKUP(Table4[[#This Row],[Visitor]],'NHL Model'!$A$6:$B$38,2,FALSE)</f>
        <v>-0.40390734274709933</v>
      </c>
      <c r="J1270">
        <f>($B$1+Table4[[#This Row],[Home Differential]])-Table4[[#This Row],[Away Differential]]</f>
        <v>0.29078996987266559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0.57723020521811785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3.24300967767114E-5</v>
      </c>
      <c r="H1271" t="s">
        <v>22</v>
      </c>
      <c r="I1271">
        <f>VLOOKUP(Table4[[#This Row],[Visitor]],'NHL Model'!$A$6:$B$38,2,FALSE)</f>
        <v>-8.9159851516330005E-2</v>
      </c>
      <c r="J1271">
        <f>($B$1+Table4[[#This Row],[Home Differential]])-Table4[[#This Row],[Away Differential]]</f>
        <v>0.18516227678376995</v>
      </c>
      <c r="K1271" t="str">
        <f>IF(Table4[[#This Row],[HomeIce Differential]]&gt;0,Table4[[#This Row],[Home]],Table4[[#This Row],[Visitor]])</f>
        <v>Pittsburgh Penguins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0.55848976227936598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-0.57094405545214133</v>
      </c>
      <c r="H1272" t="s">
        <v>16</v>
      </c>
      <c r="I1272">
        <f>VLOOKUP(Table4[[#This Row],[Visitor]],'NHL Model'!$A$6:$B$38,2,FALSE)</f>
        <v>-0.79148902514100783</v>
      </c>
      <c r="J1272">
        <f>($B$1+Table4[[#This Row],[Home Differential]])-Table4[[#This Row],[Away Differential]]</f>
        <v>0.31651496485952973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0.57160625673742826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-0.53461960928306718</v>
      </c>
      <c r="H1273" t="s">
        <v>38</v>
      </c>
      <c r="I1273">
        <f>VLOOKUP(Table4[[#This Row],[Visitor]],'NHL Model'!$A$6:$B$38,2,FALSE)</f>
        <v>-1.2591310848703385</v>
      </c>
      <c r="J1273">
        <f>($B$1+Table4[[#This Row],[Home Differential]])-Table4[[#This Row],[Away Differential]]</f>
        <v>0.82048147075793465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0.62193087497327915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-0.32175529201986758</v>
      </c>
      <c r="H1274" t="s">
        <v>11</v>
      </c>
      <c r="I1274">
        <f>VLOOKUP(Table4[[#This Row],[Visitor]],'NHL Model'!$A$6:$B$38,2,FALSE)</f>
        <v>-0.42375285621939396</v>
      </c>
      <c r="J1274">
        <f>($B$1+Table4[[#This Row],[Home Differential]])-Table4[[#This Row],[Away Differential]]</f>
        <v>0.19796755937018962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0.51372819181188711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0.12055191373383152</v>
      </c>
      <c r="H1275" t="s">
        <v>25</v>
      </c>
      <c r="I1275">
        <f>VLOOKUP(Table4[[#This Row],[Visitor]],'NHL Model'!$A$6:$B$38,2,FALSE)</f>
        <v>0.29527586190964761</v>
      </c>
      <c r="J1275">
        <f>($B$1+Table4[[#This Row],[Home Differential]])-Table4[[#This Row],[Away Differential]]</f>
        <v>-7.8753953005152838E-2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0.49062275962183133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-0.47391784202962389</v>
      </c>
      <c r="H1276" t="s">
        <v>27</v>
      </c>
      <c r="I1276">
        <f>VLOOKUP(Table4[[#This Row],[Visitor]],'NHL Model'!$A$6:$B$38,2,FALSE)</f>
        <v>-0.32182316569099201</v>
      </c>
      <c r="J1276">
        <f>($B$1+Table4[[#This Row],[Home Differential]])-Table4[[#This Row],[Away Differential]]</f>
        <v>-5.6124681167968649E-2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0.47619268146331656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-0.38289376966531796</v>
      </c>
      <c r="H1277" t="s">
        <v>38</v>
      </c>
      <c r="I1277">
        <f>VLOOKUP(Table4[[#This Row],[Visitor]],'NHL Model'!$A$6:$B$38,2,FALSE)</f>
        <v>-1.2591310848703385</v>
      </c>
      <c r="J1277">
        <f>($B$1+Table4[[#This Row],[Home Differential]])-Table4[[#This Row],[Away Differential]]</f>
        <v>0.97220731037568386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0.67311863899340607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-0.42584667868780524</v>
      </c>
      <c r="H1278" t="s">
        <v>21</v>
      </c>
      <c r="I1278">
        <f>VLOOKUP(Table4[[#This Row],[Visitor]],'NHL Model'!$A$6:$B$38,2,FALSE)</f>
        <v>-5.5047914862176604E-2</v>
      </c>
      <c r="J1278">
        <f>($B$1+Table4[[#This Row],[Home Differential]])-Table4[[#This Row],[Away Differential]]</f>
        <v>-0.27482876865496542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0.48744359535984377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-0.79148902514100783</v>
      </c>
      <c r="H1279" t="s">
        <v>55</v>
      </c>
      <c r="I1279">
        <f>VLOOKUP(Table4[[#This Row],[Visitor]],'NHL Model'!$A$6:$B$38,2,FALSE)</f>
        <v>0.12055191373383152</v>
      </c>
      <c r="J1279">
        <f>($B$1+Table4[[#This Row],[Home Differential]])-Table4[[#This Row],[Away Differential]]</f>
        <v>-0.8160709437041761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0.54149045266822216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-0.52712015292731806</v>
      </c>
      <c r="H1280" t="s">
        <v>36</v>
      </c>
      <c r="I1280">
        <f>VLOOKUP(Table4[[#This Row],[Visitor]],'NHL Model'!$A$6:$B$38,2,FALSE)</f>
        <v>-0.40390734274709933</v>
      </c>
      <c r="J1280">
        <f>($B$1+Table4[[#This Row],[Home Differential]])-Table4[[#This Row],[Away Differential]]</f>
        <v>-2.7242815009555499E-2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0.46354988075018955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-0.20908736804509698</v>
      </c>
      <c r="H1281" t="s">
        <v>18</v>
      </c>
      <c r="I1281">
        <f>VLOOKUP(Table4[[#This Row],[Visitor]],'NHL Model'!$A$6:$B$38,2,FALSE)</f>
        <v>-0.23645483545724041</v>
      </c>
      <c r="J1281">
        <f>($B$1+Table4[[#This Row],[Home Differential]])-Table4[[#This Row],[Away Differential]]</f>
        <v>0.12333746258280669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0.52212003910027471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-8.9159851516330005E-2</v>
      </c>
      <c r="H1282" t="s">
        <v>14</v>
      </c>
      <c r="I1282">
        <f>VLOOKUP(Table4[[#This Row],[Visitor]],'NHL Model'!$A$6:$B$38,2,FALSE)</f>
        <v>3.24300967767114E-5</v>
      </c>
      <c r="J1282">
        <f>($B$1+Table4[[#This Row],[Home Differential]])-Table4[[#This Row],[Away Differential]]</f>
        <v>6.7777135575565334E-3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0.4915858935205818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-0.70456324341534593</v>
      </c>
      <c r="H1283" t="s">
        <v>23</v>
      </c>
      <c r="I1283">
        <f>VLOOKUP(Table4[[#This Row],[Visitor]],'NHL Model'!$A$6:$B$38,2,FALSE)</f>
        <v>2.7346770720058793E-2</v>
      </c>
      <c r="J1283">
        <f>($B$1+Table4[[#This Row],[Home Differential]])-Table4[[#This Row],[Away Differential]]</f>
        <v>-0.63594001896474139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0.54427233722716661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-0.20041140176017086</v>
      </c>
      <c r="H1284" t="s">
        <v>12</v>
      </c>
      <c r="I1284">
        <f>VLOOKUP(Table4[[#This Row],[Visitor]],'NHL Model'!$A$6:$B$38,2,FALSE)</f>
        <v>1.1751846443488465</v>
      </c>
      <c r="J1284">
        <f>($B$1+Table4[[#This Row],[Home Differential]])-Table4[[#This Row],[Away Differential]]</f>
        <v>-1.2796260509383541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0.65768129677741327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-0.42375285621939396</v>
      </c>
      <c r="H1285" t="s">
        <v>15</v>
      </c>
      <c r="I1285">
        <f>VLOOKUP(Table4[[#This Row],[Visitor]],'NHL Model'!$A$6:$B$38,2,FALSE)</f>
        <v>-0.6396663932228257</v>
      </c>
      <c r="J1285">
        <f>($B$1+Table4[[#This Row],[Home Differential]])-Table4[[#This Row],[Away Differential]]</f>
        <v>0.31188353217409498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0.5190955826723459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-0.74313650334688619</v>
      </c>
      <c r="H1286" t="s">
        <v>33</v>
      </c>
      <c r="I1286">
        <f>VLOOKUP(Table4[[#This Row],[Visitor]],'NHL Model'!$A$6:$B$38,2,FALSE)</f>
        <v>-0.53461960928306718</v>
      </c>
      <c r="J1286">
        <f>($B$1+Table4[[#This Row],[Home Differential]])-Table4[[#This Row],[Away Differential]]</f>
        <v>-0.11254689889315572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0.49200783423620154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-0.32182316569099201</v>
      </c>
      <c r="H1287" t="s">
        <v>25</v>
      </c>
      <c r="I1287">
        <f>VLOOKUP(Table4[[#This Row],[Visitor]],'NHL Model'!$A$6:$B$38,2,FALSE)</f>
        <v>0.29527586190964761</v>
      </c>
      <c r="J1287">
        <f>($B$1+Table4[[#This Row],[Home Differential]])-Table4[[#This Row],[Away Differential]]</f>
        <v>-0.52112903242997644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0.57132625166263662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-0.57094405545214133</v>
      </c>
      <c r="H1288" t="s">
        <v>13</v>
      </c>
      <c r="I1288">
        <f>VLOOKUP(Table4[[#This Row],[Visitor]],'NHL Model'!$A$6:$B$38,2,FALSE)</f>
        <v>-0.43624947117902363</v>
      </c>
      <c r="J1288">
        <f>($B$1+Table4[[#This Row],[Home Differential]])-Table4[[#This Row],[Away Differential]]</f>
        <v>-3.8724589102454465E-2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0.49443296170820145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-1.2663626722629573</v>
      </c>
      <c r="H1289" t="s">
        <v>34</v>
      </c>
      <c r="I1289">
        <f>VLOOKUP(Table4[[#This Row],[Visitor]],'NHL Model'!$A$6:$B$38,2,FALSE)</f>
        <v>1.2879210938040288E-2</v>
      </c>
      <c r="J1289">
        <f>($B$1+Table4[[#This Row],[Home Differential]])-Table4[[#This Row],[Away Differential]]</f>
        <v>-1.1832718880303343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0.63468698838273063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0.65340538721281671</v>
      </c>
      <c r="H1290" t="s">
        <v>26</v>
      </c>
      <c r="I1290">
        <f>VLOOKUP(Table4[[#This Row],[Visitor]],'NHL Model'!$A$6:$B$38,2,FALSE)</f>
        <v>-0.17319925920548884</v>
      </c>
      <c r="J1290">
        <f>($B$1+Table4[[#This Row],[Home Differential]])-Table4[[#This Row],[Away Differential]]</f>
        <v>0.92257464158896885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0.61534541403561482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-0.32175529201986758</v>
      </c>
      <c r="H1291" t="s">
        <v>39</v>
      </c>
      <c r="I1291">
        <f>VLOOKUP(Table4[[#This Row],[Visitor]],'NHL Model'!$A$6:$B$38,2,FALSE)</f>
        <v>0.21259592260910548</v>
      </c>
      <c r="J1291">
        <f>($B$1+Table4[[#This Row],[Home Differential]])-Table4[[#This Row],[Away Differential]]</f>
        <v>-0.43838121945830982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0.53641419534848866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-4.774288798450349E-3</v>
      </c>
      <c r="H1292" t="s">
        <v>40</v>
      </c>
      <c r="I1292">
        <f>VLOOKUP(Table4[[#This Row],[Visitor]],'NHL Model'!$A$6:$B$38,2,FALSE)</f>
        <v>-0.47391784202962389</v>
      </c>
      <c r="J1292">
        <f>($B$1+Table4[[#This Row],[Home Differential]])-Table4[[#This Row],[Away Differential]]</f>
        <v>0.56511354840183681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0.59643058268829197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-5.5047914862176604E-2</v>
      </c>
      <c r="H1293" t="s">
        <v>24</v>
      </c>
      <c r="I1293">
        <f>VLOOKUP(Table4[[#This Row],[Visitor]],'NHL Model'!$A$6:$B$38,2,FALSE)</f>
        <v>-0.52712015292731806</v>
      </c>
      <c r="J1293">
        <f>($B$1+Table4[[#This Row],[Home Differential]])-Table4[[#This Row],[Away Differential]]</f>
        <v>0.56804223323580472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0.60217757802686256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-0.42584667868780524</v>
      </c>
      <c r="H1294" t="s">
        <v>22</v>
      </c>
      <c r="I1294">
        <f>VLOOKUP(Table4[[#This Row],[Visitor]],'NHL Model'!$A$6:$B$38,2,FALSE)</f>
        <v>-8.9159851516330005E-2</v>
      </c>
      <c r="J1294">
        <f>($B$1+Table4[[#This Row],[Home Differential]])-Table4[[#This Row],[Away Differential]]</f>
        <v>-0.24071683200081201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0.48403727734205099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-0.79148902514100783</v>
      </c>
      <c r="H1295" t="s">
        <v>12</v>
      </c>
      <c r="I1295">
        <f>VLOOKUP(Table4[[#This Row],[Visitor]],'NHL Model'!$A$6:$B$38,2,FALSE)</f>
        <v>1.1751846443488465</v>
      </c>
      <c r="J1295">
        <f>($B$1+Table4[[#This Row],[Home Differential]])-Table4[[#This Row],[Away Differential]]</f>
        <v>-1.8707036743191909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0.71670457589666314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1.2879210938040288E-2</v>
      </c>
      <c r="H1296" t="s">
        <v>31</v>
      </c>
      <c r="I1296">
        <f>VLOOKUP(Table4[[#This Row],[Visitor]],'NHL Model'!$A$6:$B$38,2,FALSE)</f>
        <v>-0.38289376966531796</v>
      </c>
      <c r="J1296">
        <f>($B$1+Table4[[#This Row],[Home Differential]])-Table4[[#This Row],[Away Differential]]</f>
        <v>0.49174297577402148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0.58910401234279175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-0.20908736804509698</v>
      </c>
      <c r="H1297" t="s">
        <v>25</v>
      </c>
      <c r="I1297">
        <f>VLOOKUP(Table4[[#This Row],[Visitor]],'NHL Model'!$A$6:$B$38,2,FALSE)</f>
        <v>0.29527586190964761</v>
      </c>
      <c r="J1297">
        <f>($B$1+Table4[[#This Row],[Home Differential]])-Table4[[#This Row],[Away Differential]]</f>
        <v>-0.40839323478408135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0.55098503312460845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-0.32182316569099201</v>
      </c>
      <c r="H1298" t="s">
        <v>18</v>
      </c>
      <c r="I1298">
        <f>VLOOKUP(Table4[[#This Row],[Visitor]],'NHL Model'!$A$6:$B$38,2,FALSE)</f>
        <v>-0.23645483545724041</v>
      </c>
      <c r="J1298">
        <f>($B$1+Table4[[#This Row],[Home Differential]])-Table4[[#This Row],[Away Differential]]</f>
        <v>1.0601664936911642E-2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0.50177191795062803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-1.2663626722629573</v>
      </c>
      <c r="H1299" t="s">
        <v>14</v>
      </c>
      <c r="I1299">
        <f>VLOOKUP(Table4[[#This Row],[Visitor]],'NHL Model'!$A$6:$B$38,2,FALSE)</f>
        <v>3.24300967767114E-5</v>
      </c>
      <c r="J1299">
        <f>($B$1+Table4[[#This Row],[Home Differential]])-Table4[[#This Row],[Away Differential]]</f>
        <v>-1.1704251071890708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0.62596612997080392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0.12055191373383152</v>
      </c>
      <c r="H1300" t="s">
        <v>40</v>
      </c>
      <c r="I1300">
        <f>VLOOKUP(Table4[[#This Row],[Visitor]],'NHL Model'!$A$6:$B$38,2,FALSE)</f>
        <v>-0.47391784202962389</v>
      </c>
      <c r="J1300">
        <f>($B$1+Table4[[#This Row],[Home Differential]])-Table4[[#This Row],[Away Differential]]</f>
        <v>0.69043975093411869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0.64498215632207012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-1.2591310848703385</v>
      </c>
      <c r="H1301" t="s">
        <v>13</v>
      </c>
      <c r="I1301">
        <f>VLOOKUP(Table4[[#This Row],[Visitor]],'NHL Model'!$A$6:$B$38,2,FALSE)</f>
        <v>-0.43624947117902363</v>
      </c>
      <c r="J1301">
        <f>($B$1+Table4[[#This Row],[Home Differential]])-Table4[[#This Row],[Away Differential]]</f>
        <v>-0.72691161852065167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0.56315330150260179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2.7346770720058793E-2</v>
      </c>
      <c r="H1302" t="s">
        <v>39</v>
      </c>
      <c r="I1302">
        <f>VLOOKUP(Table4[[#This Row],[Visitor]],'NHL Model'!$A$6:$B$38,2,FALSE)</f>
        <v>0.21259592260910548</v>
      </c>
      <c r="J1302">
        <f>($B$1+Table4[[#This Row],[Home Differential]])-Table4[[#This Row],[Away Differential]]</f>
        <v>-8.9279156718383434E-2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0.46456521568067521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-0.70456324341534593</v>
      </c>
      <c r="H1303" t="s">
        <v>33</v>
      </c>
      <c r="I1303">
        <f>VLOOKUP(Table4[[#This Row],[Visitor]],'NHL Model'!$A$6:$B$38,2,FALSE)</f>
        <v>-0.53461960928306718</v>
      </c>
      <c r="J1303">
        <f>($B$1+Table4[[#This Row],[Home Differential]])-Table4[[#This Row],[Away Differential]]</f>
        <v>-7.3973638961615462E-2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0.48815602155133564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-0.42375285621939396</v>
      </c>
      <c r="H1304" t="s">
        <v>26</v>
      </c>
      <c r="I1304">
        <f>VLOOKUP(Table4[[#This Row],[Visitor]],'NHL Model'!$A$6:$B$38,2,FALSE)</f>
        <v>-0.17319925920548884</v>
      </c>
      <c r="J1304">
        <f>($B$1+Table4[[#This Row],[Home Differential]])-Table4[[#This Row],[Away Differential]]</f>
        <v>-0.15458360184324188</v>
      </c>
      <c r="K1304" t="str">
        <f>IF(Table4[[#This Row],[HomeIce Differential]]&gt;0,Table4[[#This Row],[Home]],Table4[[#This Row],[Visitor]])</f>
        <v>Detroit Red Wings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0.51472299865911642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-0.40390734274709933</v>
      </c>
      <c r="H1305" t="s">
        <v>19</v>
      </c>
      <c r="I1305">
        <f>VLOOKUP(Table4[[#This Row],[Visitor]],'NHL Model'!$A$6:$B$38,2,FALSE)</f>
        <v>-0.32175529201986758</v>
      </c>
      <c r="J1305">
        <f>($B$1+Table4[[#This Row],[Home Differential]])-Table4[[#This Row],[Away Differential]]</f>
        <v>1.3817944443431485E-2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0.54137981943399249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0.65340538721281671</v>
      </c>
      <c r="H1306" t="s">
        <v>15</v>
      </c>
      <c r="I1306">
        <f>VLOOKUP(Table4[[#This Row],[Visitor]],'NHL Model'!$A$6:$B$38,2,FALSE)</f>
        <v>-0.6396663932228257</v>
      </c>
      <c r="J1306">
        <f>($B$1+Table4[[#This Row],[Home Differential]])-Table4[[#This Row],[Away Differential]]</f>
        <v>1.3890417756063056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0.64917684484692584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-4.774288798450349E-3</v>
      </c>
      <c r="H1307" t="s">
        <v>32</v>
      </c>
      <c r="I1307">
        <f>VLOOKUP(Table4[[#This Row],[Visitor]],'NHL Model'!$A$6:$B$38,2,FALSE)</f>
        <v>-0.57094405545214133</v>
      </c>
      <c r="J1307">
        <f>($B$1+Table4[[#This Row],[Home Differential]])-Table4[[#This Row],[Away Differential]]</f>
        <v>0.66213976182435419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0.60611933599274803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-0.79148902514100783</v>
      </c>
      <c r="H1308" t="s">
        <v>13</v>
      </c>
      <c r="I1308">
        <f>VLOOKUP(Table4[[#This Row],[Visitor]],'NHL Model'!$A$6:$B$38,2,FALSE)</f>
        <v>-0.43624947117902363</v>
      </c>
      <c r="J1308">
        <f>($B$1+Table4[[#This Row],[Home Differential]])-Table4[[#This Row],[Away Differential]]</f>
        <v>-0.25926955879132091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0.51645593600020123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1.1751846443488465</v>
      </c>
      <c r="H1309" t="s">
        <v>32</v>
      </c>
      <c r="I1309">
        <f>VLOOKUP(Table4[[#This Row],[Visitor]],'NHL Model'!$A$6:$B$38,2,FALSE)</f>
        <v>-0.57094405545214133</v>
      </c>
      <c r="J1309">
        <f>($B$1+Table4[[#This Row],[Home Differential]])-Table4[[#This Row],[Away Differential]]</f>
        <v>1.8420986949716509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0.80972880457548213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-0.20041140176017086</v>
      </c>
      <c r="H1310" t="s">
        <v>38</v>
      </c>
      <c r="I1310">
        <f>VLOOKUP(Table4[[#This Row],[Visitor]],'NHL Model'!$A$6:$B$38,2,FALSE)</f>
        <v>-1.2591310848703385</v>
      </c>
      <c r="J1310">
        <f>($B$1+Table4[[#This Row],[Home Differential]])-Table4[[#This Row],[Away Differential]]</f>
        <v>1.1546896782808309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0.65530392706707907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-0.74313650334688619</v>
      </c>
      <c r="H1311" t="s">
        <v>31</v>
      </c>
      <c r="I1311">
        <f>VLOOKUP(Table4[[#This Row],[Visitor]],'NHL Model'!$A$6:$B$38,2,FALSE)</f>
        <v>-0.38289376966531796</v>
      </c>
      <c r="J1311">
        <f>($B$1+Table4[[#This Row],[Home Differential]])-Table4[[#This Row],[Away Differential]]</f>
        <v>-0.26427273851090494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0.48638950112765073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0.12055191373383152</v>
      </c>
      <c r="H1312" t="s">
        <v>35</v>
      </c>
      <c r="I1312">
        <f>VLOOKUP(Table4[[#This Row],[Visitor]],'NHL Model'!$A$6:$B$38,2,FALSE)</f>
        <v>-1.2663626722629573</v>
      </c>
      <c r="J1312">
        <f>($B$1+Table4[[#This Row],[Home Differential]])-Table4[[#This Row],[Away Differential]]</f>
        <v>1.482884581167452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0.72411337454335711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-0.47391784202962389</v>
      </c>
      <c r="H1313" t="s">
        <v>33</v>
      </c>
      <c r="I1313">
        <f>VLOOKUP(Table4[[#This Row],[Visitor]],'NHL Model'!$A$6:$B$38,2,FALSE)</f>
        <v>-0.53461960928306718</v>
      </c>
      <c r="J1313">
        <f>($B$1+Table4[[#This Row],[Home Differential]])-Table4[[#This Row],[Away Differential]]</f>
        <v>0.15667176242410652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0.53487555224720351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7" timePeriod="today">
      <formula>FLOOR(D1,1)=TODAY()</formula>
    </cfRule>
  </conditionalFormatting>
  <conditionalFormatting sqref="J2:J13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10" operator="containsText" text="NO">
      <formula>NOT(ISERROR(SEARCH("NO",M2)))</formula>
    </cfRule>
    <cfRule type="containsText" dxfId="16" priority="11" operator="containsText" text="YES">
      <formula>NOT(ISERROR(SEARCH("YES",M2)))</formula>
    </cfRule>
  </conditionalFormatting>
  <conditionalFormatting sqref="Q232:Q24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641:T6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640 R642:R1313">
    <cfRule type="containsText" dxfId="15" priority="4" operator="containsText" text="YES">
      <formula>NOT(ISERROR(SEARCH("YES",Q1)))</formula>
    </cfRule>
    <cfRule type="containsText" dxfId="14" priority="5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51</v>
      </c>
      <c r="C2">
        <f>COUNTIF(NHL2025_26Results[Winning Team],Standings!A2)</f>
        <v>27</v>
      </c>
      <c r="D2">
        <f>COUNTIFS('NHL2025-26Results'!$H:$H,A2,'NHL2025-26Results'!$F:$F,"")</f>
        <v>21</v>
      </c>
      <c r="E2" s="10">
        <f>COUNTIFS('NHL2025-26Results'!$F:$F,"OT",'NHL2025-26Results'!$H:$H,A2) + COUNTIFS('NHL2025-26Results'!$F:$F,"SO",'NHL2025-26Results'!$H:$H,A2)</f>
        <v>3</v>
      </c>
      <c r="F2" s="3">
        <f>(Table1[[#This Row],[W]]*2)+Table1[[#This Row],[OTL]]</f>
        <v>57</v>
      </c>
      <c r="G2">
        <f>COUNTIFS('NHL2025-26Results'!$D:$D,A2,'NHL2025-26Results'!$G:$G,A2)</f>
        <v>15</v>
      </c>
      <c r="H2">
        <f>COUNTIFS('NHL2025-26Results'!$D:$D,A2,'NHL2025-26Results'!$H:$H,A2,'NHL2025-26Results'!$F:$F,"")</f>
        <v>8</v>
      </c>
      <c r="I2">
        <f>COUNTIFS('NHL2025-26Results'!$D:$D,A2,'NHL2025-26Results'!$H:$H,A2,'NHL2025-26Results'!$F:$F,"OT") + COUNTIFS('NHL2025-26Results'!$D:$D,A2,'NHL2025-26Results'!$H:$H,A2,'NHL2025-26Results'!$F:$F,"SO")</f>
        <v>1</v>
      </c>
      <c r="J2">
        <f>COUNTIFS('NHL2025-26Results'!$B:$B,A2,'NHL2025-26Results'!$G:$G,A2)</f>
        <v>12</v>
      </c>
      <c r="K2">
        <f>COUNTIFS('NHL2025-26Results'!$B:$B,A2,'NHL2025-26Results'!$H:$H,A2,'NHL2025-26Results'!$F:$F,"")</f>
        <v>13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0.625</v>
      </c>
      <c r="N2" s="11">
        <f>Table1[[#This Row],[AwayWins]]/SUM(Table1[[#This Row],[AwayWins]:[AwayOTL]])</f>
        <v>0.44444444444444442</v>
      </c>
      <c r="O2" s="14">
        <f>SUMIFS('NHL2025-26Results'!$E:$E,'NHL2025-26Results'!$D:$D,A2,'NHL2025-26Results'!$E:$E,"&gt;0")/COUNTIFS('NHL2025-26Results'!$D:$D,A2,'NHL2025-26Results'!$E:$E,"&gt;0")</f>
        <v>3.6956521739130435</v>
      </c>
      <c r="P2" s="15">
        <f>SUMIFS('NHL2025-26Results'!$C:$C,'NHL2025-26Results'!$B:$B,A2,'NHL2025-26Results'!$C:$C,"&gt;0")/COUNTIFS('NHL2025-26Results'!$B:$B,A2,'NHL2025-26Results'!$C:$C,"&gt;0")</f>
        <v>3.2307692307692308</v>
      </c>
      <c r="Q2" s="14">
        <f>SUMIFS('NHL2025-26Results'!$C:$C,'NHL2025-26Results'!$D:$D,A2,'NHL2025-26Results'!$C:$C,"&gt;0")/COUNTIFS('NHL2025-26Results'!$D:$D,A2,'NHL2025-26Results'!$C:$C,"&gt;0")</f>
        <v>3.25</v>
      </c>
      <c r="R2" s="14">
        <f>SUMIFS('NHL2025-26Results'!$E:$E,'NHL2025-26Results'!$B:$B,A2,'NHL2025-26Results'!$E:$E,"&gt;0")/COUNTIFS('NHL2025-26Results'!$B:$B,A2,'NHL2025-26Results'!$E:$E,"&gt;0")</f>
        <v>3.7037037037037037</v>
      </c>
    </row>
    <row r="3" spans="1:18" x14ac:dyDescent="0.2">
      <c r="A3" s="4" t="s">
        <v>21</v>
      </c>
      <c r="B3">
        <f>SUM(Table1[[#This Row],[W]:[OTL]])</f>
        <v>52</v>
      </c>
      <c r="C3">
        <f>COUNTIF(NHL2025_26Results[Winning Team],Standings!A3)</f>
        <v>29</v>
      </c>
      <c r="D3">
        <f>COUNTIFS('NHL2025-26Results'!$H:$H,A3,'NHL2025-26Results'!$F:$F,"")</f>
        <v>21</v>
      </c>
      <c r="E3">
        <f>COUNTIFS('NHL2025-26Results'!$F:$F,"OT",'NHL2025-26Results'!$H:$H,A3) + COUNTIFS('NHL2025-26Results'!$F:$F,"SO",'NHL2025-26Results'!$H:$H,A3)</f>
        <v>2</v>
      </c>
      <c r="F3" s="3">
        <f>(Table1[[#This Row],[W]]*2)+Table1[[#This Row],[OTL]]</f>
        <v>60</v>
      </c>
      <c r="G3">
        <f>COUNTIFS('NHL2025-26Results'!$D:$D,A3,'NHL2025-26Results'!$G:$G,A3)</f>
        <v>18</v>
      </c>
      <c r="H3">
        <f>COUNTIFS('NHL2025-26Results'!$D:$D,A3,'NHL2025-26Results'!$H:$H,A3,'NHL2025-26Results'!$F:$F,"")</f>
        <v>9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11</v>
      </c>
      <c r="K3">
        <f>COUNTIFS('NHL2025-26Results'!$B:$B,A3,'NHL2025-26Results'!$H:$H,A3,'NHL2025-26Results'!$F:$F,"")</f>
        <v>12</v>
      </c>
      <c r="L3">
        <f>COUNTIFS('NHL2025-26Results'!$B:$B,A3,'NHL2025-26Results'!$H:$H,A3,'NHL2025-26Results'!$F:$F,"OT") + COUNTIFS('NHL2025-26Results'!$B:$B,A3,'NHL2025-26Results'!$H:$H,A3,'NHL2025-26Results'!$F:$F,"SO")</f>
        <v>1</v>
      </c>
      <c r="M3" s="11">
        <f>Table1[[#This Row],[HomeWins]]/SUM(Table1[[#This Row],[HomeWins]:[HomeOTL]])</f>
        <v>0.6428571428571429</v>
      </c>
      <c r="N3" s="11">
        <f>Table1[[#This Row],[AwayWins]]/SUM(Table1[[#This Row],[AwayWins]:[AwayOTL]])</f>
        <v>0.45833333333333331</v>
      </c>
      <c r="O3" s="14">
        <f>SUMIFS('NHL2025-26Results'!$E:$E,'NHL2025-26Results'!$D:$D,A3,'NHL2025-26Results'!$E:$E,"&gt;0")/COUNTIFS('NHL2025-26Results'!$D:$D,A3,'NHL2025-26Results'!$E:$E,"&gt;0")</f>
        <v>3.5</v>
      </c>
      <c r="P3" s="14">
        <f>SUMIFS('NHL2025-26Results'!$C:$C,'NHL2025-26Results'!$B:$B,A3,'NHL2025-26Results'!$C:$C,"&gt;0")/COUNTIFS('NHL2025-26Results'!$B:$B,A3,'NHL2025-26Results'!$C:$C,"&gt;0")</f>
        <v>3.1666666666666665</v>
      </c>
      <c r="Q3" s="14">
        <f>SUMIFS('NHL2025-26Results'!$C:$C,'NHL2025-26Results'!$D:$D,A3,'NHL2025-26Results'!$C:$C,"&gt;0")/COUNTIFS('NHL2025-26Results'!$D:$D,A3,'NHL2025-26Results'!$C:$C,"&gt;0")</f>
        <v>3</v>
      </c>
      <c r="R3" s="14">
        <f>SUMIFS('NHL2025-26Results'!$E:$E,'NHL2025-26Results'!$B:$B,A3,'NHL2025-26Results'!$E:$E,"&gt;0")/COUNTIFS('NHL2025-26Results'!$B:$B,A3,'NHL2025-26Results'!$E:$E,"&gt;0")</f>
        <v>3.5</v>
      </c>
    </row>
    <row r="4" spans="1:18" x14ac:dyDescent="0.2">
      <c r="A4" s="4" t="s">
        <v>23</v>
      </c>
      <c r="B4">
        <f>SUM(Table1[[#This Row],[W]:[OTL]])</f>
        <v>51</v>
      </c>
      <c r="C4">
        <f>COUNTIF(NHL2025_26Results[Winning Team],Standings!A4)</f>
        <v>29</v>
      </c>
      <c r="D4">
        <f>COUNTIFS('NHL2025-26Results'!$H:$H,A4,'NHL2025-26Results'!$F:$F,"")</f>
        <v>17</v>
      </c>
      <c r="E4">
        <f>COUNTIFS('NHL2025-26Results'!$F:$F,"OT",'NHL2025-26Results'!$H:$H,A4) + COUNTIFS('NHL2025-26Results'!$F:$F,"SO",'NHL2025-26Results'!$H:$H,A4)</f>
        <v>5</v>
      </c>
      <c r="F4" s="3">
        <f>(Table1[[#This Row],[W]]*2)+Table1[[#This Row],[OTL]]</f>
        <v>63</v>
      </c>
      <c r="G4">
        <f>COUNTIFS('NHL2025-26Results'!$D:$D,A4,'NHL2025-26Results'!$G:$G,A4)</f>
        <v>16</v>
      </c>
      <c r="H4">
        <f>COUNTIFS('NHL2025-26Results'!$D:$D,A4,'NHL2025-26Results'!$H:$H,A4,'NHL2025-26Results'!$F:$F,"")</f>
        <v>6</v>
      </c>
      <c r="I4">
        <f>COUNTIFS('NHL2025-26Results'!$D:$D,A4,'NHL2025-26Results'!$H:$H,A4,'NHL2025-26Results'!$F:$F,"OT") + COUNTIFS('NHL2025-26Results'!$D:$D,A4,'NHL2025-26Results'!$H:$H,A4,'NHL2025-26Results'!$F:$F,"SO")</f>
        <v>3</v>
      </c>
      <c r="J4">
        <f>COUNTIFS('NHL2025-26Results'!$B:$B,A4,'NHL2025-26Results'!$G:$G,A4)</f>
        <v>13</v>
      </c>
      <c r="K4">
        <f>COUNTIFS('NHL2025-26Results'!$B:$B,A4,'NHL2025-26Results'!$H:$H,A4,'NHL2025-26Results'!$F:$F,"")</f>
        <v>11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0.64</v>
      </c>
      <c r="N4" s="11">
        <f>Table1[[#This Row],[AwayWins]]/SUM(Table1[[#This Row],[AwayWins]:[AwayOTL]])</f>
        <v>0.5</v>
      </c>
      <c r="O4" s="14">
        <f>SUMIFS('NHL2025-26Results'!$E:$E,'NHL2025-26Results'!$D:$D,A4,'NHL2025-26Results'!$E:$E,"&gt;0")/COUNTIFS('NHL2025-26Results'!$D:$D,A4,'NHL2025-26Results'!$E:$E,"&gt;0")</f>
        <v>4.2272727272727275</v>
      </c>
      <c r="P4" s="14">
        <f>SUMIFS('NHL2025-26Results'!$C:$C,'NHL2025-26Results'!$B:$B,A4,'NHL2025-26Results'!$C:$C,"&gt;0")/COUNTIFS('NHL2025-26Results'!$B:$B,A4,'NHL2025-26Results'!$C:$C,"&gt;0")</f>
        <v>3.0384615384615383</v>
      </c>
      <c r="Q4" s="14">
        <f>SUMIFS('NHL2025-26Results'!$C:$C,'NHL2025-26Results'!$D:$D,A4,'NHL2025-26Results'!$C:$C,"&gt;0")/COUNTIFS('NHL2025-26Results'!$D:$D,A4,'NHL2025-26Results'!$C:$C,"&gt;0")</f>
        <v>2.9583333333333335</v>
      </c>
      <c r="R4" s="14">
        <f>SUMIFS('NHL2025-26Results'!$E:$E,'NHL2025-26Results'!$B:$B,A4,'NHL2025-26Results'!$E:$E,"&gt;0")/COUNTIFS('NHL2025-26Results'!$B:$B,A4,'NHL2025-26Results'!$E:$E,"&gt;0")</f>
        <v>3.36</v>
      </c>
    </row>
    <row r="5" spans="1:18" x14ac:dyDescent="0.2">
      <c r="A5" s="4" t="s">
        <v>16</v>
      </c>
      <c r="B5">
        <f>SUM(Table1[[#This Row],[W]:[OTL]])</f>
        <v>51</v>
      </c>
      <c r="C5">
        <f>COUNTIF(NHL2025_26Results[Winning Team],Standings!A5)</f>
        <v>21</v>
      </c>
      <c r="D5">
        <f>COUNTIFS('NHL2025-26Results'!$H:$H,A5,'NHL2025-26Results'!$F:$F,"")</f>
        <v>25</v>
      </c>
      <c r="E5">
        <f>COUNTIFS('NHL2025-26Results'!$F:$F,"OT",'NHL2025-26Results'!$H:$H,A5) + COUNTIFS('NHL2025-26Results'!$F:$F,"SO",'NHL2025-26Results'!$H:$H,A5)</f>
        <v>5</v>
      </c>
      <c r="F5" s="3">
        <f>(Table1[[#This Row],[W]]*2)+Table1[[#This Row],[OTL]]</f>
        <v>47</v>
      </c>
      <c r="G5">
        <f>COUNTIFS('NHL2025-26Results'!$D:$D,A5,'NHL2025-26Results'!$G:$G,A5)</f>
        <v>13</v>
      </c>
      <c r="H5">
        <f>COUNTIFS('NHL2025-26Results'!$D:$D,A5,'NHL2025-26Results'!$H:$H,A5,'NHL2025-26Results'!$F:$F,"")</f>
        <v>9</v>
      </c>
      <c r="I5">
        <f>COUNTIFS('NHL2025-26Results'!$D:$D,A5,'NHL2025-26Results'!$H:$H,A5,'NHL2025-26Results'!$F:$F,"OT") + COUNTIFS('NHL2025-26Results'!$D:$D,A5,'NHL2025-26Results'!$H:$H,A5,'NHL2025-26Results'!$F:$F,"SO")</f>
        <v>3</v>
      </c>
      <c r="J5">
        <f>COUNTIFS('NHL2025-26Results'!$B:$B,A5,'NHL2025-26Results'!$G:$G,A5)</f>
        <v>8</v>
      </c>
      <c r="K5">
        <f>COUNTIFS('NHL2025-26Results'!$B:$B,A5,'NHL2025-26Results'!$H:$H,A5,'NHL2025-26Results'!$F:$F,"")</f>
        <v>16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0.52</v>
      </c>
      <c r="N5" s="11">
        <f>Table1[[#This Row],[AwayWins]]/SUM(Table1[[#This Row],[AwayWins]:[AwayOTL]])</f>
        <v>0.30769230769230771</v>
      </c>
      <c r="O5" s="14">
        <f>SUMIFS('NHL2025-26Results'!$E:$E,'NHL2025-26Results'!$D:$D,A5,'NHL2025-26Results'!$E:$E,"&gt;0")/COUNTIFS('NHL2025-26Results'!$D:$D,A5,'NHL2025-26Results'!$E:$E,"&gt;0")</f>
        <v>2.9583333333333335</v>
      </c>
      <c r="P5" s="14">
        <f>SUMIFS('NHL2025-26Results'!$C:$C,'NHL2025-26Results'!$B:$B,A5,'NHL2025-26Results'!$C:$C,"&gt;0")/COUNTIFS('NHL2025-26Results'!$B:$B,A5,'NHL2025-26Results'!$C:$C,"&gt;0")</f>
        <v>2.4166666666666665</v>
      </c>
      <c r="Q5" s="14">
        <f>SUMIFS('NHL2025-26Results'!$C:$C,'NHL2025-26Results'!$D:$D,A5,'NHL2025-26Results'!$C:$C,"&gt;0")/COUNTIFS('NHL2025-26Results'!$D:$D,A5,'NHL2025-26Results'!$C:$C,"&gt;0")</f>
        <v>2.6956521739130435</v>
      </c>
      <c r="R5" s="14">
        <f>SUMIFS('NHL2025-26Results'!$E:$E,'NHL2025-26Results'!$B:$B,A5,'NHL2025-26Results'!$E:$E,"&gt;0")/COUNTIFS('NHL2025-26Results'!$B:$B,A5,'NHL2025-26Results'!$E:$E,"&gt;0")</f>
        <v>3.4615384615384617</v>
      </c>
    </row>
    <row r="6" spans="1:18" x14ac:dyDescent="0.2">
      <c r="A6" s="4" t="s">
        <v>25</v>
      </c>
      <c r="B6">
        <f>SUM(Table1[[#This Row],[W]:[OTL]])</f>
        <v>52</v>
      </c>
      <c r="C6">
        <f>COUNTIF(NHL2025_26Results[Winning Team],Standings!A6)</f>
        <v>32</v>
      </c>
      <c r="D6">
        <f>COUNTIFS('NHL2025-26Results'!$H:$H,A6,'NHL2025-26Results'!$F:$F,"")</f>
        <v>15</v>
      </c>
      <c r="E6">
        <f>COUNTIFS('NHL2025-26Results'!$F:$F,"OT",'NHL2025-26Results'!$H:$H,A6) + COUNTIFS('NHL2025-26Results'!$F:$F,"SO",'NHL2025-26Results'!$H:$H,A6)</f>
        <v>5</v>
      </c>
      <c r="F6" s="3">
        <f>(Table1[[#This Row],[W]]*2)+Table1[[#This Row],[OTL]]</f>
        <v>69</v>
      </c>
      <c r="G6">
        <f>COUNTIFS('NHL2025-26Results'!$D:$D,A6,'NHL2025-26Results'!$G:$G,A6)</f>
        <v>18</v>
      </c>
      <c r="H6">
        <f>COUNTIFS('NHL2025-26Results'!$D:$D,A6,'NHL2025-26Results'!$H:$H,A6,'NHL2025-26Results'!$F:$F,"")</f>
        <v>8</v>
      </c>
      <c r="I6">
        <f>COUNTIFS('NHL2025-26Results'!$D:$D,A6,'NHL2025-26Results'!$H:$H,A6,'NHL2025-26Results'!$F:$F,"OT") + COUNTIFS('NHL2025-26Results'!$D:$D,A6,'NHL2025-26Results'!$H:$H,A6,'NHL2025-26Results'!$F:$F,"SO")</f>
        <v>2</v>
      </c>
      <c r="J6">
        <f>COUNTIFS('NHL2025-26Results'!$B:$B,A6,'NHL2025-26Results'!$G:$G,A6)</f>
        <v>14</v>
      </c>
      <c r="K6">
        <f>COUNTIFS('NHL2025-26Results'!$B:$B,A6,'NHL2025-26Results'!$H:$H,A6,'NHL2025-26Results'!$F:$F,"")</f>
        <v>7</v>
      </c>
      <c r="L6">
        <f>COUNTIFS('NHL2025-26Results'!$B:$B,A6,'NHL2025-26Results'!$H:$H,A6,'NHL2025-26Results'!$F:$F,"OT") + COUNTIFS('NHL2025-26Results'!$B:$B,A6,'NHL2025-26Results'!$H:$H,A6,'NHL2025-26Results'!$F:$F,"SO")</f>
        <v>3</v>
      </c>
      <c r="M6" s="11">
        <f>Table1[[#This Row],[HomeWins]]/SUM(Table1[[#This Row],[HomeWins]:[HomeOTL]])</f>
        <v>0.6428571428571429</v>
      </c>
      <c r="N6" s="11">
        <f>Table1[[#This Row],[AwayWins]]/SUM(Table1[[#This Row],[AwayWins]:[AwayOTL]])</f>
        <v>0.58333333333333337</v>
      </c>
      <c r="O6" s="14">
        <f>SUMIFS('NHL2025-26Results'!$E:$E,'NHL2025-26Results'!$D:$D,A6,'NHL2025-26Results'!$E:$E,"&gt;0")/COUNTIFS('NHL2025-26Results'!$D:$D,A6,'NHL2025-26Results'!$E:$E,"&gt;0")</f>
        <v>3.7857142857142856</v>
      </c>
      <c r="P6" s="14">
        <f>SUMIFS('NHL2025-26Results'!$C:$C,'NHL2025-26Results'!$B:$B,A6,'NHL2025-26Results'!$C:$C,"&gt;0")/COUNTIFS('NHL2025-26Results'!$B:$B,A6,'NHL2025-26Results'!$C:$C,"&gt;0")</f>
        <v>3.2173913043478262</v>
      </c>
      <c r="Q6" s="14">
        <f>SUMIFS('NHL2025-26Results'!$C:$C,'NHL2025-26Results'!$D:$D,A6,'NHL2025-26Results'!$C:$C,"&gt;0")/COUNTIFS('NHL2025-26Results'!$D:$D,A6,'NHL2025-26Results'!$C:$C,"&gt;0")</f>
        <v>3.1481481481481484</v>
      </c>
      <c r="R6" s="14">
        <f>SUMIFS('NHL2025-26Results'!$E:$E,'NHL2025-26Results'!$B:$B,A6,'NHL2025-26Results'!$E:$E,"&gt;0")/COUNTIFS('NHL2025-26Results'!$B:$B,A6,'NHL2025-26Results'!$E:$E,"&gt;0")</f>
        <v>2.8260869565217392</v>
      </c>
    </row>
    <row r="7" spans="1:18" x14ac:dyDescent="0.2">
      <c r="A7" s="4" t="s">
        <v>10</v>
      </c>
      <c r="B7">
        <f>SUM(Table1[[#This Row],[W]:[OTL]])</f>
        <v>51</v>
      </c>
      <c r="C7">
        <f>COUNTIF(NHL2025_26Results[Winning Team],Standings!A7)</f>
        <v>21</v>
      </c>
      <c r="D7">
        <f>COUNTIFS('NHL2025-26Results'!$H:$H,A7,'NHL2025-26Results'!$F:$F,"")</f>
        <v>22</v>
      </c>
      <c r="E7">
        <f>COUNTIFS('NHL2025-26Results'!$F:$F,"OT",'NHL2025-26Results'!$H:$H,A7) + COUNTIFS('NHL2025-26Results'!$F:$F,"SO",'NHL2025-26Results'!$H:$H,A7)</f>
        <v>8</v>
      </c>
      <c r="F7" s="3">
        <f>(Table1[[#This Row],[W]]*2)+Table1[[#This Row],[OTL]]</f>
        <v>50</v>
      </c>
      <c r="G7">
        <f>COUNTIFS('NHL2025-26Results'!$D:$D,A7,'NHL2025-26Results'!$G:$G,A7)</f>
        <v>11</v>
      </c>
      <c r="H7">
        <f>COUNTIFS('NHL2025-26Results'!$D:$D,A7,'NHL2025-26Results'!$H:$H,A7,'NHL2025-26Results'!$F:$F,"")</f>
        <v>12</v>
      </c>
      <c r="I7">
        <f>COUNTIFS('NHL2025-26Results'!$D:$D,A7,'NHL2025-26Results'!$H:$H,A7,'NHL2025-26Results'!$F:$F,"OT") + COUNTIFS('NHL2025-26Results'!$D:$D,A7,'NHL2025-26Results'!$H:$H,A7,'NHL2025-26Results'!$F:$F,"SO")</f>
        <v>5</v>
      </c>
      <c r="J7">
        <f>COUNTIFS('NHL2025-26Results'!$B:$B,A7,'NHL2025-26Results'!$G:$G,A7)</f>
        <v>10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0.39285714285714285</v>
      </c>
      <c r="N7" s="11">
        <f>Table1[[#This Row],[AwayWins]]/SUM(Table1[[#This Row],[AwayWins]:[AwayOTL]])</f>
        <v>0.43478260869565216</v>
      </c>
      <c r="O7" s="14">
        <f>SUMIFS('NHL2025-26Results'!$E:$E,'NHL2025-26Results'!$D:$D,A7,'NHL2025-26Results'!$E:$E,"&gt;0")/COUNTIFS('NHL2025-26Results'!$D:$D,A7,'NHL2025-26Results'!$E:$E,"&gt;0")</f>
        <v>2.7692307692307692</v>
      </c>
      <c r="P7" s="14">
        <f>SUMIFS('NHL2025-26Results'!$C:$C,'NHL2025-26Results'!$B:$B,A7,'NHL2025-26Results'!$C:$C,"&gt;0")/COUNTIFS('NHL2025-26Results'!$B:$B,A7,'NHL2025-26Results'!$C:$C,"&gt;0")</f>
        <v>3.0909090909090908</v>
      </c>
      <c r="Q7" s="14">
        <f>SUMIFS('NHL2025-26Results'!$C:$C,'NHL2025-26Results'!$D:$D,A7,'NHL2025-26Results'!$C:$C,"&gt;0")/COUNTIFS('NHL2025-26Results'!$D:$D,A7,'NHL2025-26Results'!$C:$C,"&gt;0")</f>
        <v>3.1153846153846154</v>
      </c>
      <c r="R7" s="14">
        <f>SUMIFS('NHL2025-26Results'!$E:$E,'NHL2025-26Results'!$B:$B,A7,'NHL2025-26Results'!$E:$E,"&gt;0")/COUNTIFS('NHL2025-26Results'!$B:$B,A7,'NHL2025-26Results'!$E:$E,"&gt;0")</f>
        <v>3.7142857142857144</v>
      </c>
    </row>
    <row r="8" spans="1:18" x14ac:dyDescent="0.2">
      <c r="A8" s="4" t="s">
        <v>12</v>
      </c>
      <c r="B8">
        <f>SUM(Table1[[#This Row],[W]:[OTL]])</f>
        <v>49</v>
      </c>
      <c r="C8">
        <f>COUNTIF(NHL2025_26Results[Winning Team],Standings!A8)</f>
        <v>34</v>
      </c>
      <c r="D8">
        <f>COUNTIFS('NHL2025-26Results'!$H:$H,A8,'NHL2025-26Results'!$F:$F,"")</f>
        <v>6</v>
      </c>
      <c r="E8">
        <f>COUNTIFS('NHL2025-26Results'!$F:$F,"OT",'NHL2025-26Results'!$H:$H,A8) + COUNTIFS('NHL2025-26Results'!$F:$F,"SO",'NHL2025-26Results'!$H:$H,A8)</f>
        <v>9</v>
      </c>
      <c r="F8" s="3">
        <f>(Table1[[#This Row],[W]]*2)+Table1[[#This Row],[OTL]]</f>
        <v>77</v>
      </c>
      <c r="G8">
        <f>COUNTIFS('NHL2025-26Results'!$D:$D,A8,'NHL2025-26Results'!$G:$G,A8)</f>
        <v>20</v>
      </c>
      <c r="H8">
        <f>COUNTIFS('NHL2025-26Results'!$D:$D,A8,'NHL2025-26Results'!$H:$H,A8,'NHL2025-26Results'!$F:$F,"")</f>
        <v>2</v>
      </c>
      <c r="I8">
        <f>COUNTIFS('NHL2025-26Results'!$D:$D,A8,'NHL2025-26Results'!$H:$H,A8,'NHL2025-26Results'!$F:$F,"OT") + COUNTIFS('NHL2025-26Results'!$D:$D,A8,'NHL2025-26Results'!$H:$H,A8,'NHL2025-26Results'!$F:$F,"SO")</f>
        <v>4</v>
      </c>
      <c r="J8">
        <f>COUNTIFS('NHL2025-26Results'!$B:$B,A8,'NHL2025-26Results'!$G:$G,A8)</f>
        <v>14</v>
      </c>
      <c r="K8">
        <f>COUNTIFS('NHL2025-26Results'!$B:$B,A8,'NHL2025-26Results'!$H:$H,A8,'NHL2025-26Results'!$F:$F,"")</f>
        <v>4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0.76923076923076927</v>
      </c>
      <c r="N8" s="11">
        <f>Table1[[#This Row],[AwayWins]]/SUM(Table1[[#This Row],[AwayWins]:[AwayOTL]])</f>
        <v>0.60869565217391308</v>
      </c>
      <c r="O8" s="14">
        <f>SUMIFS('NHL2025-26Results'!$E:$E,'NHL2025-26Results'!$D:$D,A8,'NHL2025-26Results'!$E:$E,"&gt;0")/COUNTIFS('NHL2025-26Results'!$D:$D,A8,'NHL2025-26Results'!$E:$E,"&gt;0")</f>
        <v>4.3461538461538458</v>
      </c>
      <c r="P8" s="14">
        <f>SUMIFS('NHL2025-26Results'!$C:$C,'NHL2025-26Results'!$B:$B,A8,'NHL2025-26Results'!$C:$C,"&gt;0")/COUNTIFS('NHL2025-26Results'!$B:$B,A8,'NHL2025-26Results'!$C:$C,"&gt;0")</f>
        <v>3.5217391304347827</v>
      </c>
      <c r="Q8" s="14">
        <f>SUMIFS('NHL2025-26Results'!$C:$C,'NHL2025-26Results'!$D:$D,A8,'NHL2025-26Results'!$C:$C,"&gt;0")/COUNTIFS('NHL2025-26Results'!$D:$D,A8,'NHL2025-26Results'!$C:$C,"&gt;0")</f>
        <v>2.6956521739130435</v>
      </c>
      <c r="R8" s="14">
        <f>SUMIFS('NHL2025-26Results'!$E:$E,'NHL2025-26Results'!$B:$B,A8,'NHL2025-26Results'!$E:$E,"&gt;0")/COUNTIFS('NHL2025-26Results'!$B:$B,A8,'NHL2025-26Results'!$E:$E,"&gt;0")</f>
        <v>2.8095238095238093</v>
      </c>
    </row>
    <row r="9" spans="1:18" x14ac:dyDescent="0.2">
      <c r="A9" s="4" t="s">
        <v>28</v>
      </c>
      <c r="B9">
        <f>SUM(Table1[[#This Row],[W]:[OTL]])</f>
        <v>51</v>
      </c>
      <c r="C9">
        <f>COUNTIF(NHL2025_26Results[Winning Team],Standings!A9)</f>
        <v>24</v>
      </c>
      <c r="D9">
        <f>COUNTIFS('NHL2025-26Results'!$H:$H,A9,'NHL2025-26Results'!$F:$F,"")</f>
        <v>20</v>
      </c>
      <c r="E9">
        <f>COUNTIFS('NHL2025-26Results'!$F:$F,"OT",'NHL2025-26Results'!$H:$H,A9) + COUNTIFS('NHL2025-26Results'!$F:$F,"SO",'NHL2025-26Results'!$H:$H,A9)</f>
        <v>7</v>
      </c>
      <c r="F9" s="3">
        <f>(Table1[[#This Row],[W]]*2)+Table1[[#This Row],[OTL]]</f>
        <v>55</v>
      </c>
      <c r="G9">
        <f>COUNTIFS('NHL2025-26Results'!$D:$D,A9,'NHL2025-26Results'!$G:$G,A9)</f>
        <v>13</v>
      </c>
      <c r="H9">
        <f>COUNTIFS('NHL2025-26Results'!$D:$D,A9,'NHL2025-26Results'!$H:$H,A9,'NHL2025-26Results'!$F:$F,"")</f>
        <v>8</v>
      </c>
      <c r="I9">
        <f>COUNTIFS('NHL2025-26Results'!$D:$D,A9,'NHL2025-26Results'!$H:$H,A9,'NHL2025-26Results'!$F:$F,"OT") + COUNTIFS('NHL2025-26Results'!$D:$D,A9,'NHL2025-26Results'!$H:$H,A9,'NHL2025-26Results'!$F:$F,"SO")</f>
        <v>4</v>
      </c>
      <c r="J9">
        <f>COUNTIFS('NHL2025-26Results'!$B:$B,A9,'NHL2025-26Results'!$G:$G,A9)</f>
        <v>11</v>
      </c>
      <c r="K9">
        <f>COUNTIFS('NHL2025-26Results'!$B:$B,A9,'NHL2025-26Results'!$H:$H,A9,'NHL2025-26Results'!$F:$F,"")</f>
        <v>12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0.52</v>
      </c>
      <c r="N9" s="11">
        <f>Table1[[#This Row],[AwayWins]]/SUM(Table1[[#This Row],[AwayWins]:[AwayOTL]])</f>
        <v>0.42307692307692307</v>
      </c>
      <c r="O9" s="14">
        <f>SUMIFS('NHL2025-26Results'!$E:$E,'NHL2025-26Results'!$D:$D,A9,'NHL2025-26Results'!$E:$E,"&gt;0")/COUNTIFS('NHL2025-26Results'!$D:$D,A9,'NHL2025-26Results'!$E:$E,"&gt;0")</f>
        <v>3.24</v>
      </c>
      <c r="P9" s="14">
        <f>SUMIFS('NHL2025-26Results'!$C:$C,'NHL2025-26Results'!$B:$B,A9,'NHL2025-26Results'!$C:$C,"&gt;0")/COUNTIFS('NHL2025-26Results'!$B:$B,A9,'NHL2025-26Results'!$C:$C,"&gt;0")</f>
        <v>3.2083333333333335</v>
      </c>
      <c r="Q9" s="14">
        <f>SUMIFS('NHL2025-26Results'!$C:$C,'NHL2025-26Results'!$D:$D,A9,'NHL2025-26Results'!$C:$C,"&gt;0")/COUNTIFS('NHL2025-26Results'!$D:$D,A9,'NHL2025-26Results'!$C:$C,"&gt;0")</f>
        <v>3.3333333333333335</v>
      </c>
      <c r="R9" s="14">
        <f>SUMIFS('NHL2025-26Results'!$E:$E,'NHL2025-26Results'!$B:$B,A9,'NHL2025-26Results'!$E:$E,"&gt;0")/COUNTIFS('NHL2025-26Results'!$B:$B,A9,'NHL2025-26Results'!$E:$E,"&gt;0")</f>
        <v>3.4230769230769229</v>
      </c>
    </row>
    <row r="10" spans="1:18" x14ac:dyDescent="0.2">
      <c r="A10" s="4" t="s">
        <v>39</v>
      </c>
      <c r="B10">
        <f>SUM(Table1[[#This Row],[W]:[OTL]])</f>
        <v>52</v>
      </c>
      <c r="C10">
        <f>COUNTIF(NHL2025_26Results[Winning Team],Standings!A10)</f>
        <v>29</v>
      </c>
      <c r="D10">
        <f>COUNTIFS('NHL2025-26Results'!$H:$H,A10,'NHL2025-26Results'!$F:$F,"")</f>
        <v>14</v>
      </c>
      <c r="E10">
        <f>COUNTIFS('NHL2025-26Results'!$F:$F,"OT",'NHL2025-26Results'!$H:$H,A10) + COUNTIFS('NHL2025-26Results'!$F:$F,"SO",'NHL2025-26Results'!$H:$H,A10)</f>
        <v>9</v>
      </c>
      <c r="F10" s="3">
        <f>(Table1[[#This Row],[W]]*2)+Table1[[#This Row],[OTL]]</f>
        <v>67</v>
      </c>
      <c r="G10">
        <f>COUNTIFS('NHL2025-26Results'!$D:$D,A10,'NHL2025-26Results'!$G:$G,A10)</f>
        <v>14</v>
      </c>
      <c r="H10">
        <f>COUNTIFS('NHL2025-26Results'!$D:$D,A10,'NHL2025-26Results'!$H:$H,A10,'NHL2025-26Results'!$F:$F,"")</f>
        <v>7</v>
      </c>
      <c r="I10">
        <f>COUNTIFS('NHL2025-26Results'!$D:$D,A10,'NHL2025-26Results'!$H:$H,A10,'NHL2025-26Results'!$F:$F,"OT") + COUNTIFS('NHL2025-26Results'!$D:$D,A10,'NHL2025-26Results'!$H:$H,A10,'NHL2025-26Results'!$F:$F,"SO")</f>
        <v>3</v>
      </c>
      <c r="J10">
        <f>COUNTIFS('NHL2025-26Results'!$B:$B,A10,'NHL2025-26Results'!$G:$G,A10)</f>
        <v>15</v>
      </c>
      <c r="K10">
        <f>COUNTIFS('NHL2025-26Results'!$B:$B,A10,'NHL2025-26Results'!$H:$H,A10,'NHL2025-26Results'!$F:$F,"")</f>
        <v>7</v>
      </c>
      <c r="L10">
        <f>COUNTIFS('NHL2025-26Results'!$B:$B,A10,'NHL2025-26Results'!$H:$H,A10,'NHL2025-26Results'!$F:$F,"OT") + COUNTIFS('NHL2025-26Results'!$B:$B,A10,'NHL2025-26Results'!$H:$H,A10,'NHL2025-26Results'!$F:$F,"SO")</f>
        <v>6</v>
      </c>
      <c r="M10" s="11">
        <f>Table1[[#This Row],[HomeWins]]/SUM(Table1[[#This Row],[HomeWins]:[HomeOTL]])</f>
        <v>0.58333333333333337</v>
      </c>
      <c r="N10" s="11">
        <f>Table1[[#This Row],[AwayWins]]/SUM(Table1[[#This Row],[AwayWins]:[AwayOTL]])</f>
        <v>0.5357142857142857</v>
      </c>
      <c r="O10" s="14">
        <f>SUMIFS('NHL2025-26Results'!$E:$E,'NHL2025-26Results'!$D:$D,A10,'NHL2025-26Results'!$E:$E,"&gt;0")/COUNTIFS('NHL2025-26Results'!$D:$D,A10,'NHL2025-26Results'!$E:$E,"&gt;0")</f>
        <v>3.3043478260869565</v>
      </c>
      <c r="P10" s="14">
        <f>SUMIFS('NHL2025-26Results'!$C:$C,'NHL2025-26Results'!$B:$B,A10,'NHL2025-26Results'!$C:$C,"&gt;0")/COUNTIFS('NHL2025-26Results'!$B:$B,A10,'NHL2025-26Results'!$C:$C,"&gt;0")</f>
        <v>3.5555555555555554</v>
      </c>
      <c r="Q10" s="14">
        <f>SUMIFS('NHL2025-26Results'!$C:$C,'NHL2025-26Results'!$D:$D,A10,'NHL2025-26Results'!$C:$C,"&gt;0")/COUNTIFS('NHL2025-26Results'!$D:$D,A10,'NHL2025-26Results'!$C:$C,"&gt;0")</f>
        <v>2.8260869565217392</v>
      </c>
      <c r="R10" s="14">
        <f>SUMIFS('NHL2025-26Results'!$E:$E,'NHL2025-26Results'!$B:$B,A10,'NHL2025-26Results'!$E:$E,"&gt;0")/COUNTIFS('NHL2025-26Results'!$B:$B,A10,'NHL2025-26Results'!$E:$E,"&gt;0")</f>
        <v>3.0384615384615383</v>
      </c>
    </row>
    <row r="11" spans="1:18" x14ac:dyDescent="0.2">
      <c r="A11" s="4" t="s">
        <v>26</v>
      </c>
      <c r="B11">
        <f>SUM(Table1[[#This Row],[W]:[OTL]])</f>
        <v>53</v>
      </c>
      <c r="C11">
        <f>COUNTIF(NHL2025_26Results[Winning Team],Standings!A11)</f>
        <v>32</v>
      </c>
      <c r="D11">
        <f>COUNTIFS('NHL2025-26Results'!$H:$H,A11,'NHL2025-26Results'!$F:$F,"")</f>
        <v>16</v>
      </c>
      <c r="E11">
        <f>COUNTIFS('NHL2025-26Results'!$F:$F,"OT",'NHL2025-26Results'!$H:$H,A11) + COUNTIFS('NHL2025-26Results'!$F:$F,"SO",'NHL2025-26Results'!$H:$H,A11)</f>
        <v>5</v>
      </c>
      <c r="F11" s="3">
        <f>(Table1[[#This Row],[W]]*2)+Table1[[#This Row],[OTL]]</f>
        <v>69</v>
      </c>
      <c r="G11">
        <f>COUNTIFS('NHL2025-26Results'!$D:$D,A11,'NHL2025-26Results'!$G:$G,A11)</f>
        <v>18</v>
      </c>
      <c r="H11">
        <f>COUNTIFS('NHL2025-26Results'!$D:$D,A11,'NHL2025-26Results'!$H:$H,A11,'NHL2025-26Results'!$F:$F,"")</f>
        <v>8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14</v>
      </c>
      <c r="K11">
        <f>COUNTIFS('NHL2025-26Results'!$B:$B,A11,'NHL2025-26Results'!$H:$H,A11,'NHL2025-26Results'!$F:$F,"")</f>
        <v>8</v>
      </c>
      <c r="L11">
        <f>COUNTIFS('NHL2025-26Results'!$B:$B,A11,'NHL2025-26Results'!$H:$H,A11,'NHL2025-26Results'!$F:$F,"OT") + COUNTIFS('NHL2025-26Results'!$B:$B,A11,'NHL2025-26Results'!$H:$H,A11,'NHL2025-26Results'!$F:$F,"SO")</f>
        <v>4</v>
      </c>
      <c r="M11" s="11">
        <f>Table1[[#This Row],[HomeWins]]/SUM(Table1[[#This Row],[HomeWins]:[HomeOTL]])</f>
        <v>0.66666666666666663</v>
      </c>
      <c r="N11" s="11">
        <f>Table1[[#This Row],[AwayWins]]/SUM(Table1[[#This Row],[AwayWins]:[AwayOTL]])</f>
        <v>0.53846153846153844</v>
      </c>
      <c r="O11" s="14">
        <f>SUMIFS('NHL2025-26Results'!$E:$E,'NHL2025-26Results'!$D:$D,A11,'NHL2025-26Results'!$E:$E,"&gt;0")/COUNTIFS('NHL2025-26Results'!$D:$D,A11,'NHL2025-26Results'!$E:$E,"&gt;0")</f>
        <v>3.3846153846153846</v>
      </c>
      <c r="P11" s="14">
        <f>SUMIFS('NHL2025-26Results'!$C:$C,'NHL2025-26Results'!$B:$B,A11,'NHL2025-26Results'!$C:$C,"&gt;0")/COUNTIFS('NHL2025-26Results'!$B:$B,A11,'NHL2025-26Results'!$C:$C,"&gt;0")</f>
        <v>3.2916666666666665</v>
      </c>
      <c r="Q11" s="14">
        <f>SUMIFS('NHL2025-26Results'!$C:$C,'NHL2025-26Results'!$D:$D,A11,'NHL2025-26Results'!$C:$C,"&gt;0")/COUNTIFS('NHL2025-26Results'!$D:$D,A11,'NHL2025-26Results'!$C:$C,"&gt;0")</f>
        <v>3.1851851851851851</v>
      </c>
      <c r="R11" s="14">
        <f>SUMIFS('NHL2025-26Results'!$E:$E,'NHL2025-26Results'!$B:$B,A11,'NHL2025-26Results'!$E:$E,"&gt;0")/COUNTIFS('NHL2025-26Results'!$B:$B,A11,'NHL2025-26Results'!$E:$E,"&gt;0")</f>
        <v>3.1739130434782608</v>
      </c>
    </row>
    <row r="12" spans="1:18" x14ac:dyDescent="0.2">
      <c r="A12" s="4" t="s">
        <v>17</v>
      </c>
      <c r="B12">
        <f>SUM(Table1[[#This Row],[W]:[OTL]])</f>
        <v>53</v>
      </c>
      <c r="C12">
        <f>COUNTIF(NHL2025_26Results[Winning Team],Standings!A12)</f>
        <v>26</v>
      </c>
      <c r="D12">
        <f>COUNTIFS('NHL2025-26Results'!$H:$H,A12,'NHL2025-26Results'!$F:$F,"")</f>
        <v>19</v>
      </c>
      <c r="E12">
        <f>COUNTIFS('NHL2025-26Results'!$F:$F,"OT",'NHL2025-26Results'!$H:$H,A12) + COUNTIFS('NHL2025-26Results'!$F:$F,"SO",'NHL2025-26Results'!$H:$H,A12)</f>
        <v>8</v>
      </c>
      <c r="F12" s="3">
        <f>(Table1[[#This Row],[W]]*2)+Table1[[#This Row],[OTL]]</f>
        <v>60</v>
      </c>
      <c r="G12">
        <f>COUNTIFS('NHL2025-26Results'!$D:$D,A12,'NHL2025-26Results'!$G:$G,A12)</f>
        <v>13</v>
      </c>
      <c r="H12">
        <f>COUNTIFS('NHL2025-26Results'!$D:$D,A12,'NHL2025-26Results'!$H:$H,A12,'NHL2025-26Results'!$F:$F,"")</f>
        <v>8</v>
      </c>
      <c r="I12">
        <f>COUNTIFS('NHL2025-26Results'!$D:$D,A12,'NHL2025-26Results'!$H:$H,A12,'NHL2025-26Results'!$F:$F,"OT") + COUNTIFS('NHL2025-26Results'!$D:$D,A12,'NHL2025-26Results'!$H:$H,A12,'NHL2025-26Results'!$F:$F,"SO")</f>
        <v>4</v>
      </c>
      <c r="J12">
        <f>COUNTIFS('NHL2025-26Results'!$B:$B,A12,'NHL2025-26Results'!$G:$G,A12)</f>
        <v>13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4</v>
      </c>
      <c r="M12" s="11">
        <f>Table1[[#This Row],[HomeWins]]/SUM(Table1[[#This Row],[HomeWins]:[HomeOTL]])</f>
        <v>0.52</v>
      </c>
      <c r="N12" s="11">
        <f>Table1[[#This Row],[AwayWins]]/SUM(Table1[[#This Row],[AwayWins]:[AwayOTL]])</f>
        <v>0.4642857142857143</v>
      </c>
      <c r="O12" s="14">
        <f>SUMIFS('NHL2025-26Results'!$E:$E,'NHL2025-26Results'!$D:$D,A12,'NHL2025-26Results'!$E:$E,"&gt;0")/COUNTIFS('NHL2025-26Results'!$D:$D,A12,'NHL2025-26Results'!$E:$E,"&gt;0")</f>
        <v>3.9565217391304346</v>
      </c>
      <c r="P12" s="14">
        <f>SUMIFS('NHL2025-26Results'!$C:$C,'NHL2025-26Results'!$B:$B,A12,'NHL2025-26Results'!$C:$C,"&gt;0")/COUNTIFS('NHL2025-26Results'!$B:$B,A12,'NHL2025-26Results'!$C:$C,"&gt;0")</f>
        <v>3.1428571428571428</v>
      </c>
      <c r="Q12" s="14">
        <f>SUMIFS('NHL2025-26Results'!$C:$C,'NHL2025-26Results'!$D:$D,A12,'NHL2025-26Results'!$C:$C,"&gt;0")/COUNTIFS('NHL2025-26Results'!$D:$D,A12,'NHL2025-26Results'!$C:$C,"&gt;0")</f>
        <v>3.625</v>
      </c>
      <c r="R12" s="14">
        <f>SUMIFS('NHL2025-26Results'!$E:$E,'NHL2025-26Results'!$B:$B,A12,'NHL2025-26Results'!$E:$E,"&gt;0")/COUNTIFS('NHL2025-26Results'!$B:$B,A12,'NHL2025-26Results'!$E:$E,"&gt;0")</f>
        <v>3.36</v>
      </c>
    </row>
    <row r="13" spans="1:18" x14ac:dyDescent="0.2">
      <c r="A13" s="4" t="s">
        <v>11</v>
      </c>
      <c r="B13">
        <f>SUM(Table1[[#This Row],[W]:[OTL]])</f>
        <v>50</v>
      </c>
      <c r="C13">
        <f>COUNTIF(NHL2025_26Results[Winning Team],Standings!A13)</f>
        <v>27</v>
      </c>
      <c r="D13">
        <f>COUNTIFS('NHL2025-26Results'!$H:$H,A13,'NHL2025-26Results'!$F:$F,"")</f>
        <v>20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57</v>
      </c>
      <c r="G13">
        <f>COUNTIFS('NHL2025-26Results'!$D:$D,A13,'NHL2025-26Results'!$G:$G,A13)</f>
        <v>14</v>
      </c>
      <c r="H13">
        <f>COUNTIFS('NHL2025-26Results'!$D:$D,A13,'NHL2025-26Results'!$H:$H,A13,'NHL2025-26Results'!$F:$F,"")</f>
        <v>10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13</v>
      </c>
      <c r="K13">
        <f>COUNTIFS('NHL2025-26Results'!$B:$B,A13,'NHL2025-26Results'!$H:$H,A13,'NHL2025-26Results'!$F:$F,"")</f>
        <v>10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0.51851851851851849</v>
      </c>
      <c r="N13" s="11">
        <f>Table1[[#This Row],[AwayWins]]/SUM(Table1[[#This Row],[AwayWins]:[AwayOTL]])</f>
        <v>0.56521739130434778</v>
      </c>
      <c r="O13" s="14">
        <f>SUMIFS('NHL2025-26Results'!$E:$E,'NHL2025-26Results'!$D:$D,A13,'NHL2025-26Results'!$E:$E,"&gt;0")/COUNTIFS('NHL2025-26Results'!$D:$D,A13,'NHL2025-26Results'!$E:$E,"&gt;0")</f>
        <v>3.0370370370370372</v>
      </c>
      <c r="P13" s="14">
        <f>SUMIFS('NHL2025-26Results'!$C:$C,'NHL2025-26Results'!$B:$B,A13,'NHL2025-26Results'!$C:$C,"&gt;0")/COUNTIFS('NHL2025-26Results'!$B:$B,A13,'NHL2025-26Results'!$C:$C,"&gt;0")</f>
        <v>3.1818181818181817</v>
      </c>
      <c r="Q13" s="14">
        <f>SUMIFS('NHL2025-26Results'!$C:$C,'NHL2025-26Results'!$D:$D,A13,'NHL2025-26Results'!$C:$C,"&gt;0")/COUNTIFS('NHL2025-26Results'!$D:$D,A13,'NHL2025-26Results'!$C:$C,"&gt;0")</f>
        <v>3.44</v>
      </c>
      <c r="R13" s="14">
        <f>SUMIFS('NHL2025-26Results'!$E:$E,'NHL2025-26Results'!$B:$B,A13,'NHL2025-26Results'!$E:$E,"&gt;0")/COUNTIFS('NHL2025-26Results'!$B:$B,A13,'NHL2025-26Results'!$E:$E,"&gt;0")</f>
        <v>3.5454545454545454</v>
      </c>
    </row>
    <row r="14" spans="1:18" x14ac:dyDescent="0.2">
      <c r="A14" s="4" t="s">
        <v>13</v>
      </c>
      <c r="B14">
        <f>SUM(Table1[[#This Row],[W]:[OTL]])</f>
        <v>50</v>
      </c>
      <c r="C14">
        <f>COUNTIF(NHL2025_26Results[Winning Team],Standings!A14)</f>
        <v>21</v>
      </c>
      <c r="D14">
        <f>COUNTIFS('NHL2025-26Results'!$H:$H,A14,'NHL2025-26Results'!$F:$F,"")</f>
        <v>16</v>
      </c>
      <c r="E14">
        <f>COUNTIFS('NHL2025-26Results'!$F:$F,"OT",'NHL2025-26Results'!$H:$H,A14) + COUNTIFS('NHL2025-26Results'!$F:$F,"SO",'NHL2025-26Results'!$H:$H,A14)</f>
        <v>13</v>
      </c>
      <c r="F14" s="3">
        <f>(Table1[[#This Row],[W]]*2)+Table1[[#This Row],[OTL]]</f>
        <v>55</v>
      </c>
      <c r="G14">
        <f>COUNTIFS('NHL2025-26Results'!$D:$D,A14,'NHL2025-26Results'!$G:$G,A14)</f>
        <v>8</v>
      </c>
      <c r="H14">
        <f>COUNTIFS('NHL2025-26Results'!$D:$D,A14,'NHL2025-26Results'!$H:$H,A14,'NHL2025-26Results'!$F:$F,"")</f>
        <v>10</v>
      </c>
      <c r="I14">
        <f>COUNTIFS('NHL2025-26Results'!$D:$D,A14,'NHL2025-26Results'!$H:$H,A14,'NHL2025-26Results'!$F:$F,"OT") + COUNTIFS('NHL2025-26Results'!$D:$D,A14,'NHL2025-26Results'!$H:$H,A14,'NHL2025-26Results'!$F:$F,"SO")</f>
        <v>7</v>
      </c>
      <c r="J14">
        <f>COUNTIFS('NHL2025-26Results'!$B:$B,A14,'NHL2025-26Results'!$G:$G,A14)</f>
        <v>13</v>
      </c>
      <c r="K14">
        <f>COUNTIFS('NHL2025-26Results'!$B:$B,A14,'NHL2025-26Results'!$H:$H,A14,'NHL2025-26Results'!$F:$F,"")</f>
        <v>6</v>
      </c>
      <c r="L14">
        <f>COUNTIFS('NHL2025-26Results'!$B:$B,A14,'NHL2025-26Results'!$H:$H,A14,'NHL2025-26Results'!$F:$F,"OT") + COUNTIFS('NHL2025-26Results'!$B:$B,A14,'NHL2025-26Results'!$H:$H,A14,'NHL2025-26Results'!$F:$F,"SO")</f>
        <v>6</v>
      </c>
      <c r="M14" s="11">
        <f>Table1[[#This Row],[HomeWins]]/SUM(Table1[[#This Row],[HomeWins]:[HomeOTL]])</f>
        <v>0.32</v>
      </c>
      <c r="N14" s="11">
        <f>Table1[[#This Row],[AwayWins]]/SUM(Table1[[#This Row],[AwayWins]:[AwayOTL]])</f>
        <v>0.52</v>
      </c>
      <c r="O14" s="14">
        <f>SUMIFS('NHL2025-26Results'!$E:$E,'NHL2025-26Results'!$D:$D,A14,'NHL2025-26Results'!$E:$E,"&gt;0")/COUNTIFS('NHL2025-26Results'!$D:$D,A14,'NHL2025-26Results'!$E:$E,"&gt;0")</f>
        <v>2.48</v>
      </c>
      <c r="P14" s="14">
        <f>SUMIFS('NHL2025-26Results'!$C:$C,'NHL2025-26Results'!$B:$B,A14,'NHL2025-26Results'!$C:$C,"&gt;0")/COUNTIFS('NHL2025-26Results'!$B:$B,A14,'NHL2025-26Results'!$C:$C,"&gt;0")</f>
        <v>2.88</v>
      </c>
      <c r="Q14" s="14">
        <f>SUMIFS('NHL2025-26Results'!$C:$C,'NHL2025-26Results'!$D:$D,A14,'NHL2025-26Results'!$C:$C,"&gt;0")/COUNTIFS('NHL2025-26Results'!$D:$D,A14,'NHL2025-26Results'!$C:$C,"&gt;0")</f>
        <v>3.0434782608695654</v>
      </c>
      <c r="R14" s="14">
        <f>SUMIFS('NHL2025-26Results'!$E:$E,'NHL2025-26Results'!$B:$B,A14,'NHL2025-26Results'!$E:$E,"&gt;0")/COUNTIFS('NHL2025-26Results'!$B:$B,A14,'NHL2025-26Results'!$E:$E,"&gt;0")</f>
        <v>3.0416666666666665</v>
      </c>
    </row>
    <row r="15" spans="1:18" x14ac:dyDescent="0.2">
      <c r="A15" s="4" t="s">
        <v>34</v>
      </c>
      <c r="B15">
        <f>SUM(Table1[[#This Row],[W]:[OTL]])</f>
        <v>53</v>
      </c>
      <c r="C15">
        <f>COUNTIF(NHL2025_26Results[Winning Team],Standings!A15)</f>
        <v>29</v>
      </c>
      <c r="D15">
        <f>COUNTIFS('NHL2025-26Results'!$H:$H,A15,'NHL2025-26Results'!$F:$F,"")</f>
        <v>14</v>
      </c>
      <c r="E15">
        <f>COUNTIFS('NHL2025-26Results'!$F:$F,"OT",'NHL2025-26Results'!$H:$H,A15) + COUNTIFS('NHL2025-26Results'!$F:$F,"SO",'NHL2025-26Results'!$H:$H,A15)</f>
        <v>10</v>
      </c>
      <c r="F15" s="3">
        <f>(Table1[[#This Row],[W]]*2)+Table1[[#This Row],[OTL]]</f>
        <v>68</v>
      </c>
      <c r="G15">
        <f>COUNTIFS('NHL2025-26Results'!$D:$D,A15,'NHL2025-26Results'!$G:$G,A15)</f>
        <v>14</v>
      </c>
      <c r="H15">
        <f>COUNTIFS('NHL2025-26Results'!$D:$D,A15,'NHL2025-26Results'!$H:$H,A15,'NHL2025-26Results'!$F:$F,"")</f>
        <v>6</v>
      </c>
      <c r="I15">
        <f>COUNTIFS('NHL2025-26Results'!$D:$D,A15,'NHL2025-26Results'!$H:$H,A15,'NHL2025-26Results'!$F:$F,"OT") + COUNTIFS('NHL2025-26Results'!$D:$D,A15,'NHL2025-26Results'!$H:$H,A15,'NHL2025-26Results'!$F:$F,"SO")</f>
        <v>7</v>
      </c>
      <c r="J15">
        <f>COUNTIFS('NHL2025-26Results'!$B:$B,A15,'NHL2025-26Results'!$G:$G,A15)</f>
        <v>15</v>
      </c>
      <c r="K15">
        <f>COUNTIFS('NHL2025-26Results'!$B:$B,A15,'NHL2025-26Results'!$H:$H,A15,'NHL2025-26Results'!$F:$F,"")</f>
        <v>8</v>
      </c>
      <c r="L15">
        <f>COUNTIFS('NHL2025-26Results'!$B:$B,A15,'NHL2025-26Results'!$H:$H,A15,'NHL2025-26Results'!$F:$F,"OT") + COUNTIFS('NHL2025-26Results'!$B:$B,A15,'NHL2025-26Results'!$H:$H,A15,'NHL2025-26Results'!$F:$F,"SO")</f>
        <v>3</v>
      </c>
      <c r="M15" s="11">
        <f>Table1[[#This Row],[HomeWins]]/SUM(Table1[[#This Row],[HomeWins]:[HomeOTL]])</f>
        <v>0.51851851851851849</v>
      </c>
      <c r="N15" s="11">
        <f>Table1[[#This Row],[AwayWins]]/SUM(Table1[[#This Row],[AwayWins]:[AwayOTL]])</f>
        <v>0.57692307692307687</v>
      </c>
      <c r="O15" s="14">
        <f>SUMIFS('NHL2025-26Results'!$E:$E,'NHL2025-26Results'!$D:$D,A15,'NHL2025-26Results'!$E:$E,"&gt;0")/COUNTIFS('NHL2025-26Results'!$D:$D,A15,'NHL2025-26Results'!$E:$E,"&gt;0")</f>
        <v>3.1481481481481484</v>
      </c>
      <c r="P15" s="14">
        <f>SUMIFS('NHL2025-26Results'!$C:$C,'NHL2025-26Results'!$B:$B,A15,'NHL2025-26Results'!$C:$C,"&gt;0")/COUNTIFS('NHL2025-26Results'!$B:$B,A15,'NHL2025-26Results'!$C:$C,"&gt;0")</f>
        <v>3.3076923076923075</v>
      </c>
      <c r="Q15" s="14">
        <f>SUMIFS('NHL2025-26Results'!$C:$C,'NHL2025-26Results'!$D:$D,A15,'NHL2025-26Results'!$C:$C,"&gt;0")/COUNTIFS('NHL2025-26Results'!$D:$D,A15,'NHL2025-26Results'!$C:$C,"&gt;0")</f>
        <v>3.5</v>
      </c>
      <c r="R15" s="14">
        <f>SUMIFS('NHL2025-26Results'!$E:$E,'NHL2025-26Results'!$B:$B,A15,'NHL2025-26Results'!$E:$E,"&gt;0")/COUNTIFS('NHL2025-26Results'!$B:$B,A15,'NHL2025-26Results'!$E:$E,"&gt;0")</f>
        <v>3.1818181818181817</v>
      </c>
    </row>
    <row r="16" spans="1:18" x14ac:dyDescent="0.2">
      <c r="A16" s="4" t="s">
        <v>18</v>
      </c>
      <c r="B16">
        <f>SUM(Table1[[#This Row],[W]:[OTL]])</f>
        <v>52</v>
      </c>
      <c r="C16">
        <f>COUNTIF(NHL2025_26Results[Winning Team],Standings!A16)</f>
        <v>28</v>
      </c>
      <c r="D16">
        <f>COUNTIFS('NHL2025-26Results'!$H:$H,A16,'NHL2025-26Results'!$F:$F,"")</f>
        <v>17</v>
      </c>
      <c r="E16">
        <f>COUNTIFS('NHL2025-26Results'!$F:$F,"OT",'NHL2025-26Results'!$H:$H,A16) + COUNTIFS('NHL2025-26Results'!$F:$F,"SO",'NHL2025-26Results'!$H:$H,A16)</f>
        <v>7</v>
      </c>
      <c r="F16" s="3">
        <f>(Table1[[#This Row],[W]]*2)+Table1[[#This Row],[OTL]]</f>
        <v>63</v>
      </c>
      <c r="G16">
        <f>COUNTIFS('NHL2025-26Results'!$D:$D,A16,'NHL2025-26Results'!$G:$G,A16)</f>
        <v>14</v>
      </c>
      <c r="H16">
        <f>COUNTIFS('NHL2025-26Results'!$D:$D,A16,'NHL2025-26Results'!$H:$H,A16,'NHL2025-26Results'!$F:$F,"")</f>
        <v>11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14</v>
      </c>
      <c r="K16">
        <f>COUNTIFS('NHL2025-26Results'!$B:$B,A16,'NHL2025-26Results'!$H:$H,A16,'NHL2025-26Results'!$F:$F,"")</f>
        <v>6</v>
      </c>
      <c r="L16">
        <f>COUNTIFS('NHL2025-26Results'!$B:$B,A16,'NHL2025-26Results'!$H:$H,A16,'NHL2025-26Results'!$F:$F,"OT") + COUNTIFS('NHL2025-26Results'!$B:$B,A16,'NHL2025-26Results'!$H:$H,A16,'NHL2025-26Results'!$F:$F,"SO")</f>
        <v>6</v>
      </c>
      <c r="M16" s="11">
        <f>Table1[[#This Row],[HomeWins]]/SUM(Table1[[#This Row],[HomeWins]:[HomeOTL]])</f>
        <v>0.53846153846153844</v>
      </c>
      <c r="N16" s="11">
        <f>Table1[[#This Row],[AwayWins]]/SUM(Table1[[#This Row],[AwayWins]:[AwayOTL]])</f>
        <v>0.53846153846153844</v>
      </c>
      <c r="O16" s="14">
        <f>SUMIFS('NHL2025-26Results'!$E:$E,'NHL2025-26Results'!$D:$D,A16,'NHL2025-26Results'!$E:$E,"&gt;0")/COUNTIFS('NHL2025-26Results'!$D:$D,A16,'NHL2025-26Results'!$E:$E,"&gt;0")</f>
        <v>3.5416666666666665</v>
      </c>
      <c r="P16" s="14">
        <f>SUMIFS('NHL2025-26Results'!$C:$C,'NHL2025-26Results'!$B:$B,A16,'NHL2025-26Results'!$C:$C,"&gt;0")/COUNTIFS('NHL2025-26Results'!$B:$B,A16,'NHL2025-26Results'!$C:$C,"&gt;0")</f>
        <v>3.68</v>
      </c>
      <c r="Q16" s="14">
        <f>SUMIFS('NHL2025-26Results'!$C:$C,'NHL2025-26Results'!$D:$D,A16,'NHL2025-26Results'!$C:$C,"&gt;0")/COUNTIFS('NHL2025-26Results'!$D:$D,A16,'NHL2025-26Results'!$C:$C,"&gt;0")</f>
        <v>3.48</v>
      </c>
      <c r="R16" s="14">
        <f>SUMIFS('NHL2025-26Results'!$E:$E,'NHL2025-26Results'!$B:$B,A16,'NHL2025-26Results'!$E:$E,"&gt;0")/COUNTIFS('NHL2025-26Results'!$B:$B,A16,'NHL2025-26Results'!$E:$E,"&gt;0")</f>
        <v>3.3846153846153846</v>
      </c>
    </row>
    <row r="17" spans="1:18" x14ac:dyDescent="0.2">
      <c r="A17" s="4" t="s">
        <v>29</v>
      </c>
      <c r="B17">
        <f>SUM(Table1[[#This Row],[W]:[OTL]])</f>
        <v>51</v>
      </c>
      <c r="C17">
        <f>COUNTIF(NHL2025_26Results[Winning Team],Standings!A17)</f>
        <v>24</v>
      </c>
      <c r="D17">
        <f>COUNTIFS('NHL2025-26Results'!$H:$H,A17,'NHL2025-26Results'!$F:$F,"")</f>
        <v>23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52</v>
      </c>
      <c r="G17">
        <f>COUNTIFS('NHL2025-26Results'!$D:$D,A17,'NHL2025-26Results'!$G:$G,A17)</f>
        <v>14</v>
      </c>
      <c r="H17">
        <f>COUNTIFS('NHL2025-26Results'!$D:$D,A17,'NHL2025-26Results'!$H:$H,A17,'NHL2025-26Results'!$F:$F,"")</f>
        <v>12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10</v>
      </c>
      <c r="K17">
        <f>COUNTIFS('NHL2025-26Results'!$B:$B,A17,'NHL2025-26Results'!$H:$H,A17,'NHL2025-26Results'!$F:$F,"")</f>
        <v>11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0.5</v>
      </c>
      <c r="N17" s="11">
        <f>Table1[[#This Row],[AwayWins]]/SUM(Table1[[#This Row],[AwayWins]:[AwayOTL]])</f>
        <v>0.43478260869565216</v>
      </c>
      <c r="O17" s="14">
        <f>SUMIFS('NHL2025-26Results'!$E:$E,'NHL2025-26Results'!$D:$D,A17,'NHL2025-26Results'!$E:$E,"&gt;0")/COUNTIFS('NHL2025-26Results'!$D:$D,A17,'NHL2025-26Results'!$E:$E,"&gt;0")</f>
        <v>3.0769230769230771</v>
      </c>
      <c r="P17" s="14">
        <f>SUMIFS('NHL2025-26Results'!$C:$C,'NHL2025-26Results'!$B:$B,A17,'NHL2025-26Results'!$C:$C,"&gt;0")/COUNTIFS('NHL2025-26Results'!$B:$B,A17,'NHL2025-26Results'!$C:$C,"&gt;0")</f>
        <v>3.0909090909090908</v>
      </c>
      <c r="Q17" s="14">
        <f>SUMIFS('NHL2025-26Results'!$C:$C,'NHL2025-26Results'!$D:$D,A17,'NHL2025-26Results'!$C:$C,"&gt;0")/COUNTIFS('NHL2025-26Results'!$D:$D,A17,'NHL2025-26Results'!$C:$C,"&gt;0")</f>
        <v>3.2142857142857144</v>
      </c>
      <c r="R17" s="14">
        <f>SUMIFS('NHL2025-26Results'!$E:$E,'NHL2025-26Results'!$B:$B,A17,'NHL2025-26Results'!$E:$E,"&gt;0")/COUNTIFS('NHL2025-26Results'!$B:$B,A17,'NHL2025-26Results'!$E:$E,"&gt;0")</f>
        <v>3.652173913043478</v>
      </c>
    </row>
    <row r="18" spans="1:18" x14ac:dyDescent="0.2">
      <c r="A18" s="4" t="s">
        <v>24</v>
      </c>
      <c r="B18">
        <f>SUM(Table1[[#This Row],[W]:[OTL]])</f>
        <v>51</v>
      </c>
      <c r="C18">
        <f>COUNTIF(NHL2025_26Results[Winning Team],Standings!A18)</f>
        <v>27</v>
      </c>
      <c r="D18">
        <f>COUNTIFS('NHL2025-26Results'!$H:$H,A18,'NHL2025-26Results'!$F:$F,"")</f>
        <v>22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56</v>
      </c>
      <c r="G18">
        <f>COUNTIFS('NHL2025-26Results'!$D:$D,A18,'NHL2025-26Results'!$G:$G,A18)</f>
        <v>12</v>
      </c>
      <c r="H18">
        <f>COUNTIFS('NHL2025-26Results'!$D:$D,A18,'NHL2025-26Results'!$H:$H,A18,'NHL2025-26Results'!$F:$F,"")</f>
        <v>9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15</v>
      </c>
      <c r="K18">
        <f>COUNTIFS('NHL2025-26Results'!$B:$B,A18,'NHL2025-26Results'!$H:$H,A18,'NHL2025-26Results'!$F:$F,"")</f>
        <v>13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0.52173913043478259</v>
      </c>
      <c r="N18" s="11">
        <f>Table1[[#This Row],[AwayWins]]/SUM(Table1[[#This Row],[AwayWins]:[AwayOTL]])</f>
        <v>0.5357142857142857</v>
      </c>
      <c r="O18" s="14">
        <f>SUMIFS('NHL2025-26Results'!$E:$E,'NHL2025-26Results'!$D:$D,A18,'NHL2025-26Results'!$E:$E,"&gt;0")/COUNTIFS('NHL2025-26Results'!$D:$D,A18,'NHL2025-26Results'!$E:$E,"&gt;0")</f>
        <v>2.9523809523809526</v>
      </c>
      <c r="P18" s="14">
        <f>SUMIFS('NHL2025-26Results'!$C:$C,'NHL2025-26Results'!$B:$B,A18,'NHL2025-26Results'!$C:$C,"&gt;0")/COUNTIFS('NHL2025-26Results'!$B:$B,A18,'NHL2025-26Results'!$C:$C,"&gt;0")</f>
        <v>2.96</v>
      </c>
      <c r="Q18" s="14">
        <f>SUMIFS('NHL2025-26Results'!$C:$C,'NHL2025-26Results'!$D:$D,A18,'NHL2025-26Results'!$C:$C,"&gt;0")/COUNTIFS('NHL2025-26Results'!$D:$D,A18,'NHL2025-26Results'!$C:$C,"&gt;0")</f>
        <v>2.8260869565217392</v>
      </c>
      <c r="R18" s="14">
        <f>SUMIFS('NHL2025-26Results'!$E:$E,'NHL2025-26Results'!$B:$B,A18,'NHL2025-26Results'!$E:$E,"&gt;0")/COUNTIFS('NHL2025-26Results'!$B:$B,A18,'NHL2025-26Results'!$E:$E,"&gt;0")</f>
        <v>3.3333333333333335</v>
      </c>
    </row>
    <row r="19" spans="1:18" x14ac:dyDescent="0.2">
      <c r="A19" s="4" t="s">
        <v>30</v>
      </c>
      <c r="B19">
        <f>SUM(Table1[[#This Row],[W]:[OTL]])</f>
        <v>51</v>
      </c>
      <c r="C19">
        <f>COUNTIF(NHL2025_26Results[Winning Team],Standings!A19)</f>
        <v>27</v>
      </c>
      <c r="D19">
        <f>COUNTIFS('NHL2025-26Results'!$H:$H,A19,'NHL2025-26Results'!$F:$F,"")</f>
        <v>19</v>
      </c>
      <c r="E19">
        <f>COUNTIFS('NHL2025-26Results'!$F:$F,"OT",'NHL2025-26Results'!$H:$H,A19) + COUNTIFS('NHL2025-26Results'!$F:$F,"SO",'NHL2025-26Results'!$H:$H,A19)</f>
        <v>5</v>
      </c>
      <c r="F19" s="3">
        <f>(Table1[[#This Row],[W]]*2)+Table1[[#This Row],[OTL]]</f>
        <v>59</v>
      </c>
      <c r="G19">
        <f>COUNTIFS('NHL2025-26Results'!$D:$D,A19,'NHL2025-26Results'!$G:$G,A19)</f>
        <v>14</v>
      </c>
      <c r="H19">
        <f>COUNTIFS('NHL2025-26Results'!$D:$D,A19,'NHL2025-26Results'!$H:$H,A19,'NHL2025-26Results'!$F:$F,"")</f>
        <v>9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13</v>
      </c>
      <c r="K19">
        <f>COUNTIFS('NHL2025-26Results'!$B:$B,A19,'NHL2025-26Results'!$H:$H,A19,'NHL2025-26Results'!$F:$F,"")</f>
        <v>10</v>
      </c>
      <c r="L19">
        <f>COUNTIFS('NHL2025-26Results'!$B:$B,A19,'NHL2025-26Results'!$H:$H,A19,'NHL2025-26Results'!$F:$F,"OT") + COUNTIFS('NHL2025-26Results'!$B:$B,A19,'NHL2025-26Results'!$H:$H,A19,'NHL2025-26Results'!$F:$F,"SO")</f>
        <v>3</v>
      </c>
      <c r="M19" s="11">
        <f>Table1[[#This Row],[HomeWins]]/SUM(Table1[[#This Row],[HomeWins]:[HomeOTL]])</f>
        <v>0.56000000000000005</v>
      </c>
      <c r="N19" s="11">
        <f>Table1[[#This Row],[AwayWins]]/SUM(Table1[[#This Row],[AwayWins]:[AwayOTL]])</f>
        <v>0.5</v>
      </c>
      <c r="O19" s="14">
        <f>SUMIFS('NHL2025-26Results'!$E:$E,'NHL2025-26Results'!$D:$D,A19,'NHL2025-26Results'!$E:$E,"&gt;0")/COUNTIFS('NHL2025-26Results'!$D:$D,A19,'NHL2025-26Results'!$E:$E,"&gt;0")</f>
        <v>3.125</v>
      </c>
      <c r="P19" s="14">
        <f>SUMIFS('NHL2025-26Results'!$C:$C,'NHL2025-26Results'!$B:$B,A19,'NHL2025-26Results'!$C:$C,"&gt;0")/COUNTIFS('NHL2025-26Results'!$B:$B,A19,'NHL2025-26Results'!$C:$C,"&gt;0")</f>
        <v>2.7307692307692308</v>
      </c>
      <c r="Q19" s="14">
        <f>SUMIFS('NHL2025-26Results'!$C:$C,'NHL2025-26Results'!$D:$D,A19,'NHL2025-26Results'!$C:$C,"&gt;0")/COUNTIFS('NHL2025-26Results'!$D:$D,A19,'NHL2025-26Results'!$C:$C,"&gt;0")</f>
        <v>3.2727272727272729</v>
      </c>
      <c r="R19" s="14">
        <f>SUMIFS('NHL2025-26Results'!$E:$E,'NHL2025-26Results'!$B:$B,A19,'NHL2025-26Results'!$E:$E,"&gt;0")/COUNTIFS('NHL2025-26Results'!$B:$B,A19,'NHL2025-26Results'!$E:$E,"&gt;0")</f>
        <v>3.3636363636363638</v>
      </c>
    </row>
    <row r="20" spans="1:18" x14ac:dyDescent="0.2">
      <c r="A20" s="4" t="s">
        <v>15</v>
      </c>
      <c r="B20">
        <f>SUM(Table1[[#This Row],[W]:[OTL]])</f>
        <v>52</v>
      </c>
      <c r="C20">
        <f>COUNTIF(NHL2025_26Results[Winning Team],Standings!A20)</f>
        <v>22</v>
      </c>
      <c r="D20">
        <f>COUNTIFS('NHL2025-26Results'!$H:$H,A20,'NHL2025-26Results'!$F:$F,"")</f>
        <v>24</v>
      </c>
      <c r="E20">
        <f>COUNTIFS('NHL2025-26Results'!$F:$F,"OT",'NHL2025-26Results'!$H:$H,A20) + COUNTIFS('NHL2025-26Results'!$F:$F,"SO",'NHL2025-26Results'!$H:$H,A20)</f>
        <v>6</v>
      </c>
      <c r="F20" s="3">
        <f>(Table1[[#This Row],[W]]*2)+Table1[[#This Row],[OTL]]</f>
        <v>50</v>
      </c>
      <c r="G20">
        <f>COUNTIFS('NHL2025-26Results'!$D:$D,A20,'NHL2025-26Results'!$G:$G,A20)</f>
        <v>5</v>
      </c>
      <c r="H20">
        <f>COUNTIFS('NHL2025-26Results'!$D:$D,A20,'NHL2025-26Results'!$H:$H,A20,'NHL2025-26Results'!$F:$F,"")</f>
        <v>13</v>
      </c>
      <c r="I20">
        <f>COUNTIFS('NHL2025-26Results'!$D:$D,A20,'NHL2025-26Results'!$H:$H,A20,'NHL2025-26Results'!$F:$F,"OT") + COUNTIFS('NHL2025-26Results'!$D:$D,A20,'NHL2025-26Results'!$H:$H,A20,'NHL2025-26Results'!$F:$F,"SO")</f>
        <v>4</v>
      </c>
      <c r="J20">
        <f>COUNTIFS('NHL2025-26Results'!$B:$B,A20,'NHL2025-26Results'!$G:$G,A20)</f>
        <v>17</v>
      </c>
      <c r="K20">
        <f>COUNTIFS('NHL2025-26Results'!$B:$B,A20,'NHL2025-26Results'!$H:$H,A20,'NHL2025-26Results'!$F:$F,"")</f>
        <v>11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0.22727272727272727</v>
      </c>
      <c r="N20" s="11">
        <f>Table1[[#This Row],[AwayWins]]/SUM(Table1[[#This Row],[AwayWins]:[AwayOTL]])</f>
        <v>0.56666666666666665</v>
      </c>
      <c r="O20" s="14">
        <f>SUMIFS('NHL2025-26Results'!$E:$E,'NHL2025-26Results'!$D:$D,A20,'NHL2025-26Results'!$E:$E,"&gt;0")/COUNTIFS('NHL2025-26Results'!$D:$D,A20,'NHL2025-26Results'!$E:$E,"&gt;0")</f>
        <v>2.8125</v>
      </c>
      <c r="P20" s="14">
        <f>SUMIFS('NHL2025-26Results'!$C:$C,'NHL2025-26Results'!$B:$B,A20,'NHL2025-26Results'!$C:$C,"&gt;0")/COUNTIFS('NHL2025-26Results'!$B:$B,A20,'NHL2025-26Results'!$C:$C,"&gt;0")</f>
        <v>3.3571428571428572</v>
      </c>
      <c r="Q20" s="14">
        <f>SUMIFS('NHL2025-26Results'!$C:$C,'NHL2025-26Results'!$D:$D,A20,'NHL2025-26Results'!$C:$C,"&gt;0")/COUNTIFS('NHL2025-26Results'!$D:$D,A20,'NHL2025-26Results'!$C:$C,"&gt;0")</f>
        <v>3.5</v>
      </c>
      <c r="R20" s="14">
        <f>SUMIFS('NHL2025-26Results'!$E:$E,'NHL2025-26Results'!$B:$B,A20,'NHL2025-26Results'!$E:$E,"&gt;0")/COUNTIFS('NHL2025-26Results'!$B:$B,A20,'NHL2025-26Results'!$E:$E,"&gt;0")</f>
        <v>3.0357142857142856</v>
      </c>
    </row>
    <row r="21" spans="1:18" x14ac:dyDescent="0.2">
      <c r="A21" s="4" t="s">
        <v>36</v>
      </c>
      <c r="B21">
        <f>SUM(Table1[[#This Row],[W]:[OTL]])</f>
        <v>51</v>
      </c>
      <c r="C21">
        <f>COUNTIF(NHL2025_26Results[Winning Team],Standings!A21)</f>
        <v>23</v>
      </c>
      <c r="D21">
        <f>COUNTIFS('NHL2025-26Results'!$H:$H,A21,'NHL2025-26Results'!$F:$F,"")</f>
        <v>21</v>
      </c>
      <c r="E21">
        <f>COUNTIFS('NHL2025-26Results'!$F:$F,"OT",'NHL2025-26Results'!$H:$H,A21) + COUNTIFS('NHL2025-26Results'!$F:$F,"SO",'NHL2025-26Results'!$H:$H,A21)</f>
        <v>7</v>
      </c>
      <c r="F21" s="3">
        <f>(Table1[[#This Row],[W]]*2)+Table1[[#This Row],[OTL]]</f>
        <v>53</v>
      </c>
      <c r="G21">
        <f>COUNTIFS('NHL2025-26Results'!$D:$D,A21,'NHL2025-26Results'!$G:$G,A21)</f>
        <v>11</v>
      </c>
      <c r="H21">
        <f>COUNTIFS('NHL2025-26Results'!$D:$D,A21,'NHL2025-26Results'!$H:$H,A21,'NHL2025-26Results'!$F:$F,"")</f>
        <v>10</v>
      </c>
      <c r="I21">
        <f>COUNTIFS('NHL2025-26Results'!$D:$D,A21,'NHL2025-26Results'!$H:$H,A21,'NHL2025-26Results'!$F:$F,"OT") + COUNTIFS('NHL2025-26Results'!$D:$D,A21,'NHL2025-26Results'!$H:$H,A21,'NHL2025-26Results'!$F:$F,"SO")</f>
        <v>4</v>
      </c>
      <c r="J21">
        <f>COUNTIFS('NHL2025-26Results'!$B:$B,A21,'NHL2025-26Results'!$G:$G,A21)</f>
        <v>12</v>
      </c>
      <c r="K21">
        <f>COUNTIFS('NHL2025-26Results'!$B:$B,A21,'NHL2025-26Results'!$H:$H,A21,'NHL2025-26Results'!$F:$F,"")</f>
        <v>11</v>
      </c>
      <c r="L21">
        <f>COUNTIFS('NHL2025-26Results'!$B:$B,A21,'NHL2025-26Results'!$H:$H,A21,'NHL2025-26Results'!$F:$F,"OT") + COUNTIFS('NHL2025-26Results'!$B:$B,A21,'NHL2025-26Results'!$H:$H,A21,'NHL2025-26Results'!$F:$F,"SO")</f>
        <v>3</v>
      </c>
      <c r="M21" s="11">
        <f>Table1[[#This Row],[HomeWins]]/SUM(Table1[[#This Row],[HomeWins]:[HomeOTL]])</f>
        <v>0.44</v>
      </c>
      <c r="N21" s="11">
        <f>Table1[[#This Row],[AwayWins]]/SUM(Table1[[#This Row],[AwayWins]:[AwayOTL]])</f>
        <v>0.46153846153846156</v>
      </c>
      <c r="O21" s="14">
        <f>SUMIFS('NHL2025-26Results'!$E:$E,'NHL2025-26Results'!$D:$D,A21,'NHL2025-26Results'!$E:$E,"&gt;0")/COUNTIFS('NHL2025-26Results'!$D:$D,A21,'NHL2025-26Results'!$E:$E,"&gt;0")</f>
        <v>3.125</v>
      </c>
      <c r="P21" s="14">
        <f>SUMIFS('NHL2025-26Results'!$C:$C,'NHL2025-26Results'!$B:$B,A21,'NHL2025-26Results'!$C:$C,"&gt;0")/COUNTIFS('NHL2025-26Results'!$B:$B,A21,'NHL2025-26Results'!$C:$C,"&gt;0")</f>
        <v>3.5384615384615383</v>
      </c>
      <c r="Q21" s="14">
        <f>SUMIFS('NHL2025-26Results'!$C:$C,'NHL2025-26Results'!$D:$D,A21,'NHL2025-26Results'!$C:$C,"&gt;0")/COUNTIFS('NHL2025-26Results'!$D:$D,A21,'NHL2025-26Results'!$C:$C,"&gt;0")</f>
        <v>3.125</v>
      </c>
      <c r="R21" s="14">
        <f>SUMIFS('NHL2025-26Results'!$E:$E,'NHL2025-26Results'!$B:$B,A21,'NHL2025-26Results'!$E:$E,"&gt;0")/COUNTIFS('NHL2025-26Results'!$B:$B,A21,'NHL2025-26Results'!$E:$E,"&gt;0")</f>
        <v>3.7692307692307692</v>
      </c>
    </row>
    <row r="22" spans="1:18" x14ac:dyDescent="0.2">
      <c r="A22" s="4" t="s">
        <v>27</v>
      </c>
      <c r="B22">
        <f>SUM(Table1[[#This Row],[W]:[OTL]])</f>
        <v>50</v>
      </c>
      <c r="C22">
        <f>COUNTIF(NHL2025_26Results[Winning Team],Standings!A22)</f>
        <v>24</v>
      </c>
      <c r="D22">
        <f>COUNTIFS('NHL2025-26Results'!$H:$H,A22,'NHL2025-26Results'!$F:$F,"")</f>
        <v>17</v>
      </c>
      <c r="E22">
        <f>COUNTIFS('NHL2025-26Results'!$F:$F,"OT",'NHL2025-26Results'!$H:$H,A22) + COUNTIFS('NHL2025-26Results'!$F:$F,"SO",'NHL2025-26Results'!$H:$H,A22)</f>
        <v>9</v>
      </c>
      <c r="F22" s="3">
        <f>(Table1[[#This Row],[W]]*2)+Table1[[#This Row],[OTL]]</f>
        <v>57</v>
      </c>
      <c r="G22">
        <f>COUNTIFS('NHL2025-26Results'!$D:$D,A22,'NHL2025-26Results'!$G:$G,A22)</f>
        <v>12</v>
      </c>
      <c r="H22">
        <f>COUNTIFS('NHL2025-26Results'!$D:$D,A22,'NHL2025-26Results'!$H:$H,A22,'NHL2025-26Results'!$F:$F,"")</f>
        <v>8</v>
      </c>
      <c r="I22">
        <f>COUNTIFS('NHL2025-26Results'!$D:$D,A22,'NHL2025-26Results'!$H:$H,A22,'NHL2025-26Results'!$F:$F,"OT") + COUNTIFS('NHL2025-26Results'!$D:$D,A22,'NHL2025-26Results'!$H:$H,A22,'NHL2025-26Results'!$F:$F,"SO")</f>
        <v>5</v>
      </c>
      <c r="J22">
        <f>COUNTIFS('NHL2025-26Results'!$B:$B,A22,'NHL2025-26Results'!$G:$G,A22)</f>
        <v>12</v>
      </c>
      <c r="K22">
        <f>COUNTIFS('NHL2025-26Results'!$B:$B,A22,'NHL2025-26Results'!$H:$H,A22,'NHL2025-26Results'!$F:$F,"")</f>
        <v>9</v>
      </c>
      <c r="L22">
        <f>COUNTIFS('NHL2025-26Results'!$B:$B,A22,'NHL2025-26Results'!$H:$H,A22,'NHL2025-26Results'!$F:$F,"OT") + COUNTIFS('NHL2025-26Results'!$B:$B,A22,'NHL2025-26Results'!$H:$H,A22,'NHL2025-26Results'!$F:$F,"SO")</f>
        <v>4</v>
      </c>
      <c r="M22" s="11">
        <f>Table1[[#This Row],[HomeWins]]/SUM(Table1[[#This Row],[HomeWins]:[HomeOTL]])</f>
        <v>0.48</v>
      </c>
      <c r="N22" s="11">
        <f>Table1[[#This Row],[AwayWins]]/SUM(Table1[[#This Row],[AwayWins]:[AwayOTL]])</f>
        <v>0.48</v>
      </c>
      <c r="O22" s="14">
        <f>SUMIFS('NHL2025-26Results'!$E:$E,'NHL2025-26Results'!$D:$D,A22,'NHL2025-26Results'!$E:$E,"&gt;0")/COUNTIFS('NHL2025-26Results'!$D:$D,A22,'NHL2025-26Results'!$E:$E,"&gt;0")</f>
        <v>2.96</v>
      </c>
      <c r="P22" s="14">
        <f>SUMIFS('NHL2025-26Results'!$C:$C,'NHL2025-26Results'!$B:$B,A22,'NHL2025-26Results'!$C:$C,"&gt;0")/COUNTIFS('NHL2025-26Results'!$B:$B,A22,'NHL2025-26Results'!$C:$C,"&gt;0")</f>
        <v>3.3333333333333335</v>
      </c>
      <c r="Q22" s="14">
        <f>SUMIFS('NHL2025-26Results'!$C:$C,'NHL2025-26Results'!$D:$D,A22,'NHL2025-26Results'!$C:$C,"&gt;0")/COUNTIFS('NHL2025-26Results'!$D:$D,A22,'NHL2025-26Results'!$C:$C,"&gt;0")</f>
        <v>3</v>
      </c>
      <c r="R22" s="14">
        <f>SUMIFS('NHL2025-26Results'!$E:$E,'NHL2025-26Results'!$B:$B,A22,'NHL2025-26Results'!$E:$E,"&gt;0")/COUNTIFS('NHL2025-26Results'!$B:$B,A22,'NHL2025-26Results'!$E:$E,"&gt;0")</f>
        <v>3.32</v>
      </c>
    </row>
    <row r="23" spans="1:18" x14ac:dyDescent="0.2">
      <c r="A23" s="4" t="s">
        <v>14</v>
      </c>
      <c r="B23">
        <f>SUM(Table1[[#This Row],[W]:[OTL]])</f>
        <v>50</v>
      </c>
      <c r="C23">
        <f>COUNTIF(NHL2025_26Results[Winning Team],Standings!A23)</f>
        <v>25</v>
      </c>
      <c r="D23">
        <f>COUNTIFS('NHL2025-26Results'!$H:$H,A23,'NHL2025-26Results'!$F:$F,"")</f>
        <v>14</v>
      </c>
      <c r="E23">
        <f>COUNTIFS('NHL2025-26Results'!$F:$F,"OT",'NHL2025-26Results'!$H:$H,A23) + COUNTIFS('NHL2025-26Results'!$F:$F,"SO",'NHL2025-26Results'!$H:$H,A23)</f>
        <v>11</v>
      </c>
      <c r="F23" s="3">
        <f>(Table1[[#This Row],[W]]*2)+Table1[[#This Row],[OTL]]</f>
        <v>61</v>
      </c>
      <c r="G23">
        <f>COUNTIFS('NHL2025-26Results'!$D:$D,A23,'NHL2025-26Results'!$G:$G,A23)</f>
        <v>11</v>
      </c>
      <c r="H23">
        <f>COUNTIFS('NHL2025-26Results'!$D:$D,A23,'NHL2025-26Results'!$H:$H,A23,'NHL2025-26Results'!$F:$F,"")</f>
        <v>7</v>
      </c>
      <c r="I23">
        <f>COUNTIFS('NHL2025-26Results'!$D:$D,A23,'NHL2025-26Results'!$H:$H,A23,'NHL2025-26Results'!$F:$F,"OT") + COUNTIFS('NHL2025-26Results'!$D:$D,A23,'NHL2025-26Results'!$H:$H,A23,'NHL2025-26Results'!$F:$F,"SO")</f>
        <v>7</v>
      </c>
      <c r="J23">
        <f>COUNTIFS('NHL2025-26Results'!$B:$B,A23,'NHL2025-26Results'!$G:$G,A23)</f>
        <v>14</v>
      </c>
      <c r="K23">
        <f>COUNTIFS('NHL2025-26Results'!$B:$B,A23,'NHL2025-26Results'!$H:$H,A23,'NHL2025-26Results'!$F:$F,"")</f>
        <v>7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0.44</v>
      </c>
      <c r="N23" s="11">
        <f>Table1[[#This Row],[AwayWins]]/SUM(Table1[[#This Row],[AwayWins]:[AwayOTL]])</f>
        <v>0.56000000000000005</v>
      </c>
      <c r="O23" s="14">
        <f>SUMIFS('NHL2025-26Results'!$E:$E,'NHL2025-26Results'!$D:$D,A23,'NHL2025-26Results'!$E:$E,"&gt;0")/COUNTIFS('NHL2025-26Results'!$D:$D,A23,'NHL2025-26Results'!$E:$E,"&gt;0")</f>
        <v>3.5416666666666665</v>
      </c>
      <c r="P23" s="14">
        <f>SUMIFS('NHL2025-26Results'!$C:$C,'NHL2025-26Results'!$B:$B,A23,'NHL2025-26Results'!$C:$C,"&gt;0")/COUNTIFS('NHL2025-26Results'!$B:$B,A23,'NHL2025-26Results'!$C:$C,"&gt;0")</f>
        <v>3.6818181818181817</v>
      </c>
      <c r="Q23" s="14">
        <f>SUMIFS('NHL2025-26Results'!$C:$C,'NHL2025-26Results'!$D:$D,A23,'NHL2025-26Results'!$C:$C,"&gt;0")/COUNTIFS('NHL2025-26Results'!$D:$D,A23,'NHL2025-26Results'!$C:$C,"&gt;0")</f>
        <v>3.5416666666666665</v>
      </c>
      <c r="R23" s="14">
        <f>SUMIFS('NHL2025-26Results'!$E:$E,'NHL2025-26Results'!$B:$B,A23,'NHL2025-26Results'!$E:$E,"&gt;0")/COUNTIFS('NHL2025-26Results'!$B:$B,A23,'NHL2025-26Results'!$E:$E,"&gt;0")</f>
        <v>2.8260869565217392</v>
      </c>
    </row>
    <row r="24" spans="1:18" x14ac:dyDescent="0.2">
      <c r="A24" s="4" t="s">
        <v>33</v>
      </c>
      <c r="B24">
        <f>SUM(Table1[[#This Row],[W]:[OTL]])</f>
        <v>50</v>
      </c>
      <c r="C24">
        <f>COUNTIF(NHL2025_26Results[Winning Team],Standings!A24)</f>
        <v>26</v>
      </c>
      <c r="D24">
        <f>COUNTIFS('NHL2025-26Results'!$H:$H,A24,'NHL2025-26Results'!$F:$F,"")</f>
        <v>21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55</v>
      </c>
      <c r="G24">
        <f>COUNTIFS('NHL2025-26Results'!$D:$D,A24,'NHL2025-26Results'!$G:$G,A24)</f>
        <v>14</v>
      </c>
      <c r="H24">
        <f>COUNTIFS('NHL2025-26Results'!$D:$D,A24,'NHL2025-26Results'!$H:$H,A24,'NHL2025-26Results'!$F:$F,"")</f>
        <v>9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12</v>
      </c>
      <c r="K24">
        <f>COUNTIFS('NHL2025-26Results'!$B:$B,A24,'NHL2025-26Results'!$H:$H,A24,'NHL2025-26Results'!$F:$F,"")</f>
        <v>12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0.53846153846153844</v>
      </c>
      <c r="N24" s="11">
        <f>Table1[[#This Row],[AwayWins]]/SUM(Table1[[#This Row],[AwayWins]:[AwayOTL]])</f>
        <v>0.5</v>
      </c>
      <c r="O24" s="14">
        <f>SUMIFS('NHL2025-26Results'!$E:$E,'NHL2025-26Results'!$D:$D,A24,'NHL2025-26Results'!$E:$E,"&gt;0")/COUNTIFS('NHL2025-26Results'!$D:$D,A24,'NHL2025-26Results'!$E:$E,"&gt;0")</f>
        <v>3.32</v>
      </c>
      <c r="P24" s="14">
        <f>SUMIFS('NHL2025-26Results'!$C:$C,'NHL2025-26Results'!$B:$B,A24,'NHL2025-26Results'!$C:$C,"&gt;0")/COUNTIFS('NHL2025-26Results'!$B:$B,A24,'NHL2025-26Results'!$C:$C,"&gt;0")</f>
        <v>3.3181818181818183</v>
      </c>
      <c r="Q24" s="14">
        <f>SUMIFS('NHL2025-26Results'!$C:$C,'NHL2025-26Results'!$D:$D,A24,'NHL2025-26Results'!$C:$C,"&gt;0")/COUNTIFS('NHL2025-26Results'!$D:$D,A24,'NHL2025-26Results'!$C:$C,"&gt;0")</f>
        <v>3.4230769230769229</v>
      </c>
      <c r="R24" s="14">
        <f>SUMIFS('NHL2025-26Results'!$E:$E,'NHL2025-26Results'!$B:$B,A24,'NHL2025-26Results'!$E:$E,"&gt;0")/COUNTIFS('NHL2025-26Results'!$B:$B,A24,'NHL2025-26Results'!$E:$E,"&gt;0")</f>
        <v>3.5416666666666665</v>
      </c>
    </row>
    <row r="25" spans="1:18" x14ac:dyDescent="0.2">
      <c r="A25" s="4" t="s">
        <v>32</v>
      </c>
      <c r="B25">
        <f>SUM(Table1[[#This Row],[W]:[OTL]])</f>
        <v>50</v>
      </c>
      <c r="C25">
        <f>COUNTIF(NHL2025_26Results[Winning Team],Standings!A25)</f>
        <v>22</v>
      </c>
      <c r="D25">
        <f>COUNTIFS('NHL2025-26Results'!$H:$H,A25,'NHL2025-26Results'!$F:$F,"")</f>
        <v>19</v>
      </c>
      <c r="E25">
        <f>COUNTIFS('NHL2025-26Results'!$F:$F,"OT",'NHL2025-26Results'!$H:$H,A25) + COUNTIFS('NHL2025-26Results'!$F:$F,"SO",'NHL2025-26Results'!$H:$H,A25)</f>
        <v>9</v>
      </c>
      <c r="F25" s="3">
        <f>(Table1[[#This Row],[W]]*2)+Table1[[#This Row],[OTL]]</f>
        <v>53</v>
      </c>
      <c r="G25">
        <f>COUNTIFS('NHL2025-26Results'!$D:$D,A25,'NHL2025-26Results'!$G:$G,A25)</f>
        <v>11</v>
      </c>
      <c r="H25">
        <f>COUNTIFS('NHL2025-26Results'!$D:$D,A25,'NHL2025-26Results'!$H:$H,A25,'NHL2025-26Results'!$F:$F,"")</f>
        <v>9</v>
      </c>
      <c r="I25">
        <f>COUNTIFS('NHL2025-26Results'!$D:$D,A25,'NHL2025-26Results'!$H:$H,A25,'NHL2025-26Results'!$F:$F,"OT") + COUNTIFS('NHL2025-26Results'!$D:$D,A25,'NHL2025-26Results'!$H:$H,A25,'NHL2025-26Results'!$F:$F,"SO")</f>
        <v>5</v>
      </c>
      <c r="J25">
        <f>COUNTIFS('NHL2025-26Results'!$B:$B,A25,'NHL2025-26Results'!$G:$G,A25)</f>
        <v>11</v>
      </c>
      <c r="K25">
        <f>COUNTIFS('NHL2025-26Results'!$B:$B,A25,'NHL2025-26Results'!$H:$H,A25,'NHL2025-26Results'!$F:$F,"")</f>
        <v>10</v>
      </c>
      <c r="L25">
        <f>COUNTIFS('NHL2025-26Results'!$B:$B,A25,'NHL2025-26Results'!$H:$H,A25,'NHL2025-26Results'!$F:$F,"OT") + COUNTIFS('NHL2025-26Results'!$B:$B,A25,'NHL2025-26Results'!$H:$H,A25,'NHL2025-26Results'!$F:$F,"SO")</f>
        <v>4</v>
      </c>
      <c r="M25" s="11">
        <f>Table1[[#This Row],[HomeWins]]/SUM(Table1[[#This Row],[HomeWins]:[HomeOTL]])</f>
        <v>0.44</v>
      </c>
      <c r="N25" s="11">
        <f>Table1[[#This Row],[AwayWins]]/SUM(Table1[[#This Row],[AwayWins]:[AwayOTL]])</f>
        <v>0.44</v>
      </c>
      <c r="O25" s="14">
        <f>SUMIFS('NHL2025-26Results'!$E:$E,'NHL2025-26Results'!$D:$D,A25,'NHL2025-26Results'!$E:$E,"&gt;0")/COUNTIFS('NHL2025-26Results'!$D:$D,A25,'NHL2025-26Results'!$E:$E,"&gt;0")</f>
        <v>2.8333333333333335</v>
      </c>
      <c r="P25" s="14">
        <f>SUMIFS('NHL2025-26Results'!$C:$C,'NHL2025-26Results'!$B:$B,A25,'NHL2025-26Results'!$C:$C,"&gt;0")/COUNTIFS('NHL2025-26Results'!$B:$B,A25,'NHL2025-26Results'!$C:$C,"&gt;0")</f>
        <v>2.9583333333333335</v>
      </c>
      <c r="Q25" s="14">
        <f>SUMIFS('NHL2025-26Results'!$C:$C,'NHL2025-26Results'!$D:$D,A25,'NHL2025-26Results'!$C:$C,"&gt;0")/COUNTIFS('NHL2025-26Results'!$D:$D,A25,'NHL2025-26Results'!$C:$C,"&gt;0")</f>
        <v>2.88</v>
      </c>
      <c r="R25" s="14">
        <f>SUMIFS('NHL2025-26Results'!$E:$E,'NHL2025-26Results'!$B:$B,A25,'NHL2025-26Results'!$E:$E,"&gt;0")/COUNTIFS('NHL2025-26Results'!$B:$B,A25,'NHL2025-26Results'!$E:$E,"&gt;0")</f>
        <v>3.3333333333333335</v>
      </c>
    </row>
    <row r="26" spans="1:18" x14ac:dyDescent="0.2">
      <c r="A26" s="4" t="s">
        <v>35</v>
      </c>
      <c r="B26">
        <f>SUM(Table1[[#This Row],[W]:[OTL]])</f>
        <v>52</v>
      </c>
      <c r="C26">
        <f>COUNTIF(NHL2025_26Results[Winning Team],Standings!A26)</f>
        <v>19</v>
      </c>
      <c r="D26">
        <f>COUNTIFS('NHL2025-26Results'!$H:$H,A26,'NHL2025-26Results'!$F:$F,"")</f>
        <v>24</v>
      </c>
      <c r="E26">
        <f>COUNTIFS('NHL2025-26Results'!$F:$F,"OT",'NHL2025-26Results'!$H:$H,A26) + COUNTIFS('NHL2025-26Results'!$F:$F,"SO",'NHL2025-26Results'!$H:$H,A26)</f>
        <v>9</v>
      </c>
      <c r="F26" s="3">
        <f>(Table1[[#This Row],[W]]*2)+Table1[[#This Row],[OTL]]</f>
        <v>47</v>
      </c>
      <c r="G26">
        <f>COUNTIFS('NHL2025-26Results'!$D:$D,A26,'NHL2025-26Results'!$G:$G,A26)</f>
        <v>12</v>
      </c>
      <c r="H26">
        <f>COUNTIFS('NHL2025-26Results'!$D:$D,A26,'NHL2025-26Results'!$H:$H,A26,'NHL2025-26Results'!$F:$F,"")</f>
        <v>9</v>
      </c>
      <c r="I26">
        <f>COUNTIFS('NHL2025-26Results'!$D:$D,A26,'NHL2025-26Results'!$H:$H,A26,'NHL2025-26Results'!$F:$F,"OT") + COUNTIFS('NHL2025-26Results'!$D:$D,A26,'NHL2025-26Results'!$H:$H,A26,'NHL2025-26Results'!$F:$F,"SO")</f>
        <v>6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15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0.44444444444444442</v>
      </c>
      <c r="N26" s="11">
        <f>Table1[[#This Row],[AwayWins]]/SUM(Table1[[#This Row],[AwayWins]:[AwayOTL]])</f>
        <v>0.28000000000000003</v>
      </c>
      <c r="O26" s="14">
        <f>SUMIFS('NHL2025-26Results'!$E:$E,'NHL2025-26Results'!$D:$D,A26,'NHL2025-26Results'!$E:$E,"&gt;0")/COUNTIFS('NHL2025-26Results'!$D:$D,A26,'NHL2025-26Results'!$E:$E,"&gt;0")</f>
        <v>2.5769230769230771</v>
      </c>
      <c r="P26" s="14">
        <f>SUMIFS('NHL2025-26Results'!$C:$C,'NHL2025-26Results'!$B:$B,A26,'NHL2025-26Results'!$C:$C,"&gt;0")/COUNTIFS('NHL2025-26Results'!$B:$B,A26,'NHL2025-26Results'!$C:$C,"&gt;0")</f>
        <v>2.5</v>
      </c>
      <c r="Q26" s="14">
        <f>SUMIFS('NHL2025-26Results'!$C:$C,'NHL2025-26Results'!$D:$D,A26,'NHL2025-26Results'!$C:$C,"&gt;0")/COUNTIFS('NHL2025-26Results'!$D:$D,A26,'NHL2025-26Results'!$C:$C,"&gt;0")</f>
        <v>3.7826086956521738</v>
      </c>
      <c r="R26" s="14">
        <f>SUMIFS('NHL2025-26Results'!$E:$E,'NHL2025-26Results'!$B:$B,A26,'NHL2025-26Results'!$E:$E,"&gt;0")/COUNTIFS('NHL2025-26Results'!$B:$B,A26,'NHL2025-26Results'!$E:$E,"&gt;0")</f>
        <v>3.8333333333333335</v>
      </c>
    </row>
    <row r="27" spans="1:18" x14ac:dyDescent="0.2">
      <c r="A27" s="4" t="s">
        <v>37</v>
      </c>
      <c r="B27">
        <f>SUM(Table1[[#This Row],[W]:[OTL]])</f>
        <v>50</v>
      </c>
      <c r="C27">
        <f>COUNTIF(NHL2025_26Results[Winning Team],Standings!A27)</f>
        <v>32</v>
      </c>
      <c r="D27">
        <f>COUNTIFS('NHL2025-26Results'!$H:$H,A27,'NHL2025-26Results'!$F:$F,"")</f>
        <v>14</v>
      </c>
      <c r="E27">
        <f>COUNTIFS('NHL2025-26Results'!$F:$F,"OT",'NHL2025-26Results'!$H:$H,A27) + COUNTIFS('NHL2025-26Results'!$F:$F,"SO",'NHL2025-26Results'!$H:$H,A27)</f>
        <v>4</v>
      </c>
      <c r="F27" s="3">
        <f>(Table1[[#This Row],[W]]*2)+Table1[[#This Row],[OTL]]</f>
        <v>68</v>
      </c>
      <c r="G27">
        <f>COUNTIFS('NHL2025-26Results'!$D:$D,A27,'NHL2025-26Results'!$G:$G,A27)</f>
        <v>13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19</v>
      </c>
      <c r="K27">
        <f>COUNTIFS('NHL2025-26Results'!$B:$B,A27,'NHL2025-26Results'!$H:$H,A27,'NHL2025-26Results'!$F:$F,"")</f>
        <v>5</v>
      </c>
      <c r="L27">
        <f>COUNTIFS('NHL2025-26Results'!$B:$B,A27,'NHL2025-26Results'!$H:$H,A27,'NHL2025-26Results'!$F:$F,"OT") + COUNTIFS('NHL2025-26Results'!$B:$B,A27,'NHL2025-26Results'!$H:$H,A27,'NHL2025-26Results'!$F:$F,"SO")</f>
        <v>4</v>
      </c>
      <c r="M27" s="11">
        <f>Table1[[#This Row],[HomeWins]]/SUM(Table1[[#This Row],[HomeWins]:[HomeOTL]])</f>
        <v>0.59090909090909094</v>
      </c>
      <c r="N27" s="11">
        <f>Table1[[#This Row],[AwayWins]]/SUM(Table1[[#This Row],[AwayWins]:[AwayOTL]])</f>
        <v>0.6785714285714286</v>
      </c>
      <c r="O27" s="14">
        <f>SUMIFS('NHL2025-26Results'!$E:$E,'NHL2025-26Results'!$D:$D,A27,'NHL2025-26Results'!$E:$E,"&gt;0")/COUNTIFS('NHL2025-26Results'!$D:$D,A27,'NHL2025-26Results'!$E:$E,"&gt;0")</f>
        <v>3.2857142857142856</v>
      </c>
      <c r="P27" s="14">
        <f>SUMIFS('NHL2025-26Results'!$C:$C,'NHL2025-26Results'!$B:$B,A27,'NHL2025-26Results'!$C:$C,"&gt;0")/COUNTIFS('NHL2025-26Results'!$B:$B,A27,'NHL2025-26Results'!$C:$C,"&gt;0")</f>
        <v>4</v>
      </c>
      <c r="Q27" s="14">
        <f>SUMIFS('NHL2025-26Results'!$C:$C,'NHL2025-26Results'!$D:$D,A27,'NHL2025-26Results'!$C:$C,"&gt;0")/COUNTIFS('NHL2025-26Results'!$D:$D,A27,'NHL2025-26Results'!$C:$C,"&gt;0")</f>
        <v>2.9047619047619047</v>
      </c>
      <c r="R27" s="14">
        <f>SUMIFS('NHL2025-26Results'!$E:$E,'NHL2025-26Results'!$B:$B,A27,'NHL2025-26Results'!$E:$E,"&gt;0")/COUNTIFS('NHL2025-26Results'!$B:$B,A27,'NHL2025-26Results'!$E:$E,"&gt;0")</f>
        <v>2.4642857142857144</v>
      </c>
    </row>
    <row r="28" spans="1:18" x14ac:dyDescent="0.2">
      <c r="A28" s="4" t="s">
        <v>19</v>
      </c>
      <c r="B28">
        <f>SUM(Table1[[#This Row],[W]:[OTL]])</f>
        <v>51</v>
      </c>
      <c r="C28">
        <f>COUNTIF(NHL2025_26Results[Winning Team],Standings!A28)</f>
        <v>24</v>
      </c>
      <c r="D28">
        <f>COUNTIFS('NHL2025-26Results'!$H:$H,A28,'NHL2025-26Results'!$F:$F,"")</f>
        <v>18</v>
      </c>
      <c r="E28">
        <f>COUNTIFS('NHL2025-26Results'!$F:$F,"OT",'NHL2025-26Results'!$H:$H,A28) + COUNTIFS('NHL2025-26Results'!$F:$F,"SO",'NHL2025-26Results'!$H:$H,A28)</f>
        <v>9</v>
      </c>
      <c r="F28" s="3">
        <f>(Table1[[#This Row],[W]]*2)+Table1[[#This Row],[OTL]]</f>
        <v>57</v>
      </c>
      <c r="G28">
        <f>COUNTIFS('NHL2025-26Results'!$D:$D,A28,'NHL2025-26Results'!$G:$G,A28)</f>
        <v>16</v>
      </c>
      <c r="H28">
        <f>COUNTIFS('NHL2025-26Results'!$D:$D,A28,'NHL2025-26Results'!$H:$H,A28,'NHL2025-26Results'!$F:$F,"")</f>
        <v>7</v>
      </c>
      <c r="I28">
        <f>COUNTIFS('NHL2025-26Results'!$D:$D,A28,'NHL2025-26Results'!$H:$H,A28,'NHL2025-26Results'!$F:$F,"OT") + COUNTIFS('NHL2025-26Results'!$D:$D,A28,'NHL2025-26Results'!$H:$H,A28,'NHL2025-26Results'!$F:$F,"SO")</f>
        <v>6</v>
      </c>
      <c r="J28">
        <f>COUNTIFS('NHL2025-26Results'!$B:$B,A28,'NHL2025-26Results'!$G:$G,A28)</f>
        <v>8</v>
      </c>
      <c r="K28">
        <f>COUNTIFS('NHL2025-26Results'!$B:$B,A28,'NHL2025-26Results'!$H:$H,A28,'NHL2025-26Results'!$F:$F,"")</f>
        <v>11</v>
      </c>
      <c r="L28">
        <f>COUNTIFS('NHL2025-26Results'!$B:$B,A28,'NHL2025-26Results'!$H:$H,A28,'NHL2025-26Results'!$F:$F,"OT") + COUNTIFS('NHL2025-26Results'!$B:$B,A28,'NHL2025-26Results'!$H:$H,A28,'NHL2025-26Results'!$F:$F,"SO")</f>
        <v>3</v>
      </c>
      <c r="M28" s="11">
        <f>Table1[[#This Row],[HomeWins]]/SUM(Table1[[#This Row],[HomeWins]:[HomeOTL]])</f>
        <v>0.55172413793103448</v>
      </c>
      <c r="N28" s="11">
        <f>Table1[[#This Row],[AwayWins]]/SUM(Table1[[#This Row],[AwayWins]:[AwayOTL]])</f>
        <v>0.36363636363636365</v>
      </c>
      <c r="O28" s="14">
        <f>SUMIFS('NHL2025-26Results'!$E:$E,'NHL2025-26Results'!$D:$D,A28,'NHL2025-26Results'!$E:$E,"&gt;0")/COUNTIFS('NHL2025-26Results'!$D:$D,A28,'NHL2025-26Results'!$E:$E,"&gt;0")</f>
        <v>3.5517241379310347</v>
      </c>
      <c r="P28" s="14">
        <f>SUMIFS('NHL2025-26Results'!$C:$C,'NHL2025-26Results'!$B:$B,A28,'NHL2025-26Results'!$C:$C,"&gt;0")/COUNTIFS('NHL2025-26Results'!$B:$B,A28,'NHL2025-26Results'!$C:$C,"&gt;0")</f>
        <v>3.1428571428571428</v>
      </c>
      <c r="Q28" s="14">
        <f>SUMIFS('NHL2025-26Results'!$C:$C,'NHL2025-26Results'!$D:$D,A28,'NHL2025-26Results'!$C:$C,"&gt;0")/COUNTIFS('NHL2025-26Results'!$D:$D,A28,'NHL2025-26Results'!$C:$C,"&gt;0")</f>
        <v>3.5</v>
      </c>
      <c r="R28" s="14">
        <f>SUMIFS('NHL2025-26Results'!$E:$E,'NHL2025-26Results'!$B:$B,A28,'NHL2025-26Results'!$E:$E,"&gt;0")/COUNTIFS('NHL2025-26Results'!$B:$B,A28,'NHL2025-26Results'!$E:$E,"&gt;0")</f>
        <v>3.6818181818181817</v>
      </c>
    </row>
    <row r="29" spans="1:18" x14ac:dyDescent="0.2">
      <c r="A29" t="s">
        <v>55</v>
      </c>
      <c r="B29">
        <f>SUM(Table1[[#This Row],[W]:[OTL]])</f>
        <v>51</v>
      </c>
      <c r="C29">
        <f>COUNTIF(NHL2025_26Results[Winning Team],Standings!A29)</f>
        <v>27</v>
      </c>
      <c r="D29">
        <f>COUNTIFS('NHL2025-26Results'!$H:$H,A29,'NHL2025-26Results'!$F:$F,"")</f>
        <v>20</v>
      </c>
      <c r="E29">
        <f>COUNTIFS('NHL2025-26Results'!$F:$F,"OT",'NHL2025-26Results'!$H:$H,A29) + COUNTIFS('NHL2025-26Results'!$F:$F,"SO",'NHL2025-26Results'!$H:$H,A29)</f>
        <v>4</v>
      </c>
      <c r="F29" s="3">
        <f>(Table1[[#This Row],[W]]*2)+Table1[[#This Row],[OTL]]</f>
        <v>58</v>
      </c>
      <c r="G29">
        <f>COUNTIFS('NHL2025-26Results'!$D:$D,A29,'NHL2025-26Results'!$G:$G,A29)</f>
        <v>15</v>
      </c>
      <c r="H29">
        <f>COUNTIFS('NHL2025-26Results'!$D:$D,A29,'NHL2025-26Results'!$H:$H,A29,'NHL2025-26Results'!$F:$F,"")</f>
        <v>7</v>
      </c>
      <c r="I29">
        <f>COUNTIFS('NHL2025-26Results'!$D:$D,A29,'NHL2025-26Results'!$H:$H,A29,'NHL2025-26Results'!$F:$F,"OT") + COUNTIFS('NHL2025-26Results'!$D:$D,A29,'NHL2025-26Results'!$H:$H,A29,'NHL2025-26Results'!$F:$F,"SO")</f>
        <v>2</v>
      </c>
      <c r="J29">
        <f>COUNTIFS('NHL2025-26Results'!$B:$B,A29,'NHL2025-26Results'!$G:$G,A29)</f>
        <v>12</v>
      </c>
      <c r="K29">
        <f>COUNTIFS('NHL2025-26Results'!$B:$B,A29,'NHL2025-26Results'!$H:$H,A29,'NHL2025-26Results'!$F:$F,"")</f>
        <v>13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0.625</v>
      </c>
      <c r="N29" s="11">
        <f>Table1[[#This Row],[AwayWins]]/SUM(Table1[[#This Row],[AwayWins]:[AwayOTL]])</f>
        <v>0.44444444444444442</v>
      </c>
      <c r="O29" s="14">
        <f>SUMIFS('NHL2025-26Results'!$E:$E,'NHL2025-26Results'!$D:$D,A29,'NHL2025-26Results'!$E:$E,"&gt;0")/COUNTIFS('NHL2025-26Results'!$D:$D,A29,'NHL2025-26Results'!$E:$E,"&gt;0")</f>
        <v>3.4583333333333335</v>
      </c>
      <c r="P29" s="14">
        <f>SUMIFS('NHL2025-26Results'!$C:$C,'NHL2025-26Results'!$B:$B,A29,'NHL2025-26Results'!$C:$C,"&gt;0")/COUNTIFS('NHL2025-26Results'!$B:$B,A29,'NHL2025-26Results'!$C:$C,"&gt;0")</f>
        <v>3.3333333333333335</v>
      </c>
      <c r="Q29" s="14">
        <f>SUMIFS('NHL2025-26Results'!$C:$C,'NHL2025-26Results'!$D:$D,A29,'NHL2025-26Results'!$C:$C,"&gt;0")/COUNTIFS('NHL2025-26Results'!$D:$D,A29,'NHL2025-26Results'!$C:$C,"&gt;0")</f>
        <v>2.6666666666666665</v>
      </c>
      <c r="R29" s="14">
        <f>SUMIFS('NHL2025-26Results'!$E:$E,'NHL2025-26Results'!$B:$B,A29,'NHL2025-26Results'!$E:$E,"&gt;0")/COUNTIFS('NHL2025-26Results'!$B:$B,A29,'NHL2025-26Results'!$E:$E,"&gt;0")</f>
        <v>2.9615384615384617</v>
      </c>
    </row>
    <row r="30" spans="1:18" x14ac:dyDescent="0.2">
      <c r="A30" s="4" t="s">
        <v>38</v>
      </c>
      <c r="B30">
        <f>SUM(Table1[[#This Row],[W]:[OTL]])</f>
        <v>51</v>
      </c>
      <c r="C30">
        <f>COUNTIF(NHL2025_26Results[Winning Team],Standings!A30)</f>
        <v>17</v>
      </c>
      <c r="D30">
        <f>COUNTIFS('NHL2025-26Results'!$H:$H,A30,'NHL2025-26Results'!$F:$F,"")</f>
        <v>29</v>
      </c>
      <c r="E30">
        <f>COUNTIFS('NHL2025-26Results'!$F:$F,"OT",'NHL2025-26Results'!$H:$H,A30) + COUNTIFS('NHL2025-26Results'!$F:$F,"SO",'NHL2025-26Results'!$H:$H,A30)</f>
        <v>5</v>
      </c>
      <c r="F30" s="3">
        <f>(Table1[[#This Row],[W]]*2)+Table1[[#This Row],[OTL]]</f>
        <v>39</v>
      </c>
      <c r="G30">
        <f>COUNTIFS('NHL2025-26Results'!$D:$D,A30,'NHL2025-26Results'!$G:$G,A30)</f>
        <v>5</v>
      </c>
      <c r="H30">
        <f>COUNTIFS('NHL2025-26Results'!$D:$D,A30,'NHL2025-26Results'!$H:$H,A30,'NHL2025-26Results'!$F:$F,"")</f>
        <v>15</v>
      </c>
      <c r="I30">
        <f>COUNTIFS('NHL2025-26Results'!$D:$D,A30,'NHL2025-26Results'!$H:$H,A30,'NHL2025-26Results'!$F:$F,"OT") + COUNTIFS('NHL2025-26Results'!$D:$D,A30,'NHL2025-26Results'!$H:$H,A30,'NHL2025-26Results'!$F:$F,"SO")</f>
        <v>3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14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0.21739130434782608</v>
      </c>
      <c r="N30" s="11">
        <f>Table1[[#This Row],[AwayWins]]/SUM(Table1[[#This Row],[AwayWins]:[AwayOTL]])</f>
        <v>0.42857142857142855</v>
      </c>
      <c r="O30" s="14">
        <f>SUMIFS('NHL2025-26Results'!$E:$E,'NHL2025-26Results'!$D:$D,A30,'NHL2025-26Results'!$E:$E,"&gt;0")/COUNTIFS('NHL2025-26Results'!$D:$D,A30,'NHL2025-26Results'!$E:$E,"&gt;0")</f>
        <v>3</v>
      </c>
      <c r="P30" s="14">
        <f>SUMIFS('NHL2025-26Results'!$C:$C,'NHL2025-26Results'!$B:$B,A30,'NHL2025-26Results'!$C:$C,"&gt;0")/COUNTIFS('NHL2025-26Results'!$B:$B,A30,'NHL2025-26Results'!$C:$C,"&gt;0")</f>
        <v>2.8518518518518516</v>
      </c>
      <c r="Q30" s="14">
        <f>SUMIFS('NHL2025-26Results'!$C:$C,'NHL2025-26Results'!$D:$D,A30,'NHL2025-26Results'!$C:$C,"&gt;0")/COUNTIFS('NHL2025-26Results'!$D:$D,A30,'NHL2025-26Results'!$C:$C,"&gt;0")</f>
        <v>4</v>
      </c>
      <c r="R30" s="14">
        <f>SUMIFS('NHL2025-26Results'!$E:$E,'NHL2025-26Results'!$B:$B,A30,'NHL2025-26Results'!$E:$E,"&gt;0")/COUNTIFS('NHL2025-26Results'!$B:$B,A30,'NHL2025-26Results'!$E:$E,"&gt;0")</f>
        <v>3.5555555555555554</v>
      </c>
    </row>
    <row r="31" spans="1:18" x14ac:dyDescent="0.2">
      <c r="A31" s="4" t="s">
        <v>20</v>
      </c>
      <c r="B31">
        <f>SUM(Table1[[#This Row],[W]:[OTL]])</f>
        <v>50</v>
      </c>
      <c r="C31">
        <f>COUNTIF(NHL2025_26Results[Winning Team],Standings!A31)</f>
        <v>25</v>
      </c>
      <c r="D31">
        <f>COUNTIFS('NHL2025-26Results'!$H:$H,A31,'NHL2025-26Results'!$F:$F,"")</f>
        <v>13</v>
      </c>
      <c r="E31">
        <f>COUNTIFS('NHL2025-26Results'!$F:$F,"OT",'NHL2025-26Results'!$H:$H,A31) + COUNTIFS('NHL2025-26Results'!$F:$F,"SO",'NHL2025-26Results'!$H:$H,A31)</f>
        <v>12</v>
      </c>
      <c r="F31" s="3">
        <f>(Table1[[#This Row],[W]]*2)+Table1[[#This Row],[OTL]]</f>
        <v>62</v>
      </c>
      <c r="G31">
        <f>COUNTIFS('NHL2025-26Results'!$D:$D,A31,'NHL2025-26Results'!$G:$G,A31)</f>
        <v>12</v>
      </c>
      <c r="H31">
        <f>COUNTIFS('NHL2025-26Results'!$D:$D,A31,'NHL2025-26Results'!$H:$H,A31,'NHL2025-26Results'!$F:$F,"")</f>
        <v>7</v>
      </c>
      <c r="I31">
        <f>COUNTIFS('NHL2025-26Results'!$D:$D,A31,'NHL2025-26Results'!$H:$H,A31,'NHL2025-26Results'!$F:$F,"OT") + COUNTIFS('NHL2025-26Results'!$D:$D,A31,'NHL2025-26Results'!$H:$H,A31,'NHL2025-26Results'!$F:$F,"SO")</f>
        <v>6</v>
      </c>
      <c r="J31">
        <f>COUNTIFS('NHL2025-26Results'!$B:$B,A31,'NHL2025-26Results'!$G:$G,A31)</f>
        <v>13</v>
      </c>
      <c r="K31">
        <f>COUNTIFS('NHL2025-26Results'!$B:$B,A31,'NHL2025-26Results'!$H:$H,A31,'NHL2025-26Results'!$F:$F,"")</f>
        <v>6</v>
      </c>
      <c r="L31">
        <f>COUNTIFS('NHL2025-26Results'!$B:$B,A31,'NHL2025-26Results'!$H:$H,A31,'NHL2025-26Results'!$F:$F,"OT") + COUNTIFS('NHL2025-26Results'!$B:$B,A31,'NHL2025-26Results'!$H:$H,A31,'NHL2025-26Results'!$F:$F,"SO")</f>
        <v>6</v>
      </c>
      <c r="M31" s="11">
        <f>Table1[[#This Row],[HomeWins]]/SUM(Table1[[#This Row],[HomeWins]:[HomeOTL]])</f>
        <v>0.48</v>
      </c>
      <c r="N31" s="11">
        <f>Table1[[#This Row],[AwayWins]]/SUM(Table1[[#This Row],[AwayWins]:[AwayOTL]])</f>
        <v>0.52</v>
      </c>
      <c r="O31" s="14">
        <f>SUMIFS('NHL2025-26Results'!$E:$E,'NHL2025-26Results'!$D:$D,A31,'NHL2025-26Results'!$E:$E,"&gt;0")/COUNTIFS('NHL2025-26Results'!$D:$D,A31,'NHL2025-26Results'!$E:$E,"&gt;0")</f>
        <v>3.6</v>
      </c>
      <c r="P31" s="14">
        <f>SUMIFS('NHL2025-26Results'!$C:$C,'NHL2025-26Results'!$B:$B,A31,'NHL2025-26Results'!$C:$C,"&gt;0")/COUNTIFS('NHL2025-26Results'!$B:$B,A31,'NHL2025-26Results'!$C:$C,"&gt;0")</f>
        <v>3.3333333333333335</v>
      </c>
      <c r="Q31" s="14">
        <f>SUMIFS('NHL2025-26Results'!$C:$C,'NHL2025-26Results'!$D:$D,A31,'NHL2025-26Results'!$C:$C,"&gt;0")/COUNTIFS('NHL2025-26Results'!$D:$D,A31,'NHL2025-26Results'!$C:$C,"&gt;0")</f>
        <v>3.4583333333333335</v>
      </c>
      <c r="R31" s="14">
        <f>SUMIFS('NHL2025-26Results'!$E:$E,'NHL2025-26Results'!$B:$B,A31,'NHL2025-26Results'!$E:$E,"&gt;0")/COUNTIFS('NHL2025-26Results'!$B:$B,A31,'NHL2025-26Results'!$E:$E,"&gt;0")</f>
        <v>2.9583333333333335</v>
      </c>
    </row>
    <row r="32" spans="1:18" x14ac:dyDescent="0.2">
      <c r="A32" s="4" t="s">
        <v>22</v>
      </c>
      <c r="B32">
        <f>SUM(Table1[[#This Row],[W]:[OTL]])</f>
        <v>53</v>
      </c>
      <c r="C32">
        <f>COUNTIF(NHL2025_26Results[Winning Team],Standings!A32)</f>
        <v>25</v>
      </c>
      <c r="D32">
        <f>COUNTIFS('NHL2025-26Results'!$H:$H,A32,'NHL2025-26Results'!$F:$F,"")</f>
        <v>21</v>
      </c>
      <c r="E32">
        <f>COUNTIFS('NHL2025-26Results'!$F:$F,"OT",'NHL2025-26Results'!$H:$H,A32) + COUNTIFS('NHL2025-26Results'!$F:$F,"SO",'NHL2025-26Results'!$H:$H,A32)</f>
        <v>7</v>
      </c>
      <c r="F32" s="3">
        <f>(Table1[[#This Row],[W]]*2)+Table1[[#This Row],[OTL]]</f>
        <v>57</v>
      </c>
      <c r="G32">
        <f>COUNTIFS('NHL2025-26Results'!$D:$D,A32,'NHL2025-26Results'!$G:$G,A32)</f>
        <v>14</v>
      </c>
      <c r="H32">
        <f>COUNTIFS('NHL2025-26Results'!$D:$D,A32,'NHL2025-26Results'!$H:$H,A32,'NHL2025-26Results'!$F:$F,"")</f>
        <v>10</v>
      </c>
      <c r="I32">
        <f>COUNTIFS('NHL2025-26Results'!$D:$D,A32,'NHL2025-26Results'!$H:$H,A32,'NHL2025-26Results'!$F:$F,"OT") + COUNTIFS('NHL2025-26Results'!$D:$D,A32,'NHL2025-26Results'!$H:$H,A32,'NHL2025-26Results'!$F:$F,"SO")</f>
        <v>3</v>
      </c>
      <c r="J32">
        <f>COUNTIFS('NHL2025-26Results'!$B:$B,A32,'NHL2025-26Results'!$G:$G,A32)</f>
        <v>11</v>
      </c>
      <c r="K32">
        <f>COUNTIFS('NHL2025-26Results'!$B:$B,A32,'NHL2025-26Results'!$H:$H,A32,'NHL2025-26Results'!$F:$F,"")</f>
        <v>11</v>
      </c>
      <c r="L32">
        <f>COUNTIFS('NHL2025-26Results'!$B:$B,A32,'NHL2025-26Results'!$H:$H,A32,'NHL2025-26Results'!$F:$F,"OT") + COUNTIFS('NHL2025-26Results'!$B:$B,A32,'NHL2025-26Results'!$H:$H,A32,'NHL2025-26Results'!$F:$F,"SO")</f>
        <v>4</v>
      </c>
      <c r="M32" s="11">
        <f>Table1[[#This Row],[HomeWins]]/SUM(Table1[[#This Row],[HomeWins]:[HomeOTL]])</f>
        <v>0.51851851851851849</v>
      </c>
      <c r="N32" s="11">
        <f>Table1[[#This Row],[AwayWins]]/SUM(Table1[[#This Row],[AwayWins]:[AwayOTL]])</f>
        <v>0.42307692307692307</v>
      </c>
      <c r="O32" s="14">
        <f>SUMIFS('NHL2025-26Results'!$E:$E,'NHL2025-26Results'!$D:$D,A32,'NHL2025-26Results'!$E:$E,"&gt;0")/COUNTIFS('NHL2025-26Results'!$D:$D,A32,'NHL2025-26Results'!$E:$E,"&gt;0")</f>
        <v>3.2222222222222223</v>
      </c>
      <c r="P32" s="14">
        <f>SUMIFS('NHL2025-26Results'!$C:$C,'NHL2025-26Results'!$B:$B,A32,'NHL2025-26Results'!$C:$C,"&gt;0")/COUNTIFS('NHL2025-26Results'!$B:$B,A32,'NHL2025-26Results'!$C:$C,"&gt;0")</f>
        <v>3.4583333333333335</v>
      </c>
      <c r="Q32" s="14">
        <f>SUMIFS('NHL2025-26Results'!$C:$C,'NHL2025-26Results'!$D:$D,A32,'NHL2025-26Results'!$C:$C,"&gt;0")/COUNTIFS('NHL2025-26Results'!$D:$D,A32,'NHL2025-26Results'!$C:$C,"&gt;0")</f>
        <v>3.2</v>
      </c>
      <c r="R32" s="14">
        <f>SUMIFS('NHL2025-26Results'!$E:$E,'NHL2025-26Results'!$B:$B,A32,'NHL2025-26Results'!$E:$E,"&gt;0")/COUNTIFS('NHL2025-26Results'!$B:$B,A32,'NHL2025-26Results'!$E:$E,"&gt;0")</f>
        <v>3.16</v>
      </c>
    </row>
    <row r="33" spans="1:18" x14ac:dyDescent="0.2">
      <c r="A33" s="4" t="s">
        <v>40</v>
      </c>
      <c r="B33">
        <f>SUM(Table1[[#This Row],[W]:[OTL]])</f>
        <v>51</v>
      </c>
      <c r="C33">
        <f>COUNTIF(NHL2025_26Results[Winning Team],Standings!A33)</f>
        <v>20</v>
      </c>
      <c r="D33">
        <f>COUNTIFS('NHL2025-26Results'!$H:$H,A33,'NHL2025-26Results'!$F:$F,"")</f>
        <v>24</v>
      </c>
      <c r="E33">
        <f>COUNTIFS('NHL2025-26Results'!$F:$F,"OT",'NHL2025-26Results'!$H:$H,A33) + COUNTIFS('NHL2025-26Results'!$F:$F,"SO",'NHL2025-26Results'!$H:$H,A33)</f>
        <v>7</v>
      </c>
      <c r="F33" s="3">
        <f>(Table1[[#This Row],[W]]*2)+Table1[[#This Row],[OTL]]</f>
        <v>47</v>
      </c>
      <c r="G33">
        <f>COUNTIFS('NHL2025-26Results'!$D:$D,A33,'NHL2025-26Results'!$G:$G,A33)</f>
        <v>12</v>
      </c>
      <c r="H33">
        <f>COUNTIFS('NHL2025-26Results'!$D:$D,A33,'NHL2025-26Results'!$H:$H,A33,'NHL2025-26Results'!$F:$F,"")</f>
        <v>10</v>
      </c>
      <c r="I33">
        <f>COUNTIFS('NHL2025-26Results'!$D:$D,A33,'NHL2025-26Results'!$H:$H,A33,'NHL2025-26Results'!$F:$F,"OT") + COUNTIFS('NHL2025-26Results'!$D:$D,A33,'NHL2025-26Results'!$H:$H,A33,'NHL2025-26Results'!$F:$F,"SO")</f>
        <v>5</v>
      </c>
      <c r="J33">
        <f>COUNTIFS('NHL2025-26Results'!$B:$B,A33,'NHL2025-26Results'!$G:$G,A33)</f>
        <v>8</v>
      </c>
      <c r="K33">
        <f>COUNTIFS('NHL2025-26Results'!$B:$B,A33,'NHL2025-26Results'!$H:$H,A33,'NHL2025-26Results'!$F:$F,"")</f>
        <v>14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0.44444444444444442</v>
      </c>
      <c r="N33" s="11">
        <f>Table1[[#This Row],[AwayWins]]/SUM(Table1[[#This Row],[AwayWins]:[AwayOTL]])</f>
        <v>0.33333333333333331</v>
      </c>
      <c r="O33" s="14">
        <f>SUMIFS('NHL2025-26Results'!$E:$E,'NHL2025-26Results'!$D:$D,A33,'NHL2025-26Results'!$E:$E,"&gt;0")/COUNTIFS('NHL2025-26Results'!$D:$D,A33,'NHL2025-26Results'!$E:$E,"&gt;0")</f>
        <v>3.44</v>
      </c>
      <c r="P33" s="14">
        <f>SUMIFS('NHL2025-26Results'!$C:$C,'NHL2025-26Results'!$B:$B,A33,'NHL2025-26Results'!$C:$C,"&gt;0")/COUNTIFS('NHL2025-26Results'!$B:$B,A33,'NHL2025-26Results'!$C:$C,"&gt;0")</f>
        <v>3</v>
      </c>
      <c r="Q33" s="14">
        <f>SUMIFS('NHL2025-26Results'!$C:$C,'NHL2025-26Results'!$D:$D,A33,'NHL2025-26Results'!$C:$C,"&gt;0")/COUNTIFS('NHL2025-26Results'!$D:$D,A33,'NHL2025-26Results'!$C:$C,"&gt;0")</f>
        <v>3</v>
      </c>
      <c r="R33" s="14">
        <f>SUMIFS('NHL2025-26Results'!$E:$E,'NHL2025-26Results'!$B:$B,A33,'NHL2025-26Results'!$E:$E,"&gt;0")/COUNTIFS('NHL2025-26Results'!$B:$B,A33,'NHL2025-26Results'!$E:$E,"&gt;0")</f>
        <v>3.2083333333333335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400"/>
  <sheetViews>
    <sheetView tabSelected="1" topLeftCell="A353" zoomScale="67" workbookViewId="0">
      <selection activeCell="J292" sqref="J292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0.79166666666666663</v>
      </c>
      <c r="C3" s="19" t="s">
        <v>36</v>
      </c>
      <c r="D3" s="19" t="s">
        <v>15</v>
      </c>
      <c r="E3" s="19" t="s">
        <v>15</v>
      </c>
      <c r="F3">
        <v>3</v>
      </c>
      <c r="G3">
        <v>4</v>
      </c>
      <c r="H3">
        <v>0.69310000000000005</v>
      </c>
      <c r="I3" s="19" t="s">
        <v>249</v>
      </c>
      <c r="J3" s="19" t="s">
        <v>15</v>
      </c>
      <c r="K3">
        <v>3</v>
      </c>
      <c r="L3">
        <v>2</v>
      </c>
      <c r="M3">
        <v>-0.18</v>
      </c>
      <c r="N3" s="19" t="s">
        <v>15</v>
      </c>
      <c r="O3" s="19" t="s">
        <v>284</v>
      </c>
      <c r="P3" s="19" t="s">
        <v>289</v>
      </c>
      <c r="Q3" s="19" t="s">
        <v>285</v>
      </c>
      <c r="R3" s="19" t="s">
        <v>248</v>
      </c>
      <c r="S3" s="19" t="s">
        <v>248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30</v>
      </c>
      <c r="D4" s="19" t="s">
        <v>12</v>
      </c>
      <c r="E4" s="19" t="s">
        <v>12</v>
      </c>
      <c r="F4">
        <v>1</v>
      </c>
      <c r="G4">
        <v>4</v>
      </c>
      <c r="H4">
        <v>0.89329999999999998</v>
      </c>
      <c r="I4" s="19" t="s">
        <v>249</v>
      </c>
      <c r="J4" s="19" t="s">
        <v>12</v>
      </c>
      <c r="K4">
        <v>3</v>
      </c>
      <c r="L4">
        <v>2</v>
      </c>
      <c r="M4">
        <v>-1.71</v>
      </c>
      <c r="N4" s="19" t="s">
        <v>30</v>
      </c>
      <c r="O4" s="19" t="s">
        <v>288</v>
      </c>
      <c r="P4" s="19" t="s">
        <v>291</v>
      </c>
      <c r="Q4" s="19" t="s">
        <v>285</v>
      </c>
      <c r="R4" s="19" t="s">
        <v>249</v>
      </c>
      <c r="S4" s="19" t="s">
        <v>249</v>
      </c>
      <c r="T4" s="19" t="s">
        <v>286</v>
      </c>
    </row>
    <row r="5" spans="1:20" x14ac:dyDescent="0.2">
      <c r="A5" s="1">
        <v>45995</v>
      </c>
      <c r="B5" s="2">
        <v>0.91666666666666663</v>
      </c>
      <c r="C5" s="19" t="s">
        <v>13</v>
      </c>
      <c r="D5" s="19" t="s">
        <v>10</v>
      </c>
      <c r="E5" s="19" t="s">
        <v>10</v>
      </c>
      <c r="F5">
        <v>2</v>
      </c>
      <c r="G5">
        <v>4</v>
      </c>
      <c r="H5">
        <v>0.61099999999999999</v>
      </c>
      <c r="I5" s="19" t="s">
        <v>249</v>
      </c>
      <c r="J5" s="19" t="s">
        <v>10</v>
      </c>
      <c r="K5">
        <v>3</v>
      </c>
      <c r="L5">
        <v>2</v>
      </c>
      <c r="M5">
        <v>-0.12</v>
      </c>
      <c r="N5" s="19" t="s">
        <v>10</v>
      </c>
      <c r="O5" s="19" t="s">
        <v>287</v>
      </c>
      <c r="P5" s="19" t="s">
        <v>284</v>
      </c>
      <c r="Q5" s="19" t="s">
        <v>285</v>
      </c>
      <c r="R5" s="19" t="s">
        <v>248</v>
      </c>
      <c r="S5" s="19" t="s">
        <v>248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37</v>
      </c>
      <c r="D6" s="19" t="s">
        <v>14</v>
      </c>
      <c r="E6" s="19" t="s">
        <v>37</v>
      </c>
      <c r="F6">
        <v>3</v>
      </c>
      <c r="G6">
        <v>2</v>
      </c>
      <c r="H6">
        <v>0.73029999999999995</v>
      </c>
      <c r="I6" s="19" t="s">
        <v>249</v>
      </c>
      <c r="J6" s="19" t="s">
        <v>37</v>
      </c>
      <c r="K6">
        <v>3</v>
      </c>
      <c r="L6">
        <v>2</v>
      </c>
      <c r="M6">
        <v>0.63</v>
      </c>
      <c r="N6" s="19" t="s">
        <v>14</v>
      </c>
      <c r="O6" s="19" t="s">
        <v>291</v>
      </c>
      <c r="P6" s="19" t="s">
        <v>289</v>
      </c>
      <c r="Q6" s="19" t="s">
        <v>285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0.875</v>
      </c>
      <c r="C7" s="19" t="s">
        <v>17</v>
      </c>
      <c r="D7" s="19" t="s">
        <v>32</v>
      </c>
      <c r="E7" s="19" t="s">
        <v>17</v>
      </c>
      <c r="F7">
        <v>4</v>
      </c>
      <c r="G7">
        <v>3</v>
      </c>
      <c r="H7">
        <v>0.56730000000000003</v>
      </c>
      <c r="I7" s="19" t="s">
        <v>248</v>
      </c>
      <c r="J7" s="19" t="s">
        <v>32</v>
      </c>
      <c r="K7">
        <v>3</v>
      </c>
      <c r="L7">
        <v>2</v>
      </c>
      <c r="M7">
        <v>-0.14000000000000001</v>
      </c>
      <c r="N7" s="19" t="s">
        <v>17</v>
      </c>
      <c r="O7" s="19" t="s">
        <v>290</v>
      </c>
      <c r="P7" s="19" t="s">
        <v>289</v>
      </c>
      <c r="Q7" s="19" t="s">
        <v>285</v>
      </c>
      <c r="R7" s="19" t="s">
        <v>248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0.875</v>
      </c>
      <c r="C8" s="19" t="s">
        <v>16</v>
      </c>
      <c r="D8" s="19" t="s">
        <v>34</v>
      </c>
      <c r="E8" s="19" t="s">
        <v>34</v>
      </c>
      <c r="F8">
        <v>2</v>
      </c>
      <c r="G8">
        <v>3</v>
      </c>
      <c r="H8">
        <v>0.77159999999999995</v>
      </c>
      <c r="I8" s="19" t="s">
        <v>248</v>
      </c>
      <c r="J8" s="19" t="s">
        <v>34</v>
      </c>
      <c r="K8">
        <v>3</v>
      </c>
      <c r="L8">
        <v>2</v>
      </c>
      <c r="M8">
        <v>-1.1299999999999999</v>
      </c>
      <c r="N8" s="19" t="s">
        <v>16</v>
      </c>
      <c r="O8" s="19" t="s">
        <v>289</v>
      </c>
      <c r="P8" s="19" t="s">
        <v>287</v>
      </c>
      <c r="Q8" s="19" t="s">
        <v>285</v>
      </c>
      <c r="R8" s="19" t="s">
        <v>249</v>
      </c>
      <c r="S8" s="19" t="s">
        <v>249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28</v>
      </c>
      <c r="D9" s="19" t="s">
        <v>26</v>
      </c>
      <c r="E9" s="19" t="s">
        <v>26</v>
      </c>
      <c r="F9">
        <v>2</v>
      </c>
      <c r="G9">
        <v>3</v>
      </c>
      <c r="H9">
        <v>0.67810000000000004</v>
      </c>
      <c r="I9" s="19" t="s">
        <v>249</v>
      </c>
      <c r="J9" s="19" t="s">
        <v>28</v>
      </c>
      <c r="K9">
        <v>3</v>
      </c>
      <c r="L9">
        <v>2</v>
      </c>
      <c r="M9">
        <v>0.28999999999999998</v>
      </c>
      <c r="N9" s="19" t="s">
        <v>28</v>
      </c>
      <c r="O9" s="19" t="s">
        <v>288</v>
      </c>
      <c r="P9" s="19" t="s">
        <v>283</v>
      </c>
      <c r="Q9" s="19" t="s">
        <v>287</v>
      </c>
      <c r="R9" s="19" t="s">
        <v>249</v>
      </c>
      <c r="S9" s="19" t="s">
        <v>248</v>
      </c>
      <c r="T9" s="19" t="s">
        <v>286</v>
      </c>
    </row>
    <row r="10" spans="1:20" x14ac:dyDescent="0.2">
      <c r="A10" s="1">
        <v>45995</v>
      </c>
      <c r="B10" s="2">
        <v>0.8125</v>
      </c>
      <c r="C10" s="19" t="s">
        <v>25</v>
      </c>
      <c r="D10" s="19" t="s">
        <v>19</v>
      </c>
      <c r="E10" s="19" t="s">
        <v>25</v>
      </c>
      <c r="F10">
        <v>4</v>
      </c>
      <c r="G10">
        <v>3</v>
      </c>
      <c r="H10">
        <v>0.59550000000000003</v>
      </c>
      <c r="I10" s="19" t="s">
        <v>249</v>
      </c>
      <c r="J10" s="19" t="s">
        <v>25</v>
      </c>
      <c r="K10">
        <v>3</v>
      </c>
      <c r="L10">
        <v>2</v>
      </c>
      <c r="M10">
        <v>0.93</v>
      </c>
      <c r="N10" s="19" t="s">
        <v>19</v>
      </c>
      <c r="O10" s="19" t="s">
        <v>287</v>
      </c>
      <c r="P10" s="19" t="s">
        <v>283</v>
      </c>
      <c r="Q10" s="19" t="s">
        <v>285</v>
      </c>
      <c r="R10" s="19" t="s">
        <v>249</v>
      </c>
      <c r="S10" s="19" t="s">
        <v>249</v>
      </c>
      <c r="T10" s="19" t="s">
        <v>286</v>
      </c>
    </row>
    <row r="11" spans="1:20" x14ac:dyDescent="0.2">
      <c r="A11" s="1">
        <v>45995</v>
      </c>
      <c r="B11" s="2">
        <v>0.79166666666666663</v>
      </c>
      <c r="C11" s="19" t="s">
        <v>11</v>
      </c>
      <c r="D11" s="19" t="s">
        <v>29</v>
      </c>
      <c r="E11" s="19" t="s">
        <v>11</v>
      </c>
      <c r="F11">
        <v>5</v>
      </c>
      <c r="G11">
        <v>4</v>
      </c>
      <c r="H11">
        <v>0.54590000000000005</v>
      </c>
      <c r="I11" s="19" t="s">
        <v>249</v>
      </c>
      <c r="J11" s="19" t="s">
        <v>11</v>
      </c>
      <c r="K11">
        <v>3</v>
      </c>
      <c r="L11">
        <v>2</v>
      </c>
      <c r="M11">
        <v>0.71</v>
      </c>
      <c r="N11" s="19" t="s">
        <v>29</v>
      </c>
      <c r="O11" s="19" t="s">
        <v>287</v>
      </c>
      <c r="P11" s="19" t="s">
        <v>284</v>
      </c>
      <c r="Q11" s="19" t="s">
        <v>287</v>
      </c>
      <c r="R11" s="19" t="s">
        <v>249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0.91666666666666663</v>
      </c>
      <c r="C12" s="19" t="s">
        <v>31</v>
      </c>
      <c r="D12" s="19" t="s">
        <v>22</v>
      </c>
      <c r="E12" s="19" t="s">
        <v>22</v>
      </c>
      <c r="F12">
        <v>4</v>
      </c>
      <c r="G12">
        <v>5</v>
      </c>
      <c r="H12">
        <v>0.6381</v>
      </c>
      <c r="I12" s="19" t="s">
        <v>249</v>
      </c>
      <c r="J12" s="19" t="s">
        <v>22</v>
      </c>
      <c r="K12">
        <v>3</v>
      </c>
      <c r="L12">
        <v>2</v>
      </c>
      <c r="M12">
        <v>-0.77</v>
      </c>
      <c r="N12" s="19" t="s">
        <v>31</v>
      </c>
      <c r="O12" s="19" t="s">
        <v>289</v>
      </c>
      <c r="P12" s="19" t="s">
        <v>291</v>
      </c>
      <c r="Q12" s="19" t="s">
        <v>287</v>
      </c>
      <c r="R12" s="19" t="s">
        <v>249</v>
      </c>
      <c r="S12" s="19" t="s">
        <v>249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0.875</v>
      </c>
      <c r="C14" s="19" t="s">
        <v>38</v>
      </c>
      <c r="D14" s="19" t="s">
        <v>55</v>
      </c>
      <c r="E14" s="19" t="s">
        <v>55</v>
      </c>
      <c r="F14">
        <v>3</v>
      </c>
      <c r="G14">
        <v>4</v>
      </c>
      <c r="H14">
        <v>0.6179</v>
      </c>
      <c r="I14" s="19" t="s">
        <v>249</v>
      </c>
      <c r="J14" s="19" t="s">
        <v>55</v>
      </c>
      <c r="K14">
        <v>3</v>
      </c>
      <c r="L14">
        <v>2</v>
      </c>
      <c r="M14">
        <v>-0.73</v>
      </c>
      <c r="N14" s="19" t="s">
        <v>55</v>
      </c>
      <c r="O14" s="19" t="s">
        <v>287</v>
      </c>
      <c r="P14" s="19" t="s">
        <v>289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0.79166666666666663</v>
      </c>
      <c r="C16" s="19" t="s">
        <v>40</v>
      </c>
      <c r="D16" s="19" t="s">
        <v>23</v>
      </c>
      <c r="E16" s="19" t="s">
        <v>40</v>
      </c>
      <c r="F16">
        <v>4</v>
      </c>
      <c r="G16">
        <v>3</v>
      </c>
      <c r="H16">
        <v>0.70760000000000001</v>
      </c>
      <c r="I16" s="19" t="s">
        <v>249</v>
      </c>
      <c r="J16" s="19" t="s">
        <v>40</v>
      </c>
      <c r="K16">
        <v>3</v>
      </c>
      <c r="L16">
        <v>2</v>
      </c>
      <c r="M16">
        <v>0.22</v>
      </c>
      <c r="N16" s="19" t="s">
        <v>40</v>
      </c>
      <c r="O16" s="19" t="s">
        <v>289</v>
      </c>
      <c r="P16" s="19" t="s">
        <v>287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0.91666666666666663</v>
      </c>
      <c r="C17" s="19" t="s">
        <v>17</v>
      </c>
      <c r="D17" s="19" t="s">
        <v>40</v>
      </c>
      <c r="E17" s="19" t="s">
        <v>17</v>
      </c>
      <c r="F17">
        <v>4</v>
      </c>
      <c r="G17">
        <v>3</v>
      </c>
      <c r="H17">
        <v>0.78990000000000005</v>
      </c>
      <c r="I17" s="19" t="s">
        <v>249</v>
      </c>
      <c r="J17" s="19" t="s">
        <v>40</v>
      </c>
      <c r="K17">
        <v>3</v>
      </c>
      <c r="L17">
        <v>2</v>
      </c>
      <c r="M17">
        <v>-0.33</v>
      </c>
      <c r="N17" s="19" t="s">
        <v>17</v>
      </c>
      <c r="O17" s="19" t="s">
        <v>288</v>
      </c>
      <c r="P17" s="19" t="s">
        <v>284</v>
      </c>
      <c r="Q17" s="19" t="s">
        <v>285</v>
      </c>
      <c r="R17" s="19" t="s">
        <v>248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0.79166666666666663</v>
      </c>
      <c r="C18" s="19" t="s">
        <v>25</v>
      </c>
      <c r="D18" s="19" t="s">
        <v>29</v>
      </c>
      <c r="E18" s="19" t="s">
        <v>25</v>
      </c>
      <c r="F18">
        <v>4</v>
      </c>
      <c r="G18">
        <v>2</v>
      </c>
      <c r="H18">
        <v>0.76490000000000002</v>
      </c>
      <c r="I18" s="19" t="s">
        <v>248</v>
      </c>
      <c r="J18" s="19" t="s">
        <v>25</v>
      </c>
      <c r="K18">
        <v>3</v>
      </c>
      <c r="L18">
        <v>2</v>
      </c>
      <c r="M18">
        <v>1.43</v>
      </c>
      <c r="N18" s="19" t="s">
        <v>25</v>
      </c>
      <c r="O18" s="19" t="s">
        <v>288</v>
      </c>
      <c r="P18" s="19" t="s">
        <v>291</v>
      </c>
      <c r="Q18" s="19" t="s">
        <v>285</v>
      </c>
      <c r="R18" s="19" t="s">
        <v>248</v>
      </c>
      <c r="S18" s="19" t="s">
        <v>248</v>
      </c>
      <c r="T18" s="19" t="s">
        <v>286</v>
      </c>
    </row>
    <row r="19" spans="1:20" x14ac:dyDescent="0.2">
      <c r="A19" s="1">
        <v>45997</v>
      </c>
      <c r="B19" s="2">
        <v>0.64583333333333337</v>
      </c>
      <c r="C19" s="19" t="s">
        <v>11</v>
      </c>
      <c r="D19" s="19" t="s">
        <v>28</v>
      </c>
      <c r="E19" s="19" t="s">
        <v>11</v>
      </c>
      <c r="F19">
        <v>4</v>
      </c>
      <c r="G19">
        <v>3</v>
      </c>
      <c r="H19">
        <v>0.52759999999999996</v>
      </c>
      <c r="I19" s="19" t="s">
        <v>249</v>
      </c>
      <c r="J19" s="19" t="s">
        <v>28</v>
      </c>
      <c r="K19">
        <v>3</v>
      </c>
      <c r="L19">
        <v>2</v>
      </c>
      <c r="M19">
        <v>-0.02</v>
      </c>
      <c r="N19" s="19" t="s">
        <v>11</v>
      </c>
      <c r="O19" s="19" t="s">
        <v>292</v>
      </c>
      <c r="P19" s="19" t="s">
        <v>288</v>
      </c>
      <c r="Q19" s="19" t="s">
        <v>287</v>
      </c>
      <c r="R19" s="19" t="s">
        <v>248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0.79166666666666663</v>
      </c>
      <c r="C20" s="19" t="s">
        <v>16</v>
      </c>
      <c r="D20" s="19" t="s">
        <v>55</v>
      </c>
      <c r="E20" s="19" t="s">
        <v>16</v>
      </c>
      <c r="F20">
        <v>2</v>
      </c>
      <c r="G20">
        <v>0</v>
      </c>
      <c r="H20">
        <v>0.56730000000000003</v>
      </c>
      <c r="I20" s="19" t="s">
        <v>249</v>
      </c>
      <c r="J20" s="19" t="s">
        <v>55</v>
      </c>
      <c r="K20">
        <v>3</v>
      </c>
      <c r="L20">
        <v>2</v>
      </c>
      <c r="M20">
        <v>-0.92</v>
      </c>
      <c r="N20" s="19" t="s">
        <v>16</v>
      </c>
      <c r="O20" s="19" t="s">
        <v>284</v>
      </c>
      <c r="P20" s="19" t="s">
        <v>285</v>
      </c>
      <c r="Q20" s="19" t="s">
        <v>285</v>
      </c>
      <c r="R20" s="19" t="s">
        <v>248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21</v>
      </c>
      <c r="D21" s="19" t="s">
        <v>24</v>
      </c>
      <c r="E21" s="19" t="s">
        <v>21</v>
      </c>
      <c r="F21">
        <v>5</v>
      </c>
      <c r="G21">
        <v>4</v>
      </c>
      <c r="H21">
        <v>0.52739999999999998</v>
      </c>
      <c r="I21" s="19" t="s">
        <v>249</v>
      </c>
      <c r="J21" s="19" t="s">
        <v>21</v>
      </c>
      <c r="K21">
        <v>3</v>
      </c>
      <c r="L21">
        <v>2</v>
      </c>
      <c r="M21">
        <v>7.0000000000000007E-2</v>
      </c>
      <c r="N21" s="19" t="s">
        <v>21</v>
      </c>
      <c r="O21" s="19" t="s">
        <v>289</v>
      </c>
      <c r="P21" s="19" t="s">
        <v>287</v>
      </c>
      <c r="Q21" s="19" t="s">
        <v>285</v>
      </c>
      <c r="R21" s="19" t="s">
        <v>248</v>
      </c>
      <c r="S21" s="19" t="s">
        <v>248</v>
      </c>
      <c r="T21" s="19" t="s">
        <v>286</v>
      </c>
    </row>
    <row r="22" spans="1:20" x14ac:dyDescent="0.2">
      <c r="A22" s="1">
        <v>45997</v>
      </c>
      <c r="B22" s="2">
        <v>0.79166666666666663</v>
      </c>
      <c r="C22" s="19" t="s">
        <v>19</v>
      </c>
      <c r="D22" s="19" t="s">
        <v>18</v>
      </c>
      <c r="E22" s="19" t="s">
        <v>19</v>
      </c>
      <c r="F22">
        <v>4</v>
      </c>
      <c r="G22">
        <v>3</v>
      </c>
      <c r="H22">
        <v>0.60129999999999995</v>
      </c>
      <c r="I22" s="19" t="s">
        <v>249</v>
      </c>
      <c r="J22" s="19" t="s">
        <v>19</v>
      </c>
      <c r="K22">
        <v>3</v>
      </c>
      <c r="L22">
        <v>2</v>
      </c>
      <c r="M22">
        <v>0.33</v>
      </c>
      <c r="N22" s="19" t="s">
        <v>18</v>
      </c>
      <c r="O22" s="19" t="s">
        <v>287</v>
      </c>
      <c r="P22" s="19" t="s">
        <v>284</v>
      </c>
      <c r="Q22" s="19" t="s">
        <v>287</v>
      </c>
      <c r="R22" s="19" t="s">
        <v>249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0.875</v>
      </c>
      <c r="C23" s="19" t="s">
        <v>13</v>
      </c>
      <c r="D23" s="19" t="s">
        <v>10</v>
      </c>
      <c r="E23" s="19" t="s">
        <v>10</v>
      </c>
      <c r="F23">
        <v>2</v>
      </c>
      <c r="G23">
        <v>3</v>
      </c>
      <c r="H23">
        <v>0.7802</v>
      </c>
      <c r="I23" s="19" t="s">
        <v>249</v>
      </c>
      <c r="J23" s="19" t="s">
        <v>10</v>
      </c>
      <c r="K23">
        <v>3</v>
      </c>
      <c r="L23">
        <v>2</v>
      </c>
      <c r="M23">
        <v>-0.17</v>
      </c>
      <c r="N23" s="19" t="s">
        <v>13</v>
      </c>
      <c r="O23" s="19" t="s">
        <v>288</v>
      </c>
      <c r="P23" s="19" t="s">
        <v>285</v>
      </c>
      <c r="Q23" s="19" t="s">
        <v>285</v>
      </c>
      <c r="R23" s="19" t="s">
        <v>249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0.91666666666666663</v>
      </c>
      <c r="C24" s="19" t="s">
        <v>38</v>
      </c>
      <c r="D24" s="19" t="s">
        <v>34</v>
      </c>
      <c r="E24" s="19" t="s">
        <v>34</v>
      </c>
      <c r="F24">
        <v>3</v>
      </c>
      <c r="G24">
        <v>4</v>
      </c>
      <c r="H24">
        <v>0.78480000000000005</v>
      </c>
      <c r="I24" s="19" t="s">
        <v>249</v>
      </c>
      <c r="J24" s="19" t="s">
        <v>34</v>
      </c>
      <c r="K24">
        <v>3</v>
      </c>
      <c r="L24">
        <v>2</v>
      </c>
      <c r="M24">
        <v>-0.77</v>
      </c>
      <c r="N24" s="19" t="s">
        <v>38</v>
      </c>
      <c r="O24" s="19" t="s">
        <v>289</v>
      </c>
      <c r="P24" s="19" t="s">
        <v>284</v>
      </c>
      <c r="Q24" s="19" t="s">
        <v>285</v>
      </c>
      <c r="R24" s="19" t="s">
        <v>249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0.91666666666666663</v>
      </c>
      <c r="C25" s="19" t="s">
        <v>32</v>
      </c>
      <c r="D25" s="19" t="s">
        <v>26</v>
      </c>
      <c r="E25" s="19" t="s">
        <v>26</v>
      </c>
      <c r="F25">
        <v>3</v>
      </c>
      <c r="G25">
        <v>4</v>
      </c>
      <c r="H25">
        <v>0.50860000000000005</v>
      </c>
      <c r="I25" s="19" t="s">
        <v>249</v>
      </c>
      <c r="J25" s="19" t="s">
        <v>32</v>
      </c>
      <c r="K25">
        <v>3</v>
      </c>
      <c r="L25">
        <v>2</v>
      </c>
      <c r="M25">
        <v>0.08</v>
      </c>
      <c r="N25" s="19" t="s">
        <v>26</v>
      </c>
      <c r="O25" s="19" t="s">
        <v>291</v>
      </c>
      <c r="P25" s="19" t="s">
        <v>289</v>
      </c>
      <c r="Q25" s="19" t="s">
        <v>285</v>
      </c>
      <c r="R25" s="19" t="s">
        <v>248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0.79166666666666663</v>
      </c>
      <c r="C26" s="19" t="s">
        <v>37</v>
      </c>
      <c r="D26" s="19" t="s">
        <v>30</v>
      </c>
      <c r="E26" s="19" t="s">
        <v>30</v>
      </c>
      <c r="F26">
        <v>3</v>
      </c>
      <c r="G26">
        <v>4</v>
      </c>
      <c r="H26">
        <v>0.56379999999999997</v>
      </c>
      <c r="I26" s="19" t="s">
        <v>249</v>
      </c>
      <c r="J26" s="19" t="s">
        <v>37</v>
      </c>
      <c r="K26">
        <v>3</v>
      </c>
      <c r="L26">
        <v>2</v>
      </c>
      <c r="M26">
        <v>0.47</v>
      </c>
      <c r="N26" s="19" t="s">
        <v>30</v>
      </c>
      <c r="O26" s="19" t="s">
        <v>285</v>
      </c>
      <c r="P26" s="19" t="s">
        <v>284</v>
      </c>
      <c r="Q26" s="19" t="s">
        <v>285</v>
      </c>
      <c r="R26" s="19" t="s">
        <v>248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0.52083333333333337</v>
      </c>
      <c r="C27" s="19" t="s">
        <v>15</v>
      </c>
      <c r="D27" s="19" t="s">
        <v>12</v>
      </c>
      <c r="E27" s="19" t="s">
        <v>12</v>
      </c>
      <c r="F27">
        <v>2</v>
      </c>
      <c r="G27">
        <v>3</v>
      </c>
      <c r="H27">
        <v>0.58209999999999995</v>
      </c>
      <c r="I27" s="19" t="s">
        <v>249</v>
      </c>
      <c r="J27" s="19" t="s">
        <v>12</v>
      </c>
      <c r="K27">
        <v>3</v>
      </c>
      <c r="L27">
        <v>2</v>
      </c>
      <c r="M27">
        <v>-1.52</v>
      </c>
      <c r="N27" s="19" t="s">
        <v>12</v>
      </c>
      <c r="O27" s="19" t="s">
        <v>284</v>
      </c>
      <c r="P27" s="19" t="s">
        <v>291</v>
      </c>
      <c r="Q27" s="19" t="s">
        <v>287</v>
      </c>
      <c r="R27" s="19" t="s">
        <v>248</v>
      </c>
      <c r="S27" s="19" t="s">
        <v>248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36</v>
      </c>
      <c r="D28" s="19" t="s">
        <v>35</v>
      </c>
      <c r="E28" s="19" t="s">
        <v>36</v>
      </c>
      <c r="F28">
        <v>4</v>
      </c>
      <c r="G28">
        <v>3</v>
      </c>
      <c r="H28">
        <v>0.84889999999999999</v>
      </c>
      <c r="I28" s="19" t="s">
        <v>249</v>
      </c>
      <c r="J28" s="19" t="s">
        <v>36</v>
      </c>
      <c r="K28">
        <v>3</v>
      </c>
      <c r="L28">
        <v>2</v>
      </c>
      <c r="M28">
        <v>0.99</v>
      </c>
      <c r="N28" s="19" t="s">
        <v>35</v>
      </c>
      <c r="O28" s="19" t="s">
        <v>287</v>
      </c>
      <c r="P28" s="19" t="s">
        <v>284</v>
      </c>
      <c r="Q28" s="19" t="s">
        <v>285</v>
      </c>
      <c r="R28" s="19" t="s">
        <v>249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0.79166666666666663</v>
      </c>
      <c r="C29" s="19" t="s">
        <v>18</v>
      </c>
      <c r="D29" s="19" t="s">
        <v>35</v>
      </c>
      <c r="E29" s="19" t="s">
        <v>18</v>
      </c>
      <c r="F29">
        <v>5</v>
      </c>
      <c r="G29">
        <v>3</v>
      </c>
      <c r="H29">
        <v>0.9365</v>
      </c>
      <c r="I29" s="19" t="s">
        <v>249</v>
      </c>
      <c r="J29" s="19" t="s">
        <v>18</v>
      </c>
      <c r="K29">
        <v>3</v>
      </c>
      <c r="L29">
        <v>2</v>
      </c>
      <c r="M29">
        <v>0.85</v>
      </c>
      <c r="N29" s="19" t="s">
        <v>35</v>
      </c>
      <c r="O29" s="19" t="s">
        <v>291</v>
      </c>
      <c r="P29" s="19" t="s">
        <v>289</v>
      </c>
      <c r="Q29" s="19" t="s">
        <v>285</v>
      </c>
      <c r="R29" s="19" t="s">
        <v>249</v>
      </c>
      <c r="S29" s="19" t="s">
        <v>249</v>
      </c>
      <c r="T29" s="19" t="s">
        <v>286</v>
      </c>
    </row>
    <row r="30" spans="1:20" x14ac:dyDescent="0.2">
      <c r="A30" s="1">
        <v>45998</v>
      </c>
      <c r="B30" s="2">
        <v>0.70833333333333337</v>
      </c>
      <c r="C30" s="19" t="s">
        <v>11</v>
      </c>
      <c r="D30" s="19" t="s">
        <v>30</v>
      </c>
      <c r="E30" s="19" t="s">
        <v>30</v>
      </c>
      <c r="F30">
        <v>2</v>
      </c>
      <c r="G30">
        <v>3</v>
      </c>
      <c r="H30">
        <v>0.82069999999999999</v>
      </c>
      <c r="I30" s="19" t="s">
        <v>249</v>
      </c>
      <c r="J30" s="19" t="s">
        <v>30</v>
      </c>
      <c r="K30">
        <v>3</v>
      </c>
      <c r="L30">
        <v>2</v>
      </c>
      <c r="M30">
        <v>-0.56999999999999995</v>
      </c>
      <c r="N30" s="19" t="s">
        <v>11</v>
      </c>
      <c r="O30" s="19" t="s">
        <v>289</v>
      </c>
      <c r="P30" s="19" t="s">
        <v>287</v>
      </c>
      <c r="Q30" s="19" t="s">
        <v>285</v>
      </c>
      <c r="R30" s="19" t="s">
        <v>249</v>
      </c>
      <c r="S30" s="19" t="s">
        <v>249</v>
      </c>
      <c r="T30" s="19" t="s">
        <v>286</v>
      </c>
    </row>
    <row r="31" spans="1:20" x14ac:dyDescent="0.2">
      <c r="A31" s="1">
        <v>45998</v>
      </c>
      <c r="B31" s="2">
        <v>0.79166666666666663</v>
      </c>
      <c r="C31" s="19" t="s">
        <v>22</v>
      </c>
      <c r="D31" s="19" t="s">
        <v>28</v>
      </c>
      <c r="E31" s="19" t="s">
        <v>22</v>
      </c>
      <c r="F31">
        <v>4</v>
      </c>
      <c r="G31">
        <v>3</v>
      </c>
      <c r="H31">
        <v>0.624</v>
      </c>
      <c r="I31" s="19" t="s">
        <v>249</v>
      </c>
      <c r="J31" s="19" t="s">
        <v>22</v>
      </c>
      <c r="K31">
        <v>3</v>
      </c>
      <c r="L31">
        <v>2</v>
      </c>
      <c r="M31">
        <v>1.26</v>
      </c>
      <c r="N31" s="19" t="s">
        <v>22</v>
      </c>
      <c r="O31" s="19" t="s">
        <v>284</v>
      </c>
      <c r="P31" s="19" t="s">
        <v>285</v>
      </c>
      <c r="Q31" s="19" t="s">
        <v>285</v>
      </c>
      <c r="R31" s="19" t="s">
        <v>248</v>
      </c>
      <c r="S31" s="19" t="s">
        <v>248</v>
      </c>
      <c r="T31" s="19" t="s">
        <v>286</v>
      </c>
    </row>
    <row r="32" spans="1:20" x14ac:dyDescent="0.2">
      <c r="A32" s="1">
        <v>45998</v>
      </c>
      <c r="B32" s="2">
        <v>0.79166666666666663</v>
      </c>
      <c r="C32" s="19" t="s">
        <v>15</v>
      </c>
      <c r="D32" s="19" t="s">
        <v>20</v>
      </c>
      <c r="E32" s="19" t="s">
        <v>20</v>
      </c>
      <c r="F32">
        <v>1</v>
      </c>
      <c r="G32">
        <v>3</v>
      </c>
      <c r="H32">
        <v>0.82699999999999996</v>
      </c>
      <c r="I32" s="19" t="s">
        <v>249</v>
      </c>
      <c r="J32" s="19" t="s">
        <v>15</v>
      </c>
      <c r="K32">
        <v>3</v>
      </c>
      <c r="L32">
        <v>2</v>
      </c>
      <c r="M32">
        <v>0.12</v>
      </c>
      <c r="N32" s="19" t="s">
        <v>20</v>
      </c>
      <c r="O32" s="19" t="s">
        <v>284</v>
      </c>
      <c r="P32" s="19" t="s">
        <v>291</v>
      </c>
      <c r="Q32" s="19" t="s">
        <v>287</v>
      </c>
      <c r="R32" s="19" t="s">
        <v>248</v>
      </c>
      <c r="S32" s="19" t="s">
        <v>249</v>
      </c>
      <c r="T32" s="19" t="s">
        <v>286</v>
      </c>
    </row>
    <row r="33" spans="1:20" x14ac:dyDescent="0.2">
      <c r="A33" s="1">
        <v>45998</v>
      </c>
      <c r="B33" s="2">
        <v>0.75</v>
      </c>
      <c r="C33" s="19" t="s">
        <v>39</v>
      </c>
      <c r="D33" s="19" t="s">
        <v>14</v>
      </c>
      <c r="E33" s="19" t="s">
        <v>39</v>
      </c>
      <c r="F33">
        <v>3</v>
      </c>
      <c r="G33">
        <v>2</v>
      </c>
      <c r="H33">
        <v>0.67190000000000005</v>
      </c>
      <c r="I33" s="19" t="s">
        <v>249</v>
      </c>
      <c r="J33" s="19" t="s">
        <v>39</v>
      </c>
      <c r="K33">
        <v>3</v>
      </c>
      <c r="L33">
        <v>2</v>
      </c>
      <c r="M33">
        <v>0.67</v>
      </c>
      <c r="N33" s="19" t="s">
        <v>39</v>
      </c>
      <c r="O33" s="19" t="s">
        <v>291</v>
      </c>
      <c r="P33" s="19" t="s">
        <v>284</v>
      </c>
      <c r="Q33" s="19" t="s">
        <v>287</v>
      </c>
      <c r="R33" s="19" t="s">
        <v>248</v>
      </c>
      <c r="S33" s="19" t="s">
        <v>248</v>
      </c>
      <c r="T33" s="19" t="s">
        <v>286</v>
      </c>
    </row>
    <row r="34" spans="1:20" x14ac:dyDescent="0.2">
      <c r="A34" s="1">
        <v>45998</v>
      </c>
      <c r="B34" s="2">
        <v>0.54166666666666663</v>
      </c>
      <c r="C34" s="19" t="s">
        <v>27</v>
      </c>
      <c r="D34" s="19" t="s">
        <v>12</v>
      </c>
      <c r="E34" s="19" t="s">
        <v>27</v>
      </c>
      <c r="F34">
        <v>4</v>
      </c>
      <c r="G34">
        <v>3</v>
      </c>
      <c r="H34">
        <v>0.57799999999999996</v>
      </c>
      <c r="I34" s="19" t="s">
        <v>248</v>
      </c>
      <c r="J34" s="19" t="s">
        <v>12</v>
      </c>
      <c r="K34">
        <v>3</v>
      </c>
      <c r="L34">
        <v>2</v>
      </c>
      <c r="M34">
        <v>-1.6</v>
      </c>
      <c r="N34" s="19" t="s">
        <v>12</v>
      </c>
      <c r="O34" s="19" t="s">
        <v>284</v>
      </c>
      <c r="P34" s="19" t="s">
        <v>291</v>
      </c>
      <c r="Q34" s="19" t="s">
        <v>285</v>
      </c>
      <c r="R34" s="19" t="s">
        <v>249</v>
      </c>
      <c r="S34" s="19" t="s">
        <v>248</v>
      </c>
      <c r="T34" s="19" t="s">
        <v>286</v>
      </c>
    </row>
    <row r="35" spans="1:20" x14ac:dyDescent="0.2">
      <c r="A35" s="1">
        <v>45998</v>
      </c>
      <c r="B35" s="2">
        <v>0.83333333333333337</v>
      </c>
      <c r="C35" s="19" t="s">
        <v>31</v>
      </c>
      <c r="D35" s="19" t="s">
        <v>10</v>
      </c>
      <c r="E35" s="19" t="s">
        <v>31</v>
      </c>
      <c r="F35">
        <v>5</v>
      </c>
      <c r="G35">
        <v>4</v>
      </c>
      <c r="H35">
        <v>0.68179999999999996</v>
      </c>
      <c r="I35" s="19" t="s">
        <v>249</v>
      </c>
      <c r="J35" s="19" t="s">
        <v>31</v>
      </c>
      <c r="K35">
        <v>3</v>
      </c>
      <c r="L35">
        <v>2</v>
      </c>
      <c r="M35">
        <v>0.42</v>
      </c>
      <c r="N35" s="19" t="s">
        <v>31</v>
      </c>
      <c r="O35" s="19" t="s">
        <v>292</v>
      </c>
      <c r="P35" s="19" t="s">
        <v>287</v>
      </c>
      <c r="Q35" s="19" t="s">
        <v>285</v>
      </c>
      <c r="R35" s="19" t="s">
        <v>248</v>
      </c>
      <c r="S35" s="19" t="s">
        <v>248</v>
      </c>
      <c r="T35" s="19" t="s">
        <v>286</v>
      </c>
    </row>
    <row r="36" spans="1:20" x14ac:dyDescent="0.2">
      <c r="A36" s="1">
        <v>45998</v>
      </c>
      <c r="B36" s="2">
        <v>0.70833333333333337</v>
      </c>
      <c r="C36" s="19" t="s">
        <v>25</v>
      </c>
      <c r="D36" s="19" t="s">
        <v>33</v>
      </c>
      <c r="E36" s="19" t="s">
        <v>25</v>
      </c>
      <c r="F36">
        <v>4</v>
      </c>
      <c r="G36">
        <v>3</v>
      </c>
      <c r="H36">
        <v>0.6341</v>
      </c>
      <c r="I36" s="19" t="s">
        <v>249</v>
      </c>
      <c r="J36" s="19" t="s">
        <v>25</v>
      </c>
      <c r="K36">
        <v>3</v>
      </c>
      <c r="L36">
        <v>2</v>
      </c>
      <c r="M36">
        <v>1.1000000000000001</v>
      </c>
      <c r="N36" s="19" t="s">
        <v>33</v>
      </c>
      <c r="O36" s="19" t="s">
        <v>287</v>
      </c>
      <c r="P36" s="19" t="s">
        <v>289</v>
      </c>
      <c r="Q36" s="19" t="s">
        <v>285</v>
      </c>
      <c r="R36" s="19" t="s">
        <v>249</v>
      </c>
      <c r="S36" s="19" t="s">
        <v>249</v>
      </c>
      <c r="T36" s="19" t="s">
        <v>286</v>
      </c>
    </row>
    <row r="37" spans="1:20" x14ac:dyDescent="0.2">
      <c r="A37" s="1">
        <v>45999</v>
      </c>
      <c r="B37" s="2">
        <v>0.875</v>
      </c>
      <c r="C37" s="19" t="s">
        <v>55</v>
      </c>
      <c r="D37" s="19" t="s">
        <v>13</v>
      </c>
      <c r="E37" s="19" t="s">
        <v>13</v>
      </c>
      <c r="F37">
        <v>3</v>
      </c>
      <c r="G37">
        <v>4</v>
      </c>
      <c r="H37">
        <v>0.58199999999999996</v>
      </c>
      <c r="I37" s="19" t="s">
        <v>249</v>
      </c>
      <c r="J37" s="19" t="s">
        <v>55</v>
      </c>
      <c r="K37">
        <v>3</v>
      </c>
      <c r="L37">
        <v>2</v>
      </c>
      <c r="M37">
        <v>0.17</v>
      </c>
      <c r="N37" s="19" t="s">
        <v>13</v>
      </c>
      <c r="O37" s="19" t="s">
        <v>284</v>
      </c>
      <c r="P37" s="19" t="s">
        <v>289</v>
      </c>
      <c r="Q37" s="19" t="s">
        <v>285</v>
      </c>
      <c r="R37" s="19" t="s">
        <v>248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38</v>
      </c>
      <c r="D38" s="19" t="s">
        <v>26</v>
      </c>
      <c r="E38" s="19" t="s">
        <v>26</v>
      </c>
      <c r="F38">
        <v>2</v>
      </c>
      <c r="G38">
        <v>4</v>
      </c>
      <c r="H38">
        <v>0.76849999999999996</v>
      </c>
      <c r="I38" s="19" t="s">
        <v>249</v>
      </c>
      <c r="J38" s="19" t="s">
        <v>26</v>
      </c>
      <c r="K38">
        <v>3</v>
      </c>
      <c r="L38">
        <v>2</v>
      </c>
      <c r="M38">
        <v>-0.03</v>
      </c>
      <c r="N38" s="19" t="s">
        <v>26</v>
      </c>
      <c r="O38" s="19" t="s">
        <v>285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0.8125</v>
      </c>
      <c r="C39" s="19" t="s">
        <v>19</v>
      </c>
      <c r="D39" s="19" t="s">
        <v>37</v>
      </c>
      <c r="E39" s="19" t="s">
        <v>37</v>
      </c>
      <c r="F39">
        <v>3</v>
      </c>
      <c r="G39">
        <v>4</v>
      </c>
      <c r="H39">
        <v>0.58630000000000004</v>
      </c>
      <c r="I39" s="19" t="s">
        <v>249</v>
      </c>
      <c r="J39" s="19" t="s">
        <v>37</v>
      </c>
      <c r="K39">
        <v>3</v>
      </c>
      <c r="L39">
        <v>2</v>
      </c>
      <c r="M39">
        <v>-0.65</v>
      </c>
      <c r="N39" s="19" t="s">
        <v>19</v>
      </c>
      <c r="O39" s="19" t="s">
        <v>284</v>
      </c>
      <c r="P39" s="19" t="s">
        <v>285</v>
      </c>
      <c r="Q39" s="19" t="s">
        <v>285</v>
      </c>
      <c r="R39" s="19" t="s">
        <v>249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16</v>
      </c>
      <c r="D40" s="19" t="s">
        <v>23</v>
      </c>
      <c r="E40" s="19" t="s">
        <v>23</v>
      </c>
      <c r="F40">
        <v>3</v>
      </c>
      <c r="G40">
        <v>4</v>
      </c>
      <c r="H40">
        <v>0.5736</v>
      </c>
      <c r="I40" s="19" t="s">
        <v>249</v>
      </c>
      <c r="J40" s="19" t="s">
        <v>23</v>
      </c>
      <c r="K40">
        <v>3</v>
      </c>
      <c r="L40">
        <v>2</v>
      </c>
      <c r="M40">
        <v>-0.22</v>
      </c>
      <c r="N40" s="19" t="s">
        <v>16</v>
      </c>
      <c r="O40" s="19" t="s">
        <v>292</v>
      </c>
      <c r="P40" s="19" t="s">
        <v>289</v>
      </c>
      <c r="Q40" s="19" t="s">
        <v>285</v>
      </c>
      <c r="R40" s="19" t="s">
        <v>249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0.91666666666666663</v>
      </c>
      <c r="C41" s="19" t="s">
        <v>32</v>
      </c>
      <c r="D41" s="19" t="s">
        <v>34</v>
      </c>
      <c r="E41" s="19" t="s">
        <v>34</v>
      </c>
      <c r="F41">
        <v>2</v>
      </c>
      <c r="G41">
        <v>3</v>
      </c>
      <c r="H41">
        <v>0.7</v>
      </c>
      <c r="I41" s="19" t="s">
        <v>249</v>
      </c>
      <c r="J41" s="19" t="s">
        <v>34</v>
      </c>
      <c r="K41">
        <v>3</v>
      </c>
      <c r="L41">
        <v>2</v>
      </c>
      <c r="M41">
        <v>-0.48</v>
      </c>
      <c r="N41" s="19" t="s">
        <v>34</v>
      </c>
      <c r="O41" s="19" t="s">
        <v>287</v>
      </c>
      <c r="P41" s="19" t="s">
        <v>289</v>
      </c>
      <c r="Q41" s="19" t="s">
        <v>285</v>
      </c>
      <c r="R41" s="19" t="s">
        <v>248</v>
      </c>
      <c r="S41" s="19" t="s">
        <v>248</v>
      </c>
      <c r="T41" s="19" t="s">
        <v>286</v>
      </c>
    </row>
    <row r="42" spans="1:20" x14ac:dyDescent="0.2">
      <c r="A42" s="1">
        <v>46000</v>
      </c>
      <c r="B42" s="2">
        <v>0.79166666666666663</v>
      </c>
      <c r="C42" s="19" t="s">
        <v>27</v>
      </c>
      <c r="D42" s="19" t="s">
        <v>33</v>
      </c>
      <c r="E42" s="19" t="s">
        <v>27</v>
      </c>
      <c r="F42">
        <v>4</v>
      </c>
      <c r="G42">
        <v>3</v>
      </c>
      <c r="H42">
        <v>0.60860000000000003</v>
      </c>
      <c r="I42" s="19" t="s">
        <v>249</v>
      </c>
      <c r="J42" s="19" t="s">
        <v>27</v>
      </c>
      <c r="K42">
        <v>3</v>
      </c>
      <c r="L42">
        <v>2</v>
      </c>
      <c r="M42">
        <v>0.41</v>
      </c>
      <c r="N42" s="19" t="s">
        <v>27</v>
      </c>
      <c r="O42" s="19" t="s">
        <v>289</v>
      </c>
      <c r="P42" s="19" t="s">
        <v>287</v>
      </c>
      <c r="Q42" s="19" t="s">
        <v>285</v>
      </c>
      <c r="R42" s="19" t="s">
        <v>248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0.79166666666666663</v>
      </c>
      <c r="C43" s="19" t="s">
        <v>18</v>
      </c>
      <c r="D43" s="19" t="s">
        <v>37</v>
      </c>
      <c r="E43" s="19" t="s">
        <v>37</v>
      </c>
      <c r="F43">
        <v>3</v>
      </c>
      <c r="G43">
        <v>4</v>
      </c>
      <c r="H43">
        <v>0.62790000000000001</v>
      </c>
      <c r="I43" s="19" t="s">
        <v>249</v>
      </c>
      <c r="J43" s="19" t="s">
        <v>37</v>
      </c>
      <c r="K43">
        <v>3</v>
      </c>
      <c r="L43">
        <v>2</v>
      </c>
      <c r="M43">
        <v>-0.82</v>
      </c>
      <c r="N43" s="19" t="s">
        <v>37</v>
      </c>
      <c r="O43" s="19" t="s">
        <v>287</v>
      </c>
      <c r="P43" s="19" t="s">
        <v>288</v>
      </c>
      <c r="Q43" s="19" t="s">
        <v>285</v>
      </c>
      <c r="R43" s="19" t="s">
        <v>248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0.875</v>
      </c>
      <c r="C44" s="19" t="s">
        <v>17</v>
      </c>
      <c r="D44" s="19" t="s">
        <v>23</v>
      </c>
      <c r="E44" s="19" t="s">
        <v>17</v>
      </c>
      <c r="F44">
        <v>5</v>
      </c>
      <c r="G44">
        <v>4</v>
      </c>
      <c r="H44">
        <v>0.64319999999999999</v>
      </c>
      <c r="I44" s="19" t="s">
        <v>248</v>
      </c>
      <c r="J44" s="19" t="s">
        <v>17</v>
      </c>
      <c r="K44">
        <v>3</v>
      </c>
      <c r="L44">
        <v>2</v>
      </c>
      <c r="M44">
        <v>0.31</v>
      </c>
      <c r="N44" s="19" t="s">
        <v>23</v>
      </c>
      <c r="O44" s="19" t="s">
        <v>291</v>
      </c>
      <c r="P44" s="19" t="s">
        <v>289</v>
      </c>
      <c r="Q44" s="19" t="s">
        <v>287</v>
      </c>
      <c r="R44" s="19" t="s">
        <v>249</v>
      </c>
      <c r="S44" s="19" t="s">
        <v>249</v>
      </c>
      <c r="T44" s="19" t="s">
        <v>286</v>
      </c>
    </row>
    <row r="45" spans="1:20" x14ac:dyDescent="0.2">
      <c r="A45" s="1">
        <v>46000</v>
      </c>
      <c r="B45" s="2">
        <v>0.79166666666666663</v>
      </c>
      <c r="C45" s="19" t="s">
        <v>30</v>
      </c>
      <c r="D45" s="19" t="s">
        <v>20</v>
      </c>
      <c r="E45" s="19" t="s">
        <v>20</v>
      </c>
      <c r="F45">
        <v>2</v>
      </c>
      <c r="G45">
        <v>3</v>
      </c>
      <c r="H45">
        <v>0.55740000000000001</v>
      </c>
      <c r="I45" s="19" t="s">
        <v>248</v>
      </c>
      <c r="J45" s="19" t="s">
        <v>30</v>
      </c>
      <c r="K45">
        <v>3</v>
      </c>
      <c r="L45">
        <v>2</v>
      </c>
      <c r="M45">
        <v>0.15</v>
      </c>
      <c r="N45" s="19" t="s">
        <v>30</v>
      </c>
      <c r="O45" s="19" t="s">
        <v>283</v>
      </c>
      <c r="P45" s="19" t="s">
        <v>289</v>
      </c>
      <c r="Q45" s="19" t="s">
        <v>287</v>
      </c>
      <c r="R45" s="19" t="s">
        <v>249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0.79166666666666663</v>
      </c>
      <c r="C46" s="19" t="s">
        <v>36</v>
      </c>
      <c r="D46" s="19" t="s">
        <v>24</v>
      </c>
      <c r="E46" s="19" t="s">
        <v>24</v>
      </c>
      <c r="F46">
        <v>3</v>
      </c>
      <c r="G46">
        <v>4</v>
      </c>
      <c r="H46">
        <v>0.59130000000000005</v>
      </c>
      <c r="I46" s="19" t="s">
        <v>249</v>
      </c>
      <c r="J46" s="19" t="s">
        <v>24</v>
      </c>
      <c r="K46">
        <v>3</v>
      </c>
      <c r="L46">
        <v>2</v>
      </c>
      <c r="M46">
        <v>-0.11</v>
      </c>
      <c r="N46" s="19" t="s">
        <v>24</v>
      </c>
      <c r="O46" s="19" t="s">
        <v>291</v>
      </c>
      <c r="P46" s="19" t="s">
        <v>289</v>
      </c>
      <c r="Q46" s="19" t="s">
        <v>285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0.83333333333333337</v>
      </c>
      <c r="C47" s="19" t="s">
        <v>35</v>
      </c>
      <c r="D47" s="19" t="s">
        <v>21</v>
      </c>
      <c r="E47" s="19" t="s">
        <v>21</v>
      </c>
      <c r="F47">
        <v>3</v>
      </c>
      <c r="G47">
        <v>4</v>
      </c>
      <c r="H47">
        <v>0.73719999999999997</v>
      </c>
      <c r="I47" s="19" t="s">
        <v>249</v>
      </c>
      <c r="J47" s="19" t="s">
        <v>21</v>
      </c>
      <c r="K47">
        <v>3</v>
      </c>
      <c r="L47">
        <v>2</v>
      </c>
      <c r="M47">
        <v>-1.08</v>
      </c>
      <c r="N47" s="19" t="s">
        <v>21</v>
      </c>
      <c r="O47" s="19" t="s">
        <v>284</v>
      </c>
      <c r="P47" s="19" t="s">
        <v>283</v>
      </c>
      <c r="Q47" s="19" t="s">
        <v>285</v>
      </c>
      <c r="R47" s="19" t="s">
        <v>248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0.83333333333333337</v>
      </c>
      <c r="C48" s="19" t="s">
        <v>40</v>
      </c>
      <c r="D48" s="19" t="s">
        <v>39</v>
      </c>
      <c r="E48" s="19" t="s">
        <v>39</v>
      </c>
      <c r="F48">
        <v>4</v>
      </c>
      <c r="G48">
        <v>5</v>
      </c>
      <c r="H48">
        <v>0.66220000000000001</v>
      </c>
      <c r="I48" s="19" t="s">
        <v>249</v>
      </c>
      <c r="J48" s="19" t="s">
        <v>39</v>
      </c>
      <c r="K48">
        <v>3</v>
      </c>
      <c r="L48">
        <v>2</v>
      </c>
      <c r="M48">
        <v>-0.87</v>
      </c>
      <c r="N48" s="19" t="s">
        <v>39</v>
      </c>
      <c r="O48" s="19" t="s">
        <v>291</v>
      </c>
      <c r="P48" s="19" t="s">
        <v>289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0.89583333333333337</v>
      </c>
      <c r="C49" s="19" t="s">
        <v>29</v>
      </c>
      <c r="D49" s="19" t="s">
        <v>12</v>
      </c>
      <c r="E49" s="19" t="s">
        <v>12</v>
      </c>
      <c r="F49">
        <v>1</v>
      </c>
      <c r="G49">
        <v>3</v>
      </c>
      <c r="H49">
        <v>0.93230000000000002</v>
      </c>
      <c r="I49" s="19" t="s">
        <v>249</v>
      </c>
      <c r="J49" s="19" t="s">
        <v>12</v>
      </c>
      <c r="K49">
        <v>3</v>
      </c>
      <c r="L49">
        <v>2</v>
      </c>
      <c r="M49">
        <v>-2.48</v>
      </c>
      <c r="N49" s="19" t="s">
        <v>29</v>
      </c>
      <c r="O49" s="19" t="s">
        <v>289</v>
      </c>
      <c r="P49" s="19" t="s">
        <v>291</v>
      </c>
      <c r="Q49" s="19" t="s">
        <v>287</v>
      </c>
      <c r="R49" s="19" t="s">
        <v>249</v>
      </c>
      <c r="S49" s="19" t="s">
        <v>249</v>
      </c>
      <c r="T49" s="19" t="s">
        <v>286</v>
      </c>
    </row>
    <row r="50" spans="1:20" x14ac:dyDescent="0.2">
      <c r="A50" s="1">
        <v>46000</v>
      </c>
      <c r="B50" s="2">
        <v>0.79166666666666663</v>
      </c>
      <c r="C50" s="19" t="s">
        <v>14</v>
      </c>
      <c r="D50" s="19" t="s">
        <v>31</v>
      </c>
      <c r="E50" s="19" t="s">
        <v>31</v>
      </c>
      <c r="F50">
        <v>3</v>
      </c>
      <c r="G50">
        <v>4</v>
      </c>
      <c r="H50">
        <v>0.58260000000000001</v>
      </c>
      <c r="I50" s="19" t="s">
        <v>249</v>
      </c>
      <c r="J50" s="19" t="s">
        <v>31</v>
      </c>
      <c r="K50">
        <v>3</v>
      </c>
      <c r="L50">
        <v>2</v>
      </c>
      <c r="M50">
        <v>-0.1</v>
      </c>
      <c r="N50" s="19" t="s">
        <v>31</v>
      </c>
      <c r="O50" s="19" t="s">
        <v>291</v>
      </c>
      <c r="P50" s="19" t="s">
        <v>289</v>
      </c>
      <c r="Q50" s="19" t="s">
        <v>287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0.8125</v>
      </c>
      <c r="C51" s="19" t="s">
        <v>25</v>
      </c>
      <c r="D51" s="19" t="s">
        <v>28</v>
      </c>
      <c r="E51" s="19" t="s">
        <v>28</v>
      </c>
      <c r="F51">
        <v>3</v>
      </c>
      <c r="G51">
        <v>4</v>
      </c>
      <c r="H51">
        <v>0.65369999999999995</v>
      </c>
      <c r="I51" s="19" t="s">
        <v>249</v>
      </c>
      <c r="J51" s="19" t="s">
        <v>25</v>
      </c>
      <c r="K51">
        <v>3</v>
      </c>
      <c r="L51">
        <v>2</v>
      </c>
      <c r="M51">
        <v>0.82</v>
      </c>
      <c r="N51" s="19" t="s">
        <v>25</v>
      </c>
      <c r="O51" s="19" t="s">
        <v>289</v>
      </c>
      <c r="P51" s="19" t="s">
        <v>287</v>
      </c>
      <c r="Q51" s="19" t="s">
        <v>285</v>
      </c>
      <c r="R51" s="19" t="s">
        <v>249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0.8125</v>
      </c>
      <c r="C52" s="19" t="s">
        <v>10</v>
      </c>
      <c r="D52" s="19" t="s">
        <v>15</v>
      </c>
      <c r="E52" s="19" t="s">
        <v>15</v>
      </c>
      <c r="F52">
        <v>1</v>
      </c>
      <c r="G52">
        <v>3</v>
      </c>
      <c r="H52">
        <v>0.68720000000000003</v>
      </c>
      <c r="I52" s="19" t="s">
        <v>249</v>
      </c>
      <c r="J52" s="19" t="s">
        <v>15</v>
      </c>
      <c r="K52">
        <v>3</v>
      </c>
      <c r="L52">
        <v>2</v>
      </c>
      <c r="M52">
        <v>-0.34</v>
      </c>
      <c r="N52" s="19" t="s">
        <v>10</v>
      </c>
      <c r="O52" s="19" t="s">
        <v>291</v>
      </c>
      <c r="P52" s="19" t="s">
        <v>285</v>
      </c>
      <c r="Q52" s="19" t="s">
        <v>285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0.875</v>
      </c>
      <c r="C53" s="19" t="s">
        <v>55</v>
      </c>
      <c r="D53" s="19" t="s">
        <v>11</v>
      </c>
      <c r="E53" s="19" t="s">
        <v>55</v>
      </c>
      <c r="F53">
        <v>3</v>
      </c>
      <c r="G53">
        <v>1</v>
      </c>
      <c r="H53">
        <v>0.69720000000000004</v>
      </c>
      <c r="I53" s="19" t="s">
        <v>249</v>
      </c>
      <c r="J53" s="19" t="s">
        <v>55</v>
      </c>
      <c r="K53">
        <v>3</v>
      </c>
      <c r="L53">
        <v>2</v>
      </c>
      <c r="M53">
        <v>0.23</v>
      </c>
      <c r="N53" s="19" t="s">
        <v>11</v>
      </c>
      <c r="O53" s="19" t="s">
        <v>291</v>
      </c>
      <c r="P53" s="19" t="s">
        <v>289</v>
      </c>
      <c r="Q53" s="19" t="s">
        <v>285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0.85416666666666663</v>
      </c>
      <c r="C54" s="19" t="s">
        <v>16</v>
      </c>
      <c r="D54" s="19" t="s">
        <v>26</v>
      </c>
      <c r="E54" s="19" t="s">
        <v>26</v>
      </c>
      <c r="F54">
        <v>3</v>
      </c>
      <c r="G54">
        <v>4</v>
      </c>
      <c r="H54">
        <v>0.5837</v>
      </c>
      <c r="I54" s="19" t="s">
        <v>249</v>
      </c>
      <c r="J54" s="19" t="s">
        <v>26</v>
      </c>
      <c r="K54">
        <v>3</v>
      </c>
      <c r="L54">
        <v>2</v>
      </c>
      <c r="M54">
        <v>-0.15</v>
      </c>
      <c r="N54" s="19" t="s">
        <v>26</v>
      </c>
      <c r="O54" s="19" t="s">
        <v>291</v>
      </c>
      <c r="P54" s="19" t="s">
        <v>289</v>
      </c>
      <c r="Q54" s="19" t="s">
        <v>285</v>
      </c>
      <c r="R54" s="19" t="s">
        <v>248</v>
      </c>
      <c r="S54" s="19" t="s">
        <v>248</v>
      </c>
      <c r="T54" s="19" t="s">
        <v>286</v>
      </c>
    </row>
    <row r="55" spans="1:20" x14ac:dyDescent="0.2">
      <c r="A55" s="1">
        <v>46001</v>
      </c>
      <c r="B55" s="2">
        <v>0.91666666666666663</v>
      </c>
      <c r="C55" s="19" t="s">
        <v>32</v>
      </c>
      <c r="D55" s="19" t="s">
        <v>13</v>
      </c>
      <c r="E55" s="19" t="s">
        <v>13</v>
      </c>
      <c r="F55">
        <v>2</v>
      </c>
      <c r="G55">
        <v>3</v>
      </c>
      <c r="H55">
        <v>0.75129999999999997</v>
      </c>
      <c r="I55" s="19" t="s">
        <v>248</v>
      </c>
      <c r="J55" s="19" t="s">
        <v>13</v>
      </c>
      <c r="K55">
        <v>3</v>
      </c>
      <c r="L55">
        <v>2</v>
      </c>
      <c r="M55">
        <v>-0.71</v>
      </c>
      <c r="N55" s="19" t="s">
        <v>32</v>
      </c>
      <c r="O55" s="19" t="s">
        <v>291</v>
      </c>
      <c r="P55" s="19" t="s">
        <v>284</v>
      </c>
      <c r="Q55" s="19" t="s">
        <v>287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0.875</v>
      </c>
      <c r="C56" s="19" t="s">
        <v>12</v>
      </c>
      <c r="D56" s="19" t="s">
        <v>11</v>
      </c>
      <c r="E56" s="19" t="s">
        <v>12</v>
      </c>
      <c r="F56">
        <v>4</v>
      </c>
      <c r="G56">
        <v>1</v>
      </c>
      <c r="H56">
        <v>0.94750000000000001</v>
      </c>
      <c r="I56" s="19" t="s">
        <v>249</v>
      </c>
      <c r="J56" s="19" t="s">
        <v>12</v>
      </c>
      <c r="K56">
        <v>3</v>
      </c>
      <c r="L56">
        <v>2</v>
      </c>
      <c r="M56">
        <v>1.69</v>
      </c>
      <c r="N56" s="19" t="s">
        <v>12</v>
      </c>
      <c r="O56" s="19" t="s">
        <v>288</v>
      </c>
      <c r="P56" s="19" t="s">
        <v>284</v>
      </c>
      <c r="Q56" s="19" t="s">
        <v>285</v>
      </c>
      <c r="R56" s="19" t="s">
        <v>248</v>
      </c>
      <c r="S56" s="19" t="s">
        <v>248</v>
      </c>
      <c r="T56" s="19" t="s">
        <v>286</v>
      </c>
    </row>
    <row r="57" spans="1:20" x14ac:dyDescent="0.2">
      <c r="A57" s="1">
        <v>46002</v>
      </c>
      <c r="B57" s="2">
        <v>0.79166666666666663</v>
      </c>
      <c r="C57" s="19" t="s">
        <v>27</v>
      </c>
      <c r="D57" s="19" t="s">
        <v>20</v>
      </c>
      <c r="E57" s="19" t="s">
        <v>27</v>
      </c>
      <c r="F57">
        <v>4</v>
      </c>
      <c r="G57">
        <v>3</v>
      </c>
      <c r="H57">
        <v>0.58589999999999998</v>
      </c>
      <c r="I57" s="19" t="s">
        <v>249</v>
      </c>
      <c r="J57" s="19" t="s">
        <v>27</v>
      </c>
      <c r="K57">
        <v>3</v>
      </c>
      <c r="L57">
        <v>2</v>
      </c>
      <c r="M57">
        <v>0.05</v>
      </c>
      <c r="N57" s="19" t="s">
        <v>20</v>
      </c>
      <c r="O57" s="19" t="s">
        <v>284</v>
      </c>
      <c r="P57" s="19" t="s">
        <v>291</v>
      </c>
      <c r="Q57" s="19" t="s">
        <v>287</v>
      </c>
      <c r="R57" s="19" t="s">
        <v>249</v>
      </c>
      <c r="S57" s="19" t="s">
        <v>249</v>
      </c>
      <c r="T57" s="19" t="s">
        <v>286</v>
      </c>
    </row>
    <row r="58" spans="1:20" x14ac:dyDescent="0.2">
      <c r="A58" s="1">
        <v>46002</v>
      </c>
      <c r="B58" s="2">
        <v>0.91666666666666663</v>
      </c>
      <c r="C58" s="19" t="s">
        <v>38</v>
      </c>
      <c r="D58" s="19" t="s">
        <v>23</v>
      </c>
      <c r="E58" s="19" t="s">
        <v>23</v>
      </c>
      <c r="F58">
        <v>3</v>
      </c>
      <c r="G58">
        <v>4</v>
      </c>
      <c r="H58">
        <v>0.61160000000000003</v>
      </c>
      <c r="I58" s="19" t="s">
        <v>249</v>
      </c>
      <c r="J58" s="19" t="s">
        <v>23</v>
      </c>
      <c r="K58">
        <v>3</v>
      </c>
      <c r="L58">
        <v>2</v>
      </c>
      <c r="M58">
        <v>-0.23</v>
      </c>
      <c r="N58" s="19" t="s">
        <v>23</v>
      </c>
      <c r="O58" s="19" t="s">
        <v>284</v>
      </c>
      <c r="P58" s="19" t="s">
        <v>291</v>
      </c>
      <c r="Q58" s="19" t="s">
        <v>285</v>
      </c>
      <c r="R58" s="19" t="s">
        <v>248</v>
      </c>
      <c r="S58" s="19" t="s">
        <v>248</v>
      </c>
      <c r="T58" s="19" t="s">
        <v>286</v>
      </c>
    </row>
    <row r="59" spans="1:20" x14ac:dyDescent="0.2">
      <c r="A59" s="1">
        <v>46002</v>
      </c>
      <c r="B59" s="2">
        <v>0.79166666666666663</v>
      </c>
      <c r="C59" s="19" t="s">
        <v>30</v>
      </c>
      <c r="D59" s="19" t="s">
        <v>31</v>
      </c>
      <c r="E59" s="19" t="s">
        <v>30</v>
      </c>
      <c r="F59">
        <v>6</v>
      </c>
      <c r="G59">
        <v>3</v>
      </c>
      <c r="H59">
        <v>0.52490000000000003</v>
      </c>
      <c r="I59" s="19" t="s">
        <v>249</v>
      </c>
      <c r="J59" s="19" t="s">
        <v>31</v>
      </c>
      <c r="K59">
        <v>3</v>
      </c>
      <c r="L59">
        <v>2</v>
      </c>
      <c r="M59">
        <v>-7.0000000000000007E-2</v>
      </c>
      <c r="N59" s="19" t="s">
        <v>30</v>
      </c>
      <c r="O59" s="19" t="s">
        <v>283</v>
      </c>
      <c r="P59" s="19" t="s">
        <v>284</v>
      </c>
      <c r="Q59" s="19" t="s">
        <v>285</v>
      </c>
      <c r="R59" s="19" t="s">
        <v>248</v>
      </c>
      <c r="S59" s="19" t="s">
        <v>249</v>
      </c>
      <c r="T59" s="19" t="s">
        <v>286</v>
      </c>
    </row>
    <row r="60" spans="1:20" x14ac:dyDescent="0.2">
      <c r="A60" s="1">
        <v>46002</v>
      </c>
      <c r="B60" s="2">
        <v>0.79166666666666663</v>
      </c>
      <c r="C60" s="19" t="s">
        <v>24</v>
      </c>
      <c r="D60" s="19" t="s">
        <v>37</v>
      </c>
      <c r="E60" s="19" t="s">
        <v>37</v>
      </c>
      <c r="F60">
        <v>2</v>
      </c>
      <c r="G60">
        <v>3</v>
      </c>
      <c r="H60">
        <v>0.68110000000000004</v>
      </c>
      <c r="I60" s="19" t="s">
        <v>249</v>
      </c>
      <c r="J60" s="19" t="s">
        <v>37</v>
      </c>
      <c r="K60">
        <v>3</v>
      </c>
      <c r="L60">
        <v>2</v>
      </c>
      <c r="M60">
        <v>-0.61</v>
      </c>
      <c r="N60" s="19" t="s">
        <v>37</v>
      </c>
      <c r="O60" s="19" t="s">
        <v>289</v>
      </c>
      <c r="P60" s="19" t="s">
        <v>1531</v>
      </c>
      <c r="Q60" s="19" t="s">
        <v>285</v>
      </c>
      <c r="R60" s="19" t="s">
        <v>248</v>
      </c>
      <c r="S60" s="19" t="s">
        <v>248</v>
      </c>
      <c r="T60" s="19" t="s">
        <v>286</v>
      </c>
    </row>
    <row r="61" spans="1:20" x14ac:dyDescent="0.2">
      <c r="A61" s="1">
        <v>46002</v>
      </c>
      <c r="B61" s="2">
        <v>0.83333333333333337</v>
      </c>
      <c r="C61" s="19" t="s">
        <v>29</v>
      </c>
      <c r="D61" s="19" t="s">
        <v>35</v>
      </c>
      <c r="E61" s="19" t="s">
        <v>35</v>
      </c>
      <c r="F61">
        <v>2</v>
      </c>
      <c r="G61">
        <v>3</v>
      </c>
      <c r="H61">
        <v>0.59950000000000003</v>
      </c>
      <c r="I61" s="19" t="s">
        <v>249</v>
      </c>
      <c r="J61" s="19" t="s">
        <v>29</v>
      </c>
      <c r="K61">
        <v>3</v>
      </c>
      <c r="L61">
        <v>2</v>
      </c>
      <c r="M61">
        <v>0.34</v>
      </c>
      <c r="N61" s="19" t="s">
        <v>29</v>
      </c>
      <c r="O61" s="19" t="s">
        <v>292</v>
      </c>
      <c r="P61" s="19" t="s">
        <v>284</v>
      </c>
      <c r="Q61" s="19" t="s">
        <v>285</v>
      </c>
      <c r="R61" s="19" t="s">
        <v>249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0.79166666666666663</v>
      </c>
      <c r="C62" s="19" t="s">
        <v>28</v>
      </c>
      <c r="D62" s="19" t="s">
        <v>36</v>
      </c>
      <c r="E62" s="19" t="s">
        <v>28</v>
      </c>
      <c r="F62">
        <v>4</v>
      </c>
      <c r="G62">
        <v>3</v>
      </c>
      <c r="H62">
        <v>0.55700000000000005</v>
      </c>
      <c r="I62" s="19" t="s">
        <v>249</v>
      </c>
      <c r="J62" s="19" t="s">
        <v>36</v>
      </c>
      <c r="K62">
        <v>3</v>
      </c>
      <c r="L62">
        <v>2</v>
      </c>
      <c r="M62">
        <v>-0.03</v>
      </c>
      <c r="N62" s="19" t="s">
        <v>36</v>
      </c>
      <c r="O62" s="19" t="s">
        <v>291</v>
      </c>
      <c r="P62" s="19" t="s">
        <v>288</v>
      </c>
      <c r="Q62" s="19" t="s">
        <v>285</v>
      </c>
      <c r="R62" s="19" t="s">
        <v>249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0.79166666666666663</v>
      </c>
      <c r="C63" s="19" t="s">
        <v>14</v>
      </c>
      <c r="D63" s="19" t="s">
        <v>18</v>
      </c>
      <c r="E63" s="19" t="s">
        <v>18</v>
      </c>
      <c r="F63">
        <v>3</v>
      </c>
      <c r="G63">
        <v>4</v>
      </c>
      <c r="H63">
        <v>0.73029999999999995</v>
      </c>
      <c r="I63" s="19" t="s">
        <v>249</v>
      </c>
      <c r="J63" s="19" t="s">
        <v>14</v>
      </c>
      <c r="K63">
        <v>3</v>
      </c>
      <c r="L63">
        <v>2</v>
      </c>
      <c r="M63">
        <v>0.77</v>
      </c>
      <c r="N63" s="19" t="s">
        <v>18</v>
      </c>
      <c r="O63" s="19" t="s">
        <v>284</v>
      </c>
      <c r="P63" s="19" t="s">
        <v>289</v>
      </c>
      <c r="Q63" s="19" t="s">
        <v>285</v>
      </c>
      <c r="R63" s="19" t="s">
        <v>248</v>
      </c>
      <c r="S63" s="19" t="s">
        <v>249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19</v>
      </c>
      <c r="D64" s="19" t="s">
        <v>33</v>
      </c>
      <c r="E64" s="19" t="s">
        <v>19</v>
      </c>
      <c r="F64">
        <v>5</v>
      </c>
      <c r="G64">
        <v>4</v>
      </c>
      <c r="H64">
        <v>0.66810000000000003</v>
      </c>
      <c r="I64" s="19" t="s">
        <v>249</v>
      </c>
      <c r="J64" s="19" t="s">
        <v>19</v>
      </c>
      <c r="K64">
        <v>3</v>
      </c>
      <c r="L64">
        <v>2</v>
      </c>
      <c r="M64">
        <v>0.46</v>
      </c>
      <c r="N64" s="19" t="s">
        <v>33</v>
      </c>
      <c r="O64" s="19" t="s">
        <v>284</v>
      </c>
      <c r="P64" s="19" t="s">
        <v>291</v>
      </c>
      <c r="Q64" s="19" t="s">
        <v>287</v>
      </c>
      <c r="R64" s="19" t="s">
        <v>249</v>
      </c>
      <c r="S64" s="19" t="s">
        <v>249</v>
      </c>
      <c r="T64" s="19" t="s">
        <v>286</v>
      </c>
    </row>
    <row r="65" spans="1:20" x14ac:dyDescent="0.2">
      <c r="A65" s="1">
        <v>46002</v>
      </c>
      <c r="B65" s="2">
        <v>0.83333333333333337</v>
      </c>
      <c r="C65" s="19" t="s">
        <v>40</v>
      </c>
      <c r="D65" s="19" t="s">
        <v>21</v>
      </c>
      <c r="E65" s="19" t="s">
        <v>40</v>
      </c>
      <c r="F65">
        <v>3</v>
      </c>
      <c r="G65">
        <v>2</v>
      </c>
      <c r="H65">
        <v>0.61360000000000003</v>
      </c>
      <c r="I65" s="19" t="s">
        <v>249</v>
      </c>
      <c r="J65" s="19" t="s">
        <v>21</v>
      </c>
      <c r="K65">
        <v>3</v>
      </c>
      <c r="L65">
        <v>2</v>
      </c>
      <c r="M65">
        <v>-0.28000000000000003</v>
      </c>
      <c r="N65" s="19" t="s">
        <v>21</v>
      </c>
      <c r="O65" s="19" t="s">
        <v>291</v>
      </c>
      <c r="P65" s="19" t="s">
        <v>288</v>
      </c>
      <c r="Q65" s="19" t="s">
        <v>285</v>
      </c>
      <c r="R65" s="19" t="s">
        <v>249</v>
      </c>
      <c r="S65" s="19" t="s">
        <v>248</v>
      </c>
      <c r="T65" s="19" t="s">
        <v>286</v>
      </c>
    </row>
    <row r="66" spans="1:20" x14ac:dyDescent="0.2">
      <c r="A66" s="1">
        <v>46002</v>
      </c>
      <c r="B66" s="2">
        <v>0.79166666666666663</v>
      </c>
      <c r="C66" s="19" t="s">
        <v>22</v>
      </c>
      <c r="D66" s="19" t="s">
        <v>25</v>
      </c>
      <c r="E66" s="19" t="s">
        <v>25</v>
      </c>
      <c r="F66">
        <v>3</v>
      </c>
      <c r="G66">
        <v>4</v>
      </c>
      <c r="H66">
        <v>0.52529999999999999</v>
      </c>
      <c r="I66" s="19" t="s">
        <v>249</v>
      </c>
      <c r="J66" s="19" t="s">
        <v>22</v>
      </c>
      <c r="K66">
        <v>3</v>
      </c>
      <c r="L66">
        <v>2</v>
      </c>
      <c r="M66">
        <v>0.48</v>
      </c>
      <c r="N66" s="19" t="s">
        <v>25</v>
      </c>
      <c r="O66" s="19" t="s">
        <v>284</v>
      </c>
      <c r="P66" s="19" t="s">
        <v>291</v>
      </c>
      <c r="Q66" s="19" t="s">
        <v>287</v>
      </c>
      <c r="R66" s="19" t="s">
        <v>248</v>
      </c>
      <c r="S66" s="19" t="s">
        <v>249</v>
      </c>
      <c r="T66" s="19" t="s">
        <v>286</v>
      </c>
    </row>
    <row r="67" spans="1:20" x14ac:dyDescent="0.2">
      <c r="A67" s="1">
        <v>46002</v>
      </c>
      <c r="B67" s="2">
        <v>0.875</v>
      </c>
      <c r="C67" s="19" t="s">
        <v>17</v>
      </c>
      <c r="D67" s="19" t="s">
        <v>26</v>
      </c>
      <c r="E67" s="19" t="s">
        <v>26</v>
      </c>
      <c r="F67">
        <v>3</v>
      </c>
      <c r="G67">
        <v>4</v>
      </c>
      <c r="H67">
        <v>0.69140000000000001</v>
      </c>
      <c r="I67" s="19" t="s">
        <v>249</v>
      </c>
      <c r="J67" s="19" t="s">
        <v>17</v>
      </c>
      <c r="K67">
        <v>3</v>
      </c>
      <c r="L67">
        <v>2</v>
      </c>
      <c r="M67">
        <v>0.14000000000000001</v>
      </c>
      <c r="N67" s="19" t="s">
        <v>17</v>
      </c>
      <c r="O67" s="19" t="s">
        <v>289</v>
      </c>
      <c r="P67" s="19" t="s">
        <v>287</v>
      </c>
      <c r="Q67" s="19" t="s">
        <v>285</v>
      </c>
      <c r="R67" s="19" t="s">
        <v>249</v>
      </c>
      <c r="S67" s="19" t="s">
        <v>248</v>
      </c>
      <c r="T67" s="19" t="s">
        <v>286</v>
      </c>
    </row>
    <row r="68" spans="1:20" x14ac:dyDescent="0.2">
      <c r="A68" s="1">
        <v>46002</v>
      </c>
      <c r="B68" s="2">
        <v>0.83333333333333337</v>
      </c>
      <c r="C68" s="19" t="s">
        <v>34</v>
      </c>
      <c r="D68" s="19" t="s">
        <v>39</v>
      </c>
      <c r="E68" s="19" t="s">
        <v>34</v>
      </c>
      <c r="F68">
        <v>3</v>
      </c>
      <c r="G68">
        <v>2</v>
      </c>
      <c r="H68">
        <v>0.73089999999999999</v>
      </c>
      <c r="I68" s="19" t="s">
        <v>248</v>
      </c>
      <c r="J68" s="19" t="s">
        <v>39</v>
      </c>
      <c r="K68">
        <v>3</v>
      </c>
      <c r="L68">
        <v>2</v>
      </c>
      <c r="M68">
        <v>-0.66</v>
      </c>
      <c r="N68" s="19" t="s">
        <v>34</v>
      </c>
      <c r="O68" s="19" t="s">
        <v>283</v>
      </c>
      <c r="P68" s="19" t="s">
        <v>284</v>
      </c>
      <c r="Q68" s="19" t="s">
        <v>285</v>
      </c>
      <c r="R68" s="19" t="s">
        <v>248</v>
      </c>
      <c r="S68" s="19" t="s">
        <v>249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0.52083333333333337</v>
      </c>
      <c r="C71" s="19" t="s">
        <v>24</v>
      </c>
      <c r="D71" s="19" t="s">
        <v>31</v>
      </c>
      <c r="E71" s="19" t="s">
        <v>31</v>
      </c>
      <c r="F71">
        <v>3</v>
      </c>
      <c r="G71">
        <v>4</v>
      </c>
      <c r="H71">
        <v>0.55169999999999997</v>
      </c>
      <c r="I71" s="19" t="s">
        <v>249</v>
      </c>
      <c r="J71" s="19" t="s">
        <v>31</v>
      </c>
      <c r="K71">
        <v>3</v>
      </c>
      <c r="L71">
        <v>2</v>
      </c>
      <c r="M71">
        <v>-0.35</v>
      </c>
      <c r="N71" s="19" t="s">
        <v>24</v>
      </c>
      <c r="O71" s="19" t="s">
        <v>289</v>
      </c>
      <c r="P71" s="19" t="s">
        <v>287</v>
      </c>
      <c r="Q71" s="19" t="s">
        <v>285</v>
      </c>
      <c r="R71" s="19" t="s">
        <v>249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0.79166666666666663</v>
      </c>
      <c r="C72" s="19" t="s">
        <v>19</v>
      </c>
      <c r="D72" s="19" t="s">
        <v>17</v>
      </c>
      <c r="E72" s="19" t="s">
        <v>19</v>
      </c>
      <c r="F72">
        <v>4</v>
      </c>
      <c r="G72">
        <v>3</v>
      </c>
      <c r="H72">
        <v>0.55420000000000003</v>
      </c>
      <c r="I72" s="19" t="s">
        <v>249</v>
      </c>
      <c r="J72" s="19" t="s">
        <v>19</v>
      </c>
      <c r="K72">
        <v>3</v>
      </c>
      <c r="L72">
        <v>2</v>
      </c>
      <c r="M72">
        <v>0.22</v>
      </c>
      <c r="N72" s="19" t="s">
        <v>17</v>
      </c>
      <c r="O72" s="19" t="s">
        <v>291</v>
      </c>
      <c r="P72" s="19" t="s">
        <v>288</v>
      </c>
      <c r="Q72" s="19" t="s">
        <v>285</v>
      </c>
      <c r="R72" s="19" t="s">
        <v>249</v>
      </c>
      <c r="S72" s="19" t="s">
        <v>249</v>
      </c>
      <c r="T72" s="19" t="s">
        <v>286</v>
      </c>
    </row>
    <row r="73" spans="1:20" x14ac:dyDescent="0.2">
      <c r="A73" s="1">
        <v>46004</v>
      </c>
      <c r="B73" s="2">
        <v>0.79166666666666663</v>
      </c>
      <c r="C73" s="19" t="s">
        <v>27</v>
      </c>
      <c r="D73" s="19" t="s">
        <v>25</v>
      </c>
      <c r="E73" s="19" t="s">
        <v>25</v>
      </c>
      <c r="F73">
        <v>2</v>
      </c>
      <c r="G73">
        <v>3</v>
      </c>
      <c r="H73">
        <v>0.73609999999999998</v>
      </c>
      <c r="I73" s="19" t="s">
        <v>249</v>
      </c>
      <c r="J73" s="19" t="s">
        <v>25</v>
      </c>
      <c r="K73">
        <v>3</v>
      </c>
      <c r="L73">
        <v>2</v>
      </c>
      <c r="M73">
        <v>-0.39</v>
      </c>
      <c r="N73" s="19" t="s">
        <v>25</v>
      </c>
      <c r="O73" s="19" t="s">
        <v>291</v>
      </c>
      <c r="P73" s="19" t="s">
        <v>289</v>
      </c>
      <c r="Q73" s="19" t="s">
        <v>287</v>
      </c>
      <c r="R73" s="19" t="s">
        <v>248</v>
      </c>
      <c r="S73" s="19" t="s">
        <v>248</v>
      </c>
      <c r="T73" s="19" t="s">
        <v>286</v>
      </c>
    </row>
    <row r="74" spans="1:20" x14ac:dyDescent="0.2">
      <c r="A74" s="1">
        <v>46004</v>
      </c>
      <c r="B74" s="2">
        <v>0.79166666666666663</v>
      </c>
      <c r="C74" s="19" t="s">
        <v>15</v>
      </c>
      <c r="D74" s="19" t="s">
        <v>18</v>
      </c>
      <c r="E74" s="19" t="s">
        <v>18</v>
      </c>
      <c r="F74">
        <v>1</v>
      </c>
      <c r="G74">
        <v>3</v>
      </c>
      <c r="H74">
        <v>0.72430000000000005</v>
      </c>
      <c r="I74" s="19" t="s">
        <v>249</v>
      </c>
      <c r="J74" s="19" t="s">
        <v>15</v>
      </c>
      <c r="K74">
        <v>3</v>
      </c>
      <c r="L74">
        <v>2</v>
      </c>
      <c r="M74">
        <v>0.53</v>
      </c>
      <c r="N74" s="19" t="s">
        <v>15</v>
      </c>
      <c r="O74" s="19" t="s">
        <v>283</v>
      </c>
      <c r="P74" s="19" t="s">
        <v>289</v>
      </c>
      <c r="Q74" s="19" t="s">
        <v>287</v>
      </c>
      <c r="R74" s="19" t="s">
        <v>249</v>
      </c>
      <c r="S74" s="19" t="s">
        <v>248</v>
      </c>
      <c r="T74" s="19" t="s">
        <v>286</v>
      </c>
    </row>
    <row r="75" spans="1:20" x14ac:dyDescent="0.2">
      <c r="A75" s="1">
        <v>46004</v>
      </c>
      <c r="B75" s="2">
        <v>0.83333333333333337</v>
      </c>
      <c r="C75" s="19" t="s">
        <v>39</v>
      </c>
      <c r="D75" s="19" t="s">
        <v>11</v>
      </c>
      <c r="E75" s="19" t="s">
        <v>39</v>
      </c>
      <c r="F75">
        <v>4</v>
      </c>
      <c r="G75">
        <v>3</v>
      </c>
      <c r="H75">
        <v>0.54620000000000002</v>
      </c>
      <c r="I75" s="19" t="s">
        <v>249</v>
      </c>
      <c r="J75" s="19" t="s">
        <v>39</v>
      </c>
      <c r="K75">
        <v>3</v>
      </c>
      <c r="L75">
        <v>2</v>
      </c>
      <c r="M75">
        <v>0.95</v>
      </c>
      <c r="N75" s="19" t="s">
        <v>11</v>
      </c>
      <c r="O75" s="19" t="s">
        <v>285</v>
      </c>
      <c r="P75" s="19" t="s">
        <v>289</v>
      </c>
      <c r="Q75" s="19" t="s">
        <v>285</v>
      </c>
      <c r="R75" s="19" t="s">
        <v>249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0.58333333333333337</v>
      </c>
      <c r="C76" s="19" t="s">
        <v>34</v>
      </c>
      <c r="D76" s="19" t="s">
        <v>36</v>
      </c>
      <c r="E76" s="19" t="s">
        <v>36</v>
      </c>
      <c r="F76">
        <v>3</v>
      </c>
      <c r="G76">
        <v>4</v>
      </c>
      <c r="H76">
        <v>0.67749999999999999</v>
      </c>
      <c r="I76" s="19" t="s">
        <v>248</v>
      </c>
      <c r="J76" s="19" t="s">
        <v>34</v>
      </c>
      <c r="K76">
        <v>3</v>
      </c>
      <c r="L76">
        <v>2</v>
      </c>
      <c r="M76">
        <v>0.41</v>
      </c>
      <c r="N76" s="19" t="s">
        <v>34</v>
      </c>
      <c r="O76" s="19" t="s">
        <v>291</v>
      </c>
      <c r="P76" s="19" t="s">
        <v>284</v>
      </c>
      <c r="Q76" s="19" t="s">
        <v>285</v>
      </c>
      <c r="R76" s="19" t="s">
        <v>249</v>
      </c>
      <c r="S76" s="19" t="s">
        <v>248</v>
      </c>
      <c r="T76" s="19" t="s">
        <v>286</v>
      </c>
    </row>
    <row r="77" spans="1:20" x14ac:dyDescent="0.2">
      <c r="A77" s="1">
        <v>46004</v>
      </c>
      <c r="B77" s="2">
        <v>0.64583333333333337</v>
      </c>
      <c r="C77" s="19" t="s">
        <v>30</v>
      </c>
      <c r="D77" s="19" t="s">
        <v>37</v>
      </c>
      <c r="E77" s="19" t="s">
        <v>30</v>
      </c>
      <c r="F77">
        <v>3</v>
      </c>
      <c r="G77">
        <v>2</v>
      </c>
      <c r="H77">
        <v>0.72950000000000004</v>
      </c>
      <c r="I77" s="19" t="s">
        <v>249</v>
      </c>
      <c r="J77" s="19" t="s">
        <v>37</v>
      </c>
      <c r="K77">
        <v>3</v>
      </c>
      <c r="L77">
        <v>2</v>
      </c>
      <c r="M77">
        <v>-0.31</v>
      </c>
      <c r="N77" s="19" t="s">
        <v>30</v>
      </c>
      <c r="O77" s="19" t="s">
        <v>291</v>
      </c>
      <c r="P77" s="19" t="s">
        <v>284</v>
      </c>
      <c r="Q77" s="19" t="s">
        <v>287</v>
      </c>
      <c r="R77" s="19" t="s">
        <v>248</v>
      </c>
      <c r="S77" s="19" t="s">
        <v>249</v>
      </c>
      <c r="T77" s="19" t="s">
        <v>286</v>
      </c>
    </row>
    <row r="78" spans="1:20" x14ac:dyDescent="0.2">
      <c r="A78" s="1">
        <v>46004</v>
      </c>
      <c r="B78" s="2">
        <v>0.625</v>
      </c>
      <c r="C78" s="19" t="s">
        <v>14</v>
      </c>
      <c r="D78" s="19" t="s">
        <v>33</v>
      </c>
      <c r="E78" s="19" t="s">
        <v>33</v>
      </c>
      <c r="F78">
        <v>3</v>
      </c>
      <c r="G78">
        <v>4</v>
      </c>
      <c r="H78">
        <v>0.5595</v>
      </c>
      <c r="I78" s="19" t="s">
        <v>249</v>
      </c>
      <c r="J78" s="19" t="s">
        <v>14</v>
      </c>
      <c r="K78">
        <v>3</v>
      </c>
      <c r="L78">
        <v>2</v>
      </c>
      <c r="M78">
        <v>0.51</v>
      </c>
      <c r="N78" s="19" t="s">
        <v>33</v>
      </c>
      <c r="O78" s="19" t="s">
        <v>283</v>
      </c>
      <c r="P78" s="19" t="s">
        <v>288</v>
      </c>
      <c r="Q78" s="19" t="s">
        <v>287</v>
      </c>
      <c r="R78" s="19" t="s">
        <v>248</v>
      </c>
      <c r="S78" s="19" t="s">
        <v>249</v>
      </c>
      <c r="T78" s="19" t="s">
        <v>286</v>
      </c>
    </row>
    <row r="79" spans="1:20" x14ac:dyDescent="0.2">
      <c r="A79" s="1">
        <v>46004</v>
      </c>
      <c r="B79" s="2">
        <v>0.91666666666666663</v>
      </c>
      <c r="C79" s="19" t="s">
        <v>13</v>
      </c>
      <c r="D79" s="19" t="s">
        <v>16</v>
      </c>
      <c r="E79" s="19" t="s">
        <v>13</v>
      </c>
      <c r="F79">
        <v>3</v>
      </c>
      <c r="G79">
        <v>1</v>
      </c>
      <c r="H79">
        <v>0.80530000000000002</v>
      </c>
      <c r="I79" s="19" t="s">
        <v>249</v>
      </c>
      <c r="J79" s="19" t="s">
        <v>13</v>
      </c>
      <c r="K79">
        <v>3</v>
      </c>
      <c r="L79">
        <v>2</v>
      </c>
      <c r="M79">
        <v>0.77</v>
      </c>
      <c r="N79" s="19" t="s">
        <v>16</v>
      </c>
      <c r="O79" s="19" t="s">
        <v>287</v>
      </c>
      <c r="P79" s="19" t="s">
        <v>284</v>
      </c>
      <c r="Q79" s="19" t="s">
        <v>287</v>
      </c>
      <c r="R79" s="19" t="s">
        <v>249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0.79166666666666663</v>
      </c>
      <c r="C80" s="19" t="s">
        <v>28</v>
      </c>
      <c r="D80" s="19" t="s">
        <v>20</v>
      </c>
      <c r="E80" s="19" t="s">
        <v>20</v>
      </c>
      <c r="F80">
        <v>3</v>
      </c>
      <c r="G80">
        <v>4</v>
      </c>
      <c r="H80">
        <v>0.65100000000000002</v>
      </c>
      <c r="I80" s="19" t="s">
        <v>248</v>
      </c>
      <c r="J80" s="19" t="s">
        <v>20</v>
      </c>
      <c r="K80">
        <v>3</v>
      </c>
      <c r="L80">
        <v>2</v>
      </c>
      <c r="M80">
        <v>-0.59</v>
      </c>
      <c r="N80" s="19" t="s">
        <v>20</v>
      </c>
      <c r="O80" s="19" t="s">
        <v>284</v>
      </c>
      <c r="P80" s="19" t="s">
        <v>291</v>
      </c>
      <c r="Q80" s="19" t="s">
        <v>285</v>
      </c>
      <c r="R80" s="19" t="s">
        <v>248</v>
      </c>
      <c r="S80" s="19" t="s">
        <v>248</v>
      </c>
      <c r="T80" s="19" t="s">
        <v>286</v>
      </c>
    </row>
    <row r="81" spans="1:20" x14ac:dyDescent="0.2">
      <c r="A81" s="1">
        <v>46004</v>
      </c>
      <c r="B81" s="2">
        <v>0.875</v>
      </c>
      <c r="C81" s="19" t="s">
        <v>12</v>
      </c>
      <c r="D81" s="19" t="s">
        <v>29</v>
      </c>
      <c r="E81" s="19" t="s">
        <v>12</v>
      </c>
      <c r="F81">
        <v>6</v>
      </c>
      <c r="G81">
        <v>2</v>
      </c>
      <c r="H81">
        <v>0.91220000000000001</v>
      </c>
      <c r="I81" s="19" t="s">
        <v>249</v>
      </c>
      <c r="J81" s="19" t="s">
        <v>12</v>
      </c>
      <c r="K81">
        <v>3</v>
      </c>
      <c r="L81">
        <v>2</v>
      </c>
      <c r="M81">
        <v>2.38</v>
      </c>
      <c r="N81" s="19" t="s">
        <v>12</v>
      </c>
      <c r="O81" s="19" t="s">
        <v>289</v>
      </c>
      <c r="P81" s="19" t="s">
        <v>284</v>
      </c>
      <c r="Q81" s="19" t="s">
        <v>285</v>
      </c>
      <c r="R81" s="19" t="s">
        <v>248</v>
      </c>
      <c r="S81" s="19" t="s">
        <v>248</v>
      </c>
      <c r="T81" s="19" t="s">
        <v>286</v>
      </c>
    </row>
    <row r="82" spans="1:20" x14ac:dyDescent="0.2">
      <c r="A82" s="1">
        <v>46004</v>
      </c>
      <c r="B82" s="2">
        <v>0.79166666666666663</v>
      </c>
      <c r="C82" s="19" t="s">
        <v>40</v>
      </c>
      <c r="D82" s="19" t="s">
        <v>22</v>
      </c>
      <c r="E82" s="19" t="s">
        <v>22</v>
      </c>
      <c r="F82">
        <v>4</v>
      </c>
      <c r="G82">
        <v>5</v>
      </c>
      <c r="H82">
        <v>0.60980000000000001</v>
      </c>
      <c r="I82" s="19" t="s">
        <v>249</v>
      </c>
      <c r="J82" s="19" t="s">
        <v>22</v>
      </c>
      <c r="K82">
        <v>3</v>
      </c>
      <c r="L82">
        <v>2</v>
      </c>
      <c r="M82">
        <v>-1.01</v>
      </c>
      <c r="N82" s="19" t="s">
        <v>40</v>
      </c>
      <c r="O82" s="19" t="s">
        <v>283</v>
      </c>
      <c r="P82" s="19" t="s">
        <v>287</v>
      </c>
      <c r="Q82" s="19" t="s">
        <v>285</v>
      </c>
      <c r="R82" s="19" t="s">
        <v>249</v>
      </c>
      <c r="S82" s="19" t="s">
        <v>249</v>
      </c>
      <c r="T82" s="19" t="s">
        <v>286</v>
      </c>
    </row>
    <row r="83" spans="1:20" x14ac:dyDescent="0.2">
      <c r="A83" s="1">
        <v>46004</v>
      </c>
      <c r="B83" s="2">
        <v>0.83333333333333337</v>
      </c>
      <c r="C83" s="19" t="s">
        <v>10</v>
      </c>
      <c r="D83" s="19" t="s">
        <v>26</v>
      </c>
      <c r="E83" s="19" t="s">
        <v>26</v>
      </c>
      <c r="F83">
        <v>3</v>
      </c>
      <c r="G83">
        <v>4</v>
      </c>
      <c r="H83">
        <v>0.53810000000000002</v>
      </c>
      <c r="I83" s="19" t="s">
        <v>248</v>
      </c>
      <c r="J83" s="19" t="s">
        <v>10</v>
      </c>
      <c r="K83">
        <v>3</v>
      </c>
      <c r="L83">
        <v>2</v>
      </c>
      <c r="M83">
        <v>0.28000000000000003</v>
      </c>
      <c r="N83" s="19" t="s">
        <v>26</v>
      </c>
      <c r="O83" s="19" t="s">
        <v>285</v>
      </c>
      <c r="P83" s="19" t="s">
        <v>289</v>
      </c>
      <c r="Q83" s="19" t="s">
        <v>285</v>
      </c>
      <c r="R83" s="19" t="s">
        <v>248</v>
      </c>
      <c r="S83" s="19" t="s">
        <v>249</v>
      </c>
      <c r="T83" s="19" t="s">
        <v>286</v>
      </c>
    </row>
    <row r="84" spans="1:20" x14ac:dyDescent="0.2">
      <c r="A84" s="1">
        <v>46005</v>
      </c>
      <c r="B84" s="2">
        <v>0.70833333333333337</v>
      </c>
      <c r="C84" s="19" t="s">
        <v>25</v>
      </c>
      <c r="D84" s="19" t="s">
        <v>27</v>
      </c>
      <c r="E84" s="19" t="s">
        <v>25</v>
      </c>
      <c r="F84">
        <v>4</v>
      </c>
      <c r="G84">
        <v>3</v>
      </c>
      <c r="H84">
        <v>0.50770000000000004</v>
      </c>
      <c r="I84" s="19" t="s">
        <v>249</v>
      </c>
      <c r="J84" s="19" t="s">
        <v>25</v>
      </c>
      <c r="K84">
        <v>3</v>
      </c>
      <c r="L84">
        <v>2</v>
      </c>
      <c r="M84">
        <v>0.56999999999999995</v>
      </c>
      <c r="N84" s="19" t="s">
        <v>25</v>
      </c>
      <c r="O84" s="19" t="s">
        <v>291</v>
      </c>
      <c r="P84" s="19" t="s">
        <v>284</v>
      </c>
      <c r="Q84" s="19" t="s">
        <v>287</v>
      </c>
      <c r="R84" s="19" t="s">
        <v>248</v>
      </c>
      <c r="S84" s="19" t="s">
        <v>248</v>
      </c>
      <c r="T84" s="19" t="s">
        <v>286</v>
      </c>
    </row>
    <row r="85" spans="1:20" x14ac:dyDescent="0.2">
      <c r="A85" s="1">
        <v>46005</v>
      </c>
      <c r="B85" s="2">
        <v>0.75</v>
      </c>
      <c r="C85" s="19" t="s">
        <v>34</v>
      </c>
      <c r="D85" s="19" t="s">
        <v>21</v>
      </c>
      <c r="E85" s="19" t="s">
        <v>21</v>
      </c>
      <c r="F85">
        <v>3</v>
      </c>
      <c r="G85">
        <v>4</v>
      </c>
      <c r="H85">
        <v>0.61240000000000006</v>
      </c>
      <c r="I85" s="19" t="s">
        <v>249</v>
      </c>
      <c r="J85" s="19" t="s">
        <v>21</v>
      </c>
      <c r="K85">
        <v>3</v>
      </c>
      <c r="L85">
        <v>2</v>
      </c>
      <c r="M85">
        <v>-0.06</v>
      </c>
      <c r="N85" s="19" t="s">
        <v>34</v>
      </c>
      <c r="O85" s="19" t="s">
        <v>288</v>
      </c>
      <c r="P85" s="19" t="s">
        <v>284</v>
      </c>
      <c r="Q85" s="19" t="s">
        <v>285</v>
      </c>
      <c r="R85" s="19" t="s">
        <v>249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0.52083333333333337</v>
      </c>
      <c r="C86" s="19" t="s">
        <v>24</v>
      </c>
      <c r="D86" s="19" t="s">
        <v>38</v>
      </c>
      <c r="E86" s="19" t="s">
        <v>24</v>
      </c>
      <c r="F86">
        <v>5</v>
      </c>
      <c r="G86">
        <v>4</v>
      </c>
      <c r="H86">
        <v>0.51690000000000003</v>
      </c>
      <c r="I86" s="19" t="s">
        <v>249</v>
      </c>
      <c r="J86" s="19" t="s">
        <v>24</v>
      </c>
      <c r="K86">
        <v>3</v>
      </c>
      <c r="L86">
        <v>2</v>
      </c>
      <c r="M86">
        <v>0.77</v>
      </c>
      <c r="N86" s="19" t="s">
        <v>38</v>
      </c>
      <c r="O86" s="19" t="s">
        <v>287</v>
      </c>
      <c r="P86" s="19" t="s">
        <v>284</v>
      </c>
      <c r="Q86" s="19" t="s">
        <v>285</v>
      </c>
      <c r="R86" s="19" t="s">
        <v>249</v>
      </c>
      <c r="S86" s="19" t="s">
        <v>249</v>
      </c>
      <c r="T86" s="19" t="s">
        <v>286</v>
      </c>
    </row>
    <row r="87" spans="1:20" x14ac:dyDescent="0.2">
      <c r="A87" s="1">
        <v>46005</v>
      </c>
      <c r="B87" s="2">
        <v>0.625</v>
      </c>
      <c r="C87" s="19" t="s">
        <v>14</v>
      </c>
      <c r="D87" s="19" t="s">
        <v>55</v>
      </c>
      <c r="E87" s="19" t="s">
        <v>14</v>
      </c>
      <c r="F87">
        <v>4</v>
      </c>
      <c r="G87">
        <v>3</v>
      </c>
      <c r="H87">
        <v>0.66879999999999995</v>
      </c>
      <c r="I87" s="19" t="s">
        <v>249</v>
      </c>
      <c r="J87" s="19" t="s">
        <v>14</v>
      </c>
      <c r="K87">
        <v>3</v>
      </c>
      <c r="L87">
        <v>2</v>
      </c>
      <c r="M87">
        <v>0.05</v>
      </c>
      <c r="N87" s="19" t="s">
        <v>55</v>
      </c>
      <c r="O87" s="19" t="s">
        <v>289</v>
      </c>
      <c r="P87" s="19" t="s">
        <v>283</v>
      </c>
      <c r="Q87" s="19" t="s">
        <v>287</v>
      </c>
      <c r="R87" s="19" t="s">
        <v>249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0.83333333333333337</v>
      </c>
      <c r="C88" s="19" t="s">
        <v>32</v>
      </c>
      <c r="D88" s="19" t="s">
        <v>23</v>
      </c>
      <c r="E88" s="19" t="s">
        <v>32</v>
      </c>
      <c r="F88">
        <v>4</v>
      </c>
      <c r="G88">
        <v>2</v>
      </c>
      <c r="H88">
        <v>0.73619999999999997</v>
      </c>
      <c r="I88" s="19" t="s">
        <v>249</v>
      </c>
      <c r="J88" s="19" t="s">
        <v>23</v>
      </c>
      <c r="K88">
        <v>3</v>
      </c>
      <c r="L88">
        <v>2</v>
      </c>
      <c r="M88">
        <v>-0.18</v>
      </c>
      <c r="N88" s="19" t="s">
        <v>23</v>
      </c>
      <c r="O88" s="19" t="s">
        <v>287</v>
      </c>
      <c r="P88" s="19" t="s">
        <v>291</v>
      </c>
      <c r="Q88" s="19" t="s">
        <v>285</v>
      </c>
      <c r="R88" s="19" t="s">
        <v>249</v>
      </c>
      <c r="S88" s="19" t="s">
        <v>248</v>
      </c>
      <c r="T88" s="19" t="s">
        <v>286</v>
      </c>
    </row>
    <row r="89" spans="1:20" x14ac:dyDescent="0.2">
      <c r="A89" s="1">
        <v>46005</v>
      </c>
      <c r="B89" s="2">
        <v>0.79166666666666663</v>
      </c>
      <c r="C89" s="19" t="s">
        <v>18</v>
      </c>
      <c r="D89" s="19" t="s">
        <v>17</v>
      </c>
      <c r="E89" s="19" t="s">
        <v>18</v>
      </c>
      <c r="F89">
        <v>4</v>
      </c>
      <c r="G89">
        <v>3</v>
      </c>
      <c r="H89">
        <v>0.51900000000000002</v>
      </c>
      <c r="I89" s="19" t="s">
        <v>249</v>
      </c>
      <c r="J89" s="19" t="s">
        <v>17</v>
      </c>
      <c r="K89">
        <v>3</v>
      </c>
      <c r="L89">
        <v>2</v>
      </c>
      <c r="M89">
        <v>-0.24</v>
      </c>
      <c r="N89" s="19" t="s">
        <v>18</v>
      </c>
      <c r="O89" s="19" t="s">
        <v>289</v>
      </c>
      <c r="P89" s="19" t="s">
        <v>287</v>
      </c>
      <c r="Q89" s="19" t="s">
        <v>285</v>
      </c>
      <c r="R89" s="19" t="s">
        <v>248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0.83333333333333337</v>
      </c>
      <c r="C90" s="19" t="s">
        <v>35</v>
      </c>
      <c r="D90" s="19" t="s">
        <v>29</v>
      </c>
      <c r="E90" s="19" t="s">
        <v>35</v>
      </c>
      <c r="F90">
        <v>3</v>
      </c>
      <c r="G90">
        <v>2</v>
      </c>
      <c r="H90">
        <v>0.61380000000000001</v>
      </c>
      <c r="I90" s="19" t="s">
        <v>249</v>
      </c>
      <c r="J90" s="19" t="s">
        <v>29</v>
      </c>
      <c r="K90">
        <v>3</v>
      </c>
      <c r="L90">
        <v>2</v>
      </c>
      <c r="M90">
        <v>-0.43</v>
      </c>
      <c r="N90" s="19" t="s">
        <v>29</v>
      </c>
      <c r="O90" s="19" t="s">
        <v>284</v>
      </c>
      <c r="P90" s="19" t="s">
        <v>283</v>
      </c>
      <c r="Q90" s="19" t="s">
        <v>285</v>
      </c>
      <c r="R90" s="19" t="s">
        <v>249</v>
      </c>
      <c r="S90" s="19" t="s">
        <v>248</v>
      </c>
      <c r="T90" s="19" t="s">
        <v>286</v>
      </c>
    </row>
    <row r="91" spans="1:20" x14ac:dyDescent="0.2">
      <c r="A91" s="1">
        <v>46006</v>
      </c>
      <c r="B91" s="2">
        <v>0.79166666666666663</v>
      </c>
      <c r="C91" s="19" t="s">
        <v>15</v>
      </c>
      <c r="D91" s="19" t="s">
        <v>31</v>
      </c>
      <c r="E91" s="19" t="s">
        <v>31</v>
      </c>
      <c r="F91">
        <v>2</v>
      </c>
      <c r="G91">
        <v>3</v>
      </c>
      <c r="H91">
        <v>0.80940000000000001</v>
      </c>
      <c r="I91" s="19" t="s">
        <v>249</v>
      </c>
      <c r="J91" s="19" t="s">
        <v>31</v>
      </c>
      <c r="K91">
        <v>3</v>
      </c>
      <c r="L91">
        <v>2</v>
      </c>
      <c r="M91">
        <v>-0.12</v>
      </c>
      <c r="N91" s="19" t="s">
        <v>31</v>
      </c>
      <c r="O91" s="19" t="s">
        <v>287</v>
      </c>
      <c r="P91" s="19" t="s">
        <v>289</v>
      </c>
      <c r="Q91" s="19" t="s">
        <v>285</v>
      </c>
      <c r="R91" s="19" t="s">
        <v>248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0.83333333333333337</v>
      </c>
      <c r="C92" s="19" t="s">
        <v>39</v>
      </c>
      <c r="D92" s="19" t="s">
        <v>13</v>
      </c>
      <c r="E92" s="19" t="s">
        <v>13</v>
      </c>
      <c r="F92">
        <v>3</v>
      </c>
      <c r="G92">
        <v>4</v>
      </c>
      <c r="H92">
        <v>0.58589999999999998</v>
      </c>
      <c r="I92" s="19" t="s">
        <v>248</v>
      </c>
      <c r="J92" s="19" t="s">
        <v>39</v>
      </c>
      <c r="K92">
        <v>3</v>
      </c>
      <c r="L92">
        <v>2</v>
      </c>
      <c r="M92">
        <v>0.66</v>
      </c>
      <c r="N92" s="19" t="s">
        <v>39</v>
      </c>
      <c r="O92" s="19" t="s">
        <v>289</v>
      </c>
      <c r="P92" s="19" t="s">
        <v>287</v>
      </c>
      <c r="Q92" s="19" t="s">
        <v>285</v>
      </c>
      <c r="R92" s="19" t="s">
        <v>249</v>
      </c>
      <c r="S92" s="19" t="s">
        <v>248</v>
      </c>
      <c r="T92" s="19" t="s">
        <v>286</v>
      </c>
    </row>
    <row r="93" spans="1:20" x14ac:dyDescent="0.2">
      <c r="A93" s="1">
        <v>46006</v>
      </c>
      <c r="B93" s="2">
        <v>0.79166666666666663</v>
      </c>
      <c r="C93" s="19" t="s">
        <v>37</v>
      </c>
      <c r="D93" s="19" t="s">
        <v>11</v>
      </c>
      <c r="E93" s="19" t="s">
        <v>37</v>
      </c>
      <c r="F93">
        <v>4</v>
      </c>
      <c r="G93">
        <v>3</v>
      </c>
      <c r="H93">
        <v>0.50770000000000004</v>
      </c>
      <c r="I93" s="19" t="s">
        <v>249</v>
      </c>
      <c r="J93" s="19" t="s">
        <v>37</v>
      </c>
      <c r="K93">
        <v>3</v>
      </c>
      <c r="L93">
        <v>2</v>
      </c>
      <c r="M93">
        <v>0.81</v>
      </c>
      <c r="N93" s="19" t="s">
        <v>11</v>
      </c>
      <c r="O93" s="19" t="s">
        <v>284</v>
      </c>
      <c r="P93" s="19" t="s">
        <v>283</v>
      </c>
      <c r="Q93" s="19" t="s">
        <v>285</v>
      </c>
      <c r="R93" s="19" t="s">
        <v>249</v>
      </c>
      <c r="S93" s="19" t="s">
        <v>249</v>
      </c>
      <c r="T93" s="19" t="s">
        <v>286</v>
      </c>
    </row>
    <row r="94" spans="1:20" x14ac:dyDescent="0.2">
      <c r="A94" s="1">
        <v>46006</v>
      </c>
      <c r="B94" s="2">
        <v>0.8125</v>
      </c>
      <c r="C94" s="19" t="s">
        <v>40</v>
      </c>
      <c r="D94" s="19" t="s">
        <v>36</v>
      </c>
      <c r="E94" s="19" t="s">
        <v>40</v>
      </c>
      <c r="F94">
        <v>5</v>
      </c>
      <c r="G94">
        <v>3</v>
      </c>
      <c r="H94">
        <v>0.67500000000000004</v>
      </c>
      <c r="I94" s="19" t="s">
        <v>249</v>
      </c>
      <c r="J94" s="19" t="s">
        <v>40</v>
      </c>
      <c r="K94">
        <v>3</v>
      </c>
      <c r="L94">
        <v>2</v>
      </c>
      <c r="M94">
        <v>0.18</v>
      </c>
      <c r="N94" s="19" t="s">
        <v>36</v>
      </c>
      <c r="O94" s="19" t="s">
        <v>284</v>
      </c>
      <c r="P94" s="19" t="s">
        <v>291</v>
      </c>
      <c r="Q94" s="19" t="s">
        <v>287</v>
      </c>
      <c r="R94" s="19" t="s">
        <v>249</v>
      </c>
      <c r="S94" s="19" t="s">
        <v>249</v>
      </c>
      <c r="T94" s="19" t="s">
        <v>286</v>
      </c>
    </row>
    <row r="95" spans="1:20" x14ac:dyDescent="0.2">
      <c r="A95" s="1">
        <v>46007</v>
      </c>
      <c r="B95" s="2">
        <v>0.79166666666666663</v>
      </c>
      <c r="C95" s="19" t="s">
        <v>26</v>
      </c>
      <c r="D95" s="19" t="s">
        <v>30</v>
      </c>
      <c r="E95" s="19" t="s">
        <v>30</v>
      </c>
      <c r="F95">
        <v>3</v>
      </c>
      <c r="G95">
        <v>4</v>
      </c>
      <c r="H95">
        <v>0.70879999999999999</v>
      </c>
      <c r="I95" s="19" t="s">
        <v>249</v>
      </c>
      <c r="J95" s="19" t="s">
        <v>30</v>
      </c>
      <c r="K95">
        <v>3</v>
      </c>
      <c r="L95">
        <v>2</v>
      </c>
      <c r="M95">
        <v>-0.69</v>
      </c>
      <c r="N95" s="19" t="s">
        <v>26</v>
      </c>
      <c r="O95" s="19" t="s">
        <v>291</v>
      </c>
      <c r="P95" s="19" t="s">
        <v>284</v>
      </c>
      <c r="Q95" s="19" t="s">
        <v>285</v>
      </c>
      <c r="R95" s="19" t="s">
        <v>249</v>
      </c>
      <c r="S95" s="19" t="s">
        <v>249</v>
      </c>
      <c r="T95" s="19" t="s">
        <v>286</v>
      </c>
    </row>
    <row r="96" spans="1:20" x14ac:dyDescent="0.2">
      <c r="A96" s="1">
        <v>46007</v>
      </c>
      <c r="B96" s="2">
        <v>0.83333333333333337</v>
      </c>
      <c r="C96" s="19" t="s">
        <v>34</v>
      </c>
      <c r="D96" s="19" t="s">
        <v>22</v>
      </c>
      <c r="E96" s="19" t="s">
        <v>22</v>
      </c>
      <c r="F96">
        <v>3</v>
      </c>
      <c r="G96">
        <v>4</v>
      </c>
      <c r="H96">
        <v>0.60750000000000004</v>
      </c>
      <c r="I96" s="19" t="s">
        <v>249</v>
      </c>
      <c r="J96" s="19" t="s">
        <v>22</v>
      </c>
      <c r="K96">
        <v>3</v>
      </c>
      <c r="L96">
        <v>2</v>
      </c>
      <c r="M96">
        <v>-0.33</v>
      </c>
      <c r="N96" s="19" t="s">
        <v>34</v>
      </c>
      <c r="O96" s="19" t="s">
        <v>283</v>
      </c>
      <c r="P96" s="19" t="s">
        <v>285</v>
      </c>
      <c r="Q96" s="19" t="s">
        <v>285</v>
      </c>
      <c r="R96" s="19" t="s">
        <v>249</v>
      </c>
      <c r="S96" s="19" t="s">
        <v>249</v>
      </c>
      <c r="T96" s="19" t="s">
        <v>286</v>
      </c>
    </row>
    <row r="97" spans="1:20" x14ac:dyDescent="0.2">
      <c r="A97" s="1">
        <v>46007</v>
      </c>
      <c r="B97" s="2">
        <v>0.8125</v>
      </c>
      <c r="C97" s="19" t="s">
        <v>14</v>
      </c>
      <c r="D97" s="19" t="s">
        <v>17</v>
      </c>
      <c r="E97" s="19" t="s">
        <v>17</v>
      </c>
      <c r="F97">
        <v>4</v>
      </c>
      <c r="G97">
        <v>5</v>
      </c>
      <c r="H97">
        <v>0.51959999999999995</v>
      </c>
      <c r="I97" s="19" t="s">
        <v>249</v>
      </c>
      <c r="J97" s="19" t="s">
        <v>14</v>
      </c>
      <c r="K97">
        <v>3</v>
      </c>
      <c r="L97">
        <v>2</v>
      </c>
      <c r="M97">
        <v>0.28999999999999998</v>
      </c>
      <c r="N97" s="19" t="s">
        <v>17</v>
      </c>
      <c r="O97" s="19" t="s">
        <v>289</v>
      </c>
      <c r="P97" s="19" t="s">
        <v>288</v>
      </c>
      <c r="Q97" s="19" t="s">
        <v>285</v>
      </c>
      <c r="R97" s="19" t="s">
        <v>248</v>
      </c>
      <c r="S97" s="19" t="s">
        <v>249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21</v>
      </c>
      <c r="D98" s="19" t="s">
        <v>55</v>
      </c>
      <c r="E98" s="19" t="s">
        <v>21</v>
      </c>
      <c r="F98">
        <v>4</v>
      </c>
      <c r="G98">
        <v>3</v>
      </c>
      <c r="H98">
        <v>0.66569999999999996</v>
      </c>
      <c r="I98" s="19" t="s">
        <v>249</v>
      </c>
      <c r="J98" s="19" t="s">
        <v>21</v>
      </c>
      <c r="K98">
        <v>3</v>
      </c>
      <c r="L98">
        <v>2</v>
      </c>
      <c r="M98">
        <v>0.17</v>
      </c>
      <c r="N98" s="19" t="s">
        <v>21</v>
      </c>
      <c r="O98" s="19" t="s">
        <v>289</v>
      </c>
      <c r="P98" s="19" t="s">
        <v>287</v>
      </c>
      <c r="Q98" s="19" t="s">
        <v>285</v>
      </c>
      <c r="R98" s="19" t="s">
        <v>248</v>
      </c>
      <c r="S98" s="19" t="s">
        <v>248</v>
      </c>
      <c r="T98" s="19" t="s">
        <v>286</v>
      </c>
    </row>
    <row r="99" spans="1:20" x14ac:dyDescent="0.2">
      <c r="A99" s="1">
        <v>46007</v>
      </c>
      <c r="B99" s="2">
        <v>0.79166666666666663</v>
      </c>
      <c r="C99" s="19" t="s">
        <v>18</v>
      </c>
      <c r="D99" s="19" t="s">
        <v>27</v>
      </c>
      <c r="E99" s="19" t="s">
        <v>27</v>
      </c>
      <c r="F99">
        <v>3</v>
      </c>
      <c r="G99">
        <v>5</v>
      </c>
      <c r="H99">
        <v>0.84399999999999997</v>
      </c>
      <c r="I99" s="19" t="s">
        <v>248</v>
      </c>
      <c r="J99" s="19" t="s">
        <v>27</v>
      </c>
      <c r="K99">
        <v>3</v>
      </c>
      <c r="L99">
        <v>2</v>
      </c>
      <c r="M99">
        <v>-0.4</v>
      </c>
      <c r="N99" s="19" t="s">
        <v>27</v>
      </c>
      <c r="O99" s="19" t="s">
        <v>287</v>
      </c>
      <c r="P99" s="19" t="s">
        <v>289</v>
      </c>
      <c r="Q99" s="19" t="s">
        <v>285</v>
      </c>
      <c r="R99" s="19" t="s">
        <v>248</v>
      </c>
      <c r="S99" s="19" t="s">
        <v>248</v>
      </c>
      <c r="T99" s="19" t="s">
        <v>286</v>
      </c>
    </row>
    <row r="100" spans="1:20" x14ac:dyDescent="0.2">
      <c r="A100" s="1">
        <v>46007</v>
      </c>
      <c r="B100" s="2">
        <v>0.79166666666666663</v>
      </c>
      <c r="C100" s="19" t="s">
        <v>19</v>
      </c>
      <c r="D100" s="19" t="s">
        <v>10</v>
      </c>
      <c r="E100" s="19" t="s">
        <v>19</v>
      </c>
      <c r="F100">
        <v>4</v>
      </c>
      <c r="G100">
        <v>3</v>
      </c>
      <c r="H100">
        <v>0.54720000000000002</v>
      </c>
      <c r="I100" s="19" t="s">
        <v>248</v>
      </c>
      <c r="J100" s="19" t="s">
        <v>19</v>
      </c>
      <c r="K100">
        <v>3</v>
      </c>
      <c r="L100">
        <v>2</v>
      </c>
      <c r="M100">
        <v>0.32</v>
      </c>
      <c r="N100" s="19" t="s">
        <v>19</v>
      </c>
      <c r="O100" s="19" t="s">
        <v>291</v>
      </c>
      <c r="P100" s="19" t="s">
        <v>284</v>
      </c>
      <c r="Q100" s="19" t="s">
        <v>285</v>
      </c>
      <c r="R100" s="19" t="s">
        <v>248</v>
      </c>
      <c r="S100" s="19" t="s">
        <v>248</v>
      </c>
      <c r="T100" s="19" t="s">
        <v>286</v>
      </c>
    </row>
    <row r="101" spans="1:20" x14ac:dyDescent="0.2">
      <c r="A101" s="1">
        <v>46007</v>
      </c>
      <c r="B101" s="2">
        <v>0.91666666666666663</v>
      </c>
      <c r="C101" s="19" t="s">
        <v>32</v>
      </c>
      <c r="D101" s="19" t="s">
        <v>12</v>
      </c>
      <c r="E101" s="19" t="s">
        <v>12</v>
      </c>
      <c r="F101">
        <v>1</v>
      </c>
      <c r="G101">
        <v>2</v>
      </c>
      <c r="H101">
        <v>0.81510000000000005</v>
      </c>
      <c r="I101" s="19" t="s">
        <v>249</v>
      </c>
      <c r="J101" s="19" t="s">
        <v>12</v>
      </c>
      <c r="K101">
        <v>3</v>
      </c>
      <c r="L101">
        <v>2</v>
      </c>
      <c r="M101">
        <v>-2.2999999999999998</v>
      </c>
      <c r="N101" s="19" t="s">
        <v>12</v>
      </c>
      <c r="O101" s="19" t="s">
        <v>291</v>
      </c>
      <c r="P101" s="19" t="s">
        <v>283</v>
      </c>
      <c r="Q101" s="19" t="s">
        <v>285</v>
      </c>
      <c r="R101" s="19" t="s">
        <v>248</v>
      </c>
      <c r="S101" s="19" t="s">
        <v>248</v>
      </c>
      <c r="T101" s="19" t="s">
        <v>286</v>
      </c>
    </row>
    <row r="102" spans="1:20" x14ac:dyDescent="0.2">
      <c r="A102" s="1">
        <v>46007</v>
      </c>
      <c r="B102" s="2">
        <v>0.79166666666666663</v>
      </c>
      <c r="C102" s="19" t="s">
        <v>15</v>
      </c>
      <c r="D102" s="19" t="s">
        <v>38</v>
      </c>
      <c r="E102" s="19" t="s">
        <v>15</v>
      </c>
      <c r="F102">
        <v>3</v>
      </c>
      <c r="G102">
        <v>2</v>
      </c>
      <c r="H102">
        <v>0.67700000000000005</v>
      </c>
      <c r="I102" s="19" t="s">
        <v>249</v>
      </c>
      <c r="J102" s="19" t="s">
        <v>15</v>
      </c>
      <c r="K102">
        <v>3</v>
      </c>
      <c r="L102">
        <v>2</v>
      </c>
      <c r="M102">
        <v>0.74</v>
      </c>
      <c r="N102" s="19" t="s">
        <v>38</v>
      </c>
      <c r="O102" s="19" t="s">
        <v>285</v>
      </c>
      <c r="P102" s="19" t="s">
        <v>291</v>
      </c>
      <c r="Q102" s="19" t="s">
        <v>285</v>
      </c>
      <c r="R102" s="19" t="s">
        <v>249</v>
      </c>
      <c r="S102" s="19" t="s">
        <v>249</v>
      </c>
      <c r="T102" s="19" t="s">
        <v>286</v>
      </c>
    </row>
    <row r="103" spans="1:20" x14ac:dyDescent="0.2">
      <c r="A103" s="1">
        <v>46007</v>
      </c>
      <c r="B103" s="2">
        <v>0.79166666666666663</v>
      </c>
      <c r="C103" s="19" t="s">
        <v>28</v>
      </c>
      <c r="D103" s="19" t="s">
        <v>31</v>
      </c>
      <c r="E103" s="19" t="s">
        <v>31</v>
      </c>
      <c r="F103">
        <v>3</v>
      </c>
      <c r="G103">
        <v>4</v>
      </c>
      <c r="H103">
        <v>0.55640000000000001</v>
      </c>
      <c r="I103" s="19" t="s">
        <v>249</v>
      </c>
      <c r="J103" s="19" t="s">
        <v>31</v>
      </c>
      <c r="K103">
        <v>3</v>
      </c>
      <c r="L103">
        <v>2</v>
      </c>
      <c r="M103">
        <v>-0.74</v>
      </c>
      <c r="N103" s="19" t="s">
        <v>28</v>
      </c>
      <c r="O103" s="19" t="s">
        <v>289</v>
      </c>
      <c r="P103" s="19" t="s">
        <v>291</v>
      </c>
      <c r="Q103" s="19" t="s">
        <v>287</v>
      </c>
      <c r="R103" s="19" t="s">
        <v>249</v>
      </c>
      <c r="S103" s="19" t="s">
        <v>249</v>
      </c>
      <c r="T103" s="19" t="s">
        <v>286</v>
      </c>
    </row>
    <row r="104" spans="1:20" x14ac:dyDescent="0.2">
      <c r="A104" s="1">
        <v>46007</v>
      </c>
      <c r="B104" s="2">
        <v>0.91666666666666663</v>
      </c>
      <c r="C104" s="19" t="s">
        <v>33</v>
      </c>
      <c r="D104" s="19" t="s">
        <v>16</v>
      </c>
      <c r="E104" s="19" t="s">
        <v>33</v>
      </c>
      <c r="F104">
        <v>4</v>
      </c>
      <c r="G104">
        <v>2</v>
      </c>
      <c r="H104">
        <v>0.70199999999999996</v>
      </c>
      <c r="I104" s="19" t="s">
        <v>249</v>
      </c>
      <c r="J104" s="19" t="s">
        <v>33</v>
      </c>
      <c r="K104">
        <v>3</v>
      </c>
      <c r="L104">
        <v>2</v>
      </c>
      <c r="M104">
        <v>0.32</v>
      </c>
      <c r="N104" s="19" t="s">
        <v>33</v>
      </c>
      <c r="O104" s="19" t="s">
        <v>288</v>
      </c>
      <c r="P104" s="19" t="s">
        <v>291</v>
      </c>
      <c r="Q104" s="19" t="s">
        <v>285</v>
      </c>
      <c r="R104" s="19" t="s">
        <v>248</v>
      </c>
      <c r="S104" s="19" t="s">
        <v>248</v>
      </c>
      <c r="T104" s="19" t="s">
        <v>286</v>
      </c>
    </row>
    <row r="105" spans="1:20" x14ac:dyDescent="0.2">
      <c r="A105" s="1">
        <v>46008</v>
      </c>
      <c r="B105" s="2">
        <v>0.83333333333333337</v>
      </c>
      <c r="C105" s="19" t="s">
        <v>29</v>
      </c>
      <c r="D105" s="19" t="s">
        <v>25</v>
      </c>
      <c r="E105" s="19" t="s">
        <v>25</v>
      </c>
      <c r="F105">
        <v>2</v>
      </c>
      <c r="G105">
        <v>3</v>
      </c>
      <c r="H105">
        <v>0.78949999999999998</v>
      </c>
      <c r="I105" s="19" t="s">
        <v>249</v>
      </c>
      <c r="J105" s="19" t="s">
        <v>25</v>
      </c>
      <c r="K105">
        <v>3</v>
      </c>
      <c r="L105">
        <v>2</v>
      </c>
      <c r="M105">
        <v>-1.1100000000000001</v>
      </c>
      <c r="N105" s="19" t="s">
        <v>25</v>
      </c>
      <c r="O105" s="19" t="s">
        <v>287</v>
      </c>
      <c r="P105" s="19" t="s">
        <v>289</v>
      </c>
      <c r="Q105" s="19" t="s">
        <v>285</v>
      </c>
      <c r="R105" s="19" t="s">
        <v>248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0.83333333333333337</v>
      </c>
      <c r="C106" s="19" t="s">
        <v>35</v>
      </c>
      <c r="D106" s="19" t="s">
        <v>40</v>
      </c>
      <c r="E106" s="19" t="s">
        <v>40</v>
      </c>
      <c r="F106">
        <v>3</v>
      </c>
      <c r="G106">
        <v>4</v>
      </c>
      <c r="H106">
        <v>0.5867</v>
      </c>
      <c r="I106" s="19" t="s">
        <v>249</v>
      </c>
      <c r="J106" s="19" t="s">
        <v>40</v>
      </c>
      <c r="K106">
        <v>3</v>
      </c>
      <c r="L106">
        <v>2</v>
      </c>
      <c r="M106">
        <v>-1.06</v>
      </c>
      <c r="N106" s="19" t="s">
        <v>35</v>
      </c>
      <c r="O106" s="19" t="s">
        <v>287</v>
      </c>
      <c r="P106" s="19" t="s">
        <v>285</v>
      </c>
      <c r="Q106" s="19" t="s">
        <v>285</v>
      </c>
      <c r="R106" s="19" t="s">
        <v>249</v>
      </c>
      <c r="S106" s="19" t="s">
        <v>249</v>
      </c>
      <c r="T106" s="19" t="s">
        <v>286</v>
      </c>
    </row>
    <row r="107" spans="1:20" x14ac:dyDescent="0.2">
      <c r="A107" s="1">
        <v>46008</v>
      </c>
      <c r="B107" s="2">
        <v>0.91666666666666663</v>
      </c>
      <c r="C107" s="19" t="s">
        <v>20</v>
      </c>
      <c r="D107" s="19" t="s">
        <v>24</v>
      </c>
      <c r="E107" s="19" t="s">
        <v>24</v>
      </c>
      <c r="F107">
        <v>3</v>
      </c>
      <c r="G107">
        <v>4</v>
      </c>
      <c r="H107">
        <v>0.62290000000000001</v>
      </c>
      <c r="I107" s="19" t="s">
        <v>249</v>
      </c>
      <c r="J107" s="19" t="s">
        <v>20</v>
      </c>
      <c r="K107">
        <v>3</v>
      </c>
      <c r="L107">
        <v>2</v>
      </c>
      <c r="M107">
        <v>0.4</v>
      </c>
      <c r="N107" s="19" t="s">
        <v>24</v>
      </c>
      <c r="O107" s="19" t="s">
        <v>287</v>
      </c>
      <c r="P107" s="19" t="s">
        <v>284</v>
      </c>
      <c r="Q107" s="19" t="s">
        <v>287</v>
      </c>
      <c r="R107" s="19" t="s">
        <v>248</v>
      </c>
      <c r="S107" s="19" t="s">
        <v>249</v>
      </c>
      <c r="T107" s="19" t="s">
        <v>286</v>
      </c>
    </row>
    <row r="108" spans="1:20" x14ac:dyDescent="0.2">
      <c r="A108" s="1">
        <v>46008</v>
      </c>
      <c r="B108" s="2">
        <v>0.79166666666666663</v>
      </c>
      <c r="C108" s="19" t="s">
        <v>11</v>
      </c>
      <c r="D108" s="19" t="s">
        <v>13</v>
      </c>
      <c r="E108" s="19" t="s">
        <v>13</v>
      </c>
      <c r="F108">
        <v>3</v>
      </c>
      <c r="G108">
        <v>4</v>
      </c>
      <c r="H108">
        <v>0.58260000000000001</v>
      </c>
      <c r="I108" s="19" t="s">
        <v>249</v>
      </c>
      <c r="J108" s="19" t="s">
        <v>11</v>
      </c>
      <c r="K108">
        <v>3</v>
      </c>
      <c r="L108">
        <v>2</v>
      </c>
      <c r="M108">
        <v>0.27</v>
      </c>
      <c r="N108" s="19" t="s">
        <v>11</v>
      </c>
      <c r="O108" s="19" t="s">
        <v>291</v>
      </c>
      <c r="P108" s="19" t="s">
        <v>284</v>
      </c>
      <c r="Q108" s="19" t="s">
        <v>285</v>
      </c>
      <c r="R108" s="19" t="s">
        <v>249</v>
      </c>
      <c r="S108" s="19" t="s">
        <v>248</v>
      </c>
      <c r="T108" s="19" t="s">
        <v>286</v>
      </c>
    </row>
    <row r="109" spans="1:20" x14ac:dyDescent="0.2">
      <c r="A109" s="1">
        <v>46008</v>
      </c>
      <c r="B109" s="2">
        <v>0.8125</v>
      </c>
      <c r="C109" s="19" t="s">
        <v>26</v>
      </c>
      <c r="D109" s="19" t="s">
        <v>55</v>
      </c>
      <c r="E109" s="19" t="s">
        <v>26</v>
      </c>
      <c r="F109">
        <v>4</v>
      </c>
      <c r="G109">
        <v>3</v>
      </c>
      <c r="H109">
        <v>0.78159999999999996</v>
      </c>
      <c r="I109" s="19" t="s">
        <v>249</v>
      </c>
      <c r="J109" s="19" t="s">
        <v>55</v>
      </c>
      <c r="K109">
        <v>3</v>
      </c>
      <c r="L109">
        <v>2</v>
      </c>
      <c r="M109">
        <v>-0.24</v>
      </c>
      <c r="N109" s="19" t="s">
        <v>55</v>
      </c>
      <c r="O109" s="19" t="s">
        <v>287</v>
      </c>
      <c r="P109" s="19" t="s">
        <v>289</v>
      </c>
      <c r="Q109" s="19" t="s">
        <v>285</v>
      </c>
      <c r="R109" s="19" t="s">
        <v>249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0.79166666666666663</v>
      </c>
      <c r="C110" s="19" t="s">
        <v>21</v>
      </c>
      <c r="D110" s="19" t="s">
        <v>17</v>
      </c>
      <c r="E110" s="19" t="s">
        <v>21</v>
      </c>
      <c r="F110">
        <v>4</v>
      </c>
      <c r="G110">
        <v>2</v>
      </c>
      <c r="H110">
        <v>0.83350000000000002</v>
      </c>
      <c r="I110" s="19" t="s">
        <v>249</v>
      </c>
      <c r="J110" s="19" t="s">
        <v>21</v>
      </c>
      <c r="K110">
        <v>3</v>
      </c>
      <c r="L110">
        <v>2</v>
      </c>
      <c r="M110">
        <v>0.49</v>
      </c>
      <c r="N110" s="19" t="s">
        <v>17</v>
      </c>
      <c r="O110" s="19" t="s">
        <v>287</v>
      </c>
      <c r="P110" s="19" t="s">
        <v>291</v>
      </c>
      <c r="Q110" s="19" t="s">
        <v>285</v>
      </c>
      <c r="R110" s="19" t="s">
        <v>249</v>
      </c>
      <c r="S110" s="19" t="s">
        <v>249</v>
      </c>
      <c r="T110" s="19" t="s">
        <v>286</v>
      </c>
    </row>
    <row r="111" spans="1:20" x14ac:dyDescent="0.2">
      <c r="A111" s="1">
        <v>46009</v>
      </c>
      <c r="B111" s="2">
        <v>0.79166666666666663</v>
      </c>
      <c r="C111" s="19" t="s">
        <v>22</v>
      </c>
      <c r="D111" s="19" t="s">
        <v>19</v>
      </c>
      <c r="E111" s="19" t="s">
        <v>22</v>
      </c>
      <c r="F111">
        <v>4</v>
      </c>
      <c r="G111">
        <v>3</v>
      </c>
      <c r="H111">
        <v>0.75260000000000005</v>
      </c>
      <c r="I111" s="19" t="s">
        <v>249</v>
      </c>
      <c r="J111" s="19" t="s">
        <v>22</v>
      </c>
      <c r="K111">
        <v>3</v>
      </c>
      <c r="L111">
        <v>2</v>
      </c>
      <c r="M111">
        <v>0.7</v>
      </c>
      <c r="N111" s="19" t="s">
        <v>22</v>
      </c>
      <c r="O111" s="19" t="s">
        <v>289</v>
      </c>
      <c r="P111" s="19" t="s">
        <v>285</v>
      </c>
      <c r="Q111" s="19" t="s">
        <v>285</v>
      </c>
      <c r="R111" s="19" t="s">
        <v>248</v>
      </c>
      <c r="S111" s="19" t="s">
        <v>248</v>
      </c>
      <c r="T111" s="19" t="s">
        <v>286</v>
      </c>
    </row>
    <row r="112" spans="1:20" x14ac:dyDescent="0.2">
      <c r="A112" s="1">
        <v>46009</v>
      </c>
      <c r="B112" s="2">
        <v>0.83333333333333337</v>
      </c>
      <c r="C112" s="19" t="s">
        <v>35</v>
      </c>
      <c r="D112" s="19" t="s">
        <v>15</v>
      </c>
      <c r="E112" s="19" t="s">
        <v>15</v>
      </c>
      <c r="F112">
        <v>2</v>
      </c>
      <c r="G112">
        <v>4</v>
      </c>
      <c r="H112">
        <v>0.79800000000000004</v>
      </c>
      <c r="I112" s="19" t="s">
        <v>249</v>
      </c>
      <c r="J112" s="19" t="s">
        <v>15</v>
      </c>
      <c r="K112">
        <v>3</v>
      </c>
      <c r="L112">
        <v>2</v>
      </c>
      <c r="M112">
        <v>-0.96</v>
      </c>
      <c r="N112" s="19" t="s">
        <v>15</v>
      </c>
      <c r="O112" s="19" t="s">
        <v>287</v>
      </c>
      <c r="P112" s="19" t="s">
        <v>284</v>
      </c>
      <c r="Q112" s="19" t="s">
        <v>287</v>
      </c>
      <c r="R112" s="19" t="s">
        <v>248</v>
      </c>
      <c r="S112" s="19" t="s">
        <v>248</v>
      </c>
      <c r="T112" s="19" t="s">
        <v>286</v>
      </c>
    </row>
    <row r="113" spans="1:20" x14ac:dyDescent="0.2">
      <c r="A113" s="1">
        <v>46009</v>
      </c>
      <c r="B113" s="2">
        <v>0.8125</v>
      </c>
      <c r="C113" s="19" t="s">
        <v>23</v>
      </c>
      <c r="D113" s="19" t="s">
        <v>27</v>
      </c>
      <c r="E113" s="19" t="s">
        <v>27</v>
      </c>
      <c r="F113">
        <v>2</v>
      </c>
      <c r="G113">
        <v>3</v>
      </c>
      <c r="H113">
        <v>0.50270000000000004</v>
      </c>
      <c r="I113" s="19" t="s">
        <v>249</v>
      </c>
      <c r="J113" s="19" t="s">
        <v>27</v>
      </c>
      <c r="K113">
        <v>3</v>
      </c>
      <c r="L113">
        <v>2</v>
      </c>
      <c r="M113">
        <v>-0.48</v>
      </c>
      <c r="N113" s="19" t="s">
        <v>23</v>
      </c>
      <c r="O113" s="19" t="s">
        <v>283</v>
      </c>
      <c r="P113" s="19" t="s">
        <v>291</v>
      </c>
      <c r="Q113" s="19" t="s">
        <v>285</v>
      </c>
      <c r="R113" s="19" t="s">
        <v>249</v>
      </c>
      <c r="S113" s="19" t="s">
        <v>249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36</v>
      </c>
      <c r="D114" s="19" t="s">
        <v>14</v>
      </c>
      <c r="E114" s="19" t="s">
        <v>14</v>
      </c>
      <c r="F114">
        <v>3</v>
      </c>
      <c r="G114">
        <v>4</v>
      </c>
      <c r="H114">
        <v>0.58830000000000005</v>
      </c>
      <c r="I114" s="19" t="s">
        <v>249</v>
      </c>
      <c r="J114" s="19" t="s">
        <v>14</v>
      </c>
      <c r="K114">
        <v>3</v>
      </c>
      <c r="L114">
        <v>2</v>
      </c>
      <c r="M114">
        <v>-0.03</v>
      </c>
      <c r="N114" s="19" t="s">
        <v>36</v>
      </c>
      <c r="O114" s="19" t="s">
        <v>289</v>
      </c>
      <c r="P114" s="19" t="s">
        <v>285</v>
      </c>
      <c r="Q114" s="19" t="s">
        <v>285</v>
      </c>
      <c r="R114" s="19" t="s">
        <v>249</v>
      </c>
      <c r="S114" s="19" t="s">
        <v>249</v>
      </c>
      <c r="T114" s="19" t="s">
        <v>286</v>
      </c>
    </row>
    <row r="115" spans="1:20" x14ac:dyDescent="0.2">
      <c r="A115" s="1">
        <v>46009</v>
      </c>
      <c r="B115" s="2">
        <v>0.79166666666666663</v>
      </c>
      <c r="C115" s="19" t="s">
        <v>28</v>
      </c>
      <c r="D115" s="19" t="s">
        <v>34</v>
      </c>
      <c r="E115" s="19" t="s">
        <v>34</v>
      </c>
      <c r="F115">
        <v>2</v>
      </c>
      <c r="G115">
        <v>3</v>
      </c>
      <c r="H115">
        <v>0.75509999999999999</v>
      </c>
      <c r="I115" s="19" t="s">
        <v>249</v>
      </c>
      <c r="J115" s="19" t="s">
        <v>34</v>
      </c>
      <c r="K115">
        <v>3</v>
      </c>
      <c r="L115">
        <v>2</v>
      </c>
      <c r="M115">
        <v>-0.85</v>
      </c>
      <c r="N115" s="19" t="s">
        <v>34</v>
      </c>
      <c r="O115" s="19" t="s">
        <v>284</v>
      </c>
      <c r="P115" s="19" t="s">
        <v>283</v>
      </c>
      <c r="Q115" s="19" t="s">
        <v>285</v>
      </c>
      <c r="R115" s="19" t="s">
        <v>248</v>
      </c>
      <c r="S115" s="19" t="s">
        <v>248</v>
      </c>
      <c r="T115" s="19" t="s">
        <v>286</v>
      </c>
    </row>
    <row r="116" spans="1:20" x14ac:dyDescent="0.2">
      <c r="A116" s="1">
        <v>46009</v>
      </c>
      <c r="B116" s="2">
        <v>0.79166666666666663</v>
      </c>
      <c r="C116" s="19" t="s">
        <v>37</v>
      </c>
      <c r="D116" s="19" t="s">
        <v>13</v>
      </c>
      <c r="E116" s="19" t="s">
        <v>13</v>
      </c>
      <c r="F116">
        <v>3</v>
      </c>
      <c r="G116">
        <v>4</v>
      </c>
      <c r="H116">
        <v>0.55379999999999996</v>
      </c>
      <c r="I116" s="19" t="s">
        <v>249</v>
      </c>
      <c r="J116" s="19" t="s">
        <v>37</v>
      </c>
      <c r="K116">
        <v>3</v>
      </c>
      <c r="L116">
        <v>2</v>
      </c>
      <c r="M116">
        <v>0.76</v>
      </c>
      <c r="N116" s="19" t="s">
        <v>13</v>
      </c>
      <c r="O116" s="19" t="s">
        <v>287</v>
      </c>
      <c r="P116" s="19" t="s">
        <v>284</v>
      </c>
      <c r="Q116" s="19" t="s">
        <v>285</v>
      </c>
      <c r="R116" s="19" t="s">
        <v>248</v>
      </c>
      <c r="S116" s="19" t="s">
        <v>249</v>
      </c>
      <c r="T116" s="19" t="s">
        <v>286</v>
      </c>
    </row>
    <row r="117" spans="1:20" x14ac:dyDescent="0.2">
      <c r="A117" s="1">
        <v>46009</v>
      </c>
      <c r="B117" s="2">
        <v>0.79166666666666663</v>
      </c>
      <c r="C117" s="19" t="s">
        <v>18</v>
      </c>
      <c r="D117" s="19" t="s">
        <v>10</v>
      </c>
      <c r="E117" s="19" t="s">
        <v>18</v>
      </c>
      <c r="F117">
        <v>4</v>
      </c>
      <c r="G117">
        <v>3</v>
      </c>
      <c r="H117">
        <v>0.72230000000000005</v>
      </c>
      <c r="I117" s="19" t="s">
        <v>248</v>
      </c>
      <c r="J117" s="19" t="s">
        <v>18</v>
      </c>
      <c r="K117">
        <v>3</v>
      </c>
      <c r="L117">
        <v>2</v>
      </c>
      <c r="M117">
        <v>0.03</v>
      </c>
      <c r="N117" s="19" t="s">
        <v>18</v>
      </c>
      <c r="O117" s="19" t="s">
        <v>289</v>
      </c>
      <c r="P117" s="19" t="s">
        <v>287</v>
      </c>
      <c r="Q117" s="19" t="s">
        <v>285</v>
      </c>
      <c r="R117" s="19" t="s">
        <v>248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0.91666666666666663</v>
      </c>
      <c r="C118" s="19" t="s">
        <v>33</v>
      </c>
      <c r="D118" s="19" t="s">
        <v>39</v>
      </c>
      <c r="E118" s="19" t="s">
        <v>39</v>
      </c>
      <c r="F118">
        <v>2</v>
      </c>
      <c r="G118">
        <v>4</v>
      </c>
      <c r="H118">
        <v>0.74929999999999997</v>
      </c>
      <c r="I118" s="19" t="s">
        <v>249</v>
      </c>
      <c r="J118" s="19" t="s">
        <v>39</v>
      </c>
      <c r="K118">
        <v>3</v>
      </c>
      <c r="L118">
        <v>2</v>
      </c>
      <c r="M118">
        <v>-0.81</v>
      </c>
      <c r="N118" s="19" t="s">
        <v>39</v>
      </c>
      <c r="O118" s="19" t="s">
        <v>291</v>
      </c>
      <c r="P118" s="19" t="s">
        <v>283</v>
      </c>
      <c r="Q118" s="19" t="s">
        <v>285</v>
      </c>
      <c r="R118" s="19" t="s">
        <v>248</v>
      </c>
      <c r="S118" s="19" t="s">
        <v>248</v>
      </c>
      <c r="T118" s="19" t="s">
        <v>286</v>
      </c>
    </row>
    <row r="119" spans="1:20" x14ac:dyDescent="0.2">
      <c r="A119" s="1">
        <v>46009</v>
      </c>
      <c r="B119" s="2">
        <v>0.875</v>
      </c>
      <c r="C119" s="19" t="s">
        <v>16</v>
      </c>
      <c r="D119" s="19" t="s">
        <v>32</v>
      </c>
      <c r="E119" s="19" t="s">
        <v>32</v>
      </c>
      <c r="F119">
        <v>3</v>
      </c>
      <c r="G119">
        <v>4</v>
      </c>
      <c r="H119">
        <v>0.76790000000000003</v>
      </c>
      <c r="I119" s="19" t="s">
        <v>249</v>
      </c>
      <c r="J119" s="19" t="s">
        <v>16</v>
      </c>
      <c r="K119">
        <v>3</v>
      </c>
      <c r="L119">
        <v>2</v>
      </c>
      <c r="M119">
        <v>0.16</v>
      </c>
      <c r="N119" s="19" t="s">
        <v>16</v>
      </c>
      <c r="O119" s="19" t="s">
        <v>289</v>
      </c>
      <c r="P119" s="19" t="s">
        <v>284</v>
      </c>
      <c r="Q119" s="19" t="s">
        <v>285</v>
      </c>
      <c r="R119" s="19" t="s">
        <v>249</v>
      </c>
      <c r="S119" s="19" t="s">
        <v>248</v>
      </c>
      <c r="T119" s="19" t="s">
        <v>286</v>
      </c>
    </row>
    <row r="120" spans="1:20" x14ac:dyDescent="0.2">
      <c r="A120" s="1">
        <v>46010</v>
      </c>
      <c r="B120" s="2">
        <v>0.875</v>
      </c>
      <c r="C120" s="19" t="s">
        <v>55</v>
      </c>
      <c r="D120" s="19" t="s">
        <v>24</v>
      </c>
      <c r="E120" s="19" t="s">
        <v>24</v>
      </c>
      <c r="F120">
        <v>3</v>
      </c>
      <c r="G120">
        <v>4</v>
      </c>
      <c r="H120">
        <v>0.50349999999999995</v>
      </c>
      <c r="I120" s="19" t="s">
        <v>249</v>
      </c>
      <c r="J120" s="19" t="s">
        <v>55</v>
      </c>
      <c r="K120">
        <v>3</v>
      </c>
      <c r="L120">
        <v>2</v>
      </c>
      <c r="M120">
        <v>0.31</v>
      </c>
      <c r="N120" s="19" t="s">
        <v>24</v>
      </c>
      <c r="O120" s="19" t="s">
        <v>287</v>
      </c>
      <c r="P120" s="19" t="s">
        <v>284</v>
      </c>
      <c r="Q120" s="19" t="s">
        <v>285</v>
      </c>
      <c r="R120" s="19" t="s">
        <v>248</v>
      </c>
      <c r="S120" s="19" t="s">
        <v>249</v>
      </c>
      <c r="T120" s="19" t="s">
        <v>286</v>
      </c>
    </row>
    <row r="121" spans="1:20" x14ac:dyDescent="0.2">
      <c r="A121" s="1">
        <v>46010</v>
      </c>
      <c r="B121" s="2">
        <v>0.79166666666666663</v>
      </c>
      <c r="C121" s="19" t="s">
        <v>30</v>
      </c>
      <c r="D121" s="19" t="s">
        <v>38</v>
      </c>
      <c r="E121" s="19" t="s">
        <v>38</v>
      </c>
      <c r="F121">
        <v>2</v>
      </c>
      <c r="G121">
        <v>3</v>
      </c>
      <c r="H121">
        <v>0.56710000000000005</v>
      </c>
      <c r="I121" s="19" t="s">
        <v>249</v>
      </c>
      <c r="J121" s="19" t="s">
        <v>30</v>
      </c>
      <c r="K121">
        <v>3</v>
      </c>
      <c r="L121">
        <v>2</v>
      </c>
      <c r="M121">
        <v>1.03</v>
      </c>
      <c r="N121" s="19" t="s">
        <v>38</v>
      </c>
      <c r="O121" s="19" t="s">
        <v>287</v>
      </c>
      <c r="P121" s="19" t="s">
        <v>289</v>
      </c>
      <c r="Q121" s="19" t="s">
        <v>285</v>
      </c>
      <c r="R121" s="19" t="s">
        <v>248</v>
      </c>
      <c r="S121" s="19" t="s">
        <v>249</v>
      </c>
      <c r="T121" s="19" t="s">
        <v>286</v>
      </c>
    </row>
    <row r="122" spans="1:20" x14ac:dyDescent="0.2">
      <c r="A122" s="1">
        <v>46010</v>
      </c>
      <c r="B122" s="2">
        <v>0.91666666666666663</v>
      </c>
      <c r="C122" s="19" t="s">
        <v>31</v>
      </c>
      <c r="D122" s="19" t="s">
        <v>39</v>
      </c>
      <c r="E122" s="19" t="s">
        <v>31</v>
      </c>
      <c r="F122">
        <v>5</v>
      </c>
      <c r="G122">
        <v>3</v>
      </c>
      <c r="H122">
        <v>0.64939999999999998</v>
      </c>
      <c r="I122" s="19" t="s">
        <v>249</v>
      </c>
      <c r="J122" s="19" t="s">
        <v>39</v>
      </c>
      <c r="K122">
        <v>3</v>
      </c>
      <c r="L122">
        <v>2</v>
      </c>
      <c r="M122">
        <v>-0.37</v>
      </c>
      <c r="N122" s="19" t="s">
        <v>39</v>
      </c>
      <c r="O122" s="19" t="s">
        <v>291</v>
      </c>
      <c r="P122" s="19" t="s">
        <v>1531</v>
      </c>
      <c r="Q122" s="19" t="s">
        <v>285</v>
      </c>
      <c r="R122" s="19" t="s">
        <v>249</v>
      </c>
      <c r="S122" s="19" t="s">
        <v>248</v>
      </c>
      <c r="T122" s="19" t="s">
        <v>286</v>
      </c>
    </row>
    <row r="123" spans="1:20" x14ac:dyDescent="0.2">
      <c r="A123" s="1">
        <v>46010</v>
      </c>
      <c r="B123" s="2">
        <v>0.875</v>
      </c>
      <c r="C123" s="19" t="s">
        <v>12</v>
      </c>
      <c r="D123" s="19" t="s">
        <v>40</v>
      </c>
      <c r="E123" s="19" t="s">
        <v>12</v>
      </c>
      <c r="F123">
        <v>4</v>
      </c>
      <c r="G123">
        <v>2</v>
      </c>
      <c r="H123">
        <v>0.85950000000000004</v>
      </c>
      <c r="I123" s="19" t="s">
        <v>249</v>
      </c>
      <c r="J123" s="19" t="s">
        <v>12</v>
      </c>
      <c r="K123">
        <v>3</v>
      </c>
      <c r="L123">
        <v>2</v>
      </c>
      <c r="M123">
        <v>1.85</v>
      </c>
      <c r="N123" s="19" t="s">
        <v>12</v>
      </c>
      <c r="O123" s="19" t="s">
        <v>291</v>
      </c>
      <c r="P123" s="19" t="s">
        <v>284</v>
      </c>
      <c r="Q123" s="19" t="s">
        <v>285</v>
      </c>
      <c r="R123" s="19" t="s">
        <v>248</v>
      </c>
      <c r="S123" s="19" t="s">
        <v>248</v>
      </c>
      <c r="T123" s="19" t="s">
        <v>286</v>
      </c>
    </row>
    <row r="124" spans="1:20" x14ac:dyDescent="0.2">
      <c r="A124" s="1">
        <v>46010</v>
      </c>
      <c r="B124" s="2">
        <v>0.79166666666666663</v>
      </c>
      <c r="C124" s="19" t="s">
        <v>11</v>
      </c>
      <c r="D124" s="19" t="s">
        <v>25</v>
      </c>
      <c r="E124" s="19" t="s">
        <v>11</v>
      </c>
      <c r="F124">
        <v>4</v>
      </c>
      <c r="G124">
        <v>3</v>
      </c>
      <c r="H124">
        <v>0.61499999999999999</v>
      </c>
      <c r="I124" s="19" t="s">
        <v>249</v>
      </c>
      <c r="J124" s="19" t="s">
        <v>25</v>
      </c>
      <c r="K124">
        <v>3</v>
      </c>
      <c r="L124">
        <v>2</v>
      </c>
      <c r="M124">
        <v>-0.47</v>
      </c>
      <c r="N124" s="19" t="s">
        <v>11</v>
      </c>
      <c r="O124" s="19" t="s">
        <v>289</v>
      </c>
      <c r="P124" s="19" t="s">
        <v>291</v>
      </c>
      <c r="Q124" s="19" t="s">
        <v>287</v>
      </c>
      <c r="R124" s="19" t="s">
        <v>248</v>
      </c>
      <c r="S124" s="19" t="s">
        <v>249</v>
      </c>
      <c r="T124" s="19" t="s">
        <v>286</v>
      </c>
    </row>
    <row r="125" spans="1:20" x14ac:dyDescent="0.2">
      <c r="A125" s="1">
        <v>46011</v>
      </c>
      <c r="B125" s="2">
        <v>0.79166666666666663</v>
      </c>
      <c r="C125" s="19" t="s">
        <v>21</v>
      </c>
      <c r="D125" s="19" t="s">
        <v>38</v>
      </c>
      <c r="E125" s="19" t="s">
        <v>38</v>
      </c>
      <c r="F125">
        <v>3</v>
      </c>
      <c r="G125">
        <v>4</v>
      </c>
      <c r="H125">
        <v>0.5171</v>
      </c>
      <c r="I125" s="19" t="s">
        <v>249</v>
      </c>
      <c r="J125" s="19" t="s">
        <v>21</v>
      </c>
      <c r="K125">
        <v>3</v>
      </c>
      <c r="L125">
        <v>2</v>
      </c>
      <c r="M125">
        <v>0.75</v>
      </c>
      <c r="N125" s="19" t="s">
        <v>38</v>
      </c>
      <c r="O125" s="19" t="s">
        <v>289</v>
      </c>
      <c r="P125" s="19" t="s">
        <v>283</v>
      </c>
      <c r="Q125" s="19" t="s">
        <v>287</v>
      </c>
      <c r="R125" s="19" t="s">
        <v>248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0.79166666666666663</v>
      </c>
      <c r="C126" s="19" t="s">
        <v>29</v>
      </c>
      <c r="D126" s="19" t="s">
        <v>19</v>
      </c>
      <c r="E126" s="19" t="s">
        <v>29</v>
      </c>
      <c r="F126">
        <v>3</v>
      </c>
      <c r="G126">
        <v>2</v>
      </c>
      <c r="H126">
        <v>0.69740000000000002</v>
      </c>
      <c r="I126" s="19" t="s">
        <v>249</v>
      </c>
      <c r="J126" s="19" t="s">
        <v>19</v>
      </c>
      <c r="K126">
        <v>3</v>
      </c>
      <c r="L126">
        <v>2</v>
      </c>
      <c r="M126">
        <v>-0.41</v>
      </c>
      <c r="N126" s="19" t="s">
        <v>29</v>
      </c>
      <c r="O126" s="19" t="s">
        <v>283</v>
      </c>
      <c r="P126" s="19" t="s">
        <v>291</v>
      </c>
      <c r="Q126" s="19" t="s">
        <v>285</v>
      </c>
      <c r="R126" s="19" t="s">
        <v>248</v>
      </c>
      <c r="S126" s="19" t="s">
        <v>249</v>
      </c>
      <c r="T126" s="19" t="s">
        <v>286</v>
      </c>
    </row>
    <row r="127" spans="1:20" x14ac:dyDescent="0.2">
      <c r="A127" s="1">
        <v>46011</v>
      </c>
      <c r="B127" s="2">
        <v>0.91666666666666663</v>
      </c>
      <c r="C127" s="19" t="s">
        <v>16</v>
      </c>
      <c r="D127" s="19" t="s">
        <v>20</v>
      </c>
      <c r="E127" s="19" t="s">
        <v>20</v>
      </c>
      <c r="F127">
        <v>3</v>
      </c>
      <c r="G127">
        <v>4</v>
      </c>
      <c r="H127">
        <v>0.77259999999999995</v>
      </c>
      <c r="I127" s="19" t="s">
        <v>249</v>
      </c>
      <c r="J127" s="19" t="s">
        <v>20</v>
      </c>
      <c r="K127">
        <v>3</v>
      </c>
      <c r="L127">
        <v>2</v>
      </c>
      <c r="M127">
        <v>-0.65</v>
      </c>
      <c r="N127" s="19" t="s">
        <v>16</v>
      </c>
      <c r="O127" s="19" t="s">
        <v>288</v>
      </c>
      <c r="P127" s="19" t="s">
        <v>291</v>
      </c>
      <c r="Q127" s="19" t="s">
        <v>285</v>
      </c>
      <c r="R127" s="19" t="s">
        <v>249</v>
      </c>
      <c r="S127" s="19" t="s">
        <v>249</v>
      </c>
      <c r="T127" s="19" t="s">
        <v>286</v>
      </c>
    </row>
    <row r="128" spans="1:20" x14ac:dyDescent="0.2">
      <c r="A128" s="1">
        <v>46011</v>
      </c>
      <c r="B128" s="2">
        <v>0.91666666666666663</v>
      </c>
      <c r="C128" s="19" t="s">
        <v>31</v>
      </c>
      <c r="D128" s="19" t="s">
        <v>28</v>
      </c>
      <c r="E128" s="19" t="s">
        <v>31</v>
      </c>
      <c r="F128">
        <v>5</v>
      </c>
      <c r="G128">
        <v>3</v>
      </c>
      <c r="H128">
        <v>0.74139999999999995</v>
      </c>
      <c r="I128" s="19" t="s">
        <v>249</v>
      </c>
      <c r="J128" s="19" t="s">
        <v>31</v>
      </c>
      <c r="K128">
        <v>3</v>
      </c>
      <c r="L128">
        <v>2</v>
      </c>
      <c r="M128">
        <v>0.68</v>
      </c>
      <c r="N128" s="19" t="s">
        <v>31</v>
      </c>
      <c r="O128" s="19" t="s">
        <v>289</v>
      </c>
      <c r="P128" s="19" t="s">
        <v>291</v>
      </c>
      <c r="Q128" s="19" t="s">
        <v>285</v>
      </c>
      <c r="R128" s="19" t="s">
        <v>248</v>
      </c>
      <c r="S128" s="19" t="s">
        <v>248</v>
      </c>
      <c r="T128" s="19" t="s">
        <v>286</v>
      </c>
    </row>
    <row r="129" spans="1:20" x14ac:dyDescent="0.2">
      <c r="A129" s="1">
        <v>46011</v>
      </c>
      <c r="B129" s="2">
        <v>0.625</v>
      </c>
      <c r="C129" s="19" t="s">
        <v>34</v>
      </c>
      <c r="D129" s="19" t="s">
        <v>17</v>
      </c>
      <c r="E129" s="19" t="s">
        <v>17</v>
      </c>
      <c r="F129">
        <v>4</v>
      </c>
      <c r="G129">
        <v>5</v>
      </c>
      <c r="H129">
        <v>0.55320000000000003</v>
      </c>
      <c r="I129" s="19" t="s">
        <v>248</v>
      </c>
      <c r="J129" s="19" t="s">
        <v>34</v>
      </c>
      <c r="K129">
        <v>3</v>
      </c>
      <c r="L129">
        <v>2</v>
      </c>
      <c r="M129">
        <v>0.67</v>
      </c>
      <c r="N129" s="19" t="s">
        <v>34</v>
      </c>
      <c r="O129" s="19" t="s">
        <v>283</v>
      </c>
      <c r="P129" s="19" t="s">
        <v>284</v>
      </c>
      <c r="Q129" s="19" t="s">
        <v>285</v>
      </c>
      <c r="R129" s="19" t="s">
        <v>249</v>
      </c>
      <c r="S129" s="19" t="s">
        <v>248</v>
      </c>
      <c r="T129" s="19" t="s">
        <v>286</v>
      </c>
    </row>
    <row r="130" spans="1:20" x14ac:dyDescent="0.2">
      <c r="A130" s="1">
        <v>46011</v>
      </c>
      <c r="B130" s="2">
        <v>0.625</v>
      </c>
      <c r="C130" s="19" t="s">
        <v>36</v>
      </c>
      <c r="D130" s="19" t="s">
        <v>10</v>
      </c>
      <c r="E130" s="19" t="s">
        <v>36</v>
      </c>
      <c r="F130">
        <v>3</v>
      </c>
      <c r="G130">
        <v>2</v>
      </c>
      <c r="H130">
        <v>0.54479999999999995</v>
      </c>
      <c r="I130" s="19" t="s">
        <v>249</v>
      </c>
      <c r="J130" s="19" t="s">
        <v>36</v>
      </c>
      <c r="K130">
        <v>3</v>
      </c>
      <c r="L130">
        <v>2</v>
      </c>
      <c r="M130">
        <v>0.51</v>
      </c>
      <c r="N130" s="19" t="s">
        <v>36</v>
      </c>
      <c r="O130" s="19" t="s">
        <v>288</v>
      </c>
      <c r="P130" s="19" t="s">
        <v>289</v>
      </c>
      <c r="Q130" s="19" t="s">
        <v>285</v>
      </c>
      <c r="R130" s="19" t="s">
        <v>248</v>
      </c>
      <c r="S130" s="19" t="s">
        <v>248</v>
      </c>
      <c r="T130" s="19" t="s">
        <v>286</v>
      </c>
    </row>
    <row r="131" spans="1:20" x14ac:dyDescent="0.2">
      <c r="A131" s="1">
        <v>46011</v>
      </c>
      <c r="B131" s="2">
        <v>0.70833333333333337</v>
      </c>
      <c r="C131" s="19" t="s">
        <v>23</v>
      </c>
      <c r="D131" s="19" t="s">
        <v>30</v>
      </c>
      <c r="E131" s="19" t="s">
        <v>30</v>
      </c>
      <c r="F131">
        <v>2</v>
      </c>
      <c r="G131">
        <v>3</v>
      </c>
      <c r="H131">
        <v>0.63270000000000004</v>
      </c>
      <c r="I131" s="19" t="s">
        <v>249</v>
      </c>
      <c r="J131" s="19" t="s">
        <v>30</v>
      </c>
      <c r="K131">
        <v>3</v>
      </c>
      <c r="L131">
        <v>2</v>
      </c>
      <c r="M131">
        <v>-0.45</v>
      </c>
      <c r="N131" s="19" t="s">
        <v>23</v>
      </c>
      <c r="O131" s="19" t="s">
        <v>291</v>
      </c>
      <c r="P131" s="19" t="s">
        <v>284</v>
      </c>
      <c r="Q131" s="19" t="s">
        <v>287</v>
      </c>
      <c r="R131" s="19" t="s">
        <v>249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0.91666666666666663</v>
      </c>
      <c r="C132" s="19" t="s">
        <v>33</v>
      </c>
      <c r="D132" s="19" t="s">
        <v>32</v>
      </c>
      <c r="E132" s="19" t="s">
        <v>33</v>
      </c>
      <c r="F132">
        <v>4</v>
      </c>
      <c r="G132">
        <v>3</v>
      </c>
      <c r="H132">
        <v>0.73929999999999996</v>
      </c>
      <c r="I132" s="19" t="s">
        <v>248</v>
      </c>
      <c r="J132" s="19" t="s">
        <v>33</v>
      </c>
      <c r="K132">
        <v>3</v>
      </c>
      <c r="L132">
        <v>2</v>
      </c>
      <c r="M132">
        <v>0.57999999999999996</v>
      </c>
      <c r="N132" s="19" t="s">
        <v>32</v>
      </c>
      <c r="O132" s="19" t="s">
        <v>284</v>
      </c>
      <c r="P132" s="19" t="s">
        <v>289</v>
      </c>
      <c r="Q132" s="19" t="s">
        <v>285</v>
      </c>
      <c r="R132" s="19" t="s">
        <v>249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0.79166666666666663</v>
      </c>
      <c r="C133" s="19" t="s">
        <v>18</v>
      </c>
      <c r="D133" s="19" t="s">
        <v>14</v>
      </c>
      <c r="E133" s="19" t="s">
        <v>14</v>
      </c>
      <c r="F133">
        <v>3</v>
      </c>
      <c r="G133">
        <v>4</v>
      </c>
      <c r="H133">
        <v>0.5988</v>
      </c>
      <c r="I133" s="19" t="s">
        <v>249</v>
      </c>
      <c r="J133" s="19" t="s">
        <v>14</v>
      </c>
      <c r="K133">
        <v>3</v>
      </c>
      <c r="L133">
        <v>2</v>
      </c>
      <c r="M133">
        <v>-0.11</v>
      </c>
      <c r="N133" s="19" t="s">
        <v>18</v>
      </c>
      <c r="O133" s="19" t="s">
        <v>289</v>
      </c>
      <c r="P133" s="19" t="s">
        <v>285</v>
      </c>
      <c r="Q133" s="19" t="s">
        <v>285</v>
      </c>
      <c r="R133" s="19" t="s">
        <v>249</v>
      </c>
      <c r="S133" s="19" t="s">
        <v>249</v>
      </c>
      <c r="T133" s="19" t="s">
        <v>286</v>
      </c>
    </row>
    <row r="134" spans="1:20" x14ac:dyDescent="0.2">
      <c r="A134" s="1">
        <v>46011</v>
      </c>
      <c r="B134" s="2">
        <v>0.52083333333333337</v>
      </c>
      <c r="C134" s="19" t="s">
        <v>22</v>
      </c>
      <c r="D134" s="19" t="s">
        <v>26</v>
      </c>
      <c r="E134" s="19" t="s">
        <v>22</v>
      </c>
      <c r="F134">
        <v>4</v>
      </c>
      <c r="G134">
        <v>3</v>
      </c>
      <c r="H134">
        <v>0.57709999999999995</v>
      </c>
      <c r="I134" s="19" t="s">
        <v>249</v>
      </c>
      <c r="J134" s="19" t="s">
        <v>22</v>
      </c>
      <c r="K134">
        <v>3</v>
      </c>
      <c r="L134">
        <v>2</v>
      </c>
      <c r="M134">
        <v>1.1000000000000001</v>
      </c>
      <c r="N134" s="19" t="s">
        <v>26</v>
      </c>
      <c r="O134" s="19" t="s">
        <v>284</v>
      </c>
      <c r="P134" s="19" t="s">
        <v>283</v>
      </c>
      <c r="Q134" s="19" t="s">
        <v>285</v>
      </c>
      <c r="R134" s="19" t="s">
        <v>249</v>
      </c>
      <c r="S134" s="19" t="s">
        <v>249</v>
      </c>
      <c r="T134" s="19" t="s">
        <v>286</v>
      </c>
    </row>
    <row r="135" spans="1:20" x14ac:dyDescent="0.2">
      <c r="A135" s="1">
        <v>46011</v>
      </c>
      <c r="B135" s="2">
        <v>0.52083333333333337</v>
      </c>
      <c r="C135" s="19" t="s">
        <v>15</v>
      </c>
      <c r="D135" s="19" t="s">
        <v>27</v>
      </c>
      <c r="E135" s="19" t="s">
        <v>27</v>
      </c>
      <c r="F135">
        <v>1</v>
      </c>
      <c r="G135">
        <v>3</v>
      </c>
      <c r="H135">
        <v>0.91959999999999997</v>
      </c>
      <c r="I135" s="19" t="s">
        <v>249</v>
      </c>
      <c r="J135" s="19" t="s">
        <v>27</v>
      </c>
      <c r="K135">
        <v>3</v>
      </c>
      <c r="L135">
        <v>2</v>
      </c>
      <c r="M135">
        <v>-0.19</v>
      </c>
      <c r="N135" s="19" t="s">
        <v>15</v>
      </c>
      <c r="O135" s="19" t="s">
        <v>283</v>
      </c>
      <c r="P135" s="19" t="s">
        <v>289</v>
      </c>
      <c r="Q135" s="19" t="s">
        <v>287</v>
      </c>
      <c r="R135" s="19" t="s">
        <v>249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0.79166666666666663</v>
      </c>
      <c r="C136" s="19" t="s">
        <v>37</v>
      </c>
      <c r="D136" s="19" t="s">
        <v>25</v>
      </c>
      <c r="E136" s="19" t="s">
        <v>25</v>
      </c>
      <c r="F136">
        <v>2</v>
      </c>
      <c r="G136">
        <v>3</v>
      </c>
      <c r="H136">
        <v>0.55740000000000001</v>
      </c>
      <c r="I136" s="19" t="s">
        <v>249</v>
      </c>
      <c r="J136" s="19" t="s">
        <v>25</v>
      </c>
      <c r="K136">
        <v>3</v>
      </c>
      <c r="L136">
        <v>2</v>
      </c>
      <c r="M136">
        <v>-0.03</v>
      </c>
      <c r="N136" s="19" t="s">
        <v>37</v>
      </c>
      <c r="O136" s="19" t="s">
        <v>288</v>
      </c>
      <c r="P136" s="19" t="s">
        <v>289</v>
      </c>
      <c r="Q136" s="19" t="s">
        <v>285</v>
      </c>
      <c r="R136" s="19" t="s">
        <v>249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0.75</v>
      </c>
      <c r="C137" s="19" t="s">
        <v>11</v>
      </c>
      <c r="D137" s="19" t="s">
        <v>35</v>
      </c>
      <c r="E137" s="19" t="s">
        <v>35</v>
      </c>
      <c r="F137">
        <v>4</v>
      </c>
      <c r="G137">
        <v>5</v>
      </c>
      <c r="H137">
        <v>0.5121</v>
      </c>
      <c r="I137" s="19" t="s">
        <v>249</v>
      </c>
      <c r="J137" s="19" t="s">
        <v>11</v>
      </c>
      <c r="K137">
        <v>3</v>
      </c>
      <c r="L137">
        <v>2</v>
      </c>
      <c r="M137">
        <v>1.4</v>
      </c>
      <c r="N137" s="19" t="s">
        <v>35</v>
      </c>
      <c r="O137" s="19" t="s">
        <v>284</v>
      </c>
      <c r="P137" s="19" t="s">
        <v>288</v>
      </c>
      <c r="Q137" s="19" t="s">
        <v>285</v>
      </c>
      <c r="R137" s="19" t="s">
        <v>248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0.79166666666666663</v>
      </c>
      <c r="C138" s="19" t="s">
        <v>24</v>
      </c>
      <c r="D138" s="19" t="s">
        <v>23</v>
      </c>
      <c r="E138" s="19" t="s">
        <v>24</v>
      </c>
      <c r="F138">
        <v>4</v>
      </c>
      <c r="G138">
        <v>3</v>
      </c>
      <c r="H138">
        <v>0.79630000000000001</v>
      </c>
      <c r="I138" s="19" t="s">
        <v>249</v>
      </c>
      <c r="J138" s="19" t="s">
        <v>24</v>
      </c>
      <c r="K138">
        <v>3</v>
      </c>
      <c r="L138">
        <v>2</v>
      </c>
      <c r="M138">
        <v>0.14000000000000001</v>
      </c>
      <c r="N138" s="19" t="s">
        <v>23</v>
      </c>
      <c r="O138" s="19" t="s">
        <v>287</v>
      </c>
      <c r="P138" s="19" t="s">
        <v>291</v>
      </c>
      <c r="Q138" s="19" t="s">
        <v>285</v>
      </c>
      <c r="R138" s="19" t="s">
        <v>249</v>
      </c>
      <c r="S138" s="19" t="s">
        <v>249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29</v>
      </c>
      <c r="D139" s="19" t="s">
        <v>15</v>
      </c>
      <c r="E139" s="19" t="s">
        <v>15</v>
      </c>
      <c r="F139">
        <v>2</v>
      </c>
      <c r="G139">
        <v>3</v>
      </c>
      <c r="H139">
        <v>0.60660000000000003</v>
      </c>
      <c r="I139" s="19" t="s">
        <v>249</v>
      </c>
      <c r="J139" s="19" t="s">
        <v>15</v>
      </c>
      <c r="K139">
        <v>3</v>
      </c>
      <c r="L139">
        <v>2</v>
      </c>
      <c r="M139">
        <v>-0.36</v>
      </c>
      <c r="N139" s="19" t="s">
        <v>29</v>
      </c>
      <c r="O139" s="19" t="s">
        <v>284</v>
      </c>
      <c r="P139" s="19" t="s">
        <v>287</v>
      </c>
      <c r="Q139" s="19" t="s">
        <v>285</v>
      </c>
      <c r="R139" s="19" t="s">
        <v>249</v>
      </c>
      <c r="S139" s="19" t="s">
        <v>249</v>
      </c>
      <c r="T139" s="19" t="s">
        <v>286</v>
      </c>
    </row>
    <row r="140" spans="1:20" x14ac:dyDescent="0.2">
      <c r="A140" s="1">
        <v>46012</v>
      </c>
      <c r="B140" s="2">
        <v>0.79166666666666663</v>
      </c>
      <c r="C140" s="19" t="s">
        <v>55</v>
      </c>
      <c r="D140" s="19" t="s">
        <v>40</v>
      </c>
      <c r="E140" s="19" t="s">
        <v>55</v>
      </c>
      <c r="F140">
        <v>3</v>
      </c>
      <c r="G140">
        <v>2</v>
      </c>
      <c r="H140">
        <v>0.69499999999999995</v>
      </c>
      <c r="I140" s="19" t="s">
        <v>249</v>
      </c>
      <c r="J140" s="19" t="s">
        <v>55</v>
      </c>
      <c r="K140">
        <v>3</v>
      </c>
      <c r="L140">
        <v>2</v>
      </c>
      <c r="M140">
        <v>0.23</v>
      </c>
      <c r="N140" s="19" t="s">
        <v>55</v>
      </c>
      <c r="O140" s="19" t="s">
        <v>289</v>
      </c>
      <c r="P140" s="19" t="s">
        <v>291</v>
      </c>
      <c r="Q140" s="19" t="s">
        <v>287</v>
      </c>
      <c r="R140" s="19" t="s">
        <v>248</v>
      </c>
      <c r="S140" s="19" t="s">
        <v>248</v>
      </c>
      <c r="T140" s="19" t="s">
        <v>286</v>
      </c>
    </row>
    <row r="141" spans="1:20" x14ac:dyDescent="0.2">
      <c r="A141" s="1">
        <v>46012</v>
      </c>
      <c r="B141" s="2">
        <v>0.79166666666666663</v>
      </c>
      <c r="C141" s="19" t="s">
        <v>21</v>
      </c>
      <c r="D141" s="19" t="s">
        <v>36</v>
      </c>
      <c r="E141" s="19" t="s">
        <v>21</v>
      </c>
      <c r="F141">
        <v>4</v>
      </c>
      <c r="G141">
        <v>3</v>
      </c>
      <c r="H141">
        <v>0.69989999999999997</v>
      </c>
      <c r="I141" s="19" t="s">
        <v>248</v>
      </c>
      <c r="J141" s="19" t="s">
        <v>21</v>
      </c>
      <c r="K141">
        <v>3</v>
      </c>
      <c r="L141">
        <v>2</v>
      </c>
      <c r="M141">
        <v>0.21</v>
      </c>
      <c r="N141" s="19" t="s">
        <v>36</v>
      </c>
      <c r="O141" s="19" t="s">
        <v>284</v>
      </c>
      <c r="P141" s="19" t="s">
        <v>288</v>
      </c>
      <c r="Q141" s="19" t="s">
        <v>285</v>
      </c>
      <c r="R141" s="19" t="s">
        <v>249</v>
      </c>
      <c r="S141" s="19" t="s">
        <v>249</v>
      </c>
      <c r="T141" s="19" t="s">
        <v>286</v>
      </c>
    </row>
    <row r="142" spans="1:20" x14ac:dyDescent="0.2">
      <c r="A142" s="1">
        <v>46012</v>
      </c>
      <c r="B142" s="2">
        <v>0.79166666666666663</v>
      </c>
      <c r="C142" s="19" t="s">
        <v>39</v>
      </c>
      <c r="D142" s="19" t="s">
        <v>19</v>
      </c>
      <c r="E142" s="19" t="s">
        <v>39</v>
      </c>
      <c r="F142">
        <v>4</v>
      </c>
      <c r="G142">
        <v>3</v>
      </c>
      <c r="H142">
        <v>0.5847</v>
      </c>
      <c r="I142" s="19" t="s">
        <v>249</v>
      </c>
      <c r="J142" s="19" t="s">
        <v>39</v>
      </c>
      <c r="K142">
        <v>3</v>
      </c>
      <c r="L142">
        <v>2</v>
      </c>
      <c r="M142">
        <v>1.0900000000000001</v>
      </c>
      <c r="N142" s="19" t="s">
        <v>39</v>
      </c>
      <c r="O142" s="19" t="s">
        <v>283</v>
      </c>
      <c r="P142" s="19" t="s">
        <v>287</v>
      </c>
      <c r="Q142" s="19" t="s">
        <v>285</v>
      </c>
      <c r="R142" s="19" t="s">
        <v>248</v>
      </c>
      <c r="S142" s="19" t="s">
        <v>248</v>
      </c>
      <c r="T142" s="19" t="s">
        <v>286</v>
      </c>
    </row>
    <row r="143" spans="1:20" x14ac:dyDescent="0.2">
      <c r="A143" s="1">
        <v>46012</v>
      </c>
      <c r="B143" s="2">
        <v>0.54166666666666663</v>
      </c>
      <c r="C143" s="19" t="s">
        <v>26</v>
      </c>
      <c r="D143" s="19" t="s">
        <v>22</v>
      </c>
      <c r="E143" s="19" t="s">
        <v>26</v>
      </c>
      <c r="F143">
        <v>5</v>
      </c>
      <c r="G143">
        <v>4</v>
      </c>
      <c r="H143">
        <v>0.50509999999999999</v>
      </c>
      <c r="I143" s="19" t="s">
        <v>249</v>
      </c>
      <c r="J143" s="19" t="s">
        <v>22</v>
      </c>
      <c r="K143">
        <v>3</v>
      </c>
      <c r="L143">
        <v>2</v>
      </c>
      <c r="M143">
        <v>-0.73</v>
      </c>
      <c r="N143" s="19" t="s">
        <v>26</v>
      </c>
      <c r="O143" s="19" t="s">
        <v>291</v>
      </c>
      <c r="P143" s="19" t="s">
        <v>284</v>
      </c>
      <c r="Q143" s="19" t="s">
        <v>287</v>
      </c>
      <c r="R143" s="19" t="s">
        <v>248</v>
      </c>
      <c r="S143" s="19" t="s">
        <v>249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14</v>
      </c>
      <c r="D144" s="19" t="s">
        <v>18</v>
      </c>
      <c r="E144" s="19" t="s">
        <v>18</v>
      </c>
      <c r="F144">
        <v>2</v>
      </c>
      <c r="G144">
        <v>4</v>
      </c>
      <c r="H144">
        <v>0.80289999999999995</v>
      </c>
      <c r="I144" s="19" t="s">
        <v>249</v>
      </c>
      <c r="J144" s="19" t="s">
        <v>14</v>
      </c>
      <c r="K144">
        <v>3</v>
      </c>
      <c r="L144">
        <v>2</v>
      </c>
      <c r="M144">
        <v>0.01</v>
      </c>
      <c r="N144" s="19" t="s">
        <v>14</v>
      </c>
      <c r="O144" s="19" t="s">
        <v>289</v>
      </c>
      <c r="P144" s="19" t="s">
        <v>291</v>
      </c>
      <c r="Q144" s="19" t="s">
        <v>287</v>
      </c>
      <c r="R144" s="19" t="s">
        <v>249</v>
      </c>
      <c r="S144" s="19" t="s">
        <v>248</v>
      </c>
      <c r="T144" s="19" t="s">
        <v>286</v>
      </c>
    </row>
    <row r="145" spans="1:20" x14ac:dyDescent="0.2">
      <c r="A145" s="1">
        <v>46012</v>
      </c>
      <c r="B145" s="2">
        <v>0.83333333333333337</v>
      </c>
      <c r="C145" s="19" t="s">
        <v>17</v>
      </c>
      <c r="D145" s="19" t="s">
        <v>20</v>
      </c>
      <c r="E145" s="19" t="s">
        <v>17</v>
      </c>
      <c r="F145">
        <v>3</v>
      </c>
      <c r="G145">
        <v>2</v>
      </c>
      <c r="H145">
        <v>0.67889999999999995</v>
      </c>
      <c r="I145" s="19" t="s">
        <v>249</v>
      </c>
      <c r="J145" s="19" t="s">
        <v>20</v>
      </c>
      <c r="K145">
        <v>3</v>
      </c>
      <c r="L145">
        <v>2</v>
      </c>
      <c r="M145">
        <v>-0.09</v>
      </c>
      <c r="N145" s="19" t="s">
        <v>17</v>
      </c>
      <c r="O145" s="19" t="s">
        <v>289</v>
      </c>
      <c r="P145" s="19" t="s">
        <v>291</v>
      </c>
      <c r="Q145" s="19" t="s">
        <v>285</v>
      </c>
      <c r="R145" s="19" t="s">
        <v>248</v>
      </c>
      <c r="S145" s="19" t="s">
        <v>249</v>
      </c>
      <c r="T145" s="19" t="s">
        <v>286</v>
      </c>
    </row>
    <row r="146" spans="1:20" x14ac:dyDescent="0.2">
      <c r="A146" s="1">
        <v>46012</v>
      </c>
      <c r="B146" s="2">
        <v>0.75</v>
      </c>
      <c r="C146" s="19" t="s">
        <v>34</v>
      </c>
      <c r="D146" s="19" t="s">
        <v>12</v>
      </c>
      <c r="E146" s="19" t="s">
        <v>34</v>
      </c>
      <c r="F146">
        <v>4</v>
      </c>
      <c r="G146">
        <v>3</v>
      </c>
      <c r="H146">
        <v>0.91279999999999994</v>
      </c>
      <c r="I146" s="19" t="s">
        <v>248</v>
      </c>
      <c r="J146" s="19" t="s">
        <v>12</v>
      </c>
      <c r="K146">
        <v>3</v>
      </c>
      <c r="L146">
        <v>2</v>
      </c>
      <c r="M146">
        <v>-0.94</v>
      </c>
      <c r="N146" s="19" t="s">
        <v>12</v>
      </c>
      <c r="O146" s="19" t="s">
        <v>287</v>
      </c>
      <c r="P146" s="19" t="s">
        <v>283</v>
      </c>
      <c r="Q146" s="19" t="s">
        <v>285</v>
      </c>
      <c r="R146" s="19" t="s">
        <v>249</v>
      </c>
      <c r="S146" s="19" t="s">
        <v>248</v>
      </c>
      <c r="T146" s="19" t="s">
        <v>286</v>
      </c>
    </row>
    <row r="147" spans="1:20" x14ac:dyDescent="0.2">
      <c r="A147" s="1">
        <v>46013</v>
      </c>
      <c r="B147" s="2">
        <v>0.79166666666666663</v>
      </c>
      <c r="C147" s="19" t="s">
        <v>37</v>
      </c>
      <c r="D147" s="19" t="s">
        <v>35</v>
      </c>
      <c r="E147" s="19" t="s">
        <v>37</v>
      </c>
      <c r="F147">
        <v>3</v>
      </c>
      <c r="G147">
        <v>2</v>
      </c>
      <c r="H147">
        <v>0.62280000000000002</v>
      </c>
      <c r="I147" s="19" t="s">
        <v>249</v>
      </c>
      <c r="J147" s="19" t="s">
        <v>37</v>
      </c>
      <c r="K147">
        <v>3</v>
      </c>
      <c r="L147">
        <v>2</v>
      </c>
      <c r="M147">
        <v>1.66</v>
      </c>
      <c r="N147" s="19" t="s">
        <v>37</v>
      </c>
      <c r="O147" s="19" t="s">
        <v>289</v>
      </c>
      <c r="P147" s="19" t="s">
        <v>287</v>
      </c>
      <c r="Q147" s="19" t="s">
        <v>285</v>
      </c>
      <c r="R147" s="19" t="s">
        <v>248</v>
      </c>
      <c r="S147" s="19" t="s">
        <v>248</v>
      </c>
      <c r="T147" s="19" t="s">
        <v>286</v>
      </c>
    </row>
    <row r="148" spans="1:20" x14ac:dyDescent="0.2">
      <c r="A148" s="1">
        <v>46013</v>
      </c>
      <c r="B148" s="2">
        <v>0.8125</v>
      </c>
      <c r="C148" s="19" t="s">
        <v>27</v>
      </c>
      <c r="D148" s="19" t="s">
        <v>38</v>
      </c>
      <c r="E148" s="19" t="s">
        <v>38</v>
      </c>
      <c r="F148">
        <v>2</v>
      </c>
      <c r="G148">
        <v>4</v>
      </c>
      <c r="H148">
        <v>0.83520000000000005</v>
      </c>
      <c r="I148" s="19" t="s">
        <v>249</v>
      </c>
      <c r="J148" s="19" t="s">
        <v>27</v>
      </c>
      <c r="K148">
        <v>3</v>
      </c>
      <c r="L148">
        <v>2</v>
      </c>
      <c r="M148">
        <v>0.57999999999999996</v>
      </c>
      <c r="N148" s="19" t="s">
        <v>27</v>
      </c>
      <c r="O148" s="19" t="s">
        <v>283</v>
      </c>
      <c r="P148" s="19" t="s">
        <v>284</v>
      </c>
      <c r="Q148" s="19" t="s">
        <v>285</v>
      </c>
      <c r="R148" s="19" t="s">
        <v>249</v>
      </c>
      <c r="S148" s="19" t="s">
        <v>248</v>
      </c>
      <c r="T148" s="19" t="s">
        <v>286</v>
      </c>
    </row>
    <row r="149" spans="1:20" x14ac:dyDescent="0.2">
      <c r="A149" s="1">
        <v>46013</v>
      </c>
      <c r="B149" s="2">
        <v>0.91666666666666663</v>
      </c>
      <c r="C149" s="19" t="s">
        <v>31</v>
      </c>
      <c r="D149" s="19" t="s">
        <v>32</v>
      </c>
      <c r="E149" s="19" t="s">
        <v>31</v>
      </c>
      <c r="F149">
        <v>5</v>
      </c>
      <c r="G149">
        <v>1</v>
      </c>
      <c r="H149">
        <v>0.85919999999999996</v>
      </c>
      <c r="I149" s="19" t="s">
        <v>249</v>
      </c>
      <c r="J149" s="19" t="s">
        <v>31</v>
      </c>
      <c r="K149">
        <v>3</v>
      </c>
      <c r="L149">
        <v>2</v>
      </c>
      <c r="M149">
        <v>0.88</v>
      </c>
      <c r="N149" s="19" t="s">
        <v>32</v>
      </c>
      <c r="O149" s="19" t="s">
        <v>287</v>
      </c>
      <c r="P149" s="19" t="s">
        <v>291</v>
      </c>
      <c r="Q149" s="19" t="s">
        <v>285</v>
      </c>
      <c r="R149" s="19" t="s">
        <v>249</v>
      </c>
      <c r="S149" s="19" t="s">
        <v>249</v>
      </c>
      <c r="T149" s="19" t="s">
        <v>286</v>
      </c>
    </row>
    <row r="150" spans="1:20" x14ac:dyDescent="0.2">
      <c r="A150" s="1">
        <v>46013</v>
      </c>
      <c r="B150" s="2">
        <v>0.91666666666666663</v>
      </c>
      <c r="C150" s="19" t="s">
        <v>13</v>
      </c>
      <c r="D150" s="19" t="s">
        <v>28</v>
      </c>
      <c r="E150" s="19" t="s">
        <v>13</v>
      </c>
      <c r="F150">
        <v>4</v>
      </c>
      <c r="G150">
        <v>2</v>
      </c>
      <c r="H150">
        <v>0.52090000000000003</v>
      </c>
      <c r="I150" s="19" t="s">
        <v>249</v>
      </c>
      <c r="J150" s="19" t="s">
        <v>13</v>
      </c>
      <c r="K150">
        <v>3</v>
      </c>
      <c r="L150">
        <v>2</v>
      </c>
      <c r="M150">
        <v>0.55000000000000004</v>
      </c>
      <c r="N150" s="19" t="s">
        <v>28</v>
      </c>
      <c r="O150" s="19" t="s">
        <v>287</v>
      </c>
      <c r="P150" s="19" t="s">
        <v>291</v>
      </c>
      <c r="Q150" s="19" t="s">
        <v>285</v>
      </c>
      <c r="R150" s="19" t="s">
        <v>249</v>
      </c>
      <c r="S150" s="19" t="s">
        <v>249</v>
      </c>
      <c r="T150" s="19" t="s">
        <v>286</v>
      </c>
    </row>
    <row r="151" spans="1:20" x14ac:dyDescent="0.2">
      <c r="A151" s="1">
        <v>46014</v>
      </c>
      <c r="B151" s="2">
        <v>0.66666666666666663</v>
      </c>
      <c r="C151" s="19" t="s">
        <v>19</v>
      </c>
      <c r="D151" s="19" t="s">
        <v>14</v>
      </c>
      <c r="E151" s="19" t="s">
        <v>19</v>
      </c>
      <c r="F151">
        <v>4</v>
      </c>
      <c r="G151">
        <v>3</v>
      </c>
      <c r="H151">
        <v>0.72040000000000004</v>
      </c>
      <c r="I151" s="19" t="s">
        <v>249</v>
      </c>
      <c r="J151" s="19" t="s">
        <v>14</v>
      </c>
      <c r="K151">
        <v>3</v>
      </c>
      <c r="L151">
        <v>2</v>
      </c>
      <c r="M151">
        <v>-0.05</v>
      </c>
      <c r="N151" s="19" t="s">
        <v>19</v>
      </c>
      <c r="O151" s="19" t="s">
        <v>288</v>
      </c>
      <c r="P151" s="19" t="s">
        <v>291</v>
      </c>
      <c r="Q151" s="19" t="s">
        <v>285</v>
      </c>
      <c r="R151" s="19" t="s">
        <v>248</v>
      </c>
      <c r="S151" s="19" t="s">
        <v>249</v>
      </c>
      <c r="T151" s="19" t="s">
        <v>286</v>
      </c>
    </row>
    <row r="152" spans="1:20" x14ac:dyDescent="0.2">
      <c r="A152" s="1">
        <v>46014</v>
      </c>
      <c r="B152" s="2">
        <v>0.79166666666666663</v>
      </c>
      <c r="C152" s="19" t="s">
        <v>30</v>
      </c>
      <c r="D152" s="19" t="s">
        <v>24</v>
      </c>
      <c r="E152" s="19" t="s">
        <v>24</v>
      </c>
      <c r="F152">
        <v>3</v>
      </c>
      <c r="G152">
        <v>4</v>
      </c>
      <c r="H152">
        <v>0.6946</v>
      </c>
      <c r="I152" s="19" t="s">
        <v>249</v>
      </c>
      <c r="J152" s="19" t="s">
        <v>30</v>
      </c>
      <c r="K152">
        <v>3</v>
      </c>
      <c r="L152">
        <v>2</v>
      </c>
      <c r="M152">
        <v>0.33</v>
      </c>
      <c r="N152" s="19" t="s">
        <v>30</v>
      </c>
      <c r="O152" s="19" t="s">
        <v>284</v>
      </c>
      <c r="P152" s="19" t="s">
        <v>287</v>
      </c>
      <c r="Q152" s="19" t="s">
        <v>285</v>
      </c>
      <c r="R152" s="19" t="s">
        <v>249</v>
      </c>
      <c r="S152" s="19" t="s">
        <v>248</v>
      </c>
      <c r="T152" s="19" t="s">
        <v>286</v>
      </c>
    </row>
    <row r="153" spans="1:20" x14ac:dyDescent="0.2">
      <c r="A153" s="1">
        <v>46014</v>
      </c>
      <c r="B153" s="2">
        <v>0.79166666666666663</v>
      </c>
      <c r="C153" s="19" t="s">
        <v>22</v>
      </c>
      <c r="D153" s="19" t="s">
        <v>15</v>
      </c>
      <c r="E153" s="19" t="s">
        <v>15</v>
      </c>
      <c r="F153">
        <v>3</v>
      </c>
      <c r="G153">
        <v>4</v>
      </c>
      <c r="H153">
        <v>0.76980000000000004</v>
      </c>
      <c r="I153" s="19" t="s">
        <v>249</v>
      </c>
      <c r="J153" s="19" t="s">
        <v>22</v>
      </c>
      <c r="K153">
        <v>3</v>
      </c>
      <c r="L153">
        <v>2</v>
      </c>
      <c r="M153">
        <v>0.68</v>
      </c>
      <c r="N153" s="19" t="s">
        <v>15</v>
      </c>
      <c r="O153" s="19" t="s">
        <v>291</v>
      </c>
      <c r="P153" s="19" t="s">
        <v>292</v>
      </c>
      <c r="Q153" s="19" t="s">
        <v>285</v>
      </c>
      <c r="R153" s="19" t="s">
        <v>248</v>
      </c>
      <c r="S153" s="19" t="s">
        <v>249</v>
      </c>
      <c r="T153" s="19" t="s">
        <v>286</v>
      </c>
    </row>
    <row r="154" spans="1:20" x14ac:dyDescent="0.2">
      <c r="A154" s="1">
        <v>46014</v>
      </c>
      <c r="B154" s="2">
        <v>0.875</v>
      </c>
      <c r="C154" s="19" t="s">
        <v>17</v>
      </c>
      <c r="D154" s="19" t="s">
        <v>16</v>
      </c>
      <c r="E154" s="19" t="s">
        <v>16</v>
      </c>
      <c r="F154">
        <v>3</v>
      </c>
      <c r="G154">
        <v>4</v>
      </c>
      <c r="H154">
        <v>0.622</v>
      </c>
      <c r="I154" s="19" t="s">
        <v>248</v>
      </c>
      <c r="J154" s="19" t="s">
        <v>17</v>
      </c>
      <c r="K154">
        <v>3</v>
      </c>
      <c r="L154">
        <v>2</v>
      </c>
      <c r="M154">
        <v>0.43</v>
      </c>
      <c r="N154" s="19" t="s">
        <v>17</v>
      </c>
      <c r="O154" s="19" t="s">
        <v>283</v>
      </c>
      <c r="P154" s="19" t="s">
        <v>287</v>
      </c>
      <c r="Q154" s="19" t="s">
        <v>285</v>
      </c>
      <c r="R154" s="19" t="s">
        <v>249</v>
      </c>
      <c r="S154" s="19" t="s">
        <v>248</v>
      </c>
      <c r="T154" s="19" t="s">
        <v>286</v>
      </c>
    </row>
    <row r="155" spans="1:20" x14ac:dyDescent="0.2">
      <c r="A155" s="1">
        <v>46014</v>
      </c>
      <c r="B155" s="2">
        <v>0.79166666666666663</v>
      </c>
      <c r="C155" s="19" t="s">
        <v>36</v>
      </c>
      <c r="D155" s="19" t="s">
        <v>23</v>
      </c>
      <c r="E155" s="19" t="s">
        <v>36</v>
      </c>
      <c r="F155">
        <v>4</v>
      </c>
      <c r="G155">
        <v>3</v>
      </c>
      <c r="H155">
        <v>0.72799999999999998</v>
      </c>
      <c r="I155" s="19" t="s">
        <v>249</v>
      </c>
      <c r="J155" s="19" t="s">
        <v>36</v>
      </c>
      <c r="K155">
        <v>3</v>
      </c>
      <c r="L155">
        <v>2</v>
      </c>
      <c r="M155">
        <v>0.38</v>
      </c>
      <c r="N155" s="19" t="s">
        <v>23</v>
      </c>
      <c r="O155" s="19" t="s">
        <v>284</v>
      </c>
      <c r="P155" s="19" t="s">
        <v>291</v>
      </c>
      <c r="Q155" s="19" t="s">
        <v>287</v>
      </c>
      <c r="R155" s="19" t="s">
        <v>249</v>
      </c>
      <c r="S155" s="19" t="s">
        <v>249</v>
      </c>
      <c r="T155" s="19" t="s">
        <v>286</v>
      </c>
    </row>
    <row r="156" spans="1:20" x14ac:dyDescent="0.2">
      <c r="A156" s="1">
        <v>46014</v>
      </c>
      <c r="B156" s="2">
        <v>0.77083333333333337</v>
      </c>
      <c r="C156" s="19" t="s">
        <v>26</v>
      </c>
      <c r="D156" s="19" t="s">
        <v>39</v>
      </c>
      <c r="E156" s="19" t="s">
        <v>39</v>
      </c>
      <c r="F156">
        <v>3</v>
      </c>
      <c r="G156">
        <v>6</v>
      </c>
      <c r="H156">
        <v>0.59989999999999999</v>
      </c>
      <c r="I156" s="19" t="s">
        <v>249</v>
      </c>
      <c r="J156" s="19" t="s">
        <v>39</v>
      </c>
      <c r="K156">
        <v>3</v>
      </c>
      <c r="L156">
        <v>2</v>
      </c>
      <c r="M156">
        <v>-1.08</v>
      </c>
      <c r="N156" s="19" t="s">
        <v>26</v>
      </c>
      <c r="O156" s="19" t="s">
        <v>289</v>
      </c>
      <c r="P156" s="19" t="s">
        <v>291</v>
      </c>
      <c r="Q156" s="19" t="s">
        <v>287</v>
      </c>
      <c r="R156" s="19" t="s">
        <v>249</v>
      </c>
      <c r="S156" s="19" t="s">
        <v>249</v>
      </c>
      <c r="T156" s="19" t="s">
        <v>286</v>
      </c>
    </row>
    <row r="157" spans="1:20" x14ac:dyDescent="0.2">
      <c r="A157" s="1">
        <v>46014</v>
      </c>
      <c r="B157" s="2">
        <v>0.79166666666666663</v>
      </c>
      <c r="C157" s="19" t="s">
        <v>21</v>
      </c>
      <c r="D157" s="19" t="s">
        <v>18</v>
      </c>
      <c r="E157" s="19" t="s">
        <v>21</v>
      </c>
      <c r="F157">
        <v>4</v>
      </c>
      <c r="G157">
        <v>3</v>
      </c>
      <c r="H157">
        <v>0.67310000000000003</v>
      </c>
      <c r="I157" s="19" t="s">
        <v>249</v>
      </c>
      <c r="J157" s="19" t="s">
        <v>21</v>
      </c>
      <c r="K157">
        <v>3</v>
      </c>
      <c r="L157">
        <v>2</v>
      </c>
      <c r="M157">
        <v>0.36</v>
      </c>
      <c r="N157" s="19" t="s">
        <v>18</v>
      </c>
      <c r="O157" s="19" t="s">
        <v>284</v>
      </c>
      <c r="P157" s="19" t="s">
        <v>288</v>
      </c>
      <c r="Q157" s="19" t="s">
        <v>285</v>
      </c>
      <c r="R157" s="19" t="s">
        <v>249</v>
      </c>
      <c r="S157" s="19" t="s">
        <v>249</v>
      </c>
      <c r="T157" s="19" t="s">
        <v>286</v>
      </c>
    </row>
    <row r="158" spans="1:20" x14ac:dyDescent="0.2">
      <c r="A158" s="1">
        <v>46014</v>
      </c>
      <c r="B158" s="2">
        <v>0.79166666666666663</v>
      </c>
      <c r="C158" s="19" t="s">
        <v>25</v>
      </c>
      <c r="D158" s="19" t="s">
        <v>11</v>
      </c>
      <c r="E158" s="19" t="s">
        <v>25</v>
      </c>
      <c r="F158">
        <v>4</v>
      </c>
      <c r="G158">
        <v>3</v>
      </c>
      <c r="H158">
        <v>0.5484</v>
      </c>
      <c r="I158" s="19" t="s">
        <v>249</v>
      </c>
      <c r="J158" s="19" t="s">
        <v>25</v>
      </c>
      <c r="K158">
        <v>3</v>
      </c>
      <c r="L158">
        <v>2</v>
      </c>
      <c r="M158">
        <v>0.6</v>
      </c>
      <c r="N158" s="19" t="s">
        <v>11</v>
      </c>
      <c r="O158" s="19" t="s">
        <v>284</v>
      </c>
      <c r="P158" s="19" t="s">
        <v>283</v>
      </c>
      <c r="Q158" s="19" t="s">
        <v>285</v>
      </c>
      <c r="R158" s="19" t="s">
        <v>249</v>
      </c>
      <c r="S158" s="19" t="s">
        <v>249</v>
      </c>
      <c r="T158" s="19" t="s">
        <v>286</v>
      </c>
    </row>
    <row r="159" spans="1:20" x14ac:dyDescent="0.2">
      <c r="A159" s="1">
        <v>46014</v>
      </c>
      <c r="B159" s="2">
        <v>0.91666666666666663</v>
      </c>
      <c r="C159" s="19" t="s">
        <v>20</v>
      </c>
      <c r="D159" s="19" t="s">
        <v>33</v>
      </c>
      <c r="E159" s="19" t="s">
        <v>33</v>
      </c>
      <c r="F159">
        <v>3</v>
      </c>
      <c r="G159">
        <v>4</v>
      </c>
      <c r="H159">
        <v>0.67400000000000004</v>
      </c>
      <c r="I159" s="19" t="s">
        <v>248</v>
      </c>
      <c r="J159" s="19" t="s">
        <v>20</v>
      </c>
      <c r="K159">
        <v>3</v>
      </c>
      <c r="L159">
        <v>2</v>
      </c>
      <c r="M159">
        <v>0.42</v>
      </c>
      <c r="N159" s="19" t="s">
        <v>20</v>
      </c>
      <c r="O159" s="19" t="s">
        <v>292</v>
      </c>
      <c r="P159" s="19" t="s">
        <v>284</v>
      </c>
      <c r="Q159" s="19" t="s">
        <v>285</v>
      </c>
      <c r="R159" s="19" t="s">
        <v>249</v>
      </c>
      <c r="S159" s="19" t="s">
        <v>248</v>
      </c>
      <c r="T159" s="19" t="s">
        <v>286</v>
      </c>
    </row>
    <row r="160" spans="1:20" x14ac:dyDescent="0.2">
      <c r="A160" s="1">
        <v>46014</v>
      </c>
      <c r="B160" s="2">
        <v>0.875</v>
      </c>
      <c r="C160" s="19" t="s">
        <v>10</v>
      </c>
      <c r="D160" s="19" t="s">
        <v>27</v>
      </c>
      <c r="E160" s="19" t="s">
        <v>27</v>
      </c>
      <c r="F160">
        <v>3</v>
      </c>
      <c r="G160">
        <v>4</v>
      </c>
      <c r="H160">
        <v>0.52180000000000004</v>
      </c>
      <c r="I160" s="19" t="s">
        <v>249</v>
      </c>
      <c r="J160" s="19" t="s">
        <v>27</v>
      </c>
      <c r="K160">
        <v>3</v>
      </c>
      <c r="L160">
        <v>2</v>
      </c>
      <c r="M160">
        <v>-0.59</v>
      </c>
      <c r="N160" s="19" t="s">
        <v>27</v>
      </c>
      <c r="O160" s="19" t="s">
        <v>287</v>
      </c>
      <c r="P160" s="19" t="s">
        <v>291</v>
      </c>
      <c r="Q160" s="19" t="s">
        <v>285</v>
      </c>
      <c r="R160" s="19" t="s">
        <v>248</v>
      </c>
      <c r="S160" s="19" t="s">
        <v>248</v>
      </c>
      <c r="T160" s="19" t="s">
        <v>286</v>
      </c>
    </row>
    <row r="161" spans="1:20" x14ac:dyDescent="0.2">
      <c r="A161" s="1">
        <v>46014</v>
      </c>
      <c r="B161" s="2">
        <v>0.83333333333333337</v>
      </c>
      <c r="C161" s="19" t="s">
        <v>34</v>
      </c>
      <c r="D161" s="19" t="s">
        <v>29</v>
      </c>
      <c r="E161" s="19" t="s">
        <v>34</v>
      </c>
      <c r="F161">
        <v>4</v>
      </c>
      <c r="G161">
        <v>3</v>
      </c>
      <c r="H161">
        <v>0.87450000000000006</v>
      </c>
      <c r="I161" s="19" t="s">
        <v>248</v>
      </c>
      <c r="J161" s="19" t="s">
        <v>34</v>
      </c>
      <c r="K161">
        <v>3</v>
      </c>
      <c r="L161">
        <v>2</v>
      </c>
      <c r="M161">
        <v>1.08</v>
      </c>
      <c r="N161" s="19" t="s">
        <v>29</v>
      </c>
      <c r="O161" s="19" t="s">
        <v>284</v>
      </c>
      <c r="P161" s="19" t="s">
        <v>291</v>
      </c>
      <c r="Q161" s="19" t="s">
        <v>287</v>
      </c>
      <c r="R161" s="19" t="s">
        <v>249</v>
      </c>
      <c r="S161" s="19" t="s">
        <v>249</v>
      </c>
      <c r="T161" s="19" t="s">
        <v>286</v>
      </c>
    </row>
    <row r="162" spans="1:20" x14ac:dyDescent="0.2">
      <c r="A162" s="1">
        <v>46014</v>
      </c>
      <c r="B162" s="2">
        <v>0.91666666666666663</v>
      </c>
      <c r="C162" s="19" t="s">
        <v>13</v>
      </c>
      <c r="D162" s="19" t="s">
        <v>32</v>
      </c>
      <c r="E162" s="19" t="s">
        <v>32</v>
      </c>
      <c r="F162">
        <v>2</v>
      </c>
      <c r="G162">
        <v>3</v>
      </c>
      <c r="H162">
        <v>0.58230000000000004</v>
      </c>
      <c r="I162" s="19" t="s">
        <v>249</v>
      </c>
      <c r="J162" s="19" t="s">
        <v>13</v>
      </c>
      <c r="K162">
        <v>3</v>
      </c>
      <c r="L162">
        <v>2</v>
      </c>
      <c r="M162">
        <v>0.54</v>
      </c>
      <c r="N162" s="19" t="s">
        <v>32</v>
      </c>
      <c r="O162" s="19" t="s">
        <v>284</v>
      </c>
      <c r="P162" s="19" t="s">
        <v>291</v>
      </c>
      <c r="Q162" s="19" t="s">
        <v>285</v>
      </c>
      <c r="R162" s="19" t="s">
        <v>248</v>
      </c>
      <c r="S162" s="19" t="s">
        <v>249</v>
      </c>
      <c r="T162" s="19" t="s">
        <v>286</v>
      </c>
    </row>
    <row r="163" spans="1:20" x14ac:dyDescent="0.2">
      <c r="A163" s="1">
        <v>46014</v>
      </c>
      <c r="B163" s="2">
        <v>0.875</v>
      </c>
      <c r="C163" s="19" t="s">
        <v>12</v>
      </c>
      <c r="D163" s="19" t="s">
        <v>55</v>
      </c>
      <c r="E163" s="19" t="s">
        <v>12</v>
      </c>
      <c r="F163">
        <v>5</v>
      </c>
      <c r="G163">
        <v>1</v>
      </c>
      <c r="H163">
        <v>0.87890000000000001</v>
      </c>
      <c r="I163" s="19" t="s">
        <v>249</v>
      </c>
      <c r="J163" s="19" t="s">
        <v>12</v>
      </c>
      <c r="K163">
        <v>3</v>
      </c>
      <c r="L163">
        <v>2</v>
      </c>
      <c r="M163">
        <v>1.68</v>
      </c>
      <c r="N163" s="19" t="s">
        <v>12</v>
      </c>
      <c r="O163" s="19" t="s">
        <v>287</v>
      </c>
      <c r="P163" s="19" t="s">
        <v>285</v>
      </c>
      <c r="Q163" s="19" t="s">
        <v>285</v>
      </c>
      <c r="R163" s="19" t="s">
        <v>248</v>
      </c>
      <c r="S163" s="19" t="s">
        <v>248</v>
      </c>
      <c r="T163" s="19" t="s">
        <v>286</v>
      </c>
    </row>
    <row r="164" spans="1:20" x14ac:dyDescent="0.2">
      <c r="A164" s="1">
        <v>46018</v>
      </c>
      <c r="B164" s="2">
        <v>0.75</v>
      </c>
      <c r="C164" s="19" t="s">
        <v>30</v>
      </c>
      <c r="D164" s="19" t="s">
        <v>15</v>
      </c>
      <c r="E164" s="19" t="s">
        <v>15</v>
      </c>
      <c r="F164">
        <v>3</v>
      </c>
      <c r="G164">
        <v>4</v>
      </c>
      <c r="H164">
        <v>0.59319999999999995</v>
      </c>
      <c r="I164" s="19" t="s">
        <v>249</v>
      </c>
      <c r="J164" s="19" t="s">
        <v>30</v>
      </c>
      <c r="K164">
        <v>3</v>
      </c>
      <c r="L164">
        <v>2</v>
      </c>
      <c r="M164">
        <v>0.28000000000000003</v>
      </c>
      <c r="N164" s="19" t="s">
        <v>30</v>
      </c>
      <c r="O164" s="19" t="s">
        <v>284</v>
      </c>
      <c r="P164" s="19" t="s">
        <v>285</v>
      </c>
      <c r="Q164" s="19" t="s">
        <v>285</v>
      </c>
      <c r="R164" s="19" t="s">
        <v>249</v>
      </c>
      <c r="S164" s="19" t="s">
        <v>248</v>
      </c>
      <c r="T164" s="19" t="s">
        <v>286</v>
      </c>
    </row>
    <row r="165" spans="1:20" x14ac:dyDescent="0.2">
      <c r="A165" s="1">
        <v>46018</v>
      </c>
      <c r="B165" s="2">
        <v>0.91666666666666663</v>
      </c>
      <c r="C165" s="19" t="s">
        <v>38</v>
      </c>
      <c r="D165" s="19" t="s">
        <v>33</v>
      </c>
      <c r="E165" s="19" t="s">
        <v>33</v>
      </c>
      <c r="F165">
        <v>3</v>
      </c>
      <c r="G165">
        <v>5</v>
      </c>
      <c r="H165">
        <v>0.71030000000000004</v>
      </c>
      <c r="I165" s="19" t="s">
        <v>249</v>
      </c>
      <c r="J165" s="19" t="s">
        <v>38</v>
      </c>
      <c r="K165">
        <v>3</v>
      </c>
      <c r="L165">
        <v>2</v>
      </c>
      <c r="M165">
        <v>0.02</v>
      </c>
      <c r="N165" s="19" t="s">
        <v>33</v>
      </c>
      <c r="O165" s="19" t="s">
        <v>291</v>
      </c>
      <c r="P165" s="19" t="s">
        <v>288</v>
      </c>
      <c r="Q165" s="19" t="s">
        <v>285</v>
      </c>
      <c r="R165" s="19" t="s">
        <v>248</v>
      </c>
      <c r="S165" s="19" t="s">
        <v>249</v>
      </c>
      <c r="T165" s="19" t="s">
        <v>286</v>
      </c>
    </row>
    <row r="166" spans="1:20" x14ac:dyDescent="0.2">
      <c r="A166" s="1">
        <v>46018</v>
      </c>
      <c r="B166" s="2">
        <v>0.83333333333333337</v>
      </c>
      <c r="C166" s="19" t="s">
        <v>39</v>
      </c>
      <c r="D166" s="19" t="s">
        <v>10</v>
      </c>
      <c r="E166" s="19" t="s">
        <v>39</v>
      </c>
      <c r="F166">
        <v>5</v>
      </c>
      <c r="G166">
        <v>1</v>
      </c>
      <c r="H166">
        <v>0.71579999999999999</v>
      </c>
      <c r="I166" s="19" t="s">
        <v>249</v>
      </c>
      <c r="J166" s="19" t="s">
        <v>39</v>
      </c>
      <c r="K166">
        <v>3</v>
      </c>
      <c r="L166">
        <v>2</v>
      </c>
      <c r="M166">
        <v>1.45</v>
      </c>
      <c r="N166" s="19" t="s">
        <v>10</v>
      </c>
      <c r="O166" s="19" t="s">
        <v>291</v>
      </c>
      <c r="P166" s="19" t="s">
        <v>289</v>
      </c>
      <c r="Q166" s="19" t="s">
        <v>287</v>
      </c>
      <c r="R166" s="19" t="s">
        <v>249</v>
      </c>
      <c r="S166" s="19" t="s">
        <v>249</v>
      </c>
      <c r="T166" s="19" t="s">
        <v>286</v>
      </c>
    </row>
    <row r="167" spans="1:20" x14ac:dyDescent="0.2">
      <c r="A167" s="1">
        <v>46018</v>
      </c>
      <c r="B167" s="2">
        <v>0.875</v>
      </c>
      <c r="C167" s="19" t="s">
        <v>13</v>
      </c>
      <c r="D167" s="19" t="s">
        <v>31</v>
      </c>
      <c r="E167" s="19" t="s">
        <v>31</v>
      </c>
      <c r="F167">
        <v>4</v>
      </c>
      <c r="G167">
        <v>5</v>
      </c>
      <c r="H167">
        <v>0.62739999999999996</v>
      </c>
      <c r="I167" s="19" t="s">
        <v>249</v>
      </c>
      <c r="J167" s="19" t="s">
        <v>31</v>
      </c>
      <c r="K167">
        <v>3</v>
      </c>
      <c r="L167">
        <v>2</v>
      </c>
      <c r="M167">
        <v>-0.17</v>
      </c>
      <c r="N167" s="19" t="s">
        <v>13</v>
      </c>
      <c r="O167" s="19" t="s">
        <v>288</v>
      </c>
      <c r="P167" s="19" t="s">
        <v>287</v>
      </c>
      <c r="Q167" s="19" t="s">
        <v>285</v>
      </c>
      <c r="R167" s="19" t="s">
        <v>249</v>
      </c>
      <c r="S167" s="19" t="s">
        <v>249</v>
      </c>
      <c r="T167" s="19" t="s">
        <v>286</v>
      </c>
    </row>
    <row r="168" spans="1:20" x14ac:dyDescent="0.2">
      <c r="A168" s="1">
        <v>46018</v>
      </c>
      <c r="B168" s="2">
        <v>0.91666666666666663</v>
      </c>
      <c r="C168" s="19" t="s">
        <v>20</v>
      </c>
      <c r="D168" s="19" t="s">
        <v>12</v>
      </c>
      <c r="E168" s="19" t="s">
        <v>12</v>
      </c>
      <c r="F168">
        <v>2</v>
      </c>
      <c r="G168">
        <v>4</v>
      </c>
      <c r="H168">
        <v>0.76419999999999999</v>
      </c>
      <c r="I168" s="19" t="s">
        <v>249</v>
      </c>
      <c r="J168" s="19" t="s">
        <v>12</v>
      </c>
      <c r="K168">
        <v>3</v>
      </c>
      <c r="L168">
        <v>2</v>
      </c>
      <c r="M168">
        <v>-1.46</v>
      </c>
      <c r="N168" s="19" t="s">
        <v>12</v>
      </c>
      <c r="O168" s="19" t="s">
        <v>283</v>
      </c>
      <c r="P168" s="19" t="s">
        <v>288</v>
      </c>
      <c r="Q168" s="19" t="s">
        <v>287</v>
      </c>
      <c r="R168" s="19" t="s">
        <v>248</v>
      </c>
      <c r="S168" s="19" t="s">
        <v>248</v>
      </c>
      <c r="T168" s="19" t="s">
        <v>286</v>
      </c>
    </row>
    <row r="169" spans="1:20" x14ac:dyDescent="0.2">
      <c r="A169" s="1">
        <v>46018</v>
      </c>
      <c r="B169" s="2">
        <v>0.83333333333333337</v>
      </c>
      <c r="C169" s="19" t="s">
        <v>35</v>
      </c>
      <c r="D169" s="19" t="s">
        <v>29</v>
      </c>
      <c r="E169" s="19" t="s">
        <v>29</v>
      </c>
      <c r="F169">
        <v>3</v>
      </c>
      <c r="G169">
        <v>4</v>
      </c>
      <c r="H169">
        <v>0.75290000000000001</v>
      </c>
      <c r="I169" s="19" t="s">
        <v>249</v>
      </c>
      <c r="J169" s="19" t="s">
        <v>29</v>
      </c>
      <c r="K169">
        <v>3</v>
      </c>
      <c r="L169">
        <v>2</v>
      </c>
      <c r="M169">
        <v>-0.54</v>
      </c>
      <c r="N169" s="19" t="s">
        <v>35</v>
      </c>
      <c r="O169" s="19" t="s">
        <v>291</v>
      </c>
      <c r="P169" s="19" t="s">
        <v>284</v>
      </c>
      <c r="Q169" s="19" t="s">
        <v>285</v>
      </c>
      <c r="R169" s="19" t="s">
        <v>249</v>
      </c>
      <c r="S169" s="19" t="s">
        <v>249</v>
      </c>
      <c r="T169" s="19" t="s">
        <v>286</v>
      </c>
    </row>
    <row r="170" spans="1:20" x14ac:dyDescent="0.2">
      <c r="A170" s="1">
        <v>46018</v>
      </c>
      <c r="B170" s="2">
        <v>0.79166666666666663</v>
      </c>
      <c r="C170" s="19" t="s">
        <v>40</v>
      </c>
      <c r="D170" s="19" t="s">
        <v>34</v>
      </c>
      <c r="E170" s="19" t="s">
        <v>34</v>
      </c>
      <c r="F170">
        <v>2</v>
      </c>
      <c r="G170">
        <v>3</v>
      </c>
      <c r="H170">
        <v>0.83430000000000004</v>
      </c>
      <c r="I170" s="19" t="s">
        <v>249</v>
      </c>
      <c r="J170" s="19" t="s">
        <v>34</v>
      </c>
      <c r="K170">
        <v>3</v>
      </c>
      <c r="L170">
        <v>2</v>
      </c>
      <c r="M170">
        <v>-0.52</v>
      </c>
      <c r="N170" s="19" t="s">
        <v>34</v>
      </c>
      <c r="O170" s="19" t="s">
        <v>291</v>
      </c>
      <c r="P170" s="19" t="s">
        <v>289</v>
      </c>
      <c r="Q170" s="19" t="s">
        <v>287</v>
      </c>
      <c r="R170" s="19" t="s">
        <v>248</v>
      </c>
      <c r="S170" s="19" t="s">
        <v>248</v>
      </c>
      <c r="T170" s="19" t="s">
        <v>286</v>
      </c>
    </row>
    <row r="171" spans="1:20" x14ac:dyDescent="0.2">
      <c r="A171" s="1">
        <v>46018</v>
      </c>
      <c r="B171" s="2">
        <v>0.79166666666666663</v>
      </c>
      <c r="C171" s="19" t="s">
        <v>25</v>
      </c>
      <c r="D171" s="19" t="s">
        <v>26</v>
      </c>
      <c r="E171" s="19" t="s">
        <v>25</v>
      </c>
      <c r="F171">
        <v>4</v>
      </c>
      <c r="G171">
        <v>3</v>
      </c>
      <c r="H171">
        <v>0.75470000000000004</v>
      </c>
      <c r="I171" s="19" t="s">
        <v>249</v>
      </c>
      <c r="J171" s="19" t="s">
        <v>25</v>
      </c>
      <c r="K171">
        <v>3</v>
      </c>
      <c r="L171">
        <v>2</v>
      </c>
      <c r="M171">
        <v>0.69</v>
      </c>
      <c r="N171" s="19" t="s">
        <v>25</v>
      </c>
      <c r="O171" s="19" t="s">
        <v>283</v>
      </c>
      <c r="P171" s="19" t="s">
        <v>284</v>
      </c>
      <c r="Q171" s="19" t="s">
        <v>285</v>
      </c>
      <c r="R171" s="19" t="s">
        <v>248</v>
      </c>
      <c r="S171" s="19" t="s">
        <v>248</v>
      </c>
      <c r="T171" s="19" t="s">
        <v>286</v>
      </c>
    </row>
    <row r="172" spans="1:20" x14ac:dyDescent="0.2">
      <c r="A172" s="1">
        <v>46018</v>
      </c>
      <c r="B172" s="2">
        <v>0.79166666666666663</v>
      </c>
      <c r="C172" s="19" t="s">
        <v>24</v>
      </c>
      <c r="D172" s="19" t="s">
        <v>22</v>
      </c>
      <c r="E172" s="19" t="s">
        <v>24</v>
      </c>
      <c r="F172">
        <v>4</v>
      </c>
      <c r="G172">
        <v>3</v>
      </c>
      <c r="H172">
        <v>0.60270000000000001</v>
      </c>
      <c r="I172" s="19" t="s">
        <v>249</v>
      </c>
      <c r="J172" s="19" t="s">
        <v>22</v>
      </c>
      <c r="K172">
        <v>3</v>
      </c>
      <c r="L172">
        <v>2</v>
      </c>
      <c r="M172">
        <v>-0.38</v>
      </c>
      <c r="N172" s="19" t="s">
        <v>22</v>
      </c>
      <c r="O172" s="19" t="s">
        <v>291</v>
      </c>
      <c r="P172" s="19" t="s">
        <v>289</v>
      </c>
      <c r="Q172" s="19" t="s">
        <v>287</v>
      </c>
      <c r="R172" s="19" t="s">
        <v>249</v>
      </c>
      <c r="S172" s="19" t="s">
        <v>248</v>
      </c>
      <c r="T172" s="19" t="s">
        <v>286</v>
      </c>
    </row>
    <row r="173" spans="1:20" x14ac:dyDescent="0.2">
      <c r="A173" s="1">
        <v>46018</v>
      </c>
      <c r="B173" s="2">
        <v>0.79166666666666663</v>
      </c>
      <c r="C173" s="19" t="s">
        <v>23</v>
      </c>
      <c r="D173" s="19" t="s">
        <v>21</v>
      </c>
      <c r="E173" s="19" t="s">
        <v>23</v>
      </c>
      <c r="F173">
        <v>4</v>
      </c>
      <c r="G173">
        <v>3</v>
      </c>
      <c r="H173">
        <v>0.59740000000000004</v>
      </c>
      <c r="I173" s="19" t="s">
        <v>249</v>
      </c>
      <c r="J173" s="19" t="s">
        <v>21</v>
      </c>
      <c r="K173">
        <v>3</v>
      </c>
      <c r="L173">
        <v>2</v>
      </c>
      <c r="M173">
        <v>-0.01</v>
      </c>
      <c r="N173" s="19" t="s">
        <v>23</v>
      </c>
      <c r="O173" s="19" t="s">
        <v>289</v>
      </c>
      <c r="P173" s="19" t="s">
        <v>287</v>
      </c>
      <c r="Q173" s="19" t="s">
        <v>285</v>
      </c>
      <c r="R173" s="19" t="s">
        <v>248</v>
      </c>
      <c r="S173" s="19" t="s">
        <v>249</v>
      </c>
      <c r="T173" s="19" t="s">
        <v>286</v>
      </c>
    </row>
    <row r="174" spans="1:20" x14ac:dyDescent="0.2">
      <c r="A174" s="1">
        <v>46018</v>
      </c>
      <c r="B174" s="2">
        <v>0.91666666666666663</v>
      </c>
      <c r="C174" s="19" t="s">
        <v>16</v>
      </c>
      <c r="D174" s="19" t="s">
        <v>17</v>
      </c>
      <c r="E174" s="19" t="s">
        <v>16</v>
      </c>
      <c r="F174">
        <v>4</v>
      </c>
      <c r="G174">
        <v>3</v>
      </c>
      <c r="H174">
        <v>0.62190000000000001</v>
      </c>
      <c r="I174" s="19" t="s">
        <v>249</v>
      </c>
      <c r="J174" s="19" t="s">
        <v>17</v>
      </c>
      <c r="K174">
        <v>3</v>
      </c>
      <c r="L174">
        <v>2</v>
      </c>
      <c r="M174">
        <v>-0.48</v>
      </c>
      <c r="N174" s="19" t="s">
        <v>16</v>
      </c>
      <c r="O174" s="19" t="s">
        <v>291</v>
      </c>
      <c r="P174" s="19" t="s">
        <v>284</v>
      </c>
      <c r="Q174" s="19" t="s">
        <v>285</v>
      </c>
      <c r="R174" s="19" t="s">
        <v>248</v>
      </c>
      <c r="S174" s="19" t="s">
        <v>249</v>
      </c>
      <c r="T174" s="19" t="s">
        <v>286</v>
      </c>
    </row>
    <row r="175" spans="1:20" x14ac:dyDescent="0.2">
      <c r="A175" s="1">
        <v>46018</v>
      </c>
      <c r="B175" s="2">
        <v>0.79166666666666663</v>
      </c>
      <c r="C175" s="19" t="s">
        <v>19</v>
      </c>
      <c r="D175" s="19" t="s">
        <v>36</v>
      </c>
      <c r="E175" s="19" t="s">
        <v>36</v>
      </c>
      <c r="F175">
        <v>4</v>
      </c>
      <c r="G175">
        <v>5</v>
      </c>
      <c r="H175">
        <v>0.73709999999999998</v>
      </c>
      <c r="I175" s="19" t="s">
        <v>249</v>
      </c>
      <c r="J175" s="19" t="s">
        <v>36</v>
      </c>
      <c r="K175">
        <v>3</v>
      </c>
      <c r="L175">
        <v>2</v>
      </c>
      <c r="M175">
        <v>-0.33</v>
      </c>
      <c r="N175" s="19" t="s">
        <v>19</v>
      </c>
      <c r="O175" s="19" t="s">
        <v>292</v>
      </c>
      <c r="P175" s="19" t="s">
        <v>283</v>
      </c>
      <c r="Q175" s="19" t="s">
        <v>285</v>
      </c>
      <c r="R175" s="19" t="s">
        <v>249</v>
      </c>
      <c r="S175" s="19" t="s">
        <v>249</v>
      </c>
      <c r="T175" s="19" t="s">
        <v>286</v>
      </c>
    </row>
    <row r="176" spans="1:20" x14ac:dyDescent="0.2">
      <c r="A176" s="1">
        <v>46018</v>
      </c>
      <c r="B176" s="2">
        <v>0.79166666666666663</v>
      </c>
      <c r="C176" s="19" t="s">
        <v>11</v>
      </c>
      <c r="D176" s="19" t="s">
        <v>37</v>
      </c>
      <c r="E176" s="19" t="s">
        <v>37</v>
      </c>
      <c r="F176">
        <v>3</v>
      </c>
      <c r="G176">
        <v>4</v>
      </c>
      <c r="H176">
        <v>0.78510000000000002</v>
      </c>
      <c r="I176" s="19" t="s">
        <v>249</v>
      </c>
      <c r="J176" s="19" t="s">
        <v>37</v>
      </c>
      <c r="K176">
        <v>3</v>
      </c>
      <c r="L176">
        <v>2</v>
      </c>
      <c r="M176">
        <v>-0.45</v>
      </c>
      <c r="N176" s="19" t="s">
        <v>37</v>
      </c>
      <c r="O176" s="19" t="s">
        <v>284</v>
      </c>
      <c r="P176" s="19" t="s">
        <v>289</v>
      </c>
      <c r="Q176" s="19" t="s">
        <v>285</v>
      </c>
      <c r="R176" s="19" t="s">
        <v>248</v>
      </c>
      <c r="S176" s="19" t="s">
        <v>248</v>
      </c>
      <c r="T176" s="19" t="s">
        <v>286</v>
      </c>
    </row>
    <row r="177" spans="1:20" x14ac:dyDescent="0.2">
      <c r="A177" s="1">
        <v>46019</v>
      </c>
      <c r="B177" s="2">
        <v>0.83333333333333337</v>
      </c>
      <c r="C177" s="19" t="s">
        <v>32</v>
      </c>
      <c r="D177" s="19" t="s">
        <v>27</v>
      </c>
      <c r="E177" s="19" t="s">
        <v>27</v>
      </c>
      <c r="F177">
        <v>2</v>
      </c>
      <c r="G177">
        <v>3</v>
      </c>
      <c r="H177">
        <v>0.63080000000000003</v>
      </c>
      <c r="I177" s="19" t="s">
        <v>249</v>
      </c>
      <c r="J177" s="19" t="s">
        <v>27</v>
      </c>
      <c r="K177">
        <v>3</v>
      </c>
      <c r="L177">
        <v>2</v>
      </c>
      <c r="M177">
        <v>-0.68</v>
      </c>
      <c r="N177" s="19" t="s">
        <v>32</v>
      </c>
      <c r="O177" s="19" t="s">
        <v>289</v>
      </c>
      <c r="P177" s="19" t="s">
        <v>287</v>
      </c>
      <c r="Q177" s="19" t="s">
        <v>285</v>
      </c>
      <c r="R177" s="19" t="s">
        <v>249</v>
      </c>
      <c r="S177" s="19" t="s">
        <v>249</v>
      </c>
      <c r="T177" s="19" t="s">
        <v>286</v>
      </c>
    </row>
    <row r="178" spans="1:20" x14ac:dyDescent="0.2">
      <c r="A178" s="1">
        <v>46019</v>
      </c>
      <c r="B178" s="2">
        <v>0.79166666666666663</v>
      </c>
      <c r="C178" s="19" t="s">
        <v>10</v>
      </c>
      <c r="D178" s="19" t="s">
        <v>14</v>
      </c>
      <c r="E178" s="19" t="s">
        <v>14</v>
      </c>
      <c r="F178">
        <v>2</v>
      </c>
      <c r="G178">
        <v>3</v>
      </c>
      <c r="H178">
        <v>0.61629999999999996</v>
      </c>
      <c r="I178" s="19" t="s">
        <v>249</v>
      </c>
      <c r="J178" s="19" t="s">
        <v>14</v>
      </c>
      <c r="K178">
        <v>3</v>
      </c>
      <c r="L178">
        <v>2</v>
      </c>
      <c r="M178">
        <v>-0.06</v>
      </c>
      <c r="N178" s="19" t="s">
        <v>14</v>
      </c>
      <c r="O178" s="19" t="s">
        <v>291</v>
      </c>
      <c r="P178" s="19" t="s">
        <v>292</v>
      </c>
      <c r="Q178" s="19" t="s">
        <v>285</v>
      </c>
      <c r="R178" s="19" t="s">
        <v>248</v>
      </c>
      <c r="S178" s="19" t="s">
        <v>248</v>
      </c>
      <c r="T178" s="19" t="s">
        <v>286</v>
      </c>
    </row>
    <row r="179" spans="1:20" x14ac:dyDescent="0.2">
      <c r="A179" s="1">
        <v>46019</v>
      </c>
      <c r="B179" s="2">
        <v>0.70833333333333337</v>
      </c>
      <c r="C179" s="19" t="s">
        <v>37</v>
      </c>
      <c r="D179" s="19" t="s">
        <v>18</v>
      </c>
      <c r="E179" s="19" t="s">
        <v>18</v>
      </c>
      <c r="F179">
        <v>3</v>
      </c>
      <c r="G179">
        <v>4</v>
      </c>
      <c r="H179">
        <v>0.62360000000000004</v>
      </c>
      <c r="I179" s="19" t="s">
        <v>248</v>
      </c>
      <c r="J179" s="19" t="s">
        <v>37</v>
      </c>
      <c r="K179">
        <v>3</v>
      </c>
      <c r="L179">
        <v>2</v>
      </c>
      <c r="M179">
        <v>0.86</v>
      </c>
      <c r="N179" s="19" t="s">
        <v>37</v>
      </c>
      <c r="O179" s="19" t="s">
        <v>283</v>
      </c>
      <c r="P179" s="19" t="s">
        <v>289</v>
      </c>
      <c r="Q179" s="19" t="s">
        <v>287</v>
      </c>
      <c r="R179" s="19" t="s">
        <v>249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0.70833333333333337</v>
      </c>
      <c r="C180" s="19" t="s">
        <v>28</v>
      </c>
      <c r="D180" s="19" t="s">
        <v>30</v>
      </c>
      <c r="E180" s="19" t="s">
        <v>30</v>
      </c>
      <c r="F180">
        <v>3</v>
      </c>
      <c r="G180">
        <v>4</v>
      </c>
      <c r="H180">
        <v>0.55369999999999997</v>
      </c>
      <c r="I180" s="19" t="s">
        <v>249</v>
      </c>
      <c r="J180" s="19" t="s">
        <v>30</v>
      </c>
      <c r="K180">
        <v>3</v>
      </c>
      <c r="L180">
        <v>2</v>
      </c>
      <c r="M180">
        <v>-0.61</v>
      </c>
      <c r="N180" s="19" t="s">
        <v>28</v>
      </c>
      <c r="O180" s="19" t="s">
        <v>289</v>
      </c>
      <c r="P180" s="19" t="s">
        <v>284</v>
      </c>
      <c r="Q180" s="19" t="s">
        <v>285</v>
      </c>
      <c r="R180" s="19" t="s">
        <v>249</v>
      </c>
      <c r="S180" s="19" t="s">
        <v>249</v>
      </c>
      <c r="T180" s="19" t="s">
        <v>286</v>
      </c>
    </row>
    <row r="181" spans="1:20" x14ac:dyDescent="0.2">
      <c r="A181" s="1">
        <v>46019</v>
      </c>
      <c r="B181" s="2">
        <v>0.79166666666666663</v>
      </c>
      <c r="C181" s="19" t="s">
        <v>26</v>
      </c>
      <c r="D181" s="19" t="s">
        <v>19</v>
      </c>
      <c r="E181" s="19" t="s">
        <v>26</v>
      </c>
      <c r="F181">
        <v>5</v>
      </c>
      <c r="G181">
        <v>3</v>
      </c>
      <c r="H181">
        <v>0.89239999999999997</v>
      </c>
      <c r="I181" s="19" t="s">
        <v>249</v>
      </c>
      <c r="J181" s="19" t="s">
        <v>26</v>
      </c>
      <c r="K181">
        <v>3</v>
      </c>
      <c r="L181">
        <v>2</v>
      </c>
      <c r="M181">
        <v>0.09</v>
      </c>
      <c r="N181" s="19" t="s">
        <v>26</v>
      </c>
      <c r="O181" s="19" t="s">
        <v>291</v>
      </c>
      <c r="P181" s="19" t="s">
        <v>284</v>
      </c>
      <c r="Q181" s="19" t="s">
        <v>287</v>
      </c>
      <c r="R181" s="19" t="s">
        <v>248</v>
      </c>
      <c r="S181" s="19" t="s">
        <v>248</v>
      </c>
      <c r="T181" s="19" t="s">
        <v>286</v>
      </c>
    </row>
    <row r="182" spans="1:20" x14ac:dyDescent="0.2">
      <c r="A182" s="1">
        <v>46020</v>
      </c>
      <c r="B182" s="2">
        <v>0.91666666666666663</v>
      </c>
      <c r="C182" s="19" t="s">
        <v>20</v>
      </c>
      <c r="D182" s="19" t="s">
        <v>34</v>
      </c>
      <c r="E182" s="19" t="s">
        <v>34</v>
      </c>
      <c r="F182">
        <v>3</v>
      </c>
      <c r="G182">
        <v>4</v>
      </c>
      <c r="H182">
        <v>0.59099999999999997</v>
      </c>
      <c r="I182" s="19" t="s">
        <v>249</v>
      </c>
      <c r="J182" s="19" t="s">
        <v>34</v>
      </c>
      <c r="K182">
        <v>3</v>
      </c>
      <c r="L182">
        <v>2</v>
      </c>
      <c r="M182">
        <v>-0.21</v>
      </c>
      <c r="N182" s="19" t="s">
        <v>34</v>
      </c>
      <c r="O182" s="19" t="s">
        <v>284</v>
      </c>
      <c r="P182" s="19" t="s">
        <v>283</v>
      </c>
      <c r="Q182" s="19" t="s">
        <v>285</v>
      </c>
      <c r="R182" s="19" t="s">
        <v>248</v>
      </c>
      <c r="S182" s="19" t="s">
        <v>248</v>
      </c>
      <c r="T182" s="19" t="s">
        <v>286</v>
      </c>
    </row>
    <row r="183" spans="1:20" x14ac:dyDescent="0.2">
      <c r="A183" s="1">
        <v>46020</v>
      </c>
      <c r="B183" s="2">
        <v>0.79166666666666663</v>
      </c>
      <c r="C183" s="19" t="s">
        <v>36</v>
      </c>
      <c r="D183" s="19" t="s">
        <v>28</v>
      </c>
      <c r="E183" s="19" t="s">
        <v>28</v>
      </c>
      <c r="F183">
        <v>3</v>
      </c>
      <c r="G183">
        <v>4</v>
      </c>
      <c r="H183">
        <v>0.5101</v>
      </c>
      <c r="I183" s="19" t="s">
        <v>249</v>
      </c>
      <c r="J183" s="19" t="s">
        <v>36</v>
      </c>
      <c r="K183">
        <v>3</v>
      </c>
      <c r="L183">
        <v>2</v>
      </c>
      <c r="M183">
        <v>0.48</v>
      </c>
      <c r="N183" s="19" t="s">
        <v>28</v>
      </c>
      <c r="O183" s="19" t="s">
        <v>287</v>
      </c>
      <c r="P183" s="19" t="s">
        <v>289</v>
      </c>
      <c r="Q183" s="19" t="s">
        <v>285</v>
      </c>
      <c r="R183" s="19" t="s">
        <v>248</v>
      </c>
      <c r="S183" s="19" t="s">
        <v>249</v>
      </c>
      <c r="T183" s="19" t="s">
        <v>286</v>
      </c>
    </row>
    <row r="184" spans="1:20" x14ac:dyDescent="0.2">
      <c r="A184" s="1">
        <v>46020</v>
      </c>
      <c r="B184" s="2">
        <v>0.83333333333333337</v>
      </c>
      <c r="C184" s="19" t="s">
        <v>35</v>
      </c>
      <c r="D184" s="19" t="s">
        <v>23</v>
      </c>
      <c r="E184" s="19" t="s">
        <v>35</v>
      </c>
      <c r="F184">
        <v>4</v>
      </c>
      <c r="G184">
        <v>3</v>
      </c>
      <c r="H184">
        <v>0.57420000000000004</v>
      </c>
      <c r="I184" s="19" t="s">
        <v>249</v>
      </c>
      <c r="J184" s="19" t="s">
        <v>23</v>
      </c>
      <c r="K184">
        <v>3</v>
      </c>
      <c r="L184">
        <v>2</v>
      </c>
      <c r="M184">
        <v>-0.86</v>
      </c>
      <c r="N184" s="19" t="s">
        <v>23</v>
      </c>
      <c r="O184" s="19" t="s">
        <v>284</v>
      </c>
      <c r="P184" s="19" t="s">
        <v>289</v>
      </c>
      <c r="Q184" s="19" t="s">
        <v>285</v>
      </c>
      <c r="R184" s="19" t="s">
        <v>249</v>
      </c>
      <c r="S184" s="19" t="s">
        <v>248</v>
      </c>
      <c r="T184" s="19" t="s">
        <v>286</v>
      </c>
    </row>
    <row r="185" spans="1:20" x14ac:dyDescent="0.2">
      <c r="A185" s="1">
        <v>46020</v>
      </c>
      <c r="B185" s="2">
        <v>0.91666666666666663</v>
      </c>
      <c r="C185" s="19" t="s">
        <v>31</v>
      </c>
      <c r="D185" s="19" t="s">
        <v>33</v>
      </c>
      <c r="E185" s="19" t="s">
        <v>31</v>
      </c>
      <c r="F185">
        <v>4</v>
      </c>
      <c r="G185">
        <v>3</v>
      </c>
      <c r="H185">
        <v>0.65629999999999999</v>
      </c>
      <c r="I185" s="19" t="s">
        <v>249</v>
      </c>
      <c r="J185" s="19" t="s">
        <v>31</v>
      </c>
      <c r="K185">
        <v>3</v>
      </c>
      <c r="L185">
        <v>2</v>
      </c>
      <c r="M185">
        <v>0.36</v>
      </c>
      <c r="N185" s="19" t="s">
        <v>33</v>
      </c>
      <c r="O185" s="19" t="s">
        <v>289</v>
      </c>
      <c r="P185" s="19" t="s">
        <v>283</v>
      </c>
      <c r="Q185" s="19" t="s">
        <v>285</v>
      </c>
      <c r="R185" s="19" t="s">
        <v>249</v>
      </c>
      <c r="S185" s="19" t="s">
        <v>249</v>
      </c>
      <c r="T185" s="19" t="s">
        <v>286</v>
      </c>
    </row>
    <row r="186" spans="1:20" x14ac:dyDescent="0.2">
      <c r="A186" s="1">
        <v>46020</v>
      </c>
      <c r="B186" s="2">
        <v>0.875</v>
      </c>
      <c r="C186" s="19" t="s">
        <v>12</v>
      </c>
      <c r="D186" s="19" t="s">
        <v>13</v>
      </c>
      <c r="E186" s="19" t="s">
        <v>12</v>
      </c>
      <c r="F186">
        <v>6</v>
      </c>
      <c r="G186">
        <v>3</v>
      </c>
      <c r="H186">
        <v>0.82250000000000001</v>
      </c>
      <c r="I186" s="19" t="s">
        <v>249</v>
      </c>
      <c r="J186" s="19" t="s">
        <v>12</v>
      </c>
      <c r="K186">
        <v>3</v>
      </c>
      <c r="L186">
        <v>2</v>
      </c>
      <c r="M186">
        <v>1.79</v>
      </c>
      <c r="N186" s="19" t="s">
        <v>12</v>
      </c>
      <c r="O186" s="19" t="s">
        <v>283</v>
      </c>
      <c r="P186" s="19" t="s">
        <v>284</v>
      </c>
      <c r="Q186" s="19" t="s">
        <v>285</v>
      </c>
      <c r="R186" s="19" t="s">
        <v>248</v>
      </c>
      <c r="S186" s="19" t="s">
        <v>248</v>
      </c>
      <c r="T186" s="19" t="s">
        <v>286</v>
      </c>
    </row>
    <row r="187" spans="1:20" x14ac:dyDescent="0.2">
      <c r="A187" s="1">
        <v>46020</v>
      </c>
      <c r="B187" s="2">
        <v>0.8125</v>
      </c>
      <c r="C187" s="19" t="s">
        <v>40</v>
      </c>
      <c r="D187" s="19" t="s">
        <v>17</v>
      </c>
      <c r="E187" s="19" t="s">
        <v>17</v>
      </c>
      <c r="F187">
        <v>3</v>
      </c>
      <c r="G187">
        <v>4</v>
      </c>
      <c r="H187">
        <v>0.54410000000000003</v>
      </c>
      <c r="I187" s="19" t="s">
        <v>249</v>
      </c>
      <c r="J187" s="19" t="s">
        <v>17</v>
      </c>
      <c r="K187">
        <v>3</v>
      </c>
      <c r="L187">
        <v>2</v>
      </c>
      <c r="M187">
        <v>-0.05</v>
      </c>
      <c r="N187" s="19" t="s">
        <v>17</v>
      </c>
      <c r="O187" s="19" t="s">
        <v>287</v>
      </c>
      <c r="P187" s="19" t="s">
        <v>291</v>
      </c>
      <c r="Q187" s="19" t="s">
        <v>285</v>
      </c>
      <c r="R187" s="19" t="s">
        <v>248</v>
      </c>
      <c r="S187" s="19" t="s">
        <v>248</v>
      </c>
      <c r="T187" s="19" t="s">
        <v>286</v>
      </c>
    </row>
    <row r="188" spans="1:20" x14ac:dyDescent="0.2">
      <c r="A188" s="1">
        <v>46020</v>
      </c>
      <c r="B188" s="2">
        <v>0.79166666666666663</v>
      </c>
      <c r="C188" s="19" t="s">
        <v>11</v>
      </c>
      <c r="D188" s="19" t="s">
        <v>22</v>
      </c>
      <c r="E188" s="19" t="s">
        <v>11</v>
      </c>
      <c r="F188">
        <v>4</v>
      </c>
      <c r="G188">
        <v>3</v>
      </c>
      <c r="H188">
        <v>0.65490000000000004</v>
      </c>
      <c r="I188" s="19" t="s">
        <v>249</v>
      </c>
      <c r="J188" s="19" t="s">
        <v>22</v>
      </c>
      <c r="K188">
        <v>3</v>
      </c>
      <c r="L188">
        <v>2</v>
      </c>
      <c r="M188">
        <v>-0.23</v>
      </c>
      <c r="N188" s="19" t="s">
        <v>11</v>
      </c>
      <c r="O188" s="19" t="s">
        <v>283</v>
      </c>
      <c r="P188" s="19" t="s">
        <v>291</v>
      </c>
      <c r="Q188" s="19" t="s">
        <v>285</v>
      </c>
      <c r="R188" s="19" t="s">
        <v>248</v>
      </c>
      <c r="S188" s="19" t="s">
        <v>249</v>
      </c>
      <c r="T188" s="19" t="s">
        <v>286</v>
      </c>
    </row>
    <row r="189" spans="1:20" x14ac:dyDescent="0.2">
      <c r="A189" s="1">
        <v>46020</v>
      </c>
      <c r="B189" s="2">
        <v>0.91666666666666663</v>
      </c>
      <c r="C189" s="19" t="s">
        <v>32</v>
      </c>
      <c r="D189" s="19" t="s">
        <v>38</v>
      </c>
      <c r="E189" s="19" t="s">
        <v>32</v>
      </c>
      <c r="F189">
        <v>4</v>
      </c>
      <c r="G189">
        <v>3</v>
      </c>
      <c r="H189">
        <v>0.51719999999999999</v>
      </c>
      <c r="I189" s="19" t="s">
        <v>249</v>
      </c>
      <c r="J189" s="19" t="s">
        <v>32</v>
      </c>
      <c r="K189">
        <v>3</v>
      </c>
      <c r="L189">
        <v>2</v>
      </c>
      <c r="M189">
        <v>0.21</v>
      </c>
      <c r="N189" s="19" t="s">
        <v>38</v>
      </c>
      <c r="O189" s="19" t="s">
        <v>284</v>
      </c>
      <c r="P189" s="19" t="s">
        <v>291</v>
      </c>
      <c r="Q189" s="19" t="s">
        <v>287</v>
      </c>
      <c r="R189" s="19" t="s">
        <v>249</v>
      </c>
      <c r="S189" s="19" t="s">
        <v>249</v>
      </c>
      <c r="T189" s="19" t="s">
        <v>286</v>
      </c>
    </row>
    <row r="190" spans="1:20" x14ac:dyDescent="0.2">
      <c r="A190" s="1">
        <v>46020</v>
      </c>
      <c r="B190" s="2">
        <v>0.79166666666666663</v>
      </c>
      <c r="C190" s="19" t="s">
        <v>25</v>
      </c>
      <c r="D190" s="19" t="s">
        <v>15</v>
      </c>
      <c r="E190" s="19" t="s">
        <v>15</v>
      </c>
      <c r="F190">
        <v>3</v>
      </c>
      <c r="G190">
        <v>4</v>
      </c>
      <c r="H190">
        <v>0.75149999999999995</v>
      </c>
      <c r="I190" s="19" t="s">
        <v>249</v>
      </c>
      <c r="J190" s="19" t="s">
        <v>25</v>
      </c>
      <c r="K190">
        <v>3</v>
      </c>
      <c r="L190">
        <v>2</v>
      </c>
      <c r="M190">
        <v>0.65</v>
      </c>
      <c r="N190" s="19" t="s">
        <v>25</v>
      </c>
      <c r="O190" s="19" t="s">
        <v>291</v>
      </c>
      <c r="P190" s="19" t="s">
        <v>284</v>
      </c>
      <c r="Q190" s="19" t="s">
        <v>287</v>
      </c>
      <c r="R190" s="19" t="s">
        <v>249</v>
      </c>
      <c r="S190" s="19" t="s">
        <v>248</v>
      </c>
      <c r="T190" s="19" t="s">
        <v>286</v>
      </c>
    </row>
    <row r="191" spans="1:20" x14ac:dyDescent="0.2">
      <c r="A191" s="1">
        <v>46020</v>
      </c>
      <c r="B191" s="2">
        <v>0.875</v>
      </c>
      <c r="C191" s="19" t="s">
        <v>55</v>
      </c>
      <c r="D191" s="19" t="s">
        <v>29</v>
      </c>
      <c r="E191" s="19" t="s">
        <v>55</v>
      </c>
      <c r="F191">
        <v>4</v>
      </c>
      <c r="G191">
        <v>2</v>
      </c>
      <c r="H191">
        <v>0.71530000000000005</v>
      </c>
      <c r="I191" s="19" t="s">
        <v>249</v>
      </c>
      <c r="J191" s="19" t="s">
        <v>55</v>
      </c>
      <c r="K191">
        <v>3</v>
      </c>
      <c r="L191">
        <v>2</v>
      </c>
      <c r="M191">
        <v>0.66</v>
      </c>
      <c r="N191" s="19" t="s">
        <v>29</v>
      </c>
      <c r="O191" s="19" t="s">
        <v>291</v>
      </c>
      <c r="P191" s="19" t="s">
        <v>289</v>
      </c>
      <c r="Q191" s="19" t="s">
        <v>285</v>
      </c>
      <c r="R191" s="19" t="s">
        <v>249</v>
      </c>
      <c r="S191" s="19" t="s">
        <v>249</v>
      </c>
      <c r="T191" s="19" t="s">
        <v>286</v>
      </c>
    </row>
    <row r="192" spans="1:20" x14ac:dyDescent="0.2">
      <c r="A192" s="1">
        <v>46020</v>
      </c>
      <c r="B192" s="2">
        <v>0.875</v>
      </c>
      <c r="C192" s="19" t="s">
        <v>16</v>
      </c>
      <c r="D192" s="19" t="s">
        <v>21</v>
      </c>
      <c r="E192" s="19" t="s">
        <v>16</v>
      </c>
      <c r="F192">
        <v>4</v>
      </c>
      <c r="G192">
        <v>2</v>
      </c>
      <c r="H192">
        <v>0.67530000000000001</v>
      </c>
      <c r="I192" s="19" t="s">
        <v>249</v>
      </c>
      <c r="J192" s="19" t="s">
        <v>21</v>
      </c>
      <c r="K192">
        <v>3</v>
      </c>
      <c r="L192">
        <v>2</v>
      </c>
      <c r="M192">
        <v>-0.24</v>
      </c>
      <c r="N192" s="19" t="s">
        <v>16</v>
      </c>
      <c r="O192" s="19" t="s">
        <v>284</v>
      </c>
      <c r="P192" s="19" t="s">
        <v>287</v>
      </c>
      <c r="Q192" s="19" t="s">
        <v>287</v>
      </c>
      <c r="R192" s="19" t="s">
        <v>248</v>
      </c>
      <c r="S192" s="19" t="s">
        <v>249</v>
      </c>
      <c r="T192" s="19" t="s">
        <v>286</v>
      </c>
    </row>
    <row r="193" spans="1:20" x14ac:dyDescent="0.2">
      <c r="A193" s="1">
        <v>46021</v>
      </c>
      <c r="B193" s="2">
        <v>0.79166666666666663</v>
      </c>
      <c r="C193" s="19" t="s">
        <v>11</v>
      </c>
      <c r="D193" s="19" t="s">
        <v>18</v>
      </c>
      <c r="E193" s="19" t="s">
        <v>18</v>
      </c>
      <c r="F193">
        <v>3</v>
      </c>
      <c r="G193">
        <v>5</v>
      </c>
      <c r="H193">
        <v>0.68310000000000004</v>
      </c>
      <c r="I193" s="19" t="s">
        <v>249</v>
      </c>
      <c r="J193" s="19" t="s">
        <v>11</v>
      </c>
      <c r="K193">
        <v>3</v>
      </c>
      <c r="L193">
        <v>2</v>
      </c>
      <c r="M193">
        <v>0.32</v>
      </c>
      <c r="N193" s="19" t="s">
        <v>18</v>
      </c>
      <c r="O193" s="19" t="s">
        <v>284</v>
      </c>
      <c r="P193" s="19" t="s">
        <v>291</v>
      </c>
      <c r="Q193" s="19" t="s">
        <v>287</v>
      </c>
      <c r="R193" s="19" t="s">
        <v>248</v>
      </c>
      <c r="S193" s="19" t="s">
        <v>249</v>
      </c>
      <c r="T193" s="19" t="s">
        <v>286</v>
      </c>
    </row>
    <row r="194" spans="1:20" x14ac:dyDescent="0.2">
      <c r="A194" s="1">
        <v>46021</v>
      </c>
      <c r="B194" s="2">
        <v>0.79166666666666663</v>
      </c>
      <c r="C194" s="19" t="s">
        <v>14</v>
      </c>
      <c r="D194" s="19" t="s">
        <v>25</v>
      </c>
      <c r="E194" s="19" t="s">
        <v>25</v>
      </c>
      <c r="F194">
        <v>3</v>
      </c>
      <c r="G194">
        <v>4</v>
      </c>
      <c r="H194">
        <v>0.59460000000000002</v>
      </c>
      <c r="I194" s="19" t="s">
        <v>249</v>
      </c>
      <c r="J194" s="19" t="s">
        <v>25</v>
      </c>
      <c r="K194">
        <v>3</v>
      </c>
      <c r="L194">
        <v>2</v>
      </c>
      <c r="M194">
        <v>-0.68</v>
      </c>
      <c r="N194" s="19" t="s">
        <v>14</v>
      </c>
      <c r="O194" s="19" t="s">
        <v>283</v>
      </c>
      <c r="P194" s="19" t="s">
        <v>287</v>
      </c>
      <c r="Q194" s="19" t="s">
        <v>285</v>
      </c>
      <c r="R194" s="19" t="s">
        <v>249</v>
      </c>
      <c r="S194" s="19" t="s">
        <v>249</v>
      </c>
      <c r="T194" s="19" t="s">
        <v>286</v>
      </c>
    </row>
    <row r="195" spans="1:20" x14ac:dyDescent="0.2">
      <c r="A195" s="1">
        <v>46021</v>
      </c>
      <c r="B195" s="2">
        <v>0.91666666666666663</v>
      </c>
      <c r="C195" s="19" t="s">
        <v>38</v>
      </c>
      <c r="D195" s="19" t="s">
        <v>27</v>
      </c>
      <c r="E195" s="19" t="s">
        <v>27</v>
      </c>
      <c r="F195">
        <v>2</v>
      </c>
      <c r="G195">
        <v>4</v>
      </c>
      <c r="H195">
        <v>0.77549999999999997</v>
      </c>
      <c r="I195" s="19" t="s">
        <v>249</v>
      </c>
      <c r="J195" s="19" t="s">
        <v>27</v>
      </c>
      <c r="K195">
        <v>3</v>
      </c>
      <c r="L195">
        <v>2</v>
      </c>
      <c r="M195">
        <v>-0.59</v>
      </c>
      <c r="N195" s="19" t="s">
        <v>27</v>
      </c>
      <c r="O195" s="19" t="s">
        <v>291</v>
      </c>
      <c r="P195" s="19" t="s">
        <v>288</v>
      </c>
      <c r="Q195" s="19" t="s">
        <v>285</v>
      </c>
      <c r="R195" s="19" t="s">
        <v>248</v>
      </c>
      <c r="S195" s="19" t="s">
        <v>248</v>
      </c>
      <c r="T195" s="19" t="s">
        <v>286</v>
      </c>
    </row>
    <row r="196" spans="1:20" x14ac:dyDescent="0.2">
      <c r="A196" s="1">
        <v>46021</v>
      </c>
      <c r="B196" s="2">
        <v>0.79166666666666663</v>
      </c>
      <c r="C196" s="19" t="s">
        <v>19</v>
      </c>
      <c r="D196" s="19" t="s">
        <v>24</v>
      </c>
      <c r="E196" s="19" t="s">
        <v>24</v>
      </c>
      <c r="F196">
        <v>3</v>
      </c>
      <c r="G196">
        <v>4</v>
      </c>
      <c r="H196">
        <v>0.66710000000000003</v>
      </c>
      <c r="I196" s="19" t="s">
        <v>249</v>
      </c>
      <c r="J196" s="19" t="s">
        <v>24</v>
      </c>
      <c r="K196">
        <v>3</v>
      </c>
      <c r="L196">
        <v>2</v>
      </c>
      <c r="M196">
        <v>-0.08</v>
      </c>
      <c r="N196" s="19" t="s">
        <v>19</v>
      </c>
      <c r="O196" s="19" t="s">
        <v>289</v>
      </c>
      <c r="P196" s="19" t="s">
        <v>285</v>
      </c>
      <c r="Q196" s="19" t="s">
        <v>285</v>
      </c>
      <c r="R196" s="19" t="s">
        <v>249</v>
      </c>
      <c r="S196" s="19" t="s">
        <v>249</v>
      </c>
      <c r="T196" s="19" t="s">
        <v>286</v>
      </c>
    </row>
    <row r="197" spans="1:20" x14ac:dyDescent="0.2">
      <c r="A197" s="1">
        <v>46021</v>
      </c>
      <c r="B197" s="2">
        <v>0.85416666666666663</v>
      </c>
      <c r="C197" s="19" t="s">
        <v>10</v>
      </c>
      <c r="D197" s="19" t="s">
        <v>30</v>
      </c>
      <c r="E197" s="19" t="s">
        <v>30</v>
      </c>
      <c r="F197">
        <v>2</v>
      </c>
      <c r="G197">
        <v>3</v>
      </c>
      <c r="H197">
        <v>0.63029999999999997</v>
      </c>
      <c r="I197" s="19" t="s">
        <v>249</v>
      </c>
      <c r="J197" s="19" t="s">
        <v>30</v>
      </c>
      <c r="K197">
        <v>3</v>
      </c>
      <c r="L197">
        <v>2</v>
      </c>
      <c r="M197">
        <v>-0.67</v>
      </c>
      <c r="N197" s="19" t="s">
        <v>30</v>
      </c>
      <c r="O197" s="19" t="s">
        <v>284</v>
      </c>
      <c r="P197" s="19" t="s">
        <v>291</v>
      </c>
      <c r="Q197" s="19" t="s">
        <v>287</v>
      </c>
      <c r="R197" s="19" t="s">
        <v>248</v>
      </c>
      <c r="S197" s="19" t="s">
        <v>248</v>
      </c>
      <c r="T197" s="19" t="s">
        <v>286</v>
      </c>
    </row>
    <row r="198" spans="1:20" x14ac:dyDescent="0.2">
      <c r="A198" s="1">
        <v>46022</v>
      </c>
      <c r="B198" s="2">
        <v>0.52083333333333337</v>
      </c>
      <c r="C198" s="19" t="s">
        <v>22</v>
      </c>
      <c r="D198" s="19" t="s">
        <v>15</v>
      </c>
      <c r="E198" s="19" t="s">
        <v>15</v>
      </c>
      <c r="F198">
        <v>3</v>
      </c>
      <c r="G198">
        <v>5</v>
      </c>
      <c r="H198">
        <v>0.80369999999999997</v>
      </c>
      <c r="I198" s="19" t="s">
        <v>249</v>
      </c>
      <c r="J198" s="19" t="s">
        <v>22</v>
      </c>
      <c r="K198">
        <v>3</v>
      </c>
      <c r="L198">
        <v>2</v>
      </c>
      <c r="M198">
        <v>0.46</v>
      </c>
      <c r="N198" s="19" t="s">
        <v>22</v>
      </c>
      <c r="O198" s="19" t="s">
        <v>288</v>
      </c>
      <c r="P198" s="19" t="s">
        <v>291</v>
      </c>
      <c r="Q198" s="19" t="s">
        <v>285</v>
      </c>
      <c r="R198" s="19" t="s">
        <v>249</v>
      </c>
      <c r="S198" s="19" t="s">
        <v>248</v>
      </c>
      <c r="T198" s="19" t="s">
        <v>286</v>
      </c>
    </row>
    <row r="199" spans="1:20" x14ac:dyDescent="0.2">
      <c r="A199" s="1">
        <v>46022</v>
      </c>
      <c r="B199" s="2">
        <v>0.66666666666666663</v>
      </c>
      <c r="C199" s="19" t="s">
        <v>33</v>
      </c>
      <c r="D199" s="19" t="s">
        <v>34</v>
      </c>
      <c r="E199" s="19" t="s">
        <v>34</v>
      </c>
      <c r="F199">
        <v>2</v>
      </c>
      <c r="G199">
        <v>3</v>
      </c>
      <c r="H199">
        <v>0.72799999999999998</v>
      </c>
      <c r="I199" s="19" t="s">
        <v>249</v>
      </c>
      <c r="J199" s="19" t="s">
        <v>34</v>
      </c>
      <c r="K199">
        <v>3</v>
      </c>
      <c r="L199">
        <v>2</v>
      </c>
      <c r="M199">
        <v>-0.8</v>
      </c>
      <c r="N199" s="19" t="s">
        <v>33</v>
      </c>
      <c r="O199" s="19" t="s">
        <v>289</v>
      </c>
      <c r="P199" s="19" t="s">
        <v>291</v>
      </c>
      <c r="Q199" s="19" t="s">
        <v>287</v>
      </c>
      <c r="R199" s="19" t="s">
        <v>249</v>
      </c>
      <c r="S199" s="19" t="s">
        <v>249</v>
      </c>
      <c r="T199" s="19" t="s">
        <v>286</v>
      </c>
    </row>
    <row r="200" spans="1:20" x14ac:dyDescent="0.2">
      <c r="A200" s="1">
        <v>46022</v>
      </c>
      <c r="B200" s="2">
        <v>0.625</v>
      </c>
      <c r="C200" s="19" t="s">
        <v>20</v>
      </c>
      <c r="D200" s="19" t="s">
        <v>29</v>
      </c>
      <c r="E200" s="19" t="s">
        <v>20</v>
      </c>
      <c r="F200">
        <v>4</v>
      </c>
      <c r="G200">
        <v>3</v>
      </c>
      <c r="H200">
        <v>0.66679999999999995</v>
      </c>
      <c r="I200" s="19" t="s">
        <v>248</v>
      </c>
      <c r="J200" s="19" t="s">
        <v>20</v>
      </c>
      <c r="K200">
        <v>3</v>
      </c>
      <c r="L200">
        <v>2</v>
      </c>
      <c r="M200">
        <v>0.59</v>
      </c>
      <c r="N200" s="19" t="s">
        <v>29</v>
      </c>
      <c r="O200" s="19" t="s">
        <v>284</v>
      </c>
      <c r="P200" s="19" t="s">
        <v>289</v>
      </c>
      <c r="Q200" s="19" t="s">
        <v>285</v>
      </c>
      <c r="R200" s="19" t="s">
        <v>249</v>
      </c>
      <c r="S200" s="19" t="s">
        <v>249</v>
      </c>
      <c r="T200" s="19" t="s">
        <v>286</v>
      </c>
    </row>
    <row r="201" spans="1:20" x14ac:dyDescent="0.2">
      <c r="A201" s="1">
        <v>46022</v>
      </c>
      <c r="B201" s="2">
        <v>0.875</v>
      </c>
      <c r="C201" s="19" t="s">
        <v>12</v>
      </c>
      <c r="D201" s="19" t="s">
        <v>35</v>
      </c>
      <c r="E201" s="19" t="s">
        <v>12</v>
      </c>
      <c r="F201">
        <v>3</v>
      </c>
      <c r="G201">
        <v>2</v>
      </c>
      <c r="H201">
        <v>0.87290000000000001</v>
      </c>
      <c r="I201" s="19" t="s">
        <v>249</v>
      </c>
      <c r="J201" s="19" t="s">
        <v>12</v>
      </c>
      <c r="K201">
        <v>3</v>
      </c>
      <c r="L201">
        <v>2</v>
      </c>
      <c r="M201">
        <v>2.8</v>
      </c>
      <c r="N201" s="19" t="s">
        <v>12</v>
      </c>
      <c r="O201" s="19" t="s">
        <v>288</v>
      </c>
      <c r="P201" s="19" t="s">
        <v>287</v>
      </c>
      <c r="Q201" s="19" t="s">
        <v>285</v>
      </c>
      <c r="R201" s="19" t="s">
        <v>248</v>
      </c>
      <c r="S201" s="19" t="s">
        <v>248</v>
      </c>
      <c r="T201" s="19" t="s">
        <v>286</v>
      </c>
    </row>
    <row r="202" spans="1:20" x14ac:dyDescent="0.2">
      <c r="A202" s="1">
        <v>46022</v>
      </c>
      <c r="B202" s="2">
        <v>0.89583333333333337</v>
      </c>
      <c r="C202" s="19" t="s">
        <v>16</v>
      </c>
      <c r="D202" s="19" t="s">
        <v>27</v>
      </c>
      <c r="E202" s="19" t="s">
        <v>16</v>
      </c>
      <c r="F202">
        <v>5</v>
      </c>
      <c r="G202">
        <v>2</v>
      </c>
      <c r="H202">
        <v>0.67779999999999996</v>
      </c>
      <c r="I202" s="19" t="s">
        <v>249</v>
      </c>
      <c r="J202" s="19" t="s">
        <v>27</v>
      </c>
      <c r="K202">
        <v>3</v>
      </c>
      <c r="L202">
        <v>2</v>
      </c>
      <c r="M202">
        <v>-0.49</v>
      </c>
      <c r="N202" s="19" t="s">
        <v>16</v>
      </c>
      <c r="O202" s="19" t="s">
        <v>283</v>
      </c>
      <c r="P202" s="19" t="s">
        <v>287</v>
      </c>
      <c r="Q202" s="19" t="s">
        <v>285</v>
      </c>
      <c r="R202" s="19" t="s">
        <v>248</v>
      </c>
      <c r="S202" s="19" t="s">
        <v>249</v>
      </c>
      <c r="T202" s="19" t="s">
        <v>286</v>
      </c>
    </row>
    <row r="203" spans="1:20" x14ac:dyDescent="0.2">
      <c r="A203" s="1">
        <v>46022</v>
      </c>
      <c r="B203" s="2">
        <v>0.66666666666666663</v>
      </c>
      <c r="C203" s="19" t="s">
        <v>31</v>
      </c>
      <c r="D203" s="19" t="s">
        <v>37</v>
      </c>
      <c r="E203" s="19" t="s">
        <v>37</v>
      </c>
      <c r="F203">
        <v>2</v>
      </c>
      <c r="G203">
        <v>4</v>
      </c>
      <c r="H203">
        <v>0.76780000000000004</v>
      </c>
      <c r="I203" s="19" t="s">
        <v>249</v>
      </c>
      <c r="J203" s="19" t="s">
        <v>37</v>
      </c>
      <c r="K203">
        <v>3</v>
      </c>
      <c r="L203">
        <v>2</v>
      </c>
      <c r="M203">
        <v>-0.71</v>
      </c>
      <c r="N203" s="19" t="s">
        <v>37</v>
      </c>
      <c r="O203" s="19" t="s">
        <v>291</v>
      </c>
      <c r="P203" s="19" t="s">
        <v>289</v>
      </c>
      <c r="Q203" s="19" t="s">
        <v>287</v>
      </c>
      <c r="R203" s="19" t="s">
        <v>248</v>
      </c>
      <c r="S203" s="19" t="s">
        <v>248</v>
      </c>
      <c r="T203" s="19" t="s">
        <v>286</v>
      </c>
    </row>
    <row r="204" spans="1:20" x14ac:dyDescent="0.2">
      <c r="A204" s="1">
        <v>46022</v>
      </c>
      <c r="B204" s="2">
        <v>0.83333333333333337</v>
      </c>
      <c r="C204" s="19" t="s">
        <v>39</v>
      </c>
      <c r="D204" s="19" t="s">
        <v>23</v>
      </c>
      <c r="E204" s="19" t="s">
        <v>39</v>
      </c>
      <c r="F204">
        <v>4</v>
      </c>
      <c r="G204">
        <v>3</v>
      </c>
      <c r="H204">
        <v>0.78620000000000001</v>
      </c>
      <c r="I204" s="19" t="s">
        <v>249</v>
      </c>
      <c r="J204" s="19" t="s">
        <v>39</v>
      </c>
      <c r="K204">
        <v>3</v>
      </c>
      <c r="L204">
        <v>2</v>
      </c>
      <c r="M204">
        <v>0.91</v>
      </c>
      <c r="N204" s="19" t="s">
        <v>23</v>
      </c>
      <c r="O204" s="19" t="s">
        <v>287</v>
      </c>
      <c r="P204" s="19" t="s">
        <v>289</v>
      </c>
      <c r="Q204" s="19" t="s">
        <v>285</v>
      </c>
      <c r="R204" s="19" t="s">
        <v>249</v>
      </c>
      <c r="S204" s="19" t="s">
        <v>249</v>
      </c>
      <c r="T204" s="19" t="s">
        <v>286</v>
      </c>
    </row>
    <row r="205" spans="1:20" x14ac:dyDescent="0.2">
      <c r="A205" s="1">
        <v>46022</v>
      </c>
      <c r="B205" s="2">
        <v>0.79166666666666663</v>
      </c>
      <c r="C205" s="19" t="s">
        <v>28</v>
      </c>
      <c r="D205" s="19" t="s">
        <v>24</v>
      </c>
      <c r="E205" s="19" t="s">
        <v>24</v>
      </c>
      <c r="F205">
        <v>3</v>
      </c>
      <c r="G205">
        <v>4</v>
      </c>
      <c r="H205">
        <v>0.67300000000000004</v>
      </c>
      <c r="I205" s="19" t="s">
        <v>249</v>
      </c>
      <c r="J205" s="19" t="s">
        <v>24</v>
      </c>
      <c r="K205">
        <v>3</v>
      </c>
      <c r="L205">
        <v>2</v>
      </c>
      <c r="M205">
        <v>-0.12</v>
      </c>
      <c r="N205" s="19" t="s">
        <v>24</v>
      </c>
      <c r="O205" s="19" t="s">
        <v>284</v>
      </c>
      <c r="P205" s="19" t="s">
        <v>291</v>
      </c>
      <c r="Q205" s="19" t="s">
        <v>285</v>
      </c>
      <c r="R205" s="19" t="s">
        <v>248</v>
      </c>
      <c r="S205" s="19" t="s">
        <v>248</v>
      </c>
      <c r="T205" s="19" t="s">
        <v>286</v>
      </c>
    </row>
    <row r="206" spans="1:20" x14ac:dyDescent="0.2">
      <c r="A206" s="1">
        <v>46022</v>
      </c>
      <c r="B206" s="2">
        <v>0.77083333333333337</v>
      </c>
      <c r="C206" s="19" t="s">
        <v>26</v>
      </c>
      <c r="D206" s="19" t="s">
        <v>40</v>
      </c>
      <c r="E206" s="19" t="s">
        <v>26</v>
      </c>
      <c r="F206">
        <v>5</v>
      </c>
      <c r="G206">
        <v>4</v>
      </c>
      <c r="H206">
        <v>0.53749999999999998</v>
      </c>
      <c r="I206" s="19" t="s">
        <v>249</v>
      </c>
      <c r="J206" s="19" t="s">
        <v>26</v>
      </c>
      <c r="K206">
        <v>3</v>
      </c>
      <c r="L206">
        <v>2</v>
      </c>
      <c r="M206">
        <v>0.04</v>
      </c>
      <c r="N206" s="19" t="s">
        <v>26</v>
      </c>
      <c r="O206" s="19" t="s">
        <v>284</v>
      </c>
      <c r="P206" s="19" t="s">
        <v>287</v>
      </c>
      <c r="Q206" s="19" t="s">
        <v>285</v>
      </c>
      <c r="R206" s="19" t="s">
        <v>248</v>
      </c>
      <c r="S206" s="19" t="s">
        <v>248</v>
      </c>
      <c r="T206" s="19" t="s">
        <v>286</v>
      </c>
    </row>
    <row r="207" spans="1:20" x14ac:dyDescent="0.2">
      <c r="A207" s="1">
        <v>46022</v>
      </c>
      <c r="B207" s="2">
        <v>0.89583333333333337</v>
      </c>
      <c r="C207" s="19" t="s">
        <v>17</v>
      </c>
      <c r="D207" s="19" t="s">
        <v>21</v>
      </c>
      <c r="E207" s="19" t="s">
        <v>17</v>
      </c>
      <c r="F207">
        <v>4</v>
      </c>
      <c r="G207">
        <v>3</v>
      </c>
      <c r="H207">
        <v>0.6331</v>
      </c>
      <c r="I207" s="19" t="s">
        <v>249</v>
      </c>
      <c r="J207" s="19" t="s">
        <v>17</v>
      </c>
      <c r="K207">
        <v>3</v>
      </c>
      <c r="L207">
        <v>2</v>
      </c>
      <c r="M207">
        <v>0.3</v>
      </c>
      <c r="N207" s="19" t="s">
        <v>21</v>
      </c>
      <c r="O207" s="19" t="s">
        <v>284</v>
      </c>
      <c r="P207" s="19" t="s">
        <v>288</v>
      </c>
      <c r="Q207" s="19" t="s">
        <v>285</v>
      </c>
      <c r="R207" s="19" t="s">
        <v>249</v>
      </c>
      <c r="S207" s="19" t="s">
        <v>249</v>
      </c>
      <c r="T207" s="19" t="s">
        <v>286</v>
      </c>
    </row>
    <row r="208" spans="1:20" x14ac:dyDescent="0.2">
      <c r="A208" s="1">
        <v>46023</v>
      </c>
      <c r="B208" s="2">
        <v>0.91666666666666663</v>
      </c>
      <c r="C208" s="19" t="s">
        <v>32</v>
      </c>
      <c r="D208" s="19" t="s">
        <v>29</v>
      </c>
      <c r="E208" s="19" t="s">
        <v>32</v>
      </c>
      <c r="F208">
        <v>3</v>
      </c>
      <c r="G208">
        <v>2</v>
      </c>
      <c r="H208">
        <v>0.54830000000000001</v>
      </c>
      <c r="I208" s="19" t="s">
        <v>249</v>
      </c>
      <c r="J208" s="19" t="s">
        <v>29</v>
      </c>
      <c r="K208">
        <v>3</v>
      </c>
      <c r="L208">
        <v>2</v>
      </c>
      <c r="M208">
        <v>-0.04</v>
      </c>
      <c r="N208" s="19" t="s">
        <v>32</v>
      </c>
      <c r="O208" s="19" t="s">
        <v>289</v>
      </c>
      <c r="P208" s="19" t="s">
        <v>287</v>
      </c>
      <c r="Q208" s="19" t="s">
        <v>285</v>
      </c>
      <c r="R208" s="19" t="s">
        <v>248</v>
      </c>
      <c r="S208" s="19" t="s">
        <v>249</v>
      </c>
      <c r="T208" s="19" t="s">
        <v>286</v>
      </c>
    </row>
    <row r="209" spans="1:20" x14ac:dyDescent="0.2">
      <c r="A209" s="1">
        <v>46023</v>
      </c>
      <c r="B209" s="2">
        <v>0.54166666666666663</v>
      </c>
      <c r="C209" s="19" t="s">
        <v>36</v>
      </c>
      <c r="D209" s="19" t="s">
        <v>22</v>
      </c>
      <c r="E209" s="19" t="s">
        <v>22</v>
      </c>
      <c r="F209">
        <v>3</v>
      </c>
      <c r="G209">
        <v>4</v>
      </c>
      <c r="H209">
        <v>0.62760000000000005</v>
      </c>
      <c r="I209" s="19" t="s">
        <v>249</v>
      </c>
      <c r="J209" s="19" t="s">
        <v>22</v>
      </c>
      <c r="K209">
        <v>3</v>
      </c>
      <c r="L209">
        <v>2</v>
      </c>
      <c r="M209">
        <v>-0.37</v>
      </c>
      <c r="N209" s="19" t="s">
        <v>36</v>
      </c>
      <c r="O209" s="19" t="s">
        <v>289</v>
      </c>
      <c r="P209" s="19" t="s">
        <v>291</v>
      </c>
      <c r="Q209" s="19" t="s">
        <v>285</v>
      </c>
      <c r="R209" s="19" t="s">
        <v>249</v>
      </c>
      <c r="S209" s="19" t="s">
        <v>249</v>
      </c>
      <c r="T209" s="19" t="s">
        <v>286</v>
      </c>
    </row>
    <row r="210" spans="1:20" x14ac:dyDescent="0.2">
      <c r="A210" s="1">
        <v>46023</v>
      </c>
      <c r="B210" s="2">
        <v>0.79166666666666663</v>
      </c>
      <c r="C210" s="19" t="s">
        <v>19</v>
      </c>
      <c r="D210" s="19" t="s">
        <v>40</v>
      </c>
      <c r="E210" s="19" t="s">
        <v>19</v>
      </c>
      <c r="F210">
        <v>4</v>
      </c>
      <c r="G210">
        <v>2</v>
      </c>
      <c r="H210">
        <v>0.74609999999999999</v>
      </c>
      <c r="I210" s="19" t="s">
        <v>249</v>
      </c>
      <c r="J210" s="19" t="s">
        <v>19</v>
      </c>
      <c r="K210">
        <v>3</v>
      </c>
      <c r="L210">
        <v>2</v>
      </c>
      <c r="M210">
        <v>0.14000000000000001</v>
      </c>
      <c r="N210" s="19" t="s">
        <v>19</v>
      </c>
      <c r="O210" s="19" t="s">
        <v>288</v>
      </c>
      <c r="P210" s="19" t="s">
        <v>283</v>
      </c>
      <c r="Q210" s="19" t="s">
        <v>285</v>
      </c>
      <c r="R210" s="19" t="s">
        <v>248</v>
      </c>
      <c r="S210" s="19" t="s">
        <v>248</v>
      </c>
      <c r="T210" s="19" t="s">
        <v>286</v>
      </c>
    </row>
    <row r="211" spans="1:20" x14ac:dyDescent="0.2">
      <c r="A211" s="1">
        <v>46023</v>
      </c>
      <c r="B211" s="2">
        <v>0.79166666666666663</v>
      </c>
      <c r="C211" s="19" t="s">
        <v>14</v>
      </c>
      <c r="D211" s="19" t="s">
        <v>26</v>
      </c>
      <c r="E211" s="19" t="s">
        <v>26</v>
      </c>
      <c r="F211">
        <v>3</v>
      </c>
      <c r="G211">
        <v>4</v>
      </c>
      <c r="H211">
        <v>0.62039999999999995</v>
      </c>
      <c r="I211" s="19" t="s">
        <v>249</v>
      </c>
      <c r="J211" s="19" t="s">
        <v>14</v>
      </c>
      <c r="K211">
        <v>3</v>
      </c>
      <c r="L211">
        <v>2</v>
      </c>
      <c r="M211">
        <v>0.15</v>
      </c>
      <c r="N211" s="19" t="s">
        <v>14</v>
      </c>
      <c r="O211" s="19" t="s">
        <v>289</v>
      </c>
      <c r="P211" s="19" t="s">
        <v>291</v>
      </c>
      <c r="Q211" s="19" t="s">
        <v>287</v>
      </c>
      <c r="R211" s="19" t="s">
        <v>249</v>
      </c>
      <c r="S211" s="19" t="s">
        <v>248</v>
      </c>
      <c r="T211" s="19" t="s">
        <v>286</v>
      </c>
    </row>
    <row r="212" spans="1:20" x14ac:dyDescent="0.2">
      <c r="A212" s="1">
        <v>46023</v>
      </c>
      <c r="B212" s="2">
        <v>0.85416666666666663</v>
      </c>
      <c r="C212" s="19" t="s">
        <v>10</v>
      </c>
      <c r="D212" s="19" t="s">
        <v>39</v>
      </c>
      <c r="E212" s="19" t="s">
        <v>39</v>
      </c>
      <c r="F212">
        <v>2</v>
      </c>
      <c r="G212">
        <v>3</v>
      </c>
      <c r="H212">
        <v>0.7883</v>
      </c>
      <c r="I212" s="19" t="s">
        <v>249</v>
      </c>
      <c r="J212" s="19" t="s">
        <v>39</v>
      </c>
      <c r="K212">
        <v>3</v>
      </c>
      <c r="L212">
        <v>2</v>
      </c>
      <c r="M212">
        <v>-1.2</v>
      </c>
      <c r="N212" s="19" t="s">
        <v>10</v>
      </c>
      <c r="O212" s="19" t="s">
        <v>289</v>
      </c>
      <c r="P212" s="19" t="s">
        <v>291</v>
      </c>
      <c r="Q212" s="19" t="s">
        <v>285</v>
      </c>
      <c r="R212" s="19" t="s">
        <v>249</v>
      </c>
      <c r="S212" s="19" t="s">
        <v>249</v>
      </c>
      <c r="T212" s="19" t="s">
        <v>286</v>
      </c>
    </row>
    <row r="213" spans="1:20" x14ac:dyDescent="0.2">
      <c r="A213" s="1">
        <v>46023</v>
      </c>
      <c r="B213" s="2">
        <v>0.79166666666666663</v>
      </c>
      <c r="C213" s="19" t="s">
        <v>13</v>
      </c>
      <c r="D213" s="19" t="s">
        <v>37</v>
      </c>
      <c r="E213" s="19" t="s">
        <v>37</v>
      </c>
      <c r="F213">
        <v>2</v>
      </c>
      <c r="G213">
        <v>3</v>
      </c>
      <c r="H213">
        <v>0.71709999999999996</v>
      </c>
      <c r="I213" s="19" t="s">
        <v>249</v>
      </c>
      <c r="J213" s="19" t="s">
        <v>37</v>
      </c>
      <c r="K213">
        <v>3</v>
      </c>
      <c r="L213">
        <v>2</v>
      </c>
      <c r="M213">
        <v>-0.66</v>
      </c>
      <c r="N213" s="19" t="s">
        <v>37</v>
      </c>
      <c r="O213" s="19" t="s">
        <v>291</v>
      </c>
      <c r="P213" s="19" t="s">
        <v>283</v>
      </c>
      <c r="Q213" s="19" t="s">
        <v>285</v>
      </c>
      <c r="R213" s="19" t="s">
        <v>248</v>
      </c>
      <c r="S213" s="19" t="s">
        <v>248</v>
      </c>
      <c r="T213" s="19" t="s">
        <v>286</v>
      </c>
    </row>
    <row r="214" spans="1:20" x14ac:dyDescent="0.2">
      <c r="A214" s="1">
        <v>46023</v>
      </c>
      <c r="B214" s="2">
        <v>0.79166666666666663</v>
      </c>
      <c r="C214" s="19" t="s">
        <v>25</v>
      </c>
      <c r="D214" s="19" t="s">
        <v>18</v>
      </c>
      <c r="E214" s="19" t="s">
        <v>18</v>
      </c>
      <c r="F214">
        <v>4</v>
      </c>
      <c r="G214">
        <v>5</v>
      </c>
      <c r="H214">
        <v>0.57499999999999996</v>
      </c>
      <c r="I214" s="19" t="s">
        <v>249</v>
      </c>
      <c r="J214" s="19" t="s">
        <v>25</v>
      </c>
      <c r="K214">
        <v>3</v>
      </c>
      <c r="L214">
        <v>2</v>
      </c>
      <c r="M214">
        <v>0.56999999999999995</v>
      </c>
      <c r="N214" s="19" t="s">
        <v>18</v>
      </c>
      <c r="O214" s="19" t="s">
        <v>283</v>
      </c>
      <c r="P214" s="19" t="s">
        <v>292</v>
      </c>
      <c r="Q214" s="19" t="s">
        <v>285</v>
      </c>
      <c r="R214" s="19" t="s">
        <v>248</v>
      </c>
      <c r="S214" s="19" t="s">
        <v>249</v>
      </c>
      <c r="T214" s="19" t="s">
        <v>286</v>
      </c>
    </row>
    <row r="215" spans="1:20" x14ac:dyDescent="0.2">
      <c r="A215" s="1">
        <v>46023</v>
      </c>
      <c r="B215" s="2">
        <v>0.625</v>
      </c>
      <c r="C215" s="19" t="s">
        <v>30</v>
      </c>
      <c r="D215" s="19" t="s">
        <v>55</v>
      </c>
      <c r="E215" s="19" t="s">
        <v>30</v>
      </c>
      <c r="F215">
        <v>3</v>
      </c>
      <c r="G215">
        <v>2</v>
      </c>
      <c r="H215">
        <v>0.56630000000000003</v>
      </c>
      <c r="I215" s="19" t="s">
        <v>249</v>
      </c>
      <c r="J215" s="19" t="s">
        <v>30</v>
      </c>
      <c r="K215">
        <v>3</v>
      </c>
      <c r="L215">
        <v>2</v>
      </c>
      <c r="M215">
        <v>0.17</v>
      </c>
      <c r="N215" s="19" t="s">
        <v>55</v>
      </c>
      <c r="O215" s="19" t="s">
        <v>284</v>
      </c>
      <c r="P215" s="19" t="s">
        <v>292</v>
      </c>
      <c r="Q215" s="19" t="s">
        <v>285</v>
      </c>
      <c r="R215" s="19" t="s">
        <v>249</v>
      </c>
      <c r="S215" s="19" t="s">
        <v>249</v>
      </c>
      <c r="T215" s="19" t="s">
        <v>286</v>
      </c>
    </row>
    <row r="216" spans="1:20" x14ac:dyDescent="0.2">
      <c r="A216" s="1">
        <v>46024</v>
      </c>
      <c r="B216" s="2">
        <v>0.9375</v>
      </c>
      <c r="C216" s="19" t="s">
        <v>31</v>
      </c>
      <c r="D216" s="19" t="s">
        <v>34</v>
      </c>
      <c r="E216" s="19" t="s">
        <v>34</v>
      </c>
      <c r="F216">
        <v>3</v>
      </c>
      <c r="G216">
        <v>6</v>
      </c>
      <c r="H216">
        <v>0.51370000000000005</v>
      </c>
      <c r="I216" s="19" t="s">
        <v>249</v>
      </c>
      <c r="J216" s="19" t="s">
        <v>34</v>
      </c>
      <c r="K216">
        <v>3</v>
      </c>
      <c r="L216">
        <v>2</v>
      </c>
      <c r="M216">
        <v>-0.52</v>
      </c>
      <c r="N216" s="19" t="s">
        <v>34</v>
      </c>
      <c r="O216" s="19" t="s">
        <v>284</v>
      </c>
      <c r="P216" s="19" t="s">
        <v>283</v>
      </c>
      <c r="Q216" s="19" t="s">
        <v>285</v>
      </c>
      <c r="R216" s="19" t="s">
        <v>248</v>
      </c>
      <c r="S216" s="19" t="s">
        <v>248</v>
      </c>
      <c r="T216" s="19" t="s">
        <v>286</v>
      </c>
    </row>
    <row r="217" spans="1:20" x14ac:dyDescent="0.2">
      <c r="A217" s="1">
        <v>46024</v>
      </c>
      <c r="B217" s="2">
        <v>0.625</v>
      </c>
      <c r="C217" s="19" t="s">
        <v>35</v>
      </c>
      <c r="D217" s="19" t="s">
        <v>20</v>
      </c>
      <c r="E217" s="19" t="s">
        <v>20</v>
      </c>
      <c r="F217">
        <v>2</v>
      </c>
      <c r="G217">
        <v>4</v>
      </c>
      <c r="H217">
        <v>0.9012</v>
      </c>
      <c r="I217" s="19" t="s">
        <v>249</v>
      </c>
      <c r="J217" s="19" t="s">
        <v>20</v>
      </c>
      <c r="K217">
        <v>3</v>
      </c>
      <c r="L217">
        <v>2</v>
      </c>
      <c r="M217">
        <v>-1.03</v>
      </c>
      <c r="N217" s="19" t="s">
        <v>35</v>
      </c>
      <c r="O217" s="19" t="s">
        <v>289</v>
      </c>
      <c r="P217" s="19" t="s">
        <v>291</v>
      </c>
      <c r="Q217" s="19" t="s">
        <v>285</v>
      </c>
      <c r="R217" s="19" t="s">
        <v>249</v>
      </c>
      <c r="S217" s="19" t="s">
        <v>249</v>
      </c>
      <c r="T217" s="19" t="s">
        <v>286</v>
      </c>
    </row>
    <row r="218" spans="1:20" x14ac:dyDescent="0.2">
      <c r="A218" s="1">
        <v>46024</v>
      </c>
      <c r="B218" s="2">
        <v>0.9375</v>
      </c>
      <c r="C218" s="19" t="s">
        <v>38</v>
      </c>
      <c r="D218" s="19" t="s">
        <v>32</v>
      </c>
      <c r="E218" s="19" t="s">
        <v>32</v>
      </c>
      <c r="F218">
        <v>2</v>
      </c>
      <c r="G218">
        <v>3</v>
      </c>
      <c r="H218">
        <v>0.76480000000000004</v>
      </c>
      <c r="I218" s="19" t="s">
        <v>249</v>
      </c>
      <c r="J218" s="19" t="s">
        <v>32</v>
      </c>
      <c r="K218">
        <v>3</v>
      </c>
      <c r="L218">
        <v>2</v>
      </c>
      <c r="M218">
        <v>-0.12</v>
      </c>
      <c r="N218" s="19" t="s">
        <v>32</v>
      </c>
      <c r="O218" s="19" t="s">
        <v>291</v>
      </c>
      <c r="P218" s="19" t="s">
        <v>289</v>
      </c>
      <c r="Q218" s="19" t="s">
        <v>287</v>
      </c>
      <c r="R218" s="19" t="s">
        <v>248</v>
      </c>
      <c r="S218" s="19" t="s">
        <v>248</v>
      </c>
      <c r="T218" s="19" t="s">
        <v>286</v>
      </c>
    </row>
    <row r="219" spans="1:20" x14ac:dyDescent="0.2">
      <c r="A219" s="1">
        <v>46024</v>
      </c>
      <c r="B219" s="2">
        <v>0.83333333333333337</v>
      </c>
      <c r="C219" s="19" t="s">
        <v>11</v>
      </c>
      <c r="D219" s="19" t="s">
        <v>15</v>
      </c>
      <c r="E219" s="19" t="s">
        <v>11</v>
      </c>
      <c r="F219">
        <v>5</v>
      </c>
      <c r="G219">
        <v>4</v>
      </c>
      <c r="H219">
        <v>0.52010000000000001</v>
      </c>
      <c r="I219" s="19" t="s">
        <v>249</v>
      </c>
      <c r="J219" s="19" t="s">
        <v>11</v>
      </c>
      <c r="K219">
        <v>3</v>
      </c>
      <c r="L219">
        <v>2</v>
      </c>
      <c r="M219">
        <v>0.27</v>
      </c>
      <c r="N219" s="19" t="s">
        <v>15</v>
      </c>
      <c r="O219" s="19" t="s">
        <v>287</v>
      </c>
      <c r="P219" s="19" t="s">
        <v>283</v>
      </c>
      <c r="Q219" s="19" t="s">
        <v>285</v>
      </c>
      <c r="R219" s="19" t="s">
        <v>249</v>
      </c>
      <c r="S219" s="19" t="s">
        <v>249</v>
      </c>
      <c r="T219" s="19" t="s">
        <v>286</v>
      </c>
    </row>
    <row r="220" spans="1:20" x14ac:dyDescent="0.2">
      <c r="A220" s="1">
        <v>46025</v>
      </c>
      <c r="B220" s="2">
        <v>0.79166666666666663</v>
      </c>
      <c r="C220" s="19" t="s">
        <v>22</v>
      </c>
      <c r="D220" s="19" t="s">
        <v>10</v>
      </c>
      <c r="E220" s="19" t="s">
        <v>22</v>
      </c>
      <c r="F220">
        <v>3</v>
      </c>
      <c r="G220">
        <v>2</v>
      </c>
      <c r="H220">
        <v>0.77210000000000001</v>
      </c>
      <c r="I220" s="19" t="s">
        <v>249</v>
      </c>
      <c r="J220" s="19" t="s">
        <v>22</v>
      </c>
      <c r="K220">
        <v>3</v>
      </c>
      <c r="L220">
        <v>2</v>
      </c>
      <c r="M220">
        <v>0.93</v>
      </c>
      <c r="N220" s="19" t="s">
        <v>10</v>
      </c>
      <c r="O220" s="19" t="s">
        <v>284</v>
      </c>
      <c r="P220" s="19" t="s">
        <v>291</v>
      </c>
      <c r="Q220" s="19" t="s">
        <v>287</v>
      </c>
      <c r="R220" s="19" t="s">
        <v>249</v>
      </c>
      <c r="S220" s="19" t="s">
        <v>249</v>
      </c>
      <c r="T220" s="19" t="s">
        <v>286</v>
      </c>
    </row>
    <row r="221" spans="1:20" x14ac:dyDescent="0.2">
      <c r="A221" s="1">
        <v>46025</v>
      </c>
      <c r="B221" s="2">
        <v>0.66666666666666663</v>
      </c>
      <c r="C221" s="19" t="s">
        <v>35</v>
      </c>
      <c r="D221" s="19" t="s">
        <v>18</v>
      </c>
      <c r="E221" s="19" t="s">
        <v>18</v>
      </c>
      <c r="F221">
        <v>3</v>
      </c>
      <c r="G221">
        <v>4</v>
      </c>
      <c r="H221">
        <v>0.63329999999999997</v>
      </c>
      <c r="I221" s="19" t="s">
        <v>249</v>
      </c>
      <c r="J221" s="19" t="s">
        <v>18</v>
      </c>
      <c r="K221">
        <v>3</v>
      </c>
      <c r="L221">
        <v>2</v>
      </c>
      <c r="M221">
        <v>-0.95</v>
      </c>
      <c r="N221" s="19" t="s">
        <v>35</v>
      </c>
      <c r="O221" s="19" t="s">
        <v>284</v>
      </c>
      <c r="P221" s="19" t="s">
        <v>285</v>
      </c>
      <c r="Q221" s="19" t="s">
        <v>285</v>
      </c>
      <c r="R221" s="19" t="s">
        <v>249</v>
      </c>
      <c r="S221" s="19" t="s">
        <v>249</v>
      </c>
      <c r="T221" s="19" t="s">
        <v>286</v>
      </c>
    </row>
    <row r="222" spans="1:20" x14ac:dyDescent="0.2">
      <c r="A222" s="1">
        <v>46025</v>
      </c>
      <c r="B222" s="2">
        <v>0.625</v>
      </c>
      <c r="C222" s="19" t="s">
        <v>24</v>
      </c>
      <c r="D222" s="19" t="s">
        <v>55</v>
      </c>
      <c r="E222" s="19" t="s">
        <v>24</v>
      </c>
      <c r="F222">
        <v>4</v>
      </c>
      <c r="G222">
        <v>3</v>
      </c>
      <c r="H222">
        <v>0.62829999999999997</v>
      </c>
      <c r="I222" s="19" t="s">
        <v>249</v>
      </c>
      <c r="J222" s="19" t="s">
        <v>55</v>
      </c>
      <c r="K222">
        <v>3</v>
      </c>
      <c r="L222">
        <v>2</v>
      </c>
      <c r="M222">
        <v>-0.32</v>
      </c>
      <c r="N222" s="19" t="s">
        <v>24</v>
      </c>
      <c r="O222" s="19" t="s">
        <v>289</v>
      </c>
      <c r="P222" s="19" t="s">
        <v>287</v>
      </c>
      <c r="Q222" s="19" t="s">
        <v>285</v>
      </c>
      <c r="R222" s="19" t="s">
        <v>248</v>
      </c>
      <c r="S222" s="19" t="s">
        <v>249</v>
      </c>
      <c r="T222" s="19" t="s">
        <v>286</v>
      </c>
    </row>
    <row r="223" spans="1:20" x14ac:dyDescent="0.2">
      <c r="A223" s="1">
        <v>46025</v>
      </c>
      <c r="B223" s="2">
        <v>0.79166666666666663</v>
      </c>
      <c r="C223" s="19" t="s">
        <v>36</v>
      </c>
      <c r="D223" s="19" t="s">
        <v>40</v>
      </c>
      <c r="E223" s="19" t="s">
        <v>36</v>
      </c>
      <c r="F223">
        <v>3</v>
      </c>
      <c r="G223">
        <v>2</v>
      </c>
      <c r="H223">
        <v>0.71260000000000001</v>
      </c>
      <c r="I223" s="19" t="s">
        <v>249</v>
      </c>
      <c r="J223" s="19" t="s">
        <v>36</v>
      </c>
      <c r="K223">
        <v>3</v>
      </c>
      <c r="L223">
        <v>2</v>
      </c>
      <c r="M223">
        <v>0.27</v>
      </c>
      <c r="N223" s="19" t="s">
        <v>36</v>
      </c>
      <c r="O223" s="19" t="s">
        <v>289</v>
      </c>
      <c r="P223" s="19" t="s">
        <v>284</v>
      </c>
      <c r="Q223" s="19" t="s">
        <v>285</v>
      </c>
      <c r="R223" s="19" t="s">
        <v>248</v>
      </c>
      <c r="S223" s="19" t="s">
        <v>248</v>
      </c>
      <c r="T223" s="19" t="s">
        <v>286</v>
      </c>
    </row>
    <row r="224" spans="1:20" x14ac:dyDescent="0.2">
      <c r="A224" s="1">
        <v>46025</v>
      </c>
      <c r="B224" s="2">
        <v>0.625</v>
      </c>
      <c r="C224" s="19" t="s">
        <v>28</v>
      </c>
      <c r="D224" s="19" t="s">
        <v>23</v>
      </c>
      <c r="E224" s="19" t="s">
        <v>28</v>
      </c>
      <c r="F224">
        <v>4</v>
      </c>
      <c r="G224">
        <v>3</v>
      </c>
      <c r="H224">
        <v>0.62</v>
      </c>
      <c r="I224" s="19" t="s">
        <v>249</v>
      </c>
      <c r="J224" s="19" t="s">
        <v>23</v>
      </c>
      <c r="K224">
        <v>3</v>
      </c>
      <c r="L224">
        <v>2</v>
      </c>
      <c r="M224">
        <v>-0.32</v>
      </c>
      <c r="N224" s="19" t="s">
        <v>28</v>
      </c>
      <c r="O224" s="19" t="s">
        <v>283</v>
      </c>
      <c r="P224" s="19" t="s">
        <v>287</v>
      </c>
      <c r="Q224" s="19" t="s">
        <v>285</v>
      </c>
      <c r="R224" s="19" t="s">
        <v>248</v>
      </c>
      <c r="S224" s="19" t="s">
        <v>249</v>
      </c>
      <c r="T224" s="19" t="s">
        <v>286</v>
      </c>
    </row>
    <row r="225" spans="1:20" x14ac:dyDescent="0.2">
      <c r="A225" s="1">
        <v>46025</v>
      </c>
      <c r="B225" s="2">
        <v>0.66666666666666663</v>
      </c>
      <c r="C225" s="19" t="s">
        <v>33</v>
      </c>
      <c r="D225" s="19" t="s">
        <v>37</v>
      </c>
      <c r="E225" s="19" t="s">
        <v>37</v>
      </c>
      <c r="F225">
        <v>2</v>
      </c>
      <c r="G225">
        <v>4</v>
      </c>
      <c r="H225">
        <v>0.76839999999999997</v>
      </c>
      <c r="I225" s="19" t="s">
        <v>249</v>
      </c>
      <c r="J225" s="19" t="s">
        <v>37</v>
      </c>
      <c r="K225">
        <v>3</v>
      </c>
      <c r="L225">
        <v>2</v>
      </c>
      <c r="M225">
        <v>-0.9</v>
      </c>
      <c r="N225" s="19" t="s">
        <v>37</v>
      </c>
      <c r="O225" s="19" t="s">
        <v>291</v>
      </c>
      <c r="P225" s="19" t="s">
        <v>292</v>
      </c>
      <c r="Q225" s="19" t="s">
        <v>285</v>
      </c>
      <c r="R225" s="19" t="s">
        <v>248</v>
      </c>
      <c r="S225" s="19" t="s">
        <v>248</v>
      </c>
      <c r="T225" s="19" t="s">
        <v>286</v>
      </c>
    </row>
    <row r="226" spans="1:20" x14ac:dyDescent="0.2">
      <c r="A226" s="1">
        <v>46025</v>
      </c>
      <c r="B226" s="2">
        <v>0.875</v>
      </c>
      <c r="C226" s="19" t="s">
        <v>13</v>
      </c>
      <c r="D226" s="19" t="s">
        <v>34</v>
      </c>
      <c r="E226" s="19" t="s">
        <v>34</v>
      </c>
      <c r="F226">
        <v>1</v>
      </c>
      <c r="G226">
        <v>3</v>
      </c>
      <c r="H226">
        <v>0.93779999999999997</v>
      </c>
      <c r="I226" s="19" t="s">
        <v>249</v>
      </c>
      <c r="J226" s="19" t="s">
        <v>34</v>
      </c>
      <c r="K226">
        <v>3</v>
      </c>
      <c r="L226">
        <v>2</v>
      </c>
      <c r="M226">
        <v>-0.57999999999999996</v>
      </c>
      <c r="N226" s="19" t="s">
        <v>13</v>
      </c>
      <c r="O226" s="19" t="s">
        <v>283</v>
      </c>
      <c r="P226" s="19" t="s">
        <v>289</v>
      </c>
      <c r="Q226" s="19" t="s">
        <v>287</v>
      </c>
      <c r="R226" s="19" t="s">
        <v>249</v>
      </c>
      <c r="S226" s="19" t="s">
        <v>249</v>
      </c>
      <c r="T226" s="19" t="s">
        <v>286</v>
      </c>
    </row>
    <row r="227" spans="1:20" x14ac:dyDescent="0.2">
      <c r="A227" s="1">
        <v>46025</v>
      </c>
      <c r="B227" s="2">
        <v>0.79166666666666663</v>
      </c>
      <c r="C227" s="19" t="s">
        <v>30</v>
      </c>
      <c r="D227" s="19" t="s">
        <v>19</v>
      </c>
      <c r="E227" s="19" t="s">
        <v>30</v>
      </c>
      <c r="F227">
        <v>4</v>
      </c>
      <c r="G227">
        <v>3</v>
      </c>
      <c r="H227">
        <v>0.622</v>
      </c>
      <c r="I227" s="19" t="s">
        <v>249</v>
      </c>
      <c r="J227" s="19" t="s">
        <v>30</v>
      </c>
      <c r="K227">
        <v>3</v>
      </c>
      <c r="L227">
        <v>2</v>
      </c>
      <c r="M227">
        <v>0.27</v>
      </c>
      <c r="N227" s="19" t="s">
        <v>30</v>
      </c>
      <c r="O227" s="19" t="s">
        <v>289</v>
      </c>
      <c r="P227" s="19" t="s">
        <v>291</v>
      </c>
      <c r="Q227" s="19" t="s">
        <v>287</v>
      </c>
      <c r="R227" s="19" t="s">
        <v>248</v>
      </c>
      <c r="S227" s="19" t="s">
        <v>248</v>
      </c>
      <c r="T227" s="19" t="s">
        <v>286</v>
      </c>
    </row>
    <row r="228" spans="1:20" x14ac:dyDescent="0.2">
      <c r="A228" s="1">
        <v>46025</v>
      </c>
      <c r="B228" s="2">
        <v>0.79166666666666663</v>
      </c>
      <c r="C228" s="19" t="s">
        <v>16</v>
      </c>
      <c r="D228" s="19" t="s">
        <v>29</v>
      </c>
      <c r="E228" s="19" t="s">
        <v>16</v>
      </c>
      <c r="F228">
        <v>4</v>
      </c>
      <c r="G228">
        <v>3</v>
      </c>
      <c r="H228">
        <v>0.71840000000000004</v>
      </c>
      <c r="I228" s="19" t="s">
        <v>249</v>
      </c>
      <c r="J228" s="19" t="s">
        <v>16</v>
      </c>
      <c r="K228">
        <v>3</v>
      </c>
      <c r="L228">
        <v>2</v>
      </c>
      <c r="M228">
        <v>0.17</v>
      </c>
      <c r="N228" s="19" t="s">
        <v>29</v>
      </c>
      <c r="O228" s="19" t="s">
        <v>291</v>
      </c>
      <c r="P228" s="19" t="s">
        <v>289</v>
      </c>
      <c r="Q228" s="19" t="s">
        <v>285</v>
      </c>
      <c r="R228" s="19" t="s">
        <v>249</v>
      </c>
      <c r="S228" s="19" t="s">
        <v>249</v>
      </c>
      <c r="T228" s="19" t="s">
        <v>286</v>
      </c>
    </row>
    <row r="229" spans="1:20" x14ac:dyDescent="0.2">
      <c r="A229" s="1">
        <v>46025</v>
      </c>
      <c r="B229" s="2">
        <v>0.91666666666666663</v>
      </c>
      <c r="C229" s="19" t="s">
        <v>38</v>
      </c>
      <c r="D229" s="19" t="s">
        <v>21</v>
      </c>
      <c r="E229" s="19" t="s">
        <v>21</v>
      </c>
      <c r="F229">
        <v>2</v>
      </c>
      <c r="G229">
        <v>3</v>
      </c>
      <c r="H229">
        <v>0.84850000000000003</v>
      </c>
      <c r="I229" s="19" t="s">
        <v>249</v>
      </c>
      <c r="J229" s="19" t="s">
        <v>21</v>
      </c>
      <c r="K229">
        <v>3</v>
      </c>
      <c r="L229">
        <v>2</v>
      </c>
      <c r="M229">
        <v>-0.47</v>
      </c>
      <c r="N229" s="19" t="s">
        <v>21</v>
      </c>
      <c r="O229" s="19" t="s">
        <v>284</v>
      </c>
      <c r="P229" s="19" t="s">
        <v>291</v>
      </c>
      <c r="Q229" s="19" t="s">
        <v>287</v>
      </c>
      <c r="R229" s="19" t="s">
        <v>248</v>
      </c>
      <c r="S229" s="19" t="s">
        <v>248</v>
      </c>
      <c r="T229" s="19" t="s">
        <v>286</v>
      </c>
    </row>
    <row r="230" spans="1:20" x14ac:dyDescent="0.2">
      <c r="A230" s="1">
        <v>46025</v>
      </c>
      <c r="B230" s="2">
        <v>0.5</v>
      </c>
      <c r="C230" s="19" t="s">
        <v>26</v>
      </c>
      <c r="D230" s="19" t="s">
        <v>14</v>
      </c>
      <c r="E230" s="19" t="s">
        <v>26</v>
      </c>
      <c r="F230">
        <v>4</v>
      </c>
      <c r="G230">
        <v>3</v>
      </c>
      <c r="H230">
        <v>0.8014</v>
      </c>
      <c r="I230" s="19" t="s">
        <v>249</v>
      </c>
      <c r="J230" s="19" t="s">
        <v>14</v>
      </c>
      <c r="K230">
        <v>3</v>
      </c>
      <c r="L230">
        <v>2</v>
      </c>
      <c r="M230">
        <v>-0.06</v>
      </c>
      <c r="N230" s="19" t="s">
        <v>14</v>
      </c>
      <c r="O230" s="19" t="s">
        <v>287</v>
      </c>
      <c r="P230" s="19" t="s">
        <v>289</v>
      </c>
      <c r="Q230" s="19" t="s">
        <v>285</v>
      </c>
      <c r="R230" s="19" t="s">
        <v>249</v>
      </c>
      <c r="S230" s="19" t="s">
        <v>248</v>
      </c>
      <c r="T230" s="19" t="s">
        <v>286</v>
      </c>
    </row>
    <row r="231" spans="1:20" x14ac:dyDescent="0.2">
      <c r="A231" s="1">
        <v>46025</v>
      </c>
      <c r="B231" s="2">
        <v>0.64583333333333337</v>
      </c>
      <c r="C231" s="19" t="s">
        <v>17</v>
      </c>
      <c r="D231" s="19" t="s">
        <v>27</v>
      </c>
      <c r="E231" s="19" t="s">
        <v>17</v>
      </c>
      <c r="F231">
        <v>4</v>
      </c>
      <c r="G231">
        <v>3</v>
      </c>
      <c r="H231">
        <v>0.68379999999999996</v>
      </c>
      <c r="I231" s="19" t="s">
        <v>249</v>
      </c>
      <c r="J231" s="19" t="s">
        <v>27</v>
      </c>
      <c r="K231">
        <v>3</v>
      </c>
      <c r="L231">
        <v>2</v>
      </c>
      <c r="M231">
        <v>-0.03</v>
      </c>
      <c r="N231" s="19" t="s">
        <v>27</v>
      </c>
      <c r="O231" s="19" t="s">
        <v>284</v>
      </c>
      <c r="P231" s="19" t="s">
        <v>283</v>
      </c>
      <c r="Q231" s="19" t="s">
        <v>285</v>
      </c>
      <c r="R231" s="19" t="s">
        <v>249</v>
      </c>
      <c r="S231" s="19" t="s">
        <v>248</v>
      </c>
      <c r="T231" s="19" t="s">
        <v>286</v>
      </c>
    </row>
    <row r="232" spans="1:20" x14ac:dyDescent="0.2">
      <c r="A232" s="1">
        <v>46025</v>
      </c>
      <c r="B232" s="2">
        <v>0.79166666666666663</v>
      </c>
      <c r="C232" s="19" t="s">
        <v>25</v>
      </c>
      <c r="D232" s="19" t="s">
        <v>12</v>
      </c>
      <c r="E232" s="19" t="s">
        <v>25</v>
      </c>
      <c r="F232">
        <v>5</v>
      </c>
      <c r="G232">
        <v>4</v>
      </c>
      <c r="H232">
        <v>0.51919999999999999</v>
      </c>
      <c r="I232" s="19" t="s">
        <v>249</v>
      </c>
      <c r="J232" s="19" t="s">
        <v>12</v>
      </c>
      <c r="K232">
        <v>3</v>
      </c>
      <c r="L232">
        <v>2</v>
      </c>
      <c r="M232">
        <v>-1.34</v>
      </c>
      <c r="N232" s="19" t="s">
        <v>12</v>
      </c>
      <c r="O232" s="19" t="s">
        <v>291</v>
      </c>
      <c r="P232" s="19" t="s">
        <v>283</v>
      </c>
      <c r="Q232" s="19" t="s">
        <v>285</v>
      </c>
      <c r="R232" s="19" t="s">
        <v>249</v>
      </c>
      <c r="S232" s="19" t="s">
        <v>248</v>
      </c>
      <c r="T232" s="19" t="s">
        <v>286</v>
      </c>
    </row>
    <row r="233" spans="1:20" x14ac:dyDescent="0.2">
      <c r="A233" s="1">
        <v>46026</v>
      </c>
      <c r="B233" s="2">
        <v>0.625</v>
      </c>
      <c r="C233" s="19" t="s">
        <v>28</v>
      </c>
      <c r="D233" s="19" t="s">
        <v>14</v>
      </c>
      <c r="E233" s="19" t="s">
        <v>14</v>
      </c>
      <c r="F233">
        <v>3</v>
      </c>
      <c r="G233">
        <v>4</v>
      </c>
      <c r="H233">
        <v>0.80030000000000001</v>
      </c>
      <c r="I233" s="19" t="s">
        <v>248</v>
      </c>
      <c r="J233" s="19" t="s">
        <v>14</v>
      </c>
      <c r="K233">
        <v>3</v>
      </c>
      <c r="L233">
        <v>2</v>
      </c>
      <c r="M233">
        <v>-0.17</v>
      </c>
      <c r="N233" s="19" t="s">
        <v>14</v>
      </c>
      <c r="O233" s="19" t="s">
        <v>289</v>
      </c>
      <c r="P233" s="19" t="s">
        <v>283</v>
      </c>
      <c r="Q233" s="19" t="s">
        <v>287</v>
      </c>
      <c r="R233" s="19" t="s">
        <v>248</v>
      </c>
      <c r="S233" s="19" t="s">
        <v>248</v>
      </c>
      <c r="T233" s="19" t="s">
        <v>286</v>
      </c>
    </row>
    <row r="234" spans="1:20" x14ac:dyDescent="0.2">
      <c r="A234" s="1">
        <v>46026</v>
      </c>
      <c r="B234" s="2">
        <v>0.70833333333333337</v>
      </c>
      <c r="C234" s="19" t="s">
        <v>11</v>
      </c>
      <c r="D234" s="19" t="s">
        <v>12</v>
      </c>
      <c r="E234" s="19" t="s">
        <v>11</v>
      </c>
      <c r="F234">
        <v>5</v>
      </c>
      <c r="G234">
        <v>4</v>
      </c>
      <c r="H234">
        <v>0.54</v>
      </c>
      <c r="I234" s="19" t="s">
        <v>248</v>
      </c>
      <c r="J234" s="19" t="s">
        <v>12</v>
      </c>
      <c r="K234">
        <v>3</v>
      </c>
      <c r="L234">
        <v>2</v>
      </c>
      <c r="M234">
        <v>-1.71</v>
      </c>
      <c r="N234" s="19" t="s">
        <v>11</v>
      </c>
      <c r="O234" s="19" t="s">
        <v>284</v>
      </c>
      <c r="P234" s="19" t="s">
        <v>287</v>
      </c>
      <c r="Q234" s="19" t="s">
        <v>285</v>
      </c>
      <c r="R234" s="19" t="s">
        <v>248</v>
      </c>
      <c r="S234" s="19" t="s">
        <v>249</v>
      </c>
      <c r="T234" s="19" t="s">
        <v>286</v>
      </c>
    </row>
    <row r="235" spans="1:20" x14ac:dyDescent="0.2">
      <c r="A235" s="1">
        <v>46026</v>
      </c>
      <c r="B235" s="2">
        <v>0.79166666666666663</v>
      </c>
      <c r="C235" s="19" t="s">
        <v>24</v>
      </c>
      <c r="D235" s="19" t="s">
        <v>25</v>
      </c>
      <c r="E235" s="19" t="s">
        <v>25</v>
      </c>
      <c r="F235">
        <v>2</v>
      </c>
      <c r="G235">
        <v>4</v>
      </c>
      <c r="H235">
        <v>0.55349999999999999</v>
      </c>
      <c r="I235" s="19" t="s">
        <v>249</v>
      </c>
      <c r="J235" s="19" t="s">
        <v>25</v>
      </c>
      <c r="K235">
        <v>3</v>
      </c>
      <c r="L235">
        <v>2</v>
      </c>
      <c r="M235">
        <v>-0.46</v>
      </c>
      <c r="N235" s="19" t="s">
        <v>25</v>
      </c>
      <c r="O235" s="19" t="s">
        <v>287</v>
      </c>
      <c r="P235" s="19" t="s">
        <v>291</v>
      </c>
      <c r="Q235" s="19" t="s">
        <v>285</v>
      </c>
      <c r="R235" s="19" t="s">
        <v>248</v>
      </c>
      <c r="S235" s="19" t="s">
        <v>248</v>
      </c>
      <c r="T235" s="19" t="s">
        <v>286</v>
      </c>
    </row>
    <row r="236" spans="1:20" x14ac:dyDescent="0.2">
      <c r="A236" s="1">
        <v>46026</v>
      </c>
      <c r="B236" s="2">
        <v>0.58333333333333337</v>
      </c>
      <c r="C236" s="19" t="s">
        <v>39</v>
      </c>
      <c r="D236" s="19" t="s">
        <v>18</v>
      </c>
      <c r="E236" s="19" t="s">
        <v>39</v>
      </c>
      <c r="F236">
        <v>4</v>
      </c>
      <c r="G236">
        <v>3</v>
      </c>
      <c r="H236">
        <v>0.61960000000000004</v>
      </c>
      <c r="I236" s="19" t="s">
        <v>249</v>
      </c>
      <c r="J236" s="19" t="s">
        <v>39</v>
      </c>
      <c r="K236">
        <v>3</v>
      </c>
      <c r="L236">
        <v>2</v>
      </c>
      <c r="M236">
        <v>0.73</v>
      </c>
      <c r="N236" s="19" t="s">
        <v>18</v>
      </c>
      <c r="O236" s="19" t="s">
        <v>291</v>
      </c>
      <c r="P236" s="19" t="s">
        <v>289</v>
      </c>
      <c r="Q236" s="19" t="s">
        <v>287</v>
      </c>
      <c r="R236" s="19" t="s">
        <v>249</v>
      </c>
      <c r="S236" s="19" t="s">
        <v>249</v>
      </c>
      <c r="T236" s="19" t="s">
        <v>286</v>
      </c>
    </row>
    <row r="237" spans="1:20" x14ac:dyDescent="0.2">
      <c r="A237" s="1">
        <v>46026</v>
      </c>
      <c r="B237" s="2">
        <v>0.79166666666666663</v>
      </c>
      <c r="C237" s="19" t="s">
        <v>10</v>
      </c>
      <c r="D237" s="19" t="s">
        <v>20</v>
      </c>
      <c r="E237" s="19" t="s">
        <v>20</v>
      </c>
      <c r="F237">
        <v>2</v>
      </c>
      <c r="G237">
        <v>3</v>
      </c>
      <c r="H237">
        <v>0.81279999999999997</v>
      </c>
      <c r="I237" s="19" t="s">
        <v>249</v>
      </c>
      <c r="J237" s="19" t="s">
        <v>20</v>
      </c>
      <c r="K237">
        <v>3</v>
      </c>
      <c r="L237">
        <v>2</v>
      </c>
      <c r="M237">
        <v>-0.43</v>
      </c>
      <c r="N237" s="19" t="s">
        <v>10</v>
      </c>
      <c r="O237" s="19" t="s">
        <v>291</v>
      </c>
      <c r="P237" s="19" t="s">
        <v>284</v>
      </c>
      <c r="Q237" s="19" t="s">
        <v>287</v>
      </c>
      <c r="R237" s="19" t="s">
        <v>249</v>
      </c>
      <c r="S237" s="19" t="s">
        <v>249</v>
      </c>
      <c r="T237" s="19" t="s">
        <v>286</v>
      </c>
    </row>
    <row r="238" spans="1:20" x14ac:dyDescent="0.2">
      <c r="A238" s="1">
        <v>46027</v>
      </c>
      <c r="B238" s="2">
        <v>0.79166666666666663</v>
      </c>
      <c r="C238" s="19" t="s">
        <v>15</v>
      </c>
      <c r="D238" s="19" t="s">
        <v>55</v>
      </c>
      <c r="E238" s="19" t="s">
        <v>55</v>
      </c>
      <c r="F238">
        <v>2</v>
      </c>
      <c r="G238">
        <v>3</v>
      </c>
      <c r="H238">
        <v>0.69230000000000003</v>
      </c>
      <c r="I238" s="19" t="s">
        <v>249</v>
      </c>
      <c r="J238" s="19" t="s">
        <v>55</v>
      </c>
      <c r="K238">
        <v>3</v>
      </c>
      <c r="L238">
        <v>2</v>
      </c>
      <c r="M238">
        <v>-7.0000000000000007E-2</v>
      </c>
      <c r="N238" s="19" t="s">
        <v>55</v>
      </c>
      <c r="O238" s="19" t="s">
        <v>284</v>
      </c>
      <c r="P238" s="19" t="s">
        <v>291</v>
      </c>
      <c r="Q238" s="19" t="s">
        <v>287</v>
      </c>
      <c r="R238" s="19" t="s">
        <v>248</v>
      </c>
      <c r="S238" s="19" t="s">
        <v>248</v>
      </c>
      <c r="T238" s="19" t="s">
        <v>286</v>
      </c>
    </row>
    <row r="239" spans="1:20" x14ac:dyDescent="0.2">
      <c r="A239" s="1">
        <v>46027</v>
      </c>
      <c r="B239" s="2">
        <v>0.79166666666666663</v>
      </c>
      <c r="C239" s="19" t="s">
        <v>22</v>
      </c>
      <c r="D239" s="19" t="s">
        <v>31</v>
      </c>
      <c r="E239" s="19" t="s">
        <v>31</v>
      </c>
      <c r="F239">
        <v>3</v>
      </c>
      <c r="G239">
        <v>4</v>
      </c>
      <c r="H239">
        <v>0.52459999999999996</v>
      </c>
      <c r="I239" s="19" t="s">
        <v>249</v>
      </c>
      <c r="J239" s="19" t="s">
        <v>22</v>
      </c>
      <c r="K239">
        <v>3</v>
      </c>
      <c r="L239">
        <v>2</v>
      </c>
      <c r="M239">
        <v>0.56000000000000005</v>
      </c>
      <c r="N239" s="19" t="s">
        <v>22</v>
      </c>
      <c r="O239" s="19" t="s">
        <v>292</v>
      </c>
      <c r="P239" s="19" t="s">
        <v>289</v>
      </c>
      <c r="Q239" s="19" t="s">
        <v>285</v>
      </c>
      <c r="R239" s="19" t="s">
        <v>249</v>
      </c>
      <c r="S239" s="19" t="s">
        <v>248</v>
      </c>
      <c r="T239" s="19" t="s">
        <v>286</v>
      </c>
    </row>
    <row r="240" spans="1:20" x14ac:dyDescent="0.2">
      <c r="A240" s="1">
        <v>46027</v>
      </c>
      <c r="B240" s="2">
        <v>0.9375</v>
      </c>
      <c r="C240" s="19" t="s">
        <v>13</v>
      </c>
      <c r="D240" s="19" t="s">
        <v>34</v>
      </c>
      <c r="E240" s="19" t="s">
        <v>34</v>
      </c>
      <c r="F240">
        <v>1</v>
      </c>
      <c r="G240">
        <v>4</v>
      </c>
      <c r="H240">
        <v>0.94830000000000003</v>
      </c>
      <c r="I240" s="19" t="s">
        <v>249</v>
      </c>
      <c r="J240" s="19" t="s">
        <v>34</v>
      </c>
      <c r="K240">
        <v>3</v>
      </c>
      <c r="L240">
        <v>2</v>
      </c>
      <c r="M240">
        <v>-0.49</v>
      </c>
      <c r="N240" s="19" t="s">
        <v>13</v>
      </c>
      <c r="O240" s="19" t="s">
        <v>289</v>
      </c>
      <c r="P240" s="19" t="s">
        <v>284</v>
      </c>
      <c r="Q240" s="19" t="s">
        <v>285</v>
      </c>
      <c r="R240" s="19" t="s">
        <v>249</v>
      </c>
      <c r="S240" s="19" t="s">
        <v>249</v>
      </c>
      <c r="T240" s="19" t="s">
        <v>286</v>
      </c>
    </row>
    <row r="241" spans="1:20" x14ac:dyDescent="0.2">
      <c r="A241" s="1">
        <v>46027</v>
      </c>
      <c r="B241" s="2">
        <v>0.8125</v>
      </c>
      <c r="C241" s="19" t="s">
        <v>36</v>
      </c>
      <c r="D241" s="19" t="s">
        <v>26</v>
      </c>
      <c r="E241" s="19" t="s">
        <v>26</v>
      </c>
      <c r="F241">
        <v>3</v>
      </c>
      <c r="G241">
        <v>4</v>
      </c>
      <c r="H241">
        <v>0.58299999999999996</v>
      </c>
      <c r="I241" s="19" t="s">
        <v>249</v>
      </c>
      <c r="J241" s="19" t="s">
        <v>36</v>
      </c>
      <c r="K241">
        <v>3</v>
      </c>
      <c r="L241">
        <v>2</v>
      </c>
      <c r="M241">
        <v>0.36</v>
      </c>
      <c r="N241" s="19" t="s">
        <v>26</v>
      </c>
      <c r="O241" s="19" t="s">
        <v>291</v>
      </c>
      <c r="P241" s="19" t="s">
        <v>283</v>
      </c>
      <c r="Q241" s="19" t="s">
        <v>285</v>
      </c>
      <c r="R241" s="19" t="s">
        <v>248</v>
      </c>
      <c r="S241" s="19" t="s">
        <v>249</v>
      </c>
      <c r="T241" s="19" t="s">
        <v>286</v>
      </c>
    </row>
    <row r="242" spans="1:20" x14ac:dyDescent="0.2">
      <c r="A242" s="1">
        <v>46027</v>
      </c>
      <c r="B242" s="2">
        <v>0.89583333333333337</v>
      </c>
      <c r="C242" s="19" t="s">
        <v>16</v>
      </c>
      <c r="D242" s="19" t="s">
        <v>32</v>
      </c>
      <c r="E242" s="19" t="s">
        <v>16</v>
      </c>
      <c r="F242">
        <v>4</v>
      </c>
      <c r="G242">
        <v>2</v>
      </c>
      <c r="H242">
        <v>0.86470000000000002</v>
      </c>
      <c r="I242" s="19" t="s">
        <v>249</v>
      </c>
      <c r="J242" s="19" t="s">
        <v>16</v>
      </c>
      <c r="K242">
        <v>3</v>
      </c>
      <c r="L242">
        <v>2</v>
      </c>
      <c r="M242">
        <v>0.09</v>
      </c>
      <c r="N242" s="19" t="s">
        <v>32</v>
      </c>
      <c r="O242" s="19" t="s">
        <v>287</v>
      </c>
      <c r="P242" s="19" t="s">
        <v>283</v>
      </c>
      <c r="Q242" s="19" t="s">
        <v>285</v>
      </c>
      <c r="R242" s="19" t="s">
        <v>249</v>
      </c>
      <c r="S242" s="19" t="s">
        <v>249</v>
      </c>
      <c r="T242" s="19" t="s">
        <v>286</v>
      </c>
    </row>
    <row r="243" spans="1:20" x14ac:dyDescent="0.2">
      <c r="A243" s="1">
        <v>46028</v>
      </c>
      <c r="B243" s="2">
        <v>0.875</v>
      </c>
      <c r="C243" s="19" t="s">
        <v>17</v>
      </c>
      <c r="D243" s="19" t="s">
        <v>29</v>
      </c>
      <c r="E243" s="19" t="s">
        <v>17</v>
      </c>
      <c r="F243">
        <v>4</v>
      </c>
      <c r="G243">
        <v>3</v>
      </c>
      <c r="H243">
        <v>0.67930000000000001</v>
      </c>
      <c r="I243" s="19" t="s">
        <v>248</v>
      </c>
      <c r="J243" s="19" t="s">
        <v>17</v>
      </c>
      <c r="K243">
        <v>3</v>
      </c>
      <c r="L243">
        <v>2</v>
      </c>
      <c r="M243">
        <v>0.36</v>
      </c>
      <c r="N243" s="19" t="s">
        <v>17</v>
      </c>
      <c r="O243" s="19" t="s">
        <v>288</v>
      </c>
      <c r="P243" s="19" t="s">
        <v>284</v>
      </c>
      <c r="Q243" s="19" t="s">
        <v>285</v>
      </c>
      <c r="R243" s="19" t="s">
        <v>248</v>
      </c>
      <c r="S243" s="19" t="s">
        <v>248</v>
      </c>
      <c r="T243" s="19" t="s">
        <v>286</v>
      </c>
    </row>
    <row r="244" spans="1:20" x14ac:dyDescent="0.2">
      <c r="A244" s="1">
        <v>46028</v>
      </c>
      <c r="B244" s="2">
        <v>0.79166666666666663</v>
      </c>
      <c r="C244" s="19" t="s">
        <v>37</v>
      </c>
      <c r="D244" s="19" t="s">
        <v>12</v>
      </c>
      <c r="E244" s="19" t="s">
        <v>12</v>
      </c>
      <c r="F244">
        <v>2</v>
      </c>
      <c r="G244">
        <v>3</v>
      </c>
      <c r="H244">
        <v>0.54349999999999998</v>
      </c>
      <c r="I244" s="19" t="s">
        <v>249</v>
      </c>
      <c r="J244" s="19" t="s">
        <v>12</v>
      </c>
      <c r="K244">
        <v>3</v>
      </c>
      <c r="L244">
        <v>2</v>
      </c>
      <c r="M244">
        <v>-0.87</v>
      </c>
      <c r="N244" s="19" t="s">
        <v>37</v>
      </c>
      <c r="O244" s="19" t="s">
        <v>289</v>
      </c>
      <c r="P244" s="19" t="s">
        <v>284</v>
      </c>
      <c r="Q244" s="19" t="s">
        <v>285</v>
      </c>
      <c r="R244" s="19" t="s">
        <v>249</v>
      </c>
      <c r="S244" s="19" t="s">
        <v>249</v>
      </c>
      <c r="T244" s="19" t="s">
        <v>286</v>
      </c>
    </row>
    <row r="245" spans="1:20" x14ac:dyDescent="0.2">
      <c r="A245" s="1">
        <v>46028</v>
      </c>
      <c r="B245" s="2">
        <v>0.91666666666666663</v>
      </c>
      <c r="C245" s="19" t="s">
        <v>33</v>
      </c>
      <c r="D245" s="19" t="s">
        <v>28</v>
      </c>
      <c r="E245" s="19" t="s">
        <v>33</v>
      </c>
      <c r="F245">
        <v>5</v>
      </c>
      <c r="G245">
        <v>4</v>
      </c>
      <c r="H245">
        <v>0.59719999999999995</v>
      </c>
      <c r="I245" s="19" t="s">
        <v>249</v>
      </c>
      <c r="J245" s="19" t="s">
        <v>28</v>
      </c>
      <c r="K245">
        <v>3</v>
      </c>
      <c r="L245">
        <v>2</v>
      </c>
      <c r="M245">
        <v>-0.09</v>
      </c>
      <c r="N245" s="19" t="s">
        <v>33</v>
      </c>
      <c r="O245" s="19" t="s">
        <v>283</v>
      </c>
      <c r="P245" s="19" t="s">
        <v>284</v>
      </c>
      <c r="Q245" s="19" t="s">
        <v>285</v>
      </c>
      <c r="R245" s="19" t="s">
        <v>248</v>
      </c>
      <c r="S245" s="19" t="s">
        <v>249</v>
      </c>
      <c r="T245" s="19" t="s">
        <v>286</v>
      </c>
    </row>
    <row r="246" spans="1:20" x14ac:dyDescent="0.2">
      <c r="A246" s="1">
        <v>46028</v>
      </c>
      <c r="B246" s="2">
        <v>0.79166666666666663</v>
      </c>
      <c r="C246" s="19" t="s">
        <v>27</v>
      </c>
      <c r="D246" s="19" t="s">
        <v>31</v>
      </c>
      <c r="E246" s="19" t="s">
        <v>27</v>
      </c>
      <c r="F246">
        <v>3</v>
      </c>
      <c r="G246">
        <v>2</v>
      </c>
      <c r="H246">
        <v>0.59240000000000004</v>
      </c>
      <c r="I246" s="19" t="s">
        <v>249</v>
      </c>
      <c r="J246" s="19" t="s">
        <v>27</v>
      </c>
      <c r="K246">
        <v>3</v>
      </c>
      <c r="L246">
        <v>2</v>
      </c>
      <c r="M246">
        <v>0.43</v>
      </c>
      <c r="N246" s="19" t="s">
        <v>27</v>
      </c>
      <c r="O246" s="19" t="s">
        <v>283</v>
      </c>
      <c r="P246" s="19" t="s">
        <v>284</v>
      </c>
      <c r="Q246" s="19" t="s">
        <v>285</v>
      </c>
      <c r="R246" s="19" t="s">
        <v>248</v>
      </c>
      <c r="S246" s="19" t="s">
        <v>248</v>
      </c>
      <c r="T246" s="19" t="s">
        <v>286</v>
      </c>
    </row>
    <row r="247" spans="1:20" x14ac:dyDescent="0.2">
      <c r="A247" s="1">
        <v>46028</v>
      </c>
      <c r="B247" s="2">
        <v>0.8125</v>
      </c>
      <c r="C247" s="19" t="s">
        <v>30</v>
      </c>
      <c r="D247" s="19" t="s">
        <v>24</v>
      </c>
      <c r="E247" s="19" t="s">
        <v>30</v>
      </c>
      <c r="F247">
        <v>4</v>
      </c>
      <c r="G247">
        <v>3</v>
      </c>
      <c r="H247">
        <v>0.63380000000000003</v>
      </c>
      <c r="I247" s="19" t="s">
        <v>249</v>
      </c>
      <c r="J247" s="19" t="s">
        <v>30</v>
      </c>
      <c r="K247">
        <v>3</v>
      </c>
      <c r="L247">
        <v>2</v>
      </c>
      <c r="M247">
        <v>0.28000000000000003</v>
      </c>
      <c r="N247" s="19" t="s">
        <v>30</v>
      </c>
      <c r="O247" s="19" t="s">
        <v>290</v>
      </c>
      <c r="P247" s="19" t="s">
        <v>285</v>
      </c>
      <c r="Q247" s="19" t="s">
        <v>285</v>
      </c>
      <c r="R247" s="19" t="s">
        <v>248</v>
      </c>
      <c r="S247" s="19" t="s">
        <v>248</v>
      </c>
      <c r="T247" s="19" t="s">
        <v>286</v>
      </c>
    </row>
    <row r="248" spans="1:20" x14ac:dyDescent="0.2">
      <c r="A248" s="1">
        <v>46028</v>
      </c>
      <c r="B248" s="2">
        <v>0.83333333333333337</v>
      </c>
      <c r="C248" s="19" t="s">
        <v>40</v>
      </c>
      <c r="D248" s="19" t="s">
        <v>20</v>
      </c>
      <c r="E248" s="19" t="s">
        <v>40</v>
      </c>
      <c r="F248">
        <v>3</v>
      </c>
      <c r="G248">
        <v>2</v>
      </c>
      <c r="H248">
        <v>0.60250000000000004</v>
      </c>
      <c r="I248" s="19" t="s">
        <v>249</v>
      </c>
      <c r="J248" s="19" t="s">
        <v>20</v>
      </c>
      <c r="K248">
        <v>3</v>
      </c>
      <c r="L248">
        <v>2</v>
      </c>
      <c r="M248">
        <v>-0.15</v>
      </c>
      <c r="N248" s="19" t="s">
        <v>20</v>
      </c>
      <c r="O248" s="19" t="s">
        <v>291</v>
      </c>
      <c r="P248" s="19" t="s">
        <v>289</v>
      </c>
      <c r="Q248" s="19" t="s">
        <v>287</v>
      </c>
      <c r="R248" s="19" t="s">
        <v>249</v>
      </c>
      <c r="S248" s="19" t="s">
        <v>248</v>
      </c>
      <c r="T248" s="19" t="s">
        <v>286</v>
      </c>
    </row>
    <row r="249" spans="1:20" x14ac:dyDescent="0.2">
      <c r="A249" s="1">
        <v>46028</v>
      </c>
      <c r="B249" s="2">
        <v>0.8125</v>
      </c>
      <c r="C249" s="19" t="s">
        <v>19</v>
      </c>
      <c r="D249" s="19" t="s">
        <v>11</v>
      </c>
      <c r="E249" s="19" t="s">
        <v>11</v>
      </c>
      <c r="F249">
        <v>3</v>
      </c>
      <c r="G249">
        <v>4</v>
      </c>
      <c r="H249">
        <v>0.60119999999999996</v>
      </c>
      <c r="I249" s="19" t="s">
        <v>249</v>
      </c>
      <c r="J249" s="19" t="s">
        <v>11</v>
      </c>
      <c r="K249">
        <v>3</v>
      </c>
      <c r="L249">
        <v>2</v>
      </c>
      <c r="M249">
        <v>-0.09</v>
      </c>
      <c r="N249" s="19" t="s">
        <v>19</v>
      </c>
      <c r="O249" s="19" t="s">
        <v>289</v>
      </c>
      <c r="P249" s="19" t="s">
        <v>287</v>
      </c>
      <c r="Q249" s="19" t="s">
        <v>285</v>
      </c>
      <c r="R249" s="19" t="s">
        <v>249</v>
      </c>
      <c r="S249" s="19" t="s">
        <v>249</v>
      </c>
      <c r="T249" s="19" t="s">
        <v>286</v>
      </c>
    </row>
    <row r="250" spans="1:20" x14ac:dyDescent="0.2">
      <c r="A250" s="1">
        <v>46028</v>
      </c>
      <c r="B250" s="2">
        <v>0.79166666666666663</v>
      </c>
      <c r="C250" s="19" t="s">
        <v>25</v>
      </c>
      <c r="D250" s="19" t="s">
        <v>39</v>
      </c>
      <c r="E250" s="19" t="s">
        <v>25</v>
      </c>
      <c r="F250">
        <v>6</v>
      </c>
      <c r="G250">
        <v>5</v>
      </c>
      <c r="H250">
        <v>0.62119999999999997</v>
      </c>
      <c r="I250" s="19" t="s">
        <v>249</v>
      </c>
      <c r="J250" s="19" t="s">
        <v>39</v>
      </c>
      <c r="K250">
        <v>3</v>
      </c>
      <c r="L250">
        <v>2</v>
      </c>
      <c r="M250">
        <v>-0.2</v>
      </c>
      <c r="N250" s="19" t="s">
        <v>25</v>
      </c>
      <c r="O250" s="19" t="s">
        <v>288</v>
      </c>
      <c r="P250" s="19" t="s">
        <v>291</v>
      </c>
      <c r="Q250" s="19" t="s">
        <v>285</v>
      </c>
      <c r="R250" s="19" t="s">
        <v>248</v>
      </c>
      <c r="S250" s="19" t="s">
        <v>249</v>
      </c>
      <c r="T250" s="19" t="s">
        <v>286</v>
      </c>
    </row>
    <row r="251" spans="1:20" x14ac:dyDescent="0.2">
      <c r="A251" s="1">
        <v>46028</v>
      </c>
      <c r="B251" s="2">
        <v>0.91666666666666663</v>
      </c>
      <c r="C251" s="19" t="s">
        <v>32</v>
      </c>
      <c r="D251" s="19" t="s">
        <v>21</v>
      </c>
      <c r="E251" s="19" t="s">
        <v>21</v>
      </c>
      <c r="F251">
        <v>2</v>
      </c>
      <c r="G251">
        <v>3</v>
      </c>
      <c r="H251">
        <v>0.54420000000000002</v>
      </c>
      <c r="I251" s="19" t="s">
        <v>249</v>
      </c>
      <c r="J251" s="19" t="s">
        <v>21</v>
      </c>
      <c r="K251">
        <v>3</v>
      </c>
      <c r="L251">
        <v>2</v>
      </c>
      <c r="M251">
        <v>-0.15</v>
      </c>
      <c r="N251" s="19" t="s">
        <v>32</v>
      </c>
      <c r="O251" s="19" t="s">
        <v>292</v>
      </c>
      <c r="P251" s="19" t="s">
        <v>289</v>
      </c>
      <c r="Q251" s="19" t="s">
        <v>285</v>
      </c>
      <c r="R251" s="19" t="s">
        <v>249</v>
      </c>
      <c r="S251" s="19" t="s">
        <v>249</v>
      </c>
      <c r="T251" s="19" t="s">
        <v>286</v>
      </c>
    </row>
    <row r="252" spans="1:20" x14ac:dyDescent="0.2">
      <c r="A252" s="1">
        <v>46028</v>
      </c>
      <c r="B252" s="2">
        <v>0.79166666666666663</v>
      </c>
      <c r="C252" s="19" t="s">
        <v>23</v>
      </c>
      <c r="D252" s="19" t="s">
        <v>38</v>
      </c>
      <c r="E252" s="19" t="s">
        <v>23</v>
      </c>
      <c r="F252">
        <v>4</v>
      </c>
      <c r="G252">
        <v>3</v>
      </c>
      <c r="H252">
        <v>0.5484</v>
      </c>
      <c r="I252" s="19" t="s">
        <v>249</v>
      </c>
      <c r="J252" s="19" t="s">
        <v>23</v>
      </c>
      <c r="K252">
        <v>3</v>
      </c>
      <c r="L252">
        <v>2</v>
      </c>
      <c r="M252">
        <v>0.66</v>
      </c>
      <c r="N252" s="19" t="s">
        <v>23</v>
      </c>
      <c r="O252" s="19" t="s">
        <v>283</v>
      </c>
      <c r="P252" s="19" t="s">
        <v>291</v>
      </c>
      <c r="Q252" s="19" t="s">
        <v>285</v>
      </c>
      <c r="R252" s="19" t="s">
        <v>248</v>
      </c>
      <c r="S252" s="19" t="s">
        <v>248</v>
      </c>
      <c r="T252" s="19" t="s">
        <v>286</v>
      </c>
    </row>
    <row r="253" spans="1:20" x14ac:dyDescent="0.2">
      <c r="A253" s="1">
        <v>46029</v>
      </c>
      <c r="B253" s="2">
        <v>0.8125</v>
      </c>
      <c r="C253" s="19" t="s">
        <v>18</v>
      </c>
      <c r="D253" s="19" t="s">
        <v>16</v>
      </c>
      <c r="E253" s="19" t="s">
        <v>18</v>
      </c>
      <c r="F253">
        <v>4</v>
      </c>
      <c r="G253">
        <v>2</v>
      </c>
      <c r="H253">
        <v>0.73640000000000005</v>
      </c>
      <c r="I253" s="19" t="s">
        <v>249</v>
      </c>
      <c r="J253" s="19" t="s">
        <v>18</v>
      </c>
      <c r="K253">
        <v>3</v>
      </c>
      <c r="L253">
        <v>2</v>
      </c>
      <c r="M253">
        <v>0.55000000000000004</v>
      </c>
      <c r="N253" s="19" t="s">
        <v>18</v>
      </c>
      <c r="O253" s="19" t="s">
        <v>289</v>
      </c>
      <c r="P253" s="19" t="s">
        <v>287</v>
      </c>
      <c r="Q253" s="19" t="s">
        <v>285</v>
      </c>
      <c r="R253" s="19" t="s">
        <v>248</v>
      </c>
      <c r="S253" s="19" t="s">
        <v>248</v>
      </c>
      <c r="T253" s="19" t="s">
        <v>286</v>
      </c>
    </row>
    <row r="254" spans="1:20" x14ac:dyDescent="0.2">
      <c r="A254" s="1">
        <v>46029</v>
      </c>
      <c r="B254" s="2">
        <v>0.9375</v>
      </c>
      <c r="C254" s="19" t="s">
        <v>13</v>
      </c>
      <c r="D254" s="19" t="s">
        <v>33</v>
      </c>
      <c r="E254" s="19" t="s">
        <v>33</v>
      </c>
      <c r="F254">
        <v>3</v>
      </c>
      <c r="G254">
        <v>4</v>
      </c>
      <c r="H254">
        <v>0.64629999999999999</v>
      </c>
      <c r="I254" s="19" t="s">
        <v>249</v>
      </c>
      <c r="J254" s="19" t="s">
        <v>13</v>
      </c>
      <c r="K254">
        <v>3</v>
      </c>
      <c r="L254">
        <v>2</v>
      </c>
      <c r="M254">
        <v>0.4</v>
      </c>
      <c r="N254" s="19" t="s">
        <v>33</v>
      </c>
      <c r="O254" s="19" t="s">
        <v>291</v>
      </c>
      <c r="P254" s="19" t="s">
        <v>289</v>
      </c>
      <c r="Q254" s="19" t="s">
        <v>287</v>
      </c>
      <c r="R254" s="19" t="s">
        <v>248</v>
      </c>
      <c r="S254" s="19" t="s">
        <v>249</v>
      </c>
      <c r="T254" s="19" t="s">
        <v>286</v>
      </c>
    </row>
    <row r="255" spans="1:20" x14ac:dyDescent="0.2">
      <c r="A255" s="1">
        <v>46029</v>
      </c>
      <c r="B255" s="2">
        <v>0.89583333333333337</v>
      </c>
      <c r="C255" s="19" t="s">
        <v>55</v>
      </c>
      <c r="D255" s="19" t="s">
        <v>36</v>
      </c>
      <c r="E255" s="19" t="s">
        <v>36</v>
      </c>
      <c r="F255">
        <v>4</v>
      </c>
      <c r="G255">
        <v>5</v>
      </c>
      <c r="H255">
        <v>0.53620000000000001</v>
      </c>
      <c r="I255" s="19" t="s">
        <v>249</v>
      </c>
      <c r="J255" s="19" t="s">
        <v>55</v>
      </c>
      <c r="K255">
        <v>3</v>
      </c>
      <c r="L255">
        <v>2</v>
      </c>
      <c r="M255">
        <v>0.27</v>
      </c>
      <c r="N255" s="19" t="s">
        <v>55</v>
      </c>
      <c r="O255" s="19" t="s">
        <v>291</v>
      </c>
      <c r="P255" s="19" t="s">
        <v>287</v>
      </c>
      <c r="Q255" s="19" t="s">
        <v>285</v>
      </c>
      <c r="R255" s="19" t="s">
        <v>249</v>
      </c>
      <c r="S255" s="19" t="s">
        <v>248</v>
      </c>
      <c r="T255" s="19" t="s">
        <v>286</v>
      </c>
    </row>
    <row r="256" spans="1:20" x14ac:dyDescent="0.2">
      <c r="A256" s="1">
        <v>46029</v>
      </c>
      <c r="B256" s="2">
        <v>0.79166666666666663</v>
      </c>
      <c r="C256" s="19" t="s">
        <v>22</v>
      </c>
      <c r="D256" s="19" t="s">
        <v>39</v>
      </c>
      <c r="E256" s="19" t="s">
        <v>39</v>
      </c>
      <c r="F256">
        <v>3</v>
      </c>
      <c r="G256">
        <v>4</v>
      </c>
      <c r="H256">
        <v>0.50209999999999999</v>
      </c>
      <c r="I256" s="19" t="s">
        <v>249</v>
      </c>
      <c r="J256" s="19" t="s">
        <v>39</v>
      </c>
      <c r="K256">
        <v>3</v>
      </c>
      <c r="L256">
        <v>2</v>
      </c>
      <c r="M256">
        <v>-0.06</v>
      </c>
      <c r="N256" s="19" t="s">
        <v>39</v>
      </c>
      <c r="O256" s="19" t="s">
        <v>287</v>
      </c>
      <c r="P256" s="19" t="s">
        <v>289</v>
      </c>
      <c r="Q256" s="19" t="s">
        <v>285</v>
      </c>
      <c r="R256" s="19" t="s">
        <v>248</v>
      </c>
      <c r="S256" s="19" t="s">
        <v>248</v>
      </c>
      <c r="T256" s="19" t="s">
        <v>286</v>
      </c>
    </row>
    <row r="257" spans="1:20" x14ac:dyDescent="0.2">
      <c r="A257" s="1">
        <v>46029</v>
      </c>
      <c r="B257" s="2">
        <v>0.89583333333333337</v>
      </c>
      <c r="C257" s="19" t="s">
        <v>10</v>
      </c>
      <c r="D257" s="19" t="s">
        <v>35</v>
      </c>
      <c r="E257" s="19" t="s">
        <v>10</v>
      </c>
      <c r="F257">
        <v>4</v>
      </c>
      <c r="G257">
        <v>3</v>
      </c>
      <c r="H257">
        <v>0.52110000000000001</v>
      </c>
      <c r="I257" s="19" t="s">
        <v>249</v>
      </c>
      <c r="J257" s="19" t="s">
        <v>10</v>
      </c>
      <c r="K257">
        <v>3</v>
      </c>
      <c r="L257">
        <v>2</v>
      </c>
      <c r="M257">
        <v>0.64</v>
      </c>
      <c r="N257" s="19" t="s">
        <v>10</v>
      </c>
      <c r="O257" s="19" t="s">
        <v>292</v>
      </c>
      <c r="P257" s="19" t="s">
        <v>291</v>
      </c>
      <c r="Q257" s="19" t="s">
        <v>285</v>
      </c>
      <c r="R257" s="19" t="s">
        <v>248</v>
      </c>
      <c r="S257" s="19" t="s">
        <v>248</v>
      </c>
      <c r="T257" s="19" t="s">
        <v>286</v>
      </c>
    </row>
    <row r="258" spans="1:20" x14ac:dyDescent="0.2">
      <c r="A258" s="1">
        <v>46030</v>
      </c>
      <c r="B258" s="2">
        <v>0.875</v>
      </c>
      <c r="C258" s="19" t="s">
        <v>12</v>
      </c>
      <c r="D258" s="19" t="s">
        <v>36</v>
      </c>
      <c r="E258" s="19" t="s">
        <v>12</v>
      </c>
      <c r="F258">
        <v>5</v>
      </c>
      <c r="G258">
        <v>1</v>
      </c>
      <c r="H258">
        <v>0.96279999999999999</v>
      </c>
      <c r="I258" s="19" t="s">
        <v>249</v>
      </c>
      <c r="J258" s="19" t="s">
        <v>12</v>
      </c>
      <c r="K258">
        <v>3</v>
      </c>
      <c r="L258">
        <v>2</v>
      </c>
      <c r="M258">
        <v>1.81</v>
      </c>
      <c r="N258" s="19" t="s">
        <v>12</v>
      </c>
      <c r="O258" s="19" t="s">
        <v>1531</v>
      </c>
      <c r="P258" s="19" t="s">
        <v>284</v>
      </c>
      <c r="Q258" s="19" t="s">
        <v>285</v>
      </c>
      <c r="R258" s="19" t="s">
        <v>248</v>
      </c>
      <c r="S258" s="19" t="s">
        <v>248</v>
      </c>
      <c r="T258" s="19" t="s">
        <v>286</v>
      </c>
    </row>
    <row r="259" spans="1:20" x14ac:dyDescent="0.2">
      <c r="A259" s="1">
        <v>46030</v>
      </c>
      <c r="B259" s="2">
        <v>0.91666666666666663</v>
      </c>
      <c r="C259" s="19" t="s">
        <v>20</v>
      </c>
      <c r="D259" s="19" t="s">
        <v>28</v>
      </c>
      <c r="E259" s="19" t="s">
        <v>28</v>
      </c>
      <c r="F259">
        <v>3</v>
      </c>
      <c r="G259">
        <v>4</v>
      </c>
      <c r="H259">
        <v>0.51880000000000004</v>
      </c>
      <c r="I259" s="19" t="s">
        <v>248</v>
      </c>
      <c r="J259" s="19" t="s">
        <v>20</v>
      </c>
      <c r="K259">
        <v>3</v>
      </c>
      <c r="L259">
        <v>2</v>
      </c>
      <c r="M259">
        <v>0.38</v>
      </c>
      <c r="N259" s="19" t="s">
        <v>20</v>
      </c>
      <c r="O259" s="19" t="s">
        <v>283</v>
      </c>
      <c r="P259" s="19" t="s">
        <v>291</v>
      </c>
      <c r="Q259" s="19" t="s">
        <v>285</v>
      </c>
      <c r="R259" s="19" t="s">
        <v>249</v>
      </c>
      <c r="S259" s="19" t="s">
        <v>248</v>
      </c>
      <c r="T259" s="19" t="s">
        <v>286</v>
      </c>
    </row>
    <row r="260" spans="1:20" x14ac:dyDescent="0.2">
      <c r="A260" s="1">
        <v>46030</v>
      </c>
      <c r="B260" s="2">
        <v>0.79166666666666663</v>
      </c>
      <c r="C260" s="19" t="s">
        <v>27</v>
      </c>
      <c r="D260" s="19" t="s">
        <v>19</v>
      </c>
      <c r="E260" s="19" t="s">
        <v>19</v>
      </c>
      <c r="F260">
        <v>3</v>
      </c>
      <c r="G260">
        <v>4</v>
      </c>
      <c r="H260">
        <v>0.5877</v>
      </c>
      <c r="I260" s="19" t="s">
        <v>249</v>
      </c>
      <c r="J260" s="19" t="s">
        <v>27</v>
      </c>
      <c r="K260">
        <v>3</v>
      </c>
      <c r="L260">
        <v>2</v>
      </c>
      <c r="M260">
        <v>0.35</v>
      </c>
      <c r="N260" s="19" t="s">
        <v>19</v>
      </c>
      <c r="O260" s="19" t="s">
        <v>287</v>
      </c>
      <c r="P260" s="19" t="s">
        <v>284</v>
      </c>
      <c r="Q260" s="19" t="s">
        <v>287</v>
      </c>
      <c r="R260" s="19" t="s">
        <v>248</v>
      </c>
      <c r="S260" s="19" t="s">
        <v>249</v>
      </c>
      <c r="T260" s="19" t="s">
        <v>286</v>
      </c>
    </row>
    <row r="261" spans="1:20" x14ac:dyDescent="0.2">
      <c r="A261" s="1">
        <v>46030</v>
      </c>
      <c r="B261" s="2">
        <v>0.83333333333333337</v>
      </c>
      <c r="C261" s="19" t="s">
        <v>29</v>
      </c>
      <c r="D261" s="19" t="s">
        <v>30</v>
      </c>
      <c r="E261" s="19" t="s">
        <v>30</v>
      </c>
      <c r="F261">
        <v>3</v>
      </c>
      <c r="G261">
        <v>4</v>
      </c>
      <c r="H261">
        <v>0.55769999999999997</v>
      </c>
      <c r="I261" s="19" t="s">
        <v>249</v>
      </c>
      <c r="J261" s="19" t="s">
        <v>30</v>
      </c>
      <c r="K261">
        <v>3</v>
      </c>
      <c r="L261">
        <v>2</v>
      </c>
      <c r="M261">
        <v>-0.65</v>
      </c>
      <c r="N261" s="19" t="s">
        <v>29</v>
      </c>
      <c r="O261" s="19" t="s">
        <v>284</v>
      </c>
      <c r="P261" s="19" t="s">
        <v>287</v>
      </c>
      <c r="Q261" s="19" t="s">
        <v>287</v>
      </c>
      <c r="R261" s="19" t="s">
        <v>249</v>
      </c>
      <c r="S261" s="19" t="s">
        <v>249</v>
      </c>
      <c r="T261" s="19" t="s">
        <v>286</v>
      </c>
    </row>
    <row r="262" spans="1:20" x14ac:dyDescent="0.2">
      <c r="A262" s="1">
        <v>46030</v>
      </c>
      <c r="B262" s="2">
        <v>0.91666666666666663</v>
      </c>
      <c r="C262" s="19" t="s">
        <v>32</v>
      </c>
      <c r="D262" s="19" t="s">
        <v>34</v>
      </c>
      <c r="E262" s="19" t="s">
        <v>34</v>
      </c>
      <c r="F262">
        <v>2</v>
      </c>
      <c r="G262">
        <v>3</v>
      </c>
      <c r="H262">
        <v>0.878</v>
      </c>
      <c r="I262" s="19" t="s">
        <v>249</v>
      </c>
      <c r="J262" s="19" t="s">
        <v>34</v>
      </c>
      <c r="K262">
        <v>3</v>
      </c>
      <c r="L262">
        <v>2</v>
      </c>
      <c r="M262">
        <v>-0.52</v>
      </c>
      <c r="N262" s="19" t="s">
        <v>34</v>
      </c>
      <c r="O262" s="19" t="s">
        <v>284</v>
      </c>
      <c r="P262" s="19" t="s">
        <v>291</v>
      </c>
      <c r="Q262" s="19" t="s">
        <v>287</v>
      </c>
      <c r="R262" s="19" t="s">
        <v>248</v>
      </c>
      <c r="S262" s="19" t="s">
        <v>248</v>
      </c>
      <c r="T262" s="19" t="s">
        <v>286</v>
      </c>
    </row>
    <row r="263" spans="1:20" x14ac:dyDescent="0.2">
      <c r="A263" s="1">
        <v>46030</v>
      </c>
      <c r="B263" s="2">
        <v>0.79166666666666663</v>
      </c>
      <c r="C263" s="19" t="s">
        <v>15</v>
      </c>
      <c r="D263" s="19" t="s">
        <v>23</v>
      </c>
      <c r="E263" s="19" t="s">
        <v>23</v>
      </c>
      <c r="F263">
        <v>2</v>
      </c>
      <c r="G263">
        <v>3</v>
      </c>
      <c r="H263">
        <v>0.88</v>
      </c>
      <c r="I263" s="19" t="s">
        <v>249</v>
      </c>
      <c r="J263" s="19" t="s">
        <v>15</v>
      </c>
      <c r="K263">
        <v>3</v>
      </c>
      <c r="L263">
        <v>2</v>
      </c>
      <c r="M263">
        <v>0.09</v>
      </c>
      <c r="N263" s="19" t="s">
        <v>23</v>
      </c>
      <c r="O263" s="19" t="s">
        <v>284</v>
      </c>
      <c r="P263" s="19" t="s">
        <v>283</v>
      </c>
      <c r="Q263" s="19" t="s">
        <v>285</v>
      </c>
      <c r="R263" s="19" t="s">
        <v>248</v>
      </c>
      <c r="S263" s="19" t="s">
        <v>249</v>
      </c>
      <c r="T263" s="19" t="s">
        <v>286</v>
      </c>
    </row>
    <row r="264" spans="1:20" x14ac:dyDescent="0.2">
      <c r="A264" s="1">
        <v>46030</v>
      </c>
      <c r="B264" s="2">
        <v>0.79166666666666663</v>
      </c>
      <c r="C264" s="19" t="s">
        <v>18</v>
      </c>
      <c r="D264" s="19" t="s">
        <v>11</v>
      </c>
      <c r="E264" s="19" t="s">
        <v>11</v>
      </c>
      <c r="F264">
        <v>3</v>
      </c>
      <c r="G264">
        <v>4</v>
      </c>
      <c r="H264">
        <v>0.51329999999999998</v>
      </c>
      <c r="I264" s="19" t="s">
        <v>249</v>
      </c>
      <c r="J264" s="19" t="s">
        <v>18</v>
      </c>
      <c r="K264">
        <v>3</v>
      </c>
      <c r="L264">
        <v>2</v>
      </c>
      <c r="M264">
        <v>0.19</v>
      </c>
      <c r="N264" s="19" t="s">
        <v>18</v>
      </c>
      <c r="O264" s="19" t="s">
        <v>288</v>
      </c>
      <c r="P264" s="19" t="s">
        <v>284</v>
      </c>
      <c r="Q264" s="19" t="s">
        <v>285</v>
      </c>
      <c r="R264" s="19" t="s">
        <v>249</v>
      </c>
      <c r="S264" s="19" t="s">
        <v>248</v>
      </c>
      <c r="T264" s="19" t="s">
        <v>286</v>
      </c>
    </row>
    <row r="265" spans="1:20" x14ac:dyDescent="0.2">
      <c r="A265" s="1">
        <v>46030</v>
      </c>
      <c r="B265" s="2">
        <v>0.79166666666666663</v>
      </c>
      <c r="C265" s="19" t="s">
        <v>26</v>
      </c>
      <c r="D265" s="19" t="s">
        <v>38</v>
      </c>
      <c r="E265" s="19" t="s">
        <v>26</v>
      </c>
      <c r="F265">
        <v>4</v>
      </c>
      <c r="G265">
        <v>3</v>
      </c>
      <c r="H265">
        <v>0.63100000000000001</v>
      </c>
      <c r="I265" s="19" t="s">
        <v>249</v>
      </c>
      <c r="J265" s="19" t="s">
        <v>26</v>
      </c>
      <c r="K265">
        <v>3</v>
      </c>
      <c r="L265">
        <v>2</v>
      </c>
      <c r="M265">
        <v>0.56999999999999995</v>
      </c>
      <c r="N265" s="19" t="s">
        <v>26</v>
      </c>
      <c r="O265" s="19" t="s">
        <v>283</v>
      </c>
      <c r="P265" s="19" t="s">
        <v>287</v>
      </c>
      <c r="Q265" s="19" t="s">
        <v>285</v>
      </c>
      <c r="R265" s="19" t="s">
        <v>248</v>
      </c>
      <c r="S265" s="19" t="s">
        <v>248</v>
      </c>
      <c r="T265" s="19" t="s">
        <v>286</v>
      </c>
    </row>
    <row r="266" spans="1:20" x14ac:dyDescent="0.2">
      <c r="A266" s="1">
        <v>46030</v>
      </c>
      <c r="B266" s="2">
        <v>0.79166666666666663</v>
      </c>
      <c r="C266" s="19" t="s">
        <v>14</v>
      </c>
      <c r="D266" s="19" t="s">
        <v>24</v>
      </c>
      <c r="E266" s="19" t="s">
        <v>24</v>
      </c>
      <c r="F266">
        <v>3</v>
      </c>
      <c r="G266">
        <v>4</v>
      </c>
      <c r="H266">
        <v>0.74209999999999998</v>
      </c>
      <c r="I266" s="19" t="s">
        <v>249</v>
      </c>
      <c r="J266" s="19" t="s">
        <v>14</v>
      </c>
      <c r="K266">
        <v>3</v>
      </c>
      <c r="L266">
        <v>2</v>
      </c>
      <c r="M266">
        <v>0.47</v>
      </c>
      <c r="N266" s="19" t="s">
        <v>14</v>
      </c>
      <c r="O266" s="19" t="s">
        <v>289</v>
      </c>
      <c r="P266" s="19" t="s">
        <v>287</v>
      </c>
      <c r="Q266" s="19" t="s">
        <v>285</v>
      </c>
      <c r="R266" s="19" t="s">
        <v>249</v>
      </c>
      <c r="S266" s="19" t="s">
        <v>248</v>
      </c>
      <c r="T266" s="19" t="s">
        <v>286</v>
      </c>
    </row>
    <row r="267" spans="1:20" x14ac:dyDescent="0.2">
      <c r="A267" s="1">
        <v>46030</v>
      </c>
      <c r="B267" s="2">
        <v>0.79166666666666663</v>
      </c>
      <c r="C267" s="19" t="s">
        <v>21</v>
      </c>
      <c r="D267" s="19" t="s">
        <v>16</v>
      </c>
      <c r="E267" s="19" t="s">
        <v>21</v>
      </c>
      <c r="F267">
        <v>3</v>
      </c>
      <c r="G267">
        <v>2</v>
      </c>
      <c r="H267">
        <v>0.7903</v>
      </c>
      <c r="I267" s="19" t="s">
        <v>249</v>
      </c>
      <c r="J267" s="19" t="s">
        <v>21</v>
      </c>
      <c r="K267">
        <v>3</v>
      </c>
      <c r="L267">
        <v>2</v>
      </c>
      <c r="M267">
        <v>0.48</v>
      </c>
      <c r="N267" s="19" t="s">
        <v>21</v>
      </c>
      <c r="O267" s="19" t="s">
        <v>289</v>
      </c>
      <c r="P267" s="19" t="s">
        <v>287</v>
      </c>
      <c r="Q267" s="19" t="s">
        <v>285</v>
      </c>
      <c r="R267" s="19" t="s">
        <v>248</v>
      </c>
      <c r="S267" s="19" t="s">
        <v>248</v>
      </c>
      <c r="T267" s="19" t="s">
        <v>286</v>
      </c>
    </row>
    <row r="268" spans="1:20" x14ac:dyDescent="0.2">
      <c r="A268" s="1">
        <v>46030</v>
      </c>
      <c r="B268" s="2">
        <v>0.79166666666666663</v>
      </c>
      <c r="C268" s="19" t="s">
        <v>25</v>
      </c>
      <c r="D268" s="19" t="s">
        <v>31</v>
      </c>
      <c r="E268" s="19" t="s">
        <v>25</v>
      </c>
      <c r="F268">
        <v>6</v>
      </c>
      <c r="G268">
        <v>5</v>
      </c>
      <c r="H268">
        <v>0.51129999999999998</v>
      </c>
      <c r="I268" s="19" t="s">
        <v>249</v>
      </c>
      <c r="J268" s="19" t="s">
        <v>25</v>
      </c>
      <c r="K268">
        <v>3</v>
      </c>
      <c r="L268">
        <v>2</v>
      </c>
      <c r="M268">
        <v>0.82</v>
      </c>
      <c r="N268" s="19" t="s">
        <v>25</v>
      </c>
      <c r="O268" s="19" t="s">
        <v>283</v>
      </c>
      <c r="P268" s="19" t="s">
        <v>284</v>
      </c>
      <c r="Q268" s="19" t="s">
        <v>285</v>
      </c>
      <c r="R268" s="19" t="s">
        <v>248</v>
      </c>
      <c r="S268" s="19" t="s">
        <v>248</v>
      </c>
      <c r="T268" s="19" t="s">
        <v>286</v>
      </c>
    </row>
    <row r="269" spans="1:20" x14ac:dyDescent="0.2">
      <c r="A269" s="1">
        <v>46030</v>
      </c>
      <c r="B269" s="2">
        <v>0.83333333333333337</v>
      </c>
      <c r="C269" s="19" t="s">
        <v>40</v>
      </c>
      <c r="D269" s="19" t="s">
        <v>17</v>
      </c>
      <c r="E269" s="19" t="s">
        <v>17</v>
      </c>
      <c r="F269">
        <v>3</v>
      </c>
      <c r="G269">
        <v>4</v>
      </c>
      <c r="H269">
        <v>0.59899999999999998</v>
      </c>
      <c r="I269" s="19" t="s">
        <v>249</v>
      </c>
      <c r="J269" s="19" t="s">
        <v>17</v>
      </c>
      <c r="K269">
        <v>3</v>
      </c>
      <c r="L269">
        <v>2</v>
      </c>
      <c r="M269">
        <v>-0.14000000000000001</v>
      </c>
      <c r="N269" s="19" t="s">
        <v>17</v>
      </c>
      <c r="O269" s="19" t="s">
        <v>291</v>
      </c>
      <c r="P269" s="19" t="s">
        <v>289</v>
      </c>
      <c r="Q269" s="19" t="s">
        <v>285</v>
      </c>
      <c r="R269" s="19" t="s">
        <v>248</v>
      </c>
      <c r="S269" s="19" t="s">
        <v>248</v>
      </c>
      <c r="T269" s="19" t="s">
        <v>286</v>
      </c>
    </row>
    <row r="270" spans="1:20" x14ac:dyDescent="0.2">
      <c r="A270" s="1">
        <v>46031</v>
      </c>
      <c r="B270" s="2">
        <v>0.83333333333333337</v>
      </c>
      <c r="C270" s="19" t="s">
        <v>40</v>
      </c>
      <c r="D270" s="19" t="s">
        <v>13</v>
      </c>
      <c r="E270" s="19" t="s">
        <v>40</v>
      </c>
      <c r="F270">
        <v>4</v>
      </c>
      <c r="G270">
        <v>3</v>
      </c>
      <c r="H270">
        <v>0.57879999999999998</v>
      </c>
      <c r="I270" s="19" t="s">
        <v>249</v>
      </c>
      <c r="J270" s="19" t="s">
        <v>13</v>
      </c>
      <c r="K270">
        <v>3</v>
      </c>
      <c r="L270">
        <v>2</v>
      </c>
      <c r="M270">
        <v>-0.13</v>
      </c>
      <c r="N270" s="19" t="s">
        <v>40</v>
      </c>
      <c r="O270" s="19" t="s">
        <v>283</v>
      </c>
      <c r="P270" s="19" t="s">
        <v>287</v>
      </c>
      <c r="Q270" s="19" t="s">
        <v>285</v>
      </c>
      <c r="R270" s="19" t="s">
        <v>248</v>
      </c>
      <c r="S270" s="19" t="s">
        <v>249</v>
      </c>
      <c r="T270" s="19" t="s">
        <v>286</v>
      </c>
    </row>
    <row r="271" spans="1:20" x14ac:dyDescent="0.2">
      <c r="A271" s="1">
        <v>46031</v>
      </c>
      <c r="B271" s="2">
        <v>0.83333333333333337</v>
      </c>
      <c r="C271" s="19" t="s">
        <v>10</v>
      </c>
      <c r="D271" s="19" t="s">
        <v>22</v>
      </c>
      <c r="E271" s="19" t="s">
        <v>10</v>
      </c>
      <c r="F271">
        <v>3</v>
      </c>
      <c r="G271">
        <v>2</v>
      </c>
      <c r="H271">
        <v>0.58899999999999997</v>
      </c>
      <c r="I271" s="19" t="s">
        <v>249</v>
      </c>
      <c r="J271" s="19" t="s">
        <v>22</v>
      </c>
      <c r="K271">
        <v>3</v>
      </c>
      <c r="L271">
        <v>2</v>
      </c>
      <c r="M271">
        <v>-0.56000000000000005</v>
      </c>
      <c r="N271" s="19" t="s">
        <v>22</v>
      </c>
      <c r="O271" s="19" t="s">
        <v>287</v>
      </c>
      <c r="P271" s="19" t="s">
        <v>283</v>
      </c>
      <c r="Q271" s="19" t="s">
        <v>285</v>
      </c>
      <c r="R271" s="19" t="s">
        <v>249</v>
      </c>
      <c r="S271" s="19" t="s">
        <v>248</v>
      </c>
      <c r="T271" s="19" t="s">
        <v>286</v>
      </c>
    </row>
    <row r="272" spans="1:20" x14ac:dyDescent="0.2">
      <c r="A272" s="1">
        <v>46031</v>
      </c>
      <c r="B272" s="2">
        <v>0.875</v>
      </c>
      <c r="C272" s="19" t="s">
        <v>55</v>
      </c>
      <c r="D272" s="19" t="s">
        <v>35</v>
      </c>
      <c r="E272" s="19" t="s">
        <v>55</v>
      </c>
      <c r="F272">
        <v>3</v>
      </c>
      <c r="G272">
        <v>2</v>
      </c>
      <c r="H272">
        <v>0.54969999999999997</v>
      </c>
      <c r="I272" s="19" t="s">
        <v>249</v>
      </c>
      <c r="J272" s="19" t="s">
        <v>55</v>
      </c>
      <c r="K272">
        <v>3</v>
      </c>
      <c r="L272">
        <v>2</v>
      </c>
      <c r="M272">
        <v>1.32</v>
      </c>
      <c r="N272" s="19" t="s">
        <v>55</v>
      </c>
      <c r="O272" s="19" t="s">
        <v>289</v>
      </c>
      <c r="P272" s="19" t="s">
        <v>284</v>
      </c>
      <c r="Q272" s="19" t="s">
        <v>285</v>
      </c>
      <c r="R272" s="19" t="s">
        <v>248</v>
      </c>
      <c r="S272" s="19" t="s">
        <v>248</v>
      </c>
      <c r="T272" s="19" t="s">
        <v>286</v>
      </c>
    </row>
    <row r="273" spans="1:20" x14ac:dyDescent="0.2">
      <c r="A273" s="1">
        <v>46032</v>
      </c>
      <c r="B273" s="2">
        <v>0.54166666666666663</v>
      </c>
      <c r="C273" s="19" t="s">
        <v>21</v>
      </c>
      <c r="D273" s="19" t="s">
        <v>15</v>
      </c>
      <c r="E273" s="19" t="s">
        <v>15</v>
      </c>
      <c r="F273">
        <v>3</v>
      </c>
      <c r="G273">
        <v>4</v>
      </c>
      <c r="H273">
        <v>0.67290000000000005</v>
      </c>
      <c r="I273" s="19" t="s">
        <v>249</v>
      </c>
      <c r="J273" s="19" t="s">
        <v>21</v>
      </c>
      <c r="K273">
        <v>3</v>
      </c>
      <c r="L273">
        <v>2</v>
      </c>
      <c r="M273">
        <v>0.13</v>
      </c>
      <c r="N273" s="19" t="s">
        <v>21</v>
      </c>
      <c r="O273" s="19" t="s">
        <v>1916</v>
      </c>
      <c r="P273" s="19" t="s">
        <v>284</v>
      </c>
      <c r="Q273" s="19" t="s">
        <v>285</v>
      </c>
      <c r="R273" s="19" t="s">
        <v>249</v>
      </c>
      <c r="S273" s="19" t="s">
        <v>248</v>
      </c>
      <c r="T273" s="19" t="s">
        <v>286</v>
      </c>
    </row>
    <row r="274" spans="1:20" x14ac:dyDescent="0.2">
      <c r="A274" s="1">
        <v>46032</v>
      </c>
      <c r="B274" s="2">
        <v>0.91666666666666663</v>
      </c>
      <c r="C274" s="19" t="s">
        <v>20</v>
      </c>
      <c r="D274" s="19" t="s">
        <v>35</v>
      </c>
      <c r="E274" s="19" t="s">
        <v>20</v>
      </c>
      <c r="F274">
        <v>4</v>
      </c>
      <c r="G274">
        <v>3</v>
      </c>
      <c r="H274">
        <v>0.60719999999999996</v>
      </c>
      <c r="I274" s="19" t="s">
        <v>249</v>
      </c>
      <c r="J274" s="19" t="s">
        <v>20</v>
      </c>
      <c r="K274">
        <v>3</v>
      </c>
      <c r="L274">
        <v>2</v>
      </c>
      <c r="M274">
        <v>1.19</v>
      </c>
      <c r="N274" s="19" t="s">
        <v>20</v>
      </c>
      <c r="O274" s="19" t="s">
        <v>289</v>
      </c>
      <c r="P274" s="19" t="s">
        <v>284</v>
      </c>
      <c r="Q274" s="19" t="s">
        <v>285</v>
      </c>
      <c r="R274" s="19" t="s">
        <v>248</v>
      </c>
      <c r="S274" s="19" t="s">
        <v>248</v>
      </c>
      <c r="T274" s="19" t="s">
        <v>286</v>
      </c>
    </row>
    <row r="275" spans="1:20" x14ac:dyDescent="0.2">
      <c r="A275" s="1">
        <v>46032</v>
      </c>
      <c r="B275" s="2">
        <v>0.79166666666666663</v>
      </c>
      <c r="C275" s="19" t="s">
        <v>23</v>
      </c>
      <c r="D275" s="19" t="s">
        <v>31</v>
      </c>
      <c r="E275" s="19" t="s">
        <v>23</v>
      </c>
      <c r="F275">
        <v>4</v>
      </c>
      <c r="G275">
        <v>2</v>
      </c>
      <c r="H275">
        <v>0.53600000000000003</v>
      </c>
      <c r="I275" s="19" t="s">
        <v>249</v>
      </c>
      <c r="J275" s="19" t="s">
        <v>23</v>
      </c>
      <c r="K275">
        <v>3</v>
      </c>
      <c r="L275">
        <v>2</v>
      </c>
      <c r="M275">
        <v>0.55000000000000004</v>
      </c>
      <c r="N275" s="19" t="s">
        <v>23</v>
      </c>
      <c r="O275" s="19" t="s">
        <v>283</v>
      </c>
      <c r="P275" s="19" t="s">
        <v>291</v>
      </c>
      <c r="Q275" s="19" t="s">
        <v>285</v>
      </c>
      <c r="R275" s="19" t="s">
        <v>248</v>
      </c>
      <c r="S275" s="19" t="s">
        <v>248</v>
      </c>
      <c r="T275" s="19" t="s">
        <v>286</v>
      </c>
    </row>
    <row r="276" spans="1:20" x14ac:dyDescent="0.2">
      <c r="A276" s="1">
        <v>46032</v>
      </c>
      <c r="B276" s="2">
        <v>0.83333333333333337</v>
      </c>
      <c r="C276" s="19" t="s">
        <v>34</v>
      </c>
      <c r="D276" s="19" t="s">
        <v>30</v>
      </c>
      <c r="E276" s="19" t="s">
        <v>30</v>
      </c>
      <c r="F276">
        <v>3</v>
      </c>
      <c r="G276">
        <v>4</v>
      </c>
      <c r="H276">
        <v>0.50819999999999999</v>
      </c>
      <c r="I276" s="19" t="s">
        <v>249</v>
      </c>
      <c r="J276" s="19" t="s">
        <v>34</v>
      </c>
      <c r="K276">
        <v>3</v>
      </c>
      <c r="L276">
        <v>2</v>
      </c>
      <c r="M276">
        <v>0.35</v>
      </c>
      <c r="N276" s="19" t="s">
        <v>30</v>
      </c>
      <c r="O276" s="19" t="s">
        <v>291</v>
      </c>
      <c r="P276" s="19" t="s">
        <v>289</v>
      </c>
      <c r="Q276" s="19" t="s">
        <v>287</v>
      </c>
      <c r="R276" s="19" t="s">
        <v>248</v>
      </c>
      <c r="S276" s="19" t="s">
        <v>249</v>
      </c>
      <c r="T276" s="19" t="s">
        <v>286</v>
      </c>
    </row>
    <row r="277" spans="1:20" x14ac:dyDescent="0.2">
      <c r="A277" s="1">
        <v>46032</v>
      </c>
      <c r="B277" s="2">
        <v>0.66666666666666663</v>
      </c>
      <c r="C277" s="19" t="s">
        <v>33</v>
      </c>
      <c r="D277" s="19" t="s">
        <v>39</v>
      </c>
      <c r="E277" s="19" t="s">
        <v>39</v>
      </c>
      <c r="F277">
        <v>3</v>
      </c>
      <c r="G277">
        <v>5</v>
      </c>
      <c r="H277">
        <v>0.80640000000000001</v>
      </c>
      <c r="I277" s="19" t="s">
        <v>249</v>
      </c>
      <c r="J277" s="19" t="s">
        <v>39</v>
      </c>
      <c r="K277">
        <v>3</v>
      </c>
      <c r="L277">
        <v>2</v>
      </c>
      <c r="M277">
        <v>-0.76</v>
      </c>
      <c r="N277" s="19" t="s">
        <v>33</v>
      </c>
      <c r="O277" s="19" t="s">
        <v>283</v>
      </c>
      <c r="P277" s="19" t="s">
        <v>289</v>
      </c>
      <c r="Q277" s="19" t="s">
        <v>287</v>
      </c>
      <c r="R277" s="19" t="s">
        <v>249</v>
      </c>
      <c r="S277" s="19" t="s">
        <v>249</v>
      </c>
      <c r="T277" s="19" t="s">
        <v>286</v>
      </c>
    </row>
    <row r="278" spans="1:20" x14ac:dyDescent="0.2">
      <c r="A278" s="1">
        <v>46032</v>
      </c>
      <c r="B278" s="2">
        <v>0.79166666666666663</v>
      </c>
      <c r="C278" s="19" t="s">
        <v>36</v>
      </c>
      <c r="D278" s="19" t="s">
        <v>11</v>
      </c>
      <c r="E278" s="19" t="s">
        <v>36</v>
      </c>
      <c r="F278">
        <v>4</v>
      </c>
      <c r="G278">
        <v>3</v>
      </c>
      <c r="H278">
        <v>0.60099999999999998</v>
      </c>
      <c r="I278" s="19" t="s">
        <v>249</v>
      </c>
      <c r="J278" s="19" t="s">
        <v>36</v>
      </c>
      <c r="K278">
        <v>3</v>
      </c>
      <c r="L278">
        <v>2</v>
      </c>
      <c r="M278">
        <v>0.11</v>
      </c>
      <c r="N278" s="19" t="s">
        <v>11</v>
      </c>
      <c r="O278" s="19" t="s">
        <v>284</v>
      </c>
      <c r="P278" s="19" t="s">
        <v>291</v>
      </c>
      <c r="Q278" s="19" t="s">
        <v>285</v>
      </c>
      <c r="R278" s="19" t="s">
        <v>249</v>
      </c>
      <c r="S278" s="19" t="s">
        <v>249</v>
      </c>
      <c r="T278" s="19" t="s">
        <v>286</v>
      </c>
    </row>
    <row r="279" spans="1:20" x14ac:dyDescent="0.2">
      <c r="A279" s="1">
        <v>46032</v>
      </c>
      <c r="B279" s="2">
        <v>0.66666666666666663</v>
      </c>
      <c r="C279" s="19" t="s">
        <v>12</v>
      </c>
      <c r="D279" s="19" t="s">
        <v>28</v>
      </c>
      <c r="E279" s="19" t="s">
        <v>12</v>
      </c>
      <c r="F279">
        <v>3</v>
      </c>
      <c r="G279">
        <v>1</v>
      </c>
      <c r="H279">
        <v>0.90700000000000003</v>
      </c>
      <c r="I279" s="19" t="s">
        <v>249</v>
      </c>
      <c r="J279" s="19" t="s">
        <v>12</v>
      </c>
      <c r="K279">
        <v>3</v>
      </c>
      <c r="L279">
        <v>2</v>
      </c>
      <c r="M279">
        <v>2.19</v>
      </c>
      <c r="N279" s="19" t="s">
        <v>12</v>
      </c>
      <c r="O279" s="19" t="s">
        <v>289</v>
      </c>
      <c r="P279" s="19" t="s">
        <v>285</v>
      </c>
      <c r="Q279" s="19" t="s">
        <v>285</v>
      </c>
      <c r="R279" s="19" t="s">
        <v>248</v>
      </c>
      <c r="S279" s="19" t="s">
        <v>248</v>
      </c>
      <c r="T279" s="19" t="s">
        <v>286</v>
      </c>
    </row>
    <row r="280" spans="1:20" x14ac:dyDescent="0.2">
      <c r="A280" s="1">
        <v>46032</v>
      </c>
      <c r="B280" s="2">
        <v>0.79166666666666663</v>
      </c>
      <c r="C280" s="19" t="s">
        <v>27</v>
      </c>
      <c r="D280" s="19" t="s">
        <v>37</v>
      </c>
      <c r="E280" s="19" t="s">
        <v>37</v>
      </c>
      <c r="F280">
        <v>2</v>
      </c>
      <c r="G280">
        <v>3</v>
      </c>
      <c r="H280">
        <v>0.88600000000000001</v>
      </c>
      <c r="I280" s="19" t="s">
        <v>249</v>
      </c>
      <c r="J280" s="19" t="s">
        <v>37</v>
      </c>
      <c r="K280">
        <v>3</v>
      </c>
      <c r="L280">
        <v>2</v>
      </c>
      <c r="M280">
        <v>-0.51</v>
      </c>
      <c r="N280" s="19" t="s">
        <v>37</v>
      </c>
      <c r="O280" s="19" t="s">
        <v>284</v>
      </c>
      <c r="P280" s="19" t="s">
        <v>292</v>
      </c>
      <c r="Q280" s="19" t="s">
        <v>285</v>
      </c>
      <c r="R280" s="19" t="s">
        <v>248</v>
      </c>
      <c r="S280" s="19" t="s">
        <v>248</v>
      </c>
      <c r="T280" s="19" t="s">
        <v>286</v>
      </c>
    </row>
    <row r="281" spans="1:20" x14ac:dyDescent="0.2">
      <c r="A281" s="1">
        <v>46032</v>
      </c>
      <c r="B281" s="2">
        <v>0.64583333333333337</v>
      </c>
      <c r="C281" s="19" t="s">
        <v>14</v>
      </c>
      <c r="D281" s="19" t="s">
        <v>16</v>
      </c>
      <c r="E281" s="19" t="s">
        <v>14</v>
      </c>
      <c r="F281">
        <v>4</v>
      </c>
      <c r="G281">
        <v>2</v>
      </c>
      <c r="H281">
        <v>0.74260000000000004</v>
      </c>
      <c r="I281" s="19" t="s">
        <v>249</v>
      </c>
      <c r="J281" s="19" t="s">
        <v>14</v>
      </c>
      <c r="K281">
        <v>3</v>
      </c>
      <c r="L281">
        <v>2</v>
      </c>
      <c r="M281">
        <v>0.78</v>
      </c>
      <c r="N281" s="19" t="s">
        <v>16</v>
      </c>
      <c r="O281" s="19" t="s">
        <v>287</v>
      </c>
      <c r="P281" s="19" t="s">
        <v>284</v>
      </c>
      <c r="Q281" s="19" t="s">
        <v>285</v>
      </c>
      <c r="R281" s="19" t="s">
        <v>249</v>
      </c>
      <c r="S281" s="19" t="s">
        <v>249</v>
      </c>
      <c r="T281" s="19" t="s">
        <v>286</v>
      </c>
    </row>
    <row r="282" spans="1:20" x14ac:dyDescent="0.2">
      <c r="A282" s="1">
        <v>46032</v>
      </c>
      <c r="B282" s="2">
        <v>0.79166666666666663</v>
      </c>
      <c r="C282" s="19" t="s">
        <v>18</v>
      </c>
      <c r="D282" s="19" t="s">
        <v>26</v>
      </c>
      <c r="E282" s="19" t="s">
        <v>18</v>
      </c>
      <c r="F282">
        <v>5</v>
      </c>
      <c r="G282">
        <v>4</v>
      </c>
      <c r="H282">
        <v>0.5161</v>
      </c>
      <c r="I282" s="19" t="s">
        <v>249</v>
      </c>
      <c r="J282" s="19" t="s">
        <v>18</v>
      </c>
      <c r="K282">
        <v>3</v>
      </c>
      <c r="L282">
        <v>2</v>
      </c>
      <c r="M282">
        <v>0.39</v>
      </c>
      <c r="N282" s="19" t="s">
        <v>26</v>
      </c>
      <c r="O282" s="19" t="s">
        <v>285</v>
      </c>
      <c r="P282" s="19" t="s">
        <v>289</v>
      </c>
      <c r="Q282" s="19" t="s">
        <v>285</v>
      </c>
      <c r="R282" s="19" t="s">
        <v>249</v>
      </c>
      <c r="S282" s="19" t="s">
        <v>249</v>
      </c>
      <c r="T282" s="19" t="s">
        <v>286</v>
      </c>
    </row>
    <row r="283" spans="1:20" x14ac:dyDescent="0.2">
      <c r="A283" s="1">
        <v>46032</v>
      </c>
      <c r="B283" s="2">
        <v>0.83333333333333337</v>
      </c>
      <c r="C283" s="19" t="s">
        <v>29</v>
      </c>
      <c r="D283" s="19" t="s">
        <v>10</v>
      </c>
      <c r="E283" s="19" t="s">
        <v>29</v>
      </c>
      <c r="F283">
        <v>4</v>
      </c>
      <c r="G283">
        <v>3</v>
      </c>
      <c r="H283">
        <v>0.75119999999999998</v>
      </c>
      <c r="I283" s="19" t="s">
        <v>249</v>
      </c>
      <c r="J283" s="19" t="s">
        <v>29</v>
      </c>
      <c r="K283">
        <v>3</v>
      </c>
      <c r="L283">
        <v>2</v>
      </c>
      <c r="M283">
        <v>0.13</v>
      </c>
      <c r="N283" s="19" t="s">
        <v>10</v>
      </c>
      <c r="O283" s="19" t="s">
        <v>285</v>
      </c>
      <c r="P283" s="19" t="s">
        <v>291</v>
      </c>
      <c r="Q283" s="19" t="s">
        <v>285</v>
      </c>
      <c r="R283" s="19" t="s">
        <v>249</v>
      </c>
      <c r="S283" s="19" t="s">
        <v>249</v>
      </c>
      <c r="T283" s="19" t="s">
        <v>286</v>
      </c>
    </row>
    <row r="284" spans="1:20" x14ac:dyDescent="0.2">
      <c r="A284" s="1">
        <v>46032</v>
      </c>
      <c r="B284" s="2">
        <v>0.79166666666666663</v>
      </c>
      <c r="C284" s="19" t="s">
        <v>25</v>
      </c>
      <c r="D284" s="19" t="s">
        <v>32</v>
      </c>
      <c r="E284" s="19" t="s">
        <v>25</v>
      </c>
      <c r="F284">
        <v>4</v>
      </c>
      <c r="G284">
        <v>3</v>
      </c>
      <c r="H284">
        <v>0.6603</v>
      </c>
      <c r="I284" s="19" t="s">
        <v>249</v>
      </c>
      <c r="J284" s="19" t="s">
        <v>25</v>
      </c>
      <c r="K284">
        <v>3</v>
      </c>
      <c r="L284">
        <v>2</v>
      </c>
      <c r="M284">
        <v>0.82</v>
      </c>
      <c r="N284" s="19" t="s">
        <v>25</v>
      </c>
      <c r="O284" s="19" t="s">
        <v>291</v>
      </c>
      <c r="P284" s="19" t="s">
        <v>284</v>
      </c>
      <c r="Q284" s="19" t="s">
        <v>285</v>
      </c>
      <c r="R284" s="19" t="s">
        <v>248</v>
      </c>
      <c r="S284" s="19" t="s">
        <v>248</v>
      </c>
      <c r="T284" s="19" t="s">
        <v>286</v>
      </c>
    </row>
    <row r="285" spans="1:20" x14ac:dyDescent="0.2">
      <c r="A285" s="1">
        <v>46032</v>
      </c>
      <c r="B285" s="2">
        <v>0.91666666666666663</v>
      </c>
      <c r="C285" s="19" t="s">
        <v>17</v>
      </c>
      <c r="D285" s="19" t="s">
        <v>13</v>
      </c>
      <c r="E285" s="19" t="s">
        <v>17</v>
      </c>
      <c r="F285">
        <v>4</v>
      </c>
      <c r="G285">
        <v>3</v>
      </c>
      <c r="H285">
        <v>0.52880000000000005</v>
      </c>
      <c r="I285" s="19" t="s">
        <v>248</v>
      </c>
      <c r="J285" s="19" t="s">
        <v>17</v>
      </c>
      <c r="K285">
        <v>3</v>
      </c>
      <c r="L285">
        <v>2</v>
      </c>
      <c r="M285">
        <v>0.28000000000000003</v>
      </c>
      <c r="N285" s="19" t="s">
        <v>13</v>
      </c>
      <c r="O285" s="19" t="s">
        <v>291</v>
      </c>
      <c r="P285" s="19" t="s">
        <v>289</v>
      </c>
      <c r="Q285" s="19" t="s">
        <v>287</v>
      </c>
      <c r="R285" s="19" t="s">
        <v>249</v>
      </c>
      <c r="S285" s="19" t="s">
        <v>249</v>
      </c>
      <c r="T285" s="19" t="s">
        <v>286</v>
      </c>
    </row>
    <row r="286" spans="1:20" x14ac:dyDescent="0.2">
      <c r="A286" s="1">
        <v>46032</v>
      </c>
      <c r="B286" s="2">
        <v>0.79166666666666663</v>
      </c>
      <c r="C286" s="19" t="s">
        <v>19</v>
      </c>
      <c r="D286" s="19" t="s">
        <v>38</v>
      </c>
      <c r="E286" s="19" t="s">
        <v>19</v>
      </c>
      <c r="F286">
        <v>4</v>
      </c>
      <c r="G286">
        <v>3</v>
      </c>
      <c r="H286">
        <v>0.67830000000000001</v>
      </c>
      <c r="I286" s="19" t="s">
        <v>249</v>
      </c>
      <c r="J286" s="19" t="s">
        <v>19</v>
      </c>
      <c r="K286">
        <v>3</v>
      </c>
      <c r="L286">
        <v>2</v>
      </c>
      <c r="M286">
        <v>0.85</v>
      </c>
      <c r="N286" s="19" t="s">
        <v>19</v>
      </c>
      <c r="O286" s="19" t="s">
        <v>283</v>
      </c>
      <c r="P286" s="19" t="s">
        <v>285</v>
      </c>
      <c r="Q286" s="19" t="s">
        <v>285</v>
      </c>
      <c r="R286" s="19" t="s">
        <v>248</v>
      </c>
      <c r="S286" s="19" t="s">
        <v>248</v>
      </c>
      <c r="T286" s="19" t="s">
        <v>286</v>
      </c>
    </row>
    <row r="287" spans="1:20" x14ac:dyDescent="0.2">
      <c r="A287" s="1">
        <v>46033</v>
      </c>
      <c r="B287" s="2">
        <v>0.58333333333333337</v>
      </c>
      <c r="C287" s="19" t="s">
        <v>40</v>
      </c>
      <c r="D287" s="19" t="s">
        <v>24</v>
      </c>
      <c r="E287" s="19" t="s">
        <v>24</v>
      </c>
      <c r="F287">
        <v>3</v>
      </c>
      <c r="G287">
        <v>4</v>
      </c>
      <c r="H287">
        <v>0.66759999999999997</v>
      </c>
      <c r="I287" s="19" t="s">
        <v>249</v>
      </c>
      <c r="J287" s="19" t="s">
        <v>40</v>
      </c>
      <c r="K287">
        <v>3</v>
      </c>
      <c r="L287">
        <v>2</v>
      </c>
      <c r="M287">
        <v>0.28999999999999998</v>
      </c>
      <c r="N287" s="19" t="s">
        <v>40</v>
      </c>
      <c r="O287" s="19" t="s">
        <v>289</v>
      </c>
      <c r="P287" s="19" t="s">
        <v>291</v>
      </c>
      <c r="Q287" s="19" t="s">
        <v>285</v>
      </c>
      <c r="R287" s="19" t="s">
        <v>249</v>
      </c>
      <c r="S287" s="19" t="s">
        <v>248</v>
      </c>
      <c r="T287" s="19" t="s">
        <v>286</v>
      </c>
    </row>
    <row r="288" spans="1:20" x14ac:dyDescent="0.2">
      <c r="A288" s="1">
        <v>46033</v>
      </c>
      <c r="B288" s="2">
        <v>0.70833333333333337</v>
      </c>
      <c r="C288" s="19" t="s">
        <v>21</v>
      </c>
      <c r="D288" s="19" t="s">
        <v>14</v>
      </c>
      <c r="E288" s="19" t="s">
        <v>21</v>
      </c>
      <c r="F288">
        <v>4</v>
      </c>
      <c r="G288">
        <v>3</v>
      </c>
      <c r="H288">
        <v>0.5968</v>
      </c>
      <c r="I288" s="19" t="s">
        <v>249</v>
      </c>
      <c r="J288" s="19" t="s">
        <v>21</v>
      </c>
      <c r="K288">
        <v>3</v>
      </c>
      <c r="L288">
        <v>2</v>
      </c>
      <c r="M288">
        <v>0.19</v>
      </c>
      <c r="N288" s="19" t="s">
        <v>21</v>
      </c>
      <c r="O288" s="19" t="s">
        <v>287</v>
      </c>
      <c r="P288" s="19" t="s">
        <v>285</v>
      </c>
      <c r="Q288" s="19" t="s">
        <v>285</v>
      </c>
      <c r="R288" s="19" t="s">
        <v>248</v>
      </c>
      <c r="S288" s="19" t="s">
        <v>248</v>
      </c>
      <c r="T288" s="19" t="s">
        <v>286</v>
      </c>
    </row>
    <row r="289" spans="1:20" x14ac:dyDescent="0.2">
      <c r="A289" s="1">
        <v>46033</v>
      </c>
      <c r="B289" s="2">
        <v>0.79166666666666663</v>
      </c>
      <c r="C289" s="19" t="s">
        <v>55</v>
      </c>
      <c r="D289" s="19" t="s">
        <v>28</v>
      </c>
      <c r="E289" s="19" t="s">
        <v>55</v>
      </c>
      <c r="F289">
        <v>4</v>
      </c>
      <c r="G289">
        <v>3</v>
      </c>
      <c r="H289">
        <v>0.5736</v>
      </c>
      <c r="I289" s="19" t="s">
        <v>249</v>
      </c>
      <c r="J289" s="19" t="s">
        <v>55</v>
      </c>
      <c r="K289">
        <v>3</v>
      </c>
      <c r="L289">
        <v>2</v>
      </c>
      <c r="M289">
        <v>0.7</v>
      </c>
      <c r="N289" s="19" t="s">
        <v>28</v>
      </c>
      <c r="O289" s="19" t="s">
        <v>284</v>
      </c>
      <c r="P289" s="19" t="s">
        <v>291</v>
      </c>
      <c r="Q289" s="19" t="s">
        <v>287</v>
      </c>
      <c r="R289" s="19" t="s">
        <v>249</v>
      </c>
      <c r="S289" s="19" t="s">
        <v>249</v>
      </c>
      <c r="T289" s="19" t="s">
        <v>286</v>
      </c>
    </row>
    <row r="290" spans="1:20" x14ac:dyDescent="0.2">
      <c r="A290" s="1">
        <v>46033</v>
      </c>
      <c r="B290" s="2">
        <v>0.83333333333333337</v>
      </c>
      <c r="C290" s="19" t="s">
        <v>33</v>
      </c>
      <c r="D290" s="19" t="s">
        <v>20</v>
      </c>
      <c r="E290" s="19" t="s">
        <v>20</v>
      </c>
      <c r="F290">
        <v>3</v>
      </c>
      <c r="G290">
        <v>4</v>
      </c>
      <c r="H290">
        <v>0.52929999999999999</v>
      </c>
      <c r="I290" s="19" t="s">
        <v>248</v>
      </c>
      <c r="J290" s="19" t="s">
        <v>20</v>
      </c>
      <c r="K290">
        <v>3</v>
      </c>
      <c r="L290">
        <v>2</v>
      </c>
      <c r="M290">
        <v>-0.13</v>
      </c>
      <c r="N290" s="19" t="s">
        <v>20</v>
      </c>
      <c r="O290" s="19" t="s">
        <v>284</v>
      </c>
      <c r="P290" s="19" t="s">
        <v>292</v>
      </c>
      <c r="Q290" s="19" t="s">
        <v>285</v>
      </c>
      <c r="R290" s="19" t="s">
        <v>248</v>
      </c>
      <c r="S290" s="19" t="s">
        <v>248</v>
      </c>
      <c r="T290" s="19" t="s">
        <v>286</v>
      </c>
    </row>
    <row r="291" spans="1:20" x14ac:dyDescent="0.2">
      <c r="A291" s="1">
        <v>46033</v>
      </c>
      <c r="B291" s="2">
        <v>0.79166666666666663</v>
      </c>
      <c r="C291" s="19" t="s">
        <v>29</v>
      </c>
      <c r="D291" s="19" t="s">
        <v>22</v>
      </c>
      <c r="E291" s="19" t="s">
        <v>29</v>
      </c>
      <c r="F291">
        <v>4</v>
      </c>
      <c r="G291">
        <v>3</v>
      </c>
      <c r="H291">
        <v>0.57699999999999996</v>
      </c>
      <c r="I291" s="19" t="s">
        <v>249</v>
      </c>
      <c r="J291" s="19" t="s">
        <v>22</v>
      </c>
      <c r="K291">
        <v>3</v>
      </c>
      <c r="L291">
        <v>2</v>
      </c>
      <c r="M291">
        <v>-0.78</v>
      </c>
      <c r="N291" s="19" t="s">
        <v>29</v>
      </c>
      <c r="O291" s="19" t="s">
        <v>291</v>
      </c>
      <c r="P291" s="19" t="s">
        <v>284</v>
      </c>
      <c r="Q291" s="19" t="s">
        <v>285</v>
      </c>
      <c r="R291" s="19" t="s">
        <v>248</v>
      </c>
      <c r="S291" s="19" t="s">
        <v>249</v>
      </c>
      <c r="T291" s="19" t="s">
        <v>286</v>
      </c>
    </row>
    <row r="292" spans="1:20" x14ac:dyDescent="0.2">
      <c r="A292" s="1">
        <v>46034</v>
      </c>
      <c r="B292" s="2">
        <v>0.79166666666666663</v>
      </c>
      <c r="C292" s="19" t="s">
        <v>23</v>
      </c>
      <c r="D292" s="19" t="s">
        <v>11</v>
      </c>
      <c r="E292" s="19" t="s">
        <v>23</v>
      </c>
      <c r="F292">
        <v>4</v>
      </c>
      <c r="G292">
        <v>2</v>
      </c>
      <c r="H292">
        <v>0.75890000000000002</v>
      </c>
      <c r="I292" s="19" t="s">
        <v>249</v>
      </c>
      <c r="J292" s="19" t="s">
        <v>23</v>
      </c>
      <c r="K292">
        <v>3</v>
      </c>
      <c r="L292">
        <v>2</v>
      </c>
      <c r="M292">
        <v>0.34</v>
      </c>
      <c r="N292" s="19" t="s">
        <v>11</v>
      </c>
      <c r="O292" s="19" t="s">
        <v>291</v>
      </c>
      <c r="P292" s="19" t="s">
        <v>289</v>
      </c>
      <c r="Q292" s="19" t="s">
        <v>285</v>
      </c>
      <c r="R292" s="19" t="s">
        <v>249</v>
      </c>
      <c r="S292" s="19" t="s">
        <v>249</v>
      </c>
      <c r="T292" s="19" t="s">
        <v>286</v>
      </c>
    </row>
    <row r="293" spans="1:20" x14ac:dyDescent="0.2">
      <c r="A293" s="1">
        <v>46034</v>
      </c>
      <c r="B293" s="2">
        <v>0.85416666666666663</v>
      </c>
      <c r="C293" s="19" t="s">
        <v>10</v>
      </c>
      <c r="D293" s="19" t="s">
        <v>17</v>
      </c>
      <c r="E293" s="19" t="s">
        <v>10</v>
      </c>
      <c r="F293">
        <v>4</v>
      </c>
      <c r="G293">
        <v>3</v>
      </c>
      <c r="H293">
        <v>0.51800000000000002</v>
      </c>
      <c r="I293" s="19" t="s">
        <v>249</v>
      </c>
      <c r="J293" s="19" t="s">
        <v>17</v>
      </c>
      <c r="K293">
        <v>3</v>
      </c>
      <c r="L293">
        <v>2</v>
      </c>
      <c r="M293">
        <v>-0.22</v>
      </c>
      <c r="N293" s="19" t="s">
        <v>17</v>
      </c>
      <c r="O293" s="19" t="s">
        <v>287</v>
      </c>
      <c r="P293" s="19" t="s">
        <v>289</v>
      </c>
      <c r="Q293" s="19" t="s">
        <v>285</v>
      </c>
      <c r="R293" s="19" t="s">
        <v>249</v>
      </c>
      <c r="S293" s="19" t="s">
        <v>248</v>
      </c>
      <c r="T293" s="19" t="s">
        <v>286</v>
      </c>
    </row>
    <row r="294" spans="1:20" x14ac:dyDescent="0.2">
      <c r="A294" s="1">
        <v>46034</v>
      </c>
      <c r="B294" s="2">
        <v>0.91666666666666663</v>
      </c>
      <c r="C294" s="19" t="s">
        <v>13</v>
      </c>
      <c r="D294" s="19" t="s">
        <v>39</v>
      </c>
      <c r="E294" s="19" t="s">
        <v>13</v>
      </c>
      <c r="F294">
        <v>5</v>
      </c>
      <c r="G294">
        <v>4</v>
      </c>
      <c r="H294">
        <v>0.53180000000000005</v>
      </c>
      <c r="I294" s="19" t="s">
        <v>249</v>
      </c>
      <c r="J294" s="19" t="s">
        <v>39</v>
      </c>
      <c r="K294">
        <v>3</v>
      </c>
      <c r="L294">
        <v>2</v>
      </c>
      <c r="M294">
        <v>-0.52</v>
      </c>
      <c r="N294" s="19" t="s">
        <v>39</v>
      </c>
      <c r="O294" s="19" t="s">
        <v>287</v>
      </c>
      <c r="P294" s="19" t="s">
        <v>291</v>
      </c>
      <c r="Q294" s="19" t="s">
        <v>285</v>
      </c>
      <c r="R294" s="19" t="s">
        <v>249</v>
      </c>
      <c r="S294" s="19" t="s">
        <v>248</v>
      </c>
      <c r="T294" s="19" t="s">
        <v>286</v>
      </c>
    </row>
    <row r="295" spans="1:20" x14ac:dyDescent="0.2">
      <c r="A295" s="1">
        <v>46034</v>
      </c>
      <c r="B295" s="2">
        <v>0.79166666666666663</v>
      </c>
      <c r="C295" s="19" t="s">
        <v>26</v>
      </c>
      <c r="D295" s="19" t="s">
        <v>25</v>
      </c>
      <c r="E295" s="19" t="s">
        <v>26</v>
      </c>
      <c r="F295">
        <v>4</v>
      </c>
      <c r="G295">
        <v>3</v>
      </c>
      <c r="H295">
        <v>0.63759999999999994</v>
      </c>
      <c r="I295" s="19" t="s">
        <v>249</v>
      </c>
      <c r="J295" s="19" t="s">
        <v>25</v>
      </c>
      <c r="K295">
        <v>3</v>
      </c>
      <c r="L295">
        <v>2</v>
      </c>
      <c r="M295">
        <v>-0.36</v>
      </c>
      <c r="N295" s="19" t="s">
        <v>26</v>
      </c>
      <c r="O295" s="19" t="s">
        <v>289</v>
      </c>
      <c r="P295" s="19" t="s">
        <v>291</v>
      </c>
      <c r="Q295" s="19" t="s">
        <v>287</v>
      </c>
      <c r="R295" s="19" t="s">
        <v>248</v>
      </c>
      <c r="S295" s="19" t="s">
        <v>249</v>
      </c>
      <c r="T295" s="19" t="s">
        <v>286</v>
      </c>
    </row>
    <row r="296" spans="1:20" x14ac:dyDescent="0.2">
      <c r="A296" s="1">
        <v>46034</v>
      </c>
      <c r="B296" s="2">
        <v>0.79166666666666663</v>
      </c>
      <c r="C296" s="19" t="s">
        <v>15</v>
      </c>
      <c r="D296" s="19" t="s">
        <v>32</v>
      </c>
      <c r="E296" s="19" t="s">
        <v>32</v>
      </c>
      <c r="F296">
        <v>2</v>
      </c>
      <c r="G296">
        <v>3</v>
      </c>
      <c r="H296">
        <v>0.79149999999999998</v>
      </c>
      <c r="I296" s="19" t="s">
        <v>249</v>
      </c>
      <c r="J296" s="19" t="s">
        <v>15</v>
      </c>
      <c r="K296">
        <v>3</v>
      </c>
      <c r="L296">
        <v>2</v>
      </c>
      <c r="M296">
        <v>0.12</v>
      </c>
      <c r="N296" s="19" t="s">
        <v>32</v>
      </c>
      <c r="O296" s="19" t="s">
        <v>284</v>
      </c>
      <c r="P296" s="19" t="s">
        <v>289</v>
      </c>
      <c r="Q296" s="19" t="s">
        <v>285</v>
      </c>
      <c r="R296" s="19" t="s">
        <v>248</v>
      </c>
      <c r="S296" s="19" t="s">
        <v>249</v>
      </c>
      <c r="T296" s="19" t="s">
        <v>286</v>
      </c>
    </row>
    <row r="297" spans="1:20" x14ac:dyDescent="0.2">
      <c r="A297" s="1">
        <v>46034</v>
      </c>
      <c r="B297" s="2">
        <v>0.8125</v>
      </c>
      <c r="C297" s="19" t="s">
        <v>18</v>
      </c>
      <c r="D297" s="19" t="s">
        <v>38</v>
      </c>
      <c r="E297" s="19" t="s">
        <v>18</v>
      </c>
      <c r="F297">
        <v>4</v>
      </c>
      <c r="G297">
        <v>2</v>
      </c>
      <c r="H297">
        <v>0.76570000000000005</v>
      </c>
      <c r="I297" s="19" t="s">
        <v>249</v>
      </c>
      <c r="J297" s="19" t="s">
        <v>18</v>
      </c>
      <c r="K297">
        <v>3</v>
      </c>
      <c r="L297">
        <v>2</v>
      </c>
      <c r="M297">
        <v>0.99</v>
      </c>
      <c r="N297" s="19" t="s">
        <v>18</v>
      </c>
      <c r="O297" s="19" t="s">
        <v>288</v>
      </c>
      <c r="P297" s="19" t="s">
        <v>291</v>
      </c>
      <c r="Q297" s="19" t="s">
        <v>285</v>
      </c>
      <c r="R297" s="19" t="s">
        <v>248</v>
      </c>
      <c r="S297" s="19" t="s">
        <v>248</v>
      </c>
      <c r="T297" s="19" t="s">
        <v>286</v>
      </c>
    </row>
    <row r="298" spans="1:20" x14ac:dyDescent="0.2">
      <c r="A298" s="1">
        <v>46034</v>
      </c>
      <c r="B298" s="2">
        <v>0.91666666666666663</v>
      </c>
      <c r="C298" s="19" t="s">
        <v>12</v>
      </c>
      <c r="D298" s="19" t="s">
        <v>19</v>
      </c>
      <c r="E298" s="19" t="s">
        <v>12</v>
      </c>
      <c r="F298">
        <v>5</v>
      </c>
      <c r="G298">
        <v>2</v>
      </c>
      <c r="H298">
        <v>0.90039999999999998</v>
      </c>
      <c r="I298" s="19" t="s">
        <v>249</v>
      </c>
      <c r="J298" s="19" t="s">
        <v>12</v>
      </c>
      <c r="K298">
        <v>3</v>
      </c>
      <c r="L298">
        <v>2</v>
      </c>
      <c r="M298">
        <v>1.81</v>
      </c>
      <c r="N298" s="19" t="s">
        <v>19</v>
      </c>
      <c r="O298" s="19" t="s">
        <v>291</v>
      </c>
      <c r="P298" s="19" t="s">
        <v>289</v>
      </c>
      <c r="Q298" s="19" t="s">
        <v>287</v>
      </c>
      <c r="R298" s="19" t="s">
        <v>249</v>
      </c>
      <c r="S298" s="19" t="s">
        <v>249</v>
      </c>
      <c r="T298" s="19" t="s">
        <v>286</v>
      </c>
    </row>
    <row r="299" spans="1:20" x14ac:dyDescent="0.2">
      <c r="A299" s="1">
        <v>46034</v>
      </c>
      <c r="B299" s="2">
        <v>0.83333333333333337</v>
      </c>
      <c r="C299" s="19" t="s">
        <v>34</v>
      </c>
      <c r="D299" s="19" t="s">
        <v>24</v>
      </c>
      <c r="E299" s="19" t="s">
        <v>34</v>
      </c>
      <c r="F299">
        <v>4</v>
      </c>
      <c r="G299">
        <v>3</v>
      </c>
      <c r="H299">
        <v>0.62450000000000006</v>
      </c>
      <c r="I299" s="19" t="s">
        <v>248</v>
      </c>
      <c r="J299" s="19" t="s">
        <v>34</v>
      </c>
      <c r="K299">
        <v>3</v>
      </c>
      <c r="L299">
        <v>2</v>
      </c>
      <c r="M299">
        <v>0.91</v>
      </c>
      <c r="N299" s="19" t="s">
        <v>24</v>
      </c>
      <c r="O299" s="19" t="s">
        <v>284</v>
      </c>
      <c r="P299" s="19" t="s">
        <v>283</v>
      </c>
      <c r="Q299" s="19" t="s">
        <v>285</v>
      </c>
      <c r="R299" s="19" t="s">
        <v>249</v>
      </c>
      <c r="S299" s="19" t="s">
        <v>249</v>
      </c>
      <c r="T299" s="19" t="s">
        <v>286</v>
      </c>
    </row>
    <row r="300" spans="1:20" x14ac:dyDescent="0.2">
      <c r="A300" s="1">
        <v>46034</v>
      </c>
      <c r="B300" s="2">
        <v>0.79166666666666663</v>
      </c>
      <c r="C300" s="19" t="s">
        <v>27</v>
      </c>
      <c r="D300" s="19" t="s">
        <v>37</v>
      </c>
      <c r="E300" s="19" t="s">
        <v>37</v>
      </c>
      <c r="F300">
        <v>2</v>
      </c>
      <c r="G300">
        <v>5</v>
      </c>
      <c r="H300">
        <v>0.94599999999999995</v>
      </c>
      <c r="I300" s="19" t="s">
        <v>249</v>
      </c>
      <c r="J300" s="19" t="s">
        <v>37</v>
      </c>
      <c r="K300">
        <v>3</v>
      </c>
      <c r="L300">
        <v>2</v>
      </c>
      <c r="M300">
        <v>-0.72</v>
      </c>
      <c r="N300" s="19" t="s">
        <v>37</v>
      </c>
      <c r="O300" s="19" t="s">
        <v>287</v>
      </c>
      <c r="P300" s="19" t="s">
        <v>283</v>
      </c>
      <c r="Q300" s="19" t="s">
        <v>285</v>
      </c>
      <c r="R300" s="19" t="s">
        <v>248</v>
      </c>
      <c r="S300" s="19" t="s">
        <v>248</v>
      </c>
      <c r="T300" s="19" t="s">
        <v>286</v>
      </c>
    </row>
    <row r="301" spans="1:20" x14ac:dyDescent="0.2">
      <c r="A301" s="1">
        <v>46035</v>
      </c>
      <c r="B301" s="2">
        <v>0.79166666666666663</v>
      </c>
      <c r="C301" s="19" t="s">
        <v>36</v>
      </c>
      <c r="D301" s="19" t="s">
        <v>38</v>
      </c>
      <c r="E301" s="19" t="s">
        <v>38</v>
      </c>
      <c r="F301">
        <v>3</v>
      </c>
      <c r="G301">
        <v>4</v>
      </c>
      <c r="H301">
        <v>0.51249999999999996</v>
      </c>
      <c r="I301" s="19" t="s">
        <v>248</v>
      </c>
      <c r="J301" s="19" t="s">
        <v>36</v>
      </c>
      <c r="K301">
        <v>3</v>
      </c>
      <c r="L301">
        <v>2</v>
      </c>
      <c r="M301">
        <v>0.81</v>
      </c>
      <c r="N301" s="19" t="s">
        <v>36</v>
      </c>
      <c r="O301" s="19" t="s">
        <v>284</v>
      </c>
      <c r="P301" s="19" t="s">
        <v>287</v>
      </c>
      <c r="Q301" s="19" t="s">
        <v>285</v>
      </c>
      <c r="R301" s="19" t="s">
        <v>249</v>
      </c>
      <c r="S301" s="19" t="s">
        <v>248</v>
      </c>
      <c r="T301" s="19" t="s">
        <v>286</v>
      </c>
    </row>
    <row r="302" spans="1:20" x14ac:dyDescent="0.2">
      <c r="A302" s="1">
        <v>46035</v>
      </c>
      <c r="B302" s="2">
        <v>0.79166666666666663</v>
      </c>
      <c r="C302" s="19" t="s">
        <v>14</v>
      </c>
      <c r="D302" s="19" t="s">
        <v>37</v>
      </c>
      <c r="E302" s="19" t="s">
        <v>37</v>
      </c>
      <c r="F302">
        <v>2</v>
      </c>
      <c r="G302">
        <v>6</v>
      </c>
      <c r="H302">
        <v>0.95299999999999996</v>
      </c>
      <c r="I302" s="19" t="s">
        <v>249</v>
      </c>
      <c r="J302" s="19" t="s">
        <v>37</v>
      </c>
      <c r="K302">
        <v>3</v>
      </c>
      <c r="L302">
        <v>2</v>
      </c>
      <c r="M302">
        <v>-0.85</v>
      </c>
      <c r="N302" s="19" t="s">
        <v>37</v>
      </c>
      <c r="O302" s="19" t="s">
        <v>287</v>
      </c>
      <c r="P302" s="19" t="s">
        <v>284</v>
      </c>
      <c r="Q302" s="19" t="s">
        <v>287</v>
      </c>
      <c r="R302" s="19" t="s">
        <v>248</v>
      </c>
      <c r="S302" s="19" t="s">
        <v>248</v>
      </c>
      <c r="T302" s="19" t="s">
        <v>286</v>
      </c>
    </row>
    <row r="303" spans="1:20" x14ac:dyDescent="0.2">
      <c r="A303" s="1">
        <v>46035</v>
      </c>
      <c r="B303" s="2">
        <v>0.83333333333333337</v>
      </c>
      <c r="C303" s="19" t="s">
        <v>40</v>
      </c>
      <c r="D303" s="19" t="s">
        <v>30</v>
      </c>
      <c r="E303" s="19" t="s">
        <v>30</v>
      </c>
      <c r="F303">
        <v>3</v>
      </c>
      <c r="G303">
        <v>4</v>
      </c>
      <c r="H303">
        <v>0.52470000000000006</v>
      </c>
      <c r="I303" s="19" t="s">
        <v>249</v>
      </c>
      <c r="J303" s="19" t="s">
        <v>30</v>
      </c>
      <c r="K303">
        <v>3</v>
      </c>
      <c r="L303">
        <v>2</v>
      </c>
      <c r="M303">
        <v>-0.37</v>
      </c>
      <c r="N303" s="19" t="s">
        <v>40</v>
      </c>
      <c r="O303" s="19" t="s">
        <v>283</v>
      </c>
      <c r="P303" s="19" t="s">
        <v>289</v>
      </c>
      <c r="Q303" s="19" t="s">
        <v>285</v>
      </c>
      <c r="R303" s="19" t="s">
        <v>249</v>
      </c>
      <c r="S303" s="19" t="s">
        <v>249</v>
      </c>
      <c r="T303" s="19" t="s">
        <v>286</v>
      </c>
    </row>
    <row r="304" spans="1:20" x14ac:dyDescent="0.2">
      <c r="A304" s="1">
        <v>46035</v>
      </c>
      <c r="B304" s="2">
        <v>0.8125</v>
      </c>
      <c r="C304" s="19" t="s">
        <v>35</v>
      </c>
      <c r="D304" s="19" t="s">
        <v>25</v>
      </c>
      <c r="E304" s="19" t="s">
        <v>25</v>
      </c>
      <c r="F304">
        <v>2</v>
      </c>
      <c r="G304">
        <v>4</v>
      </c>
      <c r="H304">
        <v>0.88229999999999997</v>
      </c>
      <c r="I304" s="19" t="s">
        <v>249</v>
      </c>
      <c r="J304" s="19" t="s">
        <v>25</v>
      </c>
      <c r="K304">
        <v>3</v>
      </c>
      <c r="L304">
        <v>2</v>
      </c>
      <c r="M304">
        <v>-1.41</v>
      </c>
      <c r="N304" s="19" t="s">
        <v>35</v>
      </c>
      <c r="O304" s="19" t="s">
        <v>291</v>
      </c>
      <c r="P304" s="19" t="s">
        <v>285</v>
      </c>
      <c r="Q304" s="19" t="s">
        <v>285</v>
      </c>
      <c r="R304" s="19" t="s">
        <v>249</v>
      </c>
      <c r="S304" s="19" t="s">
        <v>249</v>
      </c>
      <c r="T304" s="19" t="s">
        <v>286</v>
      </c>
    </row>
    <row r="305" spans="1:20" x14ac:dyDescent="0.2">
      <c r="A305" s="1">
        <v>46035</v>
      </c>
      <c r="B305" s="2">
        <v>0.91666666666666663</v>
      </c>
      <c r="C305" s="19" t="s">
        <v>55</v>
      </c>
      <c r="D305" s="19" t="s">
        <v>19</v>
      </c>
      <c r="E305" s="19" t="s">
        <v>55</v>
      </c>
      <c r="F305">
        <v>4</v>
      </c>
      <c r="G305">
        <v>2</v>
      </c>
      <c r="H305">
        <v>0.7389</v>
      </c>
      <c r="I305" s="19" t="s">
        <v>249</v>
      </c>
      <c r="J305" s="19" t="s">
        <v>55</v>
      </c>
      <c r="K305">
        <v>3</v>
      </c>
      <c r="L305">
        <v>2</v>
      </c>
      <c r="M305">
        <v>0.11</v>
      </c>
      <c r="N305" s="19" t="s">
        <v>55</v>
      </c>
      <c r="O305" s="19" t="s">
        <v>288</v>
      </c>
      <c r="P305" s="19" t="s">
        <v>287</v>
      </c>
      <c r="Q305" s="19" t="s">
        <v>285</v>
      </c>
      <c r="R305" s="19" t="s">
        <v>248</v>
      </c>
      <c r="S305" s="19" t="s">
        <v>248</v>
      </c>
      <c r="T305" s="19" t="s">
        <v>286</v>
      </c>
    </row>
    <row r="306" spans="1:20" x14ac:dyDescent="0.2">
      <c r="A306" s="1">
        <v>46035</v>
      </c>
      <c r="B306" s="2">
        <v>0.79166666666666663</v>
      </c>
      <c r="C306" s="19" t="s">
        <v>22</v>
      </c>
      <c r="D306" s="19" t="s">
        <v>18</v>
      </c>
      <c r="E306" s="19" t="s">
        <v>18</v>
      </c>
      <c r="F306">
        <v>3</v>
      </c>
      <c r="G306">
        <v>4</v>
      </c>
      <c r="H306">
        <v>0.74860000000000004</v>
      </c>
      <c r="I306" s="19" t="s">
        <v>249</v>
      </c>
      <c r="J306" s="19" t="s">
        <v>22</v>
      </c>
      <c r="K306">
        <v>3</v>
      </c>
      <c r="L306">
        <v>2</v>
      </c>
      <c r="M306">
        <v>0.37</v>
      </c>
      <c r="N306" s="19" t="s">
        <v>22</v>
      </c>
      <c r="O306" s="19" t="s">
        <v>291</v>
      </c>
      <c r="P306" s="19" t="s">
        <v>284</v>
      </c>
      <c r="Q306" s="19" t="s">
        <v>287</v>
      </c>
      <c r="R306" s="19" t="s">
        <v>249</v>
      </c>
      <c r="S306" s="19" t="s">
        <v>248</v>
      </c>
      <c r="T306" s="19" t="s">
        <v>286</v>
      </c>
    </row>
    <row r="307" spans="1:20" x14ac:dyDescent="0.2">
      <c r="A307" s="1">
        <v>46035</v>
      </c>
      <c r="B307" s="2">
        <v>0.91666666666666663</v>
      </c>
      <c r="C307" s="19" t="s">
        <v>31</v>
      </c>
      <c r="D307" s="19" t="s">
        <v>39</v>
      </c>
      <c r="E307" s="19" t="s">
        <v>39</v>
      </c>
      <c r="F307">
        <v>3</v>
      </c>
      <c r="G307">
        <v>7</v>
      </c>
      <c r="H307">
        <v>0.84099999999999997</v>
      </c>
      <c r="I307" s="19" t="s">
        <v>249</v>
      </c>
      <c r="J307" s="19" t="s">
        <v>39</v>
      </c>
      <c r="K307">
        <v>3</v>
      </c>
      <c r="L307">
        <v>2</v>
      </c>
      <c r="M307">
        <v>-0.84</v>
      </c>
      <c r="N307" s="19" t="s">
        <v>31</v>
      </c>
      <c r="O307" s="19" t="s">
        <v>291</v>
      </c>
      <c r="P307" s="19" t="s">
        <v>287</v>
      </c>
      <c r="Q307" s="19" t="s">
        <v>285</v>
      </c>
      <c r="R307" s="19" t="s">
        <v>249</v>
      </c>
      <c r="S307" s="19" t="s">
        <v>249</v>
      </c>
      <c r="T307" s="19" t="s">
        <v>286</v>
      </c>
    </row>
    <row r="308" spans="1:20" x14ac:dyDescent="0.2">
      <c r="A308" s="1">
        <v>46035</v>
      </c>
      <c r="B308" s="2">
        <v>0.79166666666666663</v>
      </c>
      <c r="C308" s="19" t="s">
        <v>28</v>
      </c>
      <c r="D308" s="19" t="s">
        <v>16</v>
      </c>
      <c r="E308" s="19" t="s">
        <v>28</v>
      </c>
      <c r="F308">
        <v>4</v>
      </c>
      <c r="G308">
        <v>3</v>
      </c>
      <c r="H308">
        <v>0.75800000000000001</v>
      </c>
      <c r="I308" s="19" t="s">
        <v>249</v>
      </c>
      <c r="J308" s="19" t="s">
        <v>28</v>
      </c>
      <c r="K308">
        <v>3</v>
      </c>
      <c r="L308">
        <v>2</v>
      </c>
      <c r="M308">
        <v>0.3</v>
      </c>
      <c r="N308" s="19" t="s">
        <v>28</v>
      </c>
      <c r="O308" s="19" t="s">
        <v>283</v>
      </c>
      <c r="P308" s="19" t="s">
        <v>291</v>
      </c>
      <c r="Q308" s="19" t="s">
        <v>285</v>
      </c>
      <c r="R308" s="19" t="s">
        <v>248</v>
      </c>
      <c r="S308" s="19" t="s">
        <v>248</v>
      </c>
      <c r="T308" s="19" t="s">
        <v>286</v>
      </c>
    </row>
    <row r="309" spans="1:20" x14ac:dyDescent="0.2">
      <c r="A309" s="1">
        <v>46035</v>
      </c>
      <c r="B309" s="2">
        <v>0.83333333333333337</v>
      </c>
      <c r="C309" s="19" t="s">
        <v>29</v>
      </c>
      <c r="D309" s="19" t="s">
        <v>17</v>
      </c>
      <c r="E309" s="19" t="s">
        <v>29</v>
      </c>
      <c r="F309">
        <v>4</v>
      </c>
      <c r="G309">
        <v>3</v>
      </c>
      <c r="H309">
        <v>0.67030000000000001</v>
      </c>
      <c r="I309" s="19" t="s">
        <v>249</v>
      </c>
      <c r="J309" s="19" t="s">
        <v>17</v>
      </c>
      <c r="K309">
        <v>3</v>
      </c>
      <c r="L309">
        <v>2</v>
      </c>
      <c r="M309">
        <v>-0.42</v>
      </c>
      <c r="N309" s="19" t="s">
        <v>29</v>
      </c>
      <c r="O309" s="19" t="s">
        <v>289</v>
      </c>
      <c r="P309" s="19" t="s">
        <v>291</v>
      </c>
      <c r="Q309" s="19" t="s">
        <v>287</v>
      </c>
      <c r="R309" s="19" t="s">
        <v>248</v>
      </c>
      <c r="S309" s="19" t="s">
        <v>249</v>
      </c>
      <c r="T309" s="19" t="s">
        <v>286</v>
      </c>
    </row>
    <row r="310" spans="1:20" x14ac:dyDescent="0.2">
      <c r="A310" s="1">
        <v>46035</v>
      </c>
      <c r="B310" s="2">
        <v>0.8125</v>
      </c>
      <c r="C310" s="19" t="s">
        <v>21</v>
      </c>
      <c r="D310" s="19" t="s">
        <v>26</v>
      </c>
      <c r="E310" s="19" t="s">
        <v>21</v>
      </c>
      <c r="F310">
        <v>4</v>
      </c>
      <c r="G310">
        <v>3</v>
      </c>
      <c r="H310">
        <v>0.56379999999999997</v>
      </c>
      <c r="I310" s="19" t="s">
        <v>249</v>
      </c>
      <c r="J310" s="19" t="s">
        <v>21</v>
      </c>
      <c r="K310">
        <v>3</v>
      </c>
      <c r="L310">
        <v>2</v>
      </c>
      <c r="M310">
        <v>0.2</v>
      </c>
      <c r="N310" s="19" t="s">
        <v>21</v>
      </c>
      <c r="O310" s="19" t="s">
        <v>291</v>
      </c>
      <c r="P310" s="19" t="s">
        <v>285</v>
      </c>
      <c r="Q310" s="19" t="s">
        <v>285</v>
      </c>
      <c r="R310" s="19" t="s">
        <v>248</v>
      </c>
      <c r="S310" s="19" t="s">
        <v>248</v>
      </c>
      <c r="T310" s="19" t="s">
        <v>286</v>
      </c>
    </row>
    <row r="311" spans="1:20" x14ac:dyDescent="0.2">
      <c r="A311" s="1">
        <v>46036</v>
      </c>
      <c r="B311" s="2">
        <v>0.8125</v>
      </c>
      <c r="C311" s="19" t="s">
        <v>15</v>
      </c>
      <c r="D311" s="19" t="s">
        <v>36</v>
      </c>
      <c r="E311" s="19" t="s">
        <v>36</v>
      </c>
      <c r="F311">
        <v>3</v>
      </c>
      <c r="G311">
        <v>4</v>
      </c>
      <c r="H311">
        <v>0.58830000000000005</v>
      </c>
      <c r="I311" s="19" t="s">
        <v>249</v>
      </c>
      <c r="J311" s="19" t="s">
        <v>15</v>
      </c>
      <c r="K311">
        <v>3</v>
      </c>
      <c r="L311">
        <v>2</v>
      </c>
      <c r="M311">
        <v>0.01</v>
      </c>
      <c r="N311" s="19" t="s">
        <v>36</v>
      </c>
      <c r="O311" s="19" t="s">
        <v>289</v>
      </c>
      <c r="P311" s="19" t="s">
        <v>1531</v>
      </c>
      <c r="Q311" s="19" t="s">
        <v>285</v>
      </c>
      <c r="R311" s="19" t="s">
        <v>248</v>
      </c>
      <c r="S311" s="19" t="s">
        <v>249</v>
      </c>
      <c r="T311" s="19" t="s">
        <v>286</v>
      </c>
    </row>
    <row r="312" spans="1:20" x14ac:dyDescent="0.2">
      <c r="A312" s="1">
        <v>46036</v>
      </c>
      <c r="B312" s="2">
        <v>0.79166666666666663</v>
      </c>
      <c r="C312" s="19" t="s">
        <v>24</v>
      </c>
      <c r="D312" s="19" t="s">
        <v>32</v>
      </c>
      <c r="E312" s="19" t="s">
        <v>32</v>
      </c>
      <c r="F312">
        <v>3</v>
      </c>
      <c r="G312">
        <v>4</v>
      </c>
      <c r="H312">
        <v>0.54290000000000005</v>
      </c>
      <c r="I312" s="19" t="s">
        <v>249</v>
      </c>
      <c r="J312" s="19" t="s">
        <v>24</v>
      </c>
      <c r="K312">
        <v>3</v>
      </c>
      <c r="L312">
        <v>2</v>
      </c>
      <c r="M312">
        <v>0.03</v>
      </c>
      <c r="N312" s="19" t="s">
        <v>24</v>
      </c>
      <c r="O312" s="19" t="s">
        <v>291</v>
      </c>
      <c r="P312" s="19" t="s">
        <v>284</v>
      </c>
      <c r="Q312" s="19" t="s">
        <v>287</v>
      </c>
      <c r="R312" s="19" t="s">
        <v>249</v>
      </c>
      <c r="S312" s="19" t="s">
        <v>248</v>
      </c>
      <c r="T312" s="19" t="s">
        <v>286</v>
      </c>
    </row>
    <row r="313" spans="1:20" x14ac:dyDescent="0.2">
      <c r="A313" s="1">
        <v>46036</v>
      </c>
      <c r="B313" s="2">
        <v>0.91666666666666663</v>
      </c>
      <c r="C313" s="19" t="s">
        <v>13</v>
      </c>
      <c r="D313" s="19" t="s">
        <v>20</v>
      </c>
      <c r="E313" s="19" t="s">
        <v>20</v>
      </c>
      <c r="F313">
        <v>2</v>
      </c>
      <c r="G313">
        <v>3</v>
      </c>
      <c r="H313">
        <v>0.84589999999999999</v>
      </c>
      <c r="I313" s="19" t="s">
        <v>249</v>
      </c>
      <c r="J313" s="19" t="s">
        <v>20</v>
      </c>
      <c r="K313">
        <v>3</v>
      </c>
      <c r="L313">
        <v>2</v>
      </c>
      <c r="M313">
        <v>-0.12</v>
      </c>
      <c r="N313" s="19" t="s">
        <v>20</v>
      </c>
      <c r="O313" s="19" t="s">
        <v>284</v>
      </c>
      <c r="P313" s="19" t="s">
        <v>291</v>
      </c>
      <c r="Q313" s="19" t="s">
        <v>287</v>
      </c>
      <c r="R313" s="19" t="s">
        <v>248</v>
      </c>
      <c r="S313" s="19" t="s">
        <v>248</v>
      </c>
      <c r="T313" s="19" t="s">
        <v>286</v>
      </c>
    </row>
    <row r="314" spans="1:20" x14ac:dyDescent="0.2">
      <c r="A314" s="1">
        <v>46036</v>
      </c>
      <c r="B314" s="2">
        <v>0.8125</v>
      </c>
      <c r="C314" s="19" t="s">
        <v>23</v>
      </c>
      <c r="D314" s="19" t="s">
        <v>27</v>
      </c>
      <c r="E314" s="19" t="s">
        <v>23</v>
      </c>
      <c r="F314">
        <v>4</v>
      </c>
      <c r="G314">
        <v>3</v>
      </c>
      <c r="H314">
        <v>0.81810000000000005</v>
      </c>
      <c r="I314" s="19" t="s">
        <v>249</v>
      </c>
      <c r="J314" s="19" t="s">
        <v>23</v>
      </c>
      <c r="K314">
        <v>3</v>
      </c>
      <c r="L314">
        <v>2</v>
      </c>
      <c r="M314">
        <v>0.23</v>
      </c>
      <c r="N314" s="19" t="s">
        <v>23</v>
      </c>
      <c r="O314" s="19" t="s">
        <v>283</v>
      </c>
      <c r="P314" s="19" t="s">
        <v>284</v>
      </c>
      <c r="Q314" s="19" t="s">
        <v>285</v>
      </c>
      <c r="R314" s="19" t="s">
        <v>248</v>
      </c>
      <c r="S314" s="19" t="s">
        <v>248</v>
      </c>
      <c r="T314" s="19" t="s">
        <v>286</v>
      </c>
    </row>
    <row r="315" spans="1:20" x14ac:dyDescent="0.2">
      <c r="A315" s="1">
        <v>46037</v>
      </c>
      <c r="B315" s="2">
        <v>0.89583333333333337</v>
      </c>
      <c r="C315" s="19" t="s">
        <v>20</v>
      </c>
      <c r="D315" s="19" t="s">
        <v>19</v>
      </c>
      <c r="E315" s="19" t="s">
        <v>19</v>
      </c>
      <c r="F315">
        <v>3</v>
      </c>
      <c r="G315">
        <v>4</v>
      </c>
      <c r="H315">
        <v>0.51100000000000001</v>
      </c>
      <c r="I315" s="19" t="s">
        <v>249</v>
      </c>
      <c r="J315" s="19" t="s">
        <v>20</v>
      </c>
      <c r="K315">
        <v>3</v>
      </c>
      <c r="L315">
        <v>2</v>
      </c>
      <c r="M315">
        <v>0.23</v>
      </c>
      <c r="N315" s="19" t="s">
        <v>20</v>
      </c>
      <c r="O315" s="19" t="s">
        <v>288</v>
      </c>
      <c r="P315" s="19" t="s">
        <v>283</v>
      </c>
      <c r="Q315" s="19" t="s">
        <v>287</v>
      </c>
      <c r="R315" s="19" t="s">
        <v>249</v>
      </c>
      <c r="S315" s="19" t="s">
        <v>248</v>
      </c>
      <c r="T315" s="19" t="s">
        <v>286</v>
      </c>
    </row>
    <row r="316" spans="1:20" x14ac:dyDescent="0.2">
      <c r="A316" s="1">
        <v>46037</v>
      </c>
      <c r="B316" s="2">
        <v>0.85416666666666663</v>
      </c>
      <c r="C316" s="19" t="s">
        <v>10</v>
      </c>
      <c r="D316" s="19" t="s">
        <v>16</v>
      </c>
      <c r="E316" s="19" t="s">
        <v>10</v>
      </c>
      <c r="F316">
        <v>4</v>
      </c>
      <c r="G316">
        <v>3</v>
      </c>
      <c r="H316">
        <v>0.77349999999999997</v>
      </c>
      <c r="I316" s="19" t="s">
        <v>249</v>
      </c>
      <c r="J316" s="19" t="s">
        <v>10</v>
      </c>
      <c r="K316">
        <v>3</v>
      </c>
      <c r="L316">
        <v>2</v>
      </c>
      <c r="M316">
        <v>0.25</v>
      </c>
      <c r="N316" s="19" t="s">
        <v>16</v>
      </c>
      <c r="O316" s="19" t="s">
        <v>287</v>
      </c>
      <c r="P316" s="19" t="s">
        <v>291</v>
      </c>
      <c r="Q316" s="19" t="s">
        <v>285</v>
      </c>
      <c r="R316" s="19" t="s">
        <v>249</v>
      </c>
      <c r="S316" s="19" t="s">
        <v>249</v>
      </c>
      <c r="T316" s="19" t="s">
        <v>286</v>
      </c>
    </row>
    <row r="317" spans="1:20" x14ac:dyDescent="0.2">
      <c r="A317" s="1">
        <v>46037</v>
      </c>
      <c r="B317" s="2">
        <v>0.875</v>
      </c>
      <c r="C317" s="19" t="s">
        <v>17</v>
      </c>
      <c r="D317" s="19" t="s">
        <v>30</v>
      </c>
      <c r="E317" s="19" t="s">
        <v>30</v>
      </c>
      <c r="F317">
        <v>3</v>
      </c>
      <c r="G317">
        <v>4</v>
      </c>
      <c r="H317">
        <v>0.53639999999999999</v>
      </c>
      <c r="I317" s="19" t="s">
        <v>249</v>
      </c>
      <c r="J317" s="19" t="s">
        <v>30</v>
      </c>
      <c r="K317">
        <v>3</v>
      </c>
      <c r="L317">
        <v>2</v>
      </c>
      <c r="M317">
        <v>-0.12</v>
      </c>
      <c r="N317" s="19" t="s">
        <v>30</v>
      </c>
      <c r="O317" s="19" t="s">
        <v>285</v>
      </c>
      <c r="P317" s="19" t="s">
        <v>287</v>
      </c>
      <c r="Q317" s="19" t="s">
        <v>285</v>
      </c>
      <c r="R317" s="19" t="s">
        <v>248</v>
      </c>
      <c r="S317" s="19" t="s">
        <v>248</v>
      </c>
      <c r="T317" s="19" t="s">
        <v>286</v>
      </c>
    </row>
    <row r="318" spans="1:20" x14ac:dyDescent="0.2">
      <c r="A318" s="1">
        <v>46037</v>
      </c>
      <c r="B318" s="2">
        <v>0.79166666666666663</v>
      </c>
      <c r="C318" s="19" t="s">
        <v>22</v>
      </c>
      <c r="D318" s="19" t="s">
        <v>33</v>
      </c>
      <c r="E318" s="19" t="s">
        <v>22</v>
      </c>
      <c r="F318">
        <v>4</v>
      </c>
      <c r="G318">
        <v>3</v>
      </c>
      <c r="H318">
        <v>0.53859999999999997</v>
      </c>
      <c r="I318" s="19" t="s">
        <v>249</v>
      </c>
      <c r="J318" s="19" t="s">
        <v>22</v>
      </c>
      <c r="K318">
        <v>3</v>
      </c>
      <c r="L318">
        <v>2</v>
      </c>
      <c r="M318">
        <v>0.84</v>
      </c>
      <c r="N318" s="19" t="s">
        <v>33</v>
      </c>
      <c r="O318" s="19" t="s">
        <v>284</v>
      </c>
      <c r="P318" s="19" t="s">
        <v>291</v>
      </c>
      <c r="Q318" s="19" t="s">
        <v>285</v>
      </c>
      <c r="R318" s="19" t="s">
        <v>249</v>
      </c>
      <c r="S318" s="19" t="s">
        <v>249</v>
      </c>
      <c r="T318" s="19" t="s">
        <v>286</v>
      </c>
    </row>
    <row r="319" spans="1:20" x14ac:dyDescent="0.2">
      <c r="A319" s="1">
        <v>46037</v>
      </c>
      <c r="B319" s="2">
        <v>0.79166666666666663</v>
      </c>
      <c r="C319" s="19" t="s">
        <v>23</v>
      </c>
      <c r="D319" s="19" t="s">
        <v>18</v>
      </c>
      <c r="E319" s="19" t="s">
        <v>23</v>
      </c>
      <c r="F319">
        <v>5</v>
      </c>
      <c r="G319">
        <v>4</v>
      </c>
      <c r="H319">
        <v>0.56359999999999999</v>
      </c>
      <c r="I319" s="19" t="s">
        <v>249</v>
      </c>
      <c r="J319" s="19" t="s">
        <v>23</v>
      </c>
      <c r="K319">
        <v>3</v>
      </c>
      <c r="L319">
        <v>2</v>
      </c>
      <c r="M319">
        <v>0.2</v>
      </c>
      <c r="N319" s="19" t="s">
        <v>23</v>
      </c>
      <c r="O319" s="19" t="s">
        <v>283</v>
      </c>
      <c r="P319" s="19" t="s">
        <v>291</v>
      </c>
      <c r="Q319" s="19" t="s">
        <v>285</v>
      </c>
      <c r="R319" s="19" t="s">
        <v>248</v>
      </c>
      <c r="S319" s="19" t="s">
        <v>248</v>
      </c>
      <c r="T319" s="19" t="s">
        <v>286</v>
      </c>
    </row>
    <row r="320" spans="1:20" x14ac:dyDescent="0.2">
      <c r="A320" s="1">
        <v>46037</v>
      </c>
      <c r="B320" s="2">
        <v>0.79166666666666663</v>
      </c>
      <c r="C320" s="19" t="s">
        <v>28</v>
      </c>
      <c r="D320" s="19" t="s">
        <v>38</v>
      </c>
      <c r="E320" s="19" t="s">
        <v>28</v>
      </c>
      <c r="F320">
        <v>4</v>
      </c>
      <c r="G320">
        <v>3</v>
      </c>
      <c r="H320">
        <v>0.62949999999999995</v>
      </c>
      <c r="I320" s="19" t="s">
        <v>249</v>
      </c>
      <c r="J320" s="19" t="s">
        <v>28</v>
      </c>
      <c r="K320">
        <v>3</v>
      </c>
      <c r="L320">
        <v>2</v>
      </c>
      <c r="M320">
        <v>0.72</v>
      </c>
      <c r="N320" s="19" t="s">
        <v>28</v>
      </c>
      <c r="O320" s="19" t="s">
        <v>289</v>
      </c>
      <c r="P320" s="19" t="s">
        <v>287</v>
      </c>
      <c r="Q320" s="19" t="s">
        <v>285</v>
      </c>
      <c r="R320" s="19" t="s">
        <v>248</v>
      </c>
      <c r="S320" s="19" t="s">
        <v>248</v>
      </c>
      <c r="T320" s="19" t="s">
        <v>286</v>
      </c>
    </row>
    <row r="321" spans="1:20" x14ac:dyDescent="0.2">
      <c r="A321" s="1">
        <v>46037</v>
      </c>
      <c r="B321" s="2">
        <v>0.79166666666666663</v>
      </c>
      <c r="C321" s="19" t="s">
        <v>14</v>
      </c>
      <c r="D321" s="19" t="s">
        <v>27</v>
      </c>
      <c r="E321" s="19" t="s">
        <v>27</v>
      </c>
      <c r="F321">
        <v>4</v>
      </c>
      <c r="G321">
        <v>5</v>
      </c>
      <c r="H321">
        <v>0.52329999999999999</v>
      </c>
      <c r="I321" s="19" t="s">
        <v>249</v>
      </c>
      <c r="J321" s="19" t="s">
        <v>14</v>
      </c>
      <c r="K321">
        <v>3</v>
      </c>
      <c r="L321">
        <v>2</v>
      </c>
      <c r="M321">
        <v>0.22</v>
      </c>
      <c r="N321" s="19" t="s">
        <v>14</v>
      </c>
      <c r="O321" s="19" t="s">
        <v>288</v>
      </c>
      <c r="P321" s="19" t="s">
        <v>291</v>
      </c>
      <c r="Q321" s="19" t="s">
        <v>285</v>
      </c>
      <c r="R321" s="19" t="s">
        <v>249</v>
      </c>
      <c r="S321" s="19" t="s">
        <v>248</v>
      </c>
      <c r="T321" s="19" t="s">
        <v>286</v>
      </c>
    </row>
    <row r="322" spans="1:20" x14ac:dyDescent="0.2">
      <c r="A322" s="1">
        <v>46037</v>
      </c>
      <c r="B322" s="2">
        <v>0.875</v>
      </c>
      <c r="C322" s="19" t="s">
        <v>55</v>
      </c>
      <c r="D322" s="19" t="s">
        <v>39</v>
      </c>
      <c r="E322" s="19" t="s">
        <v>39</v>
      </c>
      <c r="F322">
        <v>3</v>
      </c>
      <c r="G322">
        <v>4</v>
      </c>
      <c r="H322">
        <v>0.56899999999999995</v>
      </c>
      <c r="I322" s="19" t="s">
        <v>249</v>
      </c>
      <c r="J322" s="19" t="s">
        <v>39</v>
      </c>
      <c r="K322">
        <v>3</v>
      </c>
      <c r="L322">
        <v>2</v>
      </c>
      <c r="M322">
        <v>-0.12</v>
      </c>
      <c r="N322" s="19" t="s">
        <v>55</v>
      </c>
      <c r="O322" s="19" t="s">
        <v>284</v>
      </c>
      <c r="P322" s="19" t="s">
        <v>287</v>
      </c>
      <c r="Q322" s="19" t="s">
        <v>285</v>
      </c>
      <c r="R322" s="19" t="s">
        <v>249</v>
      </c>
      <c r="S322" s="19" t="s">
        <v>249</v>
      </c>
      <c r="T322" s="19" t="s">
        <v>286</v>
      </c>
    </row>
    <row r="323" spans="1:20" x14ac:dyDescent="0.2">
      <c r="A323" s="1">
        <v>46037</v>
      </c>
      <c r="B323" s="2">
        <v>0.79166666666666663</v>
      </c>
      <c r="C323" s="19" t="s">
        <v>21</v>
      </c>
      <c r="D323" s="19" t="s">
        <v>32</v>
      </c>
      <c r="E323" s="19" t="s">
        <v>21</v>
      </c>
      <c r="F323">
        <v>3</v>
      </c>
      <c r="G323">
        <v>2</v>
      </c>
      <c r="H323">
        <v>0.71240000000000003</v>
      </c>
      <c r="I323" s="19" t="s">
        <v>249</v>
      </c>
      <c r="J323" s="19" t="s">
        <v>21</v>
      </c>
      <c r="K323">
        <v>3</v>
      </c>
      <c r="L323">
        <v>2</v>
      </c>
      <c r="M323">
        <v>0.53</v>
      </c>
      <c r="N323" s="19" t="s">
        <v>21</v>
      </c>
      <c r="O323" s="19" t="s">
        <v>289</v>
      </c>
      <c r="P323" s="19" t="s">
        <v>284</v>
      </c>
      <c r="Q323" s="19" t="s">
        <v>285</v>
      </c>
      <c r="R323" s="19" t="s">
        <v>248</v>
      </c>
      <c r="S323" s="19" t="s">
        <v>248</v>
      </c>
      <c r="T323" s="19" t="s">
        <v>286</v>
      </c>
    </row>
    <row r="324" spans="1:20" x14ac:dyDescent="0.2">
      <c r="A324" s="1">
        <v>46037</v>
      </c>
      <c r="B324" s="2">
        <v>0.83333333333333337</v>
      </c>
      <c r="C324" s="19" t="s">
        <v>34</v>
      </c>
      <c r="D324" s="19" t="s">
        <v>40</v>
      </c>
      <c r="E324" s="19" t="s">
        <v>40</v>
      </c>
      <c r="F324">
        <v>3</v>
      </c>
      <c r="G324">
        <v>4</v>
      </c>
      <c r="H324">
        <v>0.62229999999999996</v>
      </c>
      <c r="I324" s="19" t="s">
        <v>248</v>
      </c>
      <c r="J324" s="19" t="s">
        <v>34</v>
      </c>
      <c r="K324">
        <v>3</v>
      </c>
      <c r="L324">
        <v>2</v>
      </c>
      <c r="M324">
        <v>0.63</v>
      </c>
      <c r="N324" s="19" t="s">
        <v>40</v>
      </c>
      <c r="O324" s="19" t="s">
        <v>284</v>
      </c>
      <c r="P324" s="19" t="s">
        <v>288</v>
      </c>
      <c r="Q324" s="19" t="s">
        <v>285</v>
      </c>
      <c r="R324" s="19" t="s">
        <v>248</v>
      </c>
      <c r="S324" s="19" t="s">
        <v>249</v>
      </c>
      <c r="T324" s="19" t="s">
        <v>286</v>
      </c>
    </row>
    <row r="325" spans="1:20" x14ac:dyDescent="0.2">
      <c r="A325" s="1">
        <v>46038</v>
      </c>
      <c r="B325" s="2">
        <v>0.79166666666666663</v>
      </c>
      <c r="C325" s="19" t="s">
        <v>26</v>
      </c>
      <c r="D325" s="19" t="s">
        <v>33</v>
      </c>
      <c r="E325" s="19" t="s">
        <v>26</v>
      </c>
      <c r="F325">
        <v>4</v>
      </c>
      <c r="G325">
        <v>3</v>
      </c>
      <c r="H325">
        <v>0.52869999999999995</v>
      </c>
      <c r="I325" s="19" t="s">
        <v>249</v>
      </c>
      <c r="J325" s="19" t="s">
        <v>26</v>
      </c>
      <c r="K325">
        <v>3</v>
      </c>
      <c r="L325">
        <v>2</v>
      </c>
      <c r="M325">
        <v>0.41</v>
      </c>
      <c r="N325" s="19" t="s">
        <v>26</v>
      </c>
      <c r="O325" s="19" t="s">
        <v>289</v>
      </c>
      <c r="P325" s="19" t="s">
        <v>284</v>
      </c>
      <c r="Q325" s="19" t="s">
        <v>285</v>
      </c>
      <c r="R325" s="19" t="s">
        <v>248</v>
      </c>
      <c r="S325" s="19" t="s">
        <v>248</v>
      </c>
      <c r="T325" s="19" t="s">
        <v>286</v>
      </c>
    </row>
    <row r="326" spans="1:20" x14ac:dyDescent="0.2">
      <c r="A326" s="1">
        <v>46038</v>
      </c>
      <c r="B326" s="2">
        <v>0.9375</v>
      </c>
      <c r="C326" s="19" t="s">
        <v>13</v>
      </c>
      <c r="D326" s="19" t="s">
        <v>31</v>
      </c>
      <c r="E326" s="19" t="s">
        <v>13</v>
      </c>
      <c r="F326">
        <v>4</v>
      </c>
      <c r="G326">
        <v>2</v>
      </c>
      <c r="H326">
        <v>0.76439999999999997</v>
      </c>
      <c r="I326" s="19" t="s">
        <v>249</v>
      </c>
      <c r="J326" s="19" t="s">
        <v>13</v>
      </c>
      <c r="K326">
        <v>3</v>
      </c>
      <c r="L326">
        <v>2</v>
      </c>
      <c r="M326">
        <v>0.28999999999999998</v>
      </c>
      <c r="N326" s="19" t="s">
        <v>31</v>
      </c>
      <c r="O326" s="19" t="s">
        <v>284</v>
      </c>
      <c r="P326" s="19" t="s">
        <v>291</v>
      </c>
      <c r="Q326" s="19" t="s">
        <v>287</v>
      </c>
      <c r="R326" s="19" t="s">
        <v>249</v>
      </c>
      <c r="S326" s="19" t="s">
        <v>249</v>
      </c>
      <c r="T326" s="19" t="s">
        <v>286</v>
      </c>
    </row>
    <row r="327" spans="1:20" x14ac:dyDescent="0.2">
      <c r="A327" s="1">
        <v>46038</v>
      </c>
      <c r="B327" s="2">
        <v>0.79166666666666663</v>
      </c>
      <c r="C327" s="19" t="s">
        <v>25</v>
      </c>
      <c r="D327" s="19" t="s">
        <v>11</v>
      </c>
      <c r="E327" s="19" t="s">
        <v>25</v>
      </c>
      <c r="F327">
        <v>4</v>
      </c>
      <c r="G327">
        <v>3</v>
      </c>
      <c r="H327">
        <v>0.51819999999999999</v>
      </c>
      <c r="I327" s="19" t="s">
        <v>249</v>
      </c>
      <c r="J327" s="19" t="s">
        <v>25</v>
      </c>
      <c r="K327">
        <v>3</v>
      </c>
      <c r="L327">
        <v>2</v>
      </c>
      <c r="M327">
        <v>0.55000000000000004</v>
      </c>
      <c r="N327" s="19" t="s">
        <v>25</v>
      </c>
      <c r="O327" s="19" t="s">
        <v>290</v>
      </c>
      <c r="P327" s="19" t="s">
        <v>287</v>
      </c>
      <c r="Q327" s="19" t="s">
        <v>285</v>
      </c>
      <c r="R327" s="19" t="s">
        <v>248</v>
      </c>
      <c r="S327" s="19" t="s">
        <v>248</v>
      </c>
      <c r="T327" s="19" t="s">
        <v>286</v>
      </c>
    </row>
    <row r="328" spans="1:20" x14ac:dyDescent="0.2">
      <c r="A328" s="1">
        <v>46038</v>
      </c>
      <c r="B328" s="2">
        <v>0.83333333333333337</v>
      </c>
      <c r="C328" s="19" t="s">
        <v>35</v>
      </c>
      <c r="D328" s="19" t="s">
        <v>37</v>
      </c>
      <c r="E328" s="19" t="s">
        <v>37</v>
      </c>
      <c r="F328">
        <v>2</v>
      </c>
      <c r="G328">
        <v>4</v>
      </c>
      <c r="H328">
        <v>0.92679999999999996</v>
      </c>
      <c r="I328" s="19" t="s">
        <v>249</v>
      </c>
      <c r="J328" s="19" t="s">
        <v>37</v>
      </c>
      <c r="K328">
        <v>3</v>
      </c>
      <c r="L328">
        <v>2</v>
      </c>
      <c r="M328">
        <v>-1.83</v>
      </c>
      <c r="N328" s="19" t="s">
        <v>35</v>
      </c>
      <c r="O328" s="19" t="s">
        <v>291</v>
      </c>
      <c r="P328" s="19" t="s">
        <v>284</v>
      </c>
      <c r="Q328" s="19" t="s">
        <v>287</v>
      </c>
      <c r="R328" s="19" t="s">
        <v>249</v>
      </c>
      <c r="S328" s="19" t="s">
        <v>249</v>
      </c>
      <c r="T328" s="19" t="s">
        <v>286</v>
      </c>
    </row>
    <row r="329" spans="1:20" x14ac:dyDescent="0.2">
      <c r="A329" s="1">
        <v>46038</v>
      </c>
      <c r="B329" s="2">
        <v>0.875</v>
      </c>
      <c r="C329" s="19" t="s">
        <v>12</v>
      </c>
      <c r="D329" s="19" t="s">
        <v>29</v>
      </c>
      <c r="E329" s="19" t="s">
        <v>12</v>
      </c>
      <c r="F329">
        <v>4</v>
      </c>
      <c r="G329">
        <v>2</v>
      </c>
      <c r="H329">
        <v>0.97899999999999998</v>
      </c>
      <c r="I329" s="19" t="s">
        <v>249</v>
      </c>
      <c r="J329" s="19" t="s">
        <v>12</v>
      </c>
      <c r="K329">
        <v>3</v>
      </c>
      <c r="L329">
        <v>2</v>
      </c>
      <c r="M329">
        <v>2.33</v>
      </c>
      <c r="N329" s="19" t="s">
        <v>29</v>
      </c>
      <c r="O329" s="19" t="s">
        <v>291</v>
      </c>
      <c r="P329" s="19" t="s">
        <v>292</v>
      </c>
      <c r="Q329" s="19" t="s">
        <v>285</v>
      </c>
      <c r="R329" s="19" t="s">
        <v>249</v>
      </c>
      <c r="S329" s="19" t="s">
        <v>249</v>
      </c>
      <c r="T329" s="19" t="s">
        <v>286</v>
      </c>
    </row>
    <row r="330" spans="1:20" x14ac:dyDescent="0.2">
      <c r="A330" s="1">
        <v>46039</v>
      </c>
      <c r="B330" s="2">
        <v>0.54166666666666663</v>
      </c>
      <c r="C330" s="19" t="s">
        <v>27</v>
      </c>
      <c r="D330" s="19" t="s">
        <v>15</v>
      </c>
      <c r="E330" s="19" t="s">
        <v>15</v>
      </c>
      <c r="F330">
        <v>2</v>
      </c>
      <c r="G330">
        <v>3</v>
      </c>
      <c r="H330">
        <v>0.85519999999999996</v>
      </c>
      <c r="I330" s="19" t="s">
        <v>248</v>
      </c>
      <c r="J330" s="19" t="s">
        <v>27</v>
      </c>
      <c r="K330">
        <v>3</v>
      </c>
      <c r="L330">
        <v>2</v>
      </c>
      <c r="M330">
        <v>0.37</v>
      </c>
      <c r="N330" s="19" t="s">
        <v>15</v>
      </c>
      <c r="O330" s="19" t="s">
        <v>291</v>
      </c>
      <c r="P330" s="19" t="s">
        <v>288</v>
      </c>
      <c r="Q330" s="19" t="s">
        <v>285</v>
      </c>
      <c r="R330" s="19" t="s">
        <v>248</v>
      </c>
      <c r="S330" s="19" t="s">
        <v>249</v>
      </c>
      <c r="T330" s="19" t="s">
        <v>286</v>
      </c>
    </row>
    <row r="331" spans="1:20" x14ac:dyDescent="0.2">
      <c r="A331" s="1">
        <v>46039</v>
      </c>
      <c r="B331" s="2">
        <v>0.91666666666666663</v>
      </c>
      <c r="C331" s="19" t="s">
        <v>31</v>
      </c>
      <c r="D331" s="19" t="s">
        <v>13</v>
      </c>
      <c r="E331" s="19" t="s">
        <v>13</v>
      </c>
      <c r="F331">
        <v>3</v>
      </c>
      <c r="G331">
        <v>4</v>
      </c>
      <c r="H331">
        <v>0.51929999999999998</v>
      </c>
      <c r="I331" s="19" t="s">
        <v>249</v>
      </c>
      <c r="J331" s="19" t="s">
        <v>31</v>
      </c>
      <c r="K331">
        <v>3</v>
      </c>
      <c r="L331">
        <v>2</v>
      </c>
      <c r="M331">
        <v>0.05</v>
      </c>
      <c r="N331" s="19" t="s">
        <v>31</v>
      </c>
      <c r="O331" s="19" t="s">
        <v>284</v>
      </c>
      <c r="P331" s="19" t="s">
        <v>287</v>
      </c>
      <c r="Q331" s="19" t="s">
        <v>287</v>
      </c>
      <c r="R331" s="19" t="s">
        <v>249</v>
      </c>
      <c r="S331" s="19" t="s">
        <v>248</v>
      </c>
      <c r="T331" s="19" t="s">
        <v>286</v>
      </c>
    </row>
    <row r="332" spans="1:20" x14ac:dyDescent="0.2">
      <c r="A332" s="1">
        <v>46039</v>
      </c>
      <c r="B332" s="2">
        <v>0.79166666666666663</v>
      </c>
      <c r="C332" s="19" t="s">
        <v>40</v>
      </c>
      <c r="D332" s="19" t="s">
        <v>19</v>
      </c>
      <c r="E332" s="19" t="s">
        <v>40</v>
      </c>
      <c r="F332">
        <v>6</v>
      </c>
      <c r="G332">
        <v>3</v>
      </c>
      <c r="H332">
        <v>0.73760000000000003</v>
      </c>
      <c r="I332" s="19" t="s">
        <v>249</v>
      </c>
      <c r="J332" s="19" t="s">
        <v>40</v>
      </c>
      <c r="K332">
        <v>3</v>
      </c>
      <c r="L332">
        <v>2</v>
      </c>
      <c r="M332">
        <v>0.04</v>
      </c>
      <c r="N332" s="19" t="s">
        <v>19</v>
      </c>
      <c r="O332" s="19" t="s">
        <v>291</v>
      </c>
      <c r="P332" s="19" t="s">
        <v>289</v>
      </c>
      <c r="Q332" s="19" t="s">
        <v>287</v>
      </c>
      <c r="R332" s="19" t="s">
        <v>249</v>
      </c>
      <c r="S332" s="19" t="s">
        <v>249</v>
      </c>
      <c r="T332" s="19" t="s">
        <v>286</v>
      </c>
    </row>
    <row r="333" spans="1:20" x14ac:dyDescent="0.2">
      <c r="A333" s="1">
        <v>46039</v>
      </c>
      <c r="B333" s="2">
        <v>0.91666666666666663</v>
      </c>
      <c r="C333" s="19" t="s">
        <v>20</v>
      </c>
      <c r="D333" s="19" t="s">
        <v>29</v>
      </c>
      <c r="E333" s="19" t="s">
        <v>20</v>
      </c>
      <c r="F333">
        <v>4</v>
      </c>
      <c r="G333">
        <v>3</v>
      </c>
      <c r="H333">
        <v>0.6472</v>
      </c>
      <c r="I333" s="19" t="s">
        <v>248</v>
      </c>
      <c r="J333" s="19" t="s">
        <v>20</v>
      </c>
      <c r="K333">
        <v>3</v>
      </c>
      <c r="L333">
        <v>2</v>
      </c>
      <c r="M333">
        <v>0.66</v>
      </c>
      <c r="N333" s="19" t="s">
        <v>20</v>
      </c>
      <c r="O333" s="19" t="s">
        <v>292</v>
      </c>
      <c r="P333" s="19" t="s">
        <v>284</v>
      </c>
      <c r="Q333" s="19" t="s">
        <v>285</v>
      </c>
      <c r="R333" s="19" t="s">
        <v>248</v>
      </c>
      <c r="S333" s="19" t="s">
        <v>248</v>
      </c>
      <c r="T333" s="19" t="s">
        <v>286</v>
      </c>
    </row>
    <row r="334" spans="1:20" x14ac:dyDescent="0.2">
      <c r="A334" s="1">
        <v>46039</v>
      </c>
      <c r="B334" s="2">
        <v>0.625</v>
      </c>
      <c r="C334" s="19" t="s">
        <v>16</v>
      </c>
      <c r="D334" s="19" t="s">
        <v>30</v>
      </c>
      <c r="E334" s="19" t="s">
        <v>16</v>
      </c>
      <c r="F334">
        <v>4</v>
      </c>
      <c r="G334">
        <v>3</v>
      </c>
      <c r="H334">
        <v>0.6351</v>
      </c>
      <c r="I334" s="19" t="s">
        <v>249</v>
      </c>
      <c r="J334" s="19" t="s">
        <v>30</v>
      </c>
      <c r="K334">
        <v>3</v>
      </c>
      <c r="L334">
        <v>2</v>
      </c>
      <c r="M334">
        <v>-0.62</v>
      </c>
      <c r="N334" s="19" t="s">
        <v>16</v>
      </c>
      <c r="O334" s="19" t="s">
        <v>289</v>
      </c>
      <c r="P334" s="19" t="s">
        <v>284</v>
      </c>
      <c r="Q334" s="19" t="s">
        <v>285</v>
      </c>
      <c r="R334" s="19" t="s">
        <v>248</v>
      </c>
      <c r="S334" s="19" t="s">
        <v>249</v>
      </c>
      <c r="T334" s="19" t="s">
        <v>286</v>
      </c>
    </row>
    <row r="335" spans="1:20" x14ac:dyDescent="0.2">
      <c r="A335" s="1">
        <v>46039</v>
      </c>
      <c r="B335" s="2">
        <v>0.79166666666666663</v>
      </c>
      <c r="C335" s="19" t="s">
        <v>22</v>
      </c>
      <c r="D335" s="19" t="s">
        <v>11</v>
      </c>
      <c r="E335" s="19" t="s">
        <v>22</v>
      </c>
      <c r="F335">
        <v>4</v>
      </c>
      <c r="G335">
        <v>3</v>
      </c>
      <c r="H335">
        <v>0.504</v>
      </c>
      <c r="I335" s="19" t="s">
        <v>249</v>
      </c>
      <c r="J335" s="19" t="s">
        <v>22</v>
      </c>
      <c r="K335">
        <v>3</v>
      </c>
      <c r="L335">
        <v>2</v>
      </c>
      <c r="M335">
        <v>0.69</v>
      </c>
      <c r="N335" s="19" t="s">
        <v>11</v>
      </c>
      <c r="O335" s="19" t="s">
        <v>284</v>
      </c>
      <c r="P335" s="19" t="s">
        <v>283</v>
      </c>
      <c r="Q335" s="19" t="s">
        <v>285</v>
      </c>
      <c r="R335" s="19" t="s">
        <v>249</v>
      </c>
      <c r="S335" s="19" t="s">
        <v>249</v>
      </c>
      <c r="T335" s="19" t="s">
        <v>286</v>
      </c>
    </row>
    <row r="336" spans="1:20" x14ac:dyDescent="0.2">
      <c r="A336" s="1">
        <v>46039</v>
      </c>
      <c r="B336" s="2">
        <v>0.79166666666666663</v>
      </c>
      <c r="C336" s="19" t="s">
        <v>14</v>
      </c>
      <c r="D336" s="19" t="s">
        <v>28</v>
      </c>
      <c r="E336" s="19" t="s">
        <v>28</v>
      </c>
      <c r="F336">
        <v>4</v>
      </c>
      <c r="G336">
        <v>5</v>
      </c>
      <c r="H336">
        <v>0.55930000000000002</v>
      </c>
      <c r="I336" s="19" t="s">
        <v>249</v>
      </c>
      <c r="J336" s="19" t="s">
        <v>14</v>
      </c>
      <c r="K336">
        <v>3</v>
      </c>
      <c r="L336">
        <v>2</v>
      </c>
      <c r="M336">
        <v>0.46</v>
      </c>
      <c r="N336" s="19" t="s">
        <v>28</v>
      </c>
      <c r="O336" s="19" t="s">
        <v>291</v>
      </c>
      <c r="P336" s="19" t="s">
        <v>289</v>
      </c>
      <c r="Q336" s="19" t="s">
        <v>287</v>
      </c>
      <c r="R336" s="19" t="s">
        <v>248</v>
      </c>
      <c r="S336" s="19" t="s">
        <v>249</v>
      </c>
      <c r="T336" s="19" t="s">
        <v>286</v>
      </c>
    </row>
    <row r="337" spans="1:20" x14ac:dyDescent="0.2">
      <c r="A337" s="1">
        <v>46039</v>
      </c>
      <c r="B337" s="2">
        <v>0.70833333333333337</v>
      </c>
      <c r="C337" s="19" t="s">
        <v>55</v>
      </c>
      <c r="D337" s="19" t="s">
        <v>32</v>
      </c>
      <c r="E337" s="19" t="s">
        <v>55</v>
      </c>
      <c r="F337">
        <v>4</v>
      </c>
      <c r="G337">
        <v>3</v>
      </c>
      <c r="H337">
        <v>0.52669999999999995</v>
      </c>
      <c r="I337" s="19" t="s">
        <v>249</v>
      </c>
      <c r="J337" s="19" t="s">
        <v>55</v>
      </c>
      <c r="K337">
        <v>3</v>
      </c>
      <c r="L337">
        <v>2</v>
      </c>
      <c r="M337">
        <v>0.68</v>
      </c>
      <c r="N337" s="19" t="s">
        <v>55</v>
      </c>
      <c r="O337" s="19" t="s">
        <v>288</v>
      </c>
      <c r="P337" s="19" t="s">
        <v>291</v>
      </c>
      <c r="Q337" s="19" t="s">
        <v>285</v>
      </c>
      <c r="R337" s="19" t="s">
        <v>248</v>
      </c>
      <c r="S337" s="19" t="s">
        <v>248</v>
      </c>
      <c r="T337" s="19" t="s">
        <v>286</v>
      </c>
    </row>
    <row r="338" spans="1:20" x14ac:dyDescent="0.2">
      <c r="A338" s="1">
        <v>46039</v>
      </c>
      <c r="B338" s="2">
        <v>0.91666666666666663</v>
      </c>
      <c r="C338" s="19" t="s">
        <v>38</v>
      </c>
      <c r="D338" s="19" t="s">
        <v>17</v>
      </c>
      <c r="E338" s="19" t="s">
        <v>38</v>
      </c>
      <c r="F338">
        <v>4</v>
      </c>
      <c r="G338">
        <v>3</v>
      </c>
      <c r="H338">
        <v>0.60319999999999996</v>
      </c>
      <c r="I338" s="19" t="s">
        <v>248</v>
      </c>
      <c r="J338" s="19" t="s">
        <v>17</v>
      </c>
      <c r="K338">
        <v>3</v>
      </c>
      <c r="L338">
        <v>2</v>
      </c>
      <c r="M338">
        <v>-0.77</v>
      </c>
      <c r="N338" s="19" t="s">
        <v>17</v>
      </c>
      <c r="O338" s="19" t="s">
        <v>285</v>
      </c>
      <c r="P338" s="19" t="s">
        <v>288</v>
      </c>
      <c r="Q338" s="19" t="s">
        <v>285</v>
      </c>
      <c r="R338" s="19" t="s">
        <v>249</v>
      </c>
      <c r="S338" s="19" t="s">
        <v>248</v>
      </c>
      <c r="T338" s="19" t="s">
        <v>286</v>
      </c>
    </row>
    <row r="339" spans="1:20" x14ac:dyDescent="0.2">
      <c r="A339" s="1">
        <v>46039</v>
      </c>
      <c r="B339" s="2">
        <v>0.52083333333333337</v>
      </c>
      <c r="C339" s="19" t="s">
        <v>23</v>
      </c>
      <c r="D339" s="19" t="s">
        <v>34</v>
      </c>
      <c r="E339" s="19" t="s">
        <v>23</v>
      </c>
      <c r="F339">
        <v>4</v>
      </c>
      <c r="G339">
        <v>2</v>
      </c>
      <c r="H339">
        <v>0.66069999999999995</v>
      </c>
      <c r="I339" s="19" t="s">
        <v>249</v>
      </c>
      <c r="J339" s="19" t="s">
        <v>23</v>
      </c>
      <c r="K339">
        <v>3</v>
      </c>
      <c r="L339">
        <v>2</v>
      </c>
      <c r="M339">
        <v>7.0000000000000007E-2</v>
      </c>
      <c r="N339" s="19" t="s">
        <v>34</v>
      </c>
      <c r="O339" s="19" t="s">
        <v>289</v>
      </c>
      <c r="P339" s="19" t="s">
        <v>283</v>
      </c>
      <c r="Q339" s="19" t="s">
        <v>287</v>
      </c>
      <c r="R339" s="19" t="s">
        <v>249</v>
      </c>
      <c r="S339" s="19" t="s">
        <v>249</v>
      </c>
      <c r="T339" s="19" t="s">
        <v>286</v>
      </c>
    </row>
    <row r="340" spans="1:20" x14ac:dyDescent="0.2">
      <c r="A340" s="1">
        <v>46039</v>
      </c>
      <c r="B340" s="2">
        <v>0.83333333333333337</v>
      </c>
      <c r="C340" s="19" t="s">
        <v>10</v>
      </c>
      <c r="D340" s="19" t="s">
        <v>21</v>
      </c>
      <c r="E340" s="19" t="s">
        <v>21</v>
      </c>
      <c r="F340">
        <v>3</v>
      </c>
      <c r="G340">
        <v>4</v>
      </c>
      <c r="H340">
        <v>0.64539999999999997</v>
      </c>
      <c r="I340" s="19" t="s">
        <v>249</v>
      </c>
      <c r="J340" s="19" t="s">
        <v>21</v>
      </c>
      <c r="K340">
        <v>3</v>
      </c>
      <c r="L340">
        <v>2</v>
      </c>
      <c r="M340">
        <v>-0.54</v>
      </c>
      <c r="N340" s="19" t="s">
        <v>21</v>
      </c>
      <c r="O340" s="19" t="s">
        <v>284</v>
      </c>
      <c r="P340" s="19" t="s">
        <v>283</v>
      </c>
      <c r="Q340" s="19" t="s">
        <v>285</v>
      </c>
      <c r="R340" s="19" t="s">
        <v>248</v>
      </c>
      <c r="S340" s="19" t="s">
        <v>248</v>
      </c>
      <c r="T340" s="19" t="s">
        <v>286</v>
      </c>
    </row>
    <row r="341" spans="1:20" x14ac:dyDescent="0.2">
      <c r="A341" s="1">
        <v>46039</v>
      </c>
      <c r="B341" s="2">
        <v>0.79166666666666663</v>
      </c>
      <c r="C341" s="19" t="s">
        <v>36</v>
      </c>
      <c r="D341" s="19" t="s">
        <v>18</v>
      </c>
      <c r="E341" s="19" t="s">
        <v>18</v>
      </c>
      <c r="F341">
        <v>3</v>
      </c>
      <c r="G341">
        <v>4</v>
      </c>
      <c r="H341">
        <v>0.55120000000000002</v>
      </c>
      <c r="I341" s="19" t="s">
        <v>248</v>
      </c>
      <c r="J341" s="19" t="s">
        <v>36</v>
      </c>
      <c r="K341">
        <v>3</v>
      </c>
      <c r="L341">
        <v>2</v>
      </c>
      <c r="M341">
        <v>0.04</v>
      </c>
      <c r="N341" s="19" t="s">
        <v>18</v>
      </c>
      <c r="O341" s="19" t="s">
        <v>283</v>
      </c>
      <c r="P341" s="19" t="s">
        <v>288</v>
      </c>
      <c r="Q341" s="19" t="s">
        <v>287</v>
      </c>
      <c r="R341" s="19" t="s">
        <v>248</v>
      </c>
      <c r="S341" s="19" t="s">
        <v>249</v>
      </c>
      <c r="T341" s="19" t="s">
        <v>286</v>
      </c>
    </row>
    <row r="342" spans="1:20" x14ac:dyDescent="0.2">
      <c r="A342" s="1">
        <v>46039</v>
      </c>
      <c r="B342" s="2">
        <v>0.79166666666666663</v>
      </c>
      <c r="C342" s="19" t="s">
        <v>24</v>
      </c>
      <c r="D342" s="19" t="s">
        <v>25</v>
      </c>
      <c r="E342" s="19" t="s">
        <v>25</v>
      </c>
      <c r="F342">
        <v>3</v>
      </c>
      <c r="G342">
        <v>4</v>
      </c>
      <c r="H342">
        <v>0.64549999999999996</v>
      </c>
      <c r="I342" s="19" t="s">
        <v>249</v>
      </c>
      <c r="J342" s="19" t="s">
        <v>25</v>
      </c>
      <c r="K342">
        <v>3</v>
      </c>
      <c r="L342">
        <v>2</v>
      </c>
      <c r="M342">
        <v>-0.62</v>
      </c>
      <c r="N342" s="19" t="s">
        <v>25</v>
      </c>
      <c r="O342" s="19" t="s">
        <v>287</v>
      </c>
      <c r="P342" s="19" t="s">
        <v>289</v>
      </c>
      <c r="Q342" s="19" t="s">
        <v>285</v>
      </c>
      <c r="R342" s="19" t="s">
        <v>248</v>
      </c>
      <c r="S342" s="19" t="s">
        <v>248</v>
      </c>
      <c r="T342" s="19" t="s">
        <v>286</v>
      </c>
    </row>
    <row r="343" spans="1:20" x14ac:dyDescent="0.2">
      <c r="A343" s="1">
        <v>46040</v>
      </c>
      <c r="B343" s="2">
        <v>0.58333333333333337</v>
      </c>
      <c r="C343" s="19" t="s">
        <v>39</v>
      </c>
      <c r="D343" s="19" t="s">
        <v>37</v>
      </c>
      <c r="E343" s="19" t="s">
        <v>37</v>
      </c>
      <c r="F343">
        <v>3</v>
      </c>
      <c r="G343">
        <v>4</v>
      </c>
      <c r="H343">
        <v>0.54430000000000001</v>
      </c>
      <c r="I343" s="19" t="s">
        <v>249</v>
      </c>
      <c r="J343" s="19" t="s">
        <v>37</v>
      </c>
      <c r="K343">
        <v>3</v>
      </c>
      <c r="L343">
        <v>2</v>
      </c>
      <c r="M343">
        <v>-0.27</v>
      </c>
      <c r="N343" s="19" t="s">
        <v>37</v>
      </c>
      <c r="O343" s="19" t="s">
        <v>287</v>
      </c>
      <c r="P343" s="19" t="s">
        <v>289</v>
      </c>
      <c r="Q343" s="19" t="s">
        <v>285</v>
      </c>
      <c r="R343" s="19" t="s">
        <v>248</v>
      </c>
      <c r="S343" s="19" t="s">
        <v>248</v>
      </c>
      <c r="T343" s="19" t="s">
        <v>286</v>
      </c>
    </row>
    <row r="344" spans="1:20" x14ac:dyDescent="0.2">
      <c r="A344" s="1">
        <v>46040</v>
      </c>
      <c r="B344" s="2">
        <v>0.83333333333333337</v>
      </c>
      <c r="C344" s="19" t="s">
        <v>17</v>
      </c>
      <c r="D344" s="19" t="s">
        <v>35</v>
      </c>
      <c r="E344" s="19" t="s">
        <v>17</v>
      </c>
      <c r="F344">
        <v>4</v>
      </c>
      <c r="G344">
        <v>2</v>
      </c>
      <c r="H344">
        <v>0.72270000000000001</v>
      </c>
      <c r="I344" s="19" t="s">
        <v>249</v>
      </c>
      <c r="J344" s="19" t="s">
        <v>17</v>
      </c>
      <c r="K344">
        <v>3</v>
      </c>
      <c r="L344">
        <v>2</v>
      </c>
      <c r="M344">
        <v>1.05</v>
      </c>
      <c r="N344" s="19" t="s">
        <v>17</v>
      </c>
      <c r="O344" s="19" t="s">
        <v>283</v>
      </c>
      <c r="P344" s="19" t="s">
        <v>285</v>
      </c>
      <c r="Q344" s="19" t="s">
        <v>285</v>
      </c>
      <c r="R344" s="19" t="s">
        <v>248</v>
      </c>
      <c r="S344" s="19" t="s">
        <v>248</v>
      </c>
      <c r="T344" s="19" t="s">
        <v>286</v>
      </c>
    </row>
    <row r="345" spans="1:20" x14ac:dyDescent="0.2">
      <c r="A345" s="1">
        <v>46040</v>
      </c>
      <c r="B345" s="2">
        <v>0.70833333333333337</v>
      </c>
      <c r="C345" s="19" t="s">
        <v>26</v>
      </c>
      <c r="D345" s="19" t="s">
        <v>36</v>
      </c>
      <c r="E345" s="19" t="s">
        <v>26</v>
      </c>
      <c r="F345">
        <v>5</v>
      </c>
      <c r="G345">
        <v>4</v>
      </c>
      <c r="H345">
        <v>0.72550000000000003</v>
      </c>
      <c r="I345" s="19" t="s">
        <v>249</v>
      </c>
      <c r="J345" s="19" t="s">
        <v>26</v>
      </c>
      <c r="K345">
        <v>3</v>
      </c>
      <c r="L345">
        <v>2</v>
      </c>
      <c r="M345">
        <v>0.21</v>
      </c>
      <c r="N345" s="19" t="s">
        <v>26</v>
      </c>
      <c r="O345" s="19" t="s">
        <v>289</v>
      </c>
      <c r="P345" s="19" t="s">
        <v>291</v>
      </c>
      <c r="Q345" s="19" t="s">
        <v>287</v>
      </c>
      <c r="R345" s="19" t="s">
        <v>248</v>
      </c>
      <c r="S345" s="19" t="s">
        <v>248</v>
      </c>
      <c r="T345" s="19" t="s">
        <v>286</v>
      </c>
    </row>
    <row r="346" spans="1:20" x14ac:dyDescent="0.2">
      <c r="A346" s="1">
        <v>46041</v>
      </c>
      <c r="B346" s="2">
        <v>0.8125</v>
      </c>
      <c r="C346" s="19" t="s">
        <v>19</v>
      </c>
      <c r="D346" s="19" t="s">
        <v>34</v>
      </c>
      <c r="E346" s="19" t="s">
        <v>34</v>
      </c>
      <c r="F346">
        <v>2</v>
      </c>
      <c r="G346">
        <v>3</v>
      </c>
      <c r="H346">
        <v>0.63160000000000005</v>
      </c>
      <c r="I346" s="19" t="s">
        <v>249</v>
      </c>
      <c r="J346" s="19" t="s">
        <v>34</v>
      </c>
      <c r="K346">
        <v>3</v>
      </c>
      <c r="L346">
        <v>2</v>
      </c>
      <c r="M346">
        <v>-7.0000000000000007E-2</v>
      </c>
      <c r="N346" s="19" t="s">
        <v>34</v>
      </c>
      <c r="O346" s="19" t="s">
        <v>291</v>
      </c>
      <c r="P346" s="19" t="s">
        <v>288</v>
      </c>
      <c r="Q346" s="19" t="s">
        <v>285</v>
      </c>
      <c r="R346" s="19" t="s">
        <v>248</v>
      </c>
      <c r="S346" s="19" t="s">
        <v>248</v>
      </c>
      <c r="T346" s="19" t="s">
        <v>286</v>
      </c>
    </row>
    <row r="347" spans="1:20" x14ac:dyDescent="0.2">
      <c r="A347" s="1">
        <v>46041</v>
      </c>
      <c r="B347" s="2">
        <v>0.70833333333333337</v>
      </c>
      <c r="C347" s="19" t="s">
        <v>32</v>
      </c>
      <c r="D347" s="19" t="s">
        <v>14</v>
      </c>
      <c r="E347" s="19" t="s">
        <v>32</v>
      </c>
      <c r="F347">
        <v>3</v>
      </c>
      <c r="G347">
        <v>2</v>
      </c>
      <c r="H347">
        <v>0.51019999999999999</v>
      </c>
      <c r="I347" s="19" t="s">
        <v>249</v>
      </c>
      <c r="J347" s="19" t="s">
        <v>14</v>
      </c>
      <c r="K347">
        <v>3</v>
      </c>
      <c r="L347">
        <v>2</v>
      </c>
      <c r="M347">
        <v>-0.26</v>
      </c>
      <c r="N347" s="19" t="s">
        <v>14</v>
      </c>
      <c r="O347" s="19" t="s">
        <v>291</v>
      </c>
      <c r="P347" s="19" t="s">
        <v>288</v>
      </c>
      <c r="Q347" s="19" t="s">
        <v>285</v>
      </c>
      <c r="R347" s="19" t="s">
        <v>249</v>
      </c>
      <c r="S347" s="19" t="s">
        <v>248</v>
      </c>
      <c r="T347" s="19" t="s">
        <v>286</v>
      </c>
    </row>
    <row r="348" spans="1:20" x14ac:dyDescent="0.2">
      <c r="A348" s="1">
        <v>46041</v>
      </c>
      <c r="B348" s="2">
        <v>0.91666666666666663</v>
      </c>
      <c r="C348" s="19" t="s">
        <v>38</v>
      </c>
      <c r="D348" s="19" t="s">
        <v>30</v>
      </c>
      <c r="E348" s="19" t="s">
        <v>30</v>
      </c>
      <c r="F348">
        <v>1</v>
      </c>
      <c r="G348">
        <v>5</v>
      </c>
      <c r="H348">
        <v>0.88460000000000005</v>
      </c>
      <c r="I348" s="19" t="s">
        <v>249</v>
      </c>
      <c r="J348" s="19" t="s">
        <v>30</v>
      </c>
      <c r="K348">
        <v>3</v>
      </c>
      <c r="L348">
        <v>2</v>
      </c>
      <c r="M348">
        <v>-1.1200000000000001</v>
      </c>
      <c r="N348" s="19" t="s">
        <v>30</v>
      </c>
      <c r="O348" s="19" t="s">
        <v>291</v>
      </c>
      <c r="P348" s="19" t="s">
        <v>289</v>
      </c>
      <c r="Q348" s="19" t="s">
        <v>285</v>
      </c>
      <c r="R348" s="19" t="s">
        <v>248</v>
      </c>
      <c r="S348" s="19" t="s">
        <v>248</v>
      </c>
      <c r="T348" s="19" t="s">
        <v>286</v>
      </c>
    </row>
    <row r="349" spans="1:20" x14ac:dyDescent="0.2">
      <c r="A349" s="1">
        <v>46041</v>
      </c>
      <c r="B349" s="2">
        <v>0.66666666666666663</v>
      </c>
      <c r="C349" s="19" t="s">
        <v>12</v>
      </c>
      <c r="D349" s="19" t="s">
        <v>22</v>
      </c>
      <c r="E349" s="19" t="s">
        <v>12</v>
      </c>
      <c r="F349">
        <v>4</v>
      </c>
      <c r="G349">
        <v>1</v>
      </c>
      <c r="H349">
        <v>0.94540000000000002</v>
      </c>
      <c r="I349" s="19" t="s">
        <v>249</v>
      </c>
      <c r="J349" s="19" t="s">
        <v>12</v>
      </c>
      <c r="K349">
        <v>3</v>
      </c>
      <c r="L349">
        <v>2</v>
      </c>
      <c r="M349">
        <v>1.47</v>
      </c>
      <c r="N349" s="19" t="s">
        <v>12</v>
      </c>
      <c r="O349" s="19" t="s">
        <v>283</v>
      </c>
      <c r="P349" s="19" t="s">
        <v>284</v>
      </c>
      <c r="Q349" s="19" t="s">
        <v>285</v>
      </c>
      <c r="R349" s="19" t="s">
        <v>248</v>
      </c>
      <c r="S349" s="19" t="s">
        <v>248</v>
      </c>
      <c r="T349" s="19" t="s">
        <v>286</v>
      </c>
    </row>
    <row r="350" spans="1:20" x14ac:dyDescent="0.2">
      <c r="A350" s="1">
        <v>46041</v>
      </c>
      <c r="B350" s="2">
        <v>0.79166666666666663</v>
      </c>
      <c r="C350" s="19" t="s">
        <v>11</v>
      </c>
      <c r="D350" s="19" t="s">
        <v>33</v>
      </c>
      <c r="E350" s="19" t="s">
        <v>11</v>
      </c>
      <c r="F350">
        <v>4</v>
      </c>
      <c r="G350">
        <v>3</v>
      </c>
      <c r="H350">
        <v>0.60429999999999995</v>
      </c>
      <c r="I350" s="19" t="s">
        <v>249</v>
      </c>
      <c r="J350" s="19" t="s">
        <v>11</v>
      </c>
      <c r="K350">
        <v>3</v>
      </c>
      <c r="L350">
        <v>2</v>
      </c>
      <c r="M350">
        <v>0.32</v>
      </c>
      <c r="N350" s="19" t="s">
        <v>33</v>
      </c>
      <c r="O350" s="19" t="s">
        <v>287</v>
      </c>
      <c r="P350" s="19" t="s">
        <v>289</v>
      </c>
      <c r="Q350" s="19" t="s">
        <v>285</v>
      </c>
      <c r="R350" s="19" t="s">
        <v>249</v>
      </c>
      <c r="S350" s="19" t="s">
        <v>249</v>
      </c>
      <c r="T350" s="19" t="s">
        <v>286</v>
      </c>
    </row>
    <row r="351" spans="1:20" x14ac:dyDescent="0.2">
      <c r="A351" s="1">
        <v>46041</v>
      </c>
      <c r="B351" s="2">
        <v>0.83333333333333337</v>
      </c>
      <c r="C351" s="19" t="s">
        <v>20</v>
      </c>
      <c r="D351" s="19" t="s">
        <v>27</v>
      </c>
      <c r="E351" s="19" t="s">
        <v>27</v>
      </c>
      <c r="F351">
        <v>4</v>
      </c>
      <c r="G351">
        <v>5</v>
      </c>
      <c r="H351">
        <v>0.55069999999999997</v>
      </c>
      <c r="I351" s="19" t="s">
        <v>249</v>
      </c>
      <c r="J351" s="19" t="s">
        <v>20</v>
      </c>
      <c r="K351">
        <v>3</v>
      </c>
      <c r="L351">
        <v>2</v>
      </c>
      <c r="M351">
        <v>0.57999999999999996</v>
      </c>
      <c r="N351" s="19" t="s">
        <v>27</v>
      </c>
      <c r="O351" s="19" t="s">
        <v>287</v>
      </c>
      <c r="P351" s="19" t="s">
        <v>284</v>
      </c>
      <c r="Q351" s="19" t="s">
        <v>285</v>
      </c>
      <c r="R351" s="19" t="s">
        <v>248</v>
      </c>
      <c r="S351" s="19" t="s">
        <v>249</v>
      </c>
      <c r="T351" s="19" t="s">
        <v>286</v>
      </c>
    </row>
    <row r="352" spans="1:20" x14ac:dyDescent="0.2">
      <c r="A352" s="1">
        <v>46041</v>
      </c>
      <c r="B352" s="2">
        <v>0.5625</v>
      </c>
      <c r="C352" s="19" t="s">
        <v>25</v>
      </c>
      <c r="D352" s="19" t="s">
        <v>23</v>
      </c>
      <c r="E352" s="19" t="s">
        <v>25</v>
      </c>
      <c r="F352">
        <v>4</v>
      </c>
      <c r="G352">
        <v>3</v>
      </c>
      <c r="H352">
        <v>0.71020000000000005</v>
      </c>
      <c r="I352" s="19" t="s">
        <v>249</v>
      </c>
      <c r="J352" s="19" t="s">
        <v>25</v>
      </c>
      <c r="K352">
        <v>3</v>
      </c>
      <c r="L352">
        <v>2</v>
      </c>
      <c r="M352">
        <v>0.51</v>
      </c>
      <c r="N352" s="19" t="s">
        <v>25</v>
      </c>
      <c r="O352" s="19" t="s">
        <v>284</v>
      </c>
      <c r="P352" s="19" t="s">
        <v>287</v>
      </c>
      <c r="Q352" s="19" t="s">
        <v>285</v>
      </c>
      <c r="R352" s="19" t="s">
        <v>248</v>
      </c>
      <c r="S352" s="19" t="s">
        <v>248</v>
      </c>
      <c r="T352" s="19" t="s">
        <v>286</v>
      </c>
    </row>
    <row r="353" spans="1:20" x14ac:dyDescent="0.2">
      <c r="A353" s="1">
        <v>46041</v>
      </c>
      <c r="B353" s="2">
        <v>0.875</v>
      </c>
      <c r="C353" s="19" t="s">
        <v>16</v>
      </c>
      <c r="D353" s="19" t="s">
        <v>24</v>
      </c>
      <c r="E353" s="19" t="s">
        <v>16</v>
      </c>
      <c r="F353">
        <v>4</v>
      </c>
      <c r="G353">
        <v>3</v>
      </c>
      <c r="H353">
        <v>0.59799999999999998</v>
      </c>
      <c r="I353" s="19" t="s">
        <v>249</v>
      </c>
      <c r="J353" s="19" t="s">
        <v>16</v>
      </c>
      <c r="K353">
        <v>3</v>
      </c>
      <c r="L353">
        <v>2</v>
      </c>
      <c r="M353">
        <v>0.02</v>
      </c>
      <c r="N353" s="19" t="s">
        <v>24</v>
      </c>
      <c r="O353" s="19" t="s">
        <v>287</v>
      </c>
      <c r="P353" s="19" t="s">
        <v>284</v>
      </c>
      <c r="Q353" s="19" t="s">
        <v>287</v>
      </c>
      <c r="R353" s="19" t="s">
        <v>249</v>
      </c>
      <c r="S353" s="19" t="s">
        <v>249</v>
      </c>
      <c r="T353" s="19" t="s">
        <v>286</v>
      </c>
    </row>
    <row r="354" spans="1:20" x14ac:dyDescent="0.2">
      <c r="A354" s="1">
        <v>46041</v>
      </c>
      <c r="B354" s="2">
        <v>0.91666666666666663</v>
      </c>
      <c r="C354" s="19" t="s">
        <v>31</v>
      </c>
      <c r="D354" s="19" t="s">
        <v>15</v>
      </c>
      <c r="E354" s="19" t="s">
        <v>31</v>
      </c>
      <c r="F354">
        <v>4</v>
      </c>
      <c r="G354">
        <v>3</v>
      </c>
      <c r="H354">
        <v>0.68420000000000003</v>
      </c>
      <c r="I354" s="19" t="s">
        <v>249</v>
      </c>
      <c r="J354" s="19" t="s">
        <v>31</v>
      </c>
      <c r="K354">
        <v>3</v>
      </c>
      <c r="L354">
        <v>2</v>
      </c>
      <c r="M354">
        <v>0.16</v>
      </c>
      <c r="N354" s="19" t="s">
        <v>31</v>
      </c>
      <c r="O354" s="19" t="s">
        <v>283</v>
      </c>
      <c r="P354" s="19" t="s">
        <v>291</v>
      </c>
      <c r="Q354" s="19" t="s">
        <v>285</v>
      </c>
      <c r="R354" s="19" t="s">
        <v>248</v>
      </c>
      <c r="S354" s="19" t="s">
        <v>248</v>
      </c>
      <c r="T354" s="19" t="s">
        <v>286</v>
      </c>
    </row>
    <row r="355" spans="1:20" x14ac:dyDescent="0.2">
      <c r="A355" s="1">
        <v>46041</v>
      </c>
      <c r="B355" s="2">
        <v>0.85416666666666663</v>
      </c>
      <c r="C355" s="19" t="s">
        <v>10</v>
      </c>
      <c r="D355" s="19" t="s">
        <v>40</v>
      </c>
      <c r="E355" s="19" t="s">
        <v>10</v>
      </c>
      <c r="F355">
        <v>4</v>
      </c>
      <c r="G355">
        <v>3</v>
      </c>
      <c r="H355">
        <v>0.52829999999999999</v>
      </c>
      <c r="I355" s="19" t="s">
        <v>249</v>
      </c>
      <c r="J355" s="19" t="s">
        <v>40</v>
      </c>
      <c r="K355">
        <v>3</v>
      </c>
      <c r="L355">
        <v>2</v>
      </c>
      <c r="M355">
        <v>-0.32</v>
      </c>
      <c r="N355" s="19" t="s">
        <v>10</v>
      </c>
      <c r="O355" s="19" t="s">
        <v>284</v>
      </c>
      <c r="P355" s="19" t="s">
        <v>285</v>
      </c>
      <c r="Q355" s="19" t="s">
        <v>285</v>
      </c>
      <c r="R355" s="19" t="s">
        <v>248</v>
      </c>
      <c r="S355" s="19" t="s">
        <v>249</v>
      </c>
      <c r="T355" s="19" t="s">
        <v>286</v>
      </c>
    </row>
    <row r="356" spans="1:20" x14ac:dyDescent="0.2">
      <c r="A356" s="1">
        <v>46042</v>
      </c>
      <c r="B356" s="2">
        <v>0.79166666666666663</v>
      </c>
      <c r="C356" s="19" t="s">
        <v>18</v>
      </c>
      <c r="D356" s="19" t="s">
        <v>34</v>
      </c>
      <c r="E356" s="19" t="s">
        <v>34</v>
      </c>
      <c r="F356">
        <v>3</v>
      </c>
      <c r="G356">
        <v>4</v>
      </c>
      <c r="H356">
        <v>0.61460000000000004</v>
      </c>
      <c r="I356" s="19" t="s">
        <v>249</v>
      </c>
      <c r="J356" s="19" t="s">
        <v>34</v>
      </c>
      <c r="K356">
        <v>3</v>
      </c>
      <c r="L356">
        <v>2</v>
      </c>
      <c r="M356">
        <v>-0.15</v>
      </c>
      <c r="N356" s="19" t="s">
        <v>18</v>
      </c>
      <c r="O356" s="19" t="s">
        <v>289</v>
      </c>
      <c r="P356" s="19" t="s">
        <v>291</v>
      </c>
      <c r="Q356" s="19" t="s">
        <v>285</v>
      </c>
      <c r="R356" s="19" t="s">
        <v>249</v>
      </c>
      <c r="S356" s="19" t="s">
        <v>249</v>
      </c>
      <c r="T356" s="19" t="s">
        <v>286</v>
      </c>
    </row>
    <row r="357" spans="1:20" x14ac:dyDescent="0.2">
      <c r="A357" s="1">
        <v>46042</v>
      </c>
      <c r="B357" s="2">
        <v>0.79166666666666663</v>
      </c>
      <c r="C357" s="19" t="s">
        <v>28</v>
      </c>
      <c r="D357" s="19" t="s">
        <v>36</v>
      </c>
      <c r="E357" s="19" t="s">
        <v>36</v>
      </c>
      <c r="F357">
        <v>3</v>
      </c>
      <c r="G357">
        <v>4</v>
      </c>
      <c r="H357">
        <v>0.61529999999999996</v>
      </c>
      <c r="I357" s="19" t="s">
        <v>249</v>
      </c>
      <c r="J357" s="19" t="s">
        <v>28</v>
      </c>
      <c r="K357">
        <v>3</v>
      </c>
      <c r="L357">
        <v>2</v>
      </c>
      <c r="M357">
        <v>0.03</v>
      </c>
      <c r="N357" s="19" t="s">
        <v>36</v>
      </c>
      <c r="O357" s="19" t="s">
        <v>287</v>
      </c>
      <c r="P357" s="19" t="s">
        <v>289</v>
      </c>
      <c r="Q357" s="19" t="s">
        <v>285</v>
      </c>
      <c r="R357" s="19" t="s">
        <v>248</v>
      </c>
      <c r="S357" s="19" t="s">
        <v>249</v>
      </c>
      <c r="T357" s="19" t="s">
        <v>286</v>
      </c>
    </row>
    <row r="358" spans="1:20" x14ac:dyDescent="0.2">
      <c r="A358" s="1">
        <v>46042</v>
      </c>
      <c r="B358" s="2">
        <v>0.8125</v>
      </c>
      <c r="C358" s="19" t="s">
        <v>39</v>
      </c>
      <c r="D358" s="19" t="s">
        <v>21</v>
      </c>
      <c r="E358" s="19" t="s">
        <v>39</v>
      </c>
      <c r="F358">
        <v>4</v>
      </c>
      <c r="G358">
        <v>3</v>
      </c>
      <c r="H358">
        <v>0.61499999999999999</v>
      </c>
      <c r="I358" s="19" t="s">
        <v>249</v>
      </c>
      <c r="J358" s="19" t="s">
        <v>39</v>
      </c>
      <c r="K358">
        <v>3</v>
      </c>
      <c r="L358">
        <v>2</v>
      </c>
      <c r="M358">
        <v>0.31</v>
      </c>
      <c r="N358" s="19" t="s">
        <v>39</v>
      </c>
      <c r="O358" s="19" t="s">
        <v>288</v>
      </c>
      <c r="P358" s="19" t="s">
        <v>284</v>
      </c>
      <c r="Q358" s="19" t="s">
        <v>285</v>
      </c>
      <c r="R358" s="19" t="s">
        <v>248</v>
      </c>
      <c r="S358" s="19" t="s">
        <v>248</v>
      </c>
      <c r="T358" s="19" t="s">
        <v>286</v>
      </c>
    </row>
    <row r="359" spans="1:20" x14ac:dyDescent="0.2">
      <c r="A359" s="1">
        <v>46042</v>
      </c>
      <c r="B359" s="2">
        <v>0.91666666666666663</v>
      </c>
      <c r="C359" s="19" t="s">
        <v>13</v>
      </c>
      <c r="D359" s="19" t="s">
        <v>15</v>
      </c>
      <c r="E359" s="19" t="s">
        <v>15</v>
      </c>
      <c r="F359">
        <v>2</v>
      </c>
      <c r="G359">
        <v>4</v>
      </c>
      <c r="H359">
        <v>0.70779999999999998</v>
      </c>
      <c r="I359" s="19" t="s">
        <v>249</v>
      </c>
      <c r="J359" s="19" t="s">
        <v>13</v>
      </c>
      <c r="K359">
        <v>3</v>
      </c>
      <c r="L359">
        <v>2</v>
      </c>
      <c r="M359">
        <v>0.25</v>
      </c>
      <c r="N359" s="19" t="s">
        <v>13</v>
      </c>
      <c r="O359" s="19" t="s">
        <v>289</v>
      </c>
      <c r="P359" s="19" t="s">
        <v>291</v>
      </c>
      <c r="Q359" s="19" t="s">
        <v>285</v>
      </c>
      <c r="R359" s="19" t="s">
        <v>249</v>
      </c>
      <c r="S359" s="19" t="s">
        <v>248</v>
      </c>
      <c r="T359" s="19" t="s">
        <v>286</v>
      </c>
    </row>
    <row r="360" spans="1:20" x14ac:dyDescent="0.2">
      <c r="A360" s="1">
        <v>46042</v>
      </c>
      <c r="B360" s="2">
        <v>0.91666666666666663</v>
      </c>
      <c r="C360" s="19" t="s">
        <v>17</v>
      </c>
      <c r="D360" s="19" t="s">
        <v>24</v>
      </c>
      <c r="E360" s="19" t="s">
        <v>24</v>
      </c>
      <c r="F360">
        <v>4</v>
      </c>
      <c r="G360">
        <v>5</v>
      </c>
      <c r="H360">
        <v>0.50339999999999996</v>
      </c>
      <c r="I360" s="19" t="s">
        <v>249</v>
      </c>
      <c r="J360" s="19" t="s">
        <v>17</v>
      </c>
      <c r="K360">
        <v>3</v>
      </c>
      <c r="L360">
        <v>2</v>
      </c>
      <c r="M360">
        <v>0.57999999999999996</v>
      </c>
      <c r="N360" s="19" t="s">
        <v>24</v>
      </c>
      <c r="O360" s="19" t="s">
        <v>287</v>
      </c>
      <c r="P360" s="19" t="s">
        <v>284</v>
      </c>
      <c r="Q360" s="19" t="s">
        <v>285</v>
      </c>
      <c r="R360" s="19" t="s">
        <v>248</v>
      </c>
      <c r="S360" s="19" t="s">
        <v>249</v>
      </c>
      <c r="T360" s="19" t="s">
        <v>286</v>
      </c>
    </row>
    <row r="361" spans="1:20" x14ac:dyDescent="0.2">
      <c r="A361" s="1">
        <v>46042</v>
      </c>
      <c r="B361" s="2">
        <v>0.83333333333333337</v>
      </c>
      <c r="C361" s="19" t="s">
        <v>40</v>
      </c>
      <c r="D361" s="19" t="s">
        <v>35</v>
      </c>
      <c r="E361" s="19" t="s">
        <v>40</v>
      </c>
      <c r="F361">
        <v>3</v>
      </c>
      <c r="G361">
        <v>2</v>
      </c>
      <c r="H361">
        <v>0.71179999999999999</v>
      </c>
      <c r="I361" s="19" t="s">
        <v>249</v>
      </c>
      <c r="J361" s="19" t="s">
        <v>40</v>
      </c>
      <c r="K361">
        <v>3</v>
      </c>
      <c r="L361">
        <v>2</v>
      </c>
      <c r="M361">
        <v>0.99</v>
      </c>
      <c r="N361" s="19" t="s">
        <v>40</v>
      </c>
      <c r="O361" s="19" t="s">
        <v>291</v>
      </c>
      <c r="P361" s="19" t="s">
        <v>287</v>
      </c>
      <c r="Q361" s="19" t="s">
        <v>285</v>
      </c>
      <c r="R361" s="19" t="s">
        <v>248</v>
      </c>
      <c r="S361" s="19" t="s">
        <v>248</v>
      </c>
      <c r="T361" s="19" t="s">
        <v>286</v>
      </c>
    </row>
    <row r="362" spans="1:20" x14ac:dyDescent="0.2">
      <c r="A362" s="1">
        <v>46042</v>
      </c>
      <c r="B362" s="2">
        <v>0.79166666666666663</v>
      </c>
      <c r="C362" s="19" t="s">
        <v>37</v>
      </c>
      <c r="D362" s="19" t="s">
        <v>33</v>
      </c>
      <c r="E362" s="19" t="s">
        <v>37</v>
      </c>
      <c r="F362">
        <v>3</v>
      </c>
      <c r="G362">
        <v>2</v>
      </c>
      <c r="H362">
        <v>0.5917</v>
      </c>
      <c r="I362" s="19" t="s">
        <v>249</v>
      </c>
      <c r="J362" s="19" t="s">
        <v>37</v>
      </c>
      <c r="K362">
        <v>3</v>
      </c>
      <c r="L362">
        <v>2</v>
      </c>
      <c r="M362">
        <v>1.38</v>
      </c>
      <c r="N362" s="19" t="s">
        <v>37</v>
      </c>
      <c r="O362" s="19" t="s">
        <v>289</v>
      </c>
      <c r="P362" s="19" t="s">
        <v>287</v>
      </c>
      <c r="Q362" s="19" t="s">
        <v>285</v>
      </c>
      <c r="R362" s="19" t="s">
        <v>248</v>
      </c>
      <c r="S362" s="19" t="s">
        <v>248</v>
      </c>
      <c r="T362" s="19" t="s">
        <v>286</v>
      </c>
    </row>
    <row r="363" spans="1:20" x14ac:dyDescent="0.2">
      <c r="A363" s="1">
        <v>46042</v>
      </c>
      <c r="B363" s="2">
        <v>0.83333333333333337</v>
      </c>
      <c r="C363" s="19" t="s">
        <v>29</v>
      </c>
      <c r="D363" s="19" t="s">
        <v>23</v>
      </c>
      <c r="E363" s="19" t="s">
        <v>29</v>
      </c>
      <c r="F363">
        <v>4</v>
      </c>
      <c r="G363">
        <v>2</v>
      </c>
      <c r="H363">
        <v>0.63970000000000005</v>
      </c>
      <c r="I363" s="19" t="s">
        <v>249</v>
      </c>
      <c r="J363" s="19" t="s">
        <v>23</v>
      </c>
      <c r="K363">
        <v>3</v>
      </c>
      <c r="L363">
        <v>2</v>
      </c>
      <c r="M363">
        <v>-0.46</v>
      </c>
      <c r="N363" s="19" t="s">
        <v>23</v>
      </c>
      <c r="O363" s="19" t="s">
        <v>291</v>
      </c>
      <c r="P363" s="19" t="s">
        <v>283</v>
      </c>
      <c r="Q363" s="19" t="s">
        <v>285</v>
      </c>
      <c r="R363" s="19" t="s">
        <v>249</v>
      </c>
      <c r="S363" s="19" t="s">
        <v>248</v>
      </c>
      <c r="T363" s="19" t="s">
        <v>286</v>
      </c>
    </row>
    <row r="364" spans="1:20" x14ac:dyDescent="0.2">
      <c r="A364" s="1">
        <v>46043</v>
      </c>
      <c r="B364" s="2">
        <v>0.875</v>
      </c>
      <c r="C364" s="19" t="s">
        <v>12</v>
      </c>
      <c r="D364" s="19" t="s">
        <v>31</v>
      </c>
      <c r="E364" s="19" t="s">
        <v>12</v>
      </c>
      <c r="F364">
        <v>5</v>
      </c>
      <c r="G364">
        <v>1</v>
      </c>
      <c r="H364">
        <v>0.96020000000000005</v>
      </c>
      <c r="I364" s="19" t="s">
        <v>249</v>
      </c>
      <c r="J364" s="19" t="s">
        <v>12</v>
      </c>
      <c r="K364">
        <v>3</v>
      </c>
      <c r="L364">
        <v>2</v>
      </c>
      <c r="M364">
        <v>1.96</v>
      </c>
      <c r="N364" s="19" t="s">
        <v>31</v>
      </c>
      <c r="O364" s="19" t="s">
        <v>287</v>
      </c>
      <c r="P364" s="19" t="s">
        <v>284</v>
      </c>
      <c r="Q364" s="19" t="s">
        <v>287</v>
      </c>
      <c r="R364" s="19" t="s">
        <v>249</v>
      </c>
      <c r="S364" s="19" t="s">
        <v>249</v>
      </c>
      <c r="T364" s="19" t="s">
        <v>286</v>
      </c>
    </row>
    <row r="365" spans="1:20" x14ac:dyDescent="0.2">
      <c r="A365" s="1">
        <v>46043</v>
      </c>
      <c r="B365" s="2">
        <v>0.89583333333333337</v>
      </c>
      <c r="C365" s="19" t="s">
        <v>16</v>
      </c>
      <c r="D365" s="19" t="s">
        <v>14</v>
      </c>
      <c r="E365" s="19" t="s">
        <v>16</v>
      </c>
      <c r="F365">
        <v>4</v>
      </c>
      <c r="G365">
        <v>3</v>
      </c>
      <c r="H365">
        <v>0.61180000000000001</v>
      </c>
      <c r="I365" s="19" t="s">
        <v>249</v>
      </c>
      <c r="J365" s="19" t="s">
        <v>14</v>
      </c>
      <c r="K365">
        <v>3</v>
      </c>
      <c r="L365">
        <v>2</v>
      </c>
      <c r="M365">
        <v>-0.43</v>
      </c>
      <c r="N365" s="19" t="s">
        <v>14</v>
      </c>
      <c r="O365" s="19" t="s">
        <v>287</v>
      </c>
      <c r="P365" s="19" t="s">
        <v>289</v>
      </c>
      <c r="Q365" s="19" t="s">
        <v>285</v>
      </c>
      <c r="R365" s="19" t="s">
        <v>249</v>
      </c>
      <c r="S365" s="19" t="s">
        <v>248</v>
      </c>
      <c r="T365" s="19" t="s">
        <v>286</v>
      </c>
    </row>
    <row r="366" spans="1:20" x14ac:dyDescent="0.2">
      <c r="A366" s="1">
        <v>46043</v>
      </c>
      <c r="B366" s="2">
        <v>0.875</v>
      </c>
      <c r="C366" s="19" t="s">
        <v>55</v>
      </c>
      <c r="D366" s="19" t="s">
        <v>27</v>
      </c>
      <c r="E366" s="19" t="s">
        <v>55</v>
      </c>
      <c r="F366">
        <v>4</v>
      </c>
      <c r="G366">
        <v>3</v>
      </c>
      <c r="H366">
        <v>0.68020000000000003</v>
      </c>
      <c r="I366" s="19" t="s">
        <v>249</v>
      </c>
      <c r="J366" s="19" t="s">
        <v>55</v>
      </c>
      <c r="K366">
        <v>3</v>
      </c>
      <c r="L366">
        <v>2</v>
      </c>
      <c r="M366">
        <v>0.63</v>
      </c>
      <c r="N366" s="19" t="s">
        <v>55</v>
      </c>
      <c r="O366" s="19" t="s">
        <v>283</v>
      </c>
      <c r="P366" s="19" t="s">
        <v>289</v>
      </c>
      <c r="Q366" s="19" t="s">
        <v>287</v>
      </c>
      <c r="R366" s="19" t="s">
        <v>248</v>
      </c>
      <c r="S366" s="19" t="s">
        <v>248</v>
      </c>
      <c r="T366" s="19" t="s">
        <v>286</v>
      </c>
    </row>
    <row r="367" spans="1:20" x14ac:dyDescent="0.2">
      <c r="A367" s="1">
        <v>46043</v>
      </c>
      <c r="B367" s="2">
        <v>0.89583333333333337</v>
      </c>
      <c r="C367" s="19" t="s">
        <v>32</v>
      </c>
      <c r="D367" s="19" t="s">
        <v>30</v>
      </c>
      <c r="E367" s="19" t="s">
        <v>30</v>
      </c>
      <c r="F367">
        <v>3</v>
      </c>
      <c r="G367">
        <v>4</v>
      </c>
      <c r="H367">
        <v>0.69310000000000005</v>
      </c>
      <c r="I367" s="19" t="s">
        <v>249</v>
      </c>
      <c r="J367" s="19" t="s">
        <v>30</v>
      </c>
      <c r="K367">
        <v>3</v>
      </c>
      <c r="L367">
        <v>2</v>
      </c>
      <c r="M367">
        <v>-0.43</v>
      </c>
      <c r="N367" s="19" t="s">
        <v>32</v>
      </c>
      <c r="O367" s="19" t="s">
        <v>289</v>
      </c>
      <c r="P367" s="19" t="s">
        <v>287</v>
      </c>
      <c r="Q367" s="19" t="s">
        <v>285</v>
      </c>
      <c r="R367" s="19" t="s">
        <v>249</v>
      </c>
      <c r="S367" s="19" t="s">
        <v>249</v>
      </c>
      <c r="T367" s="19" t="s">
        <v>286</v>
      </c>
    </row>
    <row r="368" spans="1:20" x14ac:dyDescent="0.2">
      <c r="A368" s="1">
        <v>46043</v>
      </c>
      <c r="B368" s="2">
        <v>0.79166666666666663</v>
      </c>
      <c r="C368" s="19" t="s">
        <v>19</v>
      </c>
      <c r="D368" s="19" t="s">
        <v>26</v>
      </c>
      <c r="E368" s="19" t="s">
        <v>26</v>
      </c>
      <c r="F368">
        <v>4</v>
      </c>
      <c r="G368">
        <v>5</v>
      </c>
      <c r="H368">
        <v>0.59689999999999999</v>
      </c>
      <c r="I368" s="19" t="s">
        <v>249</v>
      </c>
      <c r="J368" s="19" t="s">
        <v>19</v>
      </c>
      <c r="K368">
        <v>3</v>
      </c>
      <c r="L368">
        <v>2</v>
      </c>
      <c r="M368">
        <v>0.12</v>
      </c>
      <c r="N368" s="19" t="s">
        <v>26</v>
      </c>
      <c r="O368" s="19" t="s">
        <v>287</v>
      </c>
      <c r="P368" s="19" t="s">
        <v>284</v>
      </c>
      <c r="Q368" s="19" t="s">
        <v>287</v>
      </c>
      <c r="R368" s="19" t="s">
        <v>248</v>
      </c>
      <c r="S368" s="19" t="s">
        <v>249</v>
      </c>
      <c r="T368" s="19" t="s">
        <v>286</v>
      </c>
    </row>
    <row r="369" spans="1:20" x14ac:dyDescent="0.2">
      <c r="A369" s="1">
        <v>46043</v>
      </c>
      <c r="B369" s="2">
        <v>0.91666666666666663</v>
      </c>
      <c r="C369" s="19" t="s">
        <v>38</v>
      </c>
      <c r="D369" s="19" t="s">
        <v>22</v>
      </c>
      <c r="E369" s="19" t="s">
        <v>22</v>
      </c>
      <c r="F369">
        <v>2</v>
      </c>
      <c r="G369">
        <v>4</v>
      </c>
      <c r="H369">
        <v>0.84079999999999999</v>
      </c>
      <c r="I369" s="19" t="s">
        <v>249</v>
      </c>
      <c r="J369" s="19" t="s">
        <v>22</v>
      </c>
      <c r="K369">
        <v>3</v>
      </c>
      <c r="L369">
        <v>2</v>
      </c>
      <c r="M369">
        <v>-1.1100000000000001</v>
      </c>
      <c r="N369" s="19" t="s">
        <v>38</v>
      </c>
      <c r="O369" s="19" t="s">
        <v>289</v>
      </c>
      <c r="P369" s="19" t="s">
        <v>291</v>
      </c>
      <c r="Q369" s="19" t="s">
        <v>285</v>
      </c>
      <c r="R369" s="19" t="s">
        <v>249</v>
      </c>
      <c r="S369" s="19" t="s">
        <v>249</v>
      </c>
      <c r="T369" s="19" t="s">
        <v>286</v>
      </c>
    </row>
    <row r="370" spans="1:20" x14ac:dyDescent="0.2">
      <c r="A370" s="1">
        <v>46044</v>
      </c>
      <c r="B370" s="2">
        <v>0.79166666666666663</v>
      </c>
      <c r="C370" s="19" t="s">
        <v>25</v>
      </c>
      <c r="D370" s="19" t="s">
        <v>10</v>
      </c>
      <c r="E370" s="19" t="s">
        <v>25</v>
      </c>
      <c r="F370">
        <v>4</v>
      </c>
      <c r="G370">
        <v>3</v>
      </c>
      <c r="H370">
        <v>0.749</v>
      </c>
      <c r="I370" s="19" t="s">
        <v>249</v>
      </c>
      <c r="J370" s="19" t="s">
        <v>25</v>
      </c>
      <c r="K370">
        <v>3</v>
      </c>
      <c r="L370">
        <v>2</v>
      </c>
      <c r="M370">
        <v>1.1499999999999999</v>
      </c>
      <c r="N370" s="19" t="s">
        <v>10</v>
      </c>
      <c r="O370" s="19" t="s">
        <v>291</v>
      </c>
      <c r="P370" s="19" t="s">
        <v>289</v>
      </c>
      <c r="Q370" s="19" t="s">
        <v>287</v>
      </c>
      <c r="R370" s="19" t="s">
        <v>249</v>
      </c>
      <c r="S370" s="19" t="s">
        <v>249</v>
      </c>
      <c r="T370" s="19" t="s">
        <v>286</v>
      </c>
    </row>
    <row r="371" spans="1:20" x14ac:dyDescent="0.2">
      <c r="A371" s="1">
        <v>46044</v>
      </c>
      <c r="B371" s="2">
        <v>0.79166666666666663</v>
      </c>
      <c r="C371" s="19" t="s">
        <v>28</v>
      </c>
      <c r="D371" s="19" t="s">
        <v>39</v>
      </c>
      <c r="E371" s="19" t="s">
        <v>39</v>
      </c>
      <c r="F371">
        <v>3</v>
      </c>
      <c r="G371">
        <v>4</v>
      </c>
      <c r="H371">
        <v>0.72750000000000004</v>
      </c>
      <c r="I371" s="19" t="s">
        <v>249</v>
      </c>
      <c r="J371" s="19" t="s">
        <v>39</v>
      </c>
      <c r="K371">
        <v>3</v>
      </c>
      <c r="L371">
        <v>2</v>
      </c>
      <c r="M371">
        <v>-0.66</v>
      </c>
      <c r="N371" s="19" t="s">
        <v>28</v>
      </c>
      <c r="O371" s="19" t="s">
        <v>287</v>
      </c>
      <c r="P371" s="19" t="s">
        <v>285</v>
      </c>
      <c r="Q371" s="19" t="s">
        <v>285</v>
      </c>
      <c r="R371" s="19" t="s">
        <v>249</v>
      </c>
      <c r="S371" s="19" t="s">
        <v>249</v>
      </c>
      <c r="T371" s="19" t="s">
        <v>286</v>
      </c>
    </row>
    <row r="372" spans="1:20" x14ac:dyDescent="0.2">
      <c r="A372" s="1">
        <v>46044</v>
      </c>
      <c r="B372" s="2">
        <v>0.83333333333333337</v>
      </c>
      <c r="C372" s="19" t="s">
        <v>29</v>
      </c>
      <c r="D372" s="19" t="s">
        <v>36</v>
      </c>
      <c r="E372" s="19" t="s">
        <v>36</v>
      </c>
      <c r="F372">
        <v>3</v>
      </c>
      <c r="G372">
        <v>4</v>
      </c>
      <c r="H372">
        <v>0.51690000000000003</v>
      </c>
      <c r="I372" s="19" t="s">
        <v>249</v>
      </c>
      <c r="J372" s="19" t="s">
        <v>36</v>
      </c>
      <c r="K372">
        <v>3</v>
      </c>
      <c r="L372">
        <v>2</v>
      </c>
      <c r="M372">
        <v>-0.28999999999999998</v>
      </c>
      <c r="N372" s="19" t="s">
        <v>29</v>
      </c>
      <c r="O372" s="19" t="s">
        <v>283</v>
      </c>
      <c r="P372" s="19" t="s">
        <v>291</v>
      </c>
      <c r="Q372" s="19" t="s">
        <v>285</v>
      </c>
      <c r="R372" s="19" t="s">
        <v>249</v>
      </c>
      <c r="S372" s="19" t="s">
        <v>249</v>
      </c>
      <c r="T372" s="19" t="s">
        <v>286</v>
      </c>
    </row>
    <row r="373" spans="1:20" x14ac:dyDescent="0.2">
      <c r="A373" s="1">
        <v>46044</v>
      </c>
      <c r="B373" s="2">
        <v>0.79166666666666663</v>
      </c>
      <c r="C373" s="19" t="s">
        <v>21</v>
      </c>
      <c r="D373" s="19" t="s">
        <v>20</v>
      </c>
      <c r="E373" s="19" t="s">
        <v>21</v>
      </c>
      <c r="F373">
        <v>4</v>
      </c>
      <c r="G373">
        <v>2</v>
      </c>
      <c r="H373">
        <v>0.64539999999999997</v>
      </c>
      <c r="I373" s="19" t="s">
        <v>249</v>
      </c>
      <c r="J373" s="19" t="s">
        <v>21</v>
      </c>
      <c r="K373">
        <v>3</v>
      </c>
      <c r="L373">
        <v>2</v>
      </c>
      <c r="M373">
        <v>0.1</v>
      </c>
      <c r="N373" s="19" t="s">
        <v>21</v>
      </c>
      <c r="O373" s="19" t="s">
        <v>289</v>
      </c>
      <c r="P373" s="19" t="s">
        <v>291</v>
      </c>
      <c r="Q373" s="19" t="s">
        <v>285</v>
      </c>
      <c r="R373" s="19" t="s">
        <v>248</v>
      </c>
      <c r="S373" s="19" t="s">
        <v>248</v>
      </c>
      <c r="T373" s="19" t="s">
        <v>286</v>
      </c>
    </row>
    <row r="374" spans="1:20" x14ac:dyDescent="0.2">
      <c r="A374" s="1">
        <v>46044</v>
      </c>
      <c r="B374" s="2">
        <v>0.875</v>
      </c>
      <c r="C374" s="19" t="s">
        <v>17</v>
      </c>
      <c r="D374" s="19" t="s">
        <v>14</v>
      </c>
      <c r="E374" s="19" t="s">
        <v>17</v>
      </c>
      <c r="F374">
        <v>4</v>
      </c>
      <c r="G374">
        <v>3</v>
      </c>
      <c r="H374">
        <v>0.68830000000000002</v>
      </c>
      <c r="I374" s="19" t="s">
        <v>249</v>
      </c>
      <c r="J374" s="19" t="s">
        <v>17</v>
      </c>
      <c r="K374">
        <v>3</v>
      </c>
      <c r="L374">
        <v>2</v>
      </c>
      <c r="M374">
        <v>0.1</v>
      </c>
      <c r="N374" s="19" t="s">
        <v>14</v>
      </c>
      <c r="O374" s="19" t="s">
        <v>284</v>
      </c>
      <c r="P374" s="19" t="s">
        <v>288</v>
      </c>
      <c r="Q374" s="19" t="s">
        <v>285</v>
      </c>
      <c r="R374" s="19" t="s">
        <v>249</v>
      </c>
      <c r="S374" s="19" t="s">
        <v>249</v>
      </c>
      <c r="T374" s="19" t="s">
        <v>286</v>
      </c>
    </row>
    <row r="375" spans="1:20" x14ac:dyDescent="0.2">
      <c r="A375" s="1">
        <v>46044</v>
      </c>
      <c r="B375" s="2">
        <v>0.79166666666666663</v>
      </c>
      <c r="C375" s="19" t="s">
        <v>18</v>
      </c>
      <c r="D375" s="19" t="s">
        <v>23</v>
      </c>
      <c r="E375" s="19" t="s">
        <v>18</v>
      </c>
      <c r="F375">
        <v>4</v>
      </c>
      <c r="G375">
        <v>3</v>
      </c>
      <c r="H375">
        <v>0.74329999999999996</v>
      </c>
      <c r="I375" s="19" t="s">
        <v>249</v>
      </c>
      <c r="J375" s="19" t="s">
        <v>18</v>
      </c>
      <c r="K375">
        <v>3</v>
      </c>
      <c r="L375">
        <v>2</v>
      </c>
      <c r="M375">
        <v>0.03</v>
      </c>
      <c r="N375" s="19" t="s">
        <v>23</v>
      </c>
      <c r="O375" s="19" t="s">
        <v>284</v>
      </c>
      <c r="P375" s="19" t="s">
        <v>289</v>
      </c>
      <c r="Q375" s="19" t="s">
        <v>285</v>
      </c>
      <c r="R375" s="19" t="s">
        <v>249</v>
      </c>
      <c r="S375" s="19" t="s">
        <v>249</v>
      </c>
      <c r="T375" s="19" t="s">
        <v>286</v>
      </c>
    </row>
    <row r="376" spans="1:20" x14ac:dyDescent="0.2">
      <c r="A376" s="1">
        <v>46044</v>
      </c>
      <c r="B376" s="2">
        <v>0.83333333333333337</v>
      </c>
      <c r="C376" s="19" t="s">
        <v>40</v>
      </c>
      <c r="D376" s="19" t="s">
        <v>11</v>
      </c>
      <c r="E376" s="19" t="s">
        <v>11</v>
      </c>
      <c r="F376">
        <v>3</v>
      </c>
      <c r="G376">
        <v>4</v>
      </c>
      <c r="H376">
        <v>0.56410000000000005</v>
      </c>
      <c r="I376" s="19" t="s">
        <v>249</v>
      </c>
      <c r="J376" s="19" t="s">
        <v>40</v>
      </c>
      <c r="K376">
        <v>3</v>
      </c>
      <c r="L376">
        <v>2</v>
      </c>
      <c r="M376">
        <v>0.24</v>
      </c>
      <c r="N376" s="19" t="s">
        <v>11</v>
      </c>
      <c r="O376" s="19" t="s">
        <v>287</v>
      </c>
      <c r="P376" s="19" t="s">
        <v>284</v>
      </c>
      <c r="Q376" s="19" t="s">
        <v>287</v>
      </c>
      <c r="R376" s="19" t="s">
        <v>248</v>
      </c>
      <c r="S376" s="19" t="s">
        <v>249</v>
      </c>
      <c r="T376" s="19" t="s">
        <v>286</v>
      </c>
    </row>
    <row r="377" spans="1:20" x14ac:dyDescent="0.2">
      <c r="A377" s="1">
        <v>46044</v>
      </c>
      <c r="B377" s="2">
        <v>0.89583333333333337</v>
      </c>
      <c r="C377" s="19" t="s">
        <v>34</v>
      </c>
      <c r="D377" s="19" t="s">
        <v>26</v>
      </c>
      <c r="E377" s="19" t="s">
        <v>34</v>
      </c>
      <c r="F377">
        <v>4</v>
      </c>
      <c r="G377">
        <v>3</v>
      </c>
      <c r="H377">
        <v>0.54690000000000005</v>
      </c>
      <c r="I377" s="19" t="s">
        <v>248</v>
      </c>
      <c r="J377" s="19" t="s">
        <v>34</v>
      </c>
      <c r="K377">
        <v>3</v>
      </c>
      <c r="L377">
        <v>2</v>
      </c>
      <c r="M377">
        <v>0.39</v>
      </c>
      <c r="N377" s="19" t="s">
        <v>34</v>
      </c>
      <c r="O377" s="19" t="s">
        <v>289</v>
      </c>
      <c r="P377" s="19" t="s">
        <v>291</v>
      </c>
      <c r="Q377" s="19" t="s">
        <v>287</v>
      </c>
      <c r="R377" s="19" t="s">
        <v>248</v>
      </c>
      <c r="S377" s="19" t="s">
        <v>248</v>
      </c>
      <c r="T377" s="19" t="s">
        <v>286</v>
      </c>
    </row>
    <row r="378" spans="1:20" x14ac:dyDescent="0.2">
      <c r="A378" s="1">
        <v>46045</v>
      </c>
      <c r="B378" s="2">
        <v>0.875</v>
      </c>
      <c r="C378" s="19" t="s">
        <v>16</v>
      </c>
      <c r="D378" s="19" t="s">
        <v>22</v>
      </c>
      <c r="E378" s="19" t="s">
        <v>16</v>
      </c>
      <c r="F378">
        <v>3</v>
      </c>
      <c r="G378">
        <v>2</v>
      </c>
      <c r="H378">
        <v>0.65200000000000002</v>
      </c>
      <c r="I378" s="19" t="s">
        <v>249</v>
      </c>
      <c r="J378" s="19" t="s">
        <v>22</v>
      </c>
      <c r="K378">
        <v>3</v>
      </c>
      <c r="L378">
        <v>2</v>
      </c>
      <c r="M378">
        <v>-0.56000000000000005</v>
      </c>
      <c r="N378" s="19" t="s">
        <v>22</v>
      </c>
      <c r="O378" s="19" t="s">
        <v>287</v>
      </c>
      <c r="P378" s="19" t="s">
        <v>291</v>
      </c>
      <c r="Q378" s="19" t="s">
        <v>285</v>
      </c>
      <c r="R378" s="19" t="s">
        <v>249</v>
      </c>
      <c r="S378" s="19" t="s">
        <v>248</v>
      </c>
      <c r="T378" s="19" t="s">
        <v>286</v>
      </c>
    </row>
    <row r="379" spans="1:20" x14ac:dyDescent="0.2">
      <c r="A379" s="1">
        <v>46045</v>
      </c>
      <c r="B379" s="2">
        <v>0.79166666666666663</v>
      </c>
      <c r="C379" s="19" t="s">
        <v>10</v>
      </c>
      <c r="D379" s="19" t="s">
        <v>37</v>
      </c>
      <c r="E379" s="19" t="s">
        <v>37</v>
      </c>
      <c r="F379">
        <v>2</v>
      </c>
      <c r="G379">
        <v>4</v>
      </c>
      <c r="H379">
        <v>0.84140000000000004</v>
      </c>
      <c r="I379" s="19" t="s">
        <v>249</v>
      </c>
      <c r="J379" s="19" t="s">
        <v>37</v>
      </c>
      <c r="K379">
        <v>3</v>
      </c>
      <c r="L379">
        <v>2</v>
      </c>
      <c r="M379">
        <v>-1.32</v>
      </c>
      <c r="N379" s="19" t="s">
        <v>37</v>
      </c>
      <c r="O379" s="19" t="s">
        <v>287</v>
      </c>
      <c r="P379" s="19" t="s">
        <v>284</v>
      </c>
      <c r="Q379" s="19" t="s">
        <v>287</v>
      </c>
      <c r="R379" s="19" t="s">
        <v>248</v>
      </c>
      <c r="S379" s="19" t="s">
        <v>248</v>
      </c>
      <c r="T379" s="19" t="s">
        <v>286</v>
      </c>
    </row>
    <row r="380" spans="1:20" x14ac:dyDescent="0.2">
      <c r="A380" s="1">
        <v>46045</v>
      </c>
      <c r="B380" s="2">
        <v>0.79166666666666663</v>
      </c>
      <c r="C380" s="19" t="s">
        <v>19</v>
      </c>
      <c r="D380" s="19" t="s">
        <v>20</v>
      </c>
      <c r="E380" s="19" t="s">
        <v>19</v>
      </c>
      <c r="F380">
        <v>4</v>
      </c>
      <c r="G380">
        <v>3</v>
      </c>
      <c r="H380">
        <v>0.62209999999999999</v>
      </c>
      <c r="I380" s="19" t="s">
        <v>249</v>
      </c>
      <c r="J380" s="19" t="s">
        <v>20</v>
      </c>
      <c r="K380">
        <v>3</v>
      </c>
      <c r="L380">
        <v>2</v>
      </c>
      <c r="M380">
        <v>-0.1</v>
      </c>
      <c r="N380" s="19" t="s">
        <v>20</v>
      </c>
      <c r="O380" s="19" t="s">
        <v>291</v>
      </c>
      <c r="P380" s="19" t="s">
        <v>288</v>
      </c>
      <c r="Q380" s="19" t="s">
        <v>285</v>
      </c>
      <c r="R380" s="19" t="s">
        <v>249</v>
      </c>
      <c r="S380" s="19" t="s">
        <v>248</v>
      </c>
      <c r="T380" s="19" t="s">
        <v>286</v>
      </c>
    </row>
    <row r="381" spans="1:20" x14ac:dyDescent="0.2">
      <c r="A381" s="1">
        <v>46045</v>
      </c>
      <c r="B381" s="2">
        <v>0.875</v>
      </c>
      <c r="C381" s="19" t="s">
        <v>12</v>
      </c>
      <c r="D381" s="19" t="s">
        <v>27</v>
      </c>
      <c r="E381" s="19" t="s">
        <v>12</v>
      </c>
      <c r="F381">
        <v>5</v>
      </c>
      <c r="G381">
        <v>1</v>
      </c>
      <c r="H381">
        <v>0.92430000000000001</v>
      </c>
      <c r="I381" s="19" t="s">
        <v>249</v>
      </c>
      <c r="J381" s="19" t="s">
        <v>12</v>
      </c>
      <c r="K381">
        <v>3</v>
      </c>
      <c r="L381">
        <v>2</v>
      </c>
      <c r="M381">
        <v>1.84</v>
      </c>
      <c r="N381" s="19" t="s">
        <v>27</v>
      </c>
      <c r="O381" s="19" t="s">
        <v>291</v>
      </c>
      <c r="P381" s="19" t="s">
        <v>292</v>
      </c>
      <c r="Q381" s="19" t="s">
        <v>285</v>
      </c>
      <c r="R381" s="19" t="s">
        <v>249</v>
      </c>
      <c r="S381" s="19" t="s">
        <v>249</v>
      </c>
      <c r="T381" s="19" t="s">
        <v>286</v>
      </c>
    </row>
    <row r="382" spans="1:20" x14ac:dyDescent="0.2">
      <c r="A382" s="1">
        <v>46045</v>
      </c>
      <c r="B382" s="2">
        <v>0.91666666666666663</v>
      </c>
      <c r="C382" s="19" t="s">
        <v>32</v>
      </c>
      <c r="D382" s="19" t="s">
        <v>31</v>
      </c>
      <c r="E382" s="19" t="s">
        <v>32</v>
      </c>
      <c r="F382">
        <v>3</v>
      </c>
      <c r="G382">
        <v>2</v>
      </c>
      <c r="H382">
        <v>0.79500000000000004</v>
      </c>
      <c r="I382" s="19" t="s">
        <v>249</v>
      </c>
      <c r="J382" s="19" t="s">
        <v>32</v>
      </c>
      <c r="K382">
        <v>3</v>
      </c>
      <c r="L382">
        <v>2</v>
      </c>
      <c r="M382">
        <v>0.01</v>
      </c>
      <c r="N382" s="19" t="s">
        <v>31</v>
      </c>
      <c r="O382" s="19" t="s">
        <v>284</v>
      </c>
      <c r="P382" s="19" t="s">
        <v>289</v>
      </c>
      <c r="Q382" s="19" t="s">
        <v>285</v>
      </c>
      <c r="R382" s="19" t="s">
        <v>249</v>
      </c>
      <c r="S382" s="19" t="s">
        <v>249</v>
      </c>
      <c r="T382" s="19" t="s">
        <v>286</v>
      </c>
    </row>
    <row r="383" spans="1:20" x14ac:dyDescent="0.2">
      <c r="A383" s="1">
        <v>46045</v>
      </c>
      <c r="B383" s="2">
        <v>0.91666666666666663</v>
      </c>
      <c r="C383" s="19" t="s">
        <v>33</v>
      </c>
      <c r="D383" s="19" t="s">
        <v>15</v>
      </c>
      <c r="E383" s="19" t="s">
        <v>15</v>
      </c>
      <c r="F383">
        <v>3</v>
      </c>
      <c r="G383">
        <v>4</v>
      </c>
      <c r="H383">
        <v>0.65349999999999997</v>
      </c>
      <c r="I383" s="19" t="s">
        <v>249</v>
      </c>
      <c r="J383" s="19" t="s">
        <v>33</v>
      </c>
      <c r="K383">
        <v>3</v>
      </c>
      <c r="L383">
        <v>2</v>
      </c>
      <c r="M383">
        <v>0.15</v>
      </c>
      <c r="N383" s="19" t="s">
        <v>33</v>
      </c>
      <c r="O383" s="19" t="s">
        <v>291</v>
      </c>
      <c r="P383" s="19" t="s">
        <v>287</v>
      </c>
      <c r="Q383" s="19" t="s">
        <v>285</v>
      </c>
      <c r="R383" s="19" t="s">
        <v>249</v>
      </c>
      <c r="S383" s="19" t="s">
        <v>248</v>
      </c>
      <c r="T383" s="19" t="s">
        <v>286</v>
      </c>
    </row>
    <row r="384" spans="1:20" x14ac:dyDescent="0.2">
      <c r="A384" s="1">
        <v>46045</v>
      </c>
      <c r="B384" s="2">
        <v>0.91666666666666663</v>
      </c>
      <c r="C384" s="19" t="s">
        <v>38</v>
      </c>
      <c r="D384" s="19" t="s">
        <v>24</v>
      </c>
      <c r="E384" s="19" t="s">
        <v>24</v>
      </c>
      <c r="F384">
        <v>3</v>
      </c>
      <c r="G384">
        <v>4</v>
      </c>
      <c r="H384">
        <v>0.73699999999999999</v>
      </c>
      <c r="I384" s="19" t="s">
        <v>249</v>
      </c>
      <c r="J384" s="19" t="s">
        <v>24</v>
      </c>
      <c r="K384">
        <v>3</v>
      </c>
      <c r="L384">
        <v>2</v>
      </c>
      <c r="M384">
        <v>-0.59</v>
      </c>
      <c r="N384" s="19" t="s">
        <v>24</v>
      </c>
      <c r="O384" s="19" t="s">
        <v>289</v>
      </c>
      <c r="P384" s="19" t="s">
        <v>283</v>
      </c>
      <c r="Q384" s="19" t="s">
        <v>285</v>
      </c>
      <c r="R384" s="19" t="s">
        <v>248</v>
      </c>
      <c r="S384" s="19" t="s">
        <v>248</v>
      </c>
      <c r="T384" s="19" t="s">
        <v>286</v>
      </c>
    </row>
    <row r="385" spans="1:20" x14ac:dyDescent="0.2">
      <c r="A385" s="1">
        <v>46045</v>
      </c>
      <c r="B385" s="2">
        <v>0.83333333333333337</v>
      </c>
      <c r="C385" s="19" t="s">
        <v>39</v>
      </c>
      <c r="D385" s="19" t="s">
        <v>35</v>
      </c>
      <c r="E385" s="19" t="s">
        <v>39</v>
      </c>
      <c r="F385">
        <v>4</v>
      </c>
      <c r="G385">
        <v>3</v>
      </c>
      <c r="H385">
        <v>0.73329999999999995</v>
      </c>
      <c r="I385" s="19" t="s">
        <v>249</v>
      </c>
      <c r="J385" s="19" t="s">
        <v>39</v>
      </c>
      <c r="K385">
        <v>3</v>
      </c>
      <c r="L385">
        <v>2</v>
      </c>
      <c r="M385">
        <v>1.62</v>
      </c>
      <c r="N385" s="19" t="s">
        <v>39</v>
      </c>
      <c r="O385" s="19" t="s">
        <v>291</v>
      </c>
      <c r="P385" s="19" t="s">
        <v>284</v>
      </c>
      <c r="Q385" s="19" t="s">
        <v>285</v>
      </c>
      <c r="R385" s="19" t="s">
        <v>248</v>
      </c>
      <c r="S385" s="19" t="s">
        <v>248</v>
      </c>
      <c r="T385" s="19" t="s">
        <v>286</v>
      </c>
    </row>
    <row r="386" spans="1:20" x14ac:dyDescent="0.2">
      <c r="A386" s="1">
        <v>46046</v>
      </c>
      <c r="B386" s="2">
        <v>0.54166666666666663</v>
      </c>
      <c r="C386" s="19" t="s">
        <v>30</v>
      </c>
      <c r="D386" s="19" t="s">
        <v>23</v>
      </c>
      <c r="E386" s="19" t="s">
        <v>30</v>
      </c>
      <c r="F386">
        <v>4</v>
      </c>
      <c r="G386">
        <v>3</v>
      </c>
      <c r="H386">
        <v>0.65369999999999995</v>
      </c>
      <c r="I386" s="19" t="s">
        <v>249</v>
      </c>
      <c r="J386" s="19" t="s">
        <v>30</v>
      </c>
      <c r="K386">
        <v>3</v>
      </c>
      <c r="L386">
        <v>2</v>
      </c>
      <c r="M386">
        <v>0.05</v>
      </c>
      <c r="N386" s="19" t="s">
        <v>23</v>
      </c>
      <c r="O386" s="19" t="s">
        <v>285</v>
      </c>
      <c r="P386" s="19" t="s">
        <v>283</v>
      </c>
      <c r="Q386" s="19" t="s">
        <v>285</v>
      </c>
      <c r="R386" s="19" t="s">
        <v>249</v>
      </c>
      <c r="S386" s="19" t="s">
        <v>249</v>
      </c>
      <c r="T386" s="19" t="s">
        <v>286</v>
      </c>
    </row>
    <row r="387" spans="1:20" x14ac:dyDescent="0.2">
      <c r="A387" s="1">
        <v>46046</v>
      </c>
      <c r="B387" s="2">
        <v>0.79166666666666663</v>
      </c>
      <c r="C387" s="19" t="s">
        <v>36</v>
      </c>
      <c r="D387" s="19" t="s">
        <v>25</v>
      </c>
      <c r="E387" s="19" t="s">
        <v>25</v>
      </c>
      <c r="F387">
        <v>3</v>
      </c>
      <c r="G387">
        <v>4</v>
      </c>
      <c r="H387">
        <v>0.77159999999999995</v>
      </c>
      <c r="I387" s="19" t="s">
        <v>249</v>
      </c>
      <c r="J387" s="19" t="s">
        <v>25</v>
      </c>
      <c r="K387">
        <v>3</v>
      </c>
      <c r="L387">
        <v>2</v>
      </c>
      <c r="M387">
        <v>-0.5</v>
      </c>
      <c r="N387" s="19" t="s">
        <v>25</v>
      </c>
      <c r="O387" s="19" t="s">
        <v>287</v>
      </c>
      <c r="P387" s="19" t="s">
        <v>289</v>
      </c>
      <c r="Q387" s="19" t="s">
        <v>285</v>
      </c>
      <c r="R387" s="19" t="s">
        <v>248</v>
      </c>
      <c r="S387" s="19" t="s">
        <v>248</v>
      </c>
      <c r="T387" s="19" t="s">
        <v>286</v>
      </c>
    </row>
    <row r="388" spans="1:20" x14ac:dyDescent="0.2">
      <c r="A388" s="1">
        <v>46046</v>
      </c>
      <c r="B388" s="2">
        <v>0.64583333333333337</v>
      </c>
      <c r="C388" s="19" t="s">
        <v>29</v>
      </c>
      <c r="D388" s="19" t="s">
        <v>55</v>
      </c>
      <c r="E388" s="19" t="s">
        <v>29</v>
      </c>
      <c r="F388">
        <v>4</v>
      </c>
      <c r="G388">
        <v>3</v>
      </c>
      <c r="H388">
        <v>0.76770000000000005</v>
      </c>
      <c r="I388" s="19" t="s">
        <v>249</v>
      </c>
      <c r="J388" s="19" t="s">
        <v>55</v>
      </c>
      <c r="K388">
        <v>3</v>
      </c>
      <c r="L388">
        <v>2</v>
      </c>
      <c r="M388">
        <v>-0.67</v>
      </c>
      <c r="N388" s="19" t="s">
        <v>55</v>
      </c>
      <c r="O388" s="19" t="s">
        <v>284</v>
      </c>
      <c r="P388" s="19" t="s">
        <v>283</v>
      </c>
      <c r="Q388" s="19" t="s">
        <v>285</v>
      </c>
      <c r="R388" s="19" t="s">
        <v>249</v>
      </c>
      <c r="S388" s="19" t="s">
        <v>248</v>
      </c>
      <c r="T388" s="19" t="s">
        <v>286</v>
      </c>
    </row>
    <row r="389" spans="1:20" x14ac:dyDescent="0.2">
      <c r="A389" s="1">
        <v>46046</v>
      </c>
      <c r="B389" s="2">
        <v>0.83333333333333337</v>
      </c>
      <c r="C389" s="19" t="s">
        <v>35</v>
      </c>
      <c r="D389" s="19" t="s">
        <v>13</v>
      </c>
      <c r="E389" s="19" t="s">
        <v>13</v>
      </c>
      <c r="F389">
        <v>2</v>
      </c>
      <c r="G389">
        <v>3</v>
      </c>
      <c r="H389">
        <v>0.71340000000000003</v>
      </c>
      <c r="I389" s="19" t="s">
        <v>248</v>
      </c>
      <c r="J389" s="19" t="s">
        <v>13</v>
      </c>
      <c r="K389">
        <v>3</v>
      </c>
      <c r="L389">
        <v>2</v>
      </c>
      <c r="M389">
        <v>-0.72</v>
      </c>
      <c r="N389" s="19" t="s">
        <v>13</v>
      </c>
      <c r="O389" s="19" t="s">
        <v>289</v>
      </c>
      <c r="P389" s="19" t="s">
        <v>283</v>
      </c>
      <c r="Q389" s="19" t="s">
        <v>287</v>
      </c>
      <c r="R389" s="19" t="s">
        <v>248</v>
      </c>
      <c r="S389" s="19" t="s">
        <v>248</v>
      </c>
      <c r="T389" s="19" t="s">
        <v>286</v>
      </c>
    </row>
    <row r="390" spans="1:20" x14ac:dyDescent="0.2">
      <c r="A390" s="1">
        <v>46046</v>
      </c>
      <c r="B390" s="2">
        <v>0.91666666666666663</v>
      </c>
      <c r="C390" s="19" t="s">
        <v>17</v>
      </c>
      <c r="D390" s="19" t="s">
        <v>22</v>
      </c>
      <c r="E390" s="19" t="s">
        <v>17</v>
      </c>
      <c r="F390">
        <v>5</v>
      </c>
      <c r="G390">
        <v>4</v>
      </c>
      <c r="H390">
        <v>0.63849999999999996</v>
      </c>
      <c r="I390" s="19" t="s">
        <v>249</v>
      </c>
      <c r="J390" s="19" t="s">
        <v>22</v>
      </c>
      <c r="K390">
        <v>3</v>
      </c>
      <c r="L390">
        <v>2</v>
      </c>
      <c r="M390">
        <v>-0.04</v>
      </c>
      <c r="N390" s="19" t="s">
        <v>17</v>
      </c>
      <c r="O390" s="19" t="s">
        <v>288</v>
      </c>
      <c r="P390" s="19" t="s">
        <v>283</v>
      </c>
      <c r="Q390" s="19" t="s">
        <v>287</v>
      </c>
      <c r="R390" s="19" t="s">
        <v>248</v>
      </c>
      <c r="S390" s="19" t="s">
        <v>249</v>
      </c>
      <c r="T390" s="19" t="s">
        <v>286</v>
      </c>
    </row>
    <row r="391" spans="1:20" x14ac:dyDescent="0.2">
      <c r="A391" s="1">
        <v>46046</v>
      </c>
      <c r="B391" s="2">
        <v>0.79166666666666663</v>
      </c>
      <c r="C391" s="19" t="s">
        <v>28</v>
      </c>
      <c r="D391" s="19" t="s">
        <v>37</v>
      </c>
      <c r="E391" s="19" t="s">
        <v>37</v>
      </c>
      <c r="F391">
        <v>2</v>
      </c>
      <c r="G391">
        <v>4</v>
      </c>
      <c r="H391">
        <v>0.86760000000000004</v>
      </c>
      <c r="I391" s="19" t="s">
        <v>249</v>
      </c>
      <c r="J391" s="19" t="s">
        <v>37</v>
      </c>
      <c r="K391">
        <v>3</v>
      </c>
      <c r="L391">
        <v>2</v>
      </c>
      <c r="M391">
        <v>-1.1299999999999999</v>
      </c>
      <c r="N391" s="19" t="s">
        <v>28</v>
      </c>
      <c r="O391" s="19" t="s">
        <v>1531</v>
      </c>
      <c r="P391" s="19" t="s">
        <v>283</v>
      </c>
      <c r="Q391" s="19" t="s">
        <v>285</v>
      </c>
      <c r="R391" s="19" t="s">
        <v>249</v>
      </c>
      <c r="S391" s="19" t="s">
        <v>249</v>
      </c>
      <c r="T391" s="19" t="s">
        <v>286</v>
      </c>
    </row>
    <row r="392" spans="1:20" x14ac:dyDescent="0.2">
      <c r="A392" s="1">
        <v>46046</v>
      </c>
      <c r="B392" s="2">
        <v>0.79166666666666663</v>
      </c>
      <c r="C392" s="19" t="s">
        <v>21</v>
      </c>
      <c r="D392" s="19" t="s">
        <v>18</v>
      </c>
      <c r="E392" s="19" t="s">
        <v>18</v>
      </c>
      <c r="F392">
        <v>3</v>
      </c>
      <c r="G392">
        <v>4</v>
      </c>
      <c r="H392">
        <v>0.68920000000000003</v>
      </c>
      <c r="I392" s="19" t="s">
        <v>249</v>
      </c>
      <c r="J392" s="19" t="s">
        <v>21</v>
      </c>
      <c r="K392">
        <v>3</v>
      </c>
      <c r="L392">
        <v>2</v>
      </c>
      <c r="M392">
        <v>0.28999999999999998</v>
      </c>
      <c r="N392" s="19" t="s">
        <v>21</v>
      </c>
      <c r="O392" s="19" t="s">
        <v>289</v>
      </c>
      <c r="P392" s="19" t="s">
        <v>291</v>
      </c>
      <c r="Q392" s="19" t="s">
        <v>285</v>
      </c>
      <c r="R392" s="19" t="s">
        <v>249</v>
      </c>
      <c r="S392" s="19" t="s">
        <v>248</v>
      </c>
      <c r="T392" s="19" t="s">
        <v>286</v>
      </c>
    </row>
    <row r="393" spans="1:20" x14ac:dyDescent="0.2">
      <c r="A393" s="1">
        <v>46046</v>
      </c>
      <c r="B393" s="2">
        <v>0.875</v>
      </c>
      <c r="C393" s="19" t="s">
        <v>34</v>
      </c>
      <c r="D393" s="19" t="s">
        <v>11</v>
      </c>
      <c r="E393" s="19" t="s">
        <v>11</v>
      </c>
      <c r="F393">
        <v>3</v>
      </c>
      <c r="G393">
        <v>4</v>
      </c>
      <c r="H393">
        <v>0.61229999999999996</v>
      </c>
      <c r="I393" s="19" t="s">
        <v>249</v>
      </c>
      <c r="J393" s="19" t="s">
        <v>34</v>
      </c>
      <c r="K393">
        <v>3</v>
      </c>
      <c r="L393">
        <v>2</v>
      </c>
      <c r="M393">
        <v>0.61</v>
      </c>
      <c r="N393" s="19" t="s">
        <v>11</v>
      </c>
      <c r="O393" s="19" t="s">
        <v>291</v>
      </c>
      <c r="P393" s="19" t="s">
        <v>289</v>
      </c>
      <c r="Q393" s="19" t="s">
        <v>287</v>
      </c>
      <c r="R393" s="19" t="s">
        <v>248</v>
      </c>
      <c r="S393" s="19" t="s">
        <v>249</v>
      </c>
      <c r="T393" s="19" t="s">
        <v>286</v>
      </c>
    </row>
    <row r="394" spans="1:20" x14ac:dyDescent="0.2">
      <c r="A394" s="1">
        <v>46046</v>
      </c>
      <c r="B394" s="2">
        <v>0.79166666666666663</v>
      </c>
      <c r="C394" s="19" t="s">
        <v>40</v>
      </c>
      <c r="D394" s="19" t="s">
        <v>26</v>
      </c>
      <c r="E394" s="19" t="s">
        <v>26</v>
      </c>
      <c r="F394">
        <v>3</v>
      </c>
      <c r="G394">
        <v>4</v>
      </c>
      <c r="H394">
        <v>0.84389999999999998</v>
      </c>
      <c r="I394" s="19" t="s">
        <v>249</v>
      </c>
      <c r="J394" s="19" t="s">
        <v>26</v>
      </c>
      <c r="K394">
        <v>3</v>
      </c>
      <c r="L394">
        <v>2</v>
      </c>
      <c r="M394">
        <v>-0.05</v>
      </c>
      <c r="N394" s="19" t="s">
        <v>26</v>
      </c>
      <c r="O394" s="19" t="s">
        <v>287</v>
      </c>
      <c r="P394" s="19" t="s">
        <v>283</v>
      </c>
      <c r="Q394" s="19" t="s">
        <v>285</v>
      </c>
      <c r="R394" s="19" t="s">
        <v>248</v>
      </c>
      <c r="S394" s="19" t="s">
        <v>248</v>
      </c>
      <c r="T394" s="19" t="s">
        <v>286</v>
      </c>
    </row>
    <row r="395" spans="1:20" x14ac:dyDescent="0.2">
      <c r="A395" s="1">
        <v>46047</v>
      </c>
      <c r="B395" s="2">
        <v>0.66666666666666663</v>
      </c>
      <c r="C395" s="19" t="s">
        <v>32</v>
      </c>
      <c r="D395" s="19" t="s">
        <v>24</v>
      </c>
      <c r="E395" s="19" t="s">
        <v>24</v>
      </c>
      <c r="F395">
        <v>3</v>
      </c>
      <c r="G395">
        <v>4</v>
      </c>
      <c r="H395">
        <v>0.5827</v>
      </c>
      <c r="I395" s="19" t="s">
        <v>249</v>
      </c>
      <c r="J395" s="19" t="s">
        <v>32</v>
      </c>
      <c r="K395">
        <v>3</v>
      </c>
      <c r="L395">
        <v>2</v>
      </c>
      <c r="M395">
        <v>0.05</v>
      </c>
      <c r="N395" s="19" t="s">
        <v>60</v>
      </c>
      <c r="O395" s="19" t="s">
        <v>60</v>
      </c>
      <c r="P395" s="19" t="s">
        <v>60</v>
      </c>
      <c r="Q395" s="19" t="s">
        <v>60</v>
      </c>
      <c r="R395" s="19" t="s">
        <v>60</v>
      </c>
      <c r="S395" s="19" t="s">
        <v>60</v>
      </c>
      <c r="T395" s="19" t="s">
        <v>281</v>
      </c>
    </row>
    <row r="396" spans="1:20" x14ac:dyDescent="0.2">
      <c r="A396" s="1">
        <v>46047</v>
      </c>
      <c r="B396" s="2">
        <v>0.70833333333333337</v>
      </c>
      <c r="C396" s="19" t="s">
        <v>36</v>
      </c>
      <c r="D396" s="19" t="s">
        <v>20</v>
      </c>
      <c r="E396" s="19" t="s">
        <v>20</v>
      </c>
      <c r="F396">
        <v>2</v>
      </c>
      <c r="G396">
        <v>3</v>
      </c>
      <c r="H396">
        <v>0.66369999999999996</v>
      </c>
      <c r="I396" s="19" t="s">
        <v>248</v>
      </c>
      <c r="J396" s="19" t="s">
        <v>20</v>
      </c>
      <c r="K396">
        <v>3</v>
      </c>
      <c r="L396">
        <v>2</v>
      </c>
      <c r="M396">
        <v>-0.3</v>
      </c>
      <c r="N396" s="19" t="s">
        <v>60</v>
      </c>
      <c r="O396" s="19" t="s">
        <v>60</v>
      </c>
      <c r="P396" s="19" t="s">
        <v>60</v>
      </c>
      <c r="Q396" s="19" t="s">
        <v>60</v>
      </c>
      <c r="R396" s="19" t="s">
        <v>60</v>
      </c>
      <c r="S396" s="19" t="s">
        <v>60</v>
      </c>
      <c r="T396" s="19" t="s">
        <v>281</v>
      </c>
    </row>
    <row r="397" spans="1:20" x14ac:dyDescent="0.2">
      <c r="A397" s="1">
        <v>46047</v>
      </c>
      <c r="B397" s="2">
        <v>0.5625</v>
      </c>
      <c r="C397" s="19" t="s">
        <v>19</v>
      </c>
      <c r="D397" s="19" t="s">
        <v>12</v>
      </c>
      <c r="E397" s="19" t="s">
        <v>12</v>
      </c>
      <c r="F397">
        <v>3</v>
      </c>
      <c r="G397">
        <v>4</v>
      </c>
      <c r="H397">
        <v>0.5665</v>
      </c>
      <c r="I397" s="19" t="s">
        <v>249</v>
      </c>
      <c r="J397" s="19" t="s">
        <v>12</v>
      </c>
      <c r="K397">
        <v>3</v>
      </c>
      <c r="L397">
        <v>2</v>
      </c>
      <c r="M397">
        <v>-1.4</v>
      </c>
      <c r="N397" s="19" t="s">
        <v>60</v>
      </c>
      <c r="O397" s="19" t="s">
        <v>60</v>
      </c>
      <c r="P397" s="19" t="s">
        <v>60</v>
      </c>
      <c r="Q397" s="19" t="s">
        <v>60</v>
      </c>
      <c r="R397" s="19" t="s">
        <v>60</v>
      </c>
      <c r="S397" s="19" t="s">
        <v>60</v>
      </c>
      <c r="T397" s="19" t="s">
        <v>281</v>
      </c>
    </row>
    <row r="398" spans="1:20" x14ac:dyDescent="0.2">
      <c r="A398" s="1">
        <v>46047</v>
      </c>
      <c r="B398" s="2">
        <v>0.83333333333333337</v>
      </c>
      <c r="C398" s="19" t="s">
        <v>16</v>
      </c>
      <c r="D398" s="19" t="s">
        <v>31</v>
      </c>
      <c r="E398" s="19" t="s">
        <v>16</v>
      </c>
      <c r="F398">
        <v>3</v>
      </c>
      <c r="G398">
        <v>2</v>
      </c>
      <c r="H398">
        <v>0.68459999999999999</v>
      </c>
      <c r="I398" s="19" t="s">
        <v>249</v>
      </c>
      <c r="J398" s="19" t="s">
        <v>31</v>
      </c>
      <c r="K398">
        <v>3</v>
      </c>
      <c r="L398">
        <v>2</v>
      </c>
      <c r="M398">
        <v>-0.31</v>
      </c>
      <c r="N398" s="19" t="s">
        <v>60</v>
      </c>
      <c r="O398" s="19" t="s">
        <v>60</v>
      </c>
      <c r="P398" s="19" t="s">
        <v>60</v>
      </c>
      <c r="Q398" s="19" t="s">
        <v>60</v>
      </c>
      <c r="R398" s="19" t="s">
        <v>60</v>
      </c>
      <c r="S398" s="19" t="s">
        <v>60</v>
      </c>
      <c r="T398" s="19" t="s">
        <v>281</v>
      </c>
    </row>
    <row r="399" spans="1:20" x14ac:dyDescent="0.2">
      <c r="A399" s="1">
        <v>46047</v>
      </c>
      <c r="B399" s="2">
        <v>0.79166666666666663</v>
      </c>
      <c r="C399" s="19" t="s">
        <v>10</v>
      </c>
      <c r="D399" s="19" t="s">
        <v>11</v>
      </c>
      <c r="E399" s="19" t="s">
        <v>11</v>
      </c>
      <c r="F399">
        <v>3</v>
      </c>
      <c r="G399">
        <v>4</v>
      </c>
      <c r="H399">
        <v>0.81389999999999996</v>
      </c>
      <c r="I399" s="19" t="s">
        <v>249</v>
      </c>
      <c r="J399" s="19" t="s">
        <v>11</v>
      </c>
      <c r="K399">
        <v>3</v>
      </c>
      <c r="L399">
        <v>2</v>
      </c>
      <c r="M399">
        <v>-0.18</v>
      </c>
      <c r="N399" s="19" t="s">
        <v>60</v>
      </c>
      <c r="O399" s="19" t="s">
        <v>60</v>
      </c>
      <c r="P399" s="19" t="s">
        <v>60</v>
      </c>
      <c r="Q399" s="19" t="s">
        <v>60</v>
      </c>
      <c r="R399" s="19" t="s">
        <v>60</v>
      </c>
      <c r="S399" s="19" t="s">
        <v>60</v>
      </c>
      <c r="T399" s="19" t="s">
        <v>281</v>
      </c>
    </row>
    <row r="400" spans="1:20" x14ac:dyDescent="0.2">
      <c r="A400" s="1">
        <v>46047</v>
      </c>
      <c r="B400" s="2">
        <v>0.75</v>
      </c>
      <c r="C400" s="19" t="s">
        <v>38</v>
      </c>
      <c r="D400" s="19" t="s">
        <v>14</v>
      </c>
      <c r="E400" s="19" t="s">
        <v>14</v>
      </c>
      <c r="F400">
        <v>1</v>
      </c>
      <c r="G400">
        <v>4</v>
      </c>
      <c r="H400">
        <v>0.71379999999999999</v>
      </c>
      <c r="I400" s="19" t="s">
        <v>249</v>
      </c>
      <c r="J400" s="19" t="s">
        <v>14</v>
      </c>
      <c r="K400">
        <v>3</v>
      </c>
      <c r="L400">
        <v>2</v>
      </c>
      <c r="M400">
        <v>-1.1599999999999999</v>
      </c>
      <c r="N400" s="19" t="s">
        <v>60</v>
      </c>
      <c r="O400" s="19" t="s">
        <v>60</v>
      </c>
      <c r="P400" s="19" t="s">
        <v>60</v>
      </c>
      <c r="Q400" s="19" t="s">
        <v>60</v>
      </c>
      <c r="R400" s="19" t="s">
        <v>60</v>
      </c>
      <c r="S400" s="19" t="s">
        <v>60</v>
      </c>
      <c r="T400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1002"/>
  <sheetViews>
    <sheetView zoomScale="87" workbookViewId="0">
      <selection activeCell="L14" sqref="L14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327</v>
      </c>
      <c r="C2">
        <v>29</v>
      </c>
      <c r="D2" s="19" t="s">
        <v>328</v>
      </c>
      <c r="E2" s="19" t="s">
        <v>322</v>
      </c>
      <c r="F2">
        <v>53</v>
      </c>
      <c r="G2">
        <v>32</v>
      </c>
      <c r="H2">
        <v>58</v>
      </c>
      <c r="I2">
        <v>90</v>
      </c>
      <c r="J2">
        <v>10</v>
      </c>
      <c r="K2">
        <v>20</v>
      </c>
      <c r="L2">
        <v>21</v>
      </c>
      <c r="M2">
        <v>10</v>
      </c>
      <c r="N2">
        <v>1</v>
      </c>
      <c r="O2">
        <v>2</v>
      </c>
      <c r="P2">
        <v>29</v>
      </c>
      <c r="Q2">
        <v>28</v>
      </c>
      <c r="R2">
        <v>1</v>
      </c>
      <c r="S2">
        <v>200</v>
      </c>
      <c r="T2">
        <v>16</v>
      </c>
      <c r="U2">
        <v>341</v>
      </c>
      <c r="V2" s="19" t="s">
        <v>2595</v>
      </c>
      <c r="W2" s="19" t="s">
        <v>2596</v>
      </c>
      <c r="X2">
        <v>283</v>
      </c>
      <c r="Y2">
        <v>319</v>
      </c>
      <c r="Z2">
        <v>47</v>
      </c>
      <c r="AA2">
        <v>20</v>
      </c>
      <c r="AB2">
        <v>22</v>
      </c>
      <c r="AC2">
        <v>18</v>
      </c>
      <c r="AD2">
        <v>81</v>
      </c>
      <c r="AE2" s="19" t="s">
        <v>60</v>
      </c>
    </row>
    <row r="3" spans="1:31" x14ac:dyDescent="0.2">
      <c r="A3">
        <v>2</v>
      </c>
      <c r="B3" s="19" t="s">
        <v>320</v>
      </c>
      <c r="C3">
        <v>30</v>
      </c>
      <c r="D3" s="19" t="s">
        <v>321</v>
      </c>
      <c r="E3" s="19" t="s">
        <v>322</v>
      </c>
      <c r="F3">
        <v>49</v>
      </c>
      <c r="G3">
        <v>38</v>
      </c>
      <c r="H3">
        <v>49</v>
      </c>
      <c r="I3">
        <v>87</v>
      </c>
      <c r="J3">
        <v>47</v>
      </c>
      <c r="K3">
        <v>18</v>
      </c>
      <c r="L3">
        <v>30</v>
      </c>
      <c r="M3">
        <v>8</v>
      </c>
      <c r="N3">
        <v>0</v>
      </c>
      <c r="O3">
        <v>5</v>
      </c>
      <c r="P3">
        <v>35</v>
      </c>
      <c r="Q3">
        <v>14</v>
      </c>
      <c r="R3">
        <v>0</v>
      </c>
      <c r="S3">
        <v>226</v>
      </c>
      <c r="T3">
        <v>16.8</v>
      </c>
      <c r="U3">
        <v>376</v>
      </c>
      <c r="V3" s="19" t="s">
        <v>2324</v>
      </c>
      <c r="W3" s="19" t="s">
        <v>1972</v>
      </c>
      <c r="X3">
        <v>469</v>
      </c>
      <c r="Y3">
        <v>456</v>
      </c>
      <c r="Z3">
        <v>50.7</v>
      </c>
      <c r="AA3">
        <v>26</v>
      </c>
      <c r="AB3">
        <v>43</v>
      </c>
      <c r="AC3">
        <v>13</v>
      </c>
      <c r="AD3">
        <v>99</v>
      </c>
      <c r="AE3" s="19" t="s">
        <v>60</v>
      </c>
    </row>
    <row r="4" spans="1:31" x14ac:dyDescent="0.2">
      <c r="A4">
        <v>3</v>
      </c>
      <c r="B4" s="19" t="s">
        <v>351</v>
      </c>
      <c r="C4">
        <v>32</v>
      </c>
      <c r="D4" s="19" t="s">
        <v>352</v>
      </c>
      <c r="E4" s="19" t="s">
        <v>335</v>
      </c>
      <c r="F4">
        <v>46</v>
      </c>
      <c r="G4">
        <v>26</v>
      </c>
      <c r="H4">
        <v>52</v>
      </c>
      <c r="I4">
        <v>78</v>
      </c>
      <c r="J4">
        <v>25</v>
      </c>
      <c r="K4">
        <v>22</v>
      </c>
      <c r="L4">
        <v>20</v>
      </c>
      <c r="M4">
        <v>6</v>
      </c>
      <c r="N4">
        <v>0</v>
      </c>
      <c r="O4">
        <v>4</v>
      </c>
      <c r="P4">
        <v>35</v>
      </c>
      <c r="Q4">
        <v>17</v>
      </c>
      <c r="R4">
        <v>0</v>
      </c>
      <c r="S4">
        <v>131</v>
      </c>
      <c r="T4">
        <v>19.8</v>
      </c>
      <c r="U4">
        <v>323</v>
      </c>
      <c r="V4" s="19" t="s">
        <v>2597</v>
      </c>
      <c r="W4" s="19" t="s">
        <v>2033</v>
      </c>
      <c r="X4">
        <v>0</v>
      </c>
      <c r="Y4">
        <v>2</v>
      </c>
      <c r="Z4">
        <v>0</v>
      </c>
      <c r="AA4">
        <v>16</v>
      </c>
      <c r="AB4">
        <v>16</v>
      </c>
      <c r="AC4">
        <v>12</v>
      </c>
      <c r="AD4">
        <v>75</v>
      </c>
      <c r="AE4" s="19" t="s">
        <v>60</v>
      </c>
    </row>
    <row r="5" spans="1:31" x14ac:dyDescent="0.2">
      <c r="A5">
        <v>4</v>
      </c>
      <c r="B5" s="19" t="s">
        <v>323</v>
      </c>
      <c r="C5">
        <v>19</v>
      </c>
      <c r="D5" s="19" t="s">
        <v>324</v>
      </c>
      <c r="E5" s="19" t="s">
        <v>325</v>
      </c>
      <c r="F5">
        <v>50</v>
      </c>
      <c r="G5">
        <v>26</v>
      </c>
      <c r="H5">
        <v>48</v>
      </c>
      <c r="I5">
        <v>74</v>
      </c>
      <c r="J5">
        <v>12</v>
      </c>
      <c r="K5">
        <v>28</v>
      </c>
      <c r="L5">
        <v>21</v>
      </c>
      <c r="M5">
        <v>5</v>
      </c>
      <c r="N5">
        <v>0</v>
      </c>
      <c r="O5">
        <v>4</v>
      </c>
      <c r="P5">
        <v>31</v>
      </c>
      <c r="Q5">
        <v>17</v>
      </c>
      <c r="R5">
        <v>0</v>
      </c>
      <c r="S5">
        <v>173</v>
      </c>
      <c r="T5">
        <v>15</v>
      </c>
      <c r="U5">
        <v>332</v>
      </c>
      <c r="V5" s="19" t="s">
        <v>2325</v>
      </c>
      <c r="W5" s="19" t="s">
        <v>2020</v>
      </c>
      <c r="X5">
        <v>386</v>
      </c>
      <c r="Y5">
        <v>392</v>
      </c>
      <c r="Z5">
        <v>49.6</v>
      </c>
      <c r="AA5">
        <v>31</v>
      </c>
      <c r="AB5">
        <v>26</v>
      </c>
      <c r="AC5">
        <v>31</v>
      </c>
      <c r="AD5">
        <v>78</v>
      </c>
      <c r="AE5" s="19" t="s">
        <v>60</v>
      </c>
    </row>
    <row r="6" spans="1:31" x14ac:dyDescent="0.2">
      <c r="A6">
        <v>5</v>
      </c>
      <c r="B6" s="19" t="s">
        <v>342</v>
      </c>
      <c r="C6">
        <v>30</v>
      </c>
      <c r="D6" s="19" t="s">
        <v>328</v>
      </c>
      <c r="E6" s="19" t="s">
        <v>322</v>
      </c>
      <c r="F6">
        <v>50</v>
      </c>
      <c r="G6">
        <v>25</v>
      </c>
      <c r="H6">
        <v>45</v>
      </c>
      <c r="I6">
        <v>70</v>
      </c>
      <c r="J6">
        <v>9</v>
      </c>
      <c r="K6">
        <v>24</v>
      </c>
      <c r="L6">
        <v>13</v>
      </c>
      <c r="M6">
        <v>11</v>
      </c>
      <c r="N6">
        <v>1</v>
      </c>
      <c r="O6">
        <v>2</v>
      </c>
      <c r="P6">
        <v>25</v>
      </c>
      <c r="Q6">
        <v>20</v>
      </c>
      <c r="R6">
        <v>0</v>
      </c>
      <c r="S6">
        <v>144</v>
      </c>
      <c r="T6">
        <v>17.399999999999999</v>
      </c>
      <c r="U6">
        <v>287</v>
      </c>
      <c r="V6" s="19" t="s">
        <v>2598</v>
      </c>
      <c r="W6" s="19" t="s">
        <v>2110</v>
      </c>
      <c r="X6">
        <v>466</v>
      </c>
      <c r="Y6">
        <v>367</v>
      </c>
      <c r="Z6">
        <v>55.9</v>
      </c>
      <c r="AA6">
        <v>13</v>
      </c>
      <c r="AB6">
        <v>23</v>
      </c>
      <c r="AC6">
        <v>21</v>
      </c>
      <c r="AD6">
        <v>84</v>
      </c>
      <c r="AE6" s="19" t="s">
        <v>60</v>
      </c>
    </row>
    <row r="7" spans="1:31" x14ac:dyDescent="0.2">
      <c r="A7">
        <v>6</v>
      </c>
      <c r="B7" s="19" t="s">
        <v>356</v>
      </c>
      <c r="C7">
        <v>28</v>
      </c>
      <c r="D7" s="19" t="s">
        <v>357</v>
      </c>
      <c r="E7" s="19" t="s">
        <v>340</v>
      </c>
      <c r="F7">
        <v>53</v>
      </c>
      <c r="G7">
        <v>28</v>
      </c>
      <c r="H7">
        <v>36</v>
      </c>
      <c r="I7">
        <v>64</v>
      </c>
      <c r="J7">
        <v>8</v>
      </c>
      <c r="K7">
        <v>18</v>
      </c>
      <c r="L7">
        <v>17</v>
      </c>
      <c r="M7">
        <v>11</v>
      </c>
      <c r="N7">
        <v>0</v>
      </c>
      <c r="O7">
        <v>3</v>
      </c>
      <c r="P7">
        <v>25</v>
      </c>
      <c r="Q7">
        <v>11</v>
      </c>
      <c r="R7">
        <v>0</v>
      </c>
      <c r="S7">
        <v>189</v>
      </c>
      <c r="T7">
        <v>14.8</v>
      </c>
      <c r="U7">
        <v>362</v>
      </c>
      <c r="V7" s="19" t="s">
        <v>2599</v>
      </c>
      <c r="W7" s="19" t="s">
        <v>1930</v>
      </c>
      <c r="X7">
        <v>0</v>
      </c>
      <c r="Y7">
        <v>2</v>
      </c>
      <c r="Z7">
        <v>0</v>
      </c>
      <c r="AA7">
        <v>19</v>
      </c>
      <c r="AB7">
        <v>31</v>
      </c>
      <c r="AC7">
        <v>16</v>
      </c>
      <c r="AD7">
        <v>76</v>
      </c>
      <c r="AE7" s="19" t="s">
        <v>60</v>
      </c>
    </row>
    <row r="8" spans="1:31" x14ac:dyDescent="0.2">
      <c r="A8">
        <v>7</v>
      </c>
      <c r="B8" s="19" t="s">
        <v>388</v>
      </c>
      <c r="C8">
        <v>29</v>
      </c>
      <c r="D8" s="19" t="s">
        <v>355</v>
      </c>
      <c r="E8" s="19" t="s">
        <v>335</v>
      </c>
      <c r="F8">
        <v>47</v>
      </c>
      <c r="G8">
        <v>21</v>
      </c>
      <c r="H8">
        <v>43</v>
      </c>
      <c r="I8">
        <v>64</v>
      </c>
      <c r="J8">
        <v>-3</v>
      </c>
      <c r="K8">
        <v>36</v>
      </c>
      <c r="L8">
        <v>12</v>
      </c>
      <c r="M8">
        <v>9</v>
      </c>
      <c r="N8">
        <v>0</v>
      </c>
      <c r="O8">
        <v>3</v>
      </c>
      <c r="P8">
        <v>27</v>
      </c>
      <c r="Q8">
        <v>16</v>
      </c>
      <c r="R8">
        <v>0</v>
      </c>
      <c r="S8">
        <v>166</v>
      </c>
      <c r="T8">
        <v>12.7</v>
      </c>
      <c r="U8">
        <v>364</v>
      </c>
      <c r="V8" s="19" t="s">
        <v>2600</v>
      </c>
      <c r="W8" s="19" t="s">
        <v>2265</v>
      </c>
      <c r="X8">
        <v>1</v>
      </c>
      <c r="Y8">
        <v>3</v>
      </c>
      <c r="Z8">
        <v>25</v>
      </c>
      <c r="AA8">
        <v>18</v>
      </c>
      <c r="AB8">
        <v>54</v>
      </c>
      <c r="AC8">
        <v>17</v>
      </c>
      <c r="AD8">
        <v>77</v>
      </c>
      <c r="AE8" s="19" t="s">
        <v>60</v>
      </c>
    </row>
    <row r="9" spans="1:31" x14ac:dyDescent="0.2">
      <c r="A9">
        <v>8</v>
      </c>
      <c r="B9" s="19" t="s">
        <v>333</v>
      </c>
      <c r="C9">
        <v>29</v>
      </c>
      <c r="D9" s="19" t="s">
        <v>334</v>
      </c>
      <c r="E9" s="19" t="s">
        <v>335</v>
      </c>
      <c r="F9">
        <v>49</v>
      </c>
      <c r="G9">
        <v>19</v>
      </c>
      <c r="H9">
        <v>44</v>
      </c>
      <c r="I9">
        <v>63</v>
      </c>
      <c r="J9">
        <v>3</v>
      </c>
      <c r="K9">
        <v>79</v>
      </c>
      <c r="L9">
        <v>14</v>
      </c>
      <c r="M9">
        <v>5</v>
      </c>
      <c r="N9">
        <v>0</v>
      </c>
      <c r="O9">
        <v>1</v>
      </c>
      <c r="P9">
        <v>22</v>
      </c>
      <c r="Q9">
        <v>22</v>
      </c>
      <c r="R9">
        <v>0</v>
      </c>
      <c r="S9">
        <v>118</v>
      </c>
      <c r="T9">
        <v>16.100000000000001</v>
      </c>
      <c r="U9">
        <v>232</v>
      </c>
      <c r="V9" s="19" t="s">
        <v>2326</v>
      </c>
      <c r="W9" s="19" t="s">
        <v>1747</v>
      </c>
      <c r="X9">
        <v>29</v>
      </c>
      <c r="Y9">
        <v>29</v>
      </c>
      <c r="Z9">
        <v>50</v>
      </c>
      <c r="AA9">
        <v>25</v>
      </c>
      <c r="AB9">
        <v>37</v>
      </c>
      <c r="AC9">
        <v>16</v>
      </c>
      <c r="AD9">
        <v>58</v>
      </c>
      <c r="AE9" s="19" t="s">
        <v>60</v>
      </c>
    </row>
    <row r="10" spans="1:31" x14ac:dyDescent="0.2">
      <c r="A10">
        <v>9</v>
      </c>
      <c r="B10" s="19" t="s">
        <v>331</v>
      </c>
      <c r="C10">
        <v>27</v>
      </c>
      <c r="D10" s="19" t="s">
        <v>321</v>
      </c>
      <c r="E10" s="19" t="s">
        <v>322</v>
      </c>
      <c r="F10">
        <v>49</v>
      </c>
      <c r="G10">
        <v>22</v>
      </c>
      <c r="H10">
        <v>40</v>
      </c>
      <c r="I10">
        <v>62</v>
      </c>
      <c r="J10">
        <v>40</v>
      </c>
      <c r="K10">
        <v>26</v>
      </c>
      <c r="L10">
        <v>18</v>
      </c>
      <c r="M10">
        <v>4</v>
      </c>
      <c r="N10">
        <v>0</v>
      </c>
      <c r="O10">
        <v>0</v>
      </c>
      <c r="P10">
        <v>33</v>
      </c>
      <c r="Q10">
        <v>7</v>
      </c>
      <c r="R10">
        <v>0</v>
      </c>
      <c r="S10">
        <v>119</v>
      </c>
      <c r="T10">
        <v>18.5</v>
      </c>
      <c r="U10">
        <v>247</v>
      </c>
      <c r="V10" s="19" t="s">
        <v>2327</v>
      </c>
      <c r="W10" s="19" t="s">
        <v>1965</v>
      </c>
      <c r="X10">
        <v>9</v>
      </c>
      <c r="Y10">
        <v>11</v>
      </c>
      <c r="Z10">
        <v>45</v>
      </c>
      <c r="AA10">
        <v>19</v>
      </c>
      <c r="AB10">
        <v>53</v>
      </c>
      <c r="AC10">
        <v>15</v>
      </c>
      <c r="AD10">
        <v>82</v>
      </c>
      <c r="AE10" s="19" t="s">
        <v>60</v>
      </c>
    </row>
    <row r="11" spans="1:31" x14ac:dyDescent="0.2">
      <c r="A11">
        <v>10</v>
      </c>
      <c r="B11" s="19" t="s">
        <v>343</v>
      </c>
      <c r="C11">
        <v>29</v>
      </c>
      <c r="D11" s="19" t="s">
        <v>344</v>
      </c>
      <c r="E11" s="19" t="s">
        <v>322</v>
      </c>
      <c r="F11">
        <v>43</v>
      </c>
      <c r="G11">
        <v>19</v>
      </c>
      <c r="H11">
        <v>42</v>
      </c>
      <c r="I11">
        <v>61</v>
      </c>
      <c r="J11">
        <v>14</v>
      </c>
      <c r="K11">
        <v>8</v>
      </c>
      <c r="L11">
        <v>19</v>
      </c>
      <c r="M11">
        <v>0</v>
      </c>
      <c r="N11">
        <v>0</v>
      </c>
      <c r="O11">
        <v>5</v>
      </c>
      <c r="P11">
        <v>20</v>
      </c>
      <c r="Q11">
        <v>22</v>
      </c>
      <c r="R11">
        <v>0</v>
      </c>
      <c r="S11">
        <v>164</v>
      </c>
      <c r="T11">
        <v>11.6</v>
      </c>
      <c r="U11">
        <v>279</v>
      </c>
      <c r="V11" s="19" t="s">
        <v>2328</v>
      </c>
      <c r="W11" s="19" t="s">
        <v>1763</v>
      </c>
      <c r="X11">
        <v>323</v>
      </c>
      <c r="Y11">
        <v>367</v>
      </c>
      <c r="Z11">
        <v>46.8</v>
      </c>
      <c r="AA11">
        <v>26</v>
      </c>
      <c r="AB11">
        <v>24</v>
      </c>
      <c r="AC11">
        <v>20</v>
      </c>
      <c r="AD11">
        <v>78</v>
      </c>
      <c r="AE11" s="19" t="s">
        <v>60</v>
      </c>
    </row>
    <row r="12" spans="1:31" x14ac:dyDescent="0.2">
      <c r="A12">
        <v>11</v>
      </c>
      <c r="B12" s="19" t="s">
        <v>345</v>
      </c>
      <c r="C12">
        <v>32</v>
      </c>
      <c r="D12" s="19" t="s">
        <v>346</v>
      </c>
      <c r="E12" s="19" t="s">
        <v>322</v>
      </c>
      <c r="F12">
        <v>51</v>
      </c>
      <c r="G12">
        <v>25</v>
      </c>
      <c r="H12">
        <v>36</v>
      </c>
      <c r="I12">
        <v>61</v>
      </c>
      <c r="J12">
        <v>3</v>
      </c>
      <c r="K12">
        <v>22</v>
      </c>
      <c r="L12">
        <v>18</v>
      </c>
      <c r="M12">
        <v>7</v>
      </c>
      <c r="N12">
        <v>0</v>
      </c>
      <c r="O12">
        <v>3</v>
      </c>
      <c r="P12">
        <v>28</v>
      </c>
      <c r="Q12">
        <v>7</v>
      </c>
      <c r="R12">
        <v>1</v>
      </c>
      <c r="S12">
        <v>106</v>
      </c>
      <c r="T12">
        <v>23.6</v>
      </c>
      <c r="U12">
        <v>205</v>
      </c>
      <c r="V12" s="19" t="s">
        <v>2601</v>
      </c>
      <c r="W12" s="19" t="s">
        <v>1013</v>
      </c>
      <c r="X12">
        <v>360</v>
      </c>
      <c r="Y12">
        <v>425</v>
      </c>
      <c r="Z12">
        <v>45.9</v>
      </c>
      <c r="AA12">
        <v>25</v>
      </c>
      <c r="AB12">
        <v>21</v>
      </c>
      <c r="AC12">
        <v>16</v>
      </c>
      <c r="AD12">
        <v>69</v>
      </c>
      <c r="AE12" s="19" t="s">
        <v>60</v>
      </c>
    </row>
    <row r="13" spans="1:31" x14ac:dyDescent="0.2">
      <c r="A13">
        <v>12</v>
      </c>
      <c r="B13" s="19" t="s">
        <v>339</v>
      </c>
      <c r="C13">
        <v>26</v>
      </c>
      <c r="D13" s="19" t="s">
        <v>334</v>
      </c>
      <c r="E13" s="19" t="s">
        <v>340</v>
      </c>
      <c r="F13">
        <v>52</v>
      </c>
      <c r="G13">
        <v>30</v>
      </c>
      <c r="H13">
        <v>30</v>
      </c>
      <c r="I13">
        <v>60</v>
      </c>
      <c r="J13">
        <v>21</v>
      </c>
      <c r="K13">
        <v>18</v>
      </c>
      <c r="L13">
        <v>20</v>
      </c>
      <c r="M13">
        <v>10</v>
      </c>
      <c r="N13">
        <v>0</v>
      </c>
      <c r="O13">
        <v>5</v>
      </c>
      <c r="P13">
        <v>16</v>
      </c>
      <c r="Q13">
        <v>14</v>
      </c>
      <c r="R13">
        <v>0</v>
      </c>
      <c r="S13">
        <v>190</v>
      </c>
      <c r="T13">
        <v>15.8</v>
      </c>
      <c r="U13">
        <v>343</v>
      </c>
      <c r="V13" s="19" t="s">
        <v>2329</v>
      </c>
      <c r="W13" s="19" t="s">
        <v>1648</v>
      </c>
      <c r="X13">
        <v>0</v>
      </c>
      <c r="Y13">
        <v>2</v>
      </c>
      <c r="Z13">
        <v>0</v>
      </c>
      <c r="AA13">
        <v>21</v>
      </c>
      <c r="AB13">
        <v>30</v>
      </c>
      <c r="AC13">
        <v>15</v>
      </c>
      <c r="AD13">
        <v>73</v>
      </c>
      <c r="AE13" s="19" t="s">
        <v>60</v>
      </c>
    </row>
    <row r="14" spans="1:31" x14ac:dyDescent="0.2">
      <c r="A14">
        <v>13</v>
      </c>
      <c r="B14" s="19" t="s">
        <v>362</v>
      </c>
      <c r="C14">
        <v>26</v>
      </c>
      <c r="D14" s="19" t="s">
        <v>363</v>
      </c>
      <c r="E14" s="19" t="s">
        <v>322</v>
      </c>
      <c r="F14">
        <v>52</v>
      </c>
      <c r="G14">
        <v>16</v>
      </c>
      <c r="H14">
        <v>43</v>
      </c>
      <c r="I14">
        <v>59</v>
      </c>
      <c r="J14">
        <v>20</v>
      </c>
      <c r="K14">
        <v>10</v>
      </c>
      <c r="L14">
        <v>7</v>
      </c>
      <c r="M14">
        <v>9</v>
      </c>
      <c r="N14">
        <v>0</v>
      </c>
      <c r="O14">
        <v>1</v>
      </c>
      <c r="P14">
        <v>23</v>
      </c>
      <c r="Q14">
        <v>20</v>
      </c>
      <c r="R14">
        <v>0</v>
      </c>
      <c r="S14">
        <v>111</v>
      </c>
      <c r="T14">
        <v>14.4</v>
      </c>
      <c r="U14">
        <v>239</v>
      </c>
      <c r="V14" s="19" t="s">
        <v>2602</v>
      </c>
      <c r="W14" s="19" t="s">
        <v>1685</v>
      </c>
      <c r="X14">
        <v>459</v>
      </c>
      <c r="Y14">
        <v>469</v>
      </c>
      <c r="Z14">
        <v>49.5</v>
      </c>
      <c r="AA14">
        <v>44</v>
      </c>
      <c r="AB14">
        <v>40</v>
      </c>
      <c r="AC14">
        <v>16</v>
      </c>
      <c r="AD14">
        <v>46</v>
      </c>
      <c r="AE14" s="19" t="s">
        <v>60</v>
      </c>
    </row>
    <row r="15" spans="1:31" x14ac:dyDescent="0.2">
      <c r="A15">
        <v>14</v>
      </c>
      <c r="B15" s="19" t="s">
        <v>347</v>
      </c>
      <c r="C15">
        <v>29</v>
      </c>
      <c r="D15" s="19" t="s">
        <v>346</v>
      </c>
      <c r="E15" s="19" t="s">
        <v>340</v>
      </c>
      <c r="F15">
        <v>51</v>
      </c>
      <c r="G15">
        <v>23</v>
      </c>
      <c r="H15">
        <v>35</v>
      </c>
      <c r="I15">
        <v>58</v>
      </c>
      <c r="J15">
        <v>0</v>
      </c>
      <c r="K15">
        <v>10</v>
      </c>
      <c r="L15">
        <v>19</v>
      </c>
      <c r="M15">
        <v>2</v>
      </c>
      <c r="N15">
        <v>2</v>
      </c>
      <c r="O15">
        <v>1</v>
      </c>
      <c r="P15">
        <v>23</v>
      </c>
      <c r="Q15">
        <v>11</v>
      </c>
      <c r="R15">
        <v>1</v>
      </c>
      <c r="S15">
        <v>166</v>
      </c>
      <c r="T15">
        <v>13.9</v>
      </c>
      <c r="U15">
        <v>293</v>
      </c>
      <c r="V15" s="19" t="s">
        <v>2603</v>
      </c>
      <c r="W15" s="19" t="s">
        <v>1965</v>
      </c>
      <c r="X15">
        <v>0</v>
      </c>
      <c r="Y15">
        <v>0</v>
      </c>
      <c r="AA15">
        <v>9</v>
      </c>
      <c r="AB15">
        <v>11</v>
      </c>
      <c r="AC15">
        <v>10</v>
      </c>
      <c r="AD15">
        <v>40</v>
      </c>
      <c r="AE15" s="19" t="s">
        <v>60</v>
      </c>
    </row>
    <row r="16" spans="1:31" x14ac:dyDescent="0.2">
      <c r="A16">
        <v>15</v>
      </c>
      <c r="B16" s="19" t="s">
        <v>374</v>
      </c>
      <c r="C16">
        <v>23</v>
      </c>
      <c r="D16" s="19" t="s">
        <v>371</v>
      </c>
      <c r="E16" s="19" t="s">
        <v>340</v>
      </c>
      <c r="F16">
        <v>51</v>
      </c>
      <c r="G16">
        <v>18</v>
      </c>
      <c r="H16">
        <v>40</v>
      </c>
      <c r="I16">
        <v>58</v>
      </c>
      <c r="J16">
        <v>10</v>
      </c>
      <c r="K16">
        <v>12</v>
      </c>
      <c r="L16">
        <v>13</v>
      </c>
      <c r="M16">
        <v>5</v>
      </c>
      <c r="N16">
        <v>0</v>
      </c>
      <c r="O16">
        <v>5</v>
      </c>
      <c r="P16">
        <v>23</v>
      </c>
      <c r="Q16">
        <v>17</v>
      </c>
      <c r="R16">
        <v>0</v>
      </c>
      <c r="S16">
        <v>107</v>
      </c>
      <c r="T16">
        <v>16.8</v>
      </c>
      <c r="U16">
        <v>224</v>
      </c>
      <c r="V16" s="19" t="s">
        <v>2604</v>
      </c>
      <c r="W16" s="19" t="s">
        <v>2014</v>
      </c>
      <c r="X16">
        <v>1</v>
      </c>
      <c r="Y16">
        <v>0</v>
      </c>
      <c r="Z16">
        <v>100</v>
      </c>
      <c r="AA16">
        <v>24</v>
      </c>
      <c r="AB16">
        <v>27</v>
      </c>
      <c r="AC16">
        <v>22</v>
      </c>
      <c r="AD16">
        <v>54</v>
      </c>
      <c r="AE16" s="19" t="s">
        <v>60</v>
      </c>
    </row>
    <row r="17" spans="1:31" x14ac:dyDescent="0.2">
      <c r="A17">
        <v>16</v>
      </c>
      <c r="B17" s="19" t="s">
        <v>375</v>
      </c>
      <c r="C17">
        <v>38</v>
      </c>
      <c r="D17" s="19" t="s">
        <v>376</v>
      </c>
      <c r="E17" s="19" t="s">
        <v>322</v>
      </c>
      <c r="F17">
        <v>50</v>
      </c>
      <c r="G17">
        <v>27</v>
      </c>
      <c r="H17">
        <v>30</v>
      </c>
      <c r="I17">
        <v>57</v>
      </c>
      <c r="J17">
        <v>4</v>
      </c>
      <c r="K17">
        <v>34</v>
      </c>
      <c r="L17">
        <v>17</v>
      </c>
      <c r="M17">
        <v>10</v>
      </c>
      <c r="N17">
        <v>0</v>
      </c>
      <c r="O17">
        <v>4</v>
      </c>
      <c r="P17">
        <v>21</v>
      </c>
      <c r="Q17">
        <v>9</v>
      </c>
      <c r="R17">
        <v>0</v>
      </c>
      <c r="S17">
        <v>118</v>
      </c>
      <c r="T17">
        <v>22.9</v>
      </c>
      <c r="U17">
        <v>215</v>
      </c>
      <c r="V17" s="19" t="s">
        <v>2266</v>
      </c>
      <c r="W17" s="19" t="s">
        <v>2211</v>
      </c>
      <c r="X17">
        <v>580</v>
      </c>
      <c r="Y17">
        <v>454</v>
      </c>
      <c r="Z17">
        <v>56.1</v>
      </c>
      <c r="AA17">
        <v>22</v>
      </c>
      <c r="AB17">
        <v>42</v>
      </c>
      <c r="AC17">
        <v>17</v>
      </c>
      <c r="AD17">
        <v>53</v>
      </c>
      <c r="AE17" s="19" t="s">
        <v>60</v>
      </c>
    </row>
    <row r="18" spans="1:31" x14ac:dyDescent="0.2">
      <c r="A18">
        <v>17</v>
      </c>
      <c r="B18" s="19" t="s">
        <v>350</v>
      </c>
      <c r="C18">
        <v>22</v>
      </c>
      <c r="D18" s="19" t="s">
        <v>334</v>
      </c>
      <c r="E18" s="19" t="s">
        <v>322</v>
      </c>
      <c r="F18">
        <v>52</v>
      </c>
      <c r="G18">
        <v>27</v>
      </c>
      <c r="H18">
        <v>29</v>
      </c>
      <c r="I18">
        <v>56</v>
      </c>
      <c r="J18">
        <v>-3</v>
      </c>
      <c r="K18">
        <v>14</v>
      </c>
      <c r="L18">
        <v>10</v>
      </c>
      <c r="M18">
        <v>17</v>
      </c>
      <c r="N18">
        <v>0</v>
      </c>
      <c r="O18">
        <v>3</v>
      </c>
      <c r="P18">
        <v>18</v>
      </c>
      <c r="Q18">
        <v>11</v>
      </c>
      <c r="R18">
        <v>0</v>
      </c>
      <c r="S18">
        <v>133</v>
      </c>
      <c r="T18">
        <v>20.3</v>
      </c>
      <c r="U18">
        <v>252</v>
      </c>
      <c r="V18" s="19" t="s">
        <v>2330</v>
      </c>
      <c r="W18" s="19" t="s">
        <v>1717</v>
      </c>
      <c r="X18">
        <v>243</v>
      </c>
      <c r="Y18">
        <v>266</v>
      </c>
      <c r="Z18">
        <v>47.7</v>
      </c>
      <c r="AA18">
        <v>37</v>
      </c>
      <c r="AB18">
        <v>17</v>
      </c>
      <c r="AC18">
        <v>14</v>
      </c>
      <c r="AD18">
        <v>33</v>
      </c>
      <c r="AE18" s="19" t="s">
        <v>60</v>
      </c>
    </row>
    <row r="19" spans="1:31" x14ac:dyDescent="0.2">
      <c r="A19">
        <v>18</v>
      </c>
      <c r="B19" s="19" t="s">
        <v>360</v>
      </c>
      <c r="C19">
        <v>34</v>
      </c>
      <c r="D19" s="19" t="s">
        <v>361</v>
      </c>
      <c r="E19" s="19" t="s">
        <v>340</v>
      </c>
      <c r="F19">
        <v>51</v>
      </c>
      <c r="G19">
        <v>19</v>
      </c>
      <c r="H19">
        <v>37</v>
      </c>
      <c r="I19">
        <v>56</v>
      </c>
      <c r="J19">
        <v>-17</v>
      </c>
      <c r="K19">
        <v>14</v>
      </c>
      <c r="L19">
        <v>17</v>
      </c>
      <c r="M19">
        <v>2</v>
      </c>
      <c r="N19">
        <v>0</v>
      </c>
      <c r="O19">
        <v>3</v>
      </c>
      <c r="P19">
        <v>22</v>
      </c>
      <c r="Q19">
        <v>15</v>
      </c>
      <c r="R19">
        <v>0</v>
      </c>
      <c r="S19">
        <v>156</v>
      </c>
      <c r="T19">
        <v>12.2</v>
      </c>
      <c r="U19">
        <v>355</v>
      </c>
      <c r="V19" s="19" t="s">
        <v>2331</v>
      </c>
      <c r="W19" s="19" t="s">
        <v>1996</v>
      </c>
      <c r="X19">
        <v>1</v>
      </c>
      <c r="Y19">
        <v>0</v>
      </c>
      <c r="Z19">
        <v>100</v>
      </c>
      <c r="AA19">
        <v>11</v>
      </c>
      <c r="AB19">
        <v>8</v>
      </c>
      <c r="AC19">
        <v>13</v>
      </c>
      <c r="AD19">
        <v>67</v>
      </c>
      <c r="AE19" s="19" t="s">
        <v>60</v>
      </c>
    </row>
    <row r="20" spans="1:31" x14ac:dyDescent="0.2">
      <c r="A20">
        <v>19</v>
      </c>
      <c r="B20" s="19" t="s">
        <v>393</v>
      </c>
      <c r="C20">
        <v>26</v>
      </c>
      <c r="D20" s="19" t="s">
        <v>328</v>
      </c>
      <c r="E20" s="19" t="s">
        <v>349</v>
      </c>
      <c r="F20">
        <v>53</v>
      </c>
      <c r="G20">
        <v>14</v>
      </c>
      <c r="H20">
        <v>41</v>
      </c>
      <c r="I20">
        <v>55</v>
      </c>
      <c r="J20">
        <v>9</v>
      </c>
      <c r="K20">
        <v>20</v>
      </c>
      <c r="L20">
        <v>8</v>
      </c>
      <c r="M20">
        <v>6</v>
      </c>
      <c r="N20">
        <v>0</v>
      </c>
      <c r="O20">
        <v>3</v>
      </c>
      <c r="P20">
        <v>26</v>
      </c>
      <c r="Q20">
        <v>14</v>
      </c>
      <c r="R20">
        <v>1</v>
      </c>
      <c r="S20">
        <v>142</v>
      </c>
      <c r="T20">
        <v>9.9</v>
      </c>
      <c r="U20">
        <v>295</v>
      </c>
      <c r="V20" s="19" t="s">
        <v>2605</v>
      </c>
      <c r="W20" s="19" t="s">
        <v>2206</v>
      </c>
      <c r="X20">
        <v>0</v>
      </c>
      <c r="Y20">
        <v>0</v>
      </c>
      <c r="AA20">
        <v>73</v>
      </c>
      <c r="AB20">
        <v>18</v>
      </c>
      <c r="AC20">
        <v>25</v>
      </c>
      <c r="AD20">
        <v>80</v>
      </c>
      <c r="AE20" s="19" t="s">
        <v>60</v>
      </c>
    </row>
    <row r="21" spans="1:31" x14ac:dyDescent="0.2">
      <c r="A21">
        <v>20</v>
      </c>
      <c r="B21" s="19" t="s">
        <v>348</v>
      </c>
      <c r="C21">
        <v>27</v>
      </c>
      <c r="D21" s="19" t="s">
        <v>321</v>
      </c>
      <c r="E21" s="19" t="s">
        <v>349</v>
      </c>
      <c r="F21">
        <v>49</v>
      </c>
      <c r="G21">
        <v>15</v>
      </c>
      <c r="H21">
        <v>40</v>
      </c>
      <c r="I21">
        <v>55</v>
      </c>
      <c r="J21">
        <v>28</v>
      </c>
      <c r="K21">
        <v>20</v>
      </c>
      <c r="L21">
        <v>13</v>
      </c>
      <c r="M21">
        <v>2</v>
      </c>
      <c r="N21">
        <v>0</v>
      </c>
      <c r="O21">
        <v>4</v>
      </c>
      <c r="P21">
        <v>23</v>
      </c>
      <c r="Q21">
        <v>17</v>
      </c>
      <c r="R21">
        <v>0</v>
      </c>
      <c r="S21">
        <v>132</v>
      </c>
      <c r="T21">
        <v>11.4</v>
      </c>
      <c r="U21">
        <v>362</v>
      </c>
      <c r="V21" s="19" t="s">
        <v>2332</v>
      </c>
      <c r="W21" s="19" t="s">
        <v>2333</v>
      </c>
      <c r="X21">
        <v>0</v>
      </c>
      <c r="Y21">
        <v>0</v>
      </c>
      <c r="AA21">
        <v>83</v>
      </c>
      <c r="AB21">
        <v>25</v>
      </c>
      <c r="AC21">
        <v>27</v>
      </c>
      <c r="AD21">
        <v>54</v>
      </c>
      <c r="AE21" s="19" t="s">
        <v>60</v>
      </c>
    </row>
    <row r="22" spans="1:31" x14ac:dyDescent="0.2">
      <c r="A22">
        <v>21</v>
      </c>
      <c r="B22" s="19" t="s">
        <v>380</v>
      </c>
      <c r="C22">
        <v>28</v>
      </c>
      <c r="D22" s="19" t="s">
        <v>381</v>
      </c>
      <c r="E22" s="19" t="s">
        <v>349</v>
      </c>
      <c r="F22">
        <v>47</v>
      </c>
      <c r="G22">
        <v>19</v>
      </c>
      <c r="H22">
        <v>36</v>
      </c>
      <c r="I22">
        <v>55</v>
      </c>
      <c r="J22">
        <v>4</v>
      </c>
      <c r="K22">
        <v>10</v>
      </c>
      <c r="L22">
        <v>16</v>
      </c>
      <c r="M22">
        <v>3</v>
      </c>
      <c r="N22">
        <v>0</v>
      </c>
      <c r="O22">
        <v>1</v>
      </c>
      <c r="P22">
        <v>24</v>
      </c>
      <c r="Q22">
        <v>11</v>
      </c>
      <c r="R22">
        <v>1</v>
      </c>
      <c r="S22">
        <v>170</v>
      </c>
      <c r="T22">
        <v>11.2</v>
      </c>
      <c r="U22">
        <v>357</v>
      </c>
      <c r="V22" s="19" t="s">
        <v>2606</v>
      </c>
      <c r="W22" s="19" t="s">
        <v>2267</v>
      </c>
      <c r="X22">
        <v>0</v>
      </c>
      <c r="Y22">
        <v>0</v>
      </c>
      <c r="AA22">
        <v>61</v>
      </c>
      <c r="AB22">
        <v>21</v>
      </c>
      <c r="AC22">
        <v>22</v>
      </c>
      <c r="AD22">
        <v>76</v>
      </c>
      <c r="AE22" s="19" t="s">
        <v>60</v>
      </c>
    </row>
    <row r="23" spans="1:31" x14ac:dyDescent="0.2">
      <c r="A23">
        <v>22</v>
      </c>
      <c r="B23" s="19" t="s">
        <v>390</v>
      </c>
      <c r="C23">
        <v>31</v>
      </c>
      <c r="D23" s="19" t="s">
        <v>352</v>
      </c>
      <c r="E23" s="19" t="s">
        <v>322</v>
      </c>
      <c r="F23">
        <v>50</v>
      </c>
      <c r="G23">
        <v>24</v>
      </c>
      <c r="H23">
        <v>30</v>
      </c>
      <c r="I23">
        <v>54</v>
      </c>
      <c r="J23">
        <v>10</v>
      </c>
      <c r="K23">
        <v>21</v>
      </c>
      <c r="L23">
        <v>17</v>
      </c>
      <c r="M23">
        <v>5</v>
      </c>
      <c r="N23">
        <v>2</v>
      </c>
      <c r="O23">
        <v>4</v>
      </c>
      <c r="P23">
        <v>17</v>
      </c>
      <c r="Q23">
        <v>13</v>
      </c>
      <c r="R23">
        <v>0</v>
      </c>
      <c r="S23">
        <v>135</v>
      </c>
      <c r="T23">
        <v>17.8</v>
      </c>
      <c r="U23">
        <v>236</v>
      </c>
      <c r="V23" s="19" t="s">
        <v>2607</v>
      </c>
      <c r="W23" s="19" t="s">
        <v>2048</v>
      </c>
      <c r="X23">
        <v>98</v>
      </c>
      <c r="Y23">
        <v>108</v>
      </c>
      <c r="Z23">
        <v>47.6</v>
      </c>
      <c r="AA23">
        <v>30</v>
      </c>
      <c r="AB23">
        <v>20</v>
      </c>
      <c r="AC23">
        <v>17</v>
      </c>
      <c r="AD23">
        <v>46</v>
      </c>
      <c r="AE23" s="19" t="s">
        <v>60</v>
      </c>
    </row>
    <row r="24" spans="1:31" x14ac:dyDescent="0.2">
      <c r="A24">
        <v>23</v>
      </c>
      <c r="B24" s="19" t="s">
        <v>367</v>
      </c>
      <c r="C24">
        <v>24</v>
      </c>
      <c r="D24" s="19" t="s">
        <v>357</v>
      </c>
      <c r="E24" s="19" t="s">
        <v>340</v>
      </c>
      <c r="F24">
        <v>49</v>
      </c>
      <c r="G24">
        <v>28</v>
      </c>
      <c r="H24">
        <v>25</v>
      </c>
      <c r="I24">
        <v>53</v>
      </c>
      <c r="J24">
        <v>12</v>
      </c>
      <c r="K24">
        <v>22</v>
      </c>
      <c r="L24">
        <v>18</v>
      </c>
      <c r="M24">
        <v>7</v>
      </c>
      <c r="N24">
        <v>3</v>
      </c>
      <c r="O24">
        <v>3</v>
      </c>
      <c r="P24">
        <v>16</v>
      </c>
      <c r="Q24">
        <v>9</v>
      </c>
      <c r="R24">
        <v>0</v>
      </c>
      <c r="S24">
        <v>160</v>
      </c>
      <c r="T24">
        <v>17.5</v>
      </c>
      <c r="U24">
        <v>333</v>
      </c>
      <c r="V24" s="19" t="s">
        <v>2608</v>
      </c>
      <c r="W24" s="19" t="s">
        <v>332</v>
      </c>
      <c r="X24">
        <v>40</v>
      </c>
      <c r="Y24">
        <v>47</v>
      </c>
      <c r="Z24">
        <v>46</v>
      </c>
      <c r="AA24">
        <v>33</v>
      </c>
      <c r="AB24">
        <v>32</v>
      </c>
      <c r="AC24">
        <v>22</v>
      </c>
      <c r="AD24">
        <v>58</v>
      </c>
      <c r="AE24" s="19" t="s">
        <v>60</v>
      </c>
    </row>
    <row r="25" spans="1:31" x14ac:dyDescent="0.2">
      <c r="A25">
        <v>24</v>
      </c>
      <c r="B25" s="19" t="s">
        <v>368</v>
      </c>
      <c r="C25">
        <v>25</v>
      </c>
      <c r="D25" s="19" t="s">
        <v>363</v>
      </c>
      <c r="E25" s="19" t="s">
        <v>335</v>
      </c>
      <c r="F25">
        <v>52</v>
      </c>
      <c r="G25">
        <v>29</v>
      </c>
      <c r="H25">
        <v>24</v>
      </c>
      <c r="I25">
        <v>53</v>
      </c>
      <c r="J25">
        <v>16</v>
      </c>
      <c r="K25">
        <v>10</v>
      </c>
      <c r="L25">
        <v>22</v>
      </c>
      <c r="M25">
        <v>7</v>
      </c>
      <c r="N25">
        <v>0</v>
      </c>
      <c r="O25">
        <v>7</v>
      </c>
      <c r="P25">
        <v>12</v>
      </c>
      <c r="Q25">
        <v>12</v>
      </c>
      <c r="R25">
        <v>0</v>
      </c>
      <c r="S25">
        <v>155</v>
      </c>
      <c r="T25">
        <v>18.7</v>
      </c>
      <c r="U25">
        <v>293</v>
      </c>
      <c r="V25" s="19" t="s">
        <v>2609</v>
      </c>
      <c r="W25" s="19" t="s">
        <v>2173</v>
      </c>
      <c r="X25">
        <v>6</v>
      </c>
      <c r="Y25">
        <v>9</v>
      </c>
      <c r="Z25">
        <v>40</v>
      </c>
      <c r="AA25">
        <v>13</v>
      </c>
      <c r="AB25">
        <v>35</v>
      </c>
      <c r="AC25">
        <v>19</v>
      </c>
      <c r="AD25">
        <v>34</v>
      </c>
      <c r="AE25" s="19" t="s">
        <v>60</v>
      </c>
    </row>
    <row r="26" spans="1:31" x14ac:dyDescent="0.2">
      <c r="A26">
        <v>25</v>
      </c>
      <c r="B26" s="19" t="s">
        <v>378</v>
      </c>
      <c r="C26">
        <v>28</v>
      </c>
      <c r="D26" s="19" t="s">
        <v>371</v>
      </c>
      <c r="E26" s="19" t="s">
        <v>335</v>
      </c>
      <c r="F26">
        <v>53</v>
      </c>
      <c r="G26">
        <v>27</v>
      </c>
      <c r="H26">
        <v>26</v>
      </c>
      <c r="I26">
        <v>53</v>
      </c>
      <c r="J26">
        <v>2</v>
      </c>
      <c r="K26">
        <v>10</v>
      </c>
      <c r="L26">
        <v>16</v>
      </c>
      <c r="M26">
        <v>11</v>
      </c>
      <c r="N26">
        <v>0</v>
      </c>
      <c r="O26">
        <v>5</v>
      </c>
      <c r="P26">
        <v>20</v>
      </c>
      <c r="Q26">
        <v>6</v>
      </c>
      <c r="R26">
        <v>0</v>
      </c>
      <c r="S26">
        <v>187</v>
      </c>
      <c r="T26">
        <v>14.4</v>
      </c>
      <c r="U26">
        <v>372</v>
      </c>
      <c r="V26" s="19" t="s">
        <v>2610</v>
      </c>
      <c r="W26" s="19" t="s">
        <v>441</v>
      </c>
      <c r="X26">
        <v>13</v>
      </c>
      <c r="Y26">
        <v>24</v>
      </c>
      <c r="Z26">
        <v>35.1</v>
      </c>
      <c r="AA26">
        <v>24</v>
      </c>
      <c r="AB26">
        <v>26</v>
      </c>
      <c r="AC26">
        <v>23</v>
      </c>
      <c r="AD26">
        <v>53</v>
      </c>
      <c r="AE26" s="19" t="s">
        <v>60</v>
      </c>
    </row>
    <row r="27" spans="1:31" x14ac:dyDescent="0.2">
      <c r="A27">
        <v>26</v>
      </c>
      <c r="B27" s="19" t="s">
        <v>448</v>
      </c>
      <c r="C27">
        <v>21</v>
      </c>
      <c r="D27" s="19" t="s">
        <v>363</v>
      </c>
      <c r="E27" s="19" t="s">
        <v>349</v>
      </c>
      <c r="F27">
        <v>52</v>
      </c>
      <c r="G27">
        <v>9</v>
      </c>
      <c r="H27">
        <v>44</v>
      </c>
      <c r="I27">
        <v>53</v>
      </c>
      <c r="J27">
        <v>15</v>
      </c>
      <c r="K27">
        <v>16</v>
      </c>
      <c r="L27">
        <v>8</v>
      </c>
      <c r="M27">
        <v>1</v>
      </c>
      <c r="N27">
        <v>0</v>
      </c>
      <c r="O27">
        <v>3</v>
      </c>
      <c r="P27">
        <v>30</v>
      </c>
      <c r="Q27">
        <v>14</v>
      </c>
      <c r="R27">
        <v>0</v>
      </c>
      <c r="S27">
        <v>86</v>
      </c>
      <c r="T27">
        <v>10.5</v>
      </c>
      <c r="U27">
        <v>199</v>
      </c>
      <c r="V27" s="19" t="s">
        <v>2611</v>
      </c>
      <c r="W27" s="19" t="s">
        <v>2612</v>
      </c>
      <c r="X27">
        <v>0</v>
      </c>
      <c r="Y27">
        <v>0</v>
      </c>
      <c r="AA27">
        <v>83</v>
      </c>
      <c r="AB27">
        <v>22</v>
      </c>
      <c r="AC27">
        <v>21</v>
      </c>
      <c r="AD27">
        <v>57</v>
      </c>
      <c r="AE27" s="19" t="s">
        <v>60</v>
      </c>
    </row>
    <row r="28" spans="1:31" x14ac:dyDescent="0.2">
      <c r="A28">
        <v>27</v>
      </c>
      <c r="B28" s="19" t="s">
        <v>454</v>
      </c>
      <c r="C28">
        <v>28</v>
      </c>
      <c r="D28" s="19" t="s">
        <v>428</v>
      </c>
      <c r="E28" s="19" t="s">
        <v>322</v>
      </c>
      <c r="F28">
        <v>51</v>
      </c>
      <c r="G28">
        <v>27</v>
      </c>
      <c r="H28">
        <v>26</v>
      </c>
      <c r="I28">
        <v>53</v>
      </c>
      <c r="J28">
        <v>-9</v>
      </c>
      <c r="K28">
        <v>25</v>
      </c>
      <c r="L28">
        <v>23</v>
      </c>
      <c r="M28">
        <v>4</v>
      </c>
      <c r="N28">
        <v>0</v>
      </c>
      <c r="O28">
        <v>3</v>
      </c>
      <c r="P28">
        <v>15</v>
      </c>
      <c r="Q28">
        <v>11</v>
      </c>
      <c r="R28">
        <v>0</v>
      </c>
      <c r="S28">
        <v>176</v>
      </c>
      <c r="T28">
        <v>15.3</v>
      </c>
      <c r="U28">
        <v>344</v>
      </c>
      <c r="V28" s="19" t="s">
        <v>2613</v>
      </c>
      <c r="W28" s="19" t="s">
        <v>508</v>
      </c>
      <c r="X28">
        <v>258</v>
      </c>
      <c r="Y28">
        <v>291</v>
      </c>
      <c r="Z28">
        <v>47</v>
      </c>
      <c r="AA28">
        <v>32</v>
      </c>
      <c r="AB28">
        <v>50</v>
      </c>
      <c r="AC28">
        <v>20</v>
      </c>
      <c r="AD28">
        <v>44</v>
      </c>
      <c r="AE28" s="19" t="s">
        <v>60</v>
      </c>
    </row>
    <row r="29" spans="1:31" x14ac:dyDescent="0.2">
      <c r="A29">
        <v>28</v>
      </c>
      <c r="B29" s="19" t="s">
        <v>396</v>
      </c>
      <c r="C29">
        <v>28</v>
      </c>
      <c r="D29" s="19" t="s">
        <v>397</v>
      </c>
      <c r="E29" s="19" t="s">
        <v>325</v>
      </c>
      <c r="F29">
        <v>52</v>
      </c>
      <c r="G29">
        <v>17</v>
      </c>
      <c r="H29">
        <v>35</v>
      </c>
      <c r="I29">
        <v>52</v>
      </c>
      <c r="J29">
        <v>6</v>
      </c>
      <c r="K29">
        <v>30</v>
      </c>
      <c r="L29">
        <v>12</v>
      </c>
      <c r="M29">
        <v>4</v>
      </c>
      <c r="N29">
        <v>1</v>
      </c>
      <c r="O29">
        <v>2</v>
      </c>
      <c r="P29">
        <v>21</v>
      </c>
      <c r="Q29">
        <v>12</v>
      </c>
      <c r="R29">
        <v>2</v>
      </c>
      <c r="S29">
        <v>116</v>
      </c>
      <c r="T29">
        <v>14.7</v>
      </c>
      <c r="U29">
        <v>256</v>
      </c>
      <c r="V29" s="19" t="s">
        <v>2614</v>
      </c>
      <c r="W29" s="19" t="s">
        <v>1715</v>
      </c>
      <c r="X29">
        <v>394</v>
      </c>
      <c r="Y29">
        <v>397</v>
      </c>
      <c r="Z29">
        <v>49.8</v>
      </c>
      <c r="AA29">
        <v>16</v>
      </c>
      <c r="AB29">
        <v>46</v>
      </c>
      <c r="AC29">
        <v>22</v>
      </c>
      <c r="AD29">
        <v>73</v>
      </c>
      <c r="AE29" s="19" t="s">
        <v>60</v>
      </c>
    </row>
    <row r="30" spans="1:31" x14ac:dyDescent="0.2">
      <c r="A30">
        <v>29</v>
      </c>
      <c r="B30" s="19" t="s">
        <v>394</v>
      </c>
      <c r="C30">
        <v>28</v>
      </c>
      <c r="D30" s="19" t="s">
        <v>344</v>
      </c>
      <c r="E30" s="19" t="s">
        <v>335</v>
      </c>
      <c r="F30">
        <v>50</v>
      </c>
      <c r="G30">
        <v>12</v>
      </c>
      <c r="H30">
        <v>40</v>
      </c>
      <c r="I30">
        <v>52</v>
      </c>
      <c r="J30">
        <v>10</v>
      </c>
      <c r="K30">
        <v>14</v>
      </c>
      <c r="L30">
        <v>9</v>
      </c>
      <c r="M30">
        <v>3</v>
      </c>
      <c r="N30">
        <v>0</v>
      </c>
      <c r="O30">
        <v>0</v>
      </c>
      <c r="P30">
        <v>27</v>
      </c>
      <c r="Q30">
        <v>13</v>
      </c>
      <c r="R30">
        <v>0</v>
      </c>
      <c r="S30">
        <v>97</v>
      </c>
      <c r="T30">
        <v>12.4</v>
      </c>
      <c r="U30">
        <v>222</v>
      </c>
      <c r="V30" s="19" t="s">
        <v>2334</v>
      </c>
      <c r="W30" s="19" t="s">
        <v>629</v>
      </c>
      <c r="X30">
        <v>58</v>
      </c>
      <c r="Y30">
        <v>103</v>
      </c>
      <c r="Z30">
        <v>36</v>
      </c>
      <c r="AA30">
        <v>33</v>
      </c>
      <c r="AB30">
        <v>17</v>
      </c>
      <c r="AC30">
        <v>24</v>
      </c>
      <c r="AD30">
        <v>69</v>
      </c>
      <c r="AE30" s="19" t="s">
        <v>60</v>
      </c>
    </row>
    <row r="31" spans="1:31" x14ac:dyDescent="0.2">
      <c r="A31">
        <v>30</v>
      </c>
      <c r="B31" s="19" t="s">
        <v>475</v>
      </c>
      <c r="C31">
        <v>33</v>
      </c>
      <c r="D31" s="19" t="s">
        <v>344</v>
      </c>
      <c r="E31" s="19" t="s">
        <v>335</v>
      </c>
      <c r="F31">
        <v>34</v>
      </c>
      <c r="G31">
        <v>20</v>
      </c>
      <c r="H31">
        <v>32</v>
      </c>
      <c r="I31">
        <v>52</v>
      </c>
      <c r="J31">
        <v>14</v>
      </c>
      <c r="K31">
        <v>7</v>
      </c>
      <c r="L31">
        <v>13</v>
      </c>
      <c r="M31">
        <v>7</v>
      </c>
      <c r="N31">
        <v>0</v>
      </c>
      <c r="O31">
        <v>3</v>
      </c>
      <c r="P31">
        <v>17</v>
      </c>
      <c r="Q31">
        <v>14</v>
      </c>
      <c r="R31">
        <v>1</v>
      </c>
      <c r="S31">
        <v>81</v>
      </c>
      <c r="T31">
        <v>24.7</v>
      </c>
      <c r="U31">
        <v>137</v>
      </c>
      <c r="V31" s="19" t="s">
        <v>2165</v>
      </c>
      <c r="W31" s="19" t="s">
        <v>2172</v>
      </c>
      <c r="X31">
        <v>1</v>
      </c>
      <c r="Y31">
        <v>6</v>
      </c>
      <c r="Z31">
        <v>14.3</v>
      </c>
      <c r="AA31">
        <v>27</v>
      </c>
      <c r="AB31">
        <v>16</v>
      </c>
      <c r="AC31">
        <v>16</v>
      </c>
      <c r="AD31">
        <v>38</v>
      </c>
      <c r="AE31" s="19" t="s">
        <v>60</v>
      </c>
    </row>
    <row r="32" spans="1:31" x14ac:dyDescent="0.2">
      <c r="A32">
        <v>31</v>
      </c>
      <c r="B32" s="19" t="s">
        <v>425</v>
      </c>
      <c r="C32">
        <v>24</v>
      </c>
      <c r="D32" s="19" t="s">
        <v>416</v>
      </c>
      <c r="E32" s="19" t="s">
        <v>340</v>
      </c>
      <c r="F32">
        <v>51</v>
      </c>
      <c r="G32">
        <v>23</v>
      </c>
      <c r="H32">
        <v>29</v>
      </c>
      <c r="I32">
        <v>52</v>
      </c>
      <c r="J32">
        <v>1</v>
      </c>
      <c r="K32">
        <v>31</v>
      </c>
      <c r="L32">
        <v>16</v>
      </c>
      <c r="M32">
        <v>6</v>
      </c>
      <c r="N32">
        <v>1</v>
      </c>
      <c r="O32">
        <v>4</v>
      </c>
      <c r="P32">
        <v>18</v>
      </c>
      <c r="Q32">
        <v>11</v>
      </c>
      <c r="R32">
        <v>0</v>
      </c>
      <c r="S32">
        <v>129</v>
      </c>
      <c r="T32">
        <v>17.8</v>
      </c>
      <c r="U32">
        <v>232</v>
      </c>
      <c r="V32" s="19" t="s">
        <v>2615</v>
      </c>
      <c r="W32" s="19" t="s">
        <v>1793</v>
      </c>
      <c r="X32">
        <v>252</v>
      </c>
      <c r="Y32">
        <v>209</v>
      </c>
      <c r="Z32">
        <v>54.7</v>
      </c>
      <c r="AA32">
        <v>34</v>
      </c>
      <c r="AB32">
        <v>82</v>
      </c>
      <c r="AC32">
        <v>23</v>
      </c>
      <c r="AD32">
        <v>72</v>
      </c>
      <c r="AE32" s="19" t="s">
        <v>60</v>
      </c>
    </row>
    <row r="33" spans="1:31" x14ac:dyDescent="0.2">
      <c r="A33">
        <v>32</v>
      </c>
      <c r="B33" s="19" t="s">
        <v>404</v>
      </c>
      <c r="C33">
        <v>27</v>
      </c>
      <c r="D33" s="19" t="s">
        <v>405</v>
      </c>
      <c r="E33" s="19" t="s">
        <v>322</v>
      </c>
      <c r="F33">
        <v>51</v>
      </c>
      <c r="G33">
        <v>16</v>
      </c>
      <c r="H33">
        <v>34</v>
      </c>
      <c r="I33">
        <v>50</v>
      </c>
      <c r="J33">
        <v>18</v>
      </c>
      <c r="K33">
        <v>14</v>
      </c>
      <c r="L33">
        <v>15</v>
      </c>
      <c r="M33">
        <v>1</v>
      </c>
      <c r="N33">
        <v>0</v>
      </c>
      <c r="O33">
        <v>4</v>
      </c>
      <c r="P33">
        <v>21</v>
      </c>
      <c r="Q33">
        <v>13</v>
      </c>
      <c r="R33">
        <v>0</v>
      </c>
      <c r="S33">
        <v>142</v>
      </c>
      <c r="T33">
        <v>11.3</v>
      </c>
      <c r="U33">
        <v>257</v>
      </c>
      <c r="V33" s="19" t="s">
        <v>2616</v>
      </c>
      <c r="W33" s="19" t="s">
        <v>377</v>
      </c>
      <c r="X33">
        <v>12</v>
      </c>
      <c r="Y33">
        <v>15</v>
      </c>
      <c r="Z33">
        <v>44.4</v>
      </c>
      <c r="AA33">
        <v>21</v>
      </c>
      <c r="AB33">
        <v>8</v>
      </c>
      <c r="AC33">
        <v>16</v>
      </c>
      <c r="AD33">
        <v>62</v>
      </c>
      <c r="AE33" s="19" t="s">
        <v>60</v>
      </c>
    </row>
    <row r="34" spans="1:31" x14ac:dyDescent="0.2">
      <c r="A34">
        <v>33</v>
      </c>
      <c r="B34" s="19" t="s">
        <v>458</v>
      </c>
      <c r="C34">
        <v>34</v>
      </c>
      <c r="D34" s="19" t="s">
        <v>459</v>
      </c>
      <c r="E34" s="19" t="s">
        <v>322</v>
      </c>
      <c r="F34">
        <v>51</v>
      </c>
      <c r="G34">
        <v>18</v>
      </c>
      <c r="H34">
        <v>32</v>
      </c>
      <c r="I34">
        <v>50</v>
      </c>
      <c r="J34">
        <v>5</v>
      </c>
      <c r="K34">
        <v>10</v>
      </c>
      <c r="L34">
        <v>14</v>
      </c>
      <c r="M34">
        <v>2</v>
      </c>
      <c r="N34">
        <v>2</v>
      </c>
      <c r="O34">
        <v>5</v>
      </c>
      <c r="P34">
        <v>22</v>
      </c>
      <c r="Q34">
        <v>10</v>
      </c>
      <c r="R34">
        <v>0</v>
      </c>
      <c r="S34">
        <v>92</v>
      </c>
      <c r="T34">
        <v>19.600000000000001</v>
      </c>
      <c r="U34">
        <v>159</v>
      </c>
      <c r="V34" s="19" t="s">
        <v>2617</v>
      </c>
      <c r="W34" s="19" t="s">
        <v>629</v>
      </c>
      <c r="X34">
        <v>484</v>
      </c>
      <c r="Y34">
        <v>392</v>
      </c>
      <c r="Z34">
        <v>55.3</v>
      </c>
      <c r="AA34">
        <v>39</v>
      </c>
      <c r="AB34">
        <v>10</v>
      </c>
      <c r="AC34">
        <v>35</v>
      </c>
      <c r="AD34">
        <v>33</v>
      </c>
      <c r="AE34" s="19" t="s">
        <v>60</v>
      </c>
    </row>
    <row r="35" spans="1:31" x14ac:dyDescent="0.2">
      <c r="A35">
        <v>34</v>
      </c>
      <c r="B35" s="19" t="s">
        <v>382</v>
      </c>
      <c r="C35">
        <v>27</v>
      </c>
      <c r="D35" s="19" t="s">
        <v>352</v>
      </c>
      <c r="E35" s="19" t="s">
        <v>340</v>
      </c>
      <c r="F35">
        <v>45</v>
      </c>
      <c r="G35">
        <v>25</v>
      </c>
      <c r="H35">
        <v>24</v>
      </c>
      <c r="I35">
        <v>49</v>
      </c>
      <c r="J35">
        <v>27</v>
      </c>
      <c r="K35">
        <v>28</v>
      </c>
      <c r="L35">
        <v>21</v>
      </c>
      <c r="M35">
        <v>3</v>
      </c>
      <c r="N35">
        <v>1</v>
      </c>
      <c r="O35">
        <v>6</v>
      </c>
      <c r="P35">
        <v>20</v>
      </c>
      <c r="Q35">
        <v>4</v>
      </c>
      <c r="R35">
        <v>0</v>
      </c>
      <c r="S35">
        <v>132</v>
      </c>
      <c r="T35">
        <v>18.899999999999999</v>
      </c>
      <c r="U35">
        <v>296</v>
      </c>
      <c r="V35" s="19" t="s">
        <v>2618</v>
      </c>
      <c r="W35" s="19" t="s">
        <v>1823</v>
      </c>
      <c r="X35">
        <v>17</v>
      </c>
      <c r="Y35">
        <v>23</v>
      </c>
      <c r="Z35">
        <v>42.5</v>
      </c>
      <c r="AA35">
        <v>24</v>
      </c>
      <c r="AB35">
        <v>35</v>
      </c>
      <c r="AC35">
        <v>19</v>
      </c>
      <c r="AD35">
        <v>45</v>
      </c>
      <c r="AE35" s="19" t="s">
        <v>60</v>
      </c>
    </row>
    <row r="36" spans="1:31" x14ac:dyDescent="0.2">
      <c r="A36">
        <v>35</v>
      </c>
      <c r="B36" s="19" t="s">
        <v>372</v>
      </c>
      <c r="C36">
        <v>37</v>
      </c>
      <c r="D36" s="19" t="s">
        <v>373</v>
      </c>
      <c r="E36" s="19" t="s">
        <v>340</v>
      </c>
      <c r="F36">
        <v>42</v>
      </c>
      <c r="G36">
        <v>25</v>
      </c>
      <c r="H36">
        <v>24</v>
      </c>
      <c r="I36">
        <v>49</v>
      </c>
      <c r="J36">
        <v>-8</v>
      </c>
      <c r="K36">
        <v>34</v>
      </c>
      <c r="L36">
        <v>19</v>
      </c>
      <c r="M36">
        <v>6</v>
      </c>
      <c r="N36">
        <v>0</v>
      </c>
      <c r="O36">
        <v>3</v>
      </c>
      <c r="P36">
        <v>12</v>
      </c>
      <c r="Q36">
        <v>12</v>
      </c>
      <c r="R36">
        <v>0</v>
      </c>
      <c r="S36">
        <v>121</v>
      </c>
      <c r="T36">
        <v>20.7</v>
      </c>
      <c r="U36">
        <v>237</v>
      </c>
      <c r="V36" s="19" t="s">
        <v>2619</v>
      </c>
      <c r="W36" s="19" t="s">
        <v>1731</v>
      </c>
      <c r="X36">
        <v>1</v>
      </c>
      <c r="Y36">
        <v>7</v>
      </c>
      <c r="Z36">
        <v>12.5</v>
      </c>
      <c r="AA36">
        <v>16</v>
      </c>
      <c r="AB36">
        <v>33</v>
      </c>
      <c r="AC36">
        <v>13</v>
      </c>
      <c r="AD36">
        <v>45</v>
      </c>
      <c r="AE36" s="19" t="s">
        <v>60</v>
      </c>
    </row>
    <row r="37" spans="1:31" x14ac:dyDescent="0.2">
      <c r="A37">
        <v>36</v>
      </c>
      <c r="B37" s="19" t="s">
        <v>395</v>
      </c>
      <c r="C37">
        <v>30</v>
      </c>
      <c r="D37" s="19" t="s">
        <v>373</v>
      </c>
      <c r="E37" s="19" t="s">
        <v>322</v>
      </c>
      <c r="F37">
        <v>50</v>
      </c>
      <c r="G37">
        <v>25</v>
      </c>
      <c r="H37">
        <v>24</v>
      </c>
      <c r="I37">
        <v>49</v>
      </c>
      <c r="J37">
        <v>-12</v>
      </c>
      <c r="K37">
        <v>8</v>
      </c>
      <c r="L37">
        <v>13</v>
      </c>
      <c r="M37">
        <v>9</v>
      </c>
      <c r="N37">
        <v>3</v>
      </c>
      <c r="O37">
        <v>5</v>
      </c>
      <c r="P37">
        <v>14</v>
      </c>
      <c r="Q37">
        <v>10</v>
      </c>
      <c r="R37">
        <v>0</v>
      </c>
      <c r="S37">
        <v>130</v>
      </c>
      <c r="T37">
        <v>19.2</v>
      </c>
      <c r="U37">
        <v>293</v>
      </c>
      <c r="V37" s="19" t="s">
        <v>2620</v>
      </c>
      <c r="W37" s="19" t="s">
        <v>1988</v>
      </c>
      <c r="X37">
        <v>44</v>
      </c>
      <c r="Y37">
        <v>77</v>
      </c>
      <c r="Z37">
        <v>36.4</v>
      </c>
      <c r="AA37">
        <v>31</v>
      </c>
      <c r="AB37">
        <v>49</v>
      </c>
      <c r="AC37">
        <v>14</v>
      </c>
      <c r="AD37">
        <v>38</v>
      </c>
      <c r="AE37" s="19" t="s">
        <v>60</v>
      </c>
    </row>
    <row r="38" spans="1:31" x14ac:dyDescent="0.2">
      <c r="A38">
        <v>37</v>
      </c>
      <c r="B38" s="19" t="s">
        <v>329</v>
      </c>
      <c r="C38">
        <v>20</v>
      </c>
      <c r="D38" s="19" t="s">
        <v>330</v>
      </c>
      <c r="E38" s="19" t="s">
        <v>322</v>
      </c>
      <c r="F38">
        <v>38</v>
      </c>
      <c r="G38">
        <v>20</v>
      </c>
      <c r="H38">
        <v>28</v>
      </c>
      <c r="I38">
        <v>48</v>
      </c>
      <c r="J38">
        <v>5</v>
      </c>
      <c r="K38">
        <v>30</v>
      </c>
      <c r="L38">
        <v>15</v>
      </c>
      <c r="M38">
        <v>5</v>
      </c>
      <c r="N38">
        <v>0</v>
      </c>
      <c r="O38">
        <v>3</v>
      </c>
      <c r="P38">
        <v>19</v>
      </c>
      <c r="Q38">
        <v>9</v>
      </c>
      <c r="R38">
        <v>0</v>
      </c>
      <c r="S38">
        <v>125</v>
      </c>
      <c r="T38">
        <v>16</v>
      </c>
      <c r="U38">
        <v>229</v>
      </c>
      <c r="V38" s="19" t="s">
        <v>2335</v>
      </c>
      <c r="W38" s="19" t="s">
        <v>1616</v>
      </c>
      <c r="X38">
        <v>148</v>
      </c>
      <c r="Y38">
        <v>167</v>
      </c>
      <c r="Z38">
        <v>47</v>
      </c>
      <c r="AA38">
        <v>16</v>
      </c>
      <c r="AB38">
        <v>11</v>
      </c>
      <c r="AC38">
        <v>16</v>
      </c>
      <c r="AD38">
        <v>51</v>
      </c>
      <c r="AE38" s="19" t="s">
        <v>60</v>
      </c>
    </row>
    <row r="39" spans="1:31" x14ac:dyDescent="0.2">
      <c r="A39">
        <v>38</v>
      </c>
      <c r="B39" s="19" t="s">
        <v>358</v>
      </c>
      <c r="C39">
        <v>29</v>
      </c>
      <c r="D39" s="19" t="s">
        <v>359</v>
      </c>
      <c r="E39" s="19" t="s">
        <v>322</v>
      </c>
      <c r="F39">
        <v>37</v>
      </c>
      <c r="G39">
        <v>17</v>
      </c>
      <c r="H39">
        <v>31</v>
      </c>
      <c r="I39">
        <v>48</v>
      </c>
      <c r="J39">
        <v>1</v>
      </c>
      <c r="K39">
        <v>14</v>
      </c>
      <c r="L39">
        <v>14</v>
      </c>
      <c r="M39">
        <v>3</v>
      </c>
      <c r="N39">
        <v>0</v>
      </c>
      <c r="O39">
        <v>3</v>
      </c>
      <c r="P39">
        <v>25</v>
      </c>
      <c r="Q39">
        <v>6</v>
      </c>
      <c r="R39">
        <v>0</v>
      </c>
      <c r="S39">
        <v>75</v>
      </c>
      <c r="T39">
        <v>22.7</v>
      </c>
      <c r="U39">
        <v>163</v>
      </c>
      <c r="V39" s="19" t="s">
        <v>2030</v>
      </c>
      <c r="W39" s="19" t="s">
        <v>1833</v>
      </c>
      <c r="X39">
        <v>19</v>
      </c>
      <c r="Y39">
        <v>33</v>
      </c>
      <c r="Z39">
        <v>36.5</v>
      </c>
      <c r="AA39">
        <v>13</v>
      </c>
      <c r="AB39">
        <v>4</v>
      </c>
      <c r="AC39">
        <v>16</v>
      </c>
      <c r="AD39">
        <v>38</v>
      </c>
      <c r="AE39" s="19" t="s">
        <v>60</v>
      </c>
    </row>
    <row r="40" spans="1:31" x14ac:dyDescent="0.2">
      <c r="A40">
        <v>39</v>
      </c>
      <c r="B40" s="19" t="s">
        <v>429</v>
      </c>
      <c r="C40">
        <v>32</v>
      </c>
      <c r="D40" s="19" t="s">
        <v>361</v>
      </c>
      <c r="E40" s="19" t="s">
        <v>322</v>
      </c>
      <c r="F40">
        <v>51</v>
      </c>
      <c r="G40">
        <v>21</v>
      </c>
      <c r="H40">
        <v>27</v>
      </c>
      <c r="I40">
        <v>48</v>
      </c>
      <c r="J40">
        <v>-17</v>
      </c>
      <c r="K40">
        <v>10</v>
      </c>
      <c r="L40">
        <v>10</v>
      </c>
      <c r="M40">
        <v>9</v>
      </c>
      <c r="N40">
        <v>2</v>
      </c>
      <c r="O40">
        <v>3</v>
      </c>
      <c r="P40">
        <v>17</v>
      </c>
      <c r="Q40">
        <v>10</v>
      </c>
      <c r="R40">
        <v>0</v>
      </c>
      <c r="S40">
        <v>140</v>
      </c>
      <c r="T40">
        <v>15</v>
      </c>
      <c r="U40">
        <v>270</v>
      </c>
      <c r="V40" s="19" t="s">
        <v>2336</v>
      </c>
      <c r="W40" s="19" t="s">
        <v>1996</v>
      </c>
      <c r="X40">
        <v>364</v>
      </c>
      <c r="Y40">
        <v>332</v>
      </c>
      <c r="Z40">
        <v>52.3</v>
      </c>
      <c r="AA40">
        <v>34</v>
      </c>
      <c r="AB40">
        <v>72</v>
      </c>
      <c r="AC40">
        <v>21</v>
      </c>
      <c r="AD40">
        <v>69</v>
      </c>
      <c r="AE40" s="19" t="s">
        <v>60</v>
      </c>
    </row>
    <row r="41" spans="1:31" x14ac:dyDescent="0.2">
      <c r="A41">
        <v>40</v>
      </c>
      <c r="B41" s="19" t="s">
        <v>446</v>
      </c>
      <c r="C41">
        <v>26</v>
      </c>
      <c r="D41" s="19" t="s">
        <v>950</v>
      </c>
      <c r="E41" s="19" t="s">
        <v>349</v>
      </c>
      <c r="F41">
        <v>47</v>
      </c>
      <c r="G41">
        <v>4</v>
      </c>
      <c r="H41">
        <v>44</v>
      </c>
      <c r="I41">
        <v>48</v>
      </c>
      <c r="J41">
        <v>-2</v>
      </c>
      <c r="K41">
        <v>20</v>
      </c>
      <c r="L41">
        <v>2</v>
      </c>
      <c r="M41">
        <v>2</v>
      </c>
      <c r="N41">
        <v>0</v>
      </c>
      <c r="O41">
        <v>0</v>
      </c>
      <c r="P41">
        <v>25</v>
      </c>
      <c r="Q41">
        <v>19</v>
      </c>
      <c r="R41">
        <v>0</v>
      </c>
      <c r="S41">
        <v>128</v>
      </c>
      <c r="T41">
        <v>3.1</v>
      </c>
      <c r="U41">
        <v>320</v>
      </c>
      <c r="V41" s="19" t="s">
        <v>2621</v>
      </c>
      <c r="W41" s="19" t="s">
        <v>2622</v>
      </c>
      <c r="X41">
        <v>0</v>
      </c>
      <c r="Y41">
        <v>0</v>
      </c>
      <c r="AA41">
        <v>57</v>
      </c>
      <c r="AB41">
        <v>5</v>
      </c>
      <c r="AC41">
        <v>20</v>
      </c>
      <c r="AD41">
        <v>71</v>
      </c>
      <c r="AE41" s="19" t="s">
        <v>60</v>
      </c>
    </row>
    <row r="42" spans="1:31" x14ac:dyDescent="0.2">
      <c r="A42">
        <v>40</v>
      </c>
      <c r="B42" s="19" t="s">
        <v>446</v>
      </c>
      <c r="C42">
        <v>26</v>
      </c>
      <c r="D42" s="19" t="s">
        <v>447</v>
      </c>
      <c r="E42" s="19" t="s">
        <v>349</v>
      </c>
      <c r="F42">
        <v>26</v>
      </c>
      <c r="G42">
        <v>2</v>
      </c>
      <c r="H42">
        <v>21</v>
      </c>
      <c r="I42">
        <v>23</v>
      </c>
      <c r="J42">
        <v>-10</v>
      </c>
      <c r="K42">
        <v>12</v>
      </c>
      <c r="L42">
        <v>0</v>
      </c>
      <c r="M42">
        <v>2</v>
      </c>
      <c r="N42">
        <v>0</v>
      </c>
      <c r="O42">
        <v>0</v>
      </c>
      <c r="P42">
        <v>11</v>
      </c>
      <c r="Q42">
        <v>10</v>
      </c>
      <c r="R42">
        <v>0</v>
      </c>
      <c r="S42">
        <v>74</v>
      </c>
      <c r="T42">
        <v>2.7</v>
      </c>
      <c r="U42">
        <v>190</v>
      </c>
      <c r="V42" s="19" t="s">
        <v>1536</v>
      </c>
      <c r="W42" s="19" t="s">
        <v>1537</v>
      </c>
      <c r="X42">
        <v>0</v>
      </c>
      <c r="Y42">
        <v>0</v>
      </c>
      <c r="AA42">
        <v>32</v>
      </c>
      <c r="AB42">
        <v>1</v>
      </c>
      <c r="AC42">
        <v>10</v>
      </c>
      <c r="AD42">
        <v>41</v>
      </c>
      <c r="AE42" s="19" t="s">
        <v>60</v>
      </c>
    </row>
    <row r="43" spans="1:31" x14ac:dyDescent="0.2">
      <c r="A43">
        <v>40</v>
      </c>
      <c r="B43" s="19" t="s">
        <v>446</v>
      </c>
      <c r="C43">
        <v>26</v>
      </c>
      <c r="D43" s="19" t="s">
        <v>357</v>
      </c>
      <c r="E43" s="19" t="s">
        <v>349</v>
      </c>
      <c r="F43">
        <v>21</v>
      </c>
      <c r="G43">
        <v>2</v>
      </c>
      <c r="H43">
        <v>23</v>
      </c>
      <c r="I43">
        <v>25</v>
      </c>
      <c r="J43">
        <v>8</v>
      </c>
      <c r="K43">
        <v>8</v>
      </c>
      <c r="L43">
        <v>2</v>
      </c>
      <c r="M43">
        <v>0</v>
      </c>
      <c r="N43">
        <v>0</v>
      </c>
      <c r="O43">
        <v>0</v>
      </c>
      <c r="P43">
        <v>14</v>
      </c>
      <c r="Q43">
        <v>9</v>
      </c>
      <c r="R43">
        <v>0</v>
      </c>
      <c r="S43">
        <v>54</v>
      </c>
      <c r="T43">
        <v>3.7</v>
      </c>
      <c r="U43">
        <v>130</v>
      </c>
      <c r="V43" s="19" t="s">
        <v>2623</v>
      </c>
      <c r="W43" s="19" t="s">
        <v>2624</v>
      </c>
      <c r="X43">
        <v>0</v>
      </c>
      <c r="Y43">
        <v>0</v>
      </c>
      <c r="AA43">
        <v>25</v>
      </c>
      <c r="AB43">
        <v>4</v>
      </c>
      <c r="AC43">
        <v>10</v>
      </c>
      <c r="AD43">
        <v>30</v>
      </c>
      <c r="AE43" s="19" t="s">
        <v>60</v>
      </c>
    </row>
    <row r="44" spans="1:31" x14ac:dyDescent="0.2">
      <c r="A44">
        <v>41</v>
      </c>
      <c r="B44" s="19" t="s">
        <v>354</v>
      </c>
      <c r="C44">
        <v>27</v>
      </c>
      <c r="D44" s="19" t="s">
        <v>355</v>
      </c>
      <c r="E44" s="19" t="s">
        <v>322</v>
      </c>
      <c r="F44">
        <v>51</v>
      </c>
      <c r="G44">
        <v>28</v>
      </c>
      <c r="H44">
        <v>19</v>
      </c>
      <c r="I44">
        <v>47</v>
      </c>
      <c r="J44">
        <v>-5</v>
      </c>
      <c r="K44">
        <v>16</v>
      </c>
      <c r="L44">
        <v>18</v>
      </c>
      <c r="M44">
        <v>10</v>
      </c>
      <c r="N44">
        <v>0</v>
      </c>
      <c r="O44">
        <v>5</v>
      </c>
      <c r="P44">
        <v>11</v>
      </c>
      <c r="Q44">
        <v>8</v>
      </c>
      <c r="R44">
        <v>0</v>
      </c>
      <c r="S44">
        <v>118</v>
      </c>
      <c r="T44">
        <v>23.7</v>
      </c>
      <c r="U44">
        <v>226</v>
      </c>
      <c r="V44" s="19" t="s">
        <v>2625</v>
      </c>
      <c r="W44" s="19" t="s">
        <v>573</v>
      </c>
      <c r="X44">
        <v>57</v>
      </c>
      <c r="Y44">
        <v>68</v>
      </c>
      <c r="Z44">
        <v>45.6</v>
      </c>
      <c r="AA44">
        <v>18</v>
      </c>
      <c r="AB44">
        <v>82</v>
      </c>
      <c r="AC44">
        <v>15</v>
      </c>
      <c r="AD44">
        <v>41</v>
      </c>
      <c r="AE44" s="19" t="s">
        <v>60</v>
      </c>
    </row>
    <row r="45" spans="1:31" x14ac:dyDescent="0.2">
      <c r="A45">
        <v>42</v>
      </c>
      <c r="B45" s="19" t="s">
        <v>370</v>
      </c>
      <c r="C45">
        <v>29</v>
      </c>
      <c r="D45" s="19" t="s">
        <v>371</v>
      </c>
      <c r="E45" s="19" t="s">
        <v>322</v>
      </c>
      <c r="F45">
        <v>53</v>
      </c>
      <c r="G45">
        <v>25</v>
      </c>
      <c r="H45">
        <v>22</v>
      </c>
      <c r="I45">
        <v>47</v>
      </c>
      <c r="J45">
        <v>9</v>
      </c>
      <c r="K45">
        <v>32</v>
      </c>
      <c r="L45">
        <v>17</v>
      </c>
      <c r="M45">
        <v>8</v>
      </c>
      <c r="N45">
        <v>0</v>
      </c>
      <c r="O45">
        <v>7</v>
      </c>
      <c r="P45">
        <v>15</v>
      </c>
      <c r="Q45">
        <v>7</v>
      </c>
      <c r="R45">
        <v>0</v>
      </c>
      <c r="S45">
        <v>156</v>
      </c>
      <c r="T45">
        <v>16</v>
      </c>
      <c r="U45">
        <v>322</v>
      </c>
      <c r="V45" s="19" t="s">
        <v>2620</v>
      </c>
      <c r="W45" s="19" t="s">
        <v>2083</v>
      </c>
      <c r="X45">
        <v>578</v>
      </c>
      <c r="Y45">
        <v>509</v>
      </c>
      <c r="Z45">
        <v>53.2</v>
      </c>
      <c r="AA45">
        <v>28</v>
      </c>
      <c r="AB45">
        <v>27</v>
      </c>
      <c r="AC45">
        <v>13</v>
      </c>
      <c r="AD45">
        <v>49</v>
      </c>
      <c r="AE45" s="19" t="s">
        <v>60</v>
      </c>
    </row>
    <row r="46" spans="1:31" x14ac:dyDescent="0.2">
      <c r="A46">
        <v>43</v>
      </c>
      <c r="B46" s="19" t="s">
        <v>412</v>
      </c>
      <c r="C46">
        <v>29</v>
      </c>
      <c r="D46" s="19" t="s">
        <v>405</v>
      </c>
      <c r="E46" s="19" t="s">
        <v>322</v>
      </c>
      <c r="F46">
        <v>51</v>
      </c>
      <c r="G46">
        <v>18</v>
      </c>
      <c r="H46">
        <v>28</v>
      </c>
      <c r="I46">
        <v>46</v>
      </c>
      <c r="J46">
        <v>15</v>
      </c>
      <c r="K46">
        <v>16</v>
      </c>
      <c r="L46">
        <v>14</v>
      </c>
      <c r="M46">
        <v>4</v>
      </c>
      <c r="N46">
        <v>0</v>
      </c>
      <c r="O46">
        <v>4</v>
      </c>
      <c r="P46">
        <v>22</v>
      </c>
      <c r="Q46">
        <v>6</v>
      </c>
      <c r="R46">
        <v>0</v>
      </c>
      <c r="S46">
        <v>126</v>
      </c>
      <c r="T46">
        <v>14.3</v>
      </c>
      <c r="U46">
        <v>246</v>
      </c>
      <c r="V46" s="19" t="s">
        <v>2626</v>
      </c>
      <c r="W46" s="19" t="s">
        <v>2094</v>
      </c>
      <c r="X46">
        <v>260</v>
      </c>
      <c r="Y46">
        <v>290</v>
      </c>
      <c r="Z46">
        <v>47.3</v>
      </c>
      <c r="AA46">
        <v>32</v>
      </c>
      <c r="AB46">
        <v>14</v>
      </c>
      <c r="AC46">
        <v>28</v>
      </c>
      <c r="AD46">
        <v>56</v>
      </c>
      <c r="AE46" s="19" t="s">
        <v>60</v>
      </c>
    </row>
    <row r="47" spans="1:31" x14ac:dyDescent="0.2">
      <c r="A47">
        <v>44</v>
      </c>
      <c r="B47" s="19" t="s">
        <v>365</v>
      </c>
      <c r="C47">
        <v>31</v>
      </c>
      <c r="D47" s="19" t="s">
        <v>366</v>
      </c>
      <c r="E47" s="19" t="s">
        <v>335</v>
      </c>
      <c r="F47">
        <v>44</v>
      </c>
      <c r="G47">
        <v>22</v>
      </c>
      <c r="H47">
        <v>24</v>
      </c>
      <c r="I47">
        <v>46</v>
      </c>
      <c r="J47">
        <v>22</v>
      </c>
      <c r="K47">
        <v>71</v>
      </c>
      <c r="L47">
        <v>15</v>
      </c>
      <c r="M47">
        <v>7</v>
      </c>
      <c r="N47">
        <v>0</v>
      </c>
      <c r="O47">
        <v>2</v>
      </c>
      <c r="P47">
        <v>20</v>
      </c>
      <c r="Q47">
        <v>4</v>
      </c>
      <c r="R47">
        <v>0</v>
      </c>
      <c r="S47">
        <v>101</v>
      </c>
      <c r="T47">
        <v>21.8</v>
      </c>
      <c r="U47">
        <v>191</v>
      </c>
      <c r="V47" s="19" t="s">
        <v>2627</v>
      </c>
      <c r="W47" s="19" t="s">
        <v>1736</v>
      </c>
      <c r="X47">
        <v>13</v>
      </c>
      <c r="Y47">
        <v>13</v>
      </c>
      <c r="Z47">
        <v>50</v>
      </c>
      <c r="AA47">
        <v>26</v>
      </c>
      <c r="AB47">
        <v>116</v>
      </c>
      <c r="AC47">
        <v>11</v>
      </c>
      <c r="AD47">
        <v>51</v>
      </c>
      <c r="AE47" s="19" t="s">
        <v>60</v>
      </c>
    </row>
    <row r="48" spans="1:31" x14ac:dyDescent="0.2">
      <c r="A48">
        <v>45</v>
      </c>
      <c r="B48" s="19" t="s">
        <v>406</v>
      </c>
      <c r="C48">
        <v>24</v>
      </c>
      <c r="D48" s="19" t="s">
        <v>407</v>
      </c>
      <c r="E48" s="19" t="s">
        <v>322</v>
      </c>
      <c r="F48">
        <v>50</v>
      </c>
      <c r="G48">
        <v>19</v>
      </c>
      <c r="H48">
        <v>27</v>
      </c>
      <c r="I48">
        <v>46</v>
      </c>
      <c r="J48">
        <v>-1</v>
      </c>
      <c r="K48">
        <v>34</v>
      </c>
      <c r="L48">
        <v>12</v>
      </c>
      <c r="M48">
        <v>7</v>
      </c>
      <c r="N48">
        <v>0</v>
      </c>
      <c r="O48">
        <v>2</v>
      </c>
      <c r="P48">
        <v>18</v>
      </c>
      <c r="Q48">
        <v>9</v>
      </c>
      <c r="R48">
        <v>0</v>
      </c>
      <c r="S48">
        <v>110</v>
      </c>
      <c r="T48">
        <v>17.3</v>
      </c>
      <c r="U48">
        <v>232</v>
      </c>
      <c r="V48" s="19" t="s">
        <v>2337</v>
      </c>
      <c r="W48" s="19" t="s">
        <v>414</v>
      </c>
      <c r="X48">
        <v>58</v>
      </c>
      <c r="Y48">
        <v>103</v>
      </c>
      <c r="Z48">
        <v>36</v>
      </c>
      <c r="AA48">
        <v>14</v>
      </c>
      <c r="AB48">
        <v>19</v>
      </c>
      <c r="AC48">
        <v>14</v>
      </c>
      <c r="AD48">
        <v>46</v>
      </c>
      <c r="AE48" s="19" t="s">
        <v>60</v>
      </c>
    </row>
    <row r="49" spans="1:31" x14ac:dyDescent="0.2">
      <c r="A49">
        <v>46</v>
      </c>
      <c r="B49" s="19" t="s">
        <v>353</v>
      </c>
      <c r="C49">
        <v>22</v>
      </c>
      <c r="D49" s="19" t="s">
        <v>337</v>
      </c>
      <c r="E49" s="19" t="s">
        <v>340</v>
      </c>
      <c r="F49">
        <v>50</v>
      </c>
      <c r="G49">
        <v>23</v>
      </c>
      <c r="H49">
        <v>22</v>
      </c>
      <c r="I49">
        <v>45</v>
      </c>
      <c r="J49">
        <v>6</v>
      </c>
      <c r="K49">
        <v>18</v>
      </c>
      <c r="L49">
        <v>18</v>
      </c>
      <c r="M49">
        <v>5</v>
      </c>
      <c r="N49">
        <v>0</v>
      </c>
      <c r="O49">
        <v>4</v>
      </c>
      <c r="P49">
        <v>17</v>
      </c>
      <c r="Q49">
        <v>5</v>
      </c>
      <c r="R49">
        <v>0</v>
      </c>
      <c r="S49">
        <v>192</v>
      </c>
      <c r="T49">
        <v>12</v>
      </c>
      <c r="U49">
        <v>364</v>
      </c>
      <c r="V49" s="19" t="s">
        <v>2338</v>
      </c>
      <c r="W49" s="19" t="s">
        <v>534</v>
      </c>
      <c r="X49">
        <v>36</v>
      </c>
      <c r="Y49">
        <v>44</v>
      </c>
      <c r="Z49">
        <v>45</v>
      </c>
      <c r="AA49">
        <v>16</v>
      </c>
      <c r="AB49">
        <v>40</v>
      </c>
      <c r="AC49">
        <v>12</v>
      </c>
      <c r="AD49">
        <v>50</v>
      </c>
      <c r="AE49" s="19" t="s">
        <v>60</v>
      </c>
    </row>
    <row r="50" spans="1:31" x14ac:dyDescent="0.2">
      <c r="A50">
        <v>47</v>
      </c>
      <c r="B50" s="19" t="s">
        <v>444</v>
      </c>
      <c r="C50">
        <v>22</v>
      </c>
      <c r="D50" s="19" t="s">
        <v>405</v>
      </c>
      <c r="E50" s="19" t="s">
        <v>335</v>
      </c>
      <c r="F50">
        <v>51</v>
      </c>
      <c r="G50">
        <v>23</v>
      </c>
      <c r="H50">
        <v>22</v>
      </c>
      <c r="I50">
        <v>45</v>
      </c>
      <c r="J50">
        <v>8</v>
      </c>
      <c r="K50">
        <v>22</v>
      </c>
      <c r="L50">
        <v>19</v>
      </c>
      <c r="M50">
        <v>4</v>
      </c>
      <c r="N50">
        <v>0</v>
      </c>
      <c r="O50">
        <v>6</v>
      </c>
      <c r="P50">
        <v>14</v>
      </c>
      <c r="Q50">
        <v>8</v>
      </c>
      <c r="R50">
        <v>0</v>
      </c>
      <c r="S50">
        <v>165</v>
      </c>
      <c r="T50">
        <v>13.9</v>
      </c>
      <c r="U50">
        <v>330</v>
      </c>
      <c r="V50" s="19" t="s">
        <v>2628</v>
      </c>
      <c r="W50" s="19" t="s">
        <v>1784</v>
      </c>
      <c r="X50">
        <v>21</v>
      </c>
      <c r="Y50">
        <v>29</v>
      </c>
      <c r="Z50">
        <v>42</v>
      </c>
      <c r="AA50">
        <v>18</v>
      </c>
      <c r="AB50">
        <v>43</v>
      </c>
      <c r="AC50">
        <v>10</v>
      </c>
      <c r="AD50">
        <v>40</v>
      </c>
      <c r="AE50" s="19" t="s">
        <v>60</v>
      </c>
    </row>
    <row r="51" spans="1:31" x14ac:dyDescent="0.2">
      <c r="A51">
        <v>48</v>
      </c>
      <c r="B51" s="19" t="s">
        <v>437</v>
      </c>
      <c r="C51">
        <v>28</v>
      </c>
      <c r="D51" s="19" t="s">
        <v>407</v>
      </c>
      <c r="E51" s="19" t="s">
        <v>335</v>
      </c>
      <c r="F51">
        <v>49</v>
      </c>
      <c r="G51">
        <v>17</v>
      </c>
      <c r="H51">
        <v>28</v>
      </c>
      <c r="I51">
        <v>45</v>
      </c>
      <c r="J51">
        <v>11</v>
      </c>
      <c r="K51">
        <v>45</v>
      </c>
      <c r="L51">
        <v>15</v>
      </c>
      <c r="M51">
        <v>1</v>
      </c>
      <c r="N51">
        <v>1</v>
      </c>
      <c r="O51">
        <v>2</v>
      </c>
      <c r="P51">
        <v>20</v>
      </c>
      <c r="Q51">
        <v>7</v>
      </c>
      <c r="R51">
        <v>1</v>
      </c>
      <c r="S51">
        <v>110</v>
      </c>
      <c r="T51">
        <v>15.5</v>
      </c>
      <c r="U51">
        <v>205</v>
      </c>
      <c r="V51" s="19" t="s">
        <v>2339</v>
      </c>
      <c r="W51" s="19" t="s">
        <v>2009</v>
      </c>
      <c r="X51">
        <v>10</v>
      </c>
      <c r="Y51">
        <v>29</v>
      </c>
      <c r="Z51">
        <v>25.6</v>
      </c>
      <c r="AA51">
        <v>25</v>
      </c>
      <c r="AB51">
        <v>63</v>
      </c>
      <c r="AC51">
        <v>12</v>
      </c>
      <c r="AD51">
        <v>71</v>
      </c>
      <c r="AE51" s="19" t="s">
        <v>60</v>
      </c>
    </row>
    <row r="52" spans="1:31" x14ac:dyDescent="0.2">
      <c r="A52">
        <v>49</v>
      </c>
      <c r="B52" s="19" t="s">
        <v>415</v>
      </c>
      <c r="C52">
        <v>27</v>
      </c>
      <c r="D52" s="19" t="s">
        <v>416</v>
      </c>
      <c r="E52" s="19" t="s">
        <v>322</v>
      </c>
      <c r="F52">
        <v>48</v>
      </c>
      <c r="G52">
        <v>19</v>
      </c>
      <c r="H52">
        <v>25</v>
      </c>
      <c r="I52">
        <v>44</v>
      </c>
      <c r="J52">
        <v>-4</v>
      </c>
      <c r="K52">
        <v>21</v>
      </c>
      <c r="L52">
        <v>12</v>
      </c>
      <c r="M52">
        <v>7</v>
      </c>
      <c r="N52">
        <v>0</v>
      </c>
      <c r="O52">
        <v>3</v>
      </c>
      <c r="P52">
        <v>16</v>
      </c>
      <c r="Q52">
        <v>9</v>
      </c>
      <c r="R52">
        <v>0</v>
      </c>
      <c r="S52">
        <v>104</v>
      </c>
      <c r="T52">
        <v>18.3</v>
      </c>
      <c r="U52">
        <v>212</v>
      </c>
      <c r="V52" s="19" t="s">
        <v>2629</v>
      </c>
      <c r="W52" s="19" t="s">
        <v>1829</v>
      </c>
      <c r="X52">
        <v>9</v>
      </c>
      <c r="Y52">
        <v>10</v>
      </c>
      <c r="Z52">
        <v>47.4</v>
      </c>
      <c r="AA52">
        <v>15</v>
      </c>
      <c r="AB52">
        <v>71</v>
      </c>
      <c r="AC52">
        <v>18</v>
      </c>
      <c r="AD52">
        <v>37</v>
      </c>
      <c r="AE52" s="19" t="s">
        <v>60</v>
      </c>
    </row>
    <row r="53" spans="1:31" x14ac:dyDescent="0.2">
      <c r="A53">
        <v>50</v>
      </c>
      <c r="B53" s="19" t="s">
        <v>336</v>
      </c>
      <c r="C53">
        <v>21</v>
      </c>
      <c r="D53" s="19" t="s">
        <v>337</v>
      </c>
      <c r="E53" s="19" t="s">
        <v>322</v>
      </c>
      <c r="F53">
        <v>44</v>
      </c>
      <c r="G53">
        <v>18</v>
      </c>
      <c r="H53">
        <v>26</v>
      </c>
      <c r="I53">
        <v>44</v>
      </c>
      <c r="J53">
        <v>3</v>
      </c>
      <c r="K53">
        <v>29</v>
      </c>
      <c r="L53">
        <v>13</v>
      </c>
      <c r="M53">
        <v>3</v>
      </c>
      <c r="N53">
        <v>2</v>
      </c>
      <c r="O53">
        <v>3</v>
      </c>
      <c r="P53">
        <v>16</v>
      </c>
      <c r="Q53">
        <v>9</v>
      </c>
      <c r="R53">
        <v>1</v>
      </c>
      <c r="S53">
        <v>107</v>
      </c>
      <c r="T53">
        <v>16.8</v>
      </c>
      <c r="U53">
        <v>218</v>
      </c>
      <c r="V53" s="19" t="s">
        <v>1792</v>
      </c>
      <c r="W53" s="19" t="s">
        <v>1831</v>
      </c>
      <c r="X53">
        <v>315</v>
      </c>
      <c r="Y53">
        <v>378</v>
      </c>
      <c r="Z53">
        <v>45.5</v>
      </c>
      <c r="AA53">
        <v>15</v>
      </c>
      <c r="AB53">
        <v>8</v>
      </c>
      <c r="AC53">
        <v>19</v>
      </c>
      <c r="AD53">
        <v>52</v>
      </c>
      <c r="AE53" s="19" t="s">
        <v>60</v>
      </c>
    </row>
    <row r="54" spans="1:31" x14ac:dyDescent="0.2">
      <c r="A54">
        <v>51</v>
      </c>
      <c r="B54" s="19" t="s">
        <v>445</v>
      </c>
      <c r="C54">
        <v>32</v>
      </c>
      <c r="D54" s="19" t="s">
        <v>344</v>
      </c>
      <c r="E54" s="19" t="s">
        <v>322</v>
      </c>
      <c r="F54">
        <v>50</v>
      </c>
      <c r="G54">
        <v>21</v>
      </c>
      <c r="H54">
        <v>23</v>
      </c>
      <c r="I54">
        <v>44</v>
      </c>
      <c r="J54">
        <v>-3</v>
      </c>
      <c r="K54">
        <v>33</v>
      </c>
      <c r="L54">
        <v>10</v>
      </c>
      <c r="M54">
        <v>11</v>
      </c>
      <c r="N54">
        <v>0</v>
      </c>
      <c r="O54">
        <v>3</v>
      </c>
      <c r="P54">
        <v>15</v>
      </c>
      <c r="Q54">
        <v>8</v>
      </c>
      <c r="R54">
        <v>0</v>
      </c>
      <c r="S54">
        <v>137</v>
      </c>
      <c r="T54">
        <v>15.3</v>
      </c>
      <c r="U54">
        <v>264</v>
      </c>
      <c r="V54" s="19" t="s">
        <v>2162</v>
      </c>
      <c r="W54" s="19" t="s">
        <v>1798</v>
      </c>
      <c r="X54">
        <v>458</v>
      </c>
      <c r="Y54">
        <v>342</v>
      </c>
      <c r="Z54">
        <v>57.3</v>
      </c>
      <c r="AA54">
        <v>25</v>
      </c>
      <c r="AB54">
        <v>60</v>
      </c>
      <c r="AC54">
        <v>11</v>
      </c>
      <c r="AD54">
        <v>34</v>
      </c>
      <c r="AE54" s="19" t="s">
        <v>60</v>
      </c>
    </row>
    <row r="55" spans="1:31" x14ac:dyDescent="0.2">
      <c r="A55">
        <v>52</v>
      </c>
      <c r="B55" s="19" t="s">
        <v>387</v>
      </c>
      <c r="C55">
        <v>40</v>
      </c>
      <c r="D55" s="19" t="s">
        <v>366</v>
      </c>
      <c r="E55" s="19" t="s">
        <v>340</v>
      </c>
      <c r="F55">
        <v>53</v>
      </c>
      <c r="G55">
        <v>21</v>
      </c>
      <c r="H55">
        <v>23</v>
      </c>
      <c r="I55">
        <v>44</v>
      </c>
      <c r="J55">
        <v>1</v>
      </c>
      <c r="K55">
        <v>16</v>
      </c>
      <c r="L55">
        <v>18</v>
      </c>
      <c r="M55">
        <v>3</v>
      </c>
      <c r="N55">
        <v>0</v>
      </c>
      <c r="O55">
        <v>4</v>
      </c>
      <c r="P55">
        <v>13</v>
      </c>
      <c r="Q55">
        <v>10</v>
      </c>
      <c r="R55">
        <v>0</v>
      </c>
      <c r="S55">
        <v>145</v>
      </c>
      <c r="T55">
        <v>14.5</v>
      </c>
      <c r="U55">
        <v>346</v>
      </c>
      <c r="V55" s="19" t="s">
        <v>2630</v>
      </c>
      <c r="W55" s="19" t="s">
        <v>2076</v>
      </c>
      <c r="X55">
        <v>2</v>
      </c>
      <c r="Y55">
        <v>1</v>
      </c>
      <c r="Z55">
        <v>66.7</v>
      </c>
      <c r="AA55">
        <v>10</v>
      </c>
      <c r="AB55">
        <v>89</v>
      </c>
      <c r="AC55">
        <v>6</v>
      </c>
      <c r="AD55">
        <v>50</v>
      </c>
      <c r="AE55" s="19" t="s">
        <v>60</v>
      </c>
    </row>
    <row r="56" spans="1:31" x14ac:dyDescent="0.2">
      <c r="A56">
        <v>53</v>
      </c>
      <c r="B56" s="19" t="s">
        <v>389</v>
      </c>
      <c r="C56">
        <v>35</v>
      </c>
      <c r="D56" s="19" t="s">
        <v>359</v>
      </c>
      <c r="E56" s="19" t="s">
        <v>322</v>
      </c>
      <c r="F56">
        <v>51</v>
      </c>
      <c r="G56">
        <v>19</v>
      </c>
      <c r="H56">
        <v>25</v>
      </c>
      <c r="I56">
        <v>44</v>
      </c>
      <c r="J56">
        <v>-10</v>
      </c>
      <c r="K56">
        <v>20</v>
      </c>
      <c r="L56">
        <v>15</v>
      </c>
      <c r="M56">
        <v>4</v>
      </c>
      <c r="N56">
        <v>0</v>
      </c>
      <c r="O56">
        <v>1</v>
      </c>
      <c r="P56">
        <v>22</v>
      </c>
      <c r="Q56">
        <v>3</v>
      </c>
      <c r="R56">
        <v>0</v>
      </c>
      <c r="S56">
        <v>129</v>
      </c>
      <c r="T56">
        <v>14.7</v>
      </c>
      <c r="U56">
        <v>246</v>
      </c>
      <c r="V56" s="19" t="s">
        <v>2340</v>
      </c>
      <c r="W56" s="19" t="s">
        <v>1927</v>
      </c>
      <c r="X56">
        <v>480</v>
      </c>
      <c r="Y56">
        <v>334</v>
      </c>
      <c r="Z56">
        <v>59</v>
      </c>
      <c r="AA56">
        <v>12</v>
      </c>
      <c r="AB56">
        <v>45</v>
      </c>
      <c r="AC56">
        <v>20</v>
      </c>
      <c r="AD56">
        <v>48</v>
      </c>
      <c r="AE56" s="19" t="s">
        <v>60</v>
      </c>
    </row>
    <row r="57" spans="1:31" x14ac:dyDescent="0.2">
      <c r="A57">
        <v>54</v>
      </c>
      <c r="B57" s="19" t="s">
        <v>413</v>
      </c>
      <c r="C57">
        <v>26</v>
      </c>
      <c r="D57" s="19" t="s">
        <v>346</v>
      </c>
      <c r="E57" s="19" t="s">
        <v>322</v>
      </c>
      <c r="F57">
        <v>51</v>
      </c>
      <c r="G57">
        <v>19</v>
      </c>
      <c r="H57">
        <v>25</v>
      </c>
      <c r="I57">
        <v>44</v>
      </c>
      <c r="J57">
        <v>-4</v>
      </c>
      <c r="K57">
        <v>14</v>
      </c>
      <c r="L57">
        <v>12</v>
      </c>
      <c r="M57">
        <v>7</v>
      </c>
      <c r="N57">
        <v>0</v>
      </c>
      <c r="O57">
        <v>2</v>
      </c>
      <c r="P57">
        <v>18</v>
      </c>
      <c r="Q57">
        <v>7</v>
      </c>
      <c r="R57">
        <v>0</v>
      </c>
      <c r="S57">
        <v>102</v>
      </c>
      <c r="T57">
        <v>18.600000000000001</v>
      </c>
      <c r="U57">
        <v>197</v>
      </c>
      <c r="V57" s="19" t="s">
        <v>2631</v>
      </c>
      <c r="W57" s="19" t="s">
        <v>2014</v>
      </c>
      <c r="X57">
        <v>34</v>
      </c>
      <c r="Y57">
        <v>39</v>
      </c>
      <c r="Z57">
        <v>46.6</v>
      </c>
      <c r="AA57">
        <v>21</v>
      </c>
      <c r="AB57">
        <v>13</v>
      </c>
      <c r="AC57">
        <v>9</v>
      </c>
      <c r="AD57">
        <v>42</v>
      </c>
      <c r="AE57" s="19" t="s">
        <v>60</v>
      </c>
    </row>
    <row r="58" spans="1:31" x14ac:dyDescent="0.2">
      <c r="A58">
        <v>55</v>
      </c>
      <c r="B58" s="19" t="s">
        <v>431</v>
      </c>
      <c r="C58">
        <v>36</v>
      </c>
      <c r="D58" s="19" t="s">
        <v>366</v>
      </c>
      <c r="E58" s="19" t="s">
        <v>349</v>
      </c>
      <c r="F58">
        <v>49</v>
      </c>
      <c r="G58">
        <v>9</v>
      </c>
      <c r="H58">
        <v>34</v>
      </c>
      <c r="I58">
        <v>43</v>
      </c>
      <c r="J58">
        <v>11</v>
      </c>
      <c r="K58">
        <v>24</v>
      </c>
      <c r="L58">
        <v>9</v>
      </c>
      <c r="M58">
        <v>0</v>
      </c>
      <c r="N58">
        <v>0</v>
      </c>
      <c r="O58">
        <v>0</v>
      </c>
      <c r="P58">
        <v>26</v>
      </c>
      <c r="Q58">
        <v>8</v>
      </c>
      <c r="R58">
        <v>0</v>
      </c>
      <c r="S58">
        <v>102</v>
      </c>
      <c r="T58">
        <v>8.8000000000000007</v>
      </c>
      <c r="U58">
        <v>239</v>
      </c>
      <c r="V58" s="19" t="s">
        <v>2632</v>
      </c>
      <c r="W58" s="19" t="s">
        <v>2170</v>
      </c>
      <c r="X58">
        <v>0</v>
      </c>
      <c r="Y58">
        <v>1</v>
      </c>
      <c r="Z58">
        <v>0</v>
      </c>
      <c r="AA58">
        <v>70</v>
      </c>
      <c r="AB58">
        <v>19</v>
      </c>
      <c r="AC58">
        <v>33</v>
      </c>
      <c r="AD58">
        <v>77</v>
      </c>
      <c r="AE58" s="19" t="s">
        <v>60</v>
      </c>
    </row>
    <row r="59" spans="1:31" x14ac:dyDescent="0.2">
      <c r="A59">
        <v>56</v>
      </c>
      <c r="B59" s="19" t="s">
        <v>443</v>
      </c>
      <c r="C59">
        <v>20</v>
      </c>
      <c r="D59" s="19" t="s">
        <v>363</v>
      </c>
      <c r="E59" s="19" t="s">
        <v>335</v>
      </c>
      <c r="F59">
        <v>52</v>
      </c>
      <c r="G59">
        <v>11</v>
      </c>
      <c r="H59">
        <v>32</v>
      </c>
      <c r="I59">
        <v>43</v>
      </c>
      <c r="J59">
        <v>8</v>
      </c>
      <c r="K59">
        <v>24</v>
      </c>
      <c r="L59">
        <v>8</v>
      </c>
      <c r="M59">
        <v>3</v>
      </c>
      <c r="N59">
        <v>0</v>
      </c>
      <c r="O59">
        <v>2</v>
      </c>
      <c r="P59">
        <v>24</v>
      </c>
      <c r="Q59">
        <v>8</v>
      </c>
      <c r="R59">
        <v>0</v>
      </c>
      <c r="S59">
        <v>74</v>
      </c>
      <c r="T59">
        <v>14.9</v>
      </c>
      <c r="U59">
        <v>165</v>
      </c>
      <c r="V59" s="19" t="s">
        <v>2633</v>
      </c>
      <c r="W59" s="19" t="s">
        <v>660</v>
      </c>
      <c r="X59">
        <v>0</v>
      </c>
      <c r="Y59">
        <v>0</v>
      </c>
      <c r="AA59">
        <v>19</v>
      </c>
      <c r="AB59">
        <v>23</v>
      </c>
      <c r="AC59">
        <v>16</v>
      </c>
      <c r="AD59">
        <v>48</v>
      </c>
      <c r="AE59" s="19" t="s">
        <v>60</v>
      </c>
    </row>
    <row r="60" spans="1:31" x14ac:dyDescent="0.2">
      <c r="A60">
        <v>57</v>
      </c>
      <c r="B60" s="19" t="s">
        <v>391</v>
      </c>
      <c r="C60">
        <v>23</v>
      </c>
      <c r="D60" s="19" t="s">
        <v>359</v>
      </c>
      <c r="E60" s="19" t="s">
        <v>340</v>
      </c>
      <c r="F60">
        <v>48</v>
      </c>
      <c r="G60">
        <v>12</v>
      </c>
      <c r="H60">
        <v>31</v>
      </c>
      <c r="I60">
        <v>43</v>
      </c>
      <c r="J60">
        <v>-6</v>
      </c>
      <c r="K60">
        <v>19</v>
      </c>
      <c r="L60">
        <v>8</v>
      </c>
      <c r="M60">
        <v>4</v>
      </c>
      <c r="N60">
        <v>0</v>
      </c>
      <c r="O60">
        <v>2</v>
      </c>
      <c r="P60">
        <v>29</v>
      </c>
      <c r="Q60">
        <v>2</v>
      </c>
      <c r="R60">
        <v>0</v>
      </c>
      <c r="S60">
        <v>94</v>
      </c>
      <c r="T60">
        <v>12.8</v>
      </c>
      <c r="U60">
        <v>158</v>
      </c>
      <c r="V60" s="19" t="s">
        <v>2341</v>
      </c>
      <c r="W60" s="19" t="s">
        <v>1110</v>
      </c>
      <c r="X60">
        <v>0</v>
      </c>
      <c r="Y60">
        <v>1</v>
      </c>
      <c r="Z60">
        <v>0</v>
      </c>
      <c r="AA60">
        <v>22</v>
      </c>
      <c r="AB60">
        <v>104</v>
      </c>
      <c r="AC60">
        <v>13</v>
      </c>
      <c r="AD60">
        <v>43</v>
      </c>
      <c r="AE60" s="19" t="s">
        <v>60</v>
      </c>
    </row>
    <row r="61" spans="1:31" x14ac:dyDescent="0.2">
      <c r="A61">
        <v>58</v>
      </c>
      <c r="B61" s="19" t="s">
        <v>420</v>
      </c>
      <c r="C61">
        <v>25</v>
      </c>
      <c r="D61" s="19" t="s">
        <v>381</v>
      </c>
      <c r="E61" s="19" t="s">
        <v>335</v>
      </c>
      <c r="F61">
        <v>47</v>
      </c>
      <c r="G61">
        <v>18</v>
      </c>
      <c r="H61">
        <v>25</v>
      </c>
      <c r="I61">
        <v>43</v>
      </c>
      <c r="J61">
        <v>5</v>
      </c>
      <c r="K61">
        <v>20</v>
      </c>
      <c r="L61">
        <v>14</v>
      </c>
      <c r="M61">
        <v>3</v>
      </c>
      <c r="N61">
        <v>1</v>
      </c>
      <c r="O61">
        <v>4</v>
      </c>
      <c r="P61">
        <v>13</v>
      </c>
      <c r="Q61">
        <v>12</v>
      </c>
      <c r="R61">
        <v>0</v>
      </c>
      <c r="S61">
        <v>146</v>
      </c>
      <c r="T61">
        <v>12.3</v>
      </c>
      <c r="U61">
        <v>295</v>
      </c>
      <c r="V61" s="19" t="s">
        <v>2634</v>
      </c>
      <c r="W61" s="19" t="s">
        <v>1727</v>
      </c>
      <c r="X61">
        <v>1</v>
      </c>
      <c r="Y61">
        <v>3</v>
      </c>
      <c r="Z61">
        <v>25</v>
      </c>
      <c r="AA61">
        <v>30</v>
      </c>
      <c r="AB61">
        <v>38</v>
      </c>
      <c r="AC61">
        <v>28</v>
      </c>
      <c r="AD61">
        <v>61</v>
      </c>
      <c r="AE61" s="19" t="s">
        <v>60</v>
      </c>
    </row>
    <row r="62" spans="1:31" x14ac:dyDescent="0.2">
      <c r="A62">
        <v>59</v>
      </c>
      <c r="B62" s="19" t="s">
        <v>509</v>
      </c>
      <c r="C62">
        <v>29</v>
      </c>
      <c r="D62" s="19" t="s">
        <v>352</v>
      </c>
      <c r="E62" s="19" t="s">
        <v>349</v>
      </c>
      <c r="F62">
        <v>44</v>
      </c>
      <c r="G62">
        <v>13</v>
      </c>
      <c r="H62">
        <v>30</v>
      </c>
      <c r="I62">
        <v>43</v>
      </c>
      <c r="J62">
        <v>15</v>
      </c>
      <c r="K62">
        <v>23</v>
      </c>
      <c r="L62">
        <v>6</v>
      </c>
      <c r="M62">
        <v>7</v>
      </c>
      <c r="N62">
        <v>0</v>
      </c>
      <c r="O62">
        <v>3</v>
      </c>
      <c r="P62">
        <v>21</v>
      </c>
      <c r="Q62">
        <v>9</v>
      </c>
      <c r="R62">
        <v>0</v>
      </c>
      <c r="S62">
        <v>109</v>
      </c>
      <c r="T62">
        <v>11.9</v>
      </c>
      <c r="U62">
        <v>255</v>
      </c>
      <c r="V62" s="19" t="s">
        <v>2635</v>
      </c>
      <c r="W62" s="19" t="s">
        <v>1926</v>
      </c>
      <c r="X62">
        <v>0</v>
      </c>
      <c r="Y62">
        <v>0</v>
      </c>
      <c r="AA62">
        <v>44</v>
      </c>
      <c r="AB62">
        <v>44</v>
      </c>
      <c r="AC62">
        <v>9</v>
      </c>
      <c r="AD62">
        <v>48</v>
      </c>
      <c r="AE62" s="19" t="s">
        <v>60</v>
      </c>
    </row>
    <row r="63" spans="1:31" x14ac:dyDescent="0.2">
      <c r="A63">
        <v>60</v>
      </c>
      <c r="B63" s="19" t="s">
        <v>574</v>
      </c>
      <c r="C63">
        <v>25</v>
      </c>
      <c r="D63" s="19" t="s">
        <v>397</v>
      </c>
      <c r="E63" s="19" t="s">
        <v>335</v>
      </c>
      <c r="F63">
        <v>52</v>
      </c>
      <c r="G63">
        <v>18</v>
      </c>
      <c r="H63">
        <v>25</v>
      </c>
      <c r="I63">
        <v>43</v>
      </c>
      <c r="J63">
        <v>1</v>
      </c>
      <c r="K63">
        <v>38</v>
      </c>
      <c r="L63">
        <v>12</v>
      </c>
      <c r="M63">
        <v>6</v>
      </c>
      <c r="N63">
        <v>0</v>
      </c>
      <c r="O63">
        <v>2</v>
      </c>
      <c r="P63">
        <v>16</v>
      </c>
      <c r="Q63">
        <v>9</v>
      </c>
      <c r="R63">
        <v>0</v>
      </c>
      <c r="S63">
        <v>141</v>
      </c>
      <c r="T63">
        <v>12.8</v>
      </c>
      <c r="U63">
        <v>297</v>
      </c>
      <c r="V63" s="19" t="s">
        <v>2636</v>
      </c>
      <c r="W63" s="19" t="s">
        <v>1655</v>
      </c>
      <c r="X63">
        <v>9</v>
      </c>
      <c r="Y63">
        <v>8</v>
      </c>
      <c r="Z63">
        <v>52.9</v>
      </c>
      <c r="AA63">
        <v>10</v>
      </c>
      <c r="AB63">
        <v>90</v>
      </c>
      <c r="AC63">
        <v>18</v>
      </c>
      <c r="AD63">
        <v>60</v>
      </c>
      <c r="AE63" s="19" t="s">
        <v>60</v>
      </c>
    </row>
    <row r="64" spans="1:31" x14ac:dyDescent="0.2">
      <c r="A64">
        <v>61</v>
      </c>
      <c r="B64" s="19" t="s">
        <v>487</v>
      </c>
      <c r="C64">
        <v>28</v>
      </c>
      <c r="D64" s="19" t="s">
        <v>359</v>
      </c>
      <c r="E64" s="19" t="s">
        <v>322</v>
      </c>
      <c r="F64">
        <v>45</v>
      </c>
      <c r="G64">
        <v>25</v>
      </c>
      <c r="H64">
        <v>17</v>
      </c>
      <c r="I64">
        <v>42</v>
      </c>
      <c r="J64">
        <v>3</v>
      </c>
      <c r="K64">
        <v>16</v>
      </c>
      <c r="L64">
        <v>21</v>
      </c>
      <c r="M64">
        <v>4</v>
      </c>
      <c r="N64">
        <v>0</v>
      </c>
      <c r="O64">
        <v>3</v>
      </c>
      <c r="P64">
        <v>12</v>
      </c>
      <c r="Q64">
        <v>5</v>
      </c>
      <c r="R64">
        <v>0</v>
      </c>
      <c r="S64">
        <v>170</v>
      </c>
      <c r="T64">
        <v>14.7</v>
      </c>
      <c r="U64">
        <v>307</v>
      </c>
      <c r="V64" s="19" t="s">
        <v>2342</v>
      </c>
      <c r="W64" s="19" t="s">
        <v>1685</v>
      </c>
      <c r="X64">
        <v>444</v>
      </c>
      <c r="Y64">
        <v>311</v>
      </c>
      <c r="Z64">
        <v>58.8</v>
      </c>
      <c r="AA64">
        <v>63</v>
      </c>
      <c r="AB64">
        <v>28</v>
      </c>
      <c r="AC64">
        <v>21</v>
      </c>
      <c r="AD64">
        <v>39</v>
      </c>
      <c r="AE64" s="19" t="s">
        <v>60</v>
      </c>
    </row>
    <row r="65" spans="1:31" x14ac:dyDescent="0.2">
      <c r="A65">
        <v>62</v>
      </c>
      <c r="B65" s="19" t="s">
        <v>422</v>
      </c>
      <c r="C65">
        <v>30</v>
      </c>
      <c r="D65" s="19" t="s">
        <v>346</v>
      </c>
      <c r="E65" s="19" t="s">
        <v>349</v>
      </c>
      <c r="F65">
        <v>51</v>
      </c>
      <c r="G65">
        <v>10</v>
      </c>
      <c r="H65">
        <v>32</v>
      </c>
      <c r="I65">
        <v>42</v>
      </c>
      <c r="J65">
        <v>11</v>
      </c>
      <c r="K65">
        <v>20</v>
      </c>
      <c r="L65">
        <v>8</v>
      </c>
      <c r="M65">
        <v>2</v>
      </c>
      <c r="N65">
        <v>0</v>
      </c>
      <c r="O65">
        <v>1</v>
      </c>
      <c r="P65">
        <v>22</v>
      </c>
      <c r="Q65">
        <v>10</v>
      </c>
      <c r="R65">
        <v>0</v>
      </c>
      <c r="S65">
        <v>92</v>
      </c>
      <c r="T65">
        <v>10.9</v>
      </c>
      <c r="U65">
        <v>210</v>
      </c>
      <c r="V65" s="19" t="s">
        <v>2637</v>
      </c>
      <c r="W65" s="19" t="s">
        <v>1783</v>
      </c>
      <c r="X65">
        <v>0</v>
      </c>
      <c r="Y65">
        <v>0</v>
      </c>
      <c r="AA65">
        <v>89</v>
      </c>
      <c r="AB65">
        <v>23</v>
      </c>
      <c r="AC65">
        <v>12</v>
      </c>
      <c r="AD65">
        <v>62</v>
      </c>
      <c r="AE65" s="19" t="s">
        <v>60</v>
      </c>
    </row>
    <row r="66" spans="1:31" x14ac:dyDescent="0.2">
      <c r="A66">
        <v>63</v>
      </c>
      <c r="B66" s="19" t="s">
        <v>488</v>
      </c>
      <c r="C66">
        <v>34</v>
      </c>
      <c r="D66" s="19" t="s">
        <v>321</v>
      </c>
      <c r="E66" s="19" t="s">
        <v>322</v>
      </c>
      <c r="F66">
        <v>49</v>
      </c>
      <c r="G66">
        <v>24</v>
      </c>
      <c r="H66">
        <v>18</v>
      </c>
      <c r="I66">
        <v>42</v>
      </c>
      <c r="J66">
        <v>7</v>
      </c>
      <c r="K66">
        <v>18</v>
      </c>
      <c r="L66">
        <v>16</v>
      </c>
      <c r="M66">
        <v>8</v>
      </c>
      <c r="N66">
        <v>0</v>
      </c>
      <c r="O66">
        <v>5</v>
      </c>
      <c r="P66">
        <v>15</v>
      </c>
      <c r="Q66">
        <v>3</v>
      </c>
      <c r="R66">
        <v>0</v>
      </c>
      <c r="S66">
        <v>112</v>
      </c>
      <c r="T66">
        <v>21.4</v>
      </c>
      <c r="U66">
        <v>189</v>
      </c>
      <c r="V66" s="19" t="s">
        <v>2343</v>
      </c>
      <c r="W66" s="19" t="s">
        <v>1524</v>
      </c>
      <c r="X66">
        <v>442</v>
      </c>
      <c r="Y66">
        <v>446</v>
      </c>
      <c r="Z66">
        <v>49.8</v>
      </c>
      <c r="AA66">
        <v>40</v>
      </c>
      <c r="AB66">
        <v>24</v>
      </c>
      <c r="AC66">
        <v>13</v>
      </c>
      <c r="AD66">
        <v>37</v>
      </c>
      <c r="AE66" s="19" t="s">
        <v>60</v>
      </c>
    </row>
    <row r="67" spans="1:31" x14ac:dyDescent="0.2">
      <c r="A67">
        <v>64</v>
      </c>
      <c r="B67" s="19" t="s">
        <v>440</v>
      </c>
      <c r="C67">
        <v>28</v>
      </c>
      <c r="D67" s="19" t="s">
        <v>366</v>
      </c>
      <c r="E67" s="19" t="s">
        <v>322</v>
      </c>
      <c r="F67">
        <v>51</v>
      </c>
      <c r="G67">
        <v>14</v>
      </c>
      <c r="H67">
        <v>28</v>
      </c>
      <c r="I67">
        <v>42</v>
      </c>
      <c r="J67">
        <v>6</v>
      </c>
      <c r="K67">
        <v>24</v>
      </c>
      <c r="L67">
        <v>9</v>
      </c>
      <c r="M67">
        <v>5</v>
      </c>
      <c r="N67">
        <v>0</v>
      </c>
      <c r="O67">
        <v>1</v>
      </c>
      <c r="P67">
        <v>18</v>
      </c>
      <c r="Q67">
        <v>10</v>
      </c>
      <c r="R67">
        <v>0</v>
      </c>
      <c r="S67">
        <v>101</v>
      </c>
      <c r="T67">
        <v>13.9</v>
      </c>
      <c r="U67">
        <v>173</v>
      </c>
      <c r="V67" s="19" t="s">
        <v>2638</v>
      </c>
      <c r="W67" s="19" t="s">
        <v>1731</v>
      </c>
      <c r="X67">
        <v>531</v>
      </c>
      <c r="Y67">
        <v>373</v>
      </c>
      <c r="Z67">
        <v>58.7</v>
      </c>
      <c r="AA67">
        <v>33</v>
      </c>
      <c r="AB67">
        <v>10</v>
      </c>
      <c r="AC67">
        <v>11</v>
      </c>
      <c r="AD67">
        <v>42</v>
      </c>
      <c r="AE67" s="19" t="s">
        <v>60</v>
      </c>
    </row>
    <row r="68" spans="1:31" x14ac:dyDescent="0.2">
      <c r="A68">
        <v>65</v>
      </c>
      <c r="B68" s="19" t="s">
        <v>379</v>
      </c>
      <c r="C68">
        <v>28</v>
      </c>
      <c r="D68" s="19" t="s">
        <v>337</v>
      </c>
      <c r="E68" s="19" t="s">
        <v>322</v>
      </c>
      <c r="F68">
        <v>43</v>
      </c>
      <c r="G68">
        <v>13</v>
      </c>
      <c r="H68">
        <v>29</v>
      </c>
      <c r="I68">
        <v>42</v>
      </c>
      <c r="J68">
        <v>6</v>
      </c>
      <c r="K68">
        <v>12</v>
      </c>
      <c r="L68">
        <v>11</v>
      </c>
      <c r="M68">
        <v>0</v>
      </c>
      <c r="N68">
        <v>2</v>
      </c>
      <c r="O68">
        <v>1</v>
      </c>
      <c r="P68">
        <v>18</v>
      </c>
      <c r="Q68">
        <v>9</v>
      </c>
      <c r="R68">
        <v>2</v>
      </c>
      <c r="S68">
        <v>103</v>
      </c>
      <c r="T68">
        <v>12.6</v>
      </c>
      <c r="U68">
        <v>212</v>
      </c>
      <c r="V68" s="19" t="s">
        <v>1832</v>
      </c>
      <c r="W68" s="19" t="s">
        <v>369</v>
      </c>
      <c r="X68">
        <v>4</v>
      </c>
      <c r="Y68">
        <v>4</v>
      </c>
      <c r="Z68">
        <v>50</v>
      </c>
      <c r="AA68">
        <v>13</v>
      </c>
      <c r="AB68">
        <v>0</v>
      </c>
      <c r="AC68">
        <v>16</v>
      </c>
      <c r="AD68">
        <v>35</v>
      </c>
      <c r="AE68" s="19" t="s">
        <v>60</v>
      </c>
    </row>
    <row r="69" spans="1:31" x14ac:dyDescent="0.2">
      <c r="A69">
        <v>66</v>
      </c>
      <c r="B69" s="19" t="s">
        <v>427</v>
      </c>
      <c r="C69">
        <v>29</v>
      </c>
      <c r="D69" s="19" t="s">
        <v>428</v>
      </c>
      <c r="E69" s="19" t="s">
        <v>335</v>
      </c>
      <c r="F69">
        <v>50</v>
      </c>
      <c r="G69">
        <v>18</v>
      </c>
      <c r="H69">
        <v>24</v>
      </c>
      <c r="I69">
        <v>42</v>
      </c>
      <c r="J69">
        <v>11</v>
      </c>
      <c r="K69">
        <v>43</v>
      </c>
      <c r="L69">
        <v>14</v>
      </c>
      <c r="M69">
        <v>3</v>
      </c>
      <c r="N69">
        <v>1</v>
      </c>
      <c r="O69">
        <v>1</v>
      </c>
      <c r="P69">
        <v>21</v>
      </c>
      <c r="Q69">
        <v>1</v>
      </c>
      <c r="R69">
        <v>2</v>
      </c>
      <c r="S69">
        <v>118</v>
      </c>
      <c r="T69">
        <v>15.3</v>
      </c>
      <c r="U69">
        <v>234</v>
      </c>
      <c r="V69" s="19" t="s">
        <v>2639</v>
      </c>
      <c r="W69" s="19" t="s">
        <v>1731</v>
      </c>
      <c r="X69">
        <v>25</v>
      </c>
      <c r="Y69">
        <v>28</v>
      </c>
      <c r="Z69">
        <v>47.2</v>
      </c>
      <c r="AA69">
        <v>59</v>
      </c>
      <c r="AB69">
        <v>55</v>
      </c>
      <c r="AC69">
        <v>24</v>
      </c>
      <c r="AD69">
        <v>39</v>
      </c>
      <c r="AE69" s="19" t="s">
        <v>60</v>
      </c>
    </row>
    <row r="70" spans="1:31" x14ac:dyDescent="0.2">
      <c r="A70">
        <v>67</v>
      </c>
      <c r="B70" s="19" t="s">
        <v>442</v>
      </c>
      <c r="C70">
        <v>28</v>
      </c>
      <c r="D70" s="19" t="s">
        <v>384</v>
      </c>
      <c r="E70" s="19" t="s">
        <v>322</v>
      </c>
      <c r="F70">
        <v>50</v>
      </c>
      <c r="G70">
        <v>11</v>
      </c>
      <c r="H70">
        <v>30</v>
      </c>
      <c r="I70">
        <v>41</v>
      </c>
      <c r="J70">
        <v>8</v>
      </c>
      <c r="K70">
        <v>41</v>
      </c>
      <c r="L70">
        <v>10</v>
      </c>
      <c r="M70">
        <v>1</v>
      </c>
      <c r="N70">
        <v>0</v>
      </c>
      <c r="O70">
        <v>2</v>
      </c>
      <c r="P70">
        <v>19</v>
      </c>
      <c r="Q70">
        <v>11</v>
      </c>
      <c r="R70">
        <v>0</v>
      </c>
      <c r="S70">
        <v>108</v>
      </c>
      <c r="T70">
        <v>10.199999999999999</v>
      </c>
      <c r="U70">
        <v>217</v>
      </c>
      <c r="V70" s="19" t="s">
        <v>2640</v>
      </c>
      <c r="W70" s="19" t="s">
        <v>2153</v>
      </c>
      <c r="X70">
        <v>189</v>
      </c>
      <c r="Y70">
        <v>287</v>
      </c>
      <c r="Z70">
        <v>39.700000000000003</v>
      </c>
      <c r="AA70">
        <v>31</v>
      </c>
      <c r="AB70">
        <v>17</v>
      </c>
      <c r="AC70">
        <v>27</v>
      </c>
      <c r="AD70">
        <v>58</v>
      </c>
      <c r="AE70" s="19" t="s">
        <v>60</v>
      </c>
    </row>
    <row r="71" spans="1:31" x14ac:dyDescent="0.2">
      <c r="A71">
        <v>68</v>
      </c>
      <c r="B71" s="19" t="s">
        <v>450</v>
      </c>
      <c r="C71">
        <v>32</v>
      </c>
      <c r="D71" s="19" t="s">
        <v>328</v>
      </c>
      <c r="E71" s="19" t="s">
        <v>322</v>
      </c>
      <c r="F71">
        <v>44</v>
      </c>
      <c r="G71">
        <v>12</v>
      </c>
      <c r="H71">
        <v>29</v>
      </c>
      <c r="I71">
        <v>41</v>
      </c>
      <c r="J71">
        <v>-6</v>
      </c>
      <c r="K71">
        <v>17</v>
      </c>
      <c r="L71">
        <v>5</v>
      </c>
      <c r="M71">
        <v>7</v>
      </c>
      <c r="N71">
        <v>0</v>
      </c>
      <c r="O71">
        <v>2</v>
      </c>
      <c r="P71">
        <v>13</v>
      </c>
      <c r="Q71">
        <v>15</v>
      </c>
      <c r="R71">
        <v>1</v>
      </c>
      <c r="S71">
        <v>74</v>
      </c>
      <c r="T71">
        <v>16.2</v>
      </c>
      <c r="U71">
        <v>156</v>
      </c>
      <c r="V71" s="19" t="s">
        <v>2641</v>
      </c>
      <c r="W71" s="19" t="s">
        <v>377</v>
      </c>
      <c r="X71">
        <v>95</v>
      </c>
      <c r="Y71">
        <v>101</v>
      </c>
      <c r="Z71">
        <v>48.5</v>
      </c>
      <c r="AA71">
        <v>19</v>
      </c>
      <c r="AB71">
        <v>15</v>
      </c>
      <c r="AC71">
        <v>7</v>
      </c>
      <c r="AD71">
        <v>23</v>
      </c>
      <c r="AE71" s="19" t="s">
        <v>60</v>
      </c>
    </row>
    <row r="72" spans="1:31" x14ac:dyDescent="0.2">
      <c r="A72">
        <v>69</v>
      </c>
      <c r="B72" s="19" t="s">
        <v>439</v>
      </c>
      <c r="C72">
        <v>23</v>
      </c>
      <c r="D72" s="19" t="s">
        <v>416</v>
      </c>
      <c r="E72" s="19" t="s">
        <v>349</v>
      </c>
      <c r="F72">
        <v>51</v>
      </c>
      <c r="G72">
        <v>10</v>
      </c>
      <c r="H72">
        <v>31</v>
      </c>
      <c r="I72">
        <v>41</v>
      </c>
      <c r="J72">
        <v>4</v>
      </c>
      <c r="K72">
        <v>8</v>
      </c>
      <c r="L72">
        <v>8</v>
      </c>
      <c r="M72">
        <v>2</v>
      </c>
      <c r="N72">
        <v>0</v>
      </c>
      <c r="O72">
        <v>2</v>
      </c>
      <c r="P72">
        <v>19</v>
      </c>
      <c r="Q72">
        <v>12</v>
      </c>
      <c r="R72">
        <v>0</v>
      </c>
      <c r="S72">
        <v>109</v>
      </c>
      <c r="T72">
        <v>9.1999999999999993</v>
      </c>
      <c r="U72">
        <v>286</v>
      </c>
      <c r="V72" s="19" t="s">
        <v>2642</v>
      </c>
      <c r="W72" s="19" t="s">
        <v>2010</v>
      </c>
      <c r="X72">
        <v>0</v>
      </c>
      <c r="Y72">
        <v>0</v>
      </c>
      <c r="AA72">
        <v>101</v>
      </c>
      <c r="AB72">
        <v>20</v>
      </c>
      <c r="AC72">
        <v>25</v>
      </c>
      <c r="AD72">
        <v>57</v>
      </c>
      <c r="AE72" s="19" t="s">
        <v>60</v>
      </c>
    </row>
    <row r="73" spans="1:31" x14ac:dyDescent="0.2">
      <c r="A73">
        <v>70</v>
      </c>
      <c r="B73" s="19" t="s">
        <v>554</v>
      </c>
      <c r="C73">
        <v>21</v>
      </c>
      <c r="D73" s="19" t="s">
        <v>363</v>
      </c>
      <c r="E73" s="19" t="s">
        <v>340</v>
      </c>
      <c r="F73">
        <v>52</v>
      </c>
      <c r="G73">
        <v>19</v>
      </c>
      <c r="H73">
        <v>22</v>
      </c>
      <c r="I73">
        <v>41</v>
      </c>
      <c r="J73">
        <v>6</v>
      </c>
      <c r="K73">
        <v>42</v>
      </c>
      <c r="L73">
        <v>10</v>
      </c>
      <c r="M73">
        <v>9</v>
      </c>
      <c r="N73">
        <v>0</v>
      </c>
      <c r="O73">
        <v>2</v>
      </c>
      <c r="P73">
        <v>15</v>
      </c>
      <c r="Q73">
        <v>7</v>
      </c>
      <c r="R73">
        <v>0</v>
      </c>
      <c r="S73">
        <v>102</v>
      </c>
      <c r="T73">
        <v>18.600000000000001</v>
      </c>
      <c r="U73">
        <v>228</v>
      </c>
      <c r="V73" s="19" t="s">
        <v>2643</v>
      </c>
      <c r="W73" s="19" t="s">
        <v>2207</v>
      </c>
      <c r="X73">
        <v>12</v>
      </c>
      <c r="Y73">
        <v>30</v>
      </c>
      <c r="Z73">
        <v>28.6</v>
      </c>
      <c r="AA73">
        <v>49</v>
      </c>
      <c r="AB73">
        <v>78</v>
      </c>
      <c r="AC73">
        <v>7</v>
      </c>
      <c r="AD73">
        <v>40</v>
      </c>
      <c r="AE73" s="19" t="s">
        <v>60</v>
      </c>
    </row>
    <row r="74" spans="1:31" x14ac:dyDescent="0.2">
      <c r="A74">
        <v>71</v>
      </c>
      <c r="B74" s="19" t="s">
        <v>515</v>
      </c>
      <c r="C74">
        <v>29</v>
      </c>
      <c r="D74" s="19" t="s">
        <v>373</v>
      </c>
      <c r="E74" s="19" t="s">
        <v>322</v>
      </c>
      <c r="F74">
        <v>50</v>
      </c>
      <c r="G74">
        <v>19</v>
      </c>
      <c r="H74">
        <v>21</v>
      </c>
      <c r="I74">
        <v>40</v>
      </c>
      <c r="J74">
        <v>-4</v>
      </c>
      <c r="K74">
        <v>56</v>
      </c>
      <c r="L74">
        <v>17</v>
      </c>
      <c r="M74">
        <v>2</v>
      </c>
      <c r="N74">
        <v>0</v>
      </c>
      <c r="O74">
        <v>4</v>
      </c>
      <c r="P74">
        <v>14</v>
      </c>
      <c r="Q74">
        <v>7</v>
      </c>
      <c r="R74">
        <v>0</v>
      </c>
      <c r="S74">
        <v>133</v>
      </c>
      <c r="T74">
        <v>14.3</v>
      </c>
      <c r="U74">
        <v>287</v>
      </c>
      <c r="V74" s="19" t="s">
        <v>2644</v>
      </c>
      <c r="W74" s="19" t="s">
        <v>1788</v>
      </c>
      <c r="X74">
        <v>345</v>
      </c>
      <c r="Y74">
        <v>381</v>
      </c>
      <c r="Z74">
        <v>47.5</v>
      </c>
      <c r="AA74">
        <v>22</v>
      </c>
      <c r="AB74">
        <v>99</v>
      </c>
      <c r="AC74">
        <v>17</v>
      </c>
      <c r="AD74">
        <v>46</v>
      </c>
      <c r="AE74" s="19" t="s">
        <v>60</v>
      </c>
    </row>
    <row r="75" spans="1:31" x14ac:dyDescent="0.2">
      <c r="A75">
        <v>72</v>
      </c>
      <c r="B75" s="19" t="s">
        <v>482</v>
      </c>
      <c r="C75">
        <v>29</v>
      </c>
      <c r="D75" s="19" t="s">
        <v>397</v>
      </c>
      <c r="E75" s="19" t="s">
        <v>340</v>
      </c>
      <c r="F75">
        <v>52</v>
      </c>
      <c r="G75">
        <v>14</v>
      </c>
      <c r="H75">
        <v>26</v>
      </c>
      <c r="I75">
        <v>40</v>
      </c>
      <c r="J75">
        <v>1</v>
      </c>
      <c r="K75">
        <v>10</v>
      </c>
      <c r="L75">
        <v>9</v>
      </c>
      <c r="M75">
        <v>5</v>
      </c>
      <c r="N75">
        <v>0</v>
      </c>
      <c r="O75">
        <v>3</v>
      </c>
      <c r="P75">
        <v>15</v>
      </c>
      <c r="Q75">
        <v>11</v>
      </c>
      <c r="R75">
        <v>0</v>
      </c>
      <c r="S75">
        <v>129</v>
      </c>
      <c r="T75">
        <v>10.9</v>
      </c>
      <c r="U75">
        <v>279</v>
      </c>
      <c r="V75" s="19" t="s">
        <v>2645</v>
      </c>
      <c r="W75" s="19" t="s">
        <v>424</v>
      </c>
      <c r="X75">
        <v>11</v>
      </c>
      <c r="Y75">
        <v>19</v>
      </c>
      <c r="Z75">
        <v>36.700000000000003</v>
      </c>
      <c r="AA75">
        <v>15</v>
      </c>
      <c r="AB75">
        <v>7</v>
      </c>
      <c r="AC75">
        <v>18</v>
      </c>
      <c r="AD75">
        <v>57</v>
      </c>
      <c r="AE75" s="19" t="s">
        <v>60</v>
      </c>
    </row>
    <row r="76" spans="1:31" x14ac:dyDescent="0.2">
      <c r="A76">
        <v>73</v>
      </c>
      <c r="B76" s="19" t="s">
        <v>485</v>
      </c>
      <c r="C76">
        <v>31</v>
      </c>
      <c r="D76" s="19" t="s">
        <v>459</v>
      </c>
      <c r="E76" s="19" t="s">
        <v>322</v>
      </c>
      <c r="F76">
        <v>51</v>
      </c>
      <c r="G76">
        <v>19</v>
      </c>
      <c r="H76">
        <v>21</v>
      </c>
      <c r="I76">
        <v>40</v>
      </c>
      <c r="J76">
        <v>-4</v>
      </c>
      <c r="K76">
        <v>24</v>
      </c>
      <c r="L76">
        <v>16</v>
      </c>
      <c r="M76">
        <v>3</v>
      </c>
      <c r="N76">
        <v>0</v>
      </c>
      <c r="O76">
        <v>1</v>
      </c>
      <c r="P76">
        <v>12</v>
      </c>
      <c r="Q76">
        <v>9</v>
      </c>
      <c r="R76">
        <v>0</v>
      </c>
      <c r="S76">
        <v>153</v>
      </c>
      <c r="T76">
        <v>12.4</v>
      </c>
      <c r="U76">
        <v>325</v>
      </c>
      <c r="V76" s="19" t="s">
        <v>2646</v>
      </c>
      <c r="W76" s="19" t="s">
        <v>1718</v>
      </c>
      <c r="X76">
        <v>9</v>
      </c>
      <c r="Y76">
        <v>17</v>
      </c>
      <c r="Z76">
        <v>34.6</v>
      </c>
      <c r="AA76">
        <v>17</v>
      </c>
      <c r="AB76">
        <v>95</v>
      </c>
      <c r="AC76">
        <v>35</v>
      </c>
      <c r="AD76">
        <v>69</v>
      </c>
      <c r="AE76" s="19" t="s">
        <v>60</v>
      </c>
    </row>
    <row r="77" spans="1:31" x14ac:dyDescent="0.2">
      <c r="A77">
        <v>74</v>
      </c>
      <c r="B77" s="19" t="s">
        <v>402</v>
      </c>
      <c r="C77">
        <v>26</v>
      </c>
      <c r="D77" s="19" t="s">
        <v>334</v>
      </c>
      <c r="E77" s="19" t="s">
        <v>349</v>
      </c>
      <c r="F77">
        <v>50</v>
      </c>
      <c r="G77">
        <v>7</v>
      </c>
      <c r="H77">
        <v>33</v>
      </c>
      <c r="I77">
        <v>40</v>
      </c>
      <c r="J77">
        <v>8</v>
      </c>
      <c r="K77">
        <v>14</v>
      </c>
      <c r="L77">
        <v>5</v>
      </c>
      <c r="M77">
        <v>1</v>
      </c>
      <c r="N77">
        <v>1</v>
      </c>
      <c r="O77">
        <v>2</v>
      </c>
      <c r="P77">
        <v>18</v>
      </c>
      <c r="Q77">
        <v>15</v>
      </c>
      <c r="R77">
        <v>0</v>
      </c>
      <c r="S77">
        <v>100</v>
      </c>
      <c r="T77">
        <v>7</v>
      </c>
      <c r="U77">
        <v>223</v>
      </c>
      <c r="V77" s="19" t="s">
        <v>2344</v>
      </c>
      <c r="W77" s="19" t="s">
        <v>2345</v>
      </c>
      <c r="X77">
        <v>0</v>
      </c>
      <c r="Y77">
        <v>0</v>
      </c>
      <c r="AA77">
        <v>92</v>
      </c>
      <c r="AB77">
        <v>13</v>
      </c>
      <c r="AC77">
        <v>32</v>
      </c>
      <c r="AD77">
        <v>60</v>
      </c>
      <c r="AE77" s="19" t="s">
        <v>60</v>
      </c>
    </row>
    <row r="78" spans="1:31" x14ac:dyDescent="0.2">
      <c r="A78">
        <v>75</v>
      </c>
      <c r="B78" s="19" t="s">
        <v>410</v>
      </c>
      <c r="C78">
        <v>29</v>
      </c>
      <c r="D78" s="19" t="s">
        <v>334</v>
      </c>
      <c r="E78" s="19" t="s">
        <v>340</v>
      </c>
      <c r="F78">
        <v>47</v>
      </c>
      <c r="G78">
        <v>14</v>
      </c>
      <c r="H78">
        <v>26</v>
      </c>
      <c r="I78">
        <v>40</v>
      </c>
      <c r="J78">
        <v>18</v>
      </c>
      <c r="K78">
        <v>14</v>
      </c>
      <c r="L78">
        <v>9</v>
      </c>
      <c r="M78">
        <v>5</v>
      </c>
      <c r="N78">
        <v>0</v>
      </c>
      <c r="O78">
        <v>1</v>
      </c>
      <c r="P78">
        <v>14</v>
      </c>
      <c r="Q78">
        <v>12</v>
      </c>
      <c r="R78">
        <v>0</v>
      </c>
      <c r="S78">
        <v>112</v>
      </c>
      <c r="T78">
        <v>12.5</v>
      </c>
      <c r="U78">
        <v>185</v>
      </c>
      <c r="V78" s="19" t="s">
        <v>2346</v>
      </c>
      <c r="W78" s="19" t="s">
        <v>1629</v>
      </c>
      <c r="X78">
        <v>390</v>
      </c>
      <c r="Y78">
        <v>278</v>
      </c>
      <c r="Z78">
        <v>58.4</v>
      </c>
      <c r="AA78">
        <v>13</v>
      </c>
      <c r="AB78">
        <v>52</v>
      </c>
      <c r="AC78">
        <v>4</v>
      </c>
      <c r="AD78">
        <v>38</v>
      </c>
      <c r="AE78" s="19" t="s">
        <v>60</v>
      </c>
    </row>
    <row r="79" spans="1:31" x14ac:dyDescent="0.2">
      <c r="A79">
        <v>76</v>
      </c>
      <c r="B79" s="19" t="s">
        <v>403</v>
      </c>
      <c r="C79">
        <v>27</v>
      </c>
      <c r="D79" s="19" t="s">
        <v>399</v>
      </c>
      <c r="E79" s="19" t="s">
        <v>322</v>
      </c>
      <c r="F79">
        <v>51</v>
      </c>
      <c r="G79">
        <v>16</v>
      </c>
      <c r="H79">
        <v>23</v>
      </c>
      <c r="I79">
        <v>39</v>
      </c>
      <c r="J79">
        <v>-6</v>
      </c>
      <c r="K79">
        <v>21</v>
      </c>
      <c r="L79">
        <v>10</v>
      </c>
      <c r="M79">
        <v>6</v>
      </c>
      <c r="N79">
        <v>0</v>
      </c>
      <c r="O79">
        <v>2</v>
      </c>
      <c r="P79">
        <v>15</v>
      </c>
      <c r="Q79">
        <v>8</v>
      </c>
      <c r="R79">
        <v>0</v>
      </c>
      <c r="S79">
        <v>129</v>
      </c>
      <c r="T79">
        <v>12.4</v>
      </c>
      <c r="U79">
        <v>251</v>
      </c>
      <c r="V79" s="19" t="s">
        <v>2347</v>
      </c>
      <c r="W79" s="19" t="s">
        <v>1979</v>
      </c>
      <c r="X79">
        <v>601</v>
      </c>
      <c r="Y79">
        <v>483</v>
      </c>
      <c r="Z79">
        <v>55.4</v>
      </c>
      <c r="AA79">
        <v>44</v>
      </c>
      <c r="AB79">
        <v>39</v>
      </c>
      <c r="AC79">
        <v>21</v>
      </c>
      <c r="AD79">
        <v>44</v>
      </c>
      <c r="AE79" s="19" t="s">
        <v>60</v>
      </c>
    </row>
    <row r="80" spans="1:31" x14ac:dyDescent="0.2">
      <c r="A80">
        <v>77</v>
      </c>
      <c r="B80" s="19" t="s">
        <v>417</v>
      </c>
      <c r="C80">
        <v>23</v>
      </c>
      <c r="D80" s="19" t="s">
        <v>397</v>
      </c>
      <c r="E80" s="19" t="s">
        <v>322</v>
      </c>
      <c r="F80">
        <v>44</v>
      </c>
      <c r="G80">
        <v>23</v>
      </c>
      <c r="H80">
        <v>16</v>
      </c>
      <c r="I80">
        <v>39</v>
      </c>
      <c r="J80">
        <v>5</v>
      </c>
      <c r="K80">
        <v>6</v>
      </c>
      <c r="L80">
        <v>17</v>
      </c>
      <c r="M80">
        <v>3</v>
      </c>
      <c r="N80">
        <v>3</v>
      </c>
      <c r="O80">
        <v>6</v>
      </c>
      <c r="P80">
        <v>10</v>
      </c>
      <c r="Q80">
        <v>6</v>
      </c>
      <c r="R80">
        <v>0</v>
      </c>
      <c r="S80">
        <v>141</v>
      </c>
      <c r="T80">
        <v>16.3</v>
      </c>
      <c r="U80">
        <v>217</v>
      </c>
      <c r="V80" s="19" t="s">
        <v>2647</v>
      </c>
      <c r="W80" s="19" t="s">
        <v>2123</v>
      </c>
      <c r="X80">
        <v>23</v>
      </c>
      <c r="Y80">
        <v>37</v>
      </c>
      <c r="Z80">
        <v>38.299999999999997</v>
      </c>
      <c r="AA80">
        <v>18</v>
      </c>
      <c r="AB80">
        <v>64</v>
      </c>
      <c r="AC80">
        <v>25</v>
      </c>
      <c r="AD80">
        <v>41</v>
      </c>
      <c r="AE80" s="19" t="s">
        <v>60</v>
      </c>
    </row>
    <row r="81" spans="1:31" x14ac:dyDescent="0.2">
      <c r="A81">
        <v>78</v>
      </c>
      <c r="B81" s="19" t="s">
        <v>418</v>
      </c>
      <c r="C81">
        <v>29</v>
      </c>
      <c r="D81" s="19" t="s">
        <v>419</v>
      </c>
      <c r="E81" s="19" t="s">
        <v>340</v>
      </c>
      <c r="F81">
        <v>50</v>
      </c>
      <c r="G81">
        <v>17</v>
      </c>
      <c r="H81">
        <v>22</v>
      </c>
      <c r="I81">
        <v>39</v>
      </c>
      <c r="J81">
        <v>7</v>
      </c>
      <c r="K81">
        <v>44</v>
      </c>
      <c r="L81">
        <v>15</v>
      </c>
      <c r="M81">
        <v>2</v>
      </c>
      <c r="N81">
        <v>0</v>
      </c>
      <c r="O81">
        <v>5</v>
      </c>
      <c r="P81">
        <v>15</v>
      </c>
      <c r="Q81">
        <v>5</v>
      </c>
      <c r="R81">
        <v>2</v>
      </c>
      <c r="S81">
        <v>139</v>
      </c>
      <c r="T81">
        <v>12.2</v>
      </c>
      <c r="U81">
        <v>334</v>
      </c>
      <c r="V81" s="19" t="s">
        <v>2648</v>
      </c>
      <c r="W81" s="19" t="s">
        <v>1902</v>
      </c>
      <c r="X81">
        <v>38</v>
      </c>
      <c r="Y81">
        <v>54</v>
      </c>
      <c r="Z81">
        <v>41.3</v>
      </c>
      <c r="AA81">
        <v>32</v>
      </c>
      <c r="AB81">
        <v>91</v>
      </c>
      <c r="AC81">
        <v>13</v>
      </c>
      <c r="AD81">
        <v>40</v>
      </c>
      <c r="AE81" s="19" t="s">
        <v>60</v>
      </c>
    </row>
    <row r="82" spans="1:31" x14ac:dyDescent="0.2">
      <c r="A82">
        <v>79</v>
      </c>
      <c r="B82" s="19" t="s">
        <v>385</v>
      </c>
      <c r="C82">
        <v>39</v>
      </c>
      <c r="D82" s="19" t="s">
        <v>376</v>
      </c>
      <c r="E82" s="19" t="s">
        <v>322</v>
      </c>
      <c r="F82">
        <v>35</v>
      </c>
      <c r="G82">
        <v>12</v>
      </c>
      <c r="H82">
        <v>27</v>
      </c>
      <c r="I82">
        <v>39</v>
      </c>
      <c r="J82">
        <v>15</v>
      </c>
      <c r="K82">
        <v>26</v>
      </c>
      <c r="L82">
        <v>9</v>
      </c>
      <c r="M82">
        <v>3</v>
      </c>
      <c r="N82">
        <v>0</v>
      </c>
      <c r="O82">
        <v>1</v>
      </c>
      <c r="P82">
        <v>15</v>
      </c>
      <c r="Q82">
        <v>12</v>
      </c>
      <c r="R82">
        <v>0</v>
      </c>
      <c r="S82">
        <v>88</v>
      </c>
      <c r="T82">
        <v>13.6</v>
      </c>
      <c r="U82">
        <v>149</v>
      </c>
      <c r="V82" s="19" t="s">
        <v>2270</v>
      </c>
      <c r="W82" s="19" t="s">
        <v>1961</v>
      </c>
      <c r="X82">
        <v>95</v>
      </c>
      <c r="Y82">
        <v>115</v>
      </c>
      <c r="Z82">
        <v>45.2</v>
      </c>
      <c r="AA82">
        <v>13</v>
      </c>
      <c r="AB82">
        <v>12</v>
      </c>
      <c r="AC82">
        <v>16</v>
      </c>
      <c r="AD82">
        <v>53</v>
      </c>
      <c r="AE82" s="19" t="s">
        <v>60</v>
      </c>
    </row>
    <row r="83" spans="1:31" x14ac:dyDescent="0.2">
      <c r="A83">
        <v>80</v>
      </c>
      <c r="B83" s="19" t="s">
        <v>461</v>
      </c>
      <c r="C83">
        <v>33</v>
      </c>
      <c r="D83" s="19" t="s">
        <v>376</v>
      </c>
      <c r="E83" s="19" t="s">
        <v>335</v>
      </c>
      <c r="F83">
        <v>46</v>
      </c>
      <c r="G83">
        <v>18</v>
      </c>
      <c r="H83">
        <v>21</v>
      </c>
      <c r="I83">
        <v>39</v>
      </c>
      <c r="J83">
        <v>1</v>
      </c>
      <c r="K83">
        <v>16</v>
      </c>
      <c r="L83">
        <v>14</v>
      </c>
      <c r="M83">
        <v>4</v>
      </c>
      <c r="N83">
        <v>0</v>
      </c>
      <c r="O83">
        <v>4</v>
      </c>
      <c r="P83">
        <v>8</v>
      </c>
      <c r="Q83">
        <v>13</v>
      </c>
      <c r="R83">
        <v>0</v>
      </c>
      <c r="S83">
        <v>123</v>
      </c>
      <c r="T83">
        <v>14.6</v>
      </c>
      <c r="U83">
        <v>236</v>
      </c>
      <c r="V83" s="19" t="s">
        <v>2109</v>
      </c>
      <c r="W83" s="19" t="s">
        <v>326</v>
      </c>
      <c r="X83">
        <v>0</v>
      </c>
      <c r="Y83">
        <v>4</v>
      </c>
      <c r="Z83">
        <v>0</v>
      </c>
      <c r="AA83">
        <v>51</v>
      </c>
      <c r="AB83">
        <v>15</v>
      </c>
      <c r="AC83">
        <v>6</v>
      </c>
      <c r="AD83">
        <v>43</v>
      </c>
      <c r="AE83" s="19" t="s">
        <v>60</v>
      </c>
    </row>
    <row r="84" spans="1:31" x14ac:dyDescent="0.2">
      <c r="A84">
        <v>81</v>
      </c>
      <c r="B84" s="19" t="s">
        <v>408</v>
      </c>
      <c r="C84">
        <v>30</v>
      </c>
      <c r="D84" s="19" t="s">
        <v>330</v>
      </c>
      <c r="E84" s="19" t="s">
        <v>340</v>
      </c>
      <c r="F84">
        <v>48</v>
      </c>
      <c r="G84">
        <v>24</v>
      </c>
      <c r="H84">
        <v>14</v>
      </c>
      <c r="I84">
        <v>38</v>
      </c>
      <c r="J84">
        <v>-12</v>
      </c>
      <c r="K84">
        <v>34</v>
      </c>
      <c r="L84">
        <v>15</v>
      </c>
      <c r="M84">
        <v>9</v>
      </c>
      <c r="N84">
        <v>0</v>
      </c>
      <c r="O84">
        <v>3</v>
      </c>
      <c r="P84">
        <v>7</v>
      </c>
      <c r="Q84">
        <v>7</v>
      </c>
      <c r="R84">
        <v>0</v>
      </c>
      <c r="S84">
        <v>109</v>
      </c>
      <c r="T84">
        <v>22</v>
      </c>
      <c r="U84">
        <v>195</v>
      </c>
      <c r="V84" s="19" t="s">
        <v>2348</v>
      </c>
      <c r="W84" s="19" t="s">
        <v>1621</v>
      </c>
      <c r="X84">
        <v>41</v>
      </c>
      <c r="Y84">
        <v>44</v>
      </c>
      <c r="Z84">
        <v>48.2</v>
      </c>
      <c r="AA84">
        <v>16</v>
      </c>
      <c r="AB84">
        <v>37</v>
      </c>
      <c r="AC84">
        <v>11</v>
      </c>
      <c r="AD84">
        <v>44</v>
      </c>
      <c r="AE84" s="19" t="s">
        <v>60</v>
      </c>
    </row>
    <row r="85" spans="1:31" x14ac:dyDescent="0.2">
      <c r="A85">
        <v>82</v>
      </c>
      <c r="B85" s="19" t="s">
        <v>519</v>
      </c>
      <c r="C85">
        <v>24</v>
      </c>
      <c r="D85" s="19" t="s">
        <v>416</v>
      </c>
      <c r="E85" s="19" t="s">
        <v>322</v>
      </c>
      <c r="F85">
        <v>51</v>
      </c>
      <c r="G85">
        <v>15</v>
      </c>
      <c r="H85">
        <v>23</v>
      </c>
      <c r="I85">
        <v>38</v>
      </c>
      <c r="J85">
        <v>-14</v>
      </c>
      <c r="K85">
        <v>36</v>
      </c>
      <c r="L85">
        <v>6</v>
      </c>
      <c r="M85">
        <v>9</v>
      </c>
      <c r="N85">
        <v>0</v>
      </c>
      <c r="O85">
        <v>0</v>
      </c>
      <c r="P85">
        <v>11</v>
      </c>
      <c r="Q85">
        <v>12</v>
      </c>
      <c r="R85">
        <v>0</v>
      </c>
      <c r="S85">
        <v>120</v>
      </c>
      <c r="T85">
        <v>12.5</v>
      </c>
      <c r="U85">
        <v>224</v>
      </c>
      <c r="V85" s="19" t="s">
        <v>2649</v>
      </c>
      <c r="W85" s="19" t="s">
        <v>1518</v>
      </c>
      <c r="X85">
        <v>313</v>
      </c>
      <c r="Y85">
        <v>263</v>
      </c>
      <c r="Z85">
        <v>54.3</v>
      </c>
      <c r="AA85">
        <v>17</v>
      </c>
      <c r="AB85">
        <v>140</v>
      </c>
      <c r="AC85">
        <v>11</v>
      </c>
      <c r="AD85">
        <v>36</v>
      </c>
      <c r="AE85" s="19" t="s">
        <v>60</v>
      </c>
    </row>
    <row r="86" spans="1:31" x14ac:dyDescent="0.2">
      <c r="A86">
        <v>83</v>
      </c>
      <c r="B86" s="19" t="s">
        <v>496</v>
      </c>
      <c r="C86">
        <v>25</v>
      </c>
      <c r="D86" s="19" t="s">
        <v>344</v>
      </c>
      <c r="E86" s="19" t="s">
        <v>340</v>
      </c>
      <c r="F86">
        <v>50</v>
      </c>
      <c r="G86">
        <v>22</v>
      </c>
      <c r="H86">
        <v>16</v>
      </c>
      <c r="I86">
        <v>38</v>
      </c>
      <c r="J86">
        <v>-8</v>
      </c>
      <c r="K86">
        <v>14</v>
      </c>
      <c r="L86">
        <v>9</v>
      </c>
      <c r="M86">
        <v>13</v>
      </c>
      <c r="N86">
        <v>0</v>
      </c>
      <c r="O86">
        <v>2</v>
      </c>
      <c r="P86">
        <v>8</v>
      </c>
      <c r="Q86">
        <v>8</v>
      </c>
      <c r="R86">
        <v>0</v>
      </c>
      <c r="S86">
        <v>137</v>
      </c>
      <c r="T86">
        <v>16.100000000000001</v>
      </c>
      <c r="U86">
        <v>288</v>
      </c>
      <c r="V86" s="19" t="s">
        <v>2349</v>
      </c>
      <c r="W86" s="19" t="s">
        <v>1756</v>
      </c>
      <c r="X86">
        <v>0</v>
      </c>
      <c r="Y86">
        <v>1</v>
      </c>
      <c r="Z86">
        <v>0</v>
      </c>
      <c r="AA86">
        <v>22</v>
      </c>
      <c r="AB86">
        <v>21</v>
      </c>
      <c r="AC86">
        <v>6</v>
      </c>
      <c r="AD86">
        <v>37</v>
      </c>
      <c r="AE86" s="19" t="s">
        <v>60</v>
      </c>
    </row>
    <row r="87" spans="1:31" x14ac:dyDescent="0.2">
      <c r="A87">
        <v>84</v>
      </c>
      <c r="B87" s="19" t="s">
        <v>423</v>
      </c>
      <c r="C87">
        <v>20</v>
      </c>
      <c r="D87" s="19" t="s">
        <v>337</v>
      </c>
      <c r="E87" s="19" t="s">
        <v>325</v>
      </c>
      <c r="F87">
        <v>51</v>
      </c>
      <c r="G87">
        <v>15</v>
      </c>
      <c r="H87">
        <v>23</v>
      </c>
      <c r="I87">
        <v>38</v>
      </c>
      <c r="J87">
        <v>-1</v>
      </c>
      <c r="K87">
        <v>36</v>
      </c>
      <c r="L87">
        <v>13</v>
      </c>
      <c r="M87">
        <v>1</v>
      </c>
      <c r="N87">
        <v>1</v>
      </c>
      <c r="O87">
        <v>1</v>
      </c>
      <c r="P87">
        <v>19</v>
      </c>
      <c r="Q87">
        <v>4</v>
      </c>
      <c r="R87">
        <v>0</v>
      </c>
      <c r="S87">
        <v>110</v>
      </c>
      <c r="T87">
        <v>13.6</v>
      </c>
      <c r="U87">
        <v>213</v>
      </c>
      <c r="V87" s="19" t="s">
        <v>2350</v>
      </c>
      <c r="W87" s="19" t="s">
        <v>1796</v>
      </c>
      <c r="X87">
        <v>2</v>
      </c>
      <c r="Y87">
        <v>2</v>
      </c>
      <c r="Z87">
        <v>50</v>
      </c>
      <c r="AA87">
        <v>15</v>
      </c>
      <c r="AB87">
        <v>55</v>
      </c>
      <c r="AC87">
        <v>12</v>
      </c>
      <c r="AD87">
        <v>58</v>
      </c>
      <c r="AE87" s="19" t="s">
        <v>60</v>
      </c>
    </row>
    <row r="88" spans="1:31" x14ac:dyDescent="0.2">
      <c r="A88">
        <v>85</v>
      </c>
      <c r="B88" s="19" t="s">
        <v>463</v>
      </c>
      <c r="C88">
        <v>30</v>
      </c>
      <c r="D88" s="19" t="s">
        <v>373</v>
      </c>
      <c r="E88" s="19" t="s">
        <v>322</v>
      </c>
      <c r="F88">
        <v>49</v>
      </c>
      <c r="G88">
        <v>14</v>
      </c>
      <c r="H88">
        <v>24</v>
      </c>
      <c r="I88">
        <v>38</v>
      </c>
      <c r="J88">
        <v>-2</v>
      </c>
      <c r="K88">
        <v>18</v>
      </c>
      <c r="L88">
        <v>11</v>
      </c>
      <c r="M88">
        <v>3</v>
      </c>
      <c r="N88">
        <v>0</v>
      </c>
      <c r="O88">
        <v>2</v>
      </c>
      <c r="P88">
        <v>20</v>
      </c>
      <c r="Q88">
        <v>4</v>
      </c>
      <c r="R88">
        <v>0</v>
      </c>
      <c r="S88">
        <v>109</v>
      </c>
      <c r="T88">
        <v>12.8</v>
      </c>
      <c r="U88">
        <v>232</v>
      </c>
      <c r="V88" s="19" t="s">
        <v>2650</v>
      </c>
      <c r="W88" s="19" t="s">
        <v>1546</v>
      </c>
      <c r="X88">
        <v>23</v>
      </c>
      <c r="Y88">
        <v>35</v>
      </c>
      <c r="Z88">
        <v>39.700000000000003</v>
      </c>
      <c r="AA88">
        <v>16</v>
      </c>
      <c r="AB88">
        <v>48</v>
      </c>
      <c r="AC88">
        <v>20</v>
      </c>
      <c r="AD88">
        <v>38</v>
      </c>
      <c r="AE88" s="19" t="s">
        <v>60</v>
      </c>
    </row>
    <row r="89" spans="1:31" x14ac:dyDescent="0.2">
      <c r="A89">
        <v>86</v>
      </c>
      <c r="B89" s="19" t="s">
        <v>398</v>
      </c>
      <c r="C89">
        <v>27</v>
      </c>
      <c r="D89" s="19" t="s">
        <v>399</v>
      </c>
      <c r="E89" s="19" t="s">
        <v>58</v>
      </c>
      <c r="F89">
        <v>51</v>
      </c>
      <c r="G89">
        <v>11</v>
      </c>
      <c r="H89">
        <v>26</v>
      </c>
      <c r="I89">
        <v>37</v>
      </c>
      <c r="J89">
        <v>-13</v>
      </c>
      <c r="K89">
        <v>10</v>
      </c>
      <c r="L89">
        <v>7</v>
      </c>
      <c r="M89">
        <v>3</v>
      </c>
      <c r="N89">
        <v>1</v>
      </c>
      <c r="O89">
        <v>3</v>
      </c>
      <c r="P89">
        <v>17</v>
      </c>
      <c r="Q89">
        <v>9</v>
      </c>
      <c r="R89">
        <v>0</v>
      </c>
      <c r="S89">
        <v>112</v>
      </c>
      <c r="T89">
        <v>9.8000000000000007</v>
      </c>
      <c r="U89">
        <v>226</v>
      </c>
      <c r="V89" s="19" t="s">
        <v>2351</v>
      </c>
      <c r="W89" s="19" t="s">
        <v>1969</v>
      </c>
      <c r="X89">
        <v>3</v>
      </c>
      <c r="Y89">
        <v>5</v>
      </c>
      <c r="Z89">
        <v>37.5</v>
      </c>
      <c r="AA89">
        <v>19</v>
      </c>
      <c r="AB89">
        <v>47</v>
      </c>
      <c r="AC89">
        <v>18</v>
      </c>
      <c r="AD89">
        <v>48</v>
      </c>
      <c r="AE89" s="19" t="s">
        <v>60</v>
      </c>
    </row>
    <row r="90" spans="1:31" x14ac:dyDescent="0.2">
      <c r="A90">
        <v>87</v>
      </c>
      <c r="B90" s="19" t="s">
        <v>409</v>
      </c>
      <c r="C90">
        <v>27</v>
      </c>
      <c r="D90" s="19" t="s">
        <v>366</v>
      </c>
      <c r="E90" s="19" t="s">
        <v>349</v>
      </c>
      <c r="F90">
        <v>51</v>
      </c>
      <c r="G90">
        <v>18</v>
      </c>
      <c r="H90">
        <v>19</v>
      </c>
      <c r="I90">
        <v>37</v>
      </c>
      <c r="J90">
        <v>22</v>
      </c>
      <c r="K90">
        <v>47</v>
      </c>
      <c r="L90">
        <v>13</v>
      </c>
      <c r="M90">
        <v>5</v>
      </c>
      <c r="N90">
        <v>0</v>
      </c>
      <c r="O90">
        <v>4</v>
      </c>
      <c r="P90">
        <v>13</v>
      </c>
      <c r="Q90">
        <v>6</v>
      </c>
      <c r="R90">
        <v>0</v>
      </c>
      <c r="S90">
        <v>164</v>
      </c>
      <c r="T90">
        <v>11</v>
      </c>
      <c r="U90">
        <v>373</v>
      </c>
      <c r="V90" s="19" t="s">
        <v>2651</v>
      </c>
      <c r="W90" s="19" t="s">
        <v>1653</v>
      </c>
      <c r="X90">
        <v>0</v>
      </c>
      <c r="Y90">
        <v>0</v>
      </c>
      <c r="AA90">
        <v>71</v>
      </c>
      <c r="AB90">
        <v>45</v>
      </c>
      <c r="AC90">
        <v>23</v>
      </c>
      <c r="AD90">
        <v>69</v>
      </c>
      <c r="AE90" s="19" t="s">
        <v>60</v>
      </c>
    </row>
    <row r="91" spans="1:31" x14ac:dyDescent="0.2">
      <c r="A91">
        <v>88</v>
      </c>
      <c r="B91" s="19" t="s">
        <v>494</v>
      </c>
      <c r="C91">
        <v>25</v>
      </c>
      <c r="D91" s="19" t="s">
        <v>428</v>
      </c>
      <c r="E91" s="19" t="s">
        <v>349</v>
      </c>
      <c r="F91">
        <v>47</v>
      </c>
      <c r="G91">
        <v>8</v>
      </c>
      <c r="H91">
        <v>29</v>
      </c>
      <c r="I91">
        <v>37</v>
      </c>
      <c r="J91">
        <v>-9</v>
      </c>
      <c r="K91">
        <v>47</v>
      </c>
      <c r="L91">
        <v>4</v>
      </c>
      <c r="M91">
        <v>4</v>
      </c>
      <c r="N91">
        <v>0</v>
      </c>
      <c r="O91">
        <v>0</v>
      </c>
      <c r="P91">
        <v>19</v>
      </c>
      <c r="Q91">
        <v>10</v>
      </c>
      <c r="R91">
        <v>0</v>
      </c>
      <c r="S91">
        <v>121</v>
      </c>
      <c r="T91">
        <v>6.6</v>
      </c>
      <c r="U91">
        <v>272</v>
      </c>
      <c r="V91" s="19" t="s">
        <v>2652</v>
      </c>
      <c r="W91" s="19" t="s">
        <v>1799</v>
      </c>
      <c r="X91">
        <v>0</v>
      </c>
      <c r="Y91">
        <v>0</v>
      </c>
      <c r="AA91">
        <v>62</v>
      </c>
      <c r="AB91">
        <v>46</v>
      </c>
      <c r="AC91">
        <v>19</v>
      </c>
      <c r="AD91">
        <v>76</v>
      </c>
      <c r="AE91" s="19" t="s">
        <v>60</v>
      </c>
    </row>
    <row r="92" spans="1:31" x14ac:dyDescent="0.2">
      <c r="A92">
        <v>89</v>
      </c>
      <c r="B92" s="19" t="s">
        <v>483</v>
      </c>
      <c r="C92">
        <v>23</v>
      </c>
      <c r="D92" s="19" t="s">
        <v>459</v>
      </c>
      <c r="E92" s="19" t="s">
        <v>335</v>
      </c>
      <c r="F92">
        <v>50</v>
      </c>
      <c r="G92">
        <v>7</v>
      </c>
      <c r="H92">
        <v>30</v>
      </c>
      <c r="I92">
        <v>37</v>
      </c>
      <c r="J92">
        <v>8</v>
      </c>
      <c r="K92">
        <v>12</v>
      </c>
      <c r="L92">
        <v>6</v>
      </c>
      <c r="M92">
        <v>1</v>
      </c>
      <c r="N92">
        <v>0</v>
      </c>
      <c r="O92">
        <v>0</v>
      </c>
      <c r="P92">
        <v>19</v>
      </c>
      <c r="Q92">
        <v>11</v>
      </c>
      <c r="R92">
        <v>0</v>
      </c>
      <c r="S92">
        <v>109</v>
      </c>
      <c r="T92">
        <v>6.4</v>
      </c>
      <c r="U92">
        <v>201</v>
      </c>
      <c r="V92" s="19" t="s">
        <v>2653</v>
      </c>
      <c r="W92" s="19" t="s">
        <v>472</v>
      </c>
      <c r="X92">
        <v>0</v>
      </c>
      <c r="Y92">
        <v>1</v>
      </c>
      <c r="Z92">
        <v>0</v>
      </c>
      <c r="AA92">
        <v>14</v>
      </c>
      <c r="AB92">
        <v>9</v>
      </c>
      <c r="AC92">
        <v>15</v>
      </c>
      <c r="AD92">
        <v>41</v>
      </c>
      <c r="AE92" s="19" t="s">
        <v>60</v>
      </c>
    </row>
    <row r="93" spans="1:31" x14ac:dyDescent="0.2">
      <c r="A93">
        <v>90</v>
      </c>
      <c r="B93" s="19" t="s">
        <v>411</v>
      </c>
      <c r="C93">
        <v>30</v>
      </c>
      <c r="D93" s="19" t="s">
        <v>321</v>
      </c>
      <c r="E93" s="19" t="s">
        <v>340</v>
      </c>
      <c r="F93">
        <v>49</v>
      </c>
      <c r="G93">
        <v>17</v>
      </c>
      <c r="H93">
        <v>20</v>
      </c>
      <c r="I93">
        <v>37</v>
      </c>
      <c r="J93">
        <v>31</v>
      </c>
      <c r="K93">
        <v>8</v>
      </c>
      <c r="L93">
        <v>16</v>
      </c>
      <c r="M93">
        <v>1</v>
      </c>
      <c r="N93">
        <v>0</v>
      </c>
      <c r="O93">
        <v>0</v>
      </c>
      <c r="P93">
        <v>19</v>
      </c>
      <c r="Q93">
        <v>1</v>
      </c>
      <c r="R93">
        <v>0</v>
      </c>
      <c r="S93">
        <v>120</v>
      </c>
      <c r="T93">
        <v>14.2</v>
      </c>
      <c r="U93">
        <v>222</v>
      </c>
      <c r="V93" s="19" t="s">
        <v>2352</v>
      </c>
      <c r="W93" s="19" t="s">
        <v>1560</v>
      </c>
      <c r="X93">
        <v>3</v>
      </c>
      <c r="Y93">
        <v>9</v>
      </c>
      <c r="Z93">
        <v>25</v>
      </c>
      <c r="AA93">
        <v>26</v>
      </c>
      <c r="AB93">
        <v>35</v>
      </c>
      <c r="AC93">
        <v>11</v>
      </c>
      <c r="AD93">
        <v>32</v>
      </c>
      <c r="AE93" s="19" t="s">
        <v>60</v>
      </c>
    </row>
    <row r="94" spans="1:31" x14ac:dyDescent="0.2">
      <c r="A94">
        <v>91</v>
      </c>
      <c r="B94" s="19" t="s">
        <v>692</v>
      </c>
      <c r="C94">
        <v>35</v>
      </c>
      <c r="D94" s="19" t="s">
        <v>459</v>
      </c>
      <c r="E94" s="19" t="s">
        <v>322</v>
      </c>
      <c r="F94">
        <v>51</v>
      </c>
      <c r="G94">
        <v>25</v>
      </c>
      <c r="H94">
        <v>12</v>
      </c>
      <c r="I94">
        <v>37</v>
      </c>
      <c r="J94">
        <v>-15</v>
      </c>
      <c r="K94">
        <v>26</v>
      </c>
      <c r="L94">
        <v>17</v>
      </c>
      <c r="M94">
        <v>8</v>
      </c>
      <c r="N94">
        <v>0</v>
      </c>
      <c r="O94">
        <v>8</v>
      </c>
      <c r="P94">
        <v>8</v>
      </c>
      <c r="Q94">
        <v>4</v>
      </c>
      <c r="R94">
        <v>0</v>
      </c>
      <c r="S94">
        <v>121</v>
      </c>
      <c r="T94">
        <v>20.7</v>
      </c>
      <c r="U94">
        <v>242</v>
      </c>
      <c r="V94" s="19" t="s">
        <v>2654</v>
      </c>
      <c r="W94" s="19" t="s">
        <v>1961</v>
      </c>
      <c r="X94">
        <v>174</v>
      </c>
      <c r="Y94">
        <v>137</v>
      </c>
      <c r="Z94">
        <v>55.9</v>
      </c>
      <c r="AA94">
        <v>20</v>
      </c>
      <c r="AB94">
        <v>52</v>
      </c>
      <c r="AC94">
        <v>19</v>
      </c>
      <c r="AD94">
        <v>45</v>
      </c>
      <c r="AE94" s="19" t="s">
        <v>60</v>
      </c>
    </row>
    <row r="95" spans="1:31" x14ac:dyDescent="0.2">
      <c r="A95">
        <v>92</v>
      </c>
      <c r="B95" s="19" t="s">
        <v>484</v>
      </c>
      <c r="C95">
        <v>29</v>
      </c>
      <c r="D95" s="19" t="s">
        <v>419</v>
      </c>
      <c r="E95" s="19" t="s">
        <v>340</v>
      </c>
      <c r="F95">
        <v>50</v>
      </c>
      <c r="G95">
        <v>18</v>
      </c>
      <c r="H95">
        <v>18</v>
      </c>
      <c r="I95">
        <v>36</v>
      </c>
      <c r="J95">
        <v>-8</v>
      </c>
      <c r="K95">
        <v>32</v>
      </c>
      <c r="L95">
        <v>14</v>
      </c>
      <c r="M95">
        <v>4</v>
      </c>
      <c r="N95">
        <v>0</v>
      </c>
      <c r="O95">
        <v>2</v>
      </c>
      <c r="P95">
        <v>9</v>
      </c>
      <c r="Q95">
        <v>9</v>
      </c>
      <c r="R95">
        <v>0</v>
      </c>
      <c r="S95">
        <v>139</v>
      </c>
      <c r="T95">
        <v>12.9</v>
      </c>
      <c r="U95">
        <v>294</v>
      </c>
      <c r="V95" s="19" t="s">
        <v>2655</v>
      </c>
      <c r="W95" s="19" t="s">
        <v>1560</v>
      </c>
      <c r="X95">
        <v>5</v>
      </c>
      <c r="Y95">
        <v>14</v>
      </c>
      <c r="Z95">
        <v>26.3</v>
      </c>
      <c r="AA95">
        <v>20</v>
      </c>
      <c r="AB95">
        <v>32</v>
      </c>
      <c r="AC95">
        <v>17</v>
      </c>
      <c r="AD95">
        <v>67</v>
      </c>
      <c r="AE95" s="19" t="s">
        <v>60</v>
      </c>
    </row>
    <row r="96" spans="1:31" x14ac:dyDescent="0.2">
      <c r="A96">
        <v>93</v>
      </c>
      <c r="B96" s="19" t="s">
        <v>521</v>
      </c>
      <c r="C96">
        <v>38</v>
      </c>
      <c r="D96" s="19" t="s">
        <v>416</v>
      </c>
      <c r="E96" s="19" t="s">
        <v>322</v>
      </c>
      <c r="F96">
        <v>51</v>
      </c>
      <c r="G96">
        <v>9</v>
      </c>
      <c r="H96">
        <v>27</v>
      </c>
      <c r="I96">
        <v>36</v>
      </c>
      <c r="J96">
        <v>10</v>
      </c>
      <c r="K96">
        <v>18</v>
      </c>
      <c r="L96">
        <v>8</v>
      </c>
      <c r="M96">
        <v>1</v>
      </c>
      <c r="N96">
        <v>0</v>
      </c>
      <c r="O96">
        <v>1</v>
      </c>
      <c r="P96">
        <v>18</v>
      </c>
      <c r="Q96">
        <v>9</v>
      </c>
      <c r="R96">
        <v>0</v>
      </c>
      <c r="S96">
        <v>84</v>
      </c>
      <c r="T96">
        <v>10.7</v>
      </c>
      <c r="U96">
        <v>158</v>
      </c>
      <c r="V96" s="19" t="s">
        <v>2656</v>
      </c>
      <c r="W96" s="19" t="s">
        <v>1284</v>
      </c>
      <c r="X96">
        <v>319</v>
      </c>
      <c r="Y96">
        <v>172</v>
      </c>
      <c r="Z96">
        <v>65</v>
      </c>
      <c r="AA96">
        <v>21</v>
      </c>
      <c r="AB96">
        <v>46</v>
      </c>
      <c r="AC96">
        <v>10</v>
      </c>
      <c r="AD96">
        <v>36</v>
      </c>
      <c r="AE96" s="19" t="s">
        <v>60</v>
      </c>
    </row>
    <row r="97" spans="1:31" x14ac:dyDescent="0.2">
      <c r="A97">
        <v>94</v>
      </c>
      <c r="B97" s="19" t="s">
        <v>464</v>
      </c>
      <c r="C97">
        <v>28</v>
      </c>
      <c r="D97" s="19" t="s">
        <v>355</v>
      </c>
      <c r="E97" s="19" t="s">
        <v>322</v>
      </c>
      <c r="F97">
        <v>51</v>
      </c>
      <c r="G97">
        <v>14</v>
      </c>
      <c r="H97">
        <v>22</v>
      </c>
      <c r="I97">
        <v>36</v>
      </c>
      <c r="J97">
        <v>-2</v>
      </c>
      <c r="K97">
        <v>28</v>
      </c>
      <c r="L97">
        <v>9</v>
      </c>
      <c r="M97">
        <v>5</v>
      </c>
      <c r="N97">
        <v>0</v>
      </c>
      <c r="O97">
        <v>3</v>
      </c>
      <c r="P97">
        <v>12</v>
      </c>
      <c r="Q97">
        <v>10</v>
      </c>
      <c r="R97">
        <v>0</v>
      </c>
      <c r="S97">
        <v>83</v>
      </c>
      <c r="T97">
        <v>16.899999999999999</v>
      </c>
      <c r="U97">
        <v>146</v>
      </c>
      <c r="V97" s="19" t="s">
        <v>2657</v>
      </c>
      <c r="W97" s="19" t="s">
        <v>1720</v>
      </c>
      <c r="X97">
        <v>319</v>
      </c>
      <c r="Y97">
        <v>290</v>
      </c>
      <c r="Z97">
        <v>52.4</v>
      </c>
      <c r="AA97">
        <v>21</v>
      </c>
      <c r="AB97">
        <v>40</v>
      </c>
      <c r="AC97">
        <v>13</v>
      </c>
      <c r="AD97">
        <v>36</v>
      </c>
      <c r="AE97" s="19" t="s">
        <v>60</v>
      </c>
    </row>
    <row r="98" spans="1:31" x14ac:dyDescent="0.2">
      <c r="A98">
        <v>95</v>
      </c>
      <c r="B98" s="19" t="s">
        <v>430</v>
      </c>
      <c r="C98">
        <v>30</v>
      </c>
      <c r="D98" s="19" t="s">
        <v>344</v>
      </c>
      <c r="E98" s="19" t="s">
        <v>322</v>
      </c>
      <c r="F98">
        <v>50</v>
      </c>
      <c r="G98">
        <v>12</v>
      </c>
      <c r="H98">
        <v>23</v>
      </c>
      <c r="I98">
        <v>35</v>
      </c>
      <c r="J98">
        <v>9</v>
      </c>
      <c r="K98">
        <v>6</v>
      </c>
      <c r="L98">
        <v>11</v>
      </c>
      <c r="M98">
        <v>1</v>
      </c>
      <c r="N98">
        <v>0</v>
      </c>
      <c r="O98">
        <v>1</v>
      </c>
      <c r="P98">
        <v>22</v>
      </c>
      <c r="Q98">
        <v>1</v>
      </c>
      <c r="R98">
        <v>0</v>
      </c>
      <c r="S98">
        <v>73</v>
      </c>
      <c r="T98">
        <v>16.399999999999999</v>
      </c>
      <c r="U98">
        <v>136</v>
      </c>
      <c r="V98" s="19" t="s">
        <v>2353</v>
      </c>
      <c r="W98" s="19" t="s">
        <v>2011</v>
      </c>
      <c r="X98">
        <v>8</v>
      </c>
      <c r="Y98">
        <v>27</v>
      </c>
      <c r="Z98">
        <v>22.9</v>
      </c>
      <c r="AA98">
        <v>24</v>
      </c>
      <c r="AB98">
        <v>78</v>
      </c>
      <c r="AC98">
        <v>12</v>
      </c>
      <c r="AD98">
        <v>55</v>
      </c>
      <c r="AE98" s="19" t="s">
        <v>60</v>
      </c>
    </row>
    <row r="99" spans="1:31" x14ac:dyDescent="0.2">
      <c r="A99">
        <v>96</v>
      </c>
      <c r="B99" s="19" t="s">
        <v>480</v>
      </c>
      <c r="C99">
        <v>23</v>
      </c>
      <c r="D99" s="19" t="s">
        <v>428</v>
      </c>
      <c r="E99" s="19" t="s">
        <v>335</v>
      </c>
      <c r="F99">
        <v>51</v>
      </c>
      <c r="G99">
        <v>15</v>
      </c>
      <c r="H99">
        <v>20</v>
      </c>
      <c r="I99">
        <v>35</v>
      </c>
      <c r="J99">
        <v>-2</v>
      </c>
      <c r="K99">
        <v>23</v>
      </c>
      <c r="L99">
        <v>10</v>
      </c>
      <c r="M99">
        <v>5</v>
      </c>
      <c r="N99">
        <v>0</v>
      </c>
      <c r="O99">
        <v>1</v>
      </c>
      <c r="P99">
        <v>14</v>
      </c>
      <c r="Q99">
        <v>6</v>
      </c>
      <c r="R99">
        <v>0</v>
      </c>
      <c r="S99">
        <v>109</v>
      </c>
      <c r="T99">
        <v>13.8</v>
      </c>
      <c r="U99">
        <v>194</v>
      </c>
      <c r="V99" s="19" t="s">
        <v>2658</v>
      </c>
      <c r="W99" s="19" t="s">
        <v>1543</v>
      </c>
      <c r="X99">
        <v>4</v>
      </c>
      <c r="Y99">
        <v>9</v>
      </c>
      <c r="Z99">
        <v>30.8</v>
      </c>
      <c r="AA99">
        <v>19</v>
      </c>
      <c r="AB99">
        <v>45</v>
      </c>
      <c r="AC99">
        <v>35</v>
      </c>
      <c r="AD99">
        <v>41</v>
      </c>
      <c r="AE99" s="19" t="s">
        <v>60</v>
      </c>
    </row>
    <row r="100" spans="1:31" x14ac:dyDescent="0.2">
      <c r="A100">
        <v>97</v>
      </c>
      <c r="B100" s="19" t="s">
        <v>524</v>
      </c>
      <c r="C100">
        <v>31</v>
      </c>
      <c r="D100" s="19" t="s">
        <v>355</v>
      </c>
      <c r="E100" s="19" t="s">
        <v>322</v>
      </c>
      <c r="F100">
        <v>42</v>
      </c>
      <c r="G100">
        <v>9</v>
      </c>
      <c r="H100">
        <v>26</v>
      </c>
      <c r="I100">
        <v>35</v>
      </c>
      <c r="J100">
        <v>-1</v>
      </c>
      <c r="K100">
        <v>34</v>
      </c>
      <c r="L100">
        <v>3</v>
      </c>
      <c r="M100">
        <v>6</v>
      </c>
      <c r="N100">
        <v>0</v>
      </c>
      <c r="O100">
        <v>2</v>
      </c>
      <c r="P100">
        <v>15</v>
      </c>
      <c r="Q100">
        <v>11</v>
      </c>
      <c r="R100">
        <v>0</v>
      </c>
      <c r="S100">
        <v>65</v>
      </c>
      <c r="T100">
        <v>13.8</v>
      </c>
      <c r="U100">
        <v>149</v>
      </c>
      <c r="V100" s="19" t="s">
        <v>2659</v>
      </c>
      <c r="W100" s="19" t="s">
        <v>1629</v>
      </c>
      <c r="X100">
        <v>382</v>
      </c>
      <c r="Y100">
        <v>321</v>
      </c>
      <c r="Z100">
        <v>54.3</v>
      </c>
      <c r="AA100">
        <v>40</v>
      </c>
      <c r="AB100">
        <v>30</v>
      </c>
      <c r="AC100">
        <v>11</v>
      </c>
      <c r="AD100">
        <v>31</v>
      </c>
      <c r="AE100" s="19" t="s">
        <v>60</v>
      </c>
    </row>
    <row r="101" spans="1:31" x14ac:dyDescent="0.2">
      <c r="A101">
        <v>98</v>
      </c>
      <c r="B101" s="19" t="s">
        <v>449</v>
      </c>
      <c r="C101">
        <v>24</v>
      </c>
      <c r="D101" s="19" t="s">
        <v>373</v>
      </c>
      <c r="E101" s="19" t="s">
        <v>322</v>
      </c>
      <c r="F101">
        <v>50</v>
      </c>
      <c r="G101">
        <v>15</v>
      </c>
      <c r="H101">
        <v>20</v>
      </c>
      <c r="I101">
        <v>35</v>
      </c>
      <c r="J101">
        <v>-9</v>
      </c>
      <c r="K101">
        <v>26</v>
      </c>
      <c r="L101">
        <v>11</v>
      </c>
      <c r="M101">
        <v>3</v>
      </c>
      <c r="N101">
        <v>1</v>
      </c>
      <c r="O101">
        <v>3</v>
      </c>
      <c r="P101">
        <v>11</v>
      </c>
      <c r="Q101">
        <v>7</v>
      </c>
      <c r="R101">
        <v>2</v>
      </c>
      <c r="S101">
        <v>117</v>
      </c>
      <c r="T101">
        <v>12.8</v>
      </c>
      <c r="U101">
        <v>228</v>
      </c>
      <c r="V101" s="19" t="s">
        <v>2660</v>
      </c>
      <c r="W101" s="19" t="s">
        <v>1823</v>
      </c>
      <c r="X101">
        <v>475</v>
      </c>
      <c r="Y101">
        <v>434</v>
      </c>
      <c r="Z101">
        <v>52.3</v>
      </c>
      <c r="AA101">
        <v>30</v>
      </c>
      <c r="AB101">
        <v>61</v>
      </c>
      <c r="AC101">
        <v>9</v>
      </c>
      <c r="AD101">
        <v>54</v>
      </c>
      <c r="AE101" s="19" t="s">
        <v>60</v>
      </c>
    </row>
    <row r="102" spans="1:31" x14ac:dyDescent="0.2">
      <c r="A102">
        <v>99</v>
      </c>
      <c r="B102" s="19" t="s">
        <v>453</v>
      </c>
      <c r="C102">
        <v>24</v>
      </c>
      <c r="D102" s="19" t="s">
        <v>371</v>
      </c>
      <c r="E102" s="19" t="s">
        <v>349</v>
      </c>
      <c r="F102">
        <v>53</v>
      </c>
      <c r="G102">
        <v>7</v>
      </c>
      <c r="H102">
        <v>28</v>
      </c>
      <c r="I102">
        <v>35</v>
      </c>
      <c r="J102">
        <v>12</v>
      </c>
      <c r="K102">
        <v>43</v>
      </c>
      <c r="L102">
        <v>6</v>
      </c>
      <c r="M102">
        <v>1</v>
      </c>
      <c r="N102">
        <v>0</v>
      </c>
      <c r="O102">
        <v>1</v>
      </c>
      <c r="P102">
        <v>12</v>
      </c>
      <c r="Q102">
        <v>16</v>
      </c>
      <c r="R102">
        <v>0</v>
      </c>
      <c r="S102">
        <v>113</v>
      </c>
      <c r="T102">
        <v>6.2</v>
      </c>
      <c r="U102">
        <v>251</v>
      </c>
      <c r="V102" s="19" t="s">
        <v>2661</v>
      </c>
      <c r="W102" s="19" t="s">
        <v>2662</v>
      </c>
      <c r="X102">
        <v>0</v>
      </c>
      <c r="Y102">
        <v>0</v>
      </c>
      <c r="AA102">
        <v>118</v>
      </c>
      <c r="AB102">
        <v>76</v>
      </c>
      <c r="AC102">
        <v>18</v>
      </c>
      <c r="AD102">
        <v>62</v>
      </c>
      <c r="AE102" s="19" t="s">
        <v>60</v>
      </c>
    </row>
    <row r="103" spans="1:31" x14ac:dyDescent="0.2">
      <c r="A103">
        <v>100</v>
      </c>
      <c r="B103" s="19" t="s">
        <v>489</v>
      </c>
      <c r="C103">
        <v>27</v>
      </c>
      <c r="D103" s="19" t="s">
        <v>405</v>
      </c>
      <c r="E103" s="19" t="s">
        <v>349</v>
      </c>
      <c r="F103">
        <v>51</v>
      </c>
      <c r="G103">
        <v>7</v>
      </c>
      <c r="H103">
        <v>28</v>
      </c>
      <c r="I103">
        <v>35</v>
      </c>
      <c r="J103">
        <v>-4</v>
      </c>
      <c r="K103">
        <v>26</v>
      </c>
      <c r="L103">
        <v>4</v>
      </c>
      <c r="M103">
        <v>3</v>
      </c>
      <c r="N103">
        <v>0</v>
      </c>
      <c r="O103">
        <v>0</v>
      </c>
      <c r="P103">
        <v>17</v>
      </c>
      <c r="Q103">
        <v>10</v>
      </c>
      <c r="R103">
        <v>1</v>
      </c>
      <c r="S103">
        <v>104</v>
      </c>
      <c r="T103">
        <v>6.7</v>
      </c>
      <c r="U103">
        <v>234</v>
      </c>
      <c r="V103" s="19" t="s">
        <v>2663</v>
      </c>
      <c r="W103" s="19" t="s">
        <v>2163</v>
      </c>
      <c r="X103">
        <v>0</v>
      </c>
      <c r="Y103">
        <v>0</v>
      </c>
      <c r="AA103">
        <v>90</v>
      </c>
      <c r="AB103">
        <v>23</v>
      </c>
      <c r="AC103">
        <v>20</v>
      </c>
      <c r="AD103">
        <v>76</v>
      </c>
      <c r="AE103" s="19" t="s">
        <v>60</v>
      </c>
    </row>
    <row r="104" spans="1:31" x14ac:dyDescent="0.2">
      <c r="A104">
        <v>101</v>
      </c>
      <c r="B104" s="19" t="s">
        <v>517</v>
      </c>
      <c r="C104">
        <v>28</v>
      </c>
      <c r="D104" s="19" t="s">
        <v>352</v>
      </c>
      <c r="E104" s="19" t="s">
        <v>322</v>
      </c>
      <c r="F104">
        <v>46</v>
      </c>
      <c r="G104">
        <v>14</v>
      </c>
      <c r="H104">
        <v>20</v>
      </c>
      <c r="I104">
        <v>34</v>
      </c>
      <c r="J104">
        <v>29</v>
      </c>
      <c r="K104">
        <v>27</v>
      </c>
      <c r="L104">
        <v>12</v>
      </c>
      <c r="M104">
        <v>2</v>
      </c>
      <c r="N104">
        <v>0</v>
      </c>
      <c r="O104">
        <v>3</v>
      </c>
      <c r="P104">
        <v>17</v>
      </c>
      <c r="Q104">
        <v>1</v>
      </c>
      <c r="R104">
        <v>2</v>
      </c>
      <c r="S104">
        <v>84</v>
      </c>
      <c r="T104">
        <v>16.7</v>
      </c>
      <c r="U104">
        <v>158</v>
      </c>
      <c r="V104" s="19" t="s">
        <v>2664</v>
      </c>
      <c r="W104" s="19" t="s">
        <v>1618</v>
      </c>
      <c r="X104">
        <v>327</v>
      </c>
      <c r="Y104">
        <v>357</v>
      </c>
      <c r="Z104">
        <v>47.8</v>
      </c>
      <c r="AA104">
        <v>30</v>
      </c>
      <c r="AB104">
        <v>30</v>
      </c>
      <c r="AC104">
        <v>18</v>
      </c>
      <c r="AD104">
        <v>32</v>
      </c>
      <c r="AE104" s="19" t="s">
        <v>60</v>
      </c>
    </row>
    <row r="105" spans="1:31" x14ac:dyDescent="0.2">
      <c r="A105">
        <v>102</v>
      </c>
      <c r="B105" s="19" t="s">
        <v>469</v>
      </c>
      <c r="C105">
        <v>35</v>
      </c>
      <c r="D105" s="19" t="s">
        <v>357</v>
      </c>
      <c r="E105" s="19" t="s">
        <v>322</v>
      </c>
      <c r="F105">
        <v>48</v>
      </c>
      <c r="G105">
        <v>13</v>
      </c>
      <c r="H105">
        <v>21</v>
      </c>
      <c r="I105">
        <v>34</v>
      </c>
      <c r="J105">
        <v>17</v>
      </c>
      <c r="K105">
        <v>8</v>
      </c>
      <c r="L105">
        <v>10</v>
      </c>
      <c r="M105">
        <v>3</v>
      </c>
      <c r="N105">
        <v>0</v>
      </c>
      <c r="O105">
        <v>4</v>
      </c>
      <c r="P105">
        <v>16</v>
      </c>
      <c r="Q105">
        <v>4</v>
      </c>
      <c r="R105">
        <v>1</v>
      </c>
      <c r="S105">
        <v>71</v>
      </c>
      <c r="T105">
        <v>18.3</v>
      </c>
      <c r="U105">
        <v>134</v>
      </c>
      <c r="V105" s="19" t="s">
        <v>2665</v>
      </c>
      <c r="W105" s="19" t="s">
        <v>2288</v>
      </c>
      <c r="X105">
        <v>6</v>
      </c>
      <c r="Y105">
        <v>7</v>
      </c>
      <c r="Z105">
        <v>46.2</v>
      </c>
      <c r="AA105">
        <v>12</v>
      </c>
      <c r="AB105">
        <v>23</v>
      </c>
      <c r="AC105">
        <v>14</v>
      </c>
      <c r="AD105">
        <v>37</v>
      </c>
      <c r="AE105" s="19" t="s">
        <v>60</v>
      </c>
    </row>
    <row r="106" spans="1:31" x14ac:dyDescent="0.2">
      <c r="A106">
        <v>103</v>
      </c>
      <c r="B106" s="19" t="s">
        <v>435</v>
      </c>
      <c r="C106">
        <v>35</v>
      </c>
      <c r="D106" s="19" t="s">
        <v>436</v>
      </c>
      <c r="E106" s="19" t="s">
        <v>322</v>
      </c>
      <c r="F106">
        <v>51</v>
      </c>
      <c r="G106">
        <v>9</v>
      </c>
      <c r="H106">
        <v>25</v>
      </c>
      <c r="I106">
        <v>34</v>
      </c>
      <c r="J106">
        <v>-22</v>
      </c>
      <c r="K106">
        <v>20</v>
      </c>
      <c r="L106">
        <v>7</v>
      </c>
      <c r="M106">
        <v>2</v>
      </c>
      <c r="N106">
        <v>0</v>
      </c>
      <c r="O106">
        <v>1</v>
      </c>
      <c r="P106">
        <v>15</v>
      </c>
      <c r="Q106">
        <v>10</v>
      </c>
      <c r="R106">
        <v>0</v>
      </c>
      <c r="S106">
        <v>142</v>
      </c>
      <c r="T106">
        <v>6.3</v>
      </c>
      <c r="U106">
        <v>300</v>
      </c>
      <c r="V106" s="19" t="s">
        <v>2354</v>
      </c>
      <c r="W106" s="19" t="s">
        <v>2355</v>
      </c>
      <c r="X106">
        <v>357</v>
      </c>
      <c r="Y106">
        <v>366</v>
      </c>
      <c r="Z106">
        <v>49.4</v>
      </c>
      <c r="AA106">
        <v>18</v>
      </c>
      <c r="AB106">
        <v>33</v>
      </c>
      <c r="AC106">
        <v>15</v>
      </c>
      <c r="AD106">
        <v>56</v>
      </c>
      <c r="AE106" s="19" t="s">
        <v>60</v>
      </c>
    </row>
    <row r="107" spans="1:31" x14ac:dyDescent="0.2">
      <c r="A107">
        <v>104</v>
      </c>
      <c r="B107" s="19" t="s">
        <v>547</v>
      </c>
      <c r="C107">
        <v>31</v>
      </c>
      <c r="D107" s="19" t="s">
        <v>376</v>
      </c>
      <c r="E107" s="19" t="s">
        <v>335</v>
      </c>
      <c r="F107">
        <v>50</v>
      </c>
      <c r="G107">
        <v>16</v>
      </c>
      <c r="H107">
        <v>18</v>
      </c>
      <c r="I107">
        <v>34</v>
      </c>
      <c r="J107">
        <v>8</v>
      </c>
      <c r="K107">
        <v>15</v>
      </c>
      <c r="L107">
        <v>12</v>
      </c>
      <c r="M107">
        <v>4</v>
      </c>
      <c r="N107">
        <v>0</v>
      </c>
      <c r="O107">
        <v>0</v>
      </c>
      <c r="P107">
        <v>13</v>
      </c>
      <c r="Q107">
        <v>5</v>
      </c>
      <c r="R107">
        <v>0</v>
      </c>
      <c r="S107">
        <v>94</v>
      </c>
      <c r="T107">
        <v>17</v>
      </c>
      <c r="U107">
        <v>181</v>
      </c>
      <c r="V107" s="19" t="s">
        <v>2271</v>
      </c>
      <c r="W107" s="19" t="s">
        <v>1981</v>
      </c>
      <c r="X107">
        <v>6</v>
      </c>
      <c r="Y107">
        <v>19</v>
      </c>
      <c r="Z107">
        <v>24</v>
      </c>
      <c r="AA107">
        <v>24</v>
      </c>
      <c r="AB107">
        <v>28</v>
      </c>
      <c r="AC107">
        <v>9</v>
      </c>
      <c r="AD107">
        <v>50</v>
      </c>
      <c r="AE107" s="19" t="s">
        <v>60</v>
      </c>
    </row>
    <row r="108" spans="1:31" x14ac:dyDescent="0.2">
      <c r="A108">
        <v>105</v>
      </c>
      <c r="B108" s="19" t="s">
        <v>597</v>
      </c>
      <c r="C108">
        <v>26</v>
      </c>
      <c r="D108" s="19" t="s">
        <v>428</v>
      </c>
      <c r="E108" s="19" t="s">
        <v>322</v>
      </c>
      <c r="F108">
        <v>51</v>
      </c>
      <c r="G108">
        <v>11</v>
      </c>
      <c r="H108">
        <v>23</v>
      </c>
      <c r="I108">
        <v>34</v>
      </c>
      <c r="J108">
        <v>16</v>
      </c>
      <c r="K108">
        <v>4</v>
      </c>
      <c r="L108">
        <v>7</v>
      </c>
      <c r="M108">
        <v>0</v>
      </c>
      <c r="N108">
        <v>4</v>
      </c>
      <c r="O108">
        <v>1</v>
      </c>
      <c r="P108">
        <v>18</v>
      </c>
      <c r="Q108">
        <v>4</v>
      </c>
      <c r="R108">
        <v>1</v>
      </c>
      <c r="S108">
        <v>61</v>
      </c>
      <c r="T108">
        <v>18</v>
      </c>
      <c r="U108">
        <v>124</v>
      </c>
      <c r="V108" s="19" t="s">
        <v>2666</v>
      </c>
      <c r="W108" s="19" t="s">
        <v>1741</v>
      </c>
      <c r="X108">
        <v>374</v>
      </c>
      <c r="Y108">
        <v>440</v>
      </c>
      <c r="Z108">
        <v>45.9</v>
      </c>
      <c r="AA108">
        <v>19</v>
      </c>
      <c r="AB108">
        <v>13</v>
      </c>
      <c r="AC108">
        <v>22</v>
      </c>
      <c r="AD108">
        <v>53</v>
      </c>
      <c r="AE108" s="19" t="s">
        <v>60</v>
      </c>
    </row>
    <row r="109" spans="1:31" x14ac:dyDescent="0.2">
      <c r="A109">
        <v>106</v>
      </c>
      <c r="B109" s="19" t="s">
        <v>451</v>
      </c>
      <c r="C109">
        <v>24</v>
      </c>
      <c r="D109" s="19" t="s">
        <v>405</v>
      </c>
      <c r="E109" s="19" t="s">
        <v>335</v>
      </c>
      <c r="F109">
        <v>51</v>
      </c>
      <c r="G109">
        <v>18</v>
      </c>
      <c r="H109">
        <v>16</v>
      </c>
      <c r="I109">
        <v>34</v>
      </c>
      <c r="J109">
        <v>9</v>
      </c>
      <c r="K109">
        <v>24</v>
      </c>
      <c r="L109">
        <v>16</v>
      </c>
      <c r="M109">
        <v>2</v>
      </c>
      <c r="N109">
        <v>0</v>
      </c>
      <c r="O109">
        <v>2</v>
      </c>
      <c r="P109">
        <v>15</v>
      </c>
      <c r="Q109">
        <v>1</v>
      </c>
      <c r="R109">
        <v>0</v>
      </c>
      <c r="S109">
        <v>104</v>
      </c>
      <c r="T109">
        <v>17.3</v>
      </c>
      <c r="U109">
        <v>204</v>
      </c>
      <c r="V109" s="19" t="s">
        <v>2667</v>
      </c>
      <c r="W109" s="19" t="s">
        <v>1797</v>
      </c>
      <c r="X109">
        <v>5</v>
      </c>
      <c r="Y109">
        <v>13</v>
      </c>
      <c r="Z109">
        <v>27.8</v>
      </c>
      <c r="AA109">
        <v>15</v>
      </c>
      <c r="AB109">
        <v>13</v>
      </c>
      <c r="AC109">
        <v>13</v>
      </c>
      <c r="AD109">
        <v>56</v>
      </c>
      <c r="AE109" s="19" t="s">
        <v>60</v>
      </c>
    </row>
    <row r="110" spans="1:31" x14ac:dyDescent="0.2">
      <c r="A110">
        <v>107</v>
      </c>
      <c r="B110" s="19" t="s">
        <v>474</v>
      </c>
      <c r="C110">
        <v>25</v>
      </c>
      <c r="D110" s="19" t="s">
        <v>366</v>
      </c>
      <c r="E110" s="19" t="s">
        <v>322</v>
      </c>
      <c r="F110">
        <v>50</v>
      </c>
      <c r="G110">
        <v>18</v>
      </c>
      <c r="H110">
        <v>16</v>
      </c>
      <c r="I110">
        <v>34</v>
      </c>
      <c r="J110">
        <v>15</v>
      </c>
      <c r="K110">
        <v>18</v>
      </c>
      <c r="L110">
        <v>18</v>
      </c>
      <c r="M110">
        <v>0</v>
      </c>
      <c r="N110">
        <v>0</v>
      </c>
      <c r="O110">
        <v>4</v>
      </c>
      <c r="P110">
        <v>14</v>
      </c>
      <c r="Q110">
        <v>1</v>
      </c>
      <c r="R110">
        <v>1</v>
      </c>
      <c r="S110">
        <v>112</v>
      </c>
      <c r="T110">
        <v>16.100000000000001</v>
      </c>
      <c r="U110">
        <v>219</v>
      </c>
      <c r="V110" s="19" t="s">
        <v>1896</v>
      </c>
      <c r="W110" s="19" t="s">
        <v>1794</v>
      </c>
      <c r="X110">
        <v>12</v>
      </c>
      <c r="Y110">
        <v>22</v>
      </c>
      <c r="Z110">
        <v>35.299999999999997</v>
      </c>
      <c r="AA110">
        <v>30</v>
      </c>
      <c r="AB110">
        <v>23</v>
      </c>
      <c r="AC110">
        <v>16</v>
      </c>
      <c r="AD110">
        <v>59</v>
      </c>
      <c r="AE110" s="19" t="s">
        <v>60</v>
      </c>
    </row>
    <row r="111" spans="1:31" x14ac:dyDescent="0.2">
      <c r="A111">
        <v>108</v>
      </c>
      <c r="B111" s="19" t="s">
        <v>462</v>
      </c>
      <c r="C111">
        <v>18</v>
      </c>
      <c r="D111" s="19" t="s">
        <v>384</v>
      </c>
      <c r="E111" s="19" t="s">
        <v>349</v>
      </c>
      <c r="F111">
        <v>51</v>
      </c>
      <c r="G111">
        <v>13</v>
      </c>
      <c r="H111">
        <v>21</v>
      </c>
      <c r="I111">
        <v>34</v>
      </c>
      <c r="J111">
        <v>7</v>
      </c>
      <c r="K111">
        <v>26</v>
      </c>
      <c r="L111">
        <v>7</v>
      </c>
      <c r="M111">
        <v>6</v>
      </c>
      <c r="N111">
        <v>0</v>
      </c>
      <c r="O111">
        <v>3</v>
      </c>
      <c r="P111">
        <v>14</v>
      </c>
      <c r="Q111">
        <v>7</v>
      </c>
      <c r="R111">
        <v>0</v>
      </c>
      <c r="S111">
        <v>125</v>
      </c>
      <c r="T111">
        <v>10.4</v>
      </c>
      <c r="U111">
        <v>296</v>
      </c>
      <c r="V111" s="19" t="s">
        <v>2668</v>
      </c>
      <c r="W111" s="19" t="s">
        <v>2669</v>
      </c>
      <c r="X111">
        <v>0</v>
      </c>
      <c r="Y111">
        <v>0</v>
      </c>
      <c r="AA111">
        <v>67</v>
      </c>
      <c r="AB111">
        <v>23</v>
      </c>
      <c r="AC111">
        <v>25</v>
      </c>
      <c r="AD111">
        <v>63</v>
      </c>
      <c r="AE111" s="19" t="s">
        <v>60</v>
      </c>
    </row>
    <row r="112" spans="1:31" x14ac:dyDescent="0.2">
      <c r="A112">
        <v>109</v>
      </c>
      <c r="B112" s="19" t="s">
        <v>514</v>
      </c>
      <c r="C112">
        <v>33</v>
      </c>
      <c r="D112" s="19" t="s">
        <v>324</v>
      </c>
      <c r="E112" s="19" t="s">
        <v>322</v>
      </c>
      <c r="F112">
        <v>50</v>
      </c>
      <c r="G112">
        <v>14</v>
      </c>
      <c r="H112">
        <v>20</v>
      </c>
      <c r="I112">
        <v>34</v>
      </c>
      <c r="J112">
        <v>-6</v>
      </c>
      <c r="K112">
        <v>8</v>
      </c>
      <c r="L112">
        <v>9</v>
      </c>
      <c r="M112">
        <v>5</v>
      </c>
      <c r="N112">
        <v>0</v>
      </c>
      <c r="O112">
        <v>1</v>
      </c>
      <c r="P112">
        <v>15</v>
      </c>
      <c r="Q112">
        <v>5</v>
      </c>
      <c r="R112">
        <v>0</v>
      </c>
      <c r="S112">
        <v>115</v>
      </c>
      <c r="T112">
        <v>12.2</v>
      </c>
      <c r="U112">
        <v>236</v>
      </c>
      <c r="V112" s="19" t="s">
        <v>2356</v>
      </c>
      <c r="W112" s="19" t="s">
        <v>1674</v>
      </c>
      <c r="X112">
        <v>4</v>
      </c>
      <c r="Y112">
        <v>14</v>
      </c>
      <c r="Z112">
        <v>22.2</v>
      </c>
      <c r="AA112">
        <v>25</v>
      </c>
      <c r="AB112">
        <v>37</v>
      </c>
      <c r="AC112">
        <v>12</v>
      </c>
      <c r="AD112">
        <v>34</v>
      </c>
      <c r="AE112" s="19" t="s">
        <v>60</v>
      </c>
    </row>
    <row r="113" spans="1:31" x14ac:dyDescent="0.2">
      <c r="A113">
        <v>110</v>
      </c>
      <c r="B113" s="19" t="s">
        <v>575</v>
      </c>
      <c r="C113">
        <v>31</v>
      </c>
      <c r="D113" s="19" t="s">
        <v>324</v>
      </c>
      <c r="E113" s="19" t="s">
        <v>322</v>
      </c>
      <c r="F113">
        <v>50</v>
      </c>
      <c r="G113">
        <v>10</v>
      </c>
      <c r="H113">
        <v>24</v>
      </c>
      <c r="I113">
        <v>34</v>
      </c>
      <c r="J113">
        <v>-13</v>
      </c>
      <c r="K113">
        <v>10</v>
      </c>
      <c r="L113">
        <v>5</v>
      </c>
      <c r="M113">
        <v>5</v>
      </c>
      <c r="N113">
        <v>0</v>
      </c>
      <c r="O113">
        <v>2</v>
      </c>
      <c r="P113">
        <v>20</v>
      </c>
      <c r="Q113">
        <v>4</v>
      </c>
      <c r="R113">
        <v>0</v>
      </c>
      <c r="S113">
        <v>58</v>
      </c>
      <c r="T113">
        <v>17.2</v>
      </c>
      <c r="U113">
        <v>108</v>
      </c>
      <c r="V113" s="19" t="s">
        <v>2357</v>
      </c>
      <c r="W113" s="19" t="s">
        <v>2093</v>
      </c>
      <c r="X113">
        <v>398</v>
      </c>
      <c r="Y113">
        <v>470</v>
      </c>
      <c r="Z113">
        <v>45.9</v>
      </c>
      <c r="AA113">
        <v>64</v>
      </c>
      <c r="AB113">
        <v>15</v>
      </c>
      <c r="AC113">
        <v>22</v>
      </c>
      <c r="AD113">
        <v>40</v>
      </c>
      <c r="AE113" s="19" t="s">
        <v>60</v>
      </c>
    </row>
    <row r="114" spans="1:31" x14ac:dyDescent="0.2">
      <c r="A114">
        <v>111</v>
      </c>
      <c r="B114" s="19" t="s">
        <v>529</v>
      </c>
      <c r="C114">
        <v>23</v>
      </c>
      <c r="D114" s="19" t="s">
        <v>530</v>
      </c>
      <c r="E114" s="19" t="s">
        <v>322</v>
      </c>
      <c r="F114">
        <v>50</v>
      </c>
      <c r="G114">
        <v>11</v>
      </c>
      <c r="H114">
        <v>22</v>
      </c>
      <c r="I114">
        <v>33</v>
      </c>
      <c r="J114">
        <v>-6</v>
      </c>
      <c r="K114">
        <v>12</v>
      </c>
      <c r="L114">
        <v>6</v>
      </c>
      <c r="M114">
        <v>5</v>
      </c>
      <c r="N114">
        <v>0</v>
      </c>
      <c r="O114">
        <v>1</v>
      </c>
      <c r="P114">
        <v>17</v>
      </c>
      <c r="Q114">
        <v>5</v>
      </c>
      <c r="R114">
        <v>0</v>
      </c>
      <c r="S114">
        <v>94</v>
      </c>
      <c r="T114">
        <v>11.7</v>
      </c>
      <c r="U114">
        <v>206</v>
      </c>
      <c r="V114" s="19" t="s">
        <v>1964</v>
      </c>
      <c r="W114" s="19" t="s">
        <v>536</v>
      </c>
      <c r="X114">
        <v>320</v>
      </c>
      <c r="Y114">
        <v>346</v>
      </c>
      <c r="Z114">
        <v>48</v>
      </c>
      <c r="AA114">
        <v>43</v>
      </c>
      <c r="AB114">
        <v>22</v>
      </c>
      <c r="AC114">
        <v>9</v>
      </c>
      <c r="AD114">
        <v>52</v>
      </c>
      <c r="AE114" s="19" t="s">
        <v>60</v>
      </c>
    </row>
    <row r="115" spans="1:31" x14ac:dyDescent="0.2">
      <c r="A115">
        <v>112</v>
      </c>
      <c r="B115" s="19" t="s">
        <v>478</v>
      </c>
      <c r="C115">
        <v>33</v>
      </c>
      <c r="D115" s="19" t="s">
        <v>381</v>
      </c>
      <c r="E115" s="19" t="s">
        <v>322</v>
      </c>
      <c r="F115">
        <v>51</v>
      </c>
      <c r="G115">
        <v>11</v>
      </c>
      <c r="H115">
        <v>22</v>
      </c>
      <c r="I115">
        <v>33</v>
      </c>
      <c r="J115">
        <v>-2</v>
      </c>
      <c r="K115">
        <v>8</v>
      </c>
      <c r="L115">
        <v>8</v>
      </c>
      <c r="M115">
        <v>3</v>
      </c>
      <c r="N115">
        <v>0</v>
      </c>
      <c r="O115">
        <v>1</v>
      </c>
      <c r="P115">
        <v>19</v>
      </c>
      <c r="Q115">
        <v>3</v>
      </c>
      <c r="R115">
        <v>0</v>
      </c>
      <c r="S115">
        <v>84</v>
      </c>
      <c r="T115">
        <v>13.1</v>
      </c>
      <c r="U115">
        <v>153</v>
      </c>
      <c r="V115" s="19" t="s">
        <v>2670</v>
      </c>
      <c r="W115" s="19" t="s">
        <v>1723</v>
      </c>
      <c r="X115">
        <v>376</v>
      </c>
      <c r="Y115">
        <v>376</v>
      </c>
      <c r="Z115">
        <v>50</v>
      </c>
      <c r="AA115">
        <v>33</v>
      </c>
      <c r="AB115">
        <v>69</v>
      </c>
      <c r="AC115">
        <v>21</v>
      </c>
      <c r="AD115">
        <v>32</v>
      </c>
      <c r="AE115" s="19" t="s">
        <v>60</v>
      </c>
    </row>
    <row r="116" spans="1:31" x14ac:dyDescent="0.2">
      <c r="A116">
        <v>113</v>
      </c>
      <c r="B116" s="19" t="s">
        <v>537</v>
      </c>
      <c r="C116">
        <v>29</v>
      </c>
      <c r="D116" s="19" t="s">
        <v>357</v>
      </c>
      <c r="E116" s="19" t="s">
        <v>322</v>
      </c>
      <c r="F116">
        <v>47</v>
      </c>
      <c r="G116">
        <v>12</v>
      </c>
      <c r="H116">
        <v>21</v>
      </c>
      <c r="I116">
        <v>33</v>
      </c>
      <c r="J116">
        <v>13</v>
      </c>
      <c r="K116">
        <v>22</v>
      </c>
      <c r="L116">
        <v>8</v>
      </c>
      <c r="M116">
        <v>4</v>
      </c>
      <c r="N116">
        <v>0</v>
      </c>
      <c r="O116">
        <v>2</v>
      </c>
      <c r="P116">
        <v>14</v>
      </c>
      <c r="Q116">
        <v>7</v>
      </c>
      <c r="R116">
        <v>0</v>
      </c>
      <c r="S116">
        <v>139</v>
      </c>
      <c r="T116">
        <v>8.6</v>
      </c>
      <c r="U116">
        <v>229</v>
      </c>
      <c r="V116" s="19" t="s">
        <v>2671</v>
      </c>
      <c r="W116" s="19" t="s">
        <v>1753</v>
      </c>
      <c r="X116">
        <v>479</v>
      </c>
      <c r="Y116">
        <v>490</v>
      </c>
      <c r="Z116">
        <v>49.4</v>
      </c>
      <c r="AA116">
        <v>20</v>
      </c>
      <c r="AB116">
        <v>73</v>
      </c>
      <c r="AC116">
        <v>11</v>
      </c>
      <c r="AD116">
        <v>34</v>
      </c>
      <c r="AE116" s="19" t="s">
        <v>60</v>
      </c>
    </row>
    <row r="117" spans="1:31" x14ac:dyDescent="0.2">
      <c r="A117">
        <v>114</v>
      </c>
      <c r="B117" s="19" t="s">
        <v>467</v>
      </c>
      <c r="C117">
        <v>21</v>
      </c>
      <c r="D117" s="19" t="s">
        <v>381</v>
      </c>
      <c r="E117" s="19" t="s">
        <v>322</v>
      </c>
      <c r="F117">
        <v>51</v>
      </c>
      <c r="G117">
        <v>13</v>
      </c>
      <c r="H117">
        <v>20</v>
      </c>
      <c r="I117">
        <v>33</v>
      </c>
      <c r="J117">
        <v>-12</v>
      </c>
      <c r="K117">
        <v>19</v>
      </c>
      <c r="L117">
        <v>10</v>
      </c>
      <c r="M117">
        <v>3</v>
      </c>
      <c r="N117">
        <v>0</v>
      </c>
      <c r="O117">
        <v>2</v>
      </c>
      <c r="P117">
        <v>15</v>
      </c>
      <c r="Q117">
        <v>5</v>
      </c>
      <c r="R117">
        <v>0</v>
      </c>
      <c r="S117">
        <v>140</v>
      </c>
      <c r="T117">
        <v>9.3000000000000007</v>
      </c>
      <c r="U117">
        <v>294</v>
      </c>
      <c r="V117" s="19" t="s">
        <v>2672</v>
      </c>
      <c r="W117" s="19" t="s">
        <v>400</v>
      </c>
      <c r="X117">
        <v>330</v>
      </c>
      <c r="Y117">
        <v>328</v>
      </c>
      <c r="Z117">
        <v>50.2</v>
      </c>
      <c r="AA117">
        <v>35</v>
      </c>
      <c r="AB117">
        <v>71</v>
      </c>
      <c r="AC117">
        <v>18</v>
      </c>
      <c r="AD117">
        <v>55</v>
      </c>
      <c r="AE117" s="19" t="s">
        <v>60</v>
      </c>
    </row>
    <row r="118" spans="1:31" x14ac:dyDescent="0.2">
      <c r="A118">
        <v>115</v>
      </c>
      <c r="B118" s="19" t="s">
        <v>383</v>
      </c>
      <c r="C118">
        <v>30</v>
      </c>
      <c r="D118" s="19" t="s">
        <v>384</v>
      </c>
      <c r="E118" s="19" t="s">
        <v>322</v>
      </c>
      <c r="F118">
        <v>37</v>
      </c>
      <c r="G118">
        <v>21</v>
      </c>
      <c r="H118">
        <v>12</v>
      </c>
      <c r="I118">
        <v>33</v>
      </c>
      <c r="J118">
        <v>2</v>
      </c>
      <c r="K118">
        <v>32</v>
      </c>
      <c r="L118">
        <v>14</v>
      </c>
      <c r="M118">
        <v>6</v>
      </c>
      <c r="N118">
        <v>1</v>
      </c>
      <c r="O118">
        <v>3</v>
      </c>
      <c r="P118">
        <v>6</v>
      </c>
      <c r="Q118">
        <v>6</v>
      </c>
      <c r="R118">
        <v>0</v>
      </c>
      <c r="S118">
        <v>126</v>
      </c>
      <c r="T118">
        <v>16.7</v>
      </c>
      <c r="U118">
        <v>220</v>
      </c>
      <c r="V118" s="19" t="s">
        <v>2673</v>
      </c>
      <c r="W118" s="19" t="s">
        <v>2101</v>
      </c>
      <c r="X118">
        <v>391</v>
      </c>
      <c r="Y118">
        <v>281</v>
      </c>
      <c r="Z118">
        <v>58.2</v>
      </c>
      <c r="AA118">
        <v>19</v>
      </c>
      <c r="AB118">
        <v>28</v>
      </c>
      <c r="AC118">
        <v>8</v>
      </c>
      <c r="AD118">
        <v>44</v>
      </c>
      <c r="AE118" s="19" t="s">
        <v>60</v>
      </c>
    </row>
    <row r="119" spans="1:31" x14ac:dyDescent="0.2">
      <c r="A119">
        <v>116</v>
      </c>
      <c r="B119" s="19" t="s">
        <v>870</v>
      </c>
      <c r="C119">
        <v>33</v>
      </c>
      <c r="D119" s="19" t="s">
        <v>328</v>
      </c>
      <c r="E119" s="19" t="s">
        <v>340</v>
      </c>
      <c r="F119">
        <v>34</v>
      </c>
      <c r="G119">
        <v>20</v>
      </c>
      <c r="H119">
        <v>13</v>
      </c>
      <c r="I119">
        <v>33</v>
      </c>
      <c r="J119">
        <v>10</v>
      </c>
      <c r="K119">
        <v>12</v>
      </c>
      <c r="L119">
        <v>13</v>
      </c>
      <c r="M119">
        <v>7</v>
      </c>
      <c r="N119">
        <v>0</v>
      </c>
      <c r="O119">
        <v>1</v>
      </c>
      <c r="P119">
        <v>9</v>
      </c>
      <c r="Q119">
        <v>4</v>
      </c>
      <c r="R119">
        <v>0</v>
      </c>
      <c r="S119">
        <v>109</v>
      </c>
      <c r="T119">
        <v>18.3</v>
      </c>
      <c r="U119">
        <v>184</v>
      </c>
      <c r="V119" s="19" t="s">
        <v>2674</v>
      </c>
      <c r="W119" s="19" t="s">
        <v>2083</v>
      </c>
      <c r="X119">
        <v>0</v>
      </c>
      <c r="Y119">
        <v>1</v>
      </c>
      <c r="Z119">
        <v>0</v>
      </c>
      <c r="AA119">
        <v>10</v>
      </c>
      <c r="AB119">
        <v>34</v>
      </c>
      <c r="AC119">
        <v>6</v>
      </c>
      <c r="AD119">
        <v>14</v>
      </c>
      <c r="AE119" s="19" t="s">
        <v>60</v>
      </c>
    </row>
    <row r="120" spans="1:31" x14ac:dyDescent="0.2">
      <c r="A120">
        <v>117</v>
      </c>
      <c r="B120" s="19" t="s">
        <v>498</v>
      </c>
      <c r="C120">
        <v>35</v>
      </c>
      <c r="D120" s="19" t="s">
        <v>376</v>
      </c>
      <c r="E120" s="19" t="s">
        <v>349</v>
      </c>
      <c r="F120">
        <v>45</v>
      </c>
      <c r="G120">
        <v>4</v>
      </c>
      <c r="H120">
        <v>29</v>
      </c>
      <c r="I120">
        <v>33</v>
      </c>
      <c r="J120">
        <v>0</v>
      </c>
      <c r="K120">
        <v>14</v>
      </c>
      <c r="L120">
        <v>2</v>
      </c>
      <c r="M120">
        <v>2</v>
      </c>
      <c r="N120">
        <v>0</v>
      </c>
      <c r="O120">
        <v>0</v>
      </c>
      <c r="P120">
        <v>18</v>
      </c>
      <c r="Q120">
        <v>11</v>
      </c>
      <c r="R120">
        <v>0</v>
      </c>
      <c r="S120">
        <v>94</v>
      </c>
      <c r="T120">
        <v>4.3</v>
      </c>
      <c r="U120">
        <v>265</v>
      </c>
      <c r="V120" s="19" t="s">
        <v>2272</v>
      </c>
      <c r="W120" s="19" t="s">
        <v>2017</v>
      </c>
      <c r="X120">
        <v>0</v>
      </c>
      <c r="Y120">
        <v>0</v>
      </c>
      <c r="AA120">
        <v>40</v>
      </c>
      <c r="AB120">
        <v>10</v>
      </c>
      <c r="AC120">
        <v>21</v>
      </c>
      <c r="AD120">
        <v>61</v>
      </c>
      <c r="AE120" s="19" t="s">
        <v>60</v>
      </c>
    </row>
    <row r="121" spans="1:31" x14ac:dyDescent="0.2">
      <c r="A121">
        <v>118</v>
      </c>
      <c r="B121" s="19" t="s">
        <v>596</v>
      </c>
      <c r="C121">
        <v>28</v>
      </c>
      <c r="D121" s="19" t="s">
        <v>355</v>
      </c>
      <c r="E121" s="19" t="s">
        <v>349</v>
      </c>
      <c r="F121">
        <v>40</v>
      </c>
      <c r="G121">
        <v>4</v>
      </c>
      <c r="H121">
        <v>29</v>
      </c>
      <c r="I121">
        <v>33</v>
      </c>
      <c r="J121">
        <v>2</v>
      </c>
      <c r="K121">
        <v>36</v>
      </c>
      <c r="L121">
        <v>3</v>
      </c>
      <c r="M121">
        <v>1</v>
      </c>
      <c r="N121">
        <v>0</v>
      </c>
      <c r="O121">
        <v>0</v>
      </c>
      <c r="P121">
        <v>15</v>
      </c>
      <c r="Q121">
        <v>14</v>
      </c>
      <c r="R121">
        <v>0</v>
      </c>
      <c r="S121">
        <v>58</v>
      </c>
      <c r="T121">
        <v>6.9</v>
      </c>
      <c r="U121">
        <v>159</v>
      </c>
      <c r="V121" s="19" t="s">
        <v>2675</v>
      </c>
      <c r="W121" s="19" t="s">
        <v>2669</v>
      </c>
      <c r="X121">
        <v>0</v>
      </c>
      <c r="Y121">
        <v>0</v>
      </c>
      <c r="AA121">
        <v>78</v>
      </c>
      <c r="AB121">
        <v>52</v>
      </c>
      <c r="AC121">
        <v>22</v>
      </c>
      <c r="AD121">
        <v>45</v>
      </c>
      <c r="AE121" s="19" t="s">
        <v>60</v>
      </c>
    </row>
    <row r="122" spans="1:31" x14ac:dyDescent="0.2">
      <c r="A122">
        <v>119</v>
      </c>
      <c r="B122" s="19" t="s">
        <v>392</v>
      </c>
      <c r="C122">
        <v>20</v>
      </c>
      <c r="D122" s="19" t="s">
        <v>324</v>
      </c>
      <c r="E122" s="19" t="s">
        <v>322</v>
      </c>
      <c r="F122">
        <v>37</v>
      </c>
      <c r="G122">
        <v>14</v>
      </c>
      <c r="H122">
        <v>19</v>
      </c>
      <c r="I122">
        <v>33</v>
      </c>
      <c r="J122">
        <v>4</v>
      </c>
      <c r="K122">
        <v>12</v>
      </c>
      <c r="L122">
        <v>11</v>
      </c>
      <c r="M122">
        <v>3</v>
      </c>
      <c r="N122">
        <v>0</v>
      </c>
      <c r="O122">
        <v>3</v>
      </c>
      <c r="P122">
        <v>13</v>
      </c>
      <c r="Q122">
        <v>6</v>
      </c>
      <c r="R122">
        <v>0</v>
      </c>
      <c r="S122">
        <v>88</v>
      </c>
      <c r="T122">
        <v>15.9</v>
      </c>
      <c r="U122">
        <v>180</v>
      </c>
      <c r="V122" s="19" t="s">
        <v>2358</v>
      </c>
      <c r="W122" s="19" t="s">
        <v>441</v>
      </c>
      <c r="X122">
        <v>8</v>
      </c>
      <c r="Y122">
        <v>23</v>
      </c>
      <c r="Z122">
        <v>25.8</v>
      </c>
      <c r="AA122">
        <v>8</v>
      </c>
      <c r="AB122">
        <v>8</v>
      </c>
      <c r="AC122">
        <v>8</v>
      </c>
      <c r="AD122">
        <v>35</v>
      </c>
      <c r="AE122" s="19" t="s">
        <v>60</v>
      </c>
    </row>
    <row r="123" spans="1:31" x14ac:dyDescent="0.2">
      <c r="A123">
        <v>120</v>
      </c>
      <c r="B123" s="19" t="s">
        <v>512</v>
      </c>
      <c r="C123">
        <v>26</v>
      </c>
      <c r="D123" s="19" t="s">
        <v>513</v>
      </c>
      <c r="E123" s="19" t="s">
        <v>322</v>
      </c>
      <c r="F123">
        <v>42</v>
      </c>
      <c r="G123">
        <v>11</v>
      </c>
      <c r="H123">
        <v>22</v>
      </c>
      <c r="I123">
        <v>33</v>
      </c>
      <c r="J123">
        <v>-3</v>
      </c>
      <c r="K123">
        <v>12</v>
      </c>
      <c r="L123">
        <v>6</v>
      </c>
      <c r="M123">
        <v>3</v>
      </c>
      <c r="N123">
        <v>2</v>
      </c>
      <c r="O123">
        <v>0</v>
      </c>
      <c r="P123">
        <v>16</v>
      </c>
      <c r="Q123">
        <v>6</v>
      </c>
      <c r="R123">
        <v>0</v>
      </c>
      <c r="S123">
        <v>60</v>
      </c>
      <c r="T123">
        <v>18.3</v>
      </c>
      <c r="U123">
        <v>121</v>
      </c>
      <c r="V123" s="19" t="s">
        <v>1898</v>
      </c>
      <c r="W123" s="19" t="s">
        <v>508</v>
      </c>
      <c r="X123">
        <v>379</v>
      </c>
      <c r="Y123">
        <v>346</v>
      </c>
      <c r="Z123">
        <v>52.3</v>
      </c>
      <c r="AA123">
        <v>23</v>
      </c>
      <c r="AB123">
        <v>7</v>
      </c>
      <c r="AC123">
        <v>22</v>
      </c>
      <c r="AD123">
        <v>58</v>
      </c>
      <c r="AE123" s="19" t="s">
        <v>60</v>
      </c>
    </row>
    <row r="124" spans="1:31" x14ac:dyDescent="0.2">
      <c r="A124">
        <v>121</v>
      </c>
      <c r="B124" s="19" t="s">
        <v>490</v>
      </c>
      <c r="C124">
        <v>26</v>
      </c>
      <c r="D124" s="19" t="s">
        <v>407</v>
      </c>
      <c r="E124" s="19" t="s">
        <v>335</v>
      </c>
      <c r="F124">
        <v>50</v>
      </c>
      <c r="G124">
        <v>18</v>
      </c>
      <c r="H124">
        <v>15</v>
      </c>
      <c r="I124">
        <v>33</v>
      </c>
      <c r="J124">
        <v>-3</v>
      </c>
      <c r="K124">
        <v>22</v>
      </c>
      <c r="L124">
        <v>14</v>
      </c>
      <c r="M124">
        <v>2</v>
      </c>
      <c r="N124">
        <v>2</v>
      </c>
      <c r="O124">
        <v>1</v>
      </c>
      <c r="P124">
        <v>13</v>
      </c>
      <c r="Q124">
        <v>2</v>
      </c>
      <c r="R124">
        <v>0</v>
      </c>
      <c r="S124">
        <v>128</v>
      </c>
      <c r="T124">
        <v>14.1</v>
      </c>
      <c r="U124">
        <v>254</v>
      </c>
      <c r="V124" s="19" t="s">
        <v>2359</v>
      </c>
      <c r="W124" s="19" t="s">
        <v>2078</v>
      </c>
      <c r="X124">
        <v>4</v>
      </c>
      <c r="Y124">
        <v>10</v>
      </c>
      <c r="Z124">
        <v>28.6</v>
      </c>
      <c r="AA124">
        <v>26</v>
      </c>
      <c r="AB124">
        <v>89</v>
      </c>
      <c r="AC124">
        <v>12</v>
      </c>
      <c r="AD124">
        <v>52</v>
      </c>
      <c r="AE124" s="19" t="s">
        <v>60</v>
      </c>
    </row>
    <row r="125" spans="1:31" x14ac:dyDescent="0.2">
      <c r="A125">
        <v>122</v>
      </c>
      <c r="B125" s="19" t="s">
        <v>635</v>
      </c>
      <c r="C125">
        <v>31</v>
      </c>
      <c r="D125" s="19" t="s">
        <v>371</v>
      </c>
      <c r="E125" s="19" t="s">
        <v>322</v>
      </c>
      <c r="F125">
        <v>53</v>
      </c>
      <c r="G125">
        <v>8</v>
      </c>
      <c r="H125">
        <v>24</v>
      </c>
      <c r="I125">
        <v>32</v>
      </c>
      <c r="J125">
        <v>-1</v>
      </c>
      <c r="K125">
        <v>16</v>
      </c>
      <c r="L125">
        <v>7</v>
      </c>
      <c r="M125">
        <v>1</v>
      </c>
      <c r="N125">
        <v>0</v>
      </c>
      <c r="O125">
        <v>1</v>
      </c>
      <c r="P125">
        <v>18</v>
      </c>
      <c r="Q125">
        <v>6</v>
      </c>
      <c r="R125">
        <v>0</v>
      </c>
      <c r="S125">
        <v>78</v>
      </c>
      <c r="T125">
        <v>10.3</v>
      </c>
      <c r="U125">
        <v>140</v>
      </c>
      <c r="V125" s="19" t="s">
        <v>2676</v>
      </c>
      <c r="W125" s="19" t="s">
        <v>2035</v>
      </c>
      <c r="X125">
        <v>325</v>
      </c>
      <c r="Y125">
        <v>275</v>
      </c>
      <c r="Z125">
        <v>54.2</v>
      </c>
      <c r="AA125">
        <v>39</v>
      </c>
      <c r="AB125">
        <v>30</v>
      </c>
      <c r="AC125">
        <v>15</v>
      </c>
      <c r="AD125">
        <v>49</v>
      </c>
      <c r="AE125" s="19" t="s">
        <v>60</v>
      </c>
    </row>
    <row r="126" spans="1:31" x14ac:dyDescent="0.2">
      <c r="A126">
        <v>123</v>
      </c>
      <c r="B126" s="19" t="s">
        <v>520</v>
      </c>
      <c r="C126">
        <v>29</v>
      </c>
      <c r="D126" s="19" t="s">
        <v>407</v>
      </c>
      <c r="E126" s="19" t="s">
        <v>322</v>
      </c>
      <c r="F126">
        <v>49</v>
      </c>
      <c r="G126">
        <v>12</v>
      </c>
      <c r="H126">
        <v>20</v>
      </c>
      <c r="I126">
        <v>32</v>
      </c>
      <c r="J126">
        <v>3</v>
      </c>
      <c r="K126">
        <v>14</v>
      </c>
      <c r="L126">
        <v>11</v>
      </c>
      <c r="M126">
        <v>1</v>
      </c>
      <c r="N126">
        <v>0</v>
      </c>
      <c r="O126">
        <v>1</v>
      </c>
      <c r="P126">
        <v>19</v>
      </c>
      <c r="Q126">
        <v>1</v>
      </c>
      <c r="R126">
        <v>0</v>
      </c>
      <c r="S126">
        <v>102</v>
      </c>
      <c r="T126">
        <v>11.8</v>
      </c>
      <c r="U126">
        <v>163</v>
      </c>
      <c r="V126" s="19" t="s">
        <v>2360</v>
      </c>
      <c r="W126" s="19" t="s">
        <v>1618</v>
      </c>
      <c r="X126">
        <v>345</v>
      </c>
      <c r="Y126">
        <v>290</v>
      </c>
      <c r="Z126">
        <v>54.3</v>
      </c>
      <c r="AA126">
        <v>27</v>
      </c>
      <c r="AB126">
        <v>22</v>
      </c>
      <c r="AC126">
        <v>13</v>
      </c>
      <c r="AD126">
        <v>43</v>
      </c>
      <c r="AE126" s="19" t="s">
        <v>60</v>
      </c>
    </row>
    <row r="127" spans="1:31" x14ac:dyDescent="0.2">
      <c r="A127">
        <v>124</v>
      </c>
      <c r="B127" s="19" t="s">
        <v>535</v>
      </c>
      <c r="C127">
        <v>35</v>
      </c>
      <c r="D127" s="19" t="s">
        <v>530</v>
      </c>
      <c r="E127" s="19" t="s">
        <v>335</v>
      </c>
      <c r="F127">
        <v>48</v>
      </c>
      <c r="G127">
        <v>17</v>
      </c>
      <c r="H127">
        <v>15</v>
      </c>
      <c r="I127">
        <v>32</v>
      </c>
      <c r="J127">
        <v>3</v>
      </c>
      <c r="K127">
        <v>16</v>
      </c>
      <c r="L127">
        <v>13</v>
      </c>
      <c r="M127">
        <v>4</v>
      </c>
      <c r="N127">
        <v>0</v>
      </c>
      <c r="O127">
        <v>3</v>
      </c>
      <c r="P127">
        <v>6</v>
      </c>
      <c r="Q127">
        <v>9</v>
      </c>
      <c r="R127">
        <v>0</v>
      </c>
      <c r="S127">
        <v>107</v>
      </c>
      <c r="T127">
        <v>15.9</v>
      </c>
      <c r="U127">
        <v>202</v>
      </c>
      <c r="V127" s="19" t="s">
        <v>2361</v>
      </c>
      <c r="W127" s="19" t="s">
        <v>508</v>
      </c>
      <c r="X127">
        <v>9</v>
      </c>
      <c r="Y127">
        <v>15</v>
      </c>
      <c r="Z127">
        <v>37.5</v>
      </c>
      <c r="AA127">
        <v>25</v>
      </c>
      <c r="AB127">
        <v>36</v>
      </c>
      <c r="AC127">
        <v>12</v>
      </c>
      <c r="AD127">
        <v>38</v>
      </c>
      <c r="AE127" s="19" t="s">
        <v>60</v>
      </c>
    </row>
    <row r="128" spans="1:31" x14ac:dyDescent="0.2">
      <c r="A128">
        <v>125</v>
      </c>
      <c r="B128" s="19" t="s">
        <v>560</v>
      </c>
      <c r="C128">
        <v>23</v>
      </c>
      <c r="D128" s="19" t="s">
        <v>357</v>
      </c>
      <c r="E128" s="19" t="s">
        <v>349</v>
      </c>
      <c r="F128">
        <v>53</v>
      </c>
      <c r="G128">
        <v>11</v>
      </c>
      <c r="H128">
        <v>21</v>
      </c>
      <c r="I128">
        <v>32</v>
      </c>
      <c r="J128">
        <v>16</v>
      </c>
      <c r="K128">
        <v>10</v>
      </c>
      <c r="L128">
        <v>10</v>
      </c>
      <c r="M128">
        <v>0</v>
      </c>
      <c r="N128">
        <v>1</v>
      </c>
      <c r="O128">
        <v>1</v>
      </c>
      <c r="P128">
        <v>12</v>
      </c>
      <c r="Q128">
        <v>9</v>
      </c>
      <c r="R128">
        <v>0</v>
      </c>
      <c r="S128">
        <v>116</v>
      </c>
      <c r="T128">
        <v>9.5</v>
      </c>
      <c r="U128">
        <v>243</v>
      </c>
      <c r="V128" s="19" t="s">
        <v>2677</v>
      </c>
      <c r="W128" s="19" t="s">
        <v>2678</v>
      </c>
      <c r="X128">
        <v>0</v>
      </c>
      <c r="Y128">
        <v>0</v>
      </c>
      <c r="AA128">
        <v>111</v>
      </c>
      <c r="AB128">
        <v>18</v>
      </c>
      <c r="AC128">
        <v>30</v>
      </c>
      <c r="AD128">
        <v>67</v>
      </c>
      <c r="AE128" s="19" t="s">
        <v>60</v>
      </c>
    </row>
    <row r="129" spans="1:31" x14ac:dyDescent="0.2">
      <c r="A129">
        <v>126</v>
      </c>
      <c r="B129" s="19" t="s">
        <v>455</v>
      </c>
      <c r="C129">
        <v>32</v>
      </c>
      <c r="D129" s="19" t="s">
        <v>397</v>
      </c>
      <c r="E129" s="19" t="s">
        <v>349</v>
      </c>
      <c r="F129">
        <v>35</v>
      </c>
      <c r="G129">
        <v>6</v>
      </c>
      <c r="H129">
        <v>26</v>
      </c>
      <c r="I129">
        <v>32</v>
      </c>
      <c r="J129">
        <v>10</v>
      </c>
      <c r="K129">
        <v>14</v>
      </c>
      <c r="L129">
        <v>2</v>
      </c>
      <c r="M129">
        <v>4</v>
      </c>
      <c r="N129">
        <v>0</v>
      </c>
      <c r="O129">
        <v>1</v>
      </c>
      <c r="P129">
        <v>20</v>
      </c>
      <c r="Q129">
        <v>6</v>
      </c>
      <c r="R129">
        <v>0</v>
      </c>
      <c r="S129">
        <v>73</v>
      </c>
      <c r="T129">
        <v>8.1999999999999993</v>
      </c>
      <c r="U129">
        <v>178</v>
      </c>
      <c r="V129" s="19" t="s">
        <v>2074</v>
      </c>
      <c r="W129" s="19" t="s">
        <v>997</v>
      </c>
      <c r="X129">
        <v>0</v>
      </c>
      <c r="Y129">
        <v>0</v>
      </c>
      <c r="AA129">
        <v>42</v>
      </c>
      <c r="AB129">
        <v>13</v>
      </c>
      <c r="AC129">
        <v>11</v>
      </c>
      <c r="AD129">
        <v>37</v>
      </c>
      <c r="AE129" s="19" t="s">
        <v>60</v>
      </c>
    </row>
    <row r="130" spans="1:31" x14ac:dyDescent="0.2">
      <c r="A130">
        <v>127</v>
      </c>
      <c r="B130" s="19" t="s">
        <v>468</v>
      </c>
      <c r="C130">
        <v>24</v>
      </c>
      <c r="D130" s="19" t="s">
        <v>399</v>
      </c>
      <c r="E130" s="19" t="s">
        <v>322</v>
      </c>
      <c r="F130">
        <v>33</v>
      </c>
      <c r="G130">
        <v>11</v>
      </c>
      <c r="H130">
        <v>21</v>
      </c>
      <c r="I130">
        <v>32</v>
      </c>
      <c r="J130">
        <v>-3</v>
      </c>
      <c r="K130">
        <v>0</v>
      </c>
      <c r="L130">
        <v>10</v>
      </c>
      <c r="M130">
        <v>1</v>
      </c>
      <c r="N130">
        <v>0</v>
      </c>
      <c r="O130">
        <v>2</v>
      </c>
      <c r="P130">
        <v>12</v>
      </c>
      <c r="Q130">
        <v>9</v>
      </c>
      <c r="R130">
        <v>0</v>
      </c>
      <c r="S130">
        <v>118</v>
      </c>
      <c r="T130">
        <v>9.3000000000000007</v>
      </c>
      <c r="U130">
        <v>225</v>
      </c>
      <c r="V130" s="19" t="s">
        <v>2362</v>
      </c>
      <c r="W130" s="19" t="s">
        <v>2105</v>
      </c>
      <c r="X130">
        <v>52</v>
      </c>
      <c r="Y130">
        <v>101</v>
      </c>
      <c r="Z130">
        <v>34</v>
      </c>
      <c r="AA130">
        <v>16</v>
      </c>
      <c r="AB130">
        <v>3</v>
      </c>
      <c r="AC130">
        <v>23</v>
      </c>
      <c r="AD130">
        <v>60</v>
      </c>
      <c r="AE130" s="19" t="s">
        <v>60</v>
      </c>
    </row>
    <row r="131" spans="1:31" x14ac:dyDescent="0.2">
      <c r="A131">
        <v>128</v>
      </c>
      <c r="B131" s="19" t="s">
        <v>545</v>
      </c>
      <c r="C131">
        <v>25</v>
      </c>
      <c r="D131" s="19" t="s">
        <v>337</v>
      </c>
      <c r="E131" s="19" t="s">
        <v>349</v>
      </c>
      <c r="F131">
        <v>51</v>
      </c>
      <c r="G131">
        <v>6</v>
      </c>
      <c r="H131">
        <v>26</v>
      </c>
      <c r="I131">
        <v>32</v>
      </c>
      <c r="J131">
        <v>-3</v>
      </c>
      <c r="K131">
        <v>10</v>
      </c>
      <c r="L131">
        <v>4</v>
      </c>
      <c r="M131">
        <v>1</v>
      </c>
      <c r="N131">
        <v>1</v>
      </c>
      <c r="O131">
        <v>0</v>
      </c>
      <c r="P131">
        <v>17</v>
      </c>
      <c r="Q131">
        <v>8</v>
      </c>
      <c r="R131">
        <v>1</v>
      </c>
      <c r="S131">
        <v>105</v>
      </c>
      <c r="T131">
        <v>5.7</v>
      </c>
      <c r="U131">
        <v>233</v>
      </c>
      <c r="V131" s="19" t="s">
        <v>2363</v>
      </c>
      <c r="W131" s="19" t="s">
        <v>2032</v>
      </c>
      <c r="X131">
        <v>0</v>
      </c>
      <c r="Y131">
        <v>0</v>
      </c>
      <c r="AA131">
        <v>85</v>
      </c>
      <c r="AB131">
        <v>44</v>
      </c>
      <c r="AC131">
        <v>30</v>
      </c>
      <c r="AD131">
        <v>74</v>
      </c>
      <c r="AE131" s="19" t="s">
        <v>60</v>
      </c>
    </row>
    <row r="132" spans="1:31" x14ac:dyDescent="0.2">
      <c r="A132">
        <v>129</v>
      </c>
      <c r="B132" s="19" t="s">
        <v>501</v>
      </c>
      <c r="C132">
        <v>32</v>
      </c>
      <c r="D132" s="19" t="s">
        <v>361</v>
      </c>
      <c r="E132" s="19" t="s">
        <v>322</v>
      </c>
      <c r="F132">
        <v>43</v>
      </c>
      <c r="G132">
        <v>13</v>
      </c>
      <c r="H132">
        <v>19</v>
      </c>
      <c r="I132">
        <v>32</v>
      </c>
      <c r="J132">
        <v>-18</v>
      </c>
      <c r="K132">
        <v>14</v>
      </c>
      <c r="L132">
        <v>9</v>
      </c>
      <c r="M132">
        <v>4</v>
      </c>
      <c r="N132">
        <v>0</v>
      </c>
      <c r="O132">
        <v>3</v>
      </c>
      <c r="P132">
        <v>16</v>
      </c>
      <c r="Q132">
        <v>3</v>
      </c>
      <c r="R132">
        <v>0</v>
      </c>
      <c r="S132">
        <v>99</v>
      </c>
      <c r="T132">
        <v>13.1</v>
      </c>
      <c r="U132">
        <v>188</v>
      </c>
      <c r="V132" s="19" t="s">
        <v>2364</v>
      </c>
      <c r="W132" s="19" t="s">
        <v>2164</v>
      </c>
      <c r="X132">
        <v>348</v>
      </c>
      <c r="Y132">
        <v>223</v>
      </c>
      <c r="Z132">
        <v>60.9</v>
      </c>
      <c r="AA132">
        <v>16</v>
      </c>
      <c r="AB132">
        <v>88</v>
      </c>
      <c r="AC132">
        <v>8</v>
      </c>
      <c r="AD132">
        <v>45</v>
      </c>
      <c r="AE132" s="19" t="s">
        <v>60</v>
      </c>
    </row>
    <row r="133" spans="1:31" x14ac:dyDescent="0.2">
      <c r="A133">
        <v>130</v>
      </c>
      <c r="B133" s="19" t="s">
        <v>606</v>
      </c>
      <c r="C133">
        <v>32</v>
      </c>
      <c r="D133" s="19" t="s">
        <v>361</v>
      </c>
      <c r="E133" s="19" t="s">
        <v>322</v>
      </c>
      <c r="F133">
        <v>38</v>
      </c>
      <c r="G133">
        <v>11</v>
      </c>
      <c r="H133">
        <v>21</v>
      </c>
      <c r="I133">
        <v>32</v>
      </c>
      <c r="J133">
        <v>-17</v>
      </c>
      <c r="K133">
        <v>24</v>
      </c>
      <c r="L133">
        <v>10</v>
      </c>
      <c r="M133">
        <v>1</v>
      </c>
      <c r="N133">
        <v>0</v>
      </c>
      <c r="O133">
        <v>1</v>
      </c>
      <c r="P133">
        <v>12</v>
      </c>
      <c r="Q133">
        <v>9</v>
      </c>
      <c r="R133">
        <v>0</v>
      </c>
      <c r="S133">
        <v>70</v>
      </c>
      <c r="T133">
        <v>15.7</v>
      </c>
      <c r="U133">
        <v>165</v>
      </c>
      <c r="V133" s="19" t="s">
        <v>2365</v>
      </c>
      <c r="W133" s="19" t="s">
        <v>332</v>
      </c>
      <c r="X133">
        <v>358</v>
      </c>
      <c r="Y133">
        <v>272</v>
      </c>
      <c r="Z133">
        <v>56.8</v>
      </c>
      <c r="AA133">
        <v>32</v>
      </c>
      <c r="AB133">
        <v>118</v>
      </c>
      <c r="AC133">
        <v>13</v>
      </c>
      <c r="AD133">
        <v>48</v>
      </c>
      <c r="AE133" s="19" t="s">
        <v>60</v>
      </c>
    </row>
    <row r="134" spans="1:31" x14ac:dyDescent="0.2">
      <c r="A134">
        <v>131</v>
      </c>
      <c r="B134" s="19" t="s">
        <v>557</v>
      </c>
      <c r="C134">
        <v>36</v>
      </c>
      <c r="D134" s="19" t="s">
        <v>436</v>
      </c>
      <c r="E134" s="19" t="s">
        <v>322</v>
      </c>
      <c r="F134">
        <v>51</v>
      </c>
      <c r="G134">
        <v>12</v>
      </c>
      <c r="H134">
        <v>19</v>
      </c>
      <c r="I134">
        <v>31</v>
      </c>
      <c r="J134">
        <v>13</v>
      </c>
      <c r="K134">
        <v>10</v>
      </c>
      <c r="L134">
        <v>10</v>
      </c>
      <c r="M134">
        <v>1</v>
      </c>
      <c r="N134">
        <v>1</v>
      </c>
      <c r="O134">
        <v>2</v>
      </c>
      <c r="P134">
        <v>15</v>
      </c>
      <c r="Q134">
        <v>2</v>
      </c>
      <c r="R134">
        <v>2</v>
      </c>
      <c r="S134">
        <v>123</v>
      </c>
      <c r="T134">
        <v>9.8000000000000007</v>
      </c>
      <c r="U134">
        <v>219</v>
      </c>
      <c r="V134" s="19" t="s">
        <v>2366</v>
      </c>
      <c r="W134" s="19" t="s">
        <v>1836</v>
      </c>
      <c r="X134">
        <v>471</v>
      </c>
      <c r="Y134">
        <v>457</v>
      </c>
      <c r="Z134">
        <v>50.8</v>
      </c>
      <c r="AA134">
        <v>18</v>
      </c>
      <c r="AB134">
        <v>20</v>
      </c>
      <c r="AC134">
        <v>20</v>
      </c>
      <c r="AD134">
        <v>40</v>
      </c>
      <c r="AE134" s="19" t="s">
        <v>60</v>
      </c>
    </row>
    <row r="135" spans="1:31" x14ac:dyDescent="0.2">
      <c r="A135">
        <v>132</v>
      </c>
      <c r="B135" s="19" t="s">
        <v>491</v>
      </c>
      <c r="C135">
        <v>22</v>
      </c>
      <c r="D135" s="19" t="s">
        <v>397</v>
      </c>
      <c r="E135" s="19" t="s">
        <v>335</v>
      </c>
      <c r="F135">
        <v>52</v>
      </c>
      <c r="G135">
        <v>16</v>
      </c>
      <c r="H135">
        <v>15</v>
      </c>
      <c r="I135">
        <v>31</v>
      </c>
      <c r="J135">
        <v>2</v>
      </c>
      <c r="K135">
        <v>30</v>
      </c>
      <c r="L135">
        <v>13</v>
      </c>
      <c r="M135">
        <v>3</v>
      </c>
      <c r="N135">
        <v>0</v>
      </c>
      <c r="O135">
        <v>2</v>
      </c>
      <c r="P135">
        <v>10</v>
      </c>
      <c r="Q135">
        <v>5</v>
      </c>
      <c r="R135">
        <v>0</v>
      </c>
      <c r="S135">
        <v>110</v>
      </c>
      <c r="T135">
        <v>14.5</v>
      </c>
      <c r="U135">
        <v>204</v>
      </c>
      <c r="V135" s="19" t="s">
        <v>2679</v>
      </c>
      <c r="W135" s="19" t="s">
        <v>567</v>
      </c>
      <c r="X135">
        <v>0</v>
      </c>
      <c r="Y135">
        <v>8</v>
      </c>
      <c r="Z135">
        <v>0</v>
      </c>
      <c r="AA135">
        <v>17</v>
      </c>
      <c r="AB135">
        <v>10</v>
      </c>
      <c r="AC135">
        <v>21</v>
      </c>
      <c r="AD135">
        <v>54</v>
      </c>
      <c r="AE135" s="19" t="s">
        <v>60</v>
      </c>
    </row>
    <row r="136" spans="1:31" x14ac:dyDescent="0.2">
      <c r="A136">
        <v>133</v>
      </c>
      <c r="B136" s="19" t="s">
        <v>495</v>
      </c>
      <c r="C136">
        <v>26</v>
      </c>
      <c r="D136" s="19" t="s">
        <v>363</v>
      </c>
      <c r="E136" s="19" t="s">
        <v>349</v>
      </c>
      <c r="F136">
        <v>52</v>
      </c>
      <c r="G136">
        <v>9</v>
      </c>
      <c r="H136">
        <v>22</v>
      </c>
      <c r="I136">
        <v>31</v>
      </c>
      <c r="J136">
        <v>3</v>
      </c>
      <c r="K136">
        <v>26</v>
      </c>
      <c r="L136">
        <v>8</v>
      </c>
      <c r="M136">
        <v>1</v>
      </c>
      <c r="N136">
        <v>0</v>
      </c>
      <c r="O136">
        <v>1</v>
      </c>
      <c r="P136">
        <v>17</v>
      </c>
      <c r="Q136">
        <v>5</v>
      </c>
      <c r="R136">
        <v>0</v>
      </c>
      <c r="S136">
        <v>101</v>
      </c>
      <c r="T136">
        <v>8.9</v>
      </c>
      <c r="U136">
        <v>228</v>
      </c>
      <c r="V136" s="19" t="s">
        <v>2680</v>
      </c>
      <c r="W136" s="19" t="s">
        <v>1692</v>
      </c>
      <c r="X136">
        <v>0</v>
      </c>
      <c r="Y136">
        <v>0</v>
      </c>
      <c r="AA136">
        <v>128</v>
      </c>
      <c r="AB136">
        <v>28</v>
      </c>
      <c r="AC136">
        <v>22</v>
      </c>
      <c r="AD136">
        <v>65</v>
      </c>
      <c r="AE136" s="19" t="s">
        <v>60</v>
      </c>
    </row>
    <row r="137" spans="1:31" x14ac:dyDescent="0.2">
      <c r="A137">
        <v>134</v>
      </c>
      <c r="B137" s="19" t="s">
        <v>581</v>
      </c>
      <c r="C137">
        <v>29</v>
      </c>
      <c r="D137" s="19" t="s">
        <v>530</v>
      </c>
      <c r="E137" s="19" t="s">
        <v>349</v>
      </c>
      <c r="F137">
        <v>49</v>
      </c>
      <c r="G137">
        <v>7</v>
      </c>
      <c r="H137">
        <v>24</v>
      </c>
      <c r="I137">
        <v>31</v>
      </c>
      <c r="J137">
        <v>-21</v>
      </c>
      <c r="K137">
        <v>32</v>
      </c>
      <c r="L137">
        <v>6</v>
      </c>
      <c r="M137">
        <v>1</v>
      </c>
      <c r="N137">
        <v>0</v>
      </c>
      <c r="O137">
        <v>2</v>
      </c>
      <c r="P137">
        <v>8</v>
      </c>
      <c r="Q137">
        <v>16</v>
      </c>
      <c r="R137">
        <v>0</v>
      </c>
      <c r="S137">
        <v>109</v>
      </c>
      <c r="T137">
        <v>6.4</v>
      </c>
      <c r="U137">
        <v>235</v>
      </c>
      <c r="V137" s="19" t="s">
        <v>2368</v>
      </c>
      <c r="W137" s="19" t="s">
        <v>1706</v>
      </c>
      <c r="X137">
        <v>0</v>
      </c>
      <c r="Y137">
        <v>0</v>
      </c>
      <c r="AA137">
        <v>54</v>
      </c>
      <c r="AB137">
        <v>15</v>
      </c>
      <c r="AC137">
        <v>16</v>
      </c>
      <c r="AD137">
        <v>63</v>
      </c>
      <c r="AE137" s="19" t="s">
        <v>60</v>
      </c>
    </row>
    <row r="138" spans="1:31" x14ac:dyDescent="0.2">
      <c r="A138">
        <v>135</v>
      </c>
      <c r="B138" s="19" t="s">
        <v>497</v>
      </c>
      <c r="C138">
        <v>23</v>
      </c>
      <c r="D138" s="19" t="s">
        <v>324</v>
      </c>
      <c r="E138" s="19" t="s">
        <v>340</v>
      </c>
      <c r="F138">
        <v>46</v>
      </c>
      <c r="G138">
        <v>11</v>
      </c>
      <c r="H138">
        <v>20</v>
      </c>
      <c r="I138">
        <v>31</v>
      </c>
      <c r="J138">
        <v>-24</v>
      </c>
      <c r="K138">
        <v>26</v>
      </c>
      <c r="L138">
        <v>8</v>
      </c>
      <c r="M138">
        <v>3</v>
      </c>
      <c r="N138">
        <v>0</v>
      </c>
      <c r="O138">
        <v>1</v>
      </c>
      <c r="P138">
        <v>11</v>
      </c>
      <c r="Q138">
        <v>9</v>
      </c>
      <c r="R138">
        <v>0</v>
      </c>
      <c r="S138">
        <v>118</v>
      </c>
      <c r="T138">
        <v>9.3000000000000007</v>
      </c>
      <c r="U138">
        <v>219</v>
      </c>
      <c r="V138" s="19" t="s">
        <v>2369</v>
      </c>
      <c r="W138" s="19" t="s">
        <v>1944</v>
      </c>
      <c r="X138">
        <v>0</v>
      </c>
      <c r="Y138">
        <v>11</v>
      </c>
      <c r="Z138">
        <v>0</v>
      </c>
      <c r="AA138">
        <v>32</v>
      </c>
      <c r="AB138">
        <v>37</v>
      </c>
      <c r="AC138">
        <v>11</v>
      </c>
      <c r="AD138">
        <v>45</v>
      </c>
      <c r="AE138" s="19" t="s">
        <v>60</v>
      </c>
    </row>
    <row r="139" spans="1:31" x14ac:dyDescent="0.2">
      <c r="A139">
        <v>136</v>
      </c>
      <c r="B139" s="19" t="s">
        <v>466</v>
      </c>
      <c r="C139">
        <v>34</v>
      </c>
      <c r="D139" s="19" t="s">
        <v>359</v>
      </c>
      <c r="E139" s="19" t="s">
        <v>349</v>
      </c>
      <c r="F139">
        <v>51</v>
      </c>
      <c r="G139">
        <v>8</v>
      </c>
      <c r="H139">
        <v>23</v>
      </c>
      <c r="I139">
        <v>31</v>
      </c>
      <c r="J139">
        <v>8</v>
      </c>
      <c r="K139">
        <v>32</v>
      </c>
      <c r="L139">
        <v>8</v>
      </c>
      <c r="M139">
        <v>0</v>
      </c>
      <c r="N139">
        <v>0</v>
      </c>
      <c r="O139">
        <v>0</v>
      </c>
      <c r="P139">
        <v>20</v>
      </c>
      <c r="Q139">
        <v>3</v>
      </c>
      <c r="R139">
        <v>0</v>
      </c>
      <c r="S139">
        <v>74</v>
      </c>
      <c r="T139">
        <v>10.8</v>
      </c>
      <c r="U139">
        <v>177</v>
      </c>
      <c r="V139" s="19" t="s">
        <v>2370</v>
      </c>
      <c r="W139" s="19" t="s">
        <v>2073</v>
      </c>
      <c r="X139">
        <v>0</v>
      </c>
      <c r="Y139">
        <v>0</v>
      </c>
      <c r="AA139">
        <v>42</v>
      </c>
      <c r="AB139">
        <v>63</v>
      </c>
      <c r="AC139">
        <v>11</v>
      </c>
      <c r="AD139">
        <v>77</v>
      </c>
      <c r="AE139" s="19" t="s">
        <v>60</v>
      </c>
    </row>
    <row r="140" spans="1:31" x14ac:dyDescent="0.2">
      <c r="A140">
        <v>137</v>
      </c>
      <c r="B140" s="19" t="s">
        <v>476</v>
      </c>
      <c r="C140">
        <v>25</v>
      </c>
      <c r="D140" s="19" t="s">
        <v>381</v>
      </c>
      <c r="E140" s="19" t="s">
        <v>340</v>
      </c>
      <c r="F140">
        <v>51</v>
      </c>
      <c r="G140">
        <v>17</v>
      </c>
      <c r="H140">
        <v>14</v>
      </c>
      <c r="I140">
        <v>31</v>
      </c>
      <c r="J140">
        <v>-4</v>
      </c>
      <c r="K140">
        <v>53</v>
      </c>
      <c r="L140">
        <v>10</v>
      </c>
      <c r="M140">
        <v>7</v>
      </c>
      <c r="N140">
        <v>0</v>
      </c>
      <c r="O140">
        <v>1</v>
      </c>
      <c r="P140">
        <v>13</v>
      </c>
      <c r="Q140">
        <v>1</v>
      </c>
      <c r="R140">
        <v>0</v>
      </c>
      <c r="S140">
        <v>101</v>
      </c>
      <c r="T140">
        <v>16.8</v>
      </c>
      <c r="U140">
        <v>173</v>
      </c>
      <c r="V140" s="19" t="s">
        <v>2681</v>
      </c>
      <c r="W140" s="19" t="s">
        <v>1963</v>
      </c>
      <c r="X140">
        <v>5</v>
      </c>
      <c r="Y140">
        <v>17</v>
      </c>
      <c r="Z140">
        <v>22.7</v>
      </c>
      <c r="AA140">
        <v>23</v>
      </c>
      <c r="AB140">
        <v>86</v>
      </c>
      <c r="AC140">
        <v>8</v>
      </c>
      <c r="AD140">
        <v>37</v>
      </c>
      <c r="AE140" s="19" t="s">
        <v>60</v>
      </c>
    </row>
    <row r="141" spans="1:31" x14ac:dyDescent="0.2">
      <c r="A141">
        <v>138</v>
      </c>
      <c r="B141" s="19" t="s">
        <v>465</v>
      </c>
      <c r="C141">
        <v>29</v>
      </c>
      <c r="D141" s="19" t="s">
        <v>950</v>
      </c>
      <c r="E141" s="19" t="s">
        <v>349</v>
      </c>
      <c r="F141">
        <v>49</v>
      </c>
      <c r="G141">
        <v>10</v>
      </c>
      <c r="H141">
        <v>21</v>
      </c>
      <c r="I141">
        <v>31</v>
      </c>
      <c r="J141">
        <v>4</v>
      </c>
      <c r="K141">
        <v>53</v>
      </c>
      <c r="L141">
        <v>6</v>
      </c>
      <c r="M141">
        <v>4</v>
      </c>
      <c r="N141">
        <v>0</v>
      </c>
      <c r="O141">
        <v>0</v>
      </c>
      <c r="P141">
        <v>15</v>
      </c>
      <c r="Q141">
        <v>6</v>
      </c>
      <c r="R141">
        <v>0</v>
      </c>
      <c r="S141">
        <v>114</v>
      </c>
      <c r="T141">
        <v>8.8000000000000007</v>
      </c>
      <c r="U141">
        <v>262</v>
      </c>
      <c r="V141" s="19" t="s">
        <v>2371</v>
      </c>
      <c r="W141" s="19" t="s">
        <v>1649</v>
      </c>
      <c r="X141">
        <v>0</v>
      </c>
      <c r="Y141">
        <v>0</v>
      </c>
      <c r="AA141">
        <v>93</v>
      </c>
      <c r="AB141">
        <v>29</v>
      </c>
      <c r="AC141">
        <v>18</v>
      </c>
      <c r="AD141">
        <v>67</v>
      </c>
      <c r="AE141" s="19" t="s">
        <v>60</v>
      </c>
    </row>
    <row r="142" spans="1:31" x14ac:dyDescent="0.2">
      <c r="A142">
        <v>138</v>
      </c>
      <c r="B142" s="19" t="s">
        <v>465</v>
      </c>
      <c r="C142">
        <v>29</v>
      </c>
      <c r="D142" s="19" t="s">
        <v>436</v>
      </c>
      <c r="E142" s="19" t="s">
        <v>349</v>
      </c>
      <c r="F142">
        <v>48</v>
      </c>
      <c r="G142">
        <v>10</v>
      </c>
      <c r="H142">
        <v>20</v>
      </c>
      <c r="I142">
        <v>30</v>
      </c>
      <c r="J142">
        <v>3</v>
      </c>
      <c r="K142">
        <v>53</v>
      </c>
      <c r="L142">
        <v>6</v>
      </c>
      <c r="M142">
        <v>4</v>
      </c>
      <c r="N142">
        <v>0</v>
      </c>
      <c r="O142">
        <v>0</v>
      </c>
      <c r="P142">
        <v>14</v>
      </c>
      <c r="Q142">
        <v>6</v>
      </c>
      <c r="R142">
        <v>0</v>
      </c>
      <c r="S142">
        <v>112</v>
      </c>
      <c r="T142">
        <v>8.9</v>
      </c>
      <c r="U142">
        <v>259</v>
      </c>
      <c r="V142" s="19" t="s">
        <v>2096</v>
      </c>
      <c r="W142" s="19" t="s">
        <v>2016</v>
      </c>
      <c r="X142">
        <v>0</v>
      </c>
      <c r="Y142">
        <v>0</v>
      </c>
      <c r="AA142">
        <v>90</v>
      </c>
      <c r="AB142">
        <v>29</v>
      </c>
      <c r="AC142">
        <v>18</v>
      </c>
      <c r="AD142">
        <v>66</v>
      </c>
      <c r="AE142" s="19" t="s">
        <v>60</v>
      </c>
    </row>
    <row r="143" spans="1:31" x14ac:dyDescent="0.2">
      <c r="A143">
        <v>138</v>
      </c>
      <c r="B143" s="19" t="s">
        <v>465</v>
      </c>
      <c r="C143">
        <v>29</v>
      </c>
      <c r="D143" s="19" t="s">
        <v>344</v>
      </c>
      <c r="E143" s="19" t="s">
        <v>349</v>
      </c>
      <c r="F143">
        <v>1</v>
      </c>
      <c r="G143">
        <v>0</v>
      </c>
      <c r="H143">
        <v>1</v>
      </c>
      <c r="I143">
        <v>1</v>
      </c>
      <c r="J143">
        <v>1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2</v>
      </c>
      <c r="T143">
        <v>0</v>
      </c>
      <c r="U143">
        <v>3</v>
      </c>
      <c r="V143" s="19" t="s">
        <v>1397</v>
      </c>
      <c r="W143" s="19" t="s">
        <v>1397</v>
      </c>
      <c r="X143">
        <v>0</v>
      </c>
      <c r="Y143">
        <v>0</v>
      </c>
      <c r="AA143">
        <v>3</v>
      </c>
      <c r="AB143">
        <v>0</v>
      </c>
      <c r="AC143">
        <v>0</v>
      </c>
      <c r="AD143">
        <v>1</v>
      </c>
      <c r="AE143" s="19" t="s">
        <v>60</v>
      </c>
    </row>
    <row r="144" spans="1:31" x14ac:dyDescent="0.2">
      <c r="A144">
        <v>139</v>
      </c>
      <c r="B144" s="19" t="s">
        <v>492</v>
      </c>
      <c r="C144">
        <v>30</v>
      </c>
      <c r="D144" s="19" t="s">
        <v>330</v>
      </c>
      <c r="E144" s="19" t="s">
        <v>340</v>
      </c>
      <c r="F144">
        <v>45</v>
      </c>
      <c r="G144">
        <v>10</v>
      </c>
      <c r="H144">
        <v>20</v>
      </c>
      <c r="I144">
        <v>30</v>
      </c>
      <c r="J144">
        <v>-14</v>
      </c>
      <c r="K144">
        <v>12</v>
      </c>
      <c r="L144">
        <v>7</v>
      </c>
      <c r="M144">
        <v>3</v>
      </c>
      <c r="N144">
        <v>0</v>
      </c>
      <c r="O144">
        <v>1</v>
      </c>
      <c r="P144">
        <v>13</v>
      </c>
      <c r="Q144">
        <v>7</v>
      </c>
      <c r="R144">
        <v>0</v>
      </c>
      <c r="S144">
        <v>65</v>
      </c>
      <c r="T144">
        <v>15.4</v>
      </c>
      <c r="U144">
        <v>142</v>
      </c>
      <c r="V144" s="19" t="s">
        <v>2372</v>
      </c>
      <c r="W144" s="19" t="s">
        <v>1722</v>
      </c>
      <c r="X144">
        <v>2</v>
      </c>
      <c r="Y144">
        <v>6</v>
      </c>
      <c r="Z144">
        <v>25</v>
      </c>
      <c r="AA144">
        <v>23</v>
      </c>
      <c r="AB144">
        <v>15</v>
      </c>
      <c r="AC144">
        <v>20</v>
      </c>
      <c r="AD144">
        <v>40</v>
      </c>
      <c r="AE144" s="19" t="s">
        <v>60</v>
      </c>
    </row>
    <row r="145" spans="1:31" x14ac:dyDescent="0.2">
      <c r="A145">
        <v>140</v>
      </c>
      <c r="B145" s="19" t="s">
        <v>712</v>
      </c>
      <c r="C145">
        <v>35</v>
      </c>
      <c r="D145" s="19" t="s">
        <v>459</v>
      </c>
      <c r="E145" s="19" t="s">
        <v>349</v>
      </c>
      <c r="F145">
        <v>39</v>
      </c>
      <c r="G145">
        <v>8</v>
      </c>
      <c r="H145">
        <v>22</v>
      </c>
      <c r="I145">
        <v>30</v>
      </c>
      <c r="J145">
        <v>-8</v>
      </c>
      <c r="K145">
        <v>22</v>
      </c>
      <c r="L145">
        <v>5</v>
      </c>
      <c r="M145">
        <v>3</v>
      </c>
      <c r="N145">
        <v>0</v>
      </c>
      <c r="O145">
        <v>2</v>
      </c>
      <c r="P145">
        <v>13</v>
      </c>
      <c r="Q145">
        <v>9</v>
      </c>
      <c r="R145">
        <v>0</v>
      </c>
      <c r="S145">
        <v>105</v>
      </c>
      <c r="T145">
        <v>7.6</v>
      </c>
      <c r="U145">
        <v>232</v>
      </c>
      <c r="V145" s="19" t="s">
        <v>2682</v>
      </c>
      <c r="W145" s="19" t="s">
        <v>2683</v>
      </c>
      <c r="X145">
        <v>0</v>
      </c>
      <c r="Y145">
        <v>0</v>
      </c>
      <c r="AA145">
        <v>60</v>
      </c>
      <c r="AB145">
        <v>11</v>
      </c>
      <c r="AC145">
        <v>18</v>
      </c>
      <c r="AD145">
        <v>46</v>
      </c>
      <c r="AE145" s="19" t="s">
        <v>60</v>
      </c>
    </row>
    <row r="146" spans="1:31" x14ac:dyDescent="0.2">
      <c r="A146">
        <v>141</v>
      </c>
      <c r="B146" s="19" t="s">
        <v>486</v>
      </c>
      <c r="C146">
        <v>37</v>
      </c>
      <c r="D146" s="19" t="s">
        <v>371</v>
      </c>
      <c r="E146" s="19" t="s">
        <v>335</v>
      </c>
      <c r="F146">
        <v>38</v>
      </c>
      <c r="G146">
        <v>8</v>
      </c>
      <c r="H146">
        <v>22</v>
      </c>
      <c r="I146">
        <v>30</v>
      </c>
      <c r="J146">
        <v>1</v>
      </c>
      <c r="K146">
        <v>10</v>
      </c>
      <c r="L146">
        <v>6</v>
      </c>
      <c r="M146">
        <v>2</v>
      </c>
      <c r="N146">
        <v>0</v>
      </c>
      <c r="O146">
        <v>2</v>
      </c>
      <c r="P146">
        <v>13</v>
      </c>
      <c r="Q146">
        <v>9</v>
      </c>
      <c r="R146">
        <v>0</v>
      </c>
      <c r="S146">
        <v>96</v>
      </c>
      <c r="T146">
        <v>8.3000000000000007</v>
      </c>
      <c r="U146">
        <v>177</v>
      </c>
      <c r="V146" s="19" t="s">
        <v>2684</v>
      </c>
      <c r="W146" s="19" t="s">
        <v>1986</v>
      </c>
      <c r="X146">
        <v>0</v>
      </c>
      <c r="Y146">
        <v>1</v>
      </c>
      <c r="Z146">
        <v>0</v>
      </c>
      <c r="AA146">
        <v>17</v>
      </c>
      <c r="AB146">
        <v>9</v>
      </c>
      <c r="AC146">
        <v>1</v>
      </c>
      <c r="AD146">
        <v>36</v>
      </c>
      <c r="AE146" s="19" t="s">
        <v>60</v>
      </c>
    </row>
    <row r="147" spans="1:31" x14ac:dyDescent="0.2">
      <c r="A147">
        <v>142</v>
      </c>
      <c r="B147" s="19" t="s">
        <v>566</v>
      </c>
      <c r="C147">
        <v>25</v>
      </c>
      <c r="D147" s="19" t="s">
        <v>366</v>
      </c>
      <c r="E147" s="19" t="s">
        <v>322</v>
      </c>
      <c r="F147">
        <v>53</v>
      </c>
      <c r="G147">
        <v>8</v>
      </c>
      <c r="H147">
        <v>22</v>
      </c>
      <c r="I147">
        <v>30</v>
      </c>
      <c r="J147">
        <v>8</v>
      </c>
      <c r="K147">
        <v>16</v>
      </c>
      <c r="L147">
        <v>7</v>
      </c>
      <c r="M147">
        <v>1</v>
      </c>
      <c r="N147">
        <v>0</v>
      </c>
      <c r="O147">
        <v>3</v>
      </c>
      <c r="P147">
        <v>21</v>
      </c>
      <c r="Q147">
        <v>1</v>
      </c>
      <c r="R147">
        <v>0</v>
      </c>
      <c r="S147">
        <v>104</v>
      </c>
      <c r="T147">
        <v>7.7</v>
      </c>
      <c r="U147">
        <v>179</v>
      </c>
      <c r="V147" s="19" t="s">
        <v>2685</v>
      </c>
      <c r="W147" s="19" t="s">
        <v>1796</v>
      </c>
      <c r="X147">
        <v>210</v>
      </c>
      <c r="Y147">
        <v>278</v>
      </c>
      <c r="Z147">
        <v>43</v>
      </c>
      <c r="AA147">
        <v>30</v>
      </c>
      <c r="AB147">
        <v>27</v>
      </c>
      <c r="AC147">
        <v>20</v>
      </c>
      <c r="AD147">
        <v>39</v>
      </c>
      <c r="AE147" s="19" t="s">
        <v>60</v>
      </c>
    </row>
    <row r="148" spans="1:31" x14ac:dyDescent="0.2">
      <c r="A148">
        <v>143</v>
      </c>
      <c r="B148" s="19" t="s">
        <v>471</v>
      </c>
      <c r="C148">
        <v>23</v>
      </c>
      <c r="D148" s="19" t="s">
        <v>337</v>
      </c>
      <c r="E148" s="19" t="s">
        <v>322</v>
      </c>
      <c r="F148">
        <v>49</v>
      </c>
      <c r="G148">
        <v>13</v>
      </c>
      <c r="H148">
        <v>17</v>
      </c>
      <c r="I148">
        <v>30</v>
      </c>
      <c r="J148">
        <v>-9</v>
      </c>
      <c r="K148">
        <v>36</v>
      </c>
      <c r="L148">
        <v>9</v>
      </c>
      <c r="M148">
        <v>4</v>
      </c>
      <c r="N148">
        <v>0</v>
      </c>
      <c r="O148">
        <v>2</v>
      </c>
      <c r="P148">
        <v>15</v>
      </c>
      <c r="Q148">
        <v>2</v>
      </c>
      <c r="R148">
        <v>0</v>
      </c>
      <c r="S148">
        <v>103</v>
      </c>
      <c r="T148">
        <v>12.6</v>
      </c>
      <c r="U148">
        <v>225</v>
      </c>
      <c r="V148" s="19" t="s">
        <v>2166</v>
      </c>
      <c r="W148" s="19" t="s">
        <v>1630</v>
      </c>
      <c r="X148">
        <v>313</v>
      </c>
      <c r="Y148">
        <v>313</v>
      </c>
      <c r="Z148">
        <v>50</v>
      </c>
      <c r="AA148">
        <v>27</v>
      </c>
      <c r="AB148">
        <v>54</v>
      </c>
      <c r="AC148">
        <v>11</v>
      </c>
      <c r="AD148">
        <v>36</v>
      </c>
      <c r="AE148" s="19" t="s">
        <v>60</v>
      </c>
    </row>
    <row r="149" spans="1:31" x14ac:dyDescent="0.2">
      <c r="A149">
        <v>144</v>
      </c>
      <c r="B149" s="19" t="s">
        <v>452</v>
      </c>
      <c r="C149">
        <v>27</v>
      </c>
      <c r="D149" s="19" t="s">
        <v>447</v>
      </c>
      <c r="E149" s="19" t="s">
        <v>322</v>
      </c>
      <c r="F149">
        <v>43</v>
      </c>
      <c r="G149">
        <v>13</v>
      </c>
      <c r="H149">
        <v>17</v>
      </c>
      <c r="I149">
        <v>30</v>
      </c>
      <c r="J149">
        <v>-14</v>
      </c>
      <c r="K149">
        <v>14</v>
      </c>
      <c r="L149">
        <v>10</v>
      </c>
      <c r="M149">
        <v>2</v>
      </c>
      <c r="N149">
        <v>1</v>
      </c>
      <c r="O149">
        <v>0</v>
      </c>
      <c r="P149">
        <v>9</v>
      </c>
      <c r="Q149">
        <v>8</v>
      </c>
      <c r="R149">
        <v>0</v>
      </c>
      <c r="S149">
        <v>85</v>
      </c>
      <c r="T149">
        <v>15.3</v>
      </c>
      <c r="U149">
        <v>182</v>
      </c>
      <c r="V149" s="19" t="s">
        <v>2373</v>
      </c>
      <c r="W149" s="19" t="s">
        <v>1944</v>
      </c>
      <c r="X149">
        <v>405</v>
      </c>
      <c r="Y149">
        <v>481</v>
      </c>
      <c r="Z149">
        <v>45.7</v>
      </c>
      <c r="AA149">
        <v>70</v>
      </c>
      <c r="AB149">
        <v>35</v>
      </c>
      <c r="AC149">
        <v>21</v>
      </c>
      <c r="AD149">
        <v>39</v>
      </c>
      <c r="AE149" s="19" t="s">
        <v>60</v>
      </c>
    </row>
    <row r="150" spans="1:31" x14ac:dyDescent="0.2">
      <c r="A150">
        <v>145</v>
      </c>
      <c r="B150" s="19" t="s">
        <v>685</v>
      </c>
      <c r="C150">
        <v>29</v>
      </c>
      <c r="D150" s="19" t="s">
        <v>352</v>
      </c>
      <c r="E150" s="19" t="s">
        <v>322</v>
      </c>
      <c r="F150">
        <v>37</v>
      </c>
      <c r="G150">
        <v>11</v>
      </c>
      <c r="H150">
        <v>19</v>
      </c>
      <c r="I150">
        <v>30</v>
      </c>
      <c r="J150">
        <v>4</v>
      </c>
      <c r="K150">
        <v>8</v>
      </c>
      <c r="L150">
        <v>8</v>
      </c>
      <c r="M150">
        <v>3</v>
      </c>
      <c r="N150">
        <v>0</v>
      </c>
      <c r="O150">
        <v>0</v>
      </c>
      <c r="P150">
        <v>15</v>
      </c>
      <c r="Q150">
        <v>4</v>
      </c>
      <c r="R150">
        <v>0</v>
      </c>
      <c r="S150">
        <v>82</v>
      </c>
      <c r="T150">
        <v>13.4</v>
      </c>
      <c r="U150">
        <v>143</v>
      </c>
      <c r="V150" s="19" t="s">
        <v>1928</v>
      </c>
      <c r="W150" s="19" t="s">
        <v>441</v>
      </c>
      <c r="X150">
        <v>173</v>
      </c>
      <c r="Y150">
        <v>204</v>
      </c>
      <c r="Z150">
        <v>45.9</v>
      </c>
      <c r="AA150">
        <v>13</v>
      </c>
      <c r="AB150">
        <v>4</v>
      </c>
      <c r="AC150">
        <v>5</v>
      </c>
      <c r="AD150">
        <v>22</v>
      </c>
      <c r="AE150" s="19" t="s">
        <v>60</v>
      </c>
    </row>
    <row r="151" spans="1:31" x14ac:dyDescent="0.2">
      <c r="A151">
        <v>146</v>
      </c>
      <c r="B151" s="19" t="s">
        <v>571</v>
      </c>
      <c r="C151">
        <v>24</v>
      </c>
      <c r="D151" s="19" t="s">
        <v>428</v>
      </c>
      <c r="E151" s="19" t="s">
        <v>335</v>
      </c>
      <c r="F151">
        <v>51</v>
      </c>
      <c r="G151">
        <v>11</v>
      </c>
      <c r="H151">
        <v>19</v>
      </c>
      <c r="I151">
        <v>30</v>
      </c>
      <c r="J151">
        <v>2</v>
      </c>
      <c r="K151">
        <v>10</v>
      </c>
      <c r="L151">
        <v>9</v>
      </c>
      <c r="M151">
        <v>2</v>
      </c>
      <c r="N151">
        <v>0</v>
      </c>
      <c r="O151">
        <v>4</v>
      </c>
      <c r="P151">
        <v>19</v>
      </c>
      <c r="Q151">
        <v>0</v>
      </c>
      <c r="R151">
        <v>0</v>
      </c>
      <c r="S151">
        <v>102</v>
      </c>
      <c r="T151">
        <v>10.8</v>
      </c>
      <c r="U151">
        <v>211</v>
      </c>
      <c r="V151" s="19" t="s">
        <v>2686</v>
      </c>
      <c r="W151" s="19" t="s">
        <v>1035</v>
      </c>
      <c r="X151">
        <v>3</v>
      </c>
      <c r="Y151">
        <v>9</v>
      </c>
      <c r="Z151">
        <v>25</v>
      </c>
      <c r="AA151">
        <v>20</v>
      </c>
      <c r="AB151">
        <v>25</v>
      </c>
      <c r="AC151">
        <v>10</v>
      </c>
      <c r="AD151">
        <v>52</v>
      </c>
      <c r="AE151" s="19" t="s">
        <v>60</v>
      </c>
    </row>
    <row r="152" spans="1:31" x14ac:dyDescent="0.2">
      <c r="A152">
        <v>147</v>
      </c>
      <c r="B152" s="19" t="s">
        <v>460</v>
      </c>
      <c r="C152">
        <v>31</v>
      </c>
      <c r="D152" s="19" t="s">
        <v>359</v>
      </c>
      <c r="E152" s="19" t="s">
        <v>349</v>
      </c>
      <c r="F152">
        <v>50</v>
      </c>
      <c r="G152">
        <v>6</v>
      </c>
      <c r="H152">
        <v>24</v>
      </c>
      <c r="I152">
        <v>30</v>
      </c>
      <c r="J152">
        <v>-14</v>
      </c>
      <c r="K152">
        <v>12</v>
      </c>
      <c r="L152">
        <v>6</v>
      </c>
      <c r="M152">
        <v>0</v>
      </c>
      <c r="N152">
        <v>0</v>
      </c>
      <c r="O152">
        <v>2</v>
      </c>
      <c r="P152">
        <v>19</v>
      </c>
      <c r="Q152">
        <v>5</v>
      </c>
      <c r="R152">
        <v>0</v>
      </c>
      <c r="S152">
        <v>97</v>
      </c>
      <c r="T152">
        <v>6.2</v>
      </c>
      <c r="U152">
        <v>233</v>
      </c>
      <c r="V152" s="19" t="s">
        <v>2374</v>
      </c>
      <c r="W152" s="19" t="s">
        <v>2375</v>
      </c>
      <c r="X152">
        <v>0</v>
      </c>
      <c r="Y152">
        <v>0</v>
      </c>
      <c r="AA152">
        <v>68</v>
      </c>
      <c r="AB152">
        <v>21</v>
      </c>
      <c r="AC152">
        <v>15</v>
      </c>
      <c r="AD152">
        <v>65</v>
      </c>
      <c r="AE152" s="19" t="s">
        <v>60</v>
      </c>
    </row>
    <row r="153" spans="1:31" x14ac:dyDescent="0.2">
      <c r="A153">
        <v>148</v>
      </c>
      <c r="B153" s="19" t="s">
        <v>671</v>
      </c>
      <c r="C153">
        <v>38</v>
      </c>
      <c r="D153" s="19" t="s">
        <v>357</v>
      </c>
      <c r="E153" s="19" t="s">
        <v>340</v>
      </c>
      <c r="F153">
        <v>33</v>
      </c>
      <c r="G153">
        <v>8</v>
      </c>
      <c r="H153">
        <v>22</v>
      </c>
      <c r="I153">
        <v>30</v>
      </c>
      <c r="J153">
        <v>-4</v>
      </c>
      <c r="K153">
        <v>8</v>
      </c>
      <c r="L153">
        <v>5</v>
      </c>
      <c r="M153">
        <v>3</v>
      </c>
      <c r="N153">
        <v>0</v>
      </c>
      <c r="O153">
        <v>2</v>
      </c>
      <c r="P153">
        <v>14</v>
      </c>
      <c r="Q153">
        <v>8</v>
      </c>
      <c r="R153">
        <v>0</v>
      </c>
      <c r="S153">
        <v>64</v>
      </c>
      <c r="T153">
        <v>12.5</v>
      </c>
      <c r="U153">
        <v>145</v>
      </c>
      <c r="V153" s="19" t="s">
        <v>2687</v>
      </c>
      <c r="W153" s="19" t="s">
        <v>1839</v>
      </c>
      <c r="X153">
        <v>15</v>
      </c>
      <c r="Y153">
        <v>19</v>
      </c>
      <c r="Z153">
        <v>44.1</v>
      </c>
      <c r="AA153">
        <v>15</v>
      </c>
      <c r="AB153">
        <v>11</v>
      </c>
      <c r="AC153">
        <v>8</v>
      </c>
      <c r="AD153">
        <v>33</v>
      </c>
      <c r="AE153" s="19" t="s">
        <v>60</v>
      </c>
    </row>
    <row r="154" spans="1:31" x14ac:dyDescent="0.2">
      <c r="A154">
        <v>149</v>
      </c>
      <c r="B154" s="19" t="s">
        <v>516</v>
      </c>
      <c r="C154">
        <v>30</v>
      </c>
      <c r="D154" s="19" t="s">
        <v>459</v>
      </c>
      <c r="E154" s="19" t="s">
        <v>340</v>
      </c>
      <c r="F154">
        <v>51</v>
      </c>
      <c r="G154">
        <v>12</v>
      </c>
      <c r="H154">
        <v>17</v>
      </c>
      <c r="I154">
        <v>29</v>
      </c>
      <c r="J154">
        <v>-9</v>
      </c>
      <c r="K154">
        <v>12</v>
      </c>
      <c r="L154">
        <v>8</v>
      </c>
      <c r="M154">
        <v>4</v>
      </c>
      <c r="N154">
        <v>0</v>
      </c>
      <c r="O154">
        <v>1</v>
      </c>
      <c r="P154">
        <v>13</v>
      </c>
      <c r="Q154">
        <v>4</v>
      </c>
      <c r="R154">
        <v>0</v>
      </c>
      <c r="S154">
        <v>87</v>
      </c>
      <c r="T154">
        <v>13.8</v>
      </c>
      <c r="U154">
        <v>201</v>
      </c>
      <c r="V154" s="19" t="s">
        <v>2688</v>
      </c>
      <c r="W154" s="19" t="s">
        <v>1333</v>
      </c>
      <c r="X154">
        <v>6</v>
      </c>
      <c r="Y154">
        <v>17</v>
      </c>
      <c r="Z154">
        <v>26.1</v>
      </c>
      <c r="AA154">
        <v>16</v>
      </c>
      <c r="AB154">
        <v>29</v>
      </c>
      <c r="AC154">
        <v>7</v>
      </c>
      <c r="AD154">
        <v>38</v>
      </c>
      <c r="AE154" s="19" t="s">
        <v>60</v>
      </c>
    </row>
    <row r="155" spans="1:31" x14ac:dyDescent="0.2">
      <c r="A155">
        <v>150</v>
      </c>
      <c r="B155" s="19" t="s">
        <v>640</v>
      </c>
      <c r="C155">
        <v>23</v>
      </c>
      <c r="D155" s="19" t="s">
        <v>324</v>
      </c>
      <c r="E155" s="19" t="s">
        <v>325</v>
      </c>
      <c r="F155">
        <v>49</v>
      </c>
      <c r="G155">
        <v>14</v>
      </c>
      <c r="H155">
        <v>15</v>
      </c>
      <c r="I155">
        <v>29</v>
      </c>
      <c r="J155">
        <v>6</v>
      </c>
      <c r="K155">
        <v>4</v>
      </c>
      <c r="L155">
        <v>13</v>
      </c>
      <c r="M155">
        <v>0</v>
      </c>
      <c r="N155">
        <v>1</v>
      </c>
      <c r="O155">
        <v>1</v>
      </c>
      <c r="P155">
        <v>13</v>
      </c>
      <c r="Q155">
        <v>1</v>
      </c>
      <c r="R155">
        <v>1</v>
      </c>
      <c r="S155">
        <v>57</v>
      </c>
      <c r="T155">
        <v>24.6</v>
      </c>
      <c r="U155">
        <v>115</v>
      </c>
      <c r="V155" s="19" t="s">
        <v>2376</v>
      </c>
      <c r="W155" s="19" t="s">
        <v>1735</v>
      </c>
      <c r="X155">
        <v>3</v>
      </c>
      <c r="Y155">
        <v>11</v>
      </c>
      <c r="Z155">
        <v>21.4</v>
      </c>
      <c r="AA155">
        <v>33</v>
      </c>
      <c r="AB155">
        <v>54</v>
      </c>
      <c r="AC155">
        <v>18</v>
      </c>
      <c r="AD155">
        <v>32</v>
      </c>
      <c r="AE155" s="19" t="s">
        <v>60</v>
      </c>
    </row>
    <row r="156" spans="1:31" x14ac:dyDescent="0.2">
      <c r="A156">
        <v>151</v>
      </c>
      <c r="B156" s="19" t="s">
        <v>542</v>
      </c>
      <c r="C156">
        <v>28</v>
      </c>
      <c r="D156" s="19" t="s">
        <v>447</v>
      </c>
      <c r="E156" s="19" t="s">
        <v>349</v>
      </c>
      <c r="F156">
        <v>51</v>
      </c>
      <c r="G156">
        <v>4</v>
      </c>
      <c r="H156">
        <v>25</v>
      </c>
      <c r="I156">
        <v>29</v>
      </c>
      <c r="J156">
        <v>1</v>
      </c>
      <c r="K156">
        <v>14</v>
      </c>
      <c r="L156">
        <v>2</v>
      </c>
      <c r="M156">
        <v>2</v>
      </c>
      <c r="N156">
        <v>0</v>
      </c>
      <c r="O156">
        <v>1</v>
      </c>
      <c r="P156">
        <v>17</v>
      </c>
      <c r="Q156">
        <v>7</v>
      </c>
      <c r="R156">
        <v>1</v>
      </c>
      <c r="S156">
        <v>70</v>
      </c>
      <c r="T156">
        <v>5.7</v>
      </c>
      <c r="U156">
        <v>177</v>
      </c>
      <c r="V156" s="19" t="s">
        <v>2377</v>
      </c>
      <c r="W156" s="19" t="s">
        <v>1867</v>
      </c>
      <c r="X156">
        <v>0</v>
      </c>
      <c r="Y156">
        <v>0</v>
      </c>
      <c r="AA156">
        <v>70</v>
      </c>
      <c r="AB156">
        <v>78</v>
      </c>
      <c r="AC156">
        <v>21</v>
      </c>
      <c r="AD156">
        <v>56</v>
      </c>
      <c r="AE156" s="19" t="s">
        <v>60</v>
      </c>
    </row>
    <row r="157" spans="1:31" x14ac:dyDescent="0.2">
      <c r="A157">
        <v>152</v>
      </c>
      <c r="B157" s="19" t="s">
        <v>499</v>
      </c>
      <c r="C157">
        <v>21</v>
      </c>
      <c r="D157" s="19" t="s">
        <v>366</v>
      </c>
      <c r="E157" s="19" t="s">
        <v>335</v>
      </c>
      <c r="F157">
        <v>46</v>
      </c>
      <c r="G157">
        <v>10</v>
      </c>
      <c r="H157">
        <v>19</v>
      </c>
      <c r="I157">
        <v>29</v>
      </c>
      <c r="J157">
        <v>4</v>
      </c>
      <c r="K157">
        <v>26</v>
      </c>
      <c r="L157">
        <v>9</v>
      </c>
      <c r="M157">
        <v>1</v>
      </c>
      <c r="N157">
        <v>0</v>
      </c>
      <c r="O157">
        <v>2</v>
      </c>
      <c r="P157">
        <v>12</v>
      </c>
      <c r="Q157">
        <v>7</v>
      </c>
      <c r="R157">
        <v>0</v>
      </c>
      <c r="S157">
        <v>91</v>
      </c>
      <c r="T157">
        <v>11</v>
      </c>
      <c r="U157">
        <v>201</v>
      </c>
      <c r="V157" s="19" t="s">
        <v>2689</v>
      </c>
      <c r="W157" s="19" t="s">
        <v>1801</v>
      </c>
      <c r="X157">
        <v>6</v>
      </c>
      <c r="Y157">
        <v>4</v>
      </c>
      <c r="Z157">
        <v>60</v>
      </c>
      <c r="AA157">
        <v>15</v>
      </c>
      <c r="AB157">
        <v>64</v>
      </c>
      <c r="AC157">
        <v>10</v>
      </c>
      <c r="AD157">
        <v>47</v>
      </c>
      <c r="AE157" s="19" t="s">
        <v>60</v>
      </c>
    </row>
    <row r="158" spans="1:31" x14ac:dyDescent="0.2">
      <c r="A158">
        <v>153</v>
      </c>
      <c r="B158" s="19" t="s">
        <v>457</v>
      </c>
      <c r="C158">
        <v>24</v>
      </c>
      <c r="D158" s="19" t="s">
        <v>399</v>
      </c>
      <c r="E158" s="19" t="s">
        <v>322</v>
      </c>
      <c r="F158">
        <v>51</v>
      </c>
      <c r="G158">
        <v>13</v>
      </c>
      <c r="H158">
        <v>16</v>
      </c>
      <c r="I158">
        <v>29</v>
      </c>
      <c r="J158">
        <v>2</v>
      </c>
      <c r="K158">
        <v>14</v>
      </c>
      <c r="L158">
        <v>8</v>
      </c>
      <c r="M158">
        <v>3</v>
      </c>
      <c r="N158">
        <v>2</v>
      </c>
      <c r="O158">
        <v>1</v>
      </c>
      <c r="P158">
        <v>13</v>
      </c>
      <c r="Q158">
        <v>3</v>
      </c>
      <c r="R158">
        <v>0</v>
      </c>
      <c r="S158">
        <v>100</v>
      </c>
      <c r="T158">
        <v>13</v>
      </c>
      <c r="U158">
        <v>203</v>
      </c>
      <c r="V158" s="19" t="s">
        <v>2268</v>
      </c>
      <c r="W158" s="19" t="s">
        <v>369</v>
      </c>
      <c r="X158">
        <v>98</v>
      </c>
      <c r="Y158">
        <v>151</v>
      </c>
      <c r="Z158">
        <v>39.4</v>
      </c>
      <c r="AA158">
        <v>34</v>
      </c>
      <c r="AB158">
        <v>23</v>
      </c>
      <c r="AC158">
        <v>19</v>
      </c>
      <c r="AD158">
        <v>44</v>
      </c>
      <c r="AE158" s="19" t="s">
        <v>60</v>
      </c>
    </row>
    <row r="159" spans="1:31" x14ac:dyDescent="0.2">
      <c r="A159">
        <v>154</v>
      </c>
      <c r="B159" s="19" t="s">
        <v>628</v>
      </c>
      <c r="C159">
        <v>31</v>
      </c>
      <c r="D159" s="19" t="s">
        <v>530</v>
      </c>
      <c r="E159" s="19" t="s">
        <v>322</v>
      </c>
      <c r="F159">
        <v>48</v>
      </c>
      <c r="G159">
        <v>13</v>
      </c>
      <c r="H159">
        <v>16</v>
      </c>
      <c r="I159">
        <v>29</v>
      </c>
      <c r="J159">
        <v>-15</v>
      </c>
      <c r="K159">
        <v>10</v>
      </c>
      <c r="L159">
        <v>7</v>
      </c>
      <c r="M159">
        <v>6</v>
      </c>
      <c r="N159">
        <v>0</v>
      </c>
      <c r="O159">
        <v>1</v>
      </c>
      <c r="P159">
        <v>10</v>
      </c>
      <c r="Q159">
        <v>5</v>
      </c>
      <c r="R159">
        <v>1</v>
      </c>
      <c r="S159">
        <v>66</v>
      </c>
      <c r="T159">
        <v>19.7</v>
      </c>
      <c r="U159">
        <v>104</v>
      </c>
      <c r="V159" s="19" t="s">
        <v>2378</v>
      </c>
      <c r="W159" s="19" t="s">
        <v>2029</v>
      </c>
      <c r="X159">
        <v>470</v>
      </c>
      <c r="Y159">
        <v>422</v>
      </c>
      <c r="Z159">
        <v>52.7</v>
      </c>
      <c r="AA159">
        <v>36</v>
      </c>
      <c r="AB159">
        <v>15</v>
      </c>
      <c r="AC159">
        <v>19</v>
      </c>
      <c r="AD159">
        <v>42</v>
      </c>
      <c r="AE159" s="19" t="s">
        <v>60</v>
      </c>
    </row>
    <row r="160" spans="1:31" x14ac:dyDescent="0.2">
      <c r="A160">
        <v>155</v>
      </c>
      <c r="B160" s="19" t="s">
        <v>842</v>
      </c>
      <c r="C160">
        <v>26</v>
      </c>
      <c r="D160" s="19" t="s">
        <v>416</v>
      </c>
      <c r="E160" s="19" t="s">
        <v>340</v>
      </c>
      <c r="F160">
        <v>31</v>
      </c>
      <c r="G160">
        <v>12</v>
      </c>
      <c r="H160">
        <v>17</v>
      </c>
      <c r="I160">
        <v>29</v>
      </c>
      <c r="J160">
        <v>-6</v>
      </c>
      <c r="K160">
        <v>34</v>
      </c>
      <c r="L160">
        <v>9</v>
      </c>
      <c r="M160">
        <v>2</v>
      </c>
      <c r="N160">
        <v>1</v>
      </c>
      <c r="O160">
        <v>2</v>
      </c>
      <c r="P160">
        <v>9</v>
      </c>
      <c r="Q160">
        <v>8</v>
      </c>
      <c r="R160">
        <v>0</v>
      </c>
      <c r="S160">
        <v>123</v>
      </c>
      <c r="T160">
        <v>9.8000000000000007</v>
      </c>
      <c r="U160">
        <v>200</v>
      </c>
      <c r="V160" s="19" t="s">
        <v>2690</v>
      </c>
      <c r="W160" s="19" t="s">
        <v>1897</v>
      </c>
      <c r="X160">
        <v>78</v>
      </c>
      <c r="Y160">
        <v>60</v>
      </c>
      <c r="Z160">
        <v>56.5</v>
      </c>
      <c r="AA160">
        <v>7</v>
      </c>
      <c r="AB160">
        <v>86</v>
      </c>
      <c r="AC160">
        <v>7</v>
      </c>
      <c r="AD160">
        <v>20</v>
      </c>
      <c r="AE160" s="19" t="s">
        <v>60</v>
      </c>
    </row>
    <row r="161" spans="1:31" x14ac:dyDescent="0.2">
      <c r="A161">
        <v>156</v>
      </c>
      <c r="B161" s="19" t="s">
        <v>630</v>
      </c>
      <c r="C161">
        <v>26</v>
      </c>
      <c r="D161" s="19" t="s">
        <v>530</v>
      </c>
      <c r="E161" s="19" t="s">
        <v>335</v>
      </c>
      <c r="F161">
        <v>49</v>
      </c>
      <c r="G161">
        <v>10</v>
      </c>
      <c r="H161">
        <v>19</v>
      </c>
      <c r="I161">
        <v>29</v>
      </c>
      <c r="J161">
        <v>-12</v>
      </c>
      <c r="K161">
        <v>16</v>
      </c>
      <c r="L161">
        <v>5</v>
      </c>
      <c r="M161">
        <v>5</v>
      </c>
      <c r="N161">
        <v>0</v>
      </c>
      <c r="O161">
        <v>0</v>
      </c>
      <c r="P161">
        <v>13</v>
      </c>
      <c r="Q161">
        <v>6</v>
      </c>
      <c r="R161">
        <v>0</v>
      </c>
      <c r="S161">
        <v>84</v>
      </c>
      <c r="T161">
        <v>11.9</v>
      </c>
      <c r="U161">
        <v>185</v>
      </c>
      <c r="V161" s="19" t="s">
        <v>2379</v>
      </c>
      <c r="W161" s="19" t="s">
        <v>1991</v>
      </c>
      <c r="X161">
        <v>0</v>
      </c>
      <c r="Y161">
        <v>0</v>
      </c>
      <c r="AA161">
        <v>54</v>
      </c>
      <c r="AB161">
        <v>128</v>
      </c>
      <c r="AC161">
        <v>10</v>
      </c>
      <c r="AD161">
        <v>34</v>
      </c>
      <c r="AE161" s="19" t="s">
        <v>60</v>
      </c>
    </row>
    <row r="162" spans="1:31" x14ac:dyDescent="0.2">
      <c r="A162">
        <v>157</v>
      </c>
      <c r="B162" s="19" t="s">
        <v>576</v>
      </c>
      <c r="C162">
        <v>30</v>
      </c>
      <c r="D162" s="19" t="s">
        <v>513</v>
      </c>
      <c r="E162" s="19" t="s">
        <v>340</v>
      </c>
      <c r="F162">
        <v>52</v>
      </c>
      <c r="G162">
        <v>9</v>
      </c>
      <c r="H162">
        <v>19</v>
      </c>
      <c r="I162">
        <v>28</v>
      </c>
      <c r="J162">
        <v>-14</v>
      </c>
      <c r="K162">
        <v>18</v>
      </c>
      <c r="L162">
        <v>7</v>
      </c>
      <c r="M162">
        <v>2</v>
      </c>
      <c r="N162">
        <v>0</v>
      </c>
      <c r="O162">
        <v>1</v>
      </c>
      <c r="P162">
        <v>11</v>
      </c>
      <c r="Q162">
        <v>8</v>
      </c>
      <c r="R162">
        <v>0</v>
      </c>
      <c r="S162">
        <v>91</v>
      </c>
      <c r="T162">
        <v>9.9</v>
      </c>
      <c r="U162">
        <v>184</v>
      </c>
      <c r="V162" s="19" t="s">
        <v>2691</v>
      </c>
      <c r="W162" s="19" t="s">
        <v>1533</v>
      </c>
      <c r="X162">
        <v>26</v>
      </c>
      <c r="Y162">
        <v>38</v>
      </c>
      <c r="Z162">
        <v>40.6</v>
      </c>
      <c r="AA162">
        <v>19</v>
      </c>
      <c r="AB162">
        <v>24</v>
      </c>
      <c r="AC162">
        <v>18</v>
      </c>
      <c r="AD162">
        <v>45</v>
      </c>
      <c r="AE162" s="19" t="s">
        <v>60</v>
      </c>
    </row>
    <row r="163" spans="1:31" x14ac:dyDescent="0.2">
      <c r="A163">
        <v>158</v>
      </c>
      <c r="B163" s="19" t="s">
        <v>477</v>
      </c>
      <c r="C163">
        <v>23</v>
      </c>
      <c r="D163" s="19" t="s">
        <v>419</v>
      </c>
      <c r="E163" s="19" t="s">
        <v>322</v>
      </c>
      <c r="F163">
        <v>49</v>
      </c>
      <c r="G163">
        <v>9</v>
      </c>
      <c r="H163">
        <v>19</v>
      </c>
      <c r="I163">
        <v>28</v>
      </c>
      <c r="J163">
        <v>-3</v>
      </c>
      <c r="K163">
        <v>22</v>
      </c>
      <c r="L163">
        <v>6</v>
      </c>
      <c r="M163">
        <v>3</v>
      </c>
      <c r="N163">
        <v>0</v>
      </c>
      <c r="O163">
        <v>2</v>
      </c>
      <c r="P163">
        <v>13</v>
      </c>
      <c r="Q163">
        <v>5</v>
      </c>
      <c r="R163">
        <v>1</v>
      </c>
      <c r="S163">
        <v>106</v>
      </c>
      <c r="T163">
        <v>8.5</v>
      </c>
      <c r="U163">
        <v>214</v>
      </c>
      <c r="V163" s="19" t="s">
        <v>2692</v>
      </c>
      <c r="W163" s="19" t="s">
        <v>326</v>
      </c>
      <c r="X163">
        <v>292</v>
      </c>
      <c r="Y163">
        <v>422</v>
      </c>
      <c r="Z163">
        <v>40.9</v>
      </c>
      <c r="AA163">
        <v>27</v>
      </c>
      <c r="AB163">
        <v>35</v>
      </c>
      <c r="AC163">
        <v>23</v>
      </c>
      <c r="AD163">
        <v>54</v>
      </c>
      <c r="AE163" s="19" t="s">
        <v>60</v>
      </c>
    </row>
    <row r="164" spans="1:31" x14ac:dyDescent="0.2">
      <c r="A164">
        <v>159</v>
      </c>
      <c r="B164" s="19" t="s">
        <v>401</v>
      </c>
      <c r="C164">
        <v>27</v>
      </c>
      <c r="D164" s="19" t="s">
        <v>361</v>
      </c>
      <c r="E164" s="19" t="s">
        <v>349</v>
      </c>
      <c r="F164">
        <v>30</v>
      </c>
      <c r="G164">
        <v>4</v>
      </c>
      <c r="H164">
        <v>24</v>
      </c>
      <c r="I164">
        <v>28</v>
      </c>
      <c r="J164">
        <v>4</v>
      </c>
      <c r="K164">
        <v>12</v>
      </c>
      <c r="L164">
        <v>2</v>
      </c>
      <c r="M164">
        <v>2</v>
      </c>
      <c r="N164">
        <v>0</v>
      </c>
      <c r="O164">
        <v>1</v>
      </c>
      <c r="P164">
        <v>16</v>
      </c>
      <c r="Q164">
        <v>7</v>
      </c>
      <c r="R164">
        <v>1</v>
      </c>
      <c r="S164">
        <v>56</v>
      </c>
      <c r="T164">
        <v>7.1</v>
      </c>
      <c r="U164">
        <v>159</v>
      </c>
      <c r="V164" s="19" t="s">
        <v>1834</v>
      </c>
      <c r="W164" s="19" t="s">
        <v>1781</v>
      </c>
      <c r="X164">
        <v>0</v>
      </c>
      <c r="Y164">
        <v>0</v>
      </c>
      <c r="AA164">
        <v>45</v>
      </c>
      <c r="AB164">
        <v>15</v>
      </c>
      <c r="AC164">
        <v>20</v>
      </c>
      <c r="AD164">
        <v>37</v>
      </c>
      <c r="AE164" s="19" t="s">
        <v>60</v>
      </c>
    </row>
    <row r="165" spans="1:31" x14ac:dyDescent="0.2">
      <c r="A165">
        <v>160</v>
      </c>
      <c r="B165" s="19" t="s">
        <v>523</v>
      </c>
      <c r="C165">
        <v>24</v>
      </c>
      <c r="D165" s="19" t="s">
        <v>361</v>
      </c>
      <c r="E165" s="19" t="s">
        <v>340</v>
      </c>
      <c r="F165">
        <v>52</v>
      </c>
      <c r="G165">
        <v>10</v>
      </c>
      <c r="H165">
        <v>18</v>
      </c>
      <c r="I165">
        <v>28</v>
      </c>
      <c r="J165">
        <v>-14</v>
      </c>
      <c r="K165">
        <v>12</v>
      </c>
      <c r="L165">
        <v>8</v>
      </c>
      <c r="M165">
        <v>2</v>
      </c>
      <c r="N165">
        <v>0</v>
      </c>
      <c r="O165">
        <v>2</v>
      </c>
      <c r="P165">
        <v>15</v>
      </c>
      <c r="Q165">
        <v>3</v>
      </c>
      <c r="R165">
        <v>0</v>
      </c>
      <c r="S165">
        <v>98</v>
      </c>
      <c r="T165">
        <v>10.199999999999999</v>
      </c>
      <c r="U165">
        <v>206</v>
      </c>
      <c r="V165" s="19" t="s">
        <v>2380</v>
      </c>
      <c r="W165" s="19" t="s">
        <v>1986</v>
      </c>
      <c r="X165">
        <v>7</v>
      </c>
      <c r="Y165">
        <v>21</v>
      </c>
      <c r="Z165">
        <v>25</v>
      </c>
      <c r="AA165">
        <v>33</v>
      </c>
      <c r="AB165">
        <v>69</v>
      </c>
      <c r="AC165">
        <v>14</v>
      </c>
      <c r="AD165">
        <v>28</v>
      </c>
      <c r="AE165" s="19" t="s">
        <v>60</v>
      </c>
    </row>
    <row r="166" spans="1:31" x14ac:dyDescent="0.2">
      <c r="A166">
        <v>161</v>
      </c>
      <c r="B166" s="19" t="s">
        <v>546</v>
      </c>
      <c r="C166">
        <v>35</v>
      </c>
      <c r="D166" s="19" t="s">
        <v>384</v>
      </c>
      <c r="E166" s="19" t="s">
        <v>340</v>
      </c>
      <c r="F166">
        <v>51</v>
      </c>
      <c r="G166">
        <v>11</v>
      </c>
      <c r="H166">
        <v>17</v>
      </c>
      <c r="I166">
        <v>28</v>
      </c>
      <c r="J166">
        <v>3</v>
      </c>
      <c r="K166">
        <v>29</v>
      </c>
      <c r="L166">
        <v>8</v>
      </c>
      <c r="M166">
        <v>3</v>
      </c>
      <c r="N166">
        <v>0</v>
      </c>
      <c r="O166">
        <v>3</v>
      </c>
      <c r="P166">
        <v>15</v>
      </c>
      <c r="Q166">
        <v>2</v>
      </c>
      <c r="R166">
        <v>0</v>
      </c>
      <c r="S166">
        <v>125</v>
      </c>
      <c r="T166">
        <v>8.8000000000000007</v>
      </c>
      <c r="U166">
        <v>234</v>
      </c>
      <c r="V166" s="19" t="s">
        <v>2693</v>
      </c>
      <c r="W166" s="19" t="s">
        <v>1892</v>
      </c>
      <c r="X166">
        <v>52</v>
      </c>
      <c r="Y166">
        <v>44</v>
      </c>
      <c r="Z166">
        <v>54.2</v>
      </c>
      <c r="AA166">
        <v>25</v>
      </c>
      <c r="AB166">
        <v>46</v>
      </c>
      <c r="AC166">
        <v>9</v>
      </c>
      <c r="AD166">
        <v>26</v>
      </c>
      <c r="AE166" s="19" t="s">
        <v>60</v>
      </c>
    </row>
    <row r="167" spans="1:31" x14ac:dyDescent="0.2">
      <c r="A167">
        <v>162</v>
      </c>
      <c r="B167" s="19" t="s">
        <v>664</v>
      </c>
      <c r="C167">
        <v>25</v>
      </c>
      <c r="D167" s="19" t="s">
        <v>428</v>
      </c>
      <c r="E167" s="19" t="s">
        <v>349</v>
      </c>
      <c r="F167">
        <v>49</v>
      </c>
      <c r="G167">
        <v>8</v>
      </c>
      <c r="H167">
        <v>20</v>
      </c>
      <c r="I167">
        <v>28</v>
      </c>
      <c r="J167">
        <v>25</v>
      </c>
      <c r="K167">
        <v>16</v>
      </c>
      <c r="L167">
        <v>7</v>
      </c>
      <c r="M167">
        <v>0</v>
      </c>
      <c r="N167">
        <v>1</v>
      </c>
      <c r="O167">
        <v>2</v>
      </c>
      <c r="P167">
        <v>18</v>
      </c>
      <c r="Q167">
        <v>0</v>
      </c>
      <c r="R167">
        <v>2</v>
      </c>
      <c r="S167">
        <v>69</v>
      </c>
      <c r="T167">
        <v>11.6</v>
      </c>
      <c r="U167">
        <v>150</v>
      </c>
      <c r="V167" s="19" t="s">
        <v>2694</v>
      </c>
      <c r="W167" s="19" t="s">
        <v>2695</v>
      </c>
      <c r="X167">
        <v>0</v>
      </c>
      <c r="Y167">
        <v>0</v>
      </c>
      <c r="AA167">
        <v>102</v>
      </c>
      <c r="AB167">
        <v>78</v>
      </c>
      <c r="AC167">
        <v>9</v>
      </c>
      <c r="AD167">
        <v>42</v>
      </c>
      <c r="AE167" s="19" t="s">
        <v>60</v>
      </c>
    </row>
    <row r="168" spans="1:31" x14ac:dyDescent="0.2">
      <c r="A168">
        <v>163</v>
      </c>
      <c r="B168" s="19" t="s">
        <v>728</v>
      </c>
      <c r="C168">
        <v>34</v>
      </c>
      <c r="D168" s="19" t="s">
        <v>357</v>
      </c>
      <c r="E168" s="19" t="s">
        <v>335</v>
      </c>
      <c r="F168">
        <v>46</v>
      </c>
      <c r="G168">
        <v>13</v>
      </c>
      <c r="H168">
        <v>15</v>
      </c>
      <c r="I168">
        <v>28</v>
      </c>
      <c r="J168">
        <v>-5</v>
      </c>
      <c r="K168">
        <v>8</v>
      </c>
      <c r="L168">
        <v>9</v>
      </c>
      <c r="M168">
        <v>4</v>
      </c>
      <c r="N168">
        <v>0</v>
      </c>
      <c r="O168">
        <v>2</v>
      </c>
      <c r="P168">
        <v>9</v>
      </c>
      <c r="Q168">
        <v>6</v>
      </c>
      <c r="R168">
        <v>0</v>
      </c>
      <c r="S168">
        <v>91</v>
      </c>
      <c r="T168">
        <v>14.3</v>
      </c>
      <c r="U168">
        <v>177</v>
      </c>
      <c r="V168" s="19" t="s">
        <v>2696</v>
      </c>
      <c r="W168" s="19" t="s">
        <v>1952</v>
      </c>
      <c r="X168">
        <v>5</v>
      </c>
      <c r="Y168">
        <v>4</v>
      </c>
      <c r="Z168">
        <v>55.6</v>
      </c>
      <c r="AA168">
        <v>20</v>
      </c>
      <c r="AB168">
        <v>36</v>
      </c>
      <c r="AC168">
        <v>8</v>
      </c>
      <c r="AD168">
        <v>36</v>
      </c>
      <c r="AE168" s="19" t="s">
        <v>60</v>
      </c>
    </row>
    <row r="169" spans="1:31" x14ac:dyDescent="0.2">
      <c r="A169">
        <v>164</v>
      </c>
      <c r="B169" s="19" t="s">
        <v>588</v>
      </c>
      <c r="C169">
        <v>34</v>
      </c>
      <c r="D169" s="19" t="s">
        <v>397</v>
      </c>
      <c r="E169" s="19" t="s">
        <v>340</v>
      </c>
      <c r="F169">
        <v>52</v>
      </c>
      <c r="G169">
        <v>12</v>
      </c>
      <c r="H169">
        <v>15</v>
      </c>
      <c r="I169">
        <v>27</v>
      </c>
      <c r="J169">
        <v>4</v>
      </c>
      <c r="K169">
        <v>28</v>
      </c>
      <c r="L169">
        <v>9</v>
      </c>
      <c r="M169">
        <v>3</v>
      </c>
      <c r="N169">
        <v>0</v>
      </c>
      <c r="O169">
        <v>1</v>
      </c>
      <c r="P169">
        <v>13</v>
      </c>
      <c r="Q169">
        <v>2</v>
      </c>
      <c r="R169">
        <v>0</v>
      </c>
      <c r="S169">
        <v>85</v>
      </c>
      <c r="T169">
        <v>14.1</v>
      </c>
      <c r="U169">
        <v>173</v>
      </c>
      <c r="V169" s="19" t="s">
        <v>2697</v>
      </c>
      <c r="W169" s="19" t="s">
        <v>1608</v>
      </c>
      <c r="X169">
        <v>15</v>
      </c>
      <c r="Y169">
        <v>24</v>
      </c>
      <c r="Z169">
        <v>38.5</v>
      </c>
      <c r="AA169">
        <v>21</v>
      </c>
      <c r="AB169">
        <v>30</v>
      </c>
      <c r="AC169">
        <v>13</v>
      </c>
      <c r="AD169">
        <v>42</v>
      </c>
      <c r="AE169" s="19" t="s">
        <v>60</v>
      </c>
    </row>
    <row r="170" spans="1:31" x14ac:dyDescent="0.2">
      <c r="A170">
        <v>165</v>
      </c>
      <c r="B170" s="19" t="s">
        <v>590</v>
      </c>
      <c r="C170">
        <v>22</v>
      </c>
      <c r="D170" s="19" t="s">
        <v>363</v>
      </c>
      <c r="E170" s="19" t="s">
        <v>322</v>
      </c>
      <c r="F170">
        <v>52</v>
      </c>
      <c r="G170">
        <v>16</v>
      </c>
      <c r="H170">
        <v>11</v>
      </c>
      <c r="I170">
        <v>27</v>
      </c>
      <c r="J170">
        <v>0</v>
      </c>
      <c r="K170">
        <v>14</v>
      </c>
      <c r="L170">
        <v>14</v>
      </c>
      <c r="M170">
        <v>1</v>
      </c>
      <c r="N170">
        <v>1</v>
      </c>
      <c r="O170">
        <v>1</v>
      </c>
      <c r="P170">
        <v>10</v>
      </c>
      <c r="Q170">
        <v>0</v>
      </c>
      <c r="R170">
        <v>1</v>
      </c>
      <c r="S170">
        <v>94</v>
      </c>
      <c r="T170">
        <v>17</v>
      </c>
      <c r="U170">
        <v>155</v>
      </c>
      <c r="V170" s="19" t="s">
        <v>2698</v>
      </c>
      <c r="W170" s="19" t="s">
        <v>1963</v>
      </c>
      <c r="X170">
        <v>236</v>
      </c>
      <c r="Y170">
        <v>261</v>
      </c>
      <c r="Z170">
        <v>47.5</v>
      </c>
      <c r="AA170">
        <v>52</v>
      </c>
      <c r="AB170">
        <v>19</v>
      </c>
      <c r="AC170">
        <v>9</v>
      </c>
      <c r="AD170">
        <v>20</v>
      </c>
      <c r="AE170" s="19" t="s">
        <v>60</v>
      </c>
    </row>
    <row r="171" spans="1:31" x14ac:dyDescent="0.2">
      <c r="A171">
        <v>166</v>
      </c>
      <c r="B171" s="19" t="s">
        <v>438</v>
      </c>
      <c r="C171">
        <v>29</v>
      </c>
      <c r="D171" s="19" t="s">
        <v>399</v>
      </c>
      <c r="E171" s="19" t="s">
        <v>335</v>
      </c>
      <c r="F171">
        <v>46</v>
      </c>
      <c r="G171">
        <v>13</v>
      </c>
      <c r="H171">
        <v>14</v>
      </c>
      <c r="I171">
        <v>27</v>
      </c>
      <c r="J171">
        <v>-12</v>
      </c>
      <c r="K171">
        <v>12</v>
      </c>
      <c r="L171">
        <v>7</v>
      </c>
      <c r="M171">
        <v>6</v>
      </c>
      <c r="N171">
        <v>0</v>
      </c>
      <c r="O171">
        <v>2</v>
      </c>
      <c r="P171">
        <v>10</v>
      </c>
      <c r="Q171">
        <v>4</v>
      </c>
      <c r="R171">
        <v>0</v>
      </c>
      <c r="S171">
        <v>155</v>
      </c>
      <c r="T171">
        <v>8.4</v>
      </c>
      <c r="U171">
        <v>323</v>
      </c>
      <c r="V171" s="19" t="s">
        <v>2381</v>
      </c>
      <c r="W171" s="19" t="s">
        <v>2129</v>
      </c>
      <c r="X171">
        <v>45</v>
      </c>
      <c r="Y171">
        <v>52</v>
      </c>
      <c r="Z171">
        <v>46.4</v>
      </c>
      <c r="AA171">
        <v>31</v>
      </c>
      <c r="AB171">
        <v>78</v>
      </c>
      <c r="AC171">
        <v>14</v>
      </c>
      <c r="AD171">
        <v>43</v>
      </c>
      <c r="AE171" s="19" t="s">
        <v>60</v>
      </c>
    </row>
    <row r="172" spans="1:31" x14ac:dyDescent="0.2">
      <c r="A172">
        <v>167</v>
      </c>
      <c r="B172" s="19" t="s">
        <v>550</v>
      </c>
      <c r="C172">
        <v>21</v>
      </c>
      <c r="D172" s="19" t="s">
        <v>407</v>
      </c>
      <c r="E172" s="19" t="s">
        <v>335</v>
      </c>
      <c r="F172">
        <v>49</v>
      </c>
      <c r="G172">
        <v>12</v>
      </c>
      <c r="H172">
        <v>15</v>
      </c>
      <c r="I172">
        <v>27</v>
      </c>
      <c r="J172">
        <v>-4</v>
      </c>
      <c r="K172">
        <v>49</v>
      </c>
      <c r="L172">
        <v>11</v>
      </c>
      <c r="M172">
        <v>1</v>
      </c>
      <c r="N172">
        <v>0</v>
      </c>
      <c r="O172">
        <v>0</v>
      </c>
      <c r="P172">
        <v>10</v>
      </c>
      <c r="Q172">
        <v>5</v>
      </c>
      <c r="R172">
        <v>0</v>
      </c>
      <c r="S172">
        <v>103</v>
      </c>
      <c r="T172">
        <v>11.7</v>
      </c>
      <c r="U172">
        <v>197</v>
      </c>
      <c r="V172" s="19" t="s">
        <v>2158</v>
      </c>
      <c r="W172" s="19" t="s">
        <v>609</v>
      </c>
      <c r="X172">
        <v>1</v>
      </c>
      <c r="Y172">
        <v>7</v>
      </c>
      <c r="Z172">
        <v>12.5</v>
      </c>
      <c r="AA172">
        <v>13</v>
      </c>
      <c r="AB172">
        <v>20</v>
      </c>
      <c r="AC172">
        <v>11</v>
      </c>
      <c r="AD172">
        <v>50</v>
      </c>
      <c r="AE172" s="19" t="s">
        <v>60</v>
      </c>
    </row>
    <row r="173" spans="1:31" x14ac:dyDescent="0.2">
      <c r="A173">
        <v>168</v>
      </c>
      <c r="B173" s="19" t="s">
        <v>599</v>
      </c>
      <c r="C173">
        <v>30</v>
      </c>
      <c r="D173" s="19" t="s">
        <v>321</v>
      </c>
      <c r="E173" s="19" t="s">
        <v>335</v>
      </c>
      <c r="F173">
        <v>40</v>
      </c>
      <c r="G173">
        <v>11</v>
      </c>
      <c r="H173">
        <v>16</v>
      </c>
      <c r="I173">
        <v>27</v>
      </c>
      <c r="J173">
        <v>3</v>
      </c>
      <c r="K173">
        <v>8</v>
      </c>
      <c r="L173">
        <v>10</v>
      </c>
      <c r="M173">
        <v>1</v>
      </c>
      <c r="N173">
        <v>0</v>
      </c>
      <c r="O173">
        <v>1</v>
      </c>
      <c r="P173">
        <v>14</v>
      </c>
      <c r="Q173">
        <v>2</v>
      </c>
      <c r="R173">
        <v>0</v>
      </c>
      <c r="S173">
        <v>96</v>
      </c>
      <c r="T173">
        <v>11.5</v>
      </c>
      <c r="U173">
        <v>188</v>
      </c>
      <c r="V173" s="19" t="s">
        <v>2382</v>
      </c>
      <c r="W173" s="19" t="s">
        <v>1619</v>
      </c>
      <c r="X173">
        <v>2</v>
      </c>
      <c r="Y173">
        <v>1</v>
      </c>
      <c r="Z173">
        <v>66.7</v>
      </c>
      <c r="AA173">
        <v>13</v>
      </c>
      <c r="AB173">
        <v>33</v>
      </c>
      <c r="AC173">
        <v>13</v>
      </c>
      <c r="AD173">
        <v>34</v>
      </c>
      <c r="AE173" s="19" t="s">
        <v>60</v>
      </c>
    </row>
    <row r="174" spans="1:31" x14ac:dyDescent="0.2">
      <c r="A174">
        <v>169</v>
      </c>
      <c r="B174" s="19" t="s">
        <v>620</v>
      </c>
      <c r="C174">
        <v>28</v>
      </c>
      <c r="D174" s="19" t="s">
        <v>376</v>
      </c>
      <c r="E174" s="19" t="s">
        <v>322</v>
      </c>
      <c r="F174">
        <v>50</v>
      </c>
      <c r="G174">
        <v>9</v>
      </c>
      <c r="H174">
        <v>18</v>
      </c>
      <c r="I174">
        <v>27</v>
      </c>
      <c r="J174">
        <v>5</v>
      </c>
      <c r="K174">
        <v>20</v>
      </c>
      <c r="L174">
        <v>6</v>
      </c>
      <c r="M174">
        <v>3</v>
      </c>
      <c r="N174">
        <v>0</v>
      </c>
      <c r="O174">
        <v>1</v>
      </c>
      <c r="P174">
        <v>16</v>
      </c>
      <c r="Q174">
        <v>2</v>
      </c>
      <c r="R174">
        <v>0</v>
      </c>
      <c r="S174">
        <v>76</v>
      </c>
      <c r="T174">
        <v>11.8</v>
      </c>
      <c r="U174">
        <v>146</v>
      </c>
      <c r="V174" s="19" t="s">
        <v>2274</v>
      </c>
      <c r="W174" s="19" t="s">
        <v>2275</v>
      </c>
      <c r="X174">
        <v>79</v>
      </c>
      <c r="Y174">
        <v>111</v>
      </c>
      <c r="Z174">
        <v>41.6</v>
      </c>
      <c r="AA174">
        <v>20</v>
      </c>
      <c r="AB174">
        <v>9</v>
      </c>
      <c r="AC174">
        <v>21</v>
      </c>
      <c r="AD174">
        <v>32</v>
      </c>
      <c r="AE174" s="19" t="s">
        <v>60</v>
      </c>
    </row>
    <row r="175" spans="1:31" x14ac:dyDescent="0.2">
      <c r="A175">
        <v>170</v>
      </c>
      <c r="B175" s="19" t="s">
        <v>556</v>
      </c>
      <c r="C175">
        <v>34</v>
      </c>
      <c r="D175" s="19" t="s">
        <v>428</v>
      </c>
      <c r="E175" s="19" t="s">
        <v>340</v>
      </c>
      <c r="F175">
        <v>32</v>
      </c>
      <c r="G175">
        <v>13</v>
      </c>
      <c r="H175">
        <v>14</v>
      </c>
      <c r="I175">
        <v>27</v>
      </c>
      <c r="J175">
        <v>-7</v>
      </c>
      <c r="K175">
        <v>12</v>
      </c>
      <c r="L175">
        <v>7</v>
      </c>
      <c r="M175">
        <v>6</v>
      </c>
      <c r="N175">
        <v>0</v>
      </c>
      <c r="O175">
        <v>3</v>
      </c>
      <c r="P175">
        <v>9</v>
      </c>
      <c r="Q175">
        <v>5</v>
      </c>
      <c r="R175">
        <v>0</v>
      </c>
      <c r="S175">
        <v>69</v>
      </c>
      <c r="T175">
        <v>18.8</v>
      </c>
      <c r="U175">
        <v>114</v>
      </c>
      <c r="V175" s="19" t="s">
        <v>2699</v>
      </c>
      <c r="W175" s="19" t="s">
        <v>1538</v>
      </c>
      <c r="X175">
        <v>25</v>
      </c>
      <c r="Y175">
        <v>53</v>
      </c>
      <c r="Z175">
        <v>32.1</v>
      </c>
      <c r="AA175">
        <v>9</v>
      </c>
      <c r="AB175">
        <v>33</v>
      </c>
      <c r="AC175">
        <v>3</v>
      </c>
      <c r="AD175">
        <v>33</v>
      </c>
      <c r="AE175" s="19" t="s">
        <v>60</v>
      </c>
    </row>
    <row r="176" spans="1:31" x14ac:dyDescent="0.2">
      <c r="A176">
        <v>171</v>
      </c>
      <c r="B176" s="19" t="s">
        <v>608</v>
      </c>
      <c r="C176">
        <v>32</v>
      </c>
      <c r="D176" s="19" t="s">
        <v>355</v>
      </c>
      <c r="E176" s="19" t="s">
        <v>340</v>
      </c>
      <c r="F176">
        <v>40</v>
      </c>
      <c r="G176">
        <v>12</v>
      </c>
      <c r="H176">
        <v>14</v>
      </c>
      <c r="I176">
        <v>26</v>
      </c>
      <c r="J176">
        <v>8</v>
      </c>
      <c r="K176">
        <v>16</v>
      </c>
      <c r="L176">
        <v>9</v>
      </c>
      <c r="M176">
        <v>3</v>
      </c>
      <c r="N176">
        <v>0</v>
      </c>
      <c r="O176">
        <v>5</v>
      </c>
      <c r="P176">
        <v>11</v>
      </c>
      <c r="Q176">
        <v>3</v>
      </c>
      <c r="R176">
        <v>0</v>
      </c>
      <c r="S176">
        <v>111</v>
      </c>
      <c r="T176">
        <v>10.8</v>
      </c>
      <c r="U176">
        <v>219</v>
      </c>
      <c r="V176" s="19" t="s">
        <v>2171</v>
      </c>
      <c r="W176" s="19" t="s">
        <v>752</v>
      </c>
      <c r="X176">
        <v>6</v>
      </c>
      <c r="Y176">
        <v>4</v>
      </c>
      <c r="Z176">
        <v>60</v>
      </c>
      <c r="AA176">
        <v>23</v>
      </c>
      <c r="AB176">
        <v>16</v>
      </c>
      <c r="AC176">
        <v>8</v>
      </c>
      <c r="AD176">
        <v>29</v>
      </c>
      <c r="AE176" s="19" t="s">
        <v>60</v>
      </c>
    </row>
    <row r="177" spans="1:31" x14ac:dyDescent="0.2">
      <c r="A177">
        <v>172</v>
      </c>
      <c r="B177" s="19" t="s">
        <v>558</v>
      </c>
      <c r="C177">
        <v>26</v>
      </c>
      <c r="D177" s="19" t="s">
        <v>407</v>
      </c>
      <c r="E177" s="19" t="s">
        <v>340</v>
      </c>
      <c r="F177">
        <v>50</v>
      </c>
      <c r="G177">
        <v>10</v>
      </c>
      <c r="H177">
        <v>16</v>
      </c>
      <c r="I177">
        <v>26</v>
      </c>
      <c r="J177">
        <v>17</v>
      </c>
      <c r="K177">
        <v>31</v>
      </c>
      <c r="L177">
        <v>8</v>
      </c>
      <c r="M177">
        <v>2</v>
      </c>
      <c r="N177">
        <v>0</v>
      </c>
      <c r="O177">
        <v>3</v>
      </c>
      <c r="P177">
        <v>12</v>
      </c>
      <c r="Q177">
        <v>4</v>
      </c>
      <c r="R177">
        <v>0</v>
      </c>
      <c r="S177">
        <v>80</v>
      </c>
      <c r="T177">
        <v>12.5</v>
      </c>
      <c r="U177">
        <v>134</v>
      </c>
      <c r="V177" s="19" t="s">
        <v>2383</v>
      </c>
      <c r="W177" s="19" t="s">
        <v>920</v>
      </c>
      <c r="X177">
        <v>276</v>
      </c>
      <c r="Y177">
        <v>358</v>
      </c>
      <c r="Z177">
        <v>43.5</v>
      </c>
      <c r="AA177">
        <v>35</v>
      </c>
      <c r="AB177">
        <v>55</v>
      </c>
      <c r="AC177">
        <v>13</v>
      </c>
      <c r="AD177">
        <v>25</v>
      </c>
      <c r="AE177" s="19" t="s">
        <v>60</v>
      </c>
    </row>
    <row r="178" spans="1:31" x14ac:dyDescent="0.2">
      <c r="A178">
        <v>173</v>
      </c>
      <c r="B178" s="19" t="s">
        <v>532</v>
      </c>
      <c r="C178">
        <v>23</v>
      </c>
      <c r="D178" s="19" t="s">
        <v>436</v>
      </c>
      <c r="E178" s="19" t="s">
        <v>335</v>
      </c>
      <c r="F178">
        <v>50</v>
      </c>
      <c r="G178">
        <v>13</v>
      </c>
      <c r="H178">
        <v>13</v>
      </c>
      <c r="I178">
        <v>26</v>
      </c>
      <c r="J178">
        <v>-21</v>
      </c>
      <c r="K178">
        <v>16</v>
      </c>
      <c r="L178">
        <v>8</v>
      </c>
      <c r="M178">
        <v>5</v>
      </c>
      <c r="N178">
        <v>0</v>
      </c>
      <c r="O178">
        <v>3</v>
      </c>
      <c r="P178">
        <v>10</v>
      </c>
      <c r="Q178">
        <v>3</v>
      </c>
      <c r="R178">
        <v>0</v>
      </c>
      <c r="S178">
        <v>115</v>
      </c>
      <c r="T178">
        <v>11.3</v>
      </c>
      <c r="U178">
        <v>239</v>
      </c>
      <c r="V178" s="19" t="s">
        <v>2384</v>
      </c>
      <c r="W178" s="19" t="s">
        <v>627</v>
      </c>
      <c r="X178">
        <v>43</v>
      </c>
      <c r="Y178">
        <v>71</v>
      </c>
      <c r="Z178">
        <v>37.700000000000003</v>
      </c>
      <c r="AA178">
        <v>17</v>
      </c>
      <c r="AB178">
        <v>11</v>
      </c>
      <c r="AC178">
        <v>11</v>
      </c>
      <c r="AD178">
        <v>33</v>
      </c>
      <c r="AE178" s="19" t="s">
        <v>60</v>
      </c>
    </row>
    <row r="179" spans="1:31" x14ac:dyDescent="0.2">
      <c r="A179">
        <v>174</v>
      </c>
      <c r="B179" s="19" t="s">
        <v>518</v>
      </c>
      <c r="C179">
        <v>33</v>
      </c>
      <c r="D179" s="19" t="s">
        <v>407</v>
      </c>
      <c r="E179" s="19" t="s">
        <v>322</v>
      </c>
      <c r="F179">
        <v>49</v>
      </c>
      <c r="G179">
        <v>5</v>
      </c>
      <c r="H179">
        <v>21</v>
      </c>
      <c r="I179">
        <v>26</v>
      </c>
      <c r="J179">
        <v>-4</v>
      </c>
      <c r="K179">
        <v>18</v>
      </c>
      <c r="L179">
        <v>5</v>
      </c>
      <c r="M179">
        <v>0</v>
      </c>
      <c r="N179">
        <v>0</v>
      </c>
      <c r="O179">
        <v>1</v>
      </c>
      <c r="P179">
        <v>20</v>
      </c>
      <c r="Q179">
        <v>1</v>
      </c>
      <c r="R179">
        <v>0</v>
      </c>
      <c r="S179">
        <v>77</v>
      </c>
      <c r="T179">
        <v>6.5</v>
      </c>
      <c r="U179">
        <v>154</v>
      </c>
      <c r="V179" s="19" t="s">
        <v>2385</v>
      </c>
      <c r="W179" s="19" t="s">
        <v>1466</v>
      </c>
      <c r="X179">
        <v>445</v>
      </c>
      <c r="Y179">
        <v>369</v>
      </c>
      <c r="Z179">
        <v>54.7</v>
      </c>
      <c r="AA179">
        <v>29</v>
      </c>
      <c r="AB179">
        <v>50</v>
      </c>
      <c r="AC179">
        <v>23</v>
      </c>
      <c r="AD179">
        <v>43</v>
      </c>
      <c r="AE179" s="19" t="s">
        <v>60</v>
      </c>
    </row>
    <row r="180" spans="1:31" x14ac:dyDescent="0.2">
      <c r="A180">
        <v>175</v>
      </c>
      <c r="B180" s="19" t="s">
        <v>636</v>
      </c>
      <c r="C180">
        <v>28</v>
      </c>
      <c r="D180" s="19" t="s">
        <v>405</v>
      </c>
      <c r="E180" s="19" t="s">
        <v>340</v>
      </c>
      <c r="F180">
        <v>50</v>
      </c>
      <c r="G180">
        <v>13</v>
      </c>
      <c r="H180">
        <v>13</v>
      </c>
      <c r="I180">
        <v>26</v>
      </c>
      <c r="J180">
        <v>18</v>
      </c>
      <c r="K180">
        <v>14</v>
      </c>
      <c r="L180">
        <v>12</v>
      </c>
      <c r="M180">
        <v>0</v>
      </c>
      <c r="N180">
        <v>1</v>
      </c>
      <c r="O180">
        <v>2</v>
      </c>
      <c r="P180">
        <v>12</v>
      </c>
      <c r="Q180">
        <v>0</v>
      </c>
      <c r="R180">
        <v>1</v>
      </c>
      <c r="S180">
        <v>84</v>
      </c>
      <c r="T180">
        <v>15.5</v>
      </c>
      <c r="U180">
        <v>173</v>
      </c>
      <c r="V180" s="19" t="s">
        <v>2239</v>
      </c>
      <c r="W180" s="19" t="s">
        <v>2100</v>
      </c>
      <c r="X180">
        <v>21</v>
      </c>
      <c r="Y180">
        <v>37</v>
      </c>
      <c r="Z180">
        <v>36.200000000000003</v>
      </c>
      <c r="AA180">
        <v>35</v>
      </c>
      <c r="AB180">
        <v>136</v>
      </c>
      <c r="AC180">
        <v>10</v>
      </c>
      <c r="AD180">
        <v>28</v>
      </c>
      <c r="AE180" s="19" t="s">
        <v>60</v>
      </c>
    </row>
    <row r="181" spans="1:31" x14ac:dyDescent="0.2">
      <c r="A181">
        <v>176</v>
      </c>
      <c r="B181" s="19" t="s">
        <v>562</v>
      </c>
      <c r="C181">
        <v>22</v>
      </c>
      <c r="D181" s="19" t="s">
        <v>399</v>
      </c>
      <c r="E181" s="19" t="s">
        <v>349</v>
      </c>
      <c r="F181">
        <v>49</v>
      </c>
      <c r="G181">
        <v>5</v>
      </c>
      <c r="H181">
        <v>21</v>
      </c>
      <c r="I181">
        <v>26</v>
      </c>
      <c r="J181">
        <v>-8</v>
      </c>
      <c r="K181">
        <v>24</v>
      </c>
      <c r="L181">
        <v>4</v>
      </c>
      <c r="M181">
        <v>1</v>
      </c>
      <c r="N181">
        <v>0</v>
      </c>
      <c r="O181">
        <v>1</v>
      </c>
      <c r="P181">
        <v>14</v>
      </c>
      <c r="Q181">
        <v>7</v>
      </c>
      <c r="R181">
        <v>0</v>
      </c>
      <c r="S181">
        <v>104</v>
      </c>
      <c r="T181">
        <v>4.8</v>
      </c>
      <c r="U181">
        <v>281</v>
      </c>
      <c r="V181" s="19" t="s">
        <v>2167</v>
      </c>
      <c r="W181" s="19" t="s">
        <v>2168</v>
      </c>
      <c r="X181">
        <v>0</v>
      </c>
      <c r="Y181">
        <v>0</v>
      </c>
      <c r="AA181">
        <v>39</v>
      </c>
      <c r="AB181">
        <v>13</v>
      </c>
      <c r="AC181">
        <v>18</v>
      </c>
      <c r="AD181">
        <v>81</v>
      </c>
      <c r="AE181" s="19" t="s">
        <v>60</v>
      </c>
    </row>
    <row r="182" spans="1:31" x14ac:dyDescent="0.2">
      <c r="A182">
        <v>177</v>
      </c>
      <c r="B182" s="19" t="s">
        <v>456</v>
      </c>
      <c r="C182">
        <v>34</v>
      </c>
      <c r="D182" s="19" t="s">
        <v>337</v>
      </c>
      <c r="E182" s="19" t="s">
        <v>340</v>
      </c>
      <c r="F182">
        <v>45</v>
      </c>
      <c r="G182">
        <v>16</v>
      </c>
      <c r="H182">
        <v>10</v>
      </c>
      <c r="I182">
        <v>26</v>
      </c>
      <c r="J182">
        <v>-6</v>
      </c>
      <c r="K182">
        <v>20</v>
      </c>
      <c r="L182">
        <v>9</v>
      </c>
      <c r="M182">
        <v>7</v>
      </c>
      <c r="N182">
        <v>0</v>
      </c>
      <c r="O182">
        <v>2</v>
      </c>
      <c r="P182">
        <v>7</v>
      </c>
      <c r="Q182">
        <v>3</v>
      </c>
      <c r="R182">
        <v>0</v>
      </c>
      <c r="S182">
        <v>82</v>
      </c>
      <c r="T182">
        <v>19.5</v>
      </c>
      <c r="U182">
        <v>176</v>
      </c>
      <c r="V182" s="19" t="s">
        <v>2386</v>
      </c>
      <c r="W182" s="19" t="s">
        <v>1675</v>
      </c>
      <c r="X182">
        <v>13</v>
      </c>
      <c r="Y182">
        <v>21</v>
      </c>
      <c r="Z182">
        <v>38.200000000000003</v>
      </c>
      <c r="AA182">
        <v>17</v>
      </c>
      <c r="AB182">
        <v>44</v>
      </c>
      <c r="AC182">
        <v>10</v>
      </c>
      <c r="AD182">
        <v>39</v>
      </c>
      <c r="AE182" s="19" t="s">
        <v>60</v>
      </c>
    </row>
    <row r="183" spans="1:31" x14ac:dyDescent="0.2">
      <c r="A183">
        <v>178</v>
      </c>
      <c r="B183" s="19" t="s">
        <v>598</v>
      </c>
      <c r="C183">
        <v>29</v>
      </c>
      <c r="D183" s="19" t="s">
        <v>359</v>
      </c>
      <c r="E183" s="19" t="s">
        <v>325</v>
      </c>
      <c r="F183">
        <v>50</v>
      </c>
      <c r="G183">
        <v>16</v>
      </c>
      <c r="H183">
        <v>10</v>
      </c>
      <c r="I183">
        <v>26</v>
      </c>
      <c r="J183">
        <v>3</v>
      </c>
      <c r="K183">
        <v>40</v>
      </c>
      <c r="L183">
        <v>14</v>
      </c>
      <c r="M183">
        <v>2</v>
      </c>
      <c r="N183">
        <v>0</v>
      </c>
      <c r="O183">
        <v>3</v>
      </c>
      <c r="P183">
        <v>9</v>
      </c>
      <c r="Q183">
        <v>1</v>
      </c>
      <c r="R183">
        <v>0</v>
      </c>
      <c r="S183">
        <v>100</v>
      </c>
      <c r="T183">
        <v>16</v>
      </c>
      <c r="U183">
        <v>182</v>
      </c>
      <c r="V183" s="19" t="s">
        <v>2387</v>
      </c>
      <c r="W183" s="19" t="s">
        <v>961</v>
      </c>
      <c r="X183">
        <v>6</v>
      </c>
      <c r="Y183">
        <v>3</v>
      </c>
      <c r="Z183">
        <v>66.7</v>
      </c>
      <c r="AA183">
        <v>22</v>
      </c>
      <c r="AB183">
        <v>109</v>
      </c>
      <c r="AC183">
        <v>10</v>
      </c>
      <c r="AD183">
        <v>21</v>
      </c>
      <c r="AE183" s="19" t="s">
        <v>60</v>
      </c>
    </row>
    <row r="184" spans="1:31" x14ac:dyDescent="0.2">
      <c r="A184">
        <v>179</v>
      </c>
      <c r="B184" s="19" t="s">
        <v>511</v>
      </c>
      <c r="C184">
        <v>30</v>
      </c>
      <c r="D184" s="19" t="s">
        <v>344</v>
      </c>
      <c r="E184" s="19" t="s">
        <v>349</v>
      </c>
      <c r="F184">
        <v>39</v>
      </c>
      <c r="G184">
        <v>7</v>
      </c>
      <c r="H184">
        <v>19</v>
      </c>
      <c r="I184">
        <v>26</v>
      </c>
      <c r="J184">
        <v>16</v>
      </c>
      <c r="K184">
        <v>6</v>
      </c>
      <c r="L184">
        <v>6</v>
      </c>
      <c r="M184">
        <v>1</v>
      </c>
      <c r="N184">
        <v>0</v>
      </c>
      <c r="O184">
        <v>3</v>
      </c>
      <c r="P184">
        <v>16</v>
      </c>
      <c r="Q184">
        <v>3</v>
      </c>
      <c r="R184">
        <v>0</v>
      </c>
      <c r="S184">
        <v>87</v>
      </c>
      <c r="T184">
        <v>8</v>
      </c>
      <c r="U184">
        <v>194</v>
      </c>
      <c r="V184" s="19" t="s">
        <v>2388</v>
      </c>
      <c r="W184" s="19" t="s">
        <v>1824</v>
      </c>
      <c r="X184">
        <v>0</v>
      </c>
      <c r="Y184">
        <v>0</v>
      </c>
      <c r="AA184">
        <v>62</v>
      </c>
      <c r="AB184">
        <v>1</v>
      </c>
      <c r="AC184">
        <v>14</v>
      </c>
      <c r="AD184">
        <v>47</v>
      </c>
      <c r="AE184" s="19" t="s">
        <v>60</v>
      </c>
    </row>
    <row r="185" spans="1:31" x14ac:dyDescent="0.2">
      <c r="A185">
        <v>180</v>
      </c>
      <c r="B185" s="19" t="s">
        <v>531</v>
      </c>
      <c r="C185">
        <v>28</v>
      </c>
      <c r="D185" s="19" t="s">
        <v>447</v>
      </c>
      <c r="E185" s="19" t="s">
        <v>335</v>
      </c>
      <c r="F185">
        <v>49</v>
      </c>
      <c r="G185">
        <v>12</v>
      </c>
      <c r="H185">
        <v>13</v>
      </c>
      <c r="I185">
        <v>25</v>
      </c>
      <c r="J185">
        <v>-30</v>
      </c>
      <c r="K185">
        <v>6</v>
      </c>
      <c r="L185">
        <v>10</v>
      </c>
      <c r="M185">
        <v>2</v>
      </c>
      <c r="N185">
        <v>0</v>
      </c>
      <c r="O185">
        <v>2</v>
      </c>
      <c r="P185">
        <v>6</v>
      </c>
      <c r="Q185">
        <v>7</v>
      </c>
      <c r="R185">
        <v>0</v>
      </c>
      <c r="S185">
        <v>109</v>
      </c>
      <c r="T185">
        <v>11</v>
      </c>
      <c r="U185">
        <v>233</v>
      </c>
      <c r="V185" s="19" t="s">
        <v>2389</v>
      </c>
      <c r="W185" s="19" t="s">
        <v>2012</v>
      </c>
      <c r="X185">
        <v>46</v>
      </c>
      <c r="Y185">
        <v>62</v>
      </c>
      <c r="Z185">
        <v>42.6</v>
      </c>
      <c r="AA185">
        <v>20</v>
      </c>
      <c r="AB185">
        <v>29</v>
      </c>
      <c r="AC185">
        <v>8</v>
      </c>
      <c r="AD185">
        <v>34</v>
      </c>
      <c r="AE185" s="19" t="s">
        <v>60</v>
      </c>
    </row>
    <row r="186" spans="1:31" x14ac:dyDescent="0.2">
      <c r="A186">
        <v>181</v>
      </c>
      <c r="B186" s="19" t="s">
        <v>577</v>
      </c>
      <c r="C186">
        <v>40</v>
      </c>
      <c r="D186" s="19" t="s">
        <v>321</v>
      </c>
      <c r="E186" s="19" t="s">
        <v>349</v>
      </c>
      <c r="F186">
        <v>49</v>
      </c>
      <c r="G186">
        <v>8</v>
      </c>
      <c r="H186">
        <v>17</v>
      </c>
      <c r="I186">
        <v>25</v>
      </c>
      <c r="J186">
        <v>27</v>
      </c>
      <c r="K186">
        <v>18</v>
      </c>
      <c r="L186">
        <v>8</v>
      </c>
      <c r="M186">
        <v>0</v>
      </c>
      <c r="N186">
        <v>0</v>
      </c>
      <c r="O186">
        <v>4</v>
      </c>
      <c r="P186">
        <v>16</v>
      </c>
      <c r="Q186">
        <v>1</v>
      </c>
      <c r="R186">
        <v>0</v>
      </c>
      <c r="S186">
        <v>111</v>
      </c>
      <c r="T186">
        <v>7.2</v>
      </c>
      <c r="U186">
        <v>253</v>
      </c>
      <c r="V186" s="19" t="s">
        <v>2390</v>
      </c>
      <c r="W186" s="19" t="s">
        <v>2210</v>
      </c>
      <c r="X186">
        <v>0</v>
      </c>
      <c r="Y186">
        <v>0</v>
      </c>
      <c r="AA186">
        <v>57</v>
      </c>
      <c r="AB186">
        <v>11</v>
      </c>
      <c r="AC186">
        <v>13</v>
      </c>
      <c r="AD186">
        <v>56</v>
      </c>
      <c r="AE186" s="19" t="s">
        <v>60</v>
      </c>
    </row>
    <row r="187" spans="1:31" x14ac:dyDescent="0.2">
      <c r="A187">
        <v>182</v>
      </c>
      <c r="B187" s="19" t="s">
        <v>612</v>
      </c>
      <c r="C187">
        <v>24</v>
      </c>
      <c r="D187" s="19" t="s">
        <v>428</v>
      </c>
      <c r="E187" s="19" t="s">
        <v>349</v>
      </c>
      <c r="F187">
        <v>51</v>
      </c>
      <c r="G187">
        <v>10</v>
      </c>
      <c r="H187">
        <v>15</v>
      </c>
      <c r="I187">
        <v>25</v>
      </c>
      <c r="J187">
        <v>10</v>
      </c>
      <c r="K187">
        <v>24</v>
      </c>
      <c r="L187">
        <v>9</v>
      </c>
      <c r="M187">
        <v>1</v>
      </c>
      <c r="N187">
        <v>0</v>
      </c>
      <c r="O187">
        <v>4</v>
      </c>
      <c r="P187">
        <v>13</v>
      </c>
      <c r="Q187">
        <v>2</v>
      </c>
      <c r="R187">
        <v>0</v>
      </c>
      <c r="S187">
        <v>68</v>
      </c>
      <c r="T187">
        <v>14.7</v>
      </c>
      <c r="U187">
        <v>153</v>
      </c>
      <c r="V187" s="19" t="s">
        <v>2700</v>
      </c>
      <c r="W187" s="19" t="s">
        <v>2013</v>
      </c>
      <c r="X187">
        <v>0</v>
      </c>
      <c r="Y187">
        <v>0</v>
      </c>
      <c r="AA187">
        <v>60</v>
      </c>
      <c r="AB187">
        <v>31</v>
      </c>
      <c r="AC187">
        <v>10</v>
      </c>
      <c r="AD187">
        <v>63</v>
      </c>
      <c r="AE187" s="19" t="s">
        <v>60</v>
      </c>
    </row>
    <row r="188" spans="1:31" x14ac:dyDescent="0.2">
      <c r="A188">
        <v>183</v>
      </c>
      <c r="B188" s="19" t="s">
        <v>578</v>
      </c>
      <c r="C188">
        <v>22</v>
      </c>
      <c r="D188" s="19" t="s">
        <v>419</v>
      </c>
      <c r="E188" s="19" t="s">
        <v>349</v>
      </c>
      <c r="F188">
        <v>50</v>
      </c>
      <c r="G188">
        <v>6</v>
      </c>
      <c r="H188">
        <v>19</v>
      </c>
      <c r="I188">
        <v>25</v>
      </c>
      <c r="J188">
        <v>14</v>
      </c>
      <c r="K188">
        <v>30</v>
      </c>
      <c r="L188">
        <v>5</v>
      </c>
      <c r="M188">
        <v>1</v>
      </c>
      <c r="N188">
        <v>0</v>
      </c>
      <c r="O188">
        <v>2</v>
      </c>
      <c r="P188">
        <v>14</v>
      </c>
      <c r="Q188">
        <v>5</v>
      </c>
      <c r="R188">
        <v>0</v>
      </c>
      <c r="S188">
        <v>100</v>
      </c>
      <c r="T188">
        <v>6</v>
      </c>
      <c r="U188">
        <v>189</v>
      </c>
      <c r="V188" s="19" t="s">
        <v>2701</v>
      </c>
      <c r="W188" s="19" t="s">
        <v>1839</v>
      </c>
      <c r="X188">
        <v>0</v>
      </c>
      <c r="Y188">
        <v>0</v>
      </c>
      <c r="AA188">
        <v>89</v>
      </c>
      <c r="AB188">
        <v>23</v>
      </c>
      <c r="AC188">
        <v>17</v>
      </c>
      <c r="AD188">
        <v>58</v>
      </c>
      <c r="AE188" s="19" t="s">
        <v>60</v>
      </c>
    </row>
    <row r="189" spans="1:31" x14ac:dyDescent="0.2">
      <c r="A189">
        <v>184</v>
      </c>
      <c r="B189" s="19" t="s">
        <v>533</v>
      </c>
      <c r="C189">
        <v>23</v>
      </c>
      <c r="D189" s="19" t="s">
        <v>361</v>
      </c>
      <c r="E189" s="19" t="s">
        <v>340</v>
      </c>
      <c r="F189">
        <v>52</v>
      </c>
      <c r="G189">
        <v>11</v>
      </c>
      <c r="H189">
        <v>14</v>
      </c>
      <c r="I189">
        <v>25</v>
      </c>
      <c r="J189">
        <v>-17</v>
      </c>
      <c r="K189">
        <v>35</v>
      </c>
      <c r="L189">
        <v>7</v>
      </c>
      <c r="M189">
        <v>4</v>
      </c>
      <c r="N189">
        <v>0</v>
      </c>
      <c r="O189">
        <v>1</v>
      </c>
      <c r="P189">
        <v>10</v>
      </c>
      <c r="Q189">
        <v>4</v>
      </c>
      <c r="R189">
        <v>0</v>
      </c>
      <c r="S189">
        <v>98</v>
      </c>
      <c r="T189">
        <v>11.2</v>
      </c>
      <c r="U189">
        <v>205</v>
      </c>
      <c r="V189" s="19" t="s">
        <v>2391</v>
      </c>
      <c r="W189" s="19" t="s">
        <v>2038</v>
      </c>
      <c r="X189">
        <v>34</v>
      </c>
      <c r="Y189">
        <v>29</v>
      </c>
      <c r="Z189">
        <v>54</v>
      </c>
      <c r="AA189">
        <v>54</v>
      </c>
      <c r="AB189">
        <v>178</v>
      </c>
      <c r="AC189">
        <v>8</v>
      </c>
      <c r="AD189">
        <v>32</v>
      </c>
      <c r="AE189" s="19" t="s">
        <v>60</v>
      </c>
    </row>
    <row r="190" spans="1:31" x14ac:dyDescent="0.2">
      <c r="A190">
        <v>185</v>
      </c>
      <c r="B190" s="19" t="s">
        <v>539</v>
      </c>
      <c r="C190">
        <v>34</v>
      </c>
      <c r="D190" s="19" t="s">
        <v>459</v>
      </c>
      <c r="E190" s="19" t="s">
        <v>340</v>
      </c>
      <c r="F190">
        <v>51</v>
      </c>
      <c r="G190">
        <v>8</v>
      </c>
      <c r="H190">
        <v>17</v>
      </c>
      <c r="I190">
        <v>25</v>
      </c>
      <c r="J190">
        <v>-13</v>
      </c>
      <c r="K190">
        <v>32</v>
      </c>
      <c r="L190">
        <v>6</v>
      </c>
      <c r="M190">
        <v>2</v>
      </c>
      <c r="N190">
        <v>0</v>
      </c>
      <c r="O190">
        <v>0</v>
      </c>
      <c r="P190">
        <v>9</v>
      </c>
      <c r="Q190">
        <v>7</v>
      </c>
      <c r="R190">
        <v>1</v>
      </c>
      <c r="S190">
        <v>80</v>
      </c>
      <c r="T190">
        <v>10</v>
      </c>
      <c r="U190">
        <v>162</v>
      </c>
      <c r="V190" s="19" t="s">
        <v>2702</v>
      </c>
      <c r="W190" s="19" t="s">
        <v>1667</v>
      </c>
      <c r="X190">
        <v>297</v>
      </c>
      <c r="Y190">
        <v>289</v>
      </c>
      <c r="Z190">
        <v>50.7</v>
      </c>
      <c r="AA190">
        <v>31</v>
      </c>
      <c r="AB190">
        <v>64</v>
      </c>
      <c r="AC190">
        <v>12</v>
      </c>
      <c r="AD190">
        <v>35</v>
      </c>
      <c r="AE190" s="19" t="s">
        <v>60</v>
      </c>
    </row>
    <row r="191" spans="1:31" x14ac:dyDescent="0.2">
      <c r="A191">
        <v>186</v>
      </c>
      <c r="B191" s="19" t="s">
        <v>711</v>
      </c>
      <c r="C191">
        <v>32</v>
      </c>
      <c r="D191" s="19" t="s">
        <v>381</v>
      </c>
      <c r="E191" s="19" t="s">
        <v>322</v>
      </c>
      <c r="F191">
        <v>37</v>
      </c>
      <c r="G191">
        <v>8</v>
      </c>
      <c r="H191">
        <v>17</v>
      </c>
      <c r="I191">
        <v>25</v>
      </c>
      <c r="J191">
        <v>1</v>
      </c>
      <c r="K191">
        <v>26</v>
      </c>
      <c r="L191">
        <v>7</v>
      </c>
      <c r="M191">
        <v>1</v>
      </c>
      <c r="N191">
        <v>0</v>
      </c>
      <c r="O191">
        <v>2</v>
      </c>
      <c r="P191">
        <v>14</v>
      </c>
      <c r="Q191">
        <v>2</v>
      </c>
      <c r="R191">
        <v>1</v>
      </c>
      <c r="S191">
        <v>82</v>
      </c>
      <c r="T191">
        <v>9.8000000000000007</v>
      </c>
      <c r="U191">
        <v>167</v>
      </c>
      <c r="V191" s="19" t="s">
        <v>2703</v>
      </c>
      <c r="W191" s="19" t="s">
        <v>1732</v>
      </c>
      <c r="X191">
        <v>82</v>
      </c>
      <c r="Y191">
        <v>71</v>
      </c>
      <c r="Z191">
        <v>53.6</v>
      </c>
      <c r="AA191">
        <v>37</v>
      </c>
      <c r="AB191">
        <v>84</v>
      </c>
      <c r="AC191">
        <v>6</v>
      </c>
      <c r="AD191">
        <v>31</v>
      </c>
      <c r="AE191" s="19" t="s">
        <v>60</v>
      </c>
    </row>
    <row r="192" spans="1:31" x14ac:dyDescent="0.2">
      <c r="A192">
        <v>187</v>
      </c>
      <c r="B192" s="19" t="s">
        <v>619</v>
      </c>
      <c r="C192">
        <v>38</v>
      </c>
      <c r="D192" s="19" t="s">
        <v>376</v>
      </c>
      <c r="E192" s="19" t="s">
        <v>349</v>
      </c>
      <c r="F192">
        <v>48</v>
      </c>
      <c r="G192">
        <v>3</v>
      </c>
      <c r="H192">
        <v>22</v>
      </c>
      <c r="I192">
        <v>25</v>
      </c>
      <c r="J192">
        <v>5</v>
      </c>
      <c r="K192">
        <v>22</v>
      </c>
      <c r="L192">
        <v>2</v>
      </c>
      <c r="M192">
        <v>1</v>
      </c>
      <c r="N192">
        <v>0</v>
      </c>
      <c r="O192">
        <v>2</v>
      </c>
      <c r="P192">
        <v>15</v>
      </c>
      <c r="Q192">
        <v>7</v>
      </c>
      <c r="R192">
        <v>0</v>
      </c>
      <c r="S192">
        <v>77</v>
      </c>
      <c r="T192">
        <v>3.9</v>
      </c>
      <c r="U192">
        <v>187</v>
      </c>
      <c r="V192" s="19" t="s">
        <v>2169</v>
      </c>
      <c r="W192" s="19" t="s">
        <v>2080</v>
      </c>
      <c r="X192">
        <v>0</v>
      </c>
      <c r="Y192">
        <v>0</v>
      </c>
      <c r="AA192">
        <v>60</v>
      </c>
      <c r="AB192">
        <v>65</v>
      </c>
      <c r="AC192">
        <v>17</v>
      </c>
      <c r="AD192">
        <v>69</v>
      </c>
      <c r="AE192" s="19" t="s">
        <v>60</v>
      </c>
    </row>
    <row r="193" spans="1:31" x14ac:dyDescent="0.2">
      <c r="A193">
        <v>188</v>
      </c>
      <c r="B193" s="19" t="s">
        <v>549</v>
      </c>
      <c r="C193">
        <v>31</v>
      </c>
      <c r="D193" s="19" t="s">
        <v>363</v>
      </c>
      <c r="E193" s="19" t="s">
        <v>349</v>
      </c>
      <c r="F193">
        <v>49</v>
      </c>
      <c r="G193">
        <v>5</v>
      </c>
      <c r="H193">
        <v>20</v>
      </c>
      <c r="I193">
        <v>25</v>
      </c>
      <c r="J193">
        <v>12</v>
      </c>
      <c r="K193">
        <v>22</v>
      </c>
      <c r="L193">
        <v>5</v>
      </c>
      <c r="M193">
        <v>0</v>
      </c>
      <c r="N193">
        <v>0</v>
      </c>
      <c r="O193">
        <v>2</v>
      </c>
      <c r="P193">
        <v>20</v>
      </c>
      <c r="Q193">
        <v>0</v>
      </c>
      <c r="R193">
        <v>0</v>
      </c>
      <c r="S193">
        <v>69</v>
      </c>
      <c r="T193">
        <v>7.2</v>
      </c>
      <c r="U193">
        <v>177</v>
      </c>
      <c r="V193" s="19" t="s">
        <v>2704</v>
      </c>
      <c r="W193" s="19" t="s">
        <v>2705</v>
      </c>
      <c r="X193">
        <v>0</v>
      </c>
      <c r="Y193">
        <v>0</v>
      </c>
      <c r="AA193">
        <v>103</v>
      </c>
      <c r="AB193">
        <v>33</v>
      </c>
      <c r="AC193">
        <v>20</v>
      </c>
      <c r="AD193">
        <v>56</v>
      </c>
      <c r="AE193" s="19" t="s">
        <v>60</v>
      </c>
    </row>
    <row r="194" spans="1:31" x14ac:dyDescent="0.2">
      <c r="A194">
        <v>189</v>
      </c>
      <c r="B194" s="19" t="s">
        <v>760</v>
      </c>
      <c r="C194">
        <v>21</v>
      </c>
      <c r="D194" s="19" t="s">
        <v>355</v>
      </c>
      <c r="E194" s="19" t="s">
        <v>322</v>
      </c>
      <c r="F194">
        <v>52</v>
      </c>
      <c r="G194">
        <v>13</v>
      </c>
      <c r="H194">
        <v>12</v>
      </c>
      <c r="I194">
        <v>25</v>
      </c>
      <c r="J194">
        <v>15</v>
      </c>
      <c r="K194">
        <v>14</v>
      </c>
      <c r="L194">
        <v>12</v>
      </c>
      <c r="M194">
        <v>1</v>
      </c>
      <c r="N194">
        <v>0</v>
      </c>
      <c r="O194">
        <v>2</v>
      </c>
      <c r="P194">
        <v>9</v>
      </c>
      <c r="Q194">
        <v>2</v>
      </c>
      <c r="R194">
        <v>1</v>
      </c>
      <c r="S194">
        <v>69</v>
      </c>
      <c r="T194">
        <v>18.8</v>
      </c>
      <c r="U194">
        <v>137</v>
      </c>
      <c r="V194" s="19" t="s">
        <v>2706</v>
      </c>
      <c r="W194" s="19" t="s">
        <v>656</v>
      </c>
      <c r="X194">
        <v>231</v>
      </c>
      <c r="Y194">
        <v>252</v>
      </c>
      <c r="Z194">
        <v>47.8</v>
      </c>
      <c r="AA194">
        <v>33</v>
      </c>
      <c r="AB194">
        <v>95</v>
      </c>
      <c r="AC194">
        <v>19</v>
      </c>
      <c r="AD194">
        <v>23</v>
      </c>
      <c r="AE194" s="19" t="s">
        <v>60</v>
      </c>
    </row>
    <row r="195" spans="1:31" x14ac:dyDescent="0.2">
      <c r="A195">
        <v>190</v>
      </c>
      <c r="B195" s="19" t="s">
        <v>621</v>
      </c>
      <c r="C195">
        <v>37</v>
      </c>
      <c r="D195" s="19" t="s">
        <v>416</v>
      </c>
      <c r="E195" s="19" t="s">
        <v>340</v>
      </c>
      <c r="F195">
        <v>49</v>
      </c>
      <c r="G195">
        <v>10</v>
      </c>
      <c r="H195">
        <v>15</v>
      </c>
      <c r="I195">
        <v>25</v>
      </c>
      <c r="J195">
        <v>2</v>
      </c>
      <c r="K195">
        <v>22</v>
      </c>
      <c r="L195">
        <v>7</v>
      </c>
      <c r="M195">
        <v>3</v>
      </c>
      <c r="N195">
        <v>0</v>
      </c>
      <c r="O195">
        <v>1</v>
      </c>
      <c r="P195">
        <v>10</v>
      </c>
      <c r="Q195">
        <v>5</v>
      </c>
      <c r="R195">
        <v>0</v>
      </c>
      <c r="S195">
        <v>69</v>
      </c>
      <c r="T195">
        <v>14.5</v>
      </c>
      <c r="U195">
        <v>126</v>
      </c>
      <c r="V195" s="19" t="s">
        <v>2209</v>
      </c>
      <c r="W195" s="19" t="s">
        <v>1087</v>
      </c>
      <c r="X195">
        <v>3</v>
      </c>
      <c r="Y195">
        <v>5</v>
      </c>
      <c r="Z195">
        <v>37.5</v>
      </c>
      <c r="AA195">
        <v>18</v>
      </c>
      <c r="AB195">
        <v>64</v>
      </c>
      <c r="AC195">
        <v>9</v>
      </c>
      <c r="AD195">
        <v>30</v>
      </c>
      <c r="AE195" s="19" t="s">
        <v>60</v>
      </c>
    </row>
    <row r="196" spans="1:31" x14ac:dyDescent="0.2">
      <c r="A196">
        <v>191</v>
      </c>
      <c r="B196" s="19" t="s">
        <v>600</v>
      </c>
      <c r="C196">
        <v>40</v>
      </c>
      <c r="D196" s="19" t="s">
        <v>419</v>
      </c>
      <c r="E196" s="19" t="s">
        <v>335</v>
      </c>
      <c r="F196">
        <v>39</v>
      </c>
      <c r="G196">
        <v>10</v>
      </c>
      <c r="H196">
        <v>15</v>
      </c>
      <c r="I196">
        <v>25</v>
      </c>
      <c r="J196">
        <v>2</v>
      </c>
      <c r="K196">
        <v>36</v>
      </c>
      <c r="L196">
        <v>6</v>
      </c>
      <c r="M196">
        <v>4</v>
      </c>
      <c r="N196">
        <v>0</v>
      </c>
      <c r="O196">
        <v>0</v>
      </c>
      <c r="P196">
        <v>8</v>
      </c>
      <c r="Q196">
        <v>7</v>
      </c>
      <c r="R196">
        <v>0</v>
      </c>
      <c r="S196">
        <v>68</v>
      </c>
      <c r="T196">
        <v>14.7</v>
      </c>
      <c r="U196">
        <v>132</v>
      </c>
      <c r="V196" s="19" t="s">
        <v>2707</v>
      </c>
      <c r="W196" s="19" t="s">
        <v>865</v>
      </c>
      <c r="X196">
        <v>5</v>
      </c>
      <c r="Y196">
        <v>15</v>
      </c>
      <c r="Z196">
        <v>25</v>
      </c>
      <c r="AA196">
        <v>11</v>
      </c>
      <c r="AB196">
        <v>15</v>
      </c>
      <c r="AC196">
        <v>4</v>
      </c>
      <c r="AD196">
        <v>29</v>
      </c>
      <c r="AE196" s="19" t="s">
        <v>60</v>
      </c>
    </row>
    <row r="197" spans="1:31" x14ac:dyDescent="0.2">
      <c r="A197">
        <v>192</v>
      </c>
      <c r="B197" s="19" t="s">
        <v>507</v>
      </c>
      <c r="C197">
        <v>25</v>
      </c>
      <c r="D197" s="19" t="s">
        <v>416</v>
      </c>
      <c r="E197" s="19" t="s">
        <v>322</v>
      </c>
      <c r="F197">
        <v>41</v>
      </c>
      <c r="G197">
        <v>14</v>
      </c>
      <c r="H197">
        <v>11</v>
      </c>
      <c r="I197">
        <v>25</v>
      </c>
      <c r="J197">
        <v>0</v>
      </c>
      <c r="K197">
        <v>28</v>
      </c>
      <c r="L197">
        <v>12</v>
      </c>
      <c r="M197">
        <v>2</v>
      </c>
      <c r="N197">
        <v>0</v>
      </c>
      <c r="O197">
        <v>1</v>
      </c>
      <c r="P197">
        <v>10</v>
      </c>
      <c r="Q197">
        <v>0</v>
      </c>
      <c r="R197">
        <v>1</v>
      </c>
      <c r="S197">
        <v>92</v>
      </c>
      <c r="T197">
        <v>15.2</v>
      </c>
      <c r="U197">
        <v>181</v>
      </c>
      <c r="V197" s="19" t="s">
        <v>2708</v>
      </c>
      <c r="W197" s="19" t="s">
        <v>2082</v>
      </c>
      <c r="X197">
        <v>232</v>
      </c>
      <c r="Y197">
        <v>210</v>
      </c>
      <c r="Z197">
        <v>52.5</v>
      </c>
      <c r="AA197">
        <v>24</v>
      </c>
      <c r="AB197">
        <v>50</v>
      </c>
      <c r="AC197">
        <v>12</v>
      </c>
      <c r="AD197">
        <v>32</v>
      </c>
      <c r="AE197" s="19" t="s">
        <v>60</v>
      </c>
    </row>
    <row r="198" spans="1:31" x14ac:dyDescent="0.2">
      <c r="A198">
        <v>193</v>
      </c>
      <c r="B198" s="19" t="s">
        <v>665</v>
      </c>
      <c r="C198">
        <v>22</v>
      </c>
      <c r="D198" s="19" t="s">
        <v>397</v>
      </c>
      <c r="E198" s="19" t="s">
        <v>322</v>
      </c>
      <c r="F198">
        <v>52</v>
      </c>
      <c r="G198">
        <v>10</v>
      </c>
      <c r="H198">
        <v>15</v>
      </c>
      <c r="I198">
        <v>25</v>
      </c>
      <c r="J198">
        <v>7</v>
      </c>
      <c r="K198">
        <v>23</v>
      </c>
      <c r="L198">
        <v>10</v>
      </c>
      <c r="M198">
        <v>0</v>
      </c>
      <c r="N198">
        <v>0</v>
      </c>
      <c r="O198">
        <v>1</v>
      </c>
      <c r="P198">
        <v>11</v>
      </c>
      <c r="Q198">
        <v>4</v>
      </c>
      <c r="R198">
        <v>0</v>
      </c>
      <c r="S198">
        <v>105</v>
      </c>
      <c r="T198">
        <v>9.5</v>
      </c>
      <c r="U198">
        <v>197</v>
      </c>
      <c r="V198" s="19" t="s">
        <v>2281</v>
      </c>
      <c r="W198" s="19" t="s">
        <v>906</v>
      </c>
      <c r="X198">
        <v>269</v>
      </c>
      <c r="Y198">
        <v>336</v>
      </c>
      <c r="Z198">
        <v>44.5</v>
      </c>
      <c r="AA198">
        <v>14</v>
      </c>
      <c r="AB198">
        <v>24</v>
      </c>
      <c r="AC198">
        <v>16</v>
      </c>
      <c r="AD198">
        <v>29</v>
      </c>
      <c r="AE198" s="19" t="s">
        <v>60</v>
      </c>
    </row>
    <row r="199" spans="1:31" x14ac:dyDescent="0.2">
      <c r="A199">
        <v>194</v>
      </c>
      <c r="B199" s="19" t="s">
        <v>676</v>
      </c>
      <c r="C199">
        <v>20</v>
      </c>
      <c r="D199" s="19" t="s">
        <v>428</v>
      </c>
      <c r="E199" s="19" t="s">
        <v>340</v>
      </c>
      <c r="F199">
        <v>38</v>
      </c>
      <c r="G199">
        <v>6</v>
      </c>
      <c r="H199">
        <v>18</v>
      </c>
      <c r="I199">
        <v>24</v>
      </c>
      <c r="J199">
        <v>13</v>
      </c>
      <c r="K199">
        <v>20</v>
      </c>
      <c r="L199">
        <v>5</v>
      </c>
      <c r="M199">
        <v>1</v>
      </c>
      <c r="N199">
        <v>0</v>
      </c>
      <c r="O199">
        <v>4</v>
      </c>
      <c r="P199">
        <v>13</v>
      </c>
      <c r="Q199">
        <v>4</v>
      </c>
      <c r="R199">
        <v>1</v>
      </c>
      <c r="S199">
        <v>69</v>
      </c>
      <c r="T199">
        <v>8.6999999999999993</v>
      </c>
      <c r="U199">
        <v>114</v>
      </c>
      <c r="V199" s="19" t="s">
        <v>2709</v>
      </c>
      <c r="W199" s="19" t="s">
        <v>1630</v>
      </c>
      <c r="X199">
        <v>4</v>
      </c>
      <c r="Y199">
        <v>5</v>
      </c>
      <c r="Z199">
        <v>44.4</v>
      </c>
      <c r="AA199">
        <v>14</v>
      </c>
      <c r="AB199">
        <v>19</v>
      </c>
      <c r="AC199">
        <v>14</v>
      </c>
      <c r="AD199">
        <v>28</v>
      </c>
      <c r="AE199" s="19" t="s">
        <v>60</v>
      </c>
    </row>
    <row r="200" spans="1:31" x14ac:dyDescent="0.2">
      <c r="A200">
        <v>195</v>
      </c>
      <c r="B200" s="19" t="s">
        <v>632</v>
      </c>
      <c r="C200">
        <v>27</v>
      </c>
      <c r="D200" s="19" t="s">
        <v>376</v>
      </c>
      <c r="E200" s="19" t="s">
        <v>325</v>
      </c>
      <c r="F200">
        <v>36</v>
      </c>
      <c r="G200">
        <v>14</v>
      </c>
      <c r="H200">
        <v>10</v>
      </c>
      <c r="I200">
        <v>24</v>
      </c>
      <c r="J200">
        <v>-2</v>
      </c>
      <c r="K200">
        <v>10</v>
      </c>
      <c r="L200">
        <v>11</v>
      </c>
      <c r="M200">
        <v>3</v>
      </c>
      <c r="N200">
        <v>0</v>
      </c>
      <c r="O200">
        <v>4</v>
      </c>
      <c r="P200">
        <v>9</v>
      </c>
      <c r="Q200">
        <v>1</v>
      </c>
      <c r="R200">
        <v>0</v>
      </c>
      <c r="S200">
        <v>66</v>
      </c>
      <c r="T200">
        <v>21.2</v>
      </c>
      <c r="U200">
        <v>113</v>
      </c>
      <c r="V200" s="19" t="s">
        <v>2276</v>
      </c>
      <c r="W200" s="19" t="s">
        <v>841</v>
      </c>
      <c r="X200">
        <v>0</v>
      </c>
      <c r="Y200">
        <v>2</v>
      </c>
      <c r="Z200">
        <v>0</v>
      </c>
      <c r="AA200">
        <v>21</v>
      </c>
      <c r="AB200">
        <v>44</v>
      </c>
      <c r="AC200">
        <v>10</v>
      </c>
      <c r="AD200">
        <v>24</v>
      </c>
      <c r="AE200" s="19" t="s">
        <v>60</v>
      </c>
    </row>
    <row r="201" spans="1:31" x14ac:dyDescent="0.2">
      <c r="A201">
        <v>196</v>
      </c>
      <c r="B201" s="19" t="s">
        <v>613</v>
      </c>
      <c r="C201">
        <v>29</v>
      </c>
      <c r="D201" s="19" t="s">
        <v>447</v>
      </c>
      <c r="E201" s="19" t="s">
        <v>340</v>
      </c>
      <c r="F201">
        <v>50</v>
      </c>
      <c r="G201">
        <v>12</v>
      </c>
      <c r="H201">
        <v>12</v>
      </c>
      <c r="I201">
        <v>24</v>
      </c>
      <c r="J201">
        <v>-12</v>
      </c>
      <c r="K201">
        <v>4</v>
      </c>
      <c r="L201">
        <v>1</v>
      </c>
      <c r="M201">
        <v>11</v>
      </c>
      <c r="N201">
        <v>0</v>
      </c>
      <c r="O201">
        <v>0</v>
      </c>
      <c r="P201">
        <v>10</v>
      </c>
      <c r="Q201">
        <v>2</v>
      </c>
      <c r="R201">
        <v>0</v>
      </c>
      <c r="S201">
        <v>137</v>
      </c>
      <c r="T201">
        <v>8.8000000000000007</v>
      </c>
      <c r="U201">
        <v>243</v>
      </c>
      <c r="V201" s="19" t="s">
        <v>2269</v>
      </c>
      <c r="W201" s="19" t="s">
        <v>1518</v>
      </c>
      <c r="X201">
        <v>11</v>
      </c>
      <c r="Y201">
        <v>15</v>
      </c>
      <c r="Z201">
        <v>42.3</v>
      </c>
      <c r="AA201">
        <v>19</v>
      </c>
      <c r="AB201">
        <v>47</v>
      </c>
      <c r="AC201">
        <v>7</v>
      </c>
      <c r="AD201">
        <v>27</v>
      </c>
      <c r="AE201" s="19" t="s">
        <v>60</v>
      </c>
    </row>
    <row r="202" spans="1:31" x14ac:dyDescent="0.2">
      <c r="A202">
        <v>197</v>
      </c>
      <c r="B202" s="19" t="s">
        <v>679</v>
      </c>
      <c r="C202">
        <v>30</v>
      </c>
      <c r="D202" s="19" t="s">
        <v>359</v>
      </c>
      <c r="E202" s="19" t="s">
        <v>340</v>
      </c>
      <c r="F202">
        <v>49</v>
      </c>
      <c r="G202">
        <v>6</v>
      </c>
      <c r="H202">
        <v>18</v>
      </c>
      <c r="I202">
        <v>24</v>
      </c>
      <c r="J202">
        <v>-16</v>
      </c>
      <c r="K202">
        <v>32</v>
      </c>
      <c r="L202">
        <v>6</v>
      </c>
      <c r="M202">
        <v>0</v>
      </c>
      <c r="N202">
        <v>0</v>
      </c>
      <c r="O202">
        <v>3</v>
      </c>
      <c r="P202">
        <v>14</v>
      </c>
      <c r="Q202">
        <v>4</v>
      </c>
      <c r="R202">
        <v>0</v>
      </c>
      <c r="S202">
        <v>78</v>
      </c>
      <c r="T202">
        <v>7.7</v>
      </c>
      <c r="U202">
        <v>144</v>
      </c>
      <c r="V202" s="19" t="s">
        <v>2392</v>
      </c>
      <c r="W202" s="19" t="s">
        <v>1243</v>
      </c>
      <c r="X202">
        <v>102</v>
      </c>
      <c r="Y202">
        <v>99</v>
      </c>
      <c r="Z202">
        <v>50.7</v>
      </c>
      <c r="AA202">
        <v>22</v>
      </c>
      <c r="AB202">
        <v>25</v>
      </c>
      <c r="AC202">
        <v>12</v>
      </c>
      <c r="AD202">
        <v>62</v>
      </c>
      <c r="AE202" s="19" t="s">
        <v>60</v>
      </c>
    </row>
    <row r="203" spans="1:31" x14ac:dyDescent="0.2">
      <c r="A203">
        <v>198</v>
      </c>
      <c r="B203" s="19" t="s">
        <v>584</v>
      </c>
      <c r="C203">
        <v>33</v>
      </c>
      <c r="D203" s="19" t="s">
        <v>513</v>
      </c>
      <c r="E203" s="19" t="s">
        <v>349</v>
      </c>
      <c r="F203">
        <v>52</v>
      </c>
      <c r="G203">
        <v>11</v>
      </c>
      <c r="H203">
        <v>13</v>
      </c>
      <c r="I203">
        <v>24</v>
      </c>
      <c r="J203">
        <v>-6</v>
      </c>
      <c r="K203">
        <v>30</v>
      </c>
      <c r="L203">
        <v>9</v>
      </c>
      <c r="M203">
        <v>2</v>
      </c>
      <c r="N203">
        <v>0</v>
      </c>
      <c r="O203">
        <v>3</v>
      </c>
      <c r="P203">
        <v>6</v>
      </c>
      <c r="Q203">
        <v>6</v>
      </c>
      <c r="R203">
        <v>1</v>
      </c>
      <c r="S203">
        <v>98</v>
      </c>
      <c r="T203">
        <v>11.2</v>
      </c>
      <c r="U203">
        <v>200</v>
      </c>
      <c r="V203" s="19" t="s">
        <v>2710</v>
      </c>
      <c r="W203" s="19" t="s">
        <v>1960</v>
      </c>
      <c r="X203">
        <v>0</v>
      </c>
      <c r="Y203">
        <v>0</v>
      </c>
      <c r="AA203">
        <v>94</v>
      </c>
      <c r="AB203">
        <v>44</v>
      </c>
      <c r="AC203">
        <v>18</v>
      </c>
      <c r="AD203">
        <v>45</v>
      </c>
      <c r="AE203" s="19" t="s">
        <v>60</v>
      </c>
    </row>
    <row r="204" spans="1:31" x14ac:dyDescent="0.2">
      <c r="A204">
        <v>199</v>
      </c>
      <c r="B204" s="19" t="s">
        <v>538</v>
      </c>
      <c r="C204">
        <v>26</v>
      </c>
      <c r="D204" s="19" t="s">
        <v>436</v>
      </c>
      <c r="E204" s="19" t="s">
        <v>322</v>
      </c>
      <c r="F204">
        <v>51</v>
      </c>
      <c r="G204">
        <v>10</v>
      </c>
      <c r="H204">
        <v>14</v>
      </c>
      <c r="I204">
        <v>24</v>
      </c>
      <c r="J204">
        <v>-12</v>
      </c>
      <c r="K204">
        <v>20</v>
      </c>
      <c r="L204">
        <v>6</v>
      </c>
      <c r="M204">
        <v>4</v>
      </c>
      <c r="N204">
        <v>0</v>
      </c>
      <c r="O204">
        <v>2</v>
      </c>
      <c r="P204">
        <v>8</v>
      </c>
      <c r="Q204">
        <v>6</v>
      </c>
      <c r="R204">
        <v>0</v>
      </c>
      <c r="S204">
        <v>87</v>
      </c>
      <c r="T204">
        <v>11.5</v>
      </c>
      <c r="U204">
        <v>157</v>
      </c>
      <c r="V204" s="19" t="s">
        <v>2393</v>
      </c>
      <c r="W204" s="19" t="s">
        <v>2151</v>
      </c>
      <c r="X204">
        <v>340</v>
      </c>
      <c r="Y204">
        <v>286</v>
      </c>
      <c r="Z204">
        <v>54.3</v>
      </c>
      <c r="AA204">
        <v>22</v>
      </c>
      <c r="AB204">
        <v>32</v>
      </c>
      <c r="AC204">
        <v>11</v>
      </c>
      <c r="AD204">
        <v>30</v>
      </c>
      <c r="AE204" s="19" t="s">
        <v>60</v>
      </c>
    </row>
    <row r="205" spans="1:31" x14ac:dyDescent="0.2">
      <c r="A205">
        <v>200</v>
      </c>
      <c r="B205" s="19" t="s">
        <v>780</v>
      </c>
      <c r="C205">
        <v>31</v>
      </c>
      <c r="D205" s="19" t="s">
        <v>357</v>
      </c>
      <c r="E205" s="19" t="s">
        <v>335</v>
      </c>
      <c r="F205">
        <v>49</v>
      </c>
      <c r="G205">
        <v>14</v>
      </c>
      <c r="H205">
        <v>10</v>
      </c>
      <c r="I205">
        <v>24</v>
      </c>
      <c r="J205">
        <v>0</v>
      </c>
      <c r="K205">
        <v>25</v>
      </c>
      <c r="L205">
        <v>9</v>
      </c>
      <c r="M205">
        <v>5</v>
      </c>
      <c r="N205">
        <v>0</v>
      </c>
      <c r="O205">
        <v>3</v>
      </c>
      <c r="P205">
        <v>9</v>
      </c>
      <c r="Q205">
        <v>1</v>
      </c>
      <c r="R205">
        <v>0</v>
      </c>
      <c r="S205">
        <v>99</v>
      </c>
      <c r="T205">
        <v>14.1</v>
      </c>
      <c r="U205">
        <v>208</v>
      </c>
      <c r="V205" s="19" t="s">
        <v>2711</v>
      </c>
      <c r="W205" s="19" t="s">
        <v>1797</v>
      </c>
      <c r="X205">
        <v>273</v>
      </c>
      <c r="Y205">
        <v>368</v>
      </c>
      <c r="Z205">
        <v>42.6</v>
      </c>
      <c r="AA205">
        <v>61</v>
      </c>
      <c r="AB205">
        <v>42</v>
      </c>
      <c r="AC205">
        <v>16</v>
      </c>
      <c r="AD205">
        <v>36</v>
      </c>
      <c r="AE205" s="19" t="s">
        <v>60</v>
      </c>
    </row>
    <row r="206" spans="1:31" x14ac:dyDescent="0.2">
      <c r="A206">
        <v>201</v>
      </c>
      <c r="B206" s="19" t="s">
        <v>753</v>
      </c>
      <c r="C206">
        <v>24</v>
      </c>
      <c r="D206" s="19" t="s">
        <v>384</v>
      </c>
      <c r="E206" s="19" t="s">
        <v>335</v>
      </c>
      <c r="F206">
        <v>50</v>
      </c>
      <c r="G206">
        <v>12</v>
      </c>
      <c r="H206">
        <v>12</v>
      </c>
      <c r="I206">
        <v>24</v>
      </c>
      <c r="J206">
        <v>5</v>
      </c>
      <c r="K206">
        <v>14</v>
      </c>
      <c r="L206">
        <v>11</v>
      </c>
      <c r="M206">
        <v>0</v>
      </c>
      <c r="N206">
        <v>1</v>
      </c>
      <c r="O206">
        <v>2</v>
      </c>
      <c r="P206">
        <v>9</v>
      </c>
      <c r="Q206">
        <v>1</v>
      </c>
      <c r="R206">
        <v>2</v>
      </c>
      <c r="S206">
        <v>56</v>
      </c>
      <c r="T206">
        <v>21.4</v>
      </c>
      <c r="U206">
        <v>122</v>
      </c>
      <c r="V206" s="19" t="s">
        <v>2712</v>
      </c>
      <c r="W206" s="19" t="s">
        <v>941</v>
      </c>
      <c r="X206">
        <v>3</v>
      </c>
      <c r="Y206">
        <v>10</v>
      </c>
      <c r="Z206">
        <v>23.1</v>
      </c>
      <c r="AA206">
        <v>34</v>
      </c>
      <c r="AB206">
        <v>9</v>
      </c>
      <c r="AC206">
        <v>15</v>
      </c>
      <c r="AD206">
        <v>32</v>
      </c>
      <c r="AE206" s="19" t="s">
        <v>60</v>
      </c>
    </row>
    <row r="207" spans="1:31" x14ac:dyDescent="0.2">
      <c r="A207">
        <v>202</v>
      </c>
      <c r="B207" s="19" t="s">
        <v>543</v>
      </c>
      <c r="C207">
        <v>31</v>
      </c>
      <c r="D207" s="19" t="s">
        <v>373</v>
      </c>
      <c r="E207" s="19" t="s">
        <v>349</v>
      </c>
      <c r="F207">
        <v>40</v>
      </c>
      <c r="G207">
        <v>6</v>
      </c>
      <c r="H207">
        <v>18</v>
      </c>
      <c r="I207">
        <v>24</v>
      </c>
      <c r="J207">
        <v>-2</v>
      </c>
      <c r="K207">
        <v>16</v>
      </c>
      <c r="L207">
        <v>1</v>
      </c>
      <c r="M207">
        <v>5</v>
      </c>
      <c r="N207">
        <v>0</v>
      </c>
      <c r="O207">
        <v>0</v>
      </c>
      <c r="P207">
        <v>10</v>
      </c>
      <c r="Q207">
        <v>8</v>
      </c>
      <c r="R207">
        <v>0</v>
      </c>
      <c r="S207">
        <v>78</v>
      </c>
      <c r="T207">
        <v>7.7</v>
      </c>
      <c r="U207">
        <v>194</v>
      </c>
      <c r="V207" s="19" t="s">
        <v>1782</v>
      </c>
      <c r="W207" s="19" t="s">
        <v>1742</v>
      </c>
      <c r="X207">
        <v>0</v>
      </c>
      <c r="Y207">
        <v>0</v>
      </c>
      <c r="AA207">
        <v>47</v>
      </c>
      <c r="AB207">
        <v>38</v>
      </c>
      <c r="AC207">
        <v>10</v>
      </c>
      <c r="AD207">
        <v>52</v>
      </c>
      <c r="AE207" s="19" t="s">
        <v>60</v>
      </c>
    </row>
    <row r="208" spans="1:31" x14ac:dyDescent="0.2">
      <c r="A208">
        <v>203</v>
      </c>
      <c r="B208" s="19" t="s">
        <v>713</v>
      </c>
      <c r="C208">
        <v>26</v>
      </c>
      <c r="D208" s="19" t="s">
        <v>447</v>
      </c>
      <c r="E208" s="19" t="s">
        <v>322</v>
      </c>
      <c r="F208">
        <v>48</v>
      </c>
      <c r="G208">
        <v>11</v>
      </c>
      <c r="H208">
        <v>13</v>
      </c>
      <c r="I208">
        <v>24</v>
      </c>
      <c r="J208">
        <v>-5</v>
      </c>
      <c r="K208">
        <v>26</v>
      </c>
      <c r="L208">
        <v>9</v>
      </c>
      <c r="M208">
        <v>2</v>
      </c>
      <c r="N208">
        <v>0</v>
      </c>
      <c r="O208">
        <v>1</v>
      </c>
      <c r="P208">
        <v>13</v>
      </c>
      <c r="Q208">
        <v>0</v>
      </c>
      <c r="R208">
        <v>0</v>
      </c>
      <c r="S208">
        <v>76</v>
      </c>
      <c r="T208">
        <v>14.5</v>
      </c>
      <c r="U208">
        <v>136</v>
      </c>
      <c r="V208" s="19" t="s">
        <v>2394</v>
      </c>
      <c r="W208" s="19" t="s">
        <v>2124</v>
      </c>
      <c r="X208">
        <v>11</v>
      </c>
      <c r="Y208">
        <v>24</v>
      </c>
      <c r="Z208">
        <v>31.4</v>
      </c>
      <c r="AA208">
        <v>11</v>
      </c>
      <c r="AB208">
        <v>62</v>
      </c>
      <c r="AC208">
        <v>11</v>
      </c>
      <c r="AD208">
        <v>28</v>
      </c>
      <c r="AE208" s="19" t="s">
        <v>60</v>
      </c>
    </row>
    <row r="209" spans="1:31" x14ac:dyDescent="0.2">
      <c r="A209">
        <v>204</v>
      </c>
      <c r="B209" s="19" t="s">
        <v>544</v>
      </c>
      <c r="C209">
        <v>27</v>
      </c>
      <c r="D209" s="19" t="s">
        <v>513</v>
      </c>
      <c r="E209" s="19" t="s">
        <v>322</v>
      </c>
      <c r="F209">
        <v>42</v>
      </c>
      <c r="G209">
        <v>11</v>
      </c>
      <c r="H209">
        <v>13</v>
      </c>
      <c r="I209">
        <v>24</v>
      </c>
      <c r="J209">
        <v>-7</v>
      </c>
      <c r="K209">
        <v>2</v>
      </c>
      <c r="L209">
        <v>9</v>
      </c>
      <c r="M209">
        <v>2</v>
      </c>
      <c r="N209">
        <v>0</v>
      </c>
      <c r="O209">
        <v>0</v>
      </c>
      <c r="P209">
        <v>7</v>
      </c>
      <c r="Q209">
        <v>6</v>
      </c>
      <c r="R209">
        <v>0</v>
      </c>
      <c r="S209">
        <v>104</v>
      </c>
      <c r="T209">
        <v>10.6</v>
      </c>
      <c r="U209">
        <v>219</v>
      </c>
      <c r="V209" s="19" t="s">
        <v>2046</v>
      </c>
      <c r="W209" s="19" t="s">
        <v>2504</v>
      </c>
      <c r="X209">
        <v>2</v>
      </c>
      <c r="Y209">
        <v>7</v>
      </c>
      <c r="Z209">
        <v>22.2</v>
      </c>
      <c r="AA209">
        <v>16</v>
      </c>
      <c r="AB209">
        <v>9</v>
      </c>
      <c r="AC209">
        <v>14</v>
      </c>
      <c r="AD209">
        <v>22</v>
      </c>
      <c r="AE209" s="19" t="s">
        <v>60</v>
      </c>
    </row>
    <row r="210" spans="1:31" x14ac:dyDescent="0.2">
      <c r="A210">
        <v>205</v>
      </c>
      <c r="B210" s="19" t="s">
        <v>647</v>
      </c>
      <c r="C210">
        <v>24</v>
      </c>
      <c r="D210" s="19" t="s">
        <v>419</v>
      </c>
      <c r="E210" s="19" t="s">
        <v>335</v>
      </c>
      <c r="F210">
        <v>50</v>
      </c>
      <c r="G210">
        <v>13</v>
      </c>
      <c r="H210">
        <v>11</v>
      </c>
      <c r="I210">
        <v>24</v>
      </c>
      <c r="J210">
        <v>4</v>
      </c>
      <c r="K210">
        <v>12</v>
      </c>
      <c r="L210">
        <v>11</v>
      </c>
      <c r="M210">
        <v>0</v>
      </c>
      <c r="N210">
        <v>2</v>
      </c>
      <c r="O210">
        <v>1</v>
      </c>
      <c r="P210">
        <v>10</v>
      </c>
      <c r="Q210">
        <v>1</v>
      </c>
      <c r="R210">
        <v>0</v>
      </c>
      <c r="S210">
        <v>119</v>
      </c>
      <c r="T210">
        <v>10.9</v>
      </c>
      <c r="U210">
        <v>258</v>
      </c>
      <c r="V210" s="19" t="s">
        <v>1973</v>
      </c>
      <c r="W210" s="19" t="s">
        <v>1897</v>
      </c>
      <c r="X210">
        <v>122</v>
      </c>
      <c r="Y210">
        <v>152</v>
      </c>
      <c r="Z210">
        <v>44.5</v>
      </c>
      <c r="AA210">
        <v>30</v>
      </c>
      <c r="AB210">
        <v>137</v>
      </c>
      <c r="AC210">
        <v>10</v>
      </c>
      <c r="AD210">
        <v>53</v>
      </c>
      <c r="AE210" s="19" t="s">
        <v>60</v>
      </c>
    </row>
    <row r="211" spans="1:31" x14ac:dyDescent="0.2">
      <c r="A211">
        <v>206</v>
      </c>
      <c r="B211" s="19" t="s">
        <v>565</v>
      </c>
      <c r="C211">
        <v>27</v>
      </c>
      <c r="D211" s="19" t="s">
        <v>321</v>
      </c>
      <c r="E211" s="19" t="s">
        <v>349</v>
      </c>
      <c r="F211">
        <v>49</v>
      </c>
      <c r="G211">
        <v>3</v>
      </c>
      <c r="H211">
        <v>21</v>
      </c>
      <c r="I211">
        <v>24</v>
      </c>
      <c r="J211">
        <v>25</v>
      </c>
      <c r="K211">
        <v>12</v>
      </c>
      <c r="L211">
        <v>3</v>
      </c>
      <c r="M211">
        <v>0</v>
      </c>
      <c r="N211">
        <v>0</v>
      </c>
      <c r="O211">
        <v>1</v>
      </c>
      <c r="P211">
        <v>20</v>
      </c>
      <c r="Q211">
        <v>1</v>
      </c>
      <c r="R211">
        <v>0</v>
      </c>
      <c r="S211">
        <v>93</v>
      </c>
      <c r="T211">
        <v>3.2</v>
      </c>
      <c r="U211">
        <v>228</v>
      </c>
      <c r="V211" s="19" t="s">
        <v>2395</v>
      </c>
      <c r="W211" s="19" t="s">
        <v>1724</v>
      </c>
      <c r="X211">
        <v>0</v>
      </c>
      <c r="Y211">
        <v>0</v>
      </c>
      <c r="AA211">
        <v>56</v>
      </c>
      <c r="AB211">
        <v>24</v>
      </c>
      <c r="AC211">
        <v>15</v>
      </c>
      <c r="AD211">
        <v>47</v>
      </c>
      <c r="AE211" s="19" t="s">
        <v>60</v>
      </c>
    </row>
    <row r="212" spans="1:31" x14ac:dyDescent="0.2">
      <c r="A212">
        <v>207</v>
      </c>
      <c r="B212" s="19" t="s">
        <v>595</v>
      </c>
      <c r="C212">
        <v>28</v>
      </c>
      <c r="D212" s="19" t="s">
        <v>405</v>
      </c>
      <c r="E212" s="19" t="s">
        <v>349</v>
      </c>
      <c r="F212">
        <v>51</v>
      </c>
      <c r="G212">
        <v>4</v>
      </c>
      <c r="H212">
        <v>20</v>
      </c>
      <c r="I212">
        <v>24</v>
      </c>
      <c r="J212">
        <v>32</v>
      </c>
      <c r="K212">
        <v>8</v>
      </c>
      <c r="L212">
        <v>3</v>
      </c>
      <c r="M212">
        <v>0</v>
      </c>
      <c r="N212">
        <v>1</v>
      </c>
      <c r="O212">
        <v>2</v>
      </c>
      <c r="P212">
        <v>20</v>
      </c>
      <c r="Q212">
        <v>0</v>
      </c>
      <c r="R212">
        <v>0</v>
      </c>
      <c r="S212">
        <v>43</v>
      </c>
      <c r="T212">
        <v>9.3000000000000007</v>
      </c>
      <c r="U212">
        <v>123</v>
      </c>
      <c r="V212" s="19" t="s">
        <v>2713</v>
      </c>
      <c r="W212" s="19" t="s">
        <v>2039</v>
      </c>
      <c r="X212">
        <v>0</v>
      </c>
      <c r="Y212">
        <v>0</v>
      </c>
      <c r="AA212">
        <v>47</v>
      </c>
      <c r="AB212">
        <v>18</v>
      </c>
      <c r="AC212">
        <v>13</v>
      </c>
      <c r="AD212">
        <v>65</v>
      </c>
      <c r="AE212" s="19" t="s">
        <v>60</v>
      </c>
    </row>
    <row r="213" spans="1:31" x14ac:dyDescent="0.2">
      <c r="A213">
        <v>208</v>
      </c>
      <c r="B213" s="19" t="s">
        <v>651</v>
      </c>
      <c r="C213">
        <v>27</v>
      </c>
      <c r="D213" s="19" t="s">
        <v>355</v>
      </c>
      <c r="E213" s="19" t="s">
        <v>322</v>
      </c>
      <c r="F213">
        <v>42</v>
      </c>
      <c r="G213">
        <v>10</v>
      </c>
      <c r="H213">
        <v>14</v>
      </c>
      <c r="I213">
        <v>24</v>
      </c>
      <c r="J213">
        <v>0</v>
      </c>
      <c r="K213">
        <v>4</v>
      </c>
      <c r="L213">
        <v>9</v>
      </c>
      <c r="M213">
        <v>1</v>
      </c>
      <c r="N213">
        <v>0</v>
      </c>
      <c r="O213">
        <v>0</v>
      </c>
      <c r="P213">
        <v>10</v>
      </c>
      <c r="Q213">
        <v>4</v>
      </c>
      <c r="R213">
        <v>0</v>
      </c>
      <c r="S213">
        <v>49</v>
      </c>
      <c r="T213">
        <v>20.399999999999999</v>
      </c>
      <c r="U213">
        <v>92</v>
      </c>
      <c r="V213" s="19" t="s">
        <v>2049</v>
      </c>
      <c r="W213" s="19" t="s">
        <v>2178</v>
      </c>
      <c r="X213">
        <v>80</v>
      </c>
      <c r="Y213">
        <v>71</v>
      </c>
      <c r="Z213">
        <v>53</v>
      </c>
      <c r="AA213">
        <v>15</v>
      </c>
      <c r="AB213">
        <v>11</v>
      </c>
      <c r="AC213">
        <v>6</v>
      </c>
      <c r="AD213">
        <v>49</v>
      </c>
      <c r="AE213" s="19" t="s">
        <v>60</v>
      </c>
    </row>
    <row r="214" spans="1:31" x14ac:dyDescent="0.2">
      <c r="A214">
        <v>209</v>
      </c>
      <c r="B214" s="19" t="s">
        <v>551</v>
      </c>
      <c r="C214">
        <v>31</v>
      </c>
      <c r="D214" s="19" t="s">
        <v>381</v>
      </c>
      <c r="E214" s="19" t="s">
        <v>322</v>
      </c>
      <c r="F214">
        <v>47</v>
      </c>
      <c r="G214">
        <v>8</v>
      </c>
      <c r="H214">
        <v>16</v>
      </c>
      <c r="I214">
        <v>24</v>
      </c>
      <c r="J214">
        <v>1</v>
      </c>
      <c r="K214">
        <v>10</v>
      </c>
      <c r="L214">
        <v>7</v>
      </c>
      <c r="M214">
        <v>1</v>
      </c>
      <c r="N214">
        <v>0</v>
      </c>
      <c r="O214">
        <v>2</v>
      </c>
      <c r="P214">
        <v>9</v>
      </c>
      <c r="Q214">
        <v>7</v>
      </c>
      <c r="R214">
        <v>0</v>
      </c>
      <c r="S214">
        <v>76</v>
      </c>
      <c r="T214">
        <v>10.5</v>
      </c>
      <c r="U214">
        <v>137</v>
      </c>
      <c r="V214" s="19" t="s">
        <v>2036</v>
      </c>
      <c r="W214" s="19" t="s">
        <v>1861</v>
      </c>
      <c r="X214">
        <v>437</v>
      </c>
      <c r="Y214">
        <v>391</v>
      </c>
      <c r="Z214">
        <v>52.8</v>
      </c>
      <c r="AA214">
        <v>22</v>
      </c>
      <c r="AB214">
        <v>27</v>
      </c>
      <c r="AC214">
        <v>11</v>
      </c>
      <c r="AD214">
        <v>38</v>
      </c>
      <c r="AE214" s="19" t="s">
        <v>60</v>
      </c>
    </row>
    <row r="215" spans="1:31" x14ac:dyDescent="0.2">
      <c r="A215">
        <v>210</v>
      </c>
      <c r="B215" s="19" t="s">
        <v>502</v>
      </c>
      <c r="C215">
        <v>30</v>
      </c>
      <c r="D215" s="19" t="s">
        <v>321</v>
      </c>
      <c r="E215" s="19" t="s">
        <v>335</v>
      </c>
      <c r="F215">
        <v>49</v>
      </c>
      <c r="G215">
        <v>10</v>
      </c>
      <c r="H215">
        <v>14</v>
      </c>
      <c r="I215">
        <v>24</v>
      </c>
      <c r="J215">
        <v>2</v>
      </c>
      <c r="K215">
        <v>6</v>
      </c>
      <c r="L215">
        <v>8</v>
      </c>
      <c r="M215">
        <v>2</v>
      </c>
      <c r="N215">
        <v>0</v>
      </c>
      <c r="O215">
        <v>3</v>
      </c>
      <c r="P215">
        <v>9</v>
      </c>
      <c r="Q215">
        <v>5</v>
      </c>
      <c r="R215">
        <v>0</v>
      </c>
      <c r="S215">
        <v>93</v>
      </c>
      <c r="T215">
        <v>10.8</v>
      </c>
      <c r="U215">
        <v>170</v>
      </c>
      <c r="V215" s="19" t="s">
        <v>2396</v>
      </c>
      <c r="W215" s="19" t="s">
        <v>1977</v>
      </c>
      <c r="X215">
        <v>3</v>
      </c>
      <c r="Y215">
        <v>5</v>
      </c>
      <c r="Z215">
        <v>37.5</v>
      </c>
      <c r="AA215">
        <v>12</v>
      </c>
      <c r="AB215">
        <v>8</v>
      </c>
      <c r="AC215">
        <v>9</v>
      </c>
      <c r="AD215">
        <v>35</v>
      </c>
      <c r="AE215" s="19" t="s">
        <v>60</v>
      </c>
    </row>
    <row r="216" spans="1:31" x14ac:dyDescent="0.2">
      <c r="A216">
        <v>211</v>
      </c>
      <c r="B216" s="19" t="s">
        <v>663</v>
      </c>
      <c r="C216">
        <v>24</v>
      </c>
      <c r="D216" s="19" t="s">
        <v>359</v>
      </c>
      <c r="E216" s="19" t="s">
        <v>340</v>
      </c>
      <c r="F216">
        <v>48</v>
      </c>
      <c r="G216">
        <v>11</v>
      </c>
      <c r="H216">
        <v>13</v>
      </c>
      <c r="I216">
        <v>24</v>
      </c>
      <c r="J216">
        <v>0</v>
      </c>
      <c r="K216">
        <v>2</v>
      </c>
      <c r="L216">
        <v>9</v>
      </c>
      <c r="M216">
        <v>2</v>
      </c>
      <c r="N216">
        <v>0</v>
      </c>
      <c r="O216">
        <v>1</v>
      </c>
      <c r="P216">
        <v>11</v>
      </c>
      <c r="Q216">
        <v>2</v>
      </c>
      <c r="R216">
        <v>0</v>
      </c>
      <c r="S216">
        <v>78</v>
      </c>
      <c r="T216">
        <v>14.1</v>
      </c>
      <c r="U216">
        <v>137</v>
      </c>
      <c r="V216" s="19" t="s">
        <v>2397</v>
      </c>
      <c r="W216" s="19" t="s">
        <v>1844</v>
      </c>
      <c r="X216">
        <v>8</v>
      </c>
      <c r="Y216">
        <v>6</v>
      </c>
      <c r="Z216">
        <v>57.1</v>
      </c>
      <c r="AA216">
        <v>25</v>
      </c>
      <c r="AB216">
        <v>53</v>
      </c>
      <c r="AC216">
        <v>13</v>
      </c>
      <c r="AD216">
        <v>46</v>
      </c>
      <c r="AE216" s="19" t="s">
        <v>60</v>
      </c>
    </row>
    <row r="217" spans="1:31" x14ac:dyDescent="0.2">
      <c r="A217">
        <v>212</v>
      </c>
      <c r="B217" s="19" t="s">
        <v>840</v>
      </c>
      <c r="C217">
        <v>23</v>
      </c>
      <c r="D217" s="19" t="s">
        <v>366</v>
      </c>
      <c r="E217" s="19" t="s">
        <v>335</v>
      </c>
      <c r="F217">
        <v>49</v>
      </c>
      <c r="G217">
        <v>11</v>
      </c>
      <c r="H217">
        <v>13</v>
      </c>
      <c r="I217">
        <v>24</v>
      </c>
      <c r="J217">
        <v>14</v>
      </c>
      <c r="K217">
        <v>19</v>
      </c>
      <c r="L217">
        <v>9</v>
      </c>
      <c r="M217">
        <v>2</v>
      </c>
      <c r="N217">
        <v>0</v>
      </c>
      <c r="O217">
        <v>0</v>
      </c>
      <c r="P217">
        <v>13</v>
      </c>
      <c r="Q217">
        <v>0</v>
      </c>
      <c r="R217">
        <v>0</v>
      </c>
      <c r="S217">
        <v>68</v>
      </c>
      <c r="T217">
        <v>16.2</v>
      </c>
      <c r="U217">
        <v>144</v>
      </c>
      <c r="V217" s="19" t="s">
        <v>2714</v>
      </c>
      <c r="W217" s="19" t="s">
        <v>1801</v>
      </c>
      <c r="X217">
        <v>198</v>
      </c>
      <c r="Y217">
        <v>227</v>
      </c>
      <c r="Z217">
        <v>46.6</v>
      </c>
      <c r="AA217">
        <v>22</v>
      </c>
      <c r="AB217">
        <v>59</v>
      </c>
      <c r="AC217">
        <v>10</v>
      </c>
      <c r="AD217">
        <v>30</v>
      </c>
      <c r="AE217" s="19" t="s">
        <v>60</v>
      </c>
    </row>
    <row r="218" spans="1:31" x14ac:dyDescent="0.2">
      <c r="A218">
        <v>213</v>
      </c>
      <c r="B218" s="19" t="s">
        <v>843</v>
      </c>
      <c r="C218">
        <v>36</v>
      </c>
      <c r="D218" s="19" t="s">
        <v>371</v>
      </c>
      <c r="E218" s="19" t="s">
        <v>340</v>
      </c>
      <c r="F218">
        <v>44</v>
      </c>
      <c r="G218">
        <v>14</v>
      </c>
      <c r="H218">
        <v>10</v>
      </c>
      <c r="I218">
        <v>24</v>
      </c>
      <c r="J218">
        <v>-9</v>
      </c>
      <c r="K218">
        <v>12</v>
      </c>
      <c r="L218">
        <v>8</v>
      </c>
      <c r="M218">
        <v>6</v>
      </c>
      <c r="N218">
        <v>0</v>
      </c>
      <c r="O218">
        <v>1</v>
      </c>
      <c r="P218">
        <v>7</v>
      </c>
      <c r="Q218">
        <v>3</v>
      </c>
      <c r="R218">
        <v>0</v>
      </c>
      <c r="S218">
        <v>76</v>
      </c>
      <c r="T218">
        <v>18.399999999999999</v>
      </c>
      <c r="U218">
        <v>142</v>
      </c>
      <c r="V218" s="19" t="s">
        <v>2715</v>
      </c>
      <c r="W218" s="19" t="s">
        <v>1967</v>
      </c>
      <c r="X218">
        <v>3</v>
      </c>
      <c r="Y218">
        <v>4</v>
      </c>
      <c r="Z218">
        <v>42.9</v>
      </c>
      <c r="AA218">
        <v>23</v>
      </c>
      <c r="AB218">
        <v>8</v>
      </c>
      <c r="AC218">
        <v>7</v>
      </c>
      <c r="AD218">
        <v>25</v>
      </c>
      <c r="AE218" s="19" t="s">
        <v>60</v>
      </c>
    </row>
    <row r="219" spans="1:31" x14ac:dyDescent="0.2">
      <c r="A219">
        <v>214</v>
      </c>
      <c r="B219" s="19" t="s">
        <v>683</v>
      </c>
      <c r="C219">
        <v>30</v>
      </c>
      <c r="D219" s="19" t="s">
        <v>950</v>
      </c>
      <c r="E219" s="19" t="s">
        <v>325</v>
      </c>
      <c r="F219">
        <v>38</v>
      </c>
      <c r="G219">
        <v>12</v>
      </c>
      <c r="H219">
        <v>12</v>
      </c>
      <c r="I219">
        <v>24</v>
      </c>
      <c r="J219">
        <v>2</v>
      </c>
      <c r="K219">
        <v>38</v>
      </c>
      <c r="L219">
        <v>10</v>
      </c>
      <c r="M219">
        <v>2</v>
      </c>
      <c r="N219">
        <v>0</v>
      </c>
      <c r="O219">
        <v>2</v>
      </c>
      <c r="P219">
        <v>9</v>
      </c>
      <c r="Q219">
        <v>3</v>
      </c>
      <c r="R219">
        <v>0</v>
      </c>
      <c r="S219">
        <v>65</v>
      </c>
      <c r="T219">
        <v>18.5</v>
      </c>
      <c r="U219">
        <v>146</v>
      </c>
      <c r="V219" s="19" t="s">
        <v>2716</v>
      </c>
      <c r="W219" s="19" t="s">
        <v>493</v>
      </c>
      <c r="X219">
        <v>14</v>
      </c>
      <c r="Y219">
        <v>24</v>
      </c>
      <c r="Z219">
        <v>36.799999999999997</v>
      </c>
      <c r="AA219">
        <v>13</v>
      </c>
      <c r="AB219">
        <v>46</v>
      </c>
      <c r="AC219">
        <v>13</v>
      </c>
      <c r="AD219">
        <v>50</v>
      </c>
      <c r="AE219" s="19" t="s">
        <v>60</v>
      </c>
    </row>
    <row r="220" spans="1:31" x14ac:dyDescent="0.2">
      <c r="A220">
        <v>214</v>
      </c>
      <c r="B220" s="19" t="s">
        <v>683</v>
      </c>
      <c r="C220">
        <v>30</v>
      </c>
      <c r="D220" s="19" t="s">
        <v>530</v>
      </c>
      <c r="E220" s="19" t="s">
        <v>325</v>
      </c>
      <c r="F220">
        <v>29</v>
      </c>
      <c r="G220">
        <v>4</v>
      </c>
      <c r="H220">
        <v>9</v>
      </c>
      <c r="I220">
        <v>13</v>
      </c>
      <c r="J220">
        <v>-4</v>
      </c>
      <c r="K220">
        <v>26</v>
      </c>
      <c r="L220">
        <v>4</v>
      </c>
      <c r="M220">
        <v>0</v>
      </c>
      <c r="N220">
        <v>0</v>
      </c>
      <c r="O220">
        <v>1</v>
      </c>
      <c r="P220">
        <v>6</v>
      </c>
      <c r="Q220">
        <v>3</v>
      </c>
      <c r="R220">
        <v>0</v>
      </c>
      <c r="S220">
        <v>46</v>
      </c>
      <c r="T220">
        <v>8.6999999999999993</v>
      </c>
      <c r="U220">
        <v>109</v>
      </c>
      <c r="V220" s="19" t="s">
        <v>1599</v>
      </c>
      <c r="W220" s="19" t="s">
        <v>925</v>
      </c>
      <c r="X220">
        <v>10</v>
      </c>
      <c r="Y220">
        <v>21</v>
      </c>
      <c r="Z220">
        <v>32.299999999999997</v>
      </c>
      <c r="AA220">
        <v>10</v>
      </c>
      <c r="AB220">
        <v>38</v>
      </c>
      <c r="AC220">
        <v>9</v>
      </c>
      <c r="AD220">
        <v>39</v>
      </c>
      <c r="AE220" s="19" t="s">
        <v>60</v>
      </c>
    </row>
    <row r="221" spans="1:31" x14ac:dyDescent="0.2">
      <c r="A221">
        <v>214</v>
      </c>
      <c r="B221" s="19" t="s">
        <v>683</v>
      </c>
      <c r="C221">
        <v>30</v>
      </c>
      <c r="D221" s="19" t="s">
        <v>381</v>
      </c>
      <c r="E221" s="19" t="s">
        <v>325</v>
      </c>
      <c r="F221">
        <v>9</v>
      </c>
      <c r="G221">
        <v>8</v>
      </c>
      <c r="H221">
        <v>3</v>
      </c>
      <c r="I221">
        <v>11</v>
      </c>
      <c r="J221">
        <v>6</v>
      </c>
      <c r="K221">
        <v>12</v>
      </c>
      <c r="L221">
        <v>6</v>
      </c>
      <c r="M221">
        <v>2</v>
      </c>
      <c r="N221">
        <v>0</v>
      </c>
      <c r="O221">
        <v>1</v>
      </c>
      <c r="P221">
        <v>3</v>
      </c>
      <c r="Q221">
        <v>0</v>
      </c>
      <c r="R221">
        <v>0</v>
      </c>
      <c r="S221">
        <v>19</v>
      </c>
      <c r="T221">
        <v>42.1</v>
      </c>
      <c r="U221">
        <v>37</v>
      </c>
      <c r="V221" s="19" t="s">
        <v>2717</v>
      </c>
      <c r="W221" s="19" t="s">
        <v>1621</v>
      </c>
      <c r="X221">
        <v>4</v>
      </c>
      <c r="Y221">
        <v>3</v>
      </c>
      <c r="Z221">
        <v>57.1</v>
      </c>
      <c r="AA221">
        <v>3</v>
      </c>
      <c r="AB221">
        <v>8</v>
      </c>
      <c r="AC221">
        <v>4</v>
      </c>
      <c r="AD221">
        <v>11</v>
      </c>
      <c r="AE221" s="19" t="s">
        <v>60</v>
      </c>
    </row>
    <row r="222" spans="1:31" x14ac:dyDescent="0.2">
      <c r="A222">
        <v>215</v>
      </c>
      <c r="B222" s="19" t="s">
        <v>736</v>
      </c>
      <c r="C222">
        <v>30</v>
      </c>
      <c r="D222" s="19" t="s">
        <v>352</v>
      </c>
      <c r="E222" s="19" t="s">
        <v>335</v>
      </c>
      <c r="F222">
        <v>50</v>
      </c>
      <c r="G222">
        <v>7</v>
      </c>
      <c r="H222">
        <v>16</v>
      </c>
      <c r="I222">
        <v>23</v>
      </c>
      <c r="J222">
        <v>-9</v>
      </c>
      <c r="K222">
        <v>10</v>
      </c>
      <c r="L222">
        <v>1</v>
      </c>
      <c r="M222">
        <v>6</v>
      </c>
      <c r="N222">
        <v>0</v>
      </c>
      <c r="O222">
        <v>1</v>
      </c>
      <c r="P222">
        <v>11</v>
      </c>
      <c r="Q222">
        <v>5</v>
      </c>
      <c r="R222">
        <v>0</v>
      </c>
      <c r="S222">
        <v>81</v>
      </c>
      <c r="T222">
        <v>8.6</v>
      </c>
      <c r="U222">
        <v>186</v>
      </c>
      <c r="V222" s="19" t="s">
        <v>2718</v>
      </c>
      <c r="W222" s="19" t="s">
        <v>1759</v>
      </c>
      <c r="X222">
        <v>5</v>
      </c>
      <c r="Y222">
        <v>7</v>
      </c>
      <c r="Z222">
        <v>41.7</v>
      </c>
      <c r="AA222">
        <v>19</v>
      </c>
      <c r="AB222">
        <v>41</v>
      </c>
      <c r="AC222">
        <v>10</v>
      </c>
      <c r="AD222">
        <v>27</v>
      </c>
      <c r="AE222" s="19" t="s">
        <v>60</v>
      </c>
    </row>
    <row r="223" spans="1:31" x14ac:dyDescent="0.2">
      <c r="A223">
        <v>216</v>
      </c>
      <c r="B223" s="19" t="s">
        <v>432</v>
      </c>
      <c r="C223">
        <v>21</v>
      </c>
      <c r="D223" s="19" t="s">
        <v>405</v>
      </c>
      <c r="E223" s="19" t="s">
        <v>322</v>
      </c>
      <c r="F223">
        <v>29</v>
      </c>
      <c r="G223">
        <v>14</v>
      </c>
      <c r="H223">
        <v>9</v>
      </c>
      <c r="I223">
        <v>23</v>
      </c>
      <c r="J223">
        <v>6</v>
      </c>
      <c r="K223">
        <v>22</v>
      </c>
      <c r="L223">
        <v>10</v>
      </c>
      <c r="M223">
        <v>3</v>
      </c>
      <c r="N223">
        <v>1</v>
      </c>
      <c r="O223">
        <v>1</v>
      </c>
      <c r="P223">
        <v>8</v>
      </c>
      <c r="Q223">
        <v>1</v>
      </c>
      <c r="R223">
        <v>0</v>
      </c>
      <c r="S223">
        <v>59</v>
      </c>
      <c r="T223">
        <v>23.7</v>
      </c>
      <c r="U223">
        <v>101</v>
      </c>
      <c r="V223" s="19" t="s">
        <v>433</v>
      </c>
      <c r="W223" s="19" t="s">
        <v>434</v>
      </c>
      <c r="X223">
        <v>133</v>
      </c>
      <c r="Y223">
        <v>189</v>
      </c>
      <c r="Z223">
        <v>41.3</v>
      </c>
      <c r="AA223">
        <v>13</v>
      </c>
      <c r="AB223">
        <v>34</v>
      </c>
      <c r="AC223">
        <v>11</v>
      </c>
      <c r="AD223">
        <v>37</v>
      </c>
      <c r="AE223" s="19" t="s">
        <v>60</v>
      </c>
    </row>
    <row r="224" spans="1:31" x14ac:dyDescent="0.2">
      <c r="A224">
        <v>217</v>
      </c>
      <c r="B224" s="19" t="s">
        <v>746</v>
      </c>
      <c r="C224">
        <v>30</v>
      </c>
      <c r="D224" s="19" t="s">
        <v>384</v>
      </c>
      <c r="E224" s="19" t="s">
        <v>340</v>
      </c>
      <c r="F224">
        <v>48</v>
      </c>
      <c r="G224">
        <v>12</v>
      </c>
      <c r="H224">
        <v>11</v>
      </c>
      <c r="I224">
        <v>23</v>
      </c>
      <c r="J224">
        <v>2</v>
      </c>
      <c r="K224">
        <v>10</v>
      </c>
      <c r="L224">
        <v>8</v>
      </c>
      <c r="M224">
        <v>4</v>
      </c>
      <c r="N224">
        <v>0</v>
      </c>
      <c r="O224">
        <v>2</v>
      </c>
      <c r="P224">
        <v>10</v>
      </c>
      <c r="Q224">
        <v>1</v>
      </c>
      <c r="R224">
        <v>0</v>
      </c>
      <c r="S224">
        <v>62</v>
      </c>
      <c r="T224">
        <v>19.399999999999999</v>
      </c>
      <c r="U224">
        <v>125</v>
      </c>
      <c r="V224" s="19" t="s">
        <v>2719</v>
      </c>
      <c r="W224" s="19" t="s">
        <v>580</v>
      </c>
      <c r="X224">
        <v>4</v>
      </c>
      <c r="Y224">
        <v>5</v>
      </c>
      <c r="Z224">
        <v>44.4</v>
      </c>
      <c r="AA224">
        <v>33</v>
      </c>
      <c r="AB224">
        <v>3</v>
      </c>
      <c r="AC224">
        <v>5</v>
      </c>
      <c r="AD224">
        <v>18</v>
      </c>
      <c r="AE224" s="19" t="s">
        <v>60</v>
      </c>
    </row>
    <row r="225" spans="1:31" x14ac:dyDescent="0.2">
      <c r="A225">
        <v>218</v>
      </c>
      <c r="B225" s="19" t="s">
        <v>582</v>
      </c>
      <c r="C225">
        <v>35</v>
      </c>
      <c r="D225" s="19" t="s">
        <v>328</v>
      </c>
      <c r="E225" s="19" t="s">
        <v>349</v>
      </c>
      <c r="F225">
        <v>53</v>
      </c>
      <c r="G225">
        <v>3</v>
      </c>
      <c r="H225">
        <v>20</v>
      </c>
      <c r="I225">
        <v>23</v>
      </c>
      <c r="J225">
        <v>15</v>
      </c>
      <c r="K225">
        <v>20</v>
      </c>
      <c r="L225">
        <v>3</v>
      </c>
      <c r="M225">
        <v>0</v>
      </c>
      <c r="N225">
        <v>0</v>
      </c>
      <c r="O225">
        <v>1</v>
      </c>
      <c r="P225">
        <v>18</v>
      </c>
      <c r="Q225">
        <v>2</v>
      </c>
      <c r="R225">
        <v>0</v>
      </c>
      <c r="S225">
        <v>91</v>
      </c>
      <c r="T225">
        <v>3.3</v>
      </c>
      <c r="U225">
        <v>214</v>
      </c>
      <c r="V225" s="19" t="s">
        <v>2720</v>
      </c>
      <c r="W225" s="19" t="s">
        <v>1685</v>
      </c>
      <c r="X225">
        <v>0</v>
      </c>
      <c r="Y225">
        <v>0</v>
      </c>
      <c r="AA225">
        <v>85</v>
      </c>
      <c r="AB225">
        <v>49</v>
      </c>
      <c r="AC225">
        <v>21</v>
      </c>
      <c r="AD225">
        <v>67</v>
      </c>
      <c r="AE225" s="19" t="s">
        <v>60</v>
      </c>
    </row>
    <row r="226" spans="1:31" x14ac:dyDescent="0.2">
      <c r="A226">
        <v>219</v>
      </c>
      <c r="B226" s="19" t="s">
        <v>778</v>
      </c>
      <c r="C226">
        <v>23</v>
      </c>
      <c r="D226" s="19" t="s">
        <v>416</v>
      </c>
      <c r="E226" s="19" t="s">
        <v>322</v>
      </c>
      <c r="F226">
        <v>46</v>
      </c>
      <c r="G226">
        <v>8</v>
      </c>
      <c r="H226">
        <v>15</v>
      </c>
      <c r="I226">
        <v>23</v>
      </c>
      <c r="J226">
        <v>4</v>
      </c>
      <c r="K226">
        <v>59</v>
      </c>
      <c r="L226">
        <v>7</v>
      </c>
      <c r="M226">
        <v>1</v>
      </c>
      <c r="N226">
        <v>0</v>
      </c>
      <c r="O226">
        <v>0</v>
      </c>
      <c r="P226">
        <v>13</v>
      </c>
      <c r="Q226">
        <v>2</v>
      </c>
      <c r="R226">
        <v>0</v>
      </c>
      <c r="S226">
        <v>83</v>
      </c>
      <c r="T226">
        <v>9.6</v>
      </c>
      <c r="U226">
        <v>145</v>
      </c>
      <c r="V226" s="19" t="s">
        <v>2721</v>
      </c>
      <c r="W226" s="19" t="s">
        <v>1797</v>
      </c>
      <c r="X226">
        <v>177</v>
      </c>
      <c r="Y226">
        <v>164</v>
      </c>
      <c r="Z226">
        <v>51.9</v>
      </c>
      <c r="AA226">
        <v>31</v>
      </c>
      <c r="AB226">
        <v>57</v>
      </c>
      <c r="AC226">
        <v>10</v>
      </c>
      <c r="AD226">
        <v>28</v>
      </c>
      <c r="AE226" s="19" t="s">
        <v>60</v>
      </c>
    </row>
    <row r="227" spans="1:31" x14ac:dyDescent="0.2">
      <c r="A227">
        <v>220</v>
      </c>
      <c r="B227" s="19" t="s">
        <v>563</v>
      </c>
      <c r="C227">
        <v>34</v>
      </c>
      <c r="D227" s="19" t="s">
        <v>447</v>
      </c>
      <c r="E227" s="19" t="s">
        <v>340</v>
      </c>
      <c r="F227">
        <v>50</v>
      </c>
      <c r="G227">
        <v>9</v>
      </c>
      <c r="H227">
        <v>14</v>
      </c>
      <c r="I227">
        <v>23</v>
      </c>
      <c r="J227">
        <v>-17</v>
      </c>
      <c r="K227">
        <v>57</v>
      </c>
      <c r="L227">
        <v>7</v>
      </c>
      <c r="M227">
        <v>2</v>
      </c>
      <c r="N227">
        <v>0</v>
      </c>
      <c r="O227">
        <v>1</v>
      </c>
      <c r="P227">
        <v>10</v>
      </c>
      <c r="Q227">
        <v>4</v>
      </c>
      <c r="R227">
        <v>0</v>
      </c>
      <c r="S227">
        <v>121</v>
      </c>
      <c r="T227">
        <v>7.4</v>
      </c>
      <c r="U227">
        <v>270</v>
      </c>
      <c r="V227" s="19" t="s">
        <v>2398</v>
      </c>
      <c r="W227" s="19" t="s">
        <v>1509</v>
      </c>
      <c r="X227">
        <v>16</v>
      </c>
      <c r="Y227">
        <v>28</v>
      </c>
      <c r="Z227">
        <v>36.4</v>
      </c>
      <c r="AA227">
        <v>18</v>
      </c>
      <c r="AB227">
        <v>85</v>
      </c>
      <c r="AC227">
        <v>10</v>
      </c>
      <c r="AD227">
        <v>51</v>
      </c>
      <c r="AE227" s="19" t="s">
        <v>60</v>
      </c>
    </row>
    <row r="228" spans="1:31" x14ac:dyDescent="0.2">
      <c r="A228">
        <v>221</v>
      </c>
      <c r="B228" s="19" t="s">
        <v>552</v>
      </c>
      <c r="C228">
        <v>34</v>
      </c>
      <c r="D228" s="19" t="s">
        <v>324</v>
      </c>
      <c r="E228" s="19" t="s">
        <v>349</v>
      </c>
      <c r="F228">
        <v>50</v>
      </c>
      <c r="G228">
        <v>1</v>
      </c>
      <c r="H228">
        <v>22</v>
      </c>
      <c r="I228">
        <v>23</v>
      </c>
      <c r="J228">
        <v>-3</v>
      </c>
      <c r="K228">
        <v>28</v>
      </c>
      <c r="L228">
        <v>1</v>
      </c>
      <c r="M228">
        <v>0</v>
      </c>
      <c r="N228">
        <v>0</v>
      </c>
      <c r="O228">
        <v>0</v>
      </c>
      <c r="P228">
        <v>11</v>
      </c>
      <c r="Q228">
        <v>11</v>
      </c>
      <c r="R228">
        <v>0</v>
      </c>
      <c r="S228">
        <v>49</v>
      </c>
      <c r="T228">
        <v>2</v>
      </c>
      <c r="U228">
        <v>128</v>
      </c>
      <c r="V228" s="19" t="s">
        <v>2399</v>
      </c>
      <c r="W228" s="19" t="s">
        <v>2400</v>
      </c>
      <c r="X228">
        <v>0</v>
      </c>
      <c r="Y228">
        <v>0</v>
      </c>
      <c r="AA228">
        <v>51</v>
      </c>
      <c r="AB228">
        <v>72</v>
      </c>
      <c r="AC228">
        <v>15</v>
      </c>
      <c r="AD228">
        <v>51</v>
      </c>
      <c r="AE228" s="19" t="s">
        <v>60</v>
      </c>
    </row>
    <row r="229" spans="1:31" x14ac:dyDescent="0.2">
      <c r="A229">
        <v>222</v>
      </c>
      <c r="B229" s="19" t="s">
        <v>661</v>
      </c>
      <c r="C229">
        <v>24</v>
      </c>
      <c r="D229" s="19" t="s">
        <v>328</v>
      </c>
      <c r="E229" s="19" t="s">
        <v>335</v>
      </c>
      <c r="F229">
        <v>53</v>
      </c>
      <c r="G229">
        <v>12</v>
      </c>
      <c r="H229">
        <v>11</v>
      </c>
      <c r="I229">
        <v>23</v>
      </c>
      <c r="J229">
        <v>11</v>
      </c>
      <c r="K229">
        <v>44</v>
      </c>
      <c r="L229">
        <v>12</v>
      </c>
      <c r="M229">
        <v>0</v>
      </c>
      <c r="N229">
        <v>0</v>
      </c>
      <c r="O229">
        <v>4</v>
      </c>
      <c r="P229">
        <v>11</v>
      </c>
      <c r="Q229">
        <v>0</v>
      </c>
      <c r="R229">
        <v>0</v>
      </c>
      <c r="S229">
        <v>81</v>
      </c>
      <c r="T229">
        <v>14.8</v>
      </c>
      <c r="U229">
        <v>133</v>
      </c>
      <c r="V229" s="19" t="s">
        <v>2722</v>
      </c>
      <c r="W229" s="19" t="s">
        <v>673</v>
      </c>
      <c r="X229">
        <v>14</v>
      </c>
      <c r="Y229">
        <v>33</v>
      </c>
      <c r="Z229">
        <v>29.8</v>
      </c>
      <c r="AA229">
        <v>28</v>
      </c>
      <c r="AB229">
        <v>152</v>
      </c>
      <c r="AC229">
        <v>7</v>
      </c>
      <c r="AD229">
        <v>33</v>
      </c>
      <c r="AE229" s="19" t="s">
        <v>60</v>
      </c>
    </row>
    <row r="230" spans="1:31" x14ac:dyDescent="0.2">
      <c r="A230">
        <v>223</v>
      </c>
      <c r="B230" s="19" t="s">
        <v>553</v>
      </c>
      <c r="C230">
        <v>30</v>
      </c>
      <c r="D230" s="19" t="s">
        <v>447</v>
      </c>
      <c r="E230" s="19" t="s">
        <v>335</v>
      </c>
      <c r="F230">
        <v>44</v>
      </c>
      <c r="G230">
        <v>17</v>
      </c>
      <c r="H230">
        <v>6</v>
      </c>
      <c r="I230">
        <v>23</v>
      </c>
      <c r="J230">
        <v>-12</v>
      </c>
      <c r="K230">
        <v>22</v>
      </c>
      <c r="L230">
        <v>10</v>
      </c>
      <c r="M230">
        <v>6</v>
      </c>
      <c r="N230">
        <v>1</v>
      </c>
      <c r="O230">
        <v>2</v>
      </c>
      <c r="P230">
        <v>2</v>
      </c>
      <c r="Q230">
        <v>4</v>
      </c>
      <c r="R230">
        <v>0</v>
      </c>
      <c r="S230">
        <v>109</v>
      </c>
      <c r="T230">
        <v>15.6</v>
      </c>
      <c r="U230">
        <v>231</v>
      </c>
      <c r="V230" s="19" t="s">
        <v>1899</v>
      </c>
      <c r="W230" s="19" t="s">
        <v>1623</v>
      </c>
      <c r="X230">
        <v>13</v>
      </c>
      <c r="Y230">
        <v>19</v>
      </c>
      <c r="Z230">
        <v>40.6</v>
      </c>
      <c r="AA230">
        <v>21</v>
      </c>
      <c r="AB230">
        <v>210</v>
      </c>
      <c r="AC230">
        <v>18</v>
      </c>
      <c r="AD230">
        <v>47</v>
      </c>
      <c r="AE230" s="19" t="s">
        <v>60</v>
      </c>
    </row>
    <row r="231" spans="1:31" x14ac:dyDescent="0.2">
      <c r="A231">
        <v>224</v>
      </c>
      <c r="B231" s="19" t="s">
        <v>633</v>
      </c>
      <c r="C231">
        <v>24</v>
      </c>
      <c r="D231" s="19" t="s">
        <v>407</v>
      </c>
      <c r="E231" s="19" t="s">
        <v>335</v>
      </c>
      <c r="F231">
        <v>44</v>
      </c>
      <c r="G231">
        <v>13</v>
      </c>
      <c r="H231">
        <v>9</v>
      </c>
      <c r="I231">
        <v>22</v>
      </c>
      <c r="J231">
        <v>-1</v>
      </c>
      <c r="K231">
        <v>20</v>
      </c>
      <c r="L231">
        <v>10</v>
      </c>
      <c r="M231">
        <v>3</v>
      </c>
      <c r="N231">
        <v>0</v>
      </c>
      <c r="O231">
        <v>3</v>
      </c>
      <c r="P231">
        <v>7</v>
      </c>
      <c r="Q231">
        <v>2</v>
      </c>
      <c r="R231">
        <v>0</v>
      </c>
      <c r="S231">
        <v>77</v>
      </c>
      <c r="T231">
        <v>16.899999999999999</v>
      </c>
      <c r="U231">
        <v>134</v>
      </c>
      <c r="V231" s="19" t="s">
        <v>2401</v>
      </c>
      <c r="W231" s="19" t="s">
        <v>961</v>
      </c>
      <c r="X231">
        <v>12</v>
      </c>
      <c r="Y231">
        <v>26</v>
      </c>
      <c r="Z231">
        <v>31.6</v>
      </c>
      <c r="AA231">
        <v>26</v>
      </c>
      <c r="AB231">
        <v>52</v>
      </c>
      <c r="AC231">
        <v>5</v>
      </c>
      <c r="AD231">
        <v>22</v>
      </c>
      <c r="AE231" s="19" t="s">
        <v>60</v>
      </c>
    </row>
    <row r="232" spans="1:31" x14ac:dyDescent="0.2">
      <c r="A232">
        <v>225</v>
      </c>
      <c r="B232" s="19" t="s">
        <v>561</v>
      </c>
      <c r="C232">
        <v>29</v>
      </c>
      <c r="D232" s="19" t="s">
        <v>447</v>
      </c>
      <c r="E232" s="19" t="s">
        <v>335</v>
      </c>
      <c r="F232">
        <v>40</v>
      </c>
      <c r="G232">
        <v>7</v>
      </c>
      <c r="H232">
        <v>15</v>
      </c>
      <c r="I232">
        <v>22</v>
      </c>
      <c r="J232">
        <v>-16</v>
      </c>
      <c r="K232">
        <v>26</v>
      </c>
      <c r="L232">
        <v>5</v>
      </c>
      <c r="M232">
        <v>1</v>
      </c>
      <c r="N232">
        <v>1</v>
      </c>
      <c r="O232">
        <v>1</v>
      </c>
      <c r="P232">
        <v>7</v>
      </c>
      <c r="Q232">
        <v>8</v>
      </c>
      <c r="R232">
        <v>0</v>
      </c>
      <c r="S232">
        <v>82</v>
      </c>
      <c r="T232">
        <v>8.5</v>
      </c>
      <c r="U232">
        <v>166</v>
      </c>
      <c r="V232" s="19" t="s">
        <v>2402</v>
      </c>
      <c r="W232" s="19" t="s">
        <v>2210</v>
      </c>
      <c r="X232">
        <v>10</v>
      </c>
      <c r="Y232">
        <v>16</v>
      </c>
      <c r="Z232">
        <v>38.5</v>
      </c>
      <c r="AA232">
        <v>19</v>
      </c>
      <c r="AB232">
        <v>24</v>
      </c>
      <c r="AC232">
        <v>15</v>
      </c>
      <c r="AD232">
        <v>50</v>
      </c>
      <c r="AE232" s="19" t="s">
        <v>60</v>
      </c>
    </row>
    <row r="233" spans="1:31" x14ac:dyDescent="0.2">
      <c r="A233">
        <v>226</v>
      </c>
      <c r="B233" s="19" t="s">
        <v>540</v>
      </c>
      <c r="C233">
        <v>24</v>
      </c>
      <c r="D233" s="19" t="s">
        <v>384</v>
      </c>
      <c r="E233" s="19" t="s">
        <v>340</v>
      </c>
      <c r="F233">
        <v>51</v>
      </c>
      <c r="G233">
        <v>14</v>
      </c>
      <c r="H233">
        <v>8</v>
      </c>
      <c r="I233">
        <v>22</v>
      </c>
      <c r="J233">
        <v>-5</v>
      </c>
      <c r="K233">
        <v>14</v>
      </c>
      <c r="L233">
        <v>12</v>
      </c>
      <c r="M233">
        <v>2</v>
      </c>
      <c r="N233">
        <v>0</v>
      </c>
      <c r="O233">
        <v>0</v>
      </c>
      <c r="P233">
        <v>8</v>
      </c>
      <c r="Q233">
        <v>0</v>
      </c>
      <c r="R233">
        <v>0</v>
      </c>
      <c r="S233">
        <v>113</v>
      </c>
      <c r="T233">
        <v>12.4</v>
      </c>
      <c r="U233">
        <v>216</v>
      </c>
      <c r="V233" s="19" t="s">
        <v>2723</v>
      </c>
      <c r="W233" s="19" t="s">
        <v>1956</v>
      </c>
      <c r="X233">
        <v>4</v>
      </c>
      <c r="Y233">
        <v>6</v>
      </c>
      <c r="Z233">
        <v>40</v>
      </c>
      <c r="AA233">
        <v>36</v>
      </c>
      <c r="AB233">
        <v>165</v>
      </c>
      <c r="AC233">
        <v>6</v>
      </c>
      <c r="AD233">
        <v>28</v>
      </c>
      <c r="AE233" s="19" t="s">
        <v>60</v>
      </c>
    </row>
    <row r="234" spans="1:31" x14ac:dyDescent="0.2">
      <c r="A234">
        <v>227</v>
      </c>
      <c r="B234" s="19" t="s">
        <v>821</v>
      </c>
      <c r="C234">
        <v>23</v>
      </c>
      <c r="D234" s="19" t="s">
        <v>355</v>
      </c>
      <c r="E234" s="19" t="s">
        <v>322</v>
      </c>
      <c r="F234">
        <v>47</v>
      </c>
      <c r="G234">
        <v>11</v>
      </c>
      <c r="H234">
        <v>11</v>
      </c>
      <c r="I234">
        <v>22</v>
      </c>
      <c r="J234">
        <v>3</v>
      </c>
      <c r="K234">
        <v>12</v>
      </c>
      <c r="L234">
        <v>11</v>
      </c>
      <c r="M234">
        <v>0</v>
      </c>
      <c r="N234">
        <v>0</v>
      </c>
      <c r="O234">
        <v>1</v>
      </c>
      <c r="P234">
        <v>10</v>
      </c>
      <c r="Q234">
        <v>1</v>
      </c>
      <c r="R234">
        <v>0</v>
      </c>
      <c r="S234">
        <v>47</v>
      </c>
      <c r="T234">
        <v>23.4</v>
      </c>
      <c r="U234">
        <v>91</v>
      </c>
      <c r="V234" s="19" t="s">
        <v>2724</v>
      </c>
      <c r="W234" s="19" t="s">
        <v>1772</v>
      </c>
      <c r="X234">
        <v>35</v>
      </c>
      <c r="Y234">
        <v>41</v>
      </c>
      <c r="Z234">
        <v>46.1</v>
      </c>
      <c r="AA234">
        <v>23</v>
      </c>
      <c r="AB234">
        <v>24</v>
      </c>
      <c r="AC234">
        <v>15</v>
      </c>
      <c r="AD234">
        <v>29</v>
      </c>
      <c r="AE234" s="19" t="s">
        <v>60</v>
      </c>
    </row>
    <row r="235" spans="1:31" x14ac:dyDescent="0.2">
      <c r="A235">
        <v>228</v>
      </c>
      <c r="B235" s="19" t="s">
        <v>592</v>
      </c>
      <c r="C235">
        <v>33</v>
      </c>
      <c r="D235" s="19" t="s">
        <v>321</v>
      </c>
      <c r="E235" s="19" t="s">
        <v>340</v>
      </c>
      <c r="F235">
        <v>41</v>
      </c>
      <c r="G235">
        <v>7</v>
      </c>
      <c r="H235">
        <v>15</v>
      </c>
      <c r="I235">
        <v>22</v>
      </c>
      <c r="J235">
        <v>18</v>
      </c>
      <c r="K235">
        <v>27</v>
      </c>
      <c r="L235">
        <v>6</v>
      </c>
      <c r="M235">
        <v>1</v>
      </c>
      <c r="N235">
        <v>0</v>
      </c>
      <c r="O235">
        <v>1</v>
      </c>
      <c r="P235">
        <v>13</v>
      </c>
      <c r="Q235">
        <v>2</v>
      </c>
      <c r="R235">
        <v>0</v>
      </c>
      <c r="S235">
        <v>87</v>
      </c>
      <c r="T235">
        <v>8</v>
      </c>
      <c r="U235">
        <v>168</v>
      </c>
      <c r="V235" s="19" t="s">
        <v>1825</v>
      </c>
      <c r="W235" s="19" t="s">
        <v>1390</v>
      </c>
      <c r="X235">
        <v>92</v>
      </c>
      <c r="Y235">
        <v>55</v>
      </c>
      <c r="Z235">
        <v>62.6</v>
      </c>
      <c r="AA235">
        <v>18</v>
      </c>
      <c r="AB235">
        <v>60</v>
      </c>
      <c r="AC235">
        <v>12</v>
      </c>
      <c r="AD235">
        <v>21</v>
      </c>
      <c r="AE235" s="19" t="s">
        <v>60</v>
      </c>
    </row>
    <row r="236" spans="1:31" x14ac:dyDescent="0.2">
      <c r="A236">
        <v>229</v>
      </c>
      <c r="B236" s="19" t="s">
        <v>880</v>
      </c>
      <c r="C236">
        <v>29</v>
      </c>
      <c r="D236" s="19" t="s">
        <v>530</v>
      </c>
      <c r="E236" s="19" t="s">
        <v>322</v>
      </c>
      <c r="F236">
        <v>26</v>
      </c>
      <c r="G236">
        <v>12</v>
      </c>
      <c r="H236">
        <v>10</v>
      </c>
      <c r="I236">
        <v>22</v>
      </c>
      <c r="J236">
        <v>-3</v>
      </c>
      <c r="K236">
        <v>5</v>
      </c>
      <c r="L236">
        <v>8</v>
      </c>
      <c r="M236">
        <v>4</v>
      </c>
      <c r="N236">
        <v>0</v>
      </c>
      <c r="O236">
        <v>1</v>
      </c>
      <c r="P236">
        <v>5</v>
      </c>
      <c r="Q236">
        <v>5</v>
      </c>
      <c r="R236">
        <v>0</v>
      </c>
      <c r="S236">
        <v>64</v>
      </c>
      <c r="T236">
        <v>18.8</v>
      </c>
      <c r="U236">
        <v>128</v>
      </c>
      <c r="V236" s="19" t="s">
        <v>2403</v>
      </c>
      <c r="W236" s="19" t="s">
        <v>1726</v>
      </c>
      <c r="X236">
        <v>5</v>
      </c>
      <c r="Y236">
        <v>9</v>
      </c>
      <c r="Z236">
        <v>35.700000000000003</v>
      </c>
      <c r="AA236">
        <v>17</v>
      </c>
      <c r="AB236">
        <v>19</v>
      </c>
      <c r="AC236">
        <v>8</v>
      </c>
      <c r="AD236">
        <v>27</v>
      </c>
      <c r="AE236" s="19" t="s">
        <v>60</v>
      </c>
    </row>
    <row r="237" spans="1:31" x14ac:dyDescent="0.2">
      <c r="A237">
        <v>230</v>
      </c>
      <c r="B237" s="19" t="s">
        <v>650</v>
      </c>
      <c r="C237">
        <v>26</v>
      </c>
      <c r="D237" s="19" t="s">
        <v>397</v>
      </c>
      <c r="E237" s="19" t="s">
        <v>349</v>
      </c>
      <c r="F237">
        <v>44</v>
      </c>
      <c r="G237">
        <v>4</v>
      </c>
      <c r="H237">
        <v>18</v>
      </c>
      <c r="I237">
        <v>22</v>
      </c>
      <c r="J237">
        <v>2</v>
      </c>
      <c r="K237">
        <v>38</v>
      </c>
      <c r="L237">
        <v>3</v>
      </c>
      <c r="M237">
        <v>1</v>
      </c>
      <c r="N237">
        <v>0</v>
      </c>
      <c r="O237">
        <v>1</v>
      </c>
      <c r="P237">
        <v>14</v>
      </c>
      <c r="Q237">
        <v>2</v>
      </c>
      <c r="R237">
        <v>2</v>
      </c>
      <c r="S237">
        <v>73</v>
      </c>
      <c r="T237">
        <v>5.5</v>
      </c>
      <c r="U237">
        <v>201</v>
      </c>
      <c r="V237" s="19" t="s">
        <v>2725</v>
      </c>
      <c r="W237" s="19" t="s">
        <v>1523</v>
      </c>
      <c r="X237">
        <v>0</v>
      </c>
      <c r="Y237">
        <v>1</v>
      </c>
      <c r="Z237">
        <v>0</v>
      </c>
      <c r="AA237">
        <v>45</v>
      </c>
      <c r="AB237">
        <v>56</v>
      </c>
      <c r="AC237">
        <v>33</v>
      </c>
      <c r="AD237">
        <v>53</v>
      </c>
      <c r="AE237" s="19" t="s">
        <v>60</v>
      </c>
    </row>
    <row r="238" spans="1:31" x14ac:dyDescent="0.2">
      <c r="A238">
        <v>231</v>
      </c>
      <c r="B238" s="19" t="s">
        <v>795</v>
      </c>
      <c r="C238">
        <v>32</v>
      </c>
      <c r="D238" s="19" t="s">
        <v>376</v>
      </c>
      <c r="E238" s="19" t="s">
        <v>335</v>
      </c>
      <c r="F238">
        <v>30</v>
      </c>
      <c r="G238">
        <v>9</v>
      </c>
      <c r="H238">
        <v>13</v>
      </c>
      <c r="I238">
        <v>22</v>
      </c>
      <c r="J238">
        <v>4</v>
      </c>
      <c r="K238">
        <v>2</v>
      </c>
      <c r="L238">
        <v>7</v>
      </c>
      <c r="M238">
        <v>2</v>
      </c>
      <c r="N238">
        <v>0</v>
      </c>
      <c r="O238">
        <v>0</v>
      </c>
      <c r="P238">
        <v>8</v>
      </c>
      <c r="Q238">
        <v>4</v>
      </c>
      <c r="R238">
        <v>1</v>
      </c>
      <c r="S238">
        <v>91</v>
      </c>
      <c r="T238">
        <v>9.9</v>
      </c>
      <c r="U238">
        <v>152</v>
      </c>
      <c r="V238" s="19" t="s">
        <v>2277</v>
      </c>
      <c r="W238" s="19" t="s">
        <v>1948</v>
      </c>
      <c r="X238">
        <v>2</v>
      </c>
      <c r="Y238">
        <v>18</v>
      </c>
      <c r="Z238">
        <v>10</v>
      </c>
      <c r="AA238">
        <v>26</v>
      </c>
      <c r="AB238">
        <v>42</v>
      </c>
      <c r="AC238">
        <v>14</v>
      </c>
      <c r="AD238">
        <v>23</v>
      </c>
      <c r="AE238" s="19" t="s">
        <v>60</v>
      </c>
    </row>
    <row r="239" spans="1:31" x14ac:dyDescent="0.2">
      <c r="A239">
        <v>232</v>
      </c>
      <c r="B239" s="19" t="s">
        <v>510</v>
      </c>
      <c r="C239">
        <v>29</v>
      </c>
      <c r="D239" s="19" t="s">
        <v>328</v>
      </c>
      <c r="E239" s="19" t="s">
        <v>322</v>
      </c>
      <c r="F239">
        <v>40</v>
      </c>
      <c r="G239">
        <v>14</v>
      </c>
      <c r="H239">
        <v>8</v>
      </c>
      <c r="I239">
        <v>22</v>
      </c>
      <c r="J239">
        <v>-7</v>
      </c>
      <c r="K239">
        <v>12</v>
      </c>
      <c r="L239">
        <v>11</v>
      </c>
      <c r="M239">
        <v>3</v>
      </c>
      <c r="N239">
        <v>0</v>
      </c>
      <c r="O239">
        <v>4</v>
      </c>
      <c r="P239">
        <v>6</v>
      </c>
      <c r="Q239">
        <v>2</v>
      </c>
      <c r="R239">
        <v>0</v>
      </c>
      <c r="S239">
        <v>84</v>
      </c>
      <c r="T239">
        <v>16.7</v>
      </c>
      <c r="U239">
        <v>155</v>
      </c>
      <c r="V239" s="19" t="s">
        <v>2726</v>
      </c>
      <c r="W239" s="19" t="s">
        <v>1966</v>
      </c>
      <c r="X239">
        <v>71</v>
      </c>
      <c r="Y239">
        <v>64</v>
      </c>
      <c r="Z239">
        <v>52.6</v>
      </c>
      <c r="AA239">
        <v>15</v>
      </c>
      <c r="AB239">
        <v>18</v>
      </c>
      <c r="AC239">
        <v>8</v>
      </c>
      <c r="AD239">
        <v>42</v>
      </c>
      <c r="AE239" s="19" t="s">
        <v>60</v>
      </c>
    </row>
    <row r="240" spans="1:31" x14ac:dyDescent="0.2">
      <c r="A240">
        <v>233</v>
      </c>
      <c r="B240" s="19" t="s">
        <v>688</v>
      </c>
      <c r="C240">
        <v>29</v>
      </c>
      <c r="D240" s="19" t="s">
        <v>407</v>
      </c>
      <c r="E240" s="19" t="s">
        <v>349</v>
      </c>
      <c r="F240">
        <v>50</v>
      </c>
      <c r="G240">
        <v>6</v>
      </c>
      <c r="H240">
        <v>16</v>
      </c>
      <c r="I240">
        <v>22</v>
      </c>
      <c r="J240">
        <v>5</v>
      </c>
      <c r="K240">
        <v>18</v>
      </c>
      <c r="L240">
        <v>4</v>
      </c>
      <c r="M240">
        <v>1</v>
      </c>
      <c r="N240">
        <v>1</v>
      </c>
      <c r="O240">
        <v>1</v>
      </c>
      <c r="P240">
        <v>13</v>
      </c>
      <c r="Q240">
        <v>2</v>
      </c>
      <c r="R240">
        <v>1</v>
      </c>
      <c r="S240">
        <v>62</v>
      </c>
      <c r="T240">
        <v>9.6999999999999993</v>
      </c>
      <c r="U240">
        <v>165</v>
      </c>
      <c r="V240" s="19" t="s">
        <v>2404</v>
      </c>
      <c r="W240" s="19" t="s">
        <v>2405</v>
      </c>
      <c r="X240">
        <v>0</v>
      </c>
      <c r="Y240">
        <v>0</v>
      </c>
      <c r="AA240">
        <v>95</v>
      </c>
      <c r="AB240">
        <v>30</v>
      </c>
      <c r="AC240">
        <v>18</v>
      </c>
      <c r="AD240">
        <v>69</v>
      </c>
      <c r="AE240" s="19" t="s">
        <v>60</v>
      </c>
    </row>
    <row r="241" spans="1:31" x14ac:dyDescent="0.2">
      <c r="A241">
        <v>234</v>
      </c>
      <c r="B241" s="19" t="s">
        <v>634</v>
      </c>
      <c r="C241">
        <v>34</v>
      </c>
      <c r="D241" s="19" t="s">
        <v>436</v>
      </c>
      <c r="E241" s="19" t="s">
        <v>322</v>
      </c>
      <c r="F241">
        <v>44</v>
      </c>
      <c r="G241">
        <v>13</v>
      </c>
      <c r="H241">
        <v>8</v>
      </c>
      <c r="I241">
        <v>21</v>
      </c>
      <c r="J241">
        <v>10</v>
      </c>
      <c r="K241">
        <v>29</v>
      </c>
      <c r="L241">
        <v>10</v>
      </c>
      <c r="M241">
        <v>0</v>
      </c>
      <c r="N241">
        <v>3</v>
      </c>
      <c r="O241">
        <v>3</v>
      </c>
      <c r="P241">
        <v>8</v>
      </c>
      <c r="Q241">
        <v>0</v>
      </c>
      <c r="R241">
        <v>0</v>
      </c>
      <c r="S241">
        <v>105</v>
      </c>
      <c r="T241">
        <v>12.4</v>
      </c>
      <c r="U241">
        <v>184</v>
      </c>
      <c r="V241" s="19" t="s">
        <v>1868</v>
      </c>
      <c r="W241" s="19" t="s">
        <v>1748</v>
      </c>
      <c r="X241">
        <v>12</v>
      </c>
      <c r="Y241">
        <v>15</v>
      </c>
      <c r="Z241">
        <v>44.4</v>
      </c>
      <c r="AA241">
        <v>29</v>
      </c>
      <c r="AB241">
        <v>110</v>
      </c>
      <c r="AC241">
        <v>15</v>
      </c>
      <c r="AD241">
        <v>41</v>
      </c>
      <c r="AE241" s="19" t="s">
        <v>60</v>
      </c>
    </row>
    <row r="242" spans="1:31" x14ac:dyDescent="0.2">
      <c r="A242">
        <v>235</v>
      </c>
      <c r="B242" s="19" t="s">
        <v>678</v>
      </c>
      <c r="C242">
        <v>30</v>
      </c>
      <c r="D242" s="19" t="s">
        <v>384</v>
      </c>
      <c r="E242" s="19" t="s">
        <v>349</v>
      </c>
      <c r="F242">
        <v>51</v>
      </c>
      <c r="G242">
        <v>3</v>
      </c>
      <c r="H242">
        <v>18</v>
      </c>
      <c r="I242">
        <v>21</v>
      </c>
      <c r="J242">
        <v>-4</v>
      </c>
      <c r="K242">
        <v>33</v>
      </c>
      <c r="L242">
        <v>3</v>
      </c>
      <c r="M242">
        <v>0</v>
      </c>
      <c r="N242">
        <v>0</v>
      </c>
      <c r="O242">
        <v>1</v>
      </c>
      <c r="P242">
        <v>15</v>
      </c>
      <c r="Q242">
        <v>3</v>
      </c>
      <c r="R242">
        <v>0</v>
      </c>
      <c r="S242">
        <v>94</v>
      </c>
      <c r="T242">
        <v>3.2</v>
      </c>
      <c r="U242">
        <v>206</v>
      </c>
      <c r="V242" s="19" t="s">
        <v>2727</v>
      </c>
      <c r="W242" s="19" t="s">
        <v>1826</v>
      </c>
      <c r="X242">
        <v>0</v>
      </c>
      <c r="Y242">
        <v>0</v>
      </c>
      <c r="AA242">
        <v>42</v>
      </c>
      <c r="AB242">
        <v>21</v>
      </c>
      <c r="AC242">
        <v>12</v>
      </c>
      <c r="AD242">
        <v>74</v>
      </c>
      <c r="AE242" s="19" t="s">
        <v>60</v>
      </c>
    </row>
    <row r="243" spans="1:31" x14ac:dyDescent="0.2">
      <c r="A243">
        <v>236</v>
      </c>
      <c r="B243" s="19" t="s">
        <v>814</v>
      </c>
      <c r="C243">
        <v>29</v>
      </c>
      <c r="D243" s="19" t="s">
        <v>373</v>
      </c>
      <c r="E243" s="19" t="s">
        <v>349</v>
      </c>
      <c r="F243">
        <v>49</v>
      </c>
      <c r="G243">
        <v>3</v>
      </c>
      <c r="H243">
        <v>18</v>
      </c>
      <c r="I243">
        <v>21</v>
      </c>
      <c r="J243">
        <v>-8</v>
      </c>
      <c r="K243">
        <v>33</v>
      </c>
      <c r="L243">
        <v>2</v>
      </c>
      <c r="M243">
        <v>1</v>
      </c>
      <c r="N243">
        <v>0</v>
      </c>
      <c r="O243">
        <v>3</v>
      </c>
      <c r="P243">
        <v>15</v>
      </c>
      <c r="Q243">
        <v>2</v>
      </c>
      <c r="R243">
        <v>1</v>
      </c>
      <c r="S243">
        <v>68</v>
      </c>
      <c r="T243">
        <v>4.4000000000000004</v>
      </c>
      <c r="U243">
        <v>164</v>
      </c>
      <c r="V243" s="19" t="s">
        <v>2728</v>
      </c>
      <c r="W243" s="19" t="s">
        <v>2037</v>
      </c>
      <c r="X243">
        <v>0</v>
      </c>
      <c r="Y243">
        <v>1</v>
      </c>
      <c r="Z243">
        <v>0</v>
      </c>
      <c r="AA243">
        <v>80</v>
      </c>
      <c r="AB243">
        <v>60</v>
      </c>
      <c r="AC243">
        <v>14</v>
      </c>
      <c r="AD243">
        <v>44</v>
      </c>
      <c r="AE243" s="19" t="s">
        <v>60</v>
      </c>
    </row>
    <row r="244" spans="1:31" x14ac:dyDescent="0.2">
      <c r="A244">
        <v>237</v>
      </c>
      <c r="B244" s="19" t="s">
        <v>585</v>
      </c>
      <c r="C244">
        <v>20</v>
      </c>
      <c r="D244" s="19" t="s">
        <v>371</v>
      </c>
      <c r="E244" s="19" t="s">
        <v>322</v>
      </c>
      <c r="F244">
        <v>53</v>
      </c>
      <c r="G244">
        <v>9</v>
      </c>
      <c r="H244">
        <v>12</v>
      </c>
      <c r="I244">
        <v>21</v>
      </c>
      <c r="J244">
        <v>-5</v>
      </c>
      <c r="K244">
        <v>6</v>
      </c>
      <c r="L244">
        <v>5</v>
      </c>
      <c r="M244">
        <v>4</v>
      </c>
      <c r="N244">
        <v>0</v>
      </c>
      <c r="O244">
        <v>1</v>
      </c>
      <c r="P244">
        <v>8</v>
      </c>
      <c r="Q244">
        <v>4</v>
      </c>
      <c r="R244">
        <v>0</v>
      </c>
      <c r="S244">
        <v>84</v>
      </c>
      <c r="T244">
        <v>10.7</v>
      </c>
      <c r="U244">
        <v>139</v>
      </c>
      <c r="V244" s="19" t="s">
        <v>2729</v>
      </c>
      <c r="W244" s="19" t="s">
        <v>995</v>
      </c>
      <c r="X244">
        <v>13</v>
      </c>
      <c r="Y244">
        <v>23</v>
      </c>
      <c r="Z244">
        <v>36.1</v>
      </c>
      <c r="AA244">
        <v>30</v>
      </c>
      <c r="AB244">
        <v>77</v>
      </c>
      <c r="AC244">
        <v>15</v>
      </c>
      <c r="AD244">
        <v>50</v>
      </c>
      <c r="AE244" s="19" t="s">
        <v>60</v>
      </c>
    </row>
    <row r="245" spans="1:31" x14ac:dyDescent="0.2">
      <c r="A245">
        <v>238</v>
      </c>
      <c r="B245" s="19" t="s">
        <v>706</v>
      </c>
      <c r="C245">
        <v>27</v>
      </c>
      <c r="D245" s="19" t="s">
        <v>366</v>
      </c>
      <c r="E245" s="19" t="s">
        <v>325</v>
      </c>
      <c r="F245">
        <v>42</v>
      </c>
      <c r="G245">
        <v>11</v>
      </c>
      <c r="H245">
        <v>10</v>
      </c>
      <c r="I245">
        <v>21</v>
      </c>
      <c r="J245">
        <v>6</v>
      </c>
      <c r="K245">
        <v>12</v>
      </c>
      <c r="L245">
        <v>9</v>
      </c>
      <c r="M245">
        <v>2</v>
      </c>
      <c r="N245">
        <v>0</v>
      </c>
      <c r="O245">
        <v>0</v>
      </c>
      <c r="P245">
        <v>8</v>
      </c>
      <c r="Q245">
        <v>2</v>
      </c>
      <c r="R245">
        <v>0</v>
      </c>
      <c r="S245">
        <v>69</v>
      </c>
      <c r="T245">
        <v>15.9</v>
      </c>
      <c r="U245">
        <v>122</v>
      </c>
      <c r="V245" s="19" t="s">
        <v>2730</v>
      </c>
      <c r="W245" s="19" t="s">
        <v>2106</v>
      </c>
      <c r="X245">
        <v>1</v>
      </c>
      <c r="Y245">
        <v>5</v>
      </c>
      <c r="Z245">
        <v>16.7</v>
      </c>
      <c r="AA245">
        <v>27</v>
      </c>
      <c r="AB245">
        <v>38</v>
      </c>
      <c r="AC245">
        <v>6</v>
      </c>
      <c r="AD245">
        <v>17</v>
      </c>
      <c r="AE245" s="19" t="s">
        <v>60</v>
      </c>
    </row>
    <row r="246" spans="1:31" x14ac:dyDescent="0.2">
      <c r="A246">
        <v>239</v>
      </c>
      <c r="B246" s="19" t="s">
        <v>748</v>
      </c>
      <c r="C246">
        <v>33</v>
      </c>
      <c r="D246" s="19" t="s">
        <v>337</v>
      </c>
      <c r="E246" s="19" t="s">
        <v>322</v>
      </c>
      <c r="F246">
        <v>33</v>
      </c>
      <c r="G246">
        <v>9</v>
      </c>
      <c r="H246">
        <v>12</v>
      </c>
      <c r="I246">
        <v>21</v>
      </c>
      <c r="J246">
        <v>-7</v>
      </c>
      <c r="K246">
        <v>12</v>
      </c>
      <c r="L246">
        <v>8</v>
      </c>
      <c r="M246">
        <v>1</v>
      </c>
      <c r="N246">
        <v>0</v>
      </c>
      <c r="O246">
        <v>1</v>
      </c>
      <c r="P246">
        <v>11</v>
      </c>
      <c r="Q246">
        <v>1</v>
      </c>
      <c r="R246">
        <v>0</v>
      </c>
      <c r="S246">
        <v>69</v>
      </c>
      <c r="T246">
        <v>13</v>
      </c>
      <c r="U246">
        <v>132</v>
      </c>
      <c r="V246" s="19" t="s">
        <v>2406</v>
      </c>
      <c r="W246" s="19" t="s">
        <v>1497</v>
      </c>
      <c r="X246">
        <v>206</v>
      </c>
      <c r="Y246">
        <v>226</v>
      </c>
      <c r="Z246">
        <v>47.7</v>
      </c>
      <c r="AA246">
        <v>21</v>
      </c>
      <c r="AB246">
        <v>23</v>
      </c>
      <c r="AC246">
        <v>12</v>
      </c>
      <c r="AD246">
        <v>28</v>
      </c>
      <c r="AE246" s="19" t="s">
        <v>60</v>
      </c>
    </row>
    <row r="247" spans="1:31" x14ac:dyDescent="0.2">
      <c r="A247">
        <v>240</v>
      </c>
      <c r="B247" s="19" t="s">
        <v>618</v>
      </c>
      <c r="C247">
        <v>24</v>
      </c>
      <c r="D247" s="19" t="s">
        <v>399</v>
      </c>
      <c r="E247" s="19" t="s">
        <v>335</v>
      </c>
      <c r="F247">
        <v>47</v>
      </c>
      <c r="G247">
        <v>9</v>
      </c>
      <c r="H247">
        <v>12</v>
      </c>
      <c r="I247">
        <v>21</v>
      </c>
      <c r="J247">
        <v>-5</v>
      </c>
      <c r="K247">
        <v>16</v>
      </c>
      <c r="L247">
        <v>7</v>
      </c>
      <c r="M247">
        <v>2</v>
      </c>
      <c r="N247">
        <v>0</v>
      </c>
      <c r="O247">
        <v>0</v>
      </c>
      <c r="P247">
        <v>10</v>
      </c>
      <c r="Q247">
        <v>2</v>
      </c>
      <c r="R247">
        <v>0</v>
      </c>
      <c r="S247">
        <v>104</v>
      </c>
      <c r="T247">
        <v>8.6999999999999993</v>
      </c>
      <c r="U247">
        <v>193</v>
      </c>
      <c r="V247" s="19" t="s">
        <v>2407</v>
      </c>
      <c r="W247" s="19" t="s">
        <v>548</v>
      </c>
      <c r="X247">
        <v>4</v>
      </c>
      <c r="Y247">
        <v>5</v>
      </c>
      <c r="Z247">
        <v>44.4</v>
      </c>
      <c r="AA247">
        <v>12</v>
      </c>
      <c r="AB247">
        <v>42</v>
      </c>
      <c r="AC247">
        <v>15</v>
      </c>
      <c r="AD247">
        <v>28</v>
      </c>
      <c r="AE247" s="19" t="s">
        <v>60</v>
      </c>
    </row>
    <row r="248" spans="1:31" x14ac:dyDescent="0.2">
      <c r="A248">
        <v>241</v>
      </c>
      <c r="B248" s="19" t="s">
        <v>589</v>
      </c>
      <c r="C248">
        <v>32</v>
      </c>
      <c r="D248" s="19" t="s">
        <v>436</v>
      </c>
      <c r="E248" s="19" t="s">
        <v>340</v>
      </c>
      <c r="F248">
        <v>45</v>
      </c>
      <c r="G248">
        <v>8</v>
      </c>
      <c r="H248">
        <v>13</v>
      </c>
      <c r="I248">
        <v>21</v>
      </c>
      <c r="J248">
        <v>-7</v>
      </c>
      <c r="K248">
        <v>41</v>
      </c>
      <c r="L248">
        <v>6</v>
      </c>
      <c r="M248">
        <v>2</v>
      </c>
      <c r="N248">
        <v>0</v>
      </c>
      <c r="O248">
        <v>2</v>
      </c>
      <c r="P248">
        <v>10</v>
      </c>
      <c r="Q248">
        <v>3</v>
      </c>
      <c r="R248">
        <v>0</v>
      </c>
      <c r="S248">
        <v>71</v>
      </c>
      <c r="T248">
        <v>11.3</v>
      </c>
      <c r="U248">
        <v>141</v>
      </c>
      <c r="V248" s="19" t="s">
        <v>2408</v>
      </c>
      <c r="W248" s="19" t="s">
        <v>1508</v>
      </c>
      <c r="X248">
        <v>6</v>
      </c>
      <c r="Y248">
        <v>8</v>
      </c>
      <c r="Z248">
        <v>42.9</v>
      </c>
      <c r="AA248">
        <v>27</v>
      </c>
      <c r="AB248">
        <v>25</v>
      </c>
      <c r="AC248">
        <v>9</v>
      </c>
      <c r="AD248">
        <v>51</v>
      </c>
      <c r="AE248" s="19" t="s">
        <v>60</v>
      </c>
    </row>
    <row r="249" spans="1:31" x14ac:dyDescent="0.2">
      <c r="A249">
        <v>242</v>
      </c>
      <c r="B249" s="19" t="s">
        <v>591</v>
      </c>
      <c r="C249">
        <v>38</v>
      </c>
      <c r="D249" s="19" t="s">
        <v>419</v>
      </c>
      <c r="E249" s="19" t="s">
        <v>322</v>
      </c>
      <c r="F249">
        <v>37</v>
      </c>
      <c r="G249">
        <v>6</v>
      </c>
      <c r="H249">
        <v>15</v>
      </c>
      <c r="I249">
        <v>21</v>
      </c>
      <c r="J249">
        <v>12</v>
      </c>
      <c r="K249">
        <v>8</v>
      </c>
      <c r="L249">
        <v>3</v>
      </c>
      <c r="M249">
        <v>3</v>
      </c>
      <c r="N249">
        <v>0</v>
      </c>
      <c r="O249">
        <v>1</v>
      </c>
      <c r="P249">
        <v>11</v>
      </c>
      <c r="Q249">
        <v>4</v>
      </c>
      <c r="R249">
        <v>0</v>
      </c>
      <c r="S249">
        <v>49</v>
      </c>
      <c r="T249">
        <v>12.2</v>
      </c>
      <c r="U249">
        <v>108</v>
      </c>
      <c r="V249" s="19" t="s">
        <v>1838</v>
      </c>
      <c r="W249" s="19" t="s">
        <v>1478</v>
      </c>
      <c r="X249">
        <v>399</v>
      </c>
      <c r="Y249">
        <v>297</v>
      </c>
      <c r="Z249">
        <v>57.3</v>
      </c>
      <c r="AA249">
        <v>34</v>
      </c>
      <c r="AB249">
        <v>19</v>
      </c>
      <c r="AC249">
        <v>11</v>
      </c>
      <c r="AD249">
        <v>35</v>
      </c>
      <c r="AE249" s="19" t="s">
        <v>60</v>
      </c>
    </row>
    <row r="250" spans="1:31" x14ac:dyDescent="0.2">
      <c r="A250">
        <v>243</v>
      </c>
      <c r="B250" s="19" t="s">
        <v>823</v>
      </c>
      <c r="C250">
        <v>25</v>
      </c>
      <c r="D250" s="19" t="s">
        <v>428</v>
      </c>
      <c r="E250" s="19" t="s">
        <v>322</v>
      </c>
      <c r="F250">
        <v>51</v>
      </c>
      <c r="G250">
        <v>6</v>
      </c>
      <c r="H250">
        <v>15</v>
      </c>
      <c r="I250">
        <v>21</v>
      </c>
      <c r="J250">
        <v>3</v>
      </c>
      <c r="K250">
        <v>46</v>
      </c>
      <c r="L250">
        <v>6</v>
      </c>
      <c r="M250">
        <v>0</v>
      </c>
      <c r="N250">
        <v>0</v>
      </c>
      <c r="O250">
        <v>1</v>
      </c>
      <c r="P250">
        <v>14</v>
      </c>
      <c r="Q250">
        <v>1</v>
      </c>
      <c r="R250">
        <v>0</v>
      </c>
      <c r="S250">
        <v>57</v>
      </c>
      <c r="T250">
        <v>10.5</v>
      </c>
      <c r="U250">
        <v>110</v>
      </c>
      <c r="V250" s="19" t="s">
        <v>2731</v>
      </c>
      <c r="W250" s="19" t="s">
        <v>1664</v>
      </c>
      <c r="X250">
        <v>148</v>
      </c>
      <c r="Y250">
        <v>188</v>
      </c>
      <c r="Z250">
        <v>44</v>
      </c>
      <c r="AA250">
        <v>30</v>
      </c>
      <c r="AB250">
        <v>120</v>
      </c>
      <c r="AC250">
        <v>15</v>
      </c>
      <c r="AD250">
        <v>40</v>
      </c>
      <c r="AE250" s="19" t="s">
        <v>60</v>
      </c>
    </row>
    <row r="251" spans="1:31" x14ac:dyDescent="0.2">
      <c r="A251">
        <v>244</v>
      </c>
      <c r="B251" s="19" t="s">
        <v>593</v>
      </c>
      <c r="C251">
        <v>20</v>
      </c>
      <c r="D251" s="19" t="s">
        <v>330</v>
      </c>
      <c r="E251" s="19" t="s">
        <v>349</v>
      </c>
      <c r="F251">
        <v>49</v>
      </c>
      <c r="G251">
        <v>2</v>
      </c>
      <c r="H251">
        <v>19</v>
      </c>
      <c r="I251">
        <v>21</v>
      </c>
      <c r="J251">
        <v>-20</v>
      </c>
      <c r="K251">
        <v>36</v>
      </c>
      <c r="L251">
        <v>1</v>
      </c>
      <c r="M251">
        <v>1</v>
      </c>
      <c r="N251">
        <v>0</v>
      </c>
      <c r="O251">
        <v>0</v>
      </c>
      <c r="P251">
        <v>9</v>
      </c>
      <c r="Q251">
        <v>10</v>
      </c>
      <c r="R251">
        <v>0</v>
      </c>
      <c r="S251">
        <v>63</v>
      </c>
      <c r="T251">
        <v>3.2</v>
      </c>
      <c r="U251">
        <v>160</v>
      </c>
      <c r="V251" s="19" t="s">
        <v>1945</v>
      </c>
      <c r="W251" s="19" t="s">
        <v>1522</v>
      </c>
      <c r="X251">
        <v>0</v>
      </c>
      <c r="Y251">
        <v>0</v>
      </c>
      <c r="AA251">
        <v>47</v>
      </c>
      <c r="AB251">
        <v>57</v>
      </c>
      <c r="AC251">
        <v>12</v>
      </c>
      <c r="AD251">
        <v>65</v>
      </c>
      <c r="AE251" s="19" t="s">
        <v>60</v>
      </c>
    </row>
    <row r="252" spans="1:31" x14ac:dyDescent="0.2">
      <c r="A252">
        <v>245</v>
      </c>
      <c r="B252" s="19" t="s">
        <v>715</v>
      </c>
      <c r="C252">
        <v>31</v>
      </c>
      <c r="D252" s="19" t="s">
        <v>334</v>
      </c>
      <c r="E252" s="19" t="s">
        <v>349</v>
      </c>
      <c r="F252">
        <v>52</v>
      </c>
      <c r="G252">
        <v>5</v>
      </c>
      <c r="H252">
        <v>16</v>
      </c>
      <c r="I252">
        <v>21</v>
      </c>
      <c r="J252">
        <v>21</v>
      </c>
      <c r="K252">
        <v>14</v>
      </c>
      <c r="L252">
        <v>5</v>
      </c>
      <c r="M252">
        <v>0</v>
      </c>
      <c r="N252">
        <v>0</v>
      </c>
      <c r="O252">
        <v>1</v>
      </c>
      <c r="P252">
        <v>14</v>
      </c>
      <c r="Q252">
        <v>0</v>
      </c>
      <c r="R252">
        <v>2</v>
      </c>
      <c r="S252">
        <v>51</v>
      </c>
      <c r="T252">
        <v>9.8000000000000007</v>
      </c>
      <c r="U252">
        <v>122</v>
      </c>
      <c r="V252" s="19" t="s">
        <v>2409</v>
      </c>
      <c r="W252" s="19" t="s">
        <v>2410</v>
      </c>
      <c r="X252">
        <v>0</v>
      </c>
      <c r="Y252">
        <v>0</v>
      </c>
      <c r="AA252">
        <v>114</v>
      </c>
      <c r="AB252">
        <v>20</v>
      </c>
      <c r="AC252">
        <v>23</v>
      </c>
      <c r="AD252">
        <v>75</v>
      </c>
      <c r="AE252" s="19" t="s">
        <v>60</v>
      </c>
    </row>
    <row r="253" spans="1:31" x14ac:dyDescent="0.2">
      <c r="A253">
        <v>246</v>
      </c>
      <c r="B253" s="19" t="s">
        <v>648</v>
      </c>
      <c r="C253">
        <v>25</v>
      </c>
      <c r="D253" s="19" t="s">
        <v>355</v>
      </c>
      <c r="E253" s="19" t="s">
        <v>349</v>
      </c>
      <c r="F253">
        <v>47</v>
      </c>
      <c r="G253">
        <v>6</v>
      </c>
      <c r="H253">
        <v>15</v>
      </c>
      <c r="I253">
        <v>21</v>
      </c>
      <c r="J253">
        <v>6</v>
      </c>
      <c r="K253">
        <v>10</v>
      </c>
      <c r="L253">
        <v>4</v>
      </c>
      <c r="M253">
        <v>2</v>
      </c>
      <c r="N253">
        <v>0</v>
      </c>
      <c r="O253">
        <v>0</v>
      </c>
      <c r="P253">
        <v>12</v>
      </c>
      <c r="Q253">
        <v>3</v>
      </c>
      <c r="R253">
        <v>0</v>
      </c>
      <c r="S253">
        <v>48</v>
      </c>
      <c r="T253">
        <v>12.5</v>
      </c>
      <c r="U253">
        <v>134</v>
      </c>
      <c r="V253" s="19" t="s">
        <v>2732</v>
      </c>
      <c r="W253" s="19" t="s">
        <v>594</v>
      </c>
      <c r="X253">
        <v>0</v>
      </c>
      <c r="Y253">
        <v>0</v>
      </c>
      <c r="AA253">
        <v>59</v>
      </c>
      <c r="AB253">
        <v>25</v>
      </c>
      <c r="AC253">
        <v>14</v>
      </c>
      <c r="AD253">
        <v>60</v>
      </c>
      <c r="AE253" s="19" t="s">
        <v>60</v>
      </c>
    </row>
    <row r="254" spans="1:31" x14ac:dyDescent="0.2">
      <c r="A254">
        <v>247</v>
      </c>
      <c r="B254" s="19" t="s">
        <v>878</v>
      </c>
      <c r="C254">
        <v>34</v>
      </c>
      <c r="D254" s="19" t="s">
        <v>321</v>
      </c>
      <c r="E254" s="19" t="s">
        <v>349</v>
      </c>
      <c r="F254">
        <v>49</v>
      </c>
      <c r="G254">
        <v>4</v>
      </c>
      <c r="H254">
        <v>17</v>
      </c>
      <c r="I254">
        <v>21</v>
      </c>
      <c r="J254">
        <v>34</v>
      </c>
      <c r="K254">
        <v>60</v>
      </c>
      <c r="L254">
        <v>4</v>
      </c>
      <c r="M254">
        <v>0</v>
      </c>
      <c r="N254">
        <v>0</v>
      </c>
      <c r="O254">
        <v>1</v>
      </c>
      <c r="P254">
        <v>17</v>
      </c>
      <c r="Q254">
        <v>0</v>
      </c>
      <c r="R254">
        <v>0</v>
      </c>
      <c r="S254">
        <v>76</v>
      </c>
      <c r="T254">
        <v>5.3</v>
      </c>
      <c r="U254">
        <v>155</v>
      </c>
      <c r="V254" s="19" t="s">
        <v>2411</v>
      </c>
      <c r="W254" s="19" t="s">
        <v>1795</v>
      </c>
      <c r="X254">
        <v>0</v>
      </c>
      <c r="Y254">
        <v>0</v>
      </c>
      <c r="AA254">
        <v>68</v>
      </c>
      <c r="AB254">
        <v>117</v>
      </c>
      <c r="AC254">
        <v>19</v>
      </c>
      <c r="AD254">
        <v>49</v>
      </c>
      <c r="AE254" s="19" t="s">
        <v>60</v>
      </c>
    </row>
    <row r="255" spans="1:31" x14ac:dyDescent="0.2">
      <c r="A255">
        <v>248</v>
      </c>
      <c r="B255" s="19" t="s">
        <v>649</v>
      </c>
      <c r="C255">
        <v>21</v>
      </c>
      <c r="D255" s="19" t="s">
        <v>381</v>
      </c>
      <c r="E255" s="19" t="s">
        <v>349</v>
      </c>
      <c r="F255">
        <v>44</v>
      </c>
      <c r="G255">
        <v>8</v>
      </c>
      <c r="H255">
        <v>13</v>
      </c>
      <c r="I255">
        <v>21</v>
      </c>
      <c r="J255">
        <v>5</v>
      </c>
      <c r="K255">
        <v>4</v>
      </c>
      <c r="L255">
        <v>7</v>
      </c>
      <c r="M255">
        <v>1</v>
      </c>
      <c r="N255">
        <v>0</v>
      </c>
      <c r="O255">
        <v>0</v>
      </c>
      <c r="P255">
        <v>12</v>
      </c>
      <c r="Q255">
        <v>1</v>
      </c>
      <c r="R255">
        <v>0</v>
      </c>
      <c r="S255">
        <v>52</v>
      </c>
      <c r="T255">
        <v>15.4</v>
      </c>
      <c r="U255">
        <v>131</v>
      </c>
      <c r="V255" s="19" t="s">
        <v>1917</v>
      </c>
      <c r="W255" s="19" t="s">
        <v>1808</v>
      </c>
      <c r="X255">
        <v>0</v>
      </c>
      <c r="Y255">
        <v>0</v>
      </c>
      <c r="AA255">
        <v>63</v>
      </c>
      <c r="AB255">
        <v>19</v>
      </c>
      <c r="AC255">
        <v>11</v>
      </c>
      <c r="AD255">
        <v>47</v>
      </c>
      <c r="AE255" s="19" t="s">
        <v>60</v>
      </c>
    </row>
    <row r="256" spans="1:31" x14ac:dyDescent="0.2">
      <c r="A256">
        <v>249</v>
      </c>
      <c r="B256" s="19" t="s">
        <v>473</v>
      </c>
      <c r="C256">
        <v>22</v>
      </c>
      <c r="D256" s="19" t="s">
        <v>330</v>
      </c>
      <c r="E256" s="19" t="s">
        <v>322</v>
      </c>
      <c r="F256">
        <v>35</v>
      </c>
      <c r="G256">
        <v>6</v>
      </c>
      <c r="H256">
        <v>15</v>
      </c>
      <c r="I256">
        <v>21</v>
      </c>
      <c r="J256">
        <v>-7</v>
      </c>
      <c r="K256">
        <v>20</v>
      </c>
      <c r="L256">
        <v>4</v>
      </c>
      <c r="M256">
        <v>1</v>
      </c>
      <c r="N256">
        <v>1</v>
      </c>
      <c r="O256">
        <v>1</v>
      </c>
      <c r="P256">
        <v>10</v>
      </c>
      <c r="Q256">
        <v>5</v>
      </c>
      <c r="R256">
        <v>0</v>
      </c>
      <c r="S256">
        <v>73</v>
      </c>
      <c r="T256">
        <v>8.1999999999999993</v>
      </c>
      <c r="U256">
        <v>148</v>
      </c>
      <c r="V256" s="19" t="s">
        <v>2412</v>
      </c>
      <c r="W256" s="19" t="s">
        <v>1841</v>
      </c>
      <c r="X256">
        <v>193</v>
      </c>
      <c r="Y256">
        <v>243</v>
      </c>
      <c r="Z256">
        <v>44.3</v>
      </c>
      <c r="AA256">
        <v>25</v>
      </c>
      <c r="AB256">
        <v>21</v>
      </c>
      <c r="AC256">
        <v>12</v>
      </c>
      <c r="AD256">
        <v>39</v>
      </c>
      <c r="AE256" s="19" t="s">
        <v>60</v>
      </c>
    </row>
    <row r="257" spans="1:31" x14ac:dyDescent="0.2">
      <c r="A257">
        <v>250</v>
      </c>
      <c r="B257" s="19" t="s">
        <v>653</v>
      </c>
      <c r="C257">
        <v>23</v>
      </c>
      <c r="D257" s="19" t="s">
        <v>513</v>
      </c>
      <c r="E257" s="19" t="s">
        <v>340</v>
      </c>
      <c r="F257">
        <v>40</v>
      </c>
      <c r="G257">
        <v>12</v>
      </c>
      <c r="H257">
        <v>9</v>
      </c>
      <c r="I257">
        <v>21</v>
      </c>
      <c r="J257">
        <v>-12</v>
      </c>
      <c r="K257">
        <v>22</v>
      </c>
      <c r="L257">
        <v>11</v>
      </c>
      <c r="M257">
        <v>1</v>
      </c>
      <c r="N257">
        <v>0</v>
      </c>
      <c r="O257">
        <v>2</v>
      </c>
      <c r="P257">
        <v>7</v>
      </c>
      <c r="Q257">
        <v>2</v>
      </c>
      <c r="R257">
        <v>0</v>
      </c>
      <c r="S257">
        <v>54</v>
      </c>
      <c r="T257">
        <v>22.2</v>
      </c>
      <c r="U257">
        <v>103</v>
      </c>
      <c r="V257" s="19" t="s">
        <v>2733</v>
      </c>
      <c r="W257" s="19" t="s">
        <v>1674</v>
      </c>
      <c r="X257">
        <v>2</v>
      </c>
      <c r="Y257">
        <v>7</v>
      </c>
      <c r="Z257">
        <v>22.2</v>
      </c>
      <c r="AA257">
        <v>20</v>
      </c>
      <c r="AB257">
        <v>101</v>
      </c>
      <c r="AC257">
        <v>6</v>
      </c>
      <c r="AD257">
        <v>28</v>
      </c>
      <c r="AE257" s="19" t="s">
        <v>60</v>
      </c>
    </row>
    <row r="258" spans="1:31" x14ac:dyDescent="0.2">
      <c r="A258">
        <v>251</v>
      </c>
      <c r="B258" s="19" t="s">
        <v>761</v>
      </c>
      <c r="C258">
        <v>24</v>
      </c>
      <c r="D258" s="19" t="s">
        <v>397</v>
      </c>
      <c r="E258" s="19" t="s">
        <v>349</v>
      </c>
      <c r="F258">
        <v>51</v>
      </c>
      <c r="G258">
        <v>6</v>
      </c>
      <c r="H258">
        <v>15</v>
      </c>
      <c r="I258">
        <v>21</v>
      </c>
      <c r="J258">
        <v>13</v>
      </c>
      <c r="K258">
        <v>23</v>
      </c>
      <c r="L258">
        <v>4</v>
      </c>
      <c r="M258">
        <v>2</v>
      </c>
      <c r="N258">
        <v>0</v>
      </c>
      <c r="O258">
        <v>0</v>
      </c>
      <c r="P258">
        <v>11</v>
      </c>
      <c r="Q258">
        <v>4</v>
      </c>
      <c r="R258">
        <v>0</v>
      </c>
      <c r="S258">
        <v>81</v>
      </c>
      <c r="T258">
        <v>7.4</v>
      </c>
      <c r="U258">
        <v>214</v>
      </c>
      <c r="V258" s="19" t="s">
        <v>2734</v>
      </c>
      <c r="W258" s="19" t="s">
        <v>2082</v>
      </c>
      <c r="X258">
        <v>0</v>
      </c>
      <c r="Y258">
        <v>0</v>
      </c>
      <c r="AA258">
        <v>61</v>
      </c>
      <c r="AB258">
        <v>93</v>
      </c>
      <c r="AC258">
        <v>16</v>
      </c>
      <c r="AD258">
        <v>61</v>
      </c>
      <c r="AE258" s="19" t="s">
        <v>60</v>
      </c>
    </row>
    <row r="259" spans="1:31" x14ac:dyDescent="0.2">
      <c r="A259">
        <v>252</v>
      </c>
      <c r="B259" s="19" t="s">
        <v>602</v>
      </c>
      <c r="C259">
        <v>31</v>
      </c>
      <c r="D259" s="19" t="s">
        <v>384</v>
      </c>
      <c r="E259" s="19" t="s">
        <v>349</v>
      </c>
      <c r="F259">
        <v>50</v>
      </c>
      <c r="G259">
        <v>2</v>
      </c>
      <c r="H259">
        <v>19</v>
      </c>
      <c r="I259">
        <v>21</v>
      </c>
      <c r="J259">
        <v>9</v>
      </c>
      <c r="K259">
        <v>8</v>
      </c>
      <c r="L259">
        <v>2</v>
      </c>
      <c r="M259">
        <v>0</v>
      </c>
      <c r="N259">
        <v>0</v>
      </c>
      <c r="O259">
        <v>0</v>
      </c>
      <c r="P259">
        <v>17</v>
      </c>
      <c r="Q259">
        <v>1</v>
      </c>
      <c r="R259">
        <v>1</v>
      </c>
      <c r="S259">
        <v>62</v>
      </c>
      <c r="T259">
        <v>3.2</v>
      </c>
      <c r="U259">
        <v>151</v>
      </c>
      <c r="V259" s="19" t="s">
        <v>2240</v>
      </c>
      <c r="W259" s="19" t="s">
        <v>2028</v>
      </c>
      <c r="X259">
        <v>0</v>
      </c>
      <c r="Y259">
        <v>0</v>
      </c>
      <c r="AA259">
        <v>92</v>
      </c>
      <c r="AB259">
        <v>34</v>
      </c>
      <c r="AC259">
        <v>22</v>
      </c>
      <c r="AD259">
        <v>58</v>
      </c>
      <c r="AE259" s="19" t="s">
        <v>60</v>
      </c>
    </row>
    <row r="260" spans="1:31" x14ac:dyDescent="0.2">
      <c r="A260">
        <v>253</v>
      </c>
      <c r="B260" s="19" t="s">
        <v>603</v>
      </c>
      <c r="C260">
        <v>32</v>
      </c>
      <c r="D260" s="19" t="s">
        <v>373</v>
      </c>
      <c r="E260" s="19" t="s">
        <v>322</v>
      </c>
      <c r="F260">
        <v>50</v>
      </c>
      <c r="G260">
        <v>9</v>
      </c>
      <c r="H260">
        <v>12</v>
      </c>
      <c r="I260">
        <v>21</v>
      </c>
      <c r="J260">
        <v>-9</v>
      </c>
      <c r="K260">
        <v>28</v>
      </c>
      <c r="L260">
        <v>8</v>
      </c>
      <c r="M260">
        <v>1</v>
      </c>
      <c r="N260">
        <v>0</v>
      </c>
      <c r="O260">
        <v>0</v>
      </c>
      <c r="P260">
        <v>10</v>
      </c>
      <c r="Q260">
        <v>2</v>
      </c>
      <c r="R260">
        <v>0</v>
      </c>
      <c r="S260">
        <v>113</v>
      </c>
      <c r="T260">
        <v>8</v>
      </c>
      <c r="U260">
        <v>223</v>
      </c>
      <c r="V260" s="19" t="s">
        <v>2735</v>
      </c>
      <c r="W260" s="19" t="s">
        <v>1835</v>
      </c>
      <c r="X260">
        <v>267</v>
      </c>
      <c r="Y260">
        <v>316</v>
      </c>
      <c r="Z260">
        <v>45.8</v>
      </c>
      <c r="AA260">
        <v>21</v>
      </c>
      <c r="AB260">
        <v>49</v>
      </c>
      <c r="AC260">
        <v>21</v>
      </c>
      <c r="AD260">
        <v>34</v>
      </c>
      <c r="AE260" s="19" t="s">
        <v>60</v>
      </c>
    </row>
    <row r="261" spans="1:31" x14ac:dyDescent="0.2">
      <c r="A261">
        <v>254</v>
      </c>
      <c r="B261" s="19" t="s">
        <v>626</v>
      </c>
      <c r="C261">
        <v>22</v>
      </c>
      <c r="D261" s="19" t="s">
        <v>381</v>
      </c>
      <c r="E261" s="19" t="s">
        <v>322</v>
      </c>
      <c r="F261">
        <v>50</v>
      </c>
      <c r="G261">
        <v>6</v>
      </c>
      <c r="H261">
        <v>15</v>
      </c>
      <c r="I261">
        <v>21</v>
      </c>
      <c r="J261">
        <v>0</v>
      </c>
      <c r="K261">
        <v>18</v>
      </c>
      <c r="L261">
        <v>6</v>
      </c>
      <c r="M261">
        <v>0</v>
      </c>
      <c r="N261">
        <v>0</v>
      </c>
      <c r="O261">
        <v>1</v>
      </c>
      <c r="P261">
        <v>14</v>
      </c>
      <c r="Q261">
        <v>1</v>
      </c>
      <c r="R261">
        <v>0</v>
      </c>
      <c r="S261">
        <v>88</v>
      </c>
      <c r="T261">
        <v>6.8</v>
      </c>
      <c r="U261">
        <v>157</v>
      </c>
      <c r="V261" s="19" t="s">
        <v>2736</v>
      </c>
      <c r="W261" s="19" t="s">
        <v>1511</v>
      </c>
      <c r="X261">
        <v>38</v>
      </c>
      <c r="Y261">
        <v>57</v>
      </c>
      <c r="Z261">
        <v>40</v>
      </c>
      <c r="AA261">
        <v>26</v>
      </c>
      <c r="AB261">
        <v>63</v>
      </c>
      <c r="AC261">
        <v>21</v>
      </c>
      <c r="AD261">
        <v>42</v>
      </c>
      <c r="AE261" s="19" t="s">
        <v>60</v>
      </c>
    </row>
    <row r="262" spans="1:31" x14ac:dyDescent="0.2">
      <c r="A262">
        <v>255</v>
      </c>
      <c r="B262" s="19" t="s">
        <v>691</v>
      </c>
      <c r="C262">
        <v>37</v>
      </c>
      <c r="D262" s="19" t="s">
        <v>397</v>
      </c>
      <c r="E262" s="19" t="s">
        <v>322</v>
      </c>
      <c r="F262">
        <v>49</v>
      </c>
      <c r="G262">
        <v>11</v>
      </c>
      <c r="H262">
        <v>10</v>
      </c>
      <c r="I262">
        <v>21</v>
      </c>
      <c r="J262">
        <v>2</v>
      </c>
      <c r="K262">
        <v>25</v>
      </c>
      <c r="L262">
        <v>9</v>
      </c>
      <c r="M262">
        <v>2</v>
      </c>
      <c r="N262">
        <v>0</v>
      </c>
      <c r="O262">
        <v>0</v>
      </c>
      <c r="P262">
        <v>10</v>
      </c>
      <c r="Q262">
        <v>0</v>
      </c>
      <c r="R262">
        <v>0</v>
      </c>
      <c r="S262">
        <v>67</v>
      </c>
      <c r="T262">
        <v>16.399999999999999</v>
      </c>
      <c r="U262">
        <v>142</v>
      </c>
      <c r="V262" s="19" t="s">
        <v>2737</v>
      </c>
      <c r="W262" s="19" t="s">
        <v>1096</v>
      </c>
      <c r="X262">
        <v>543</v>
      </c>
      <c r="Y262">
        <v>427</v>
      </c>
      <c r="Z262">
        <v>56</v>
      </c>
      <c r="AA262">
        <v>28</v>
      </c>
      <c r="AB262">
        <v>95</v>
      </c>
      <c r="AC262">
        <v>11</v>
      </c>
      <c r="AD262">
        <v>32</v>
      </c>
      <c r="AE262" s="19" t="s">
        <v>60</v>
      </c>
    </row>
    <row r="263" spans="1:31" x14ac:dyDescent="0.2">
      <c r="A263">
        <v>256</v>
      </c>
      <c r="B263" s="19" t="s">
        <v>528</v>
      </c>
      <c r="C263">
        <v>31</v>
      </c>
      <c r="D263" s="19" t="s">
        <v>330</v>
      </c>
      <c r="E263" s="19" t="s">
        <v>325</v>
      </c>
      <c r="F263">
        <v>45</v>
      </c>
      <c r="G263">
        <v>9</v>
      </c>
      <c r="H263">
        <v>12</v>
      </c>
      <c r="I263">
        <v>21</v>
      </c>
      <c r="J263">
        <v>-12</v>
      </c>
      <c r="K263">
        <v>4</v>
      </c>
      <c r="L263">
        <v>5</v>
      </c>
      <c r="M263">
        <v>4</v>
      </c>
      <c r="N263">
        <v>0</v>
      </c>
      <c r="O263">
        <v>1</v>
      </c>
      <c r="P263">
        <v>5</v>
      </c>
      <c r="Q263">
        <v>7</v>
      </c>
      <c r="R263">
        <v>0</v>
      </c>
      <c r="S263">
        <v>54</v>
      </c>
      <c r="T263">
        <v>16.7</v>
      </c>
      <c r="U263">
        <v>116</v>
      </c>
      <c r="V263" s="19" t="s">
        <v>1929</v>
      </c>
      <c r="W263" s="19" t="s">
        <v>1533</v>
      </c>
      <c r="X263">
        <v>36</v>
      </c>
      <c r="Y263">
        <v>41</v>
      </c>
      <c r="Z263">
        <v>46.8</v>
      </c>
      <c r="AA263">
        <v>27</v>
      </c>
      <c r="AB263">
        <v>17</v>
      </c>
      <c r="AC263">
        <v>17</v>
      </c>
      <c r="AD263">
        <v>42</v>
      </c>
      <c r="AE263" s="19" t="s">
        <v>60</v>
      </c>
    </row>
    <row r="264" spans="1:31" x14ac:dyDescent="0.2">
      <c r="A264">
        <v>257</v>
      </c>
      <c r="B264" s="19" t="s">
        <v>607</v>
      </c>
      <c r="C264">
        <v>31</v>
      </c>
      <c r="D264" s="19" t="s">
        <v>337</v>
      </c>
      <c r="E264" s="19" t="s">
        <v>349</v>
      </c>
      <c r="F264">
        <v>50</v>
      </c>
      <c r="G264">
        <v>8</v>
      </c>
      <c r="H264">
        <v>13</v>
      </c>
      <c r="I264">
        <v>21</v>
      </c>
      <c r="J264">
        <v>1</v>
      </c>
      <c r="K264">
        <v>17</v>
      </c>
      <c r="L264">
        <v>8</v>
      </c>
      <c r="M264">
        <v>0</v>
      </c>
      <c r="N264">
        <v>0</v>
      </c>
      <c r="O264">
        <v>1</v>
      </c>
      <c r="P264">
        <v>11</v>
      </c>
      <c r="Q264">
        <v>1</v>
      </c>
      <c r="R264">
        <v>1</v>
      </c>
      <c r="S264">
        <v>94</v>
      </c>
      <c r="T264">
        <v>8.5</v>
      </c>
      <c r="U264">
        <v>206</v>
      </c>
      <c r="V264" s="19" t="s">
        <v>2413</v>
      </c>
      <c r="W264" s="19" t="s">
        <v>2013</v>
      </c>
      <c r="X264">
        <v>0</v>
      </c>
      <c r="Y264">
        <v>0</v>
      </c>
      <c r="AA264">
        <v>99</v>
      </c>
      <c r="AB264">
        <v>96</v>
      </c>
      <c r="AC264">
        <v>14</v>
      </c>
      <c r="AD264">
        <v>56</v>
      </c>
      <c r="AE264" s="19" t="s">
        <v>60</v>
      </c>
    </row>
    <row r="265" spans="1:31" x14ac:dyDescent="0.2">
      <c r="A265">
        <v>258</v>
      </c>
      <c r="B265" s="19" t="s">
        <v>669</v>
      </c>
      <c r="C265">
        <v>25</v>
      </c>
      <c r="D265" s="19" t="s">
        <v>407</v>
      </c>
      <c r="E265" s="19" t="s">
        <v>349</v>
      </c>
      <c r="F265">
        <v>43</v>
      </c>
      <c r="G265">
        <v>4</v>
      </c>
      <c r="H265">
        <v>17</v>
      </c>
      <c r="I265">
        <v>21</v>
      </c>
      <c r="J265">
        <v>2</v>
      </c>
      <c r="K265">
        <v>18</v>
      </c>
      <c r="L265">
        <v>3</v>
      </c>
      <c r="M265">
        <v>1</v>
      </c>
      <c r="N265">
        <v>0</v>
      </c>
      <c r="O265">
        <v>1</v>
      </c>
      <c r="P265">
        <v>11</v>
      </c>
      <c r="Q265">
        <v>6</v>
      </c>
      <c r="R265">
        <v>0</v>
      </c>
      <c r="S265">
        <v>57</v>
      </c>
      <c r="T265">
        <v>7</v>
      </c>
      <c r="U265">
        <v>122</v>
      </c>
      <c r="V265" s="19" t="s">
        <v>2414</v>
      </c>
      <c r="W265" s="19" t="s">
        <v>2155</v>
      </c>
      <c r="X265">
        <v>0</v>
      </c>
      <c r="Y265">
        <v>0</v>
      </c>
      <c r="AA265">
        <v>87</v>
      </c>
      <c r="AB265">
        <v>6</v>
      </c>
      <c r="AC265">
        <v>9</v>
      </c>
      <c r="AD265">
        <v>40</v>
      </c>
      <c r="AE265" s="19" t="s">
        <v>60</v>
      </c>
    </row>
    <row r="266" spans="1:31" x14ac:dyDescent="0.2">
      <c r="A266">
        <v>259</v>
      </c>
      <c r="B266" s="19" t="s">
        <v>732</v>
      </c>
      <c r="C266">
        <v>26</v>
      </c>
      <c r="D266" s="19" t="s">
        <v>416</v>
      </c>
      <c r="E266" s="19" t="s">
        <v>58</v>
      </c>
      <c r="F266">
        <v>51</v>
      </c>
      <c r="G266">
        <v>11</v>
      </c>
      <c r="H266">
        <v>10</v>
      </c>
      <c r="I266">
        <v>21</v>
      </c>
      <c r="J266">
        <v>-8</v>
      </c>
      <c r="K266">
        <v>14</v>
      </c>
      <c r="L266">
        <v>7</v>
      </c>
      <c r="M266">
        <v>4</v>
      </c>
      <c r="N266">
        <v>0</v>
      </c>
      <c r="O266">
        <v>2</v>
      </c>
      <c r="P266">
        <v>9</v>
      </c>
      <c r="Q266">
        <v>1</v>
      </c>
      <c r="R266">
        <v>0</v>
      </c>
      <c r="S266">
        <v>87</v>
      </c>
      <c r="T266">
        <v>12.6</v>
      </c>
      <c r="U266">
        <v>175</v>
      </c>
      <c r="V266" s="19" t="s">
        <v>2738</v>
      </c>
      <c r="W266" s="19" t="s">
        <v>1759</v>
      </c>
      <c r="X266">
        <v>2</v>
      </c>
      <c r="Y266">
        <v>5</v>
      </c>
      <c r="Z266">
        <v>28.6</v>
      </c>
      <c r="AA266">
        <v>23</v>
      </c>
      <c r="AB266">
        <v>97</v>
      </c>
      <c r="AC266">
        <v>10</v>
      </c>
      <c r="AD266">
        <v>25</v>
      </c>
      <c r="AE266" s="19" t="s">
        <v>60</v>
      </c>
    </row>
    <row r="267" spans="1:31" x14ac:dyDescent="0.2">
      <c r="A267">
        <v>260</v>
      </c>
      <c r="B267" s="19" t="s">
        <v>631</v>
      </c>
      <c r="C267">
        <v>27</v>
      </c>
      <c r="D267" s="19" t="s">
        <v>459</v>
      </c>
      <c r="E267" s="19" t="s">
        <v>349</v>
      </c>
      <c r="F267">
        <v>41</v>
      </c>
      <c r="G267">
        <v>5</v>
      </c>
      <c r="H267">
        <v>15</v>
      </c>
      <c r="I267">
        <v>20</v>
      </c>
      <c r="J267">
        <v>-9</v>
      </c>
      <c r="K267">
        <v>10</v>
      </c>
      <c r="L267">
        <v>2</v>
      </c>
      <c r="M267">
        <v>3</v>
      </c>
      <c r="N267">
        <v>0</v>
      </c>
      <c r="O267">
        <v>0</v>
      </c>
      <c r="P267">
        <v>11</v>
      </c>
      <c r="Q267">
        <v>4</v>
      </c>
      <c r="R267">
        <v>0</v>
      </c>
      <c r="S267">
        <v>51</v>
      </c>
      <c r="T267">
        <v>9.8000000000000007</v>
      </c>
      <c r="U267">
        <v>141</v>
      </c>
      <c r="V267" s="19" t="s">
        <v>2739</v>
      </c>
      <c r="W267" s="19" t="s">
        <v>1500</v>
      </c>
      <c r="X267">
        <v>0</v>
      </c>
      <c r="Y267">
        <v>2</v>
      </c>
      <c r="Z267">
        <v>0</v>
      </c>
      <c r="AA267">
        <v>44</v>
      </c>
      <c r="AB267">
        <v>39</v>
      </c>
      <c r="AC267">
        <v>13</v>
      </c>
      <c r="AD267">
        <v>45</v>
      </c>
      <c r="AE267" s="19" t="s">
        <v>60</v>
      </c>
    </row>
    <row r="268" spans="1:31" x14ac:dyDescent="0.2">
      <c r="A268">
        <v>261</v>
      </c>
      <c r="B268" s="19" t="s">
        <v>579</v>
      </c>
      <c r="C268">
        <v>29</v>
      </c>
      <c r="D268" s="19" t="s">
        <v>321</v>
      </c>
      <c r="E268" s="19" t="s">
        <v>322</v>
      </c>
      <c r="F268">
        <v>48</v>
      </c>
      <c r="G268">
        <v>5</v>
      </c>
      <c r="H268">
        <v>15</v>
      </c>
      <c r="I268">
        <v>20</v>
      </c>
      <c r="J268">
        <v>14</v>
      </c>
      <c r="K268">
        <v>9</v>
      </c>
      <c r="L268">
        <v>5</v>
      </c>
      <c r="M268">
        <v>0</v>
      </c>
      <c r="N268">
        <v>0</v>
      </c>
      <c r="O268">
        <v>2</v>
      </c>
      <c r="P268">
        <v>15</v>
      </c>
      <c r="Q268">
        <v>0</v>
      </c>
      <c r="R268">
        <v>0</v>
      </c>
      <c r="S268">
        <v>115</v>
      </c>
      <c r="T268">
        <v>4.3</v>
      </c>
      <c r="U268">
        <v>201</v>
      </c>
      <c r="V268" s="19" t="s">
        <v>2241</v>
      </c>
      <c r="W268" s="19" t="s">
        <v>1873</v>
      </c>
      <c r="X268">
        <v>36</v>
      </c>
      <c r="Y268">
        <v>40</v>
      </c>
      <c r="Z268">
        <v>47.4</v>
      </c>
      <c r="AA268">
        <v>20</v>
      </c>
      <c r="AB268">
        <v>99</v>
      </c>
      <c r="AC268">
        <v>11</v>
      </c>
      <c r="AD268">
        <v>38</v>
      </c>
      <c r="AE268" s="19" t="s">
        <v>60</v>
      </c>
    </row>
    <row r="269" spans="1:31" x14ac:dyDescent="0.2">
      <c r="A269">
        <v>262</v>
      </c>
      <c r="B269" s="19" t="s">
        <v>614</v>
      </c>
      <c r="C269">
        <v>29</v>
      </c>
      <c r="D269" s="19" t="s">
        <v>330</v>
      </c>
      <c r="E269" s="19" t="s">
        <v>322</v>
      </c>
      <c r="F269">
        <v>51</v>
      </c>
      <c r="G269">
        <v>10</v>
      </c>
      <c r="H269">
        <v>10</v>
      </c>
      <c r="I269">
        <v>20</v>
      </c>
      <c r="J269">
        <v>-13</v>
      </c>
      <c r="K269">
        <v>34</v>
      </c>
      <c r="L269">
        <v>9</v>
      </c>
      <c r="M269">
        <v>1</v>
      </c>
      <c r="N269">
        <v>0</v>
      </c>
      <c r="O269">
        <v>2</v>
      </c>
      <c r="P269">
        <v>9</v>
      </c>
      <c r="Q269">
        <v>1</v>
      </c>
      <c r="R269">
        <v>0</v>
      </c>
      <c r="S269">
        <v>81</v>
      </c>
      <c r="T269">
        <v>12.3</v>
      </c>
      <c r="U269">
        <v>181</v>
      </c>
      <c r="V269" s="19" t="s">
        <v>2415</v>
      </c>
      <c r="W269" s="19" t="s">
        <v>2107</v>
      </c>
      <c r="X269">
        <v>103</v>
      </c>
      <c r="Y269">
        <v>101</v>
      </c>
      <c r="Z269">
        <v>50.5</v>
      </c>
      <c r="AA269">
        <v>12</v>
      </c>
      <c r="AB269">
        <v>59</v>
      </c>
      <c r="AC269">
        <v>15</v>
      </c>
      <c r="AD269">
        <v>38</v>
      </c>
      <c r="AE269" s="19" t="s">
        <v>60</v>
      </c>
    </row>
    <row r="270" spans="1:31" x14ac:dyDescent="0.2">
      <c r="A270">
        <v>263</v>
      </c>
      <c r="B270" s="19" t="s">
        <v>559</v>
      </c>
      <c r="C270">
        <v>30</v>
      </c>
      <c r="D270" s="19" t="s">
        <v>384</v>
      </c>
      <c r="E270" s="19" t="s">
        <v>340</v>
      </c>
      <c r="F270">
        <v>45</v>
      </c>
      <c r="G270">
        <v>3</v>
      </c>
      <c r="H270">
        <v>17</v>
      </c>
      <c r="I270">
        <v>20</v>
      </c>
      <c r="J270">
        <v>1</v>
      </c>
      <c r="K270">
        <v>17</v>
      </c>
      <c r="L270">
        <v>3</v>
      </c>
      <c r="M270">
        <v>0</v>
      </c>
      <c r="N270">
        <v>0</v>
      </c>
      <c r="O270">
        <v>0</v>
      </c>
      <c r="P270">
        <v>13</v>
      </c>
      <c r="Q270">
        <v>4</v>
      </c>
      <c r="R270">
        <v>0</v>
      </c>
      <c r="S270">
        <v>62</v>
      </c>
      <c r="T270">
        <v>4.8</v>
      </c>
      <c r="U270">
        <v>124</v>
      </c>
      <c r="V270" s="19" t="s">
        <v>2740</v>
      </c>
      <c r="W270" s="19" t="s">
        <v>1961</v>
      </c>
      <c r="X270">
        <v>78</v>
      </c>
      <c r="Y270">
        <v>71</v>
      </c>
      <c r="Z270">
        <v>52.3</v>
      </c>
      <c r="AA270">
        <v>19</v>
      </c>
      <c r="AB270">
        <v>11</v>
      </c>
      <c r="AC270">
        <v>9</v>
      </c>
      <c r="AD270">
        <v>27</v>
      </c>
      <c r="AE270" s="19" t="s">
        <v>60</v>
      </c>
    </row>
    <row r="271" spans="1:31" x14ac:dyDescent="0.2">
      <c r="A271">
        <v>264</v>
      </c>
      <c r="B271" s="19" t="s">
        <v>680</v>
      </c>
      <c r="C271">
        <v>23</v>
      </c>
      <c r="D271" s="19" t="s">
        <v>407</v>
      </c>
      <c r="E271" s="19" t="s">
        <v>349</v>
      </c>
      <c r="F271">
        <v>47</v>
      </c>
      <c r="G271">
        <v>3</v>
      </c>
      <c r="H271">
        <v>17</v>
      </c>
      <c r="I271">
        <v>20</v>
      </c>
      <c r="J271">
        <v>-4</v>
      </c>
      <c r="K271">
        <v>24</v>
      </c>
      <c r="L271">
        <v>3</v>
      </c>
      <c r="M271">
        <v>0</v>
      </c>
      <c r="N271">
        <v>0</v>
      </c>
      <c r="O271">
        <v>1</v>
      </c>
      <c r="P271">
        <v>13</v>
      </c>
      <c r="Q271">
        <v>4</v>
      </c>
      <c r="R271">
        <v>0</v>
      </c>
      <c r="S271">
        <v>55</v>
      </c>
      <c r="T271">
        <v>5.5</v>
      </c>
      <c r="U271">
        <v>156</v>
      </c>
      <c r="V271" s="19" t="s">
        <v>2416</v>
      </c>
      <c r="W271" s="19" t="s">
        <v>1837</v>
      </c>
      <c r="X271">
        <v>0</v>
      </c>
      <c r="Y271">
        <v>0</v>
      </c>
      <c r="AA271">
        <v>52</v>
      </c>
      <c r="AB271">
        <v>10</v>
      </c>
      <c r="AC271">
        <v>10</v>
      </c>
      <c r="AD271">
        <v>30</v>
      </c>
      <c r="AE271" s="19" t="s">
        <v>60</v>
      </c>
    </row>
    <row r="272" spans="1:31" x14ac:dyDescent="0.2">
      <c r="A272">
        <v>265</v>
      </c>
      <c r="B272" s="19" t="s">
        <v>907</v>
      </c>
      <c r="C272">
        <v>29</v>
      </c>
      <c r="D272" s="19" t="s">
        <v>344</v>
      </c>
      <c r="E272" s="19" t="s">
        <v>349</v>
      </c>
      <c r="F272">
        <v>40</v>
      </c>
      <c r="G272">
        <v>2</v>
      </c>
      <c r="H272">
        <v>18</v>
      </c>
      <c r="I272">
        <v>20</v>
      </c>
      <c r="J272">
        <v>-3</v>
      </c>
      <c r="K272">
        <v>6</v>
      </c>
      <c r="L272">
        <v>2</v>
      </c>
      <c r="M272">
        <v>0</v>
      </c>
      <c r="N272">
        <v>0</v>
      </c>
      <c r="O272">
        <v>0</v>
      </c>
      <c r="P272">
        <v>12</v>
      </c>
      <c r="Q272">
        <v>6</v>
      </c>
      <c r="R272">
        <v>0</v>
      </c>
      <c r="S272">
        <v>87</v>
      </c>
      <c r="T272">
        <v>2.2999999999999998</v>
      </c>
      <c r="U272">
        <v>188</v>
      </c>
      <c r="V272" s="19" t="s">
        <v>1932</v>
      </c>
      <c r="W272" s="19" t="s">
        <v>2417</v>
      </c>
      <c r="X272">
        <v>0</v>
      </c>
      <c r="Y272">
        <v>0</v>
      </c>
      <c r="AA272">
        <v>66</v>
      </c>
      <c r="AB272">
        <v>25</v>
      </c>
      <c r="AC272">
        <v>26</v>
      </c>
      <c r="AD272">
        <v>57</v>
      </c>
      <c r="AE272" s="19" t="s">
        <v>60</v>
      </c>
    </row>
    <row r="273" spans="1:31" x14ac:dyDescent="0.2">
      <c r="A273">
        <v>266</v>
      </c>
      <c r="B273" s="19" t="s">
        <v>714</v>
      </c>
      <c r="C273">
        <v>18</v>
      </c>
      <c r="D273" s="19" t="s">
        <v>376</v>
      </c>
      <c r="E273" s="19" t="s">
        <v>322</v>
      </c>
      <c r="F273">
        <v>47</v>
      </c>
      <c r="G273">
        <v>8</v>
      </c>
      <c r="H273">
        <v>12</v>
      </c>
      <c r="I273">
        <v>20</v>
      </c>
      <c r="J273">
        <v>-12</v>
      </c>
      <c r="K273">
        <v>12</v>
      </c>
      <c r="L273">
        <v>4</v>
      </c>
      <c r="M273">
        <v>4</v>
      </c>
      <c r="N273">
        <v>0</v>
      </c>
      <c r="O273">
        <v>0</v>
      </c>
      <c r="P273">
        <v>6</v>
      </c>
      <c r="Q273">
        <v>6</v>
      </c>
      <c r="R273">
        <v>0</v>
      </c>
      <c r="S273">
        <v>92</v>
      </c>
      <c r="T273">
        <v>8.6999999999999993</v>
      </c>
      <c r="U273">
        <v>168</v>
      </c>
      <c r="V273" s="19" t="s">
        <v>2278</v>
      </c>
      <c r="W273" s="19" t="s">
        <v>1729</v>
      </c>
      <c r="X273">
        <v>167</v>
      </c>
      <c r="Y273">
        <v>184</v>
      </c>
      <c r="Z273">
        <v>47.6</v>
      </c>
      <c r="AA273">
        <v>41</v>
      </c>
      <c r="AB273">
        <v>20</v>
      </c>
      <c r="AC273">
        <v>14</v>
      </c>
      <c r="AD273">
        <v>49</v>
      </c>
      <c r="AE273" s="19" t="s">
        <v>60</v>
      </c>
    </row>
    <row r="274" spans="1:31" x14ac:dyDescent="0.2">
      <c r="A274">
        <v>267</v>
      </c>
      <c r="B274" s="19" t="s">
        <v>786</v>
      </c>
      <c r="C274">
        <v>29</v>
      </c>
      <c r="D274" s="19" t="s">
        <v>419</v>
      </c>
      <c r="E274" s="19" t="s">
        <v>325</v>
      </c>
      <c r="F274">
        <v>45</v>
      </c>
      <c r="G274">
        <v>10</v>
      </c>
      <c r="H274">
        <v>10</v>
      </c>
      <c r="I274">
        <v>20</v>
      </c>
      <c r="J274">
        <v>-3</v>
      </c>
      <c r="K274">
        <v>14</v>
      </c>
      <c r="L274">
        <v>5</v>
      </c>
      <c r="M274">
        <v>5</v>
      </c>
      <c r="N274">
        <v>0</v>
      </c>
      <c r="O274">
        <v>2</v>
      </c>
      <c r="P274">
        <v>5</v>
      </c>
      <c r="Q274">
        <v>5</v>
      </c>
      <c r="R274">
        <v>0</v>
      </c>
      <c r="S274">
        <v>61</v>
      </c>
      <c r="T274">
        <v>16.399999999999999</v>
      </c>
      <c r="U274">
        <v>150</v>
      </c>
      <c r="V274" s="19" t="s">
        <v>2283</v>
      </c>
      <c r="W274" s="19" t="s">
        <v>1733</v>
      </c>
      <c r="X274">
        <v>0</v>
      </c>
      <c r="Y274">
        <v>0</v>
      </c>
      <c r="AA274">
        <v>12</v>
      </c>
      <c r="AB274">
        <v>18</v>
      </c>
      <c r="AC274">
        <v>9</v>
      </c>
      <c r="AD274">
        <v>46</v>
      </c>
      <c r="AE274" s="19" t="s">
        <v>60</v>
      </c>
    </row>
    <row r="275" spans="1:31" x14ac:dyDescent="0.2">
      <c r="A275">
        <v>268</v>
      </c>
      <c r="B275" s="19" t="s">
        <v>682</v>
      </c>
      <c r="C275">
        <v>27</v>
      </c>
      <c r="D275" s="19" t="s">
        <v>373</v>
      </c>
      <c r="E275" s="19" t="s">
        <v>322</v>
      </c>
      <c r="F275">
        <v>42</v>
      </c>
      <c r="G275">
        <v>5</v>
      </c>
      <c r="H275">
        <v>15</v>
      </c>
      <c r="I275">
        <v>20</v>
      </c>
      <c r="J275">
        <v>2</v>
      </c>
      <c r="K275">
        <v>16</v>
      </c>
      <c r="L275">
        <v>4</v>
      </c>
      <c r="M275">
        <v>1</v>
      </c>
      <c r="N275">
        <v>0</v>
      </c>
      <c r="O275">
        <v>0</v>
      </c>
      <c r="P275">
        <v>14</v>
      </c>
      <c r="Q275">
        <v>0</v>
      </c>
      <c r="R275">
        <v>1</v>
      </c>
      <c r="S275">
        <v>67</v>
      </c>
      <c r="T275">
        <v>7.5</v>
      </c>
      <c r="U275">
        <v>121</v>
      </c>
      <c r="V275" s="19" t="s">
        <v>2741</v>
      </c>
      <c r="W275" s="19" t="s">
        <v>1655</v>
      </c>
      <c r="X275">
        <v>14</v>
      </c>
      <c r="Y275">
        <v>20</v>
      </c>
      <c r="Z275">
        <v>41.2</v>
      </c>
      <c r="AA275">
        <v>34</v>
      </c>
      <c r="AB275">
        <v>87</v>
      </c>
      <c r="AC275">
        <v>16</v>
      </c>
      <c r="AD275">
        <v>28</v>
      </c>
      <c r="AE275" s="19" t="s">
        <v>60</v>
      </c>
    </row>
    <row r="276" spans="1:31" x14ac:dyDescent="0.2">
      <c r="A276">
        <v>269</v>
      </c>
      <c r="B276" s="19" t="s">
        <v>759</v>
      </c>
      <c r="C276">
        <v>25</v>
      </c>
      <c r="D276" s="19" t="s">
        <v>359</v>
      </c>
      <c r="E276" s="19" t="s">
        <v>340</v>
      </c>
      <c r="F276">
        <v>40</v>
      </c>
      <c r="G276">
        <v>7</v>
      </c>
      <c r="H276">
        <v>13</v>
      </c>
      <c r="I276">
        <v>20</v>
      </c>
      <c r="J276">
        <v>-7</v>
      </c>
      <c r="K276">
        <v>8</v>
      </c>
      <c r="L276">
        <v>6</v>
      </c>
      <c r="M276">
        <v>1</v>
      </c>
      <c r="N276">
        <v>0</v>
      </c>
      <c r="O276">
        <v>2</v>
      </c>
      <c r="P276">
        <v>9</v>
      </c>
      <c r="Q276">
        <v>4</v>
      </c>
      <c r="R276">
        <v>0</v>
      </c>
      <c r="S276">
        <v>43</v>
      </c>
      <c r="T276">
        <v>16.3</v>
      </c>
      <c r="U276">
        <v>93</v>
      </c>
      <c r="V276" s="19" t="s">
        <v>2418</v>
      </c>
      <c r="W276" s="19" t="s">
        <v>1676</v>
      </c>
      <c r="X276">
        <v>3</v>
      </c>
      <c r="Y276">
        <v>4</v>
      </c>
      <c r="Z276">
        <v>42.9</v>
      </c>
      <c r="AA276">
        <v>11</v>
      </c>
      <c r="AB276">
        <v>9</v>
      </c>
      <c r="AC276">
        <v>7</v>
      </c>
      <c r="AD276">
        <v>34</v>
      </c>
      <c r="AE276" s="19" t="s">
        <v>60</v>
      </c>
    </row>
    <row r="277" spans="1:31" x14ac:dyDescent="0.2">
      <c r="A277">
        <v>270</v>
      </c>
      <c r="B277" s="19" t="s">
        <v>569</v>
      </c>
      <c r="C277">
        <v>21</v>
      </c>
      <c r="D277" s="19" t="s">
        <v>399</v>
      </c>
      <c r="E277" s="19" t="s">
        <v>349</v>
      </c>
      <c r="F277">
        <v>37</v>
      </c>
      <c r="G277">
        <v>8</v>
      </c>
      <c r="H277">
        <v>12</v>
      </c>
      <c r="I277">
        <v>20</v>
      </c>
      <c r="J277">
        <v>3</v>
      </c>
      <c r="K277">
        <v>16</v>
      </c>
      <c r="L277">
        <v>8</v>
      </c>
      <c r="M277">
        <v>0</v>
      </c>
      <c r="N277">
        <v>0</v>
      </c>
      <c r="O277">
        <v>3</v>
      </c>
      <c r="P277">
        <v>11</v>
      </c>
      <c r="Q277">
        <v>1</v>
      </c>
      <c r="R277">
        <v>0</v>
      </c>
      <c r="S277">
        <v>62</v>
      </c>
      <c r="T277">
        <v>12.9</v>
      </c>
      <c r="U277">
        <v>153</v>
      </c>
      <c r="V277" s="19" t="s">
        <v>2419</v>
      </c>
      <c r="W277" s="19" t="s">
        <v>1673</v>
      </c>
      <c r="X277">
        <v>0</v>
      </c>
      <c r="Y277">
        <v>0</v>
      </c>
      <c r="AA277">
        <v>51</v>
      </c>
      <c r="AB277">
        <v>9</v>
      </c>
      <c r="AC277">
        <v>10</v>
      </c>
      <c r="AD277">
        <v>38</v>
      </c>
      <c r="AE277" s="19" t="s">
        <v>60</v>
      </c>
    </row>
    <row r="278" spans="1:31" x14ac:dyDescent="0.2">
      <c r="A278">
        <v>271</v>
      </c>
      <c r="B278" s="19" t="s">
        <v>657</v>
      </c>
      <c r="C278">
        <v>27</v>
      </c>
      <c r="D278" s="19" t="s">
        <v>447</v>
      </c>
      <c r="E278" s="19" t="s">
        <v>325</v>
      </c>
      <c r="F278">
        <v>51</v>
      </c>
      <c r="G278">
        <v>12</v>
      </c>
      <c r="H278">
        <v>8</v>
      </c>
      <c r="I278">
        <v>20</v>
      </c>
      <c r="J278">
        <v>4</v>
      </c>
      <c r="K278">
        <v>22</v>
      </c>
      <c r="L278">
        <v>10</v>
      </c>
      <c r="M278">
        <v>0</v>
      </c>
      <c r="N278">
        <v>2</v>
      </c>
      <c r="O278">
        <v>1</v>
      </c>
      <c r="P278">
        <v>7</v>
      </c>
      <c r="Q278">
        <v>0</v>
      </c>
      <c r="R278">
        <v>1</v>
      </c>
      <c r="S278">
        <v>74</v>
      </c>
      <c r="T278">
        <v>16.2</v>
      </c>
      <c r="U278">
        <v>159</v>
      </c>
      <c r="V278" s="19" t="s">
        <v>2420</v>
      </c>
      <c r="W278" s="19" t="s">
        <v>601</v>
      </c>
      <c r="X278">
        <v>45</v>
      </c>
      <c r="Y278">
        <v>43</v>
      </c>
      <c r="Z278">
        <v>51.1</v>
      </c>
      <c r="AA278">
        <v>17</v>
      </c>
      <c r="AB278">
        <v>38</v>
      </c>
      <c r="AC278">
        <v>9</v>
      </c>
      <c r="AD278">
        <v>43</v>
      </c>
      <c r="AE278" s="19" t="s">
        <v>60</v>
      </c>
    </row>
    <row r="279" spans="1:31" x14ac:dyDescent="0.2">
      <c r="A279">
        <v>272</v>
      </c>
      <c r="B279" s="19" t="s">
        <v>625</v>
      </c>
      <c r="C279">
        <v>34</v>
      </c>
      <c r="D279" s="19" t="s">
        <v>513</v>
      </c>
      <c r="E279" s="19" t="s">
        <v>322</v>
      </c>
      <c r="F279">
        <v>52</v>
      </c>
      <c r="G279">
        <v>10</v>
      </c>
      <c r="H279">
        <v>10</v>
      </c>
      <c r="I279">
        <v>20</v>
      </c>
      <c r="J279">
        <v>-26</v>
      </c>
      <c r="K279">
        <v>45</v>
      </c>
      <c r="L279">
        <v>7</v>
      </c>
      <c r="M279">
        <v>3</v>
      </c>
      <c r="N279">
        <v>0</v>
      </c>
      <c r="O279">
        <v>2</v>
      </c>
      <c r="P279">
        <v>8</v>
      </c>
      <c r="Q279">
        <v>2</v>
      </c>
      <c r="R279">
        <v>0</v>
      </c>
      <c r="S279">
        <v>71</v>
      </c>
      <c r="T279">
        <v>14.1</v>
      </c>
      <c r="U279">
        <v>149</v>
      </c>
      <c r="V279" s="19" t="s">
        <v>2742</v>
      </c>
      <c r="W279" s="19" t="s">
        <v>424</v>
      </c>
      <c r="X279">
        <v>316</v>
      </c>
      <c r="Y279">
        <v>269</v>
      </c>
      <c r="Z279">
        <v>54</v>
      </c>
      <c r="AA279">
        <v>23</v>
      </c>
      <c r="AB279">
        <v>109</v>
      </c>
      <c r="AC279">
        <v>15</v>
      </c>
      <c r="AD279">
        <v>37</v>
      </c>
      <c r="AE279" s="19" t="s">
        <v>60</v>
      </c>
    </row>
    <row r="280" spans="1:31" x14ac:dyDescent="0.2">
      <c r="A280">
        <v>273</v>
      </c>
      <c r="B280" s="19" t="s">
        <v>801</v>
      </c>
      <c r="C280">
        <v>27</v>
      </c>
      <c r="D280" s="19" t="s">
        <v>436</v>
      </c>
      <c r="E280" s="19" t="s">
        <v>322</v>
      </c>
      <c r="F280">
        <v>47</v>
      </c>
      <c r="G280">
        <v>11</v>
      </c>
      <c r="H280">
        <v>9</v>
      </c>
      <c r="I280">
        <v>20</v>
      </c>
      <c r="J280">
        <v>-14</v>
      </c>
      <c r="K280">
        <v>8</v>
      </c>
      <c r="L280">
        <v>8</v>
      </c>
      <c r="M280">
        <v>3</v>
      </c>
      <c r="N280">
        <v>0</v>
      </c>
      <c r="O280">
        <v>1</v>
      </c>
      <c r="P280">
        <v>7</v>
      </c>
      <c r="Q280">
        <v>2</v>
      </c>
      <c r="R280">
        <v>0</v>
      </c>
      <c r="S280">
        <v>92</v>
      </c>
      <c r="T280">
        <v>12</v>
      </c>
      <c r="U280">
        <v>187</v>
      </c>
      <c r="V280" s="19" t="s">
        <v>2421</v>
      </c>
      <c r="W280" s="19" t="s">
        <v>1096</v>
      </c>
      <c r="X280">
        <v>18</v>
      </c>
      <c r="Y280">
        <v>45</v>
      </c>
      <c r="Z280">
        <v>28.6</v>
      </c>
      <c r="AA280">
        <v>19</v>
      </c>
      <c r="AB280">
        <v>13</v>
      </c>
      <c r="AC280">
        <v>10</v>
      </c>
      <c r="AD280">
        <v>35</v>
      </c>
      <c r="AE280" s="19" t="s">
        <v>60</v>
      </c>
    </row>
    <row r="281" spans="1:31" x14ac:dyDescent="0.2">
      <c r="A281">
        <v>274</v>
      </c>
      <c r="B281" s="19" t="s">
        <v>896</v>
      </c>
      <c r="C281">
        <v>24</v>
      </c>
      <c r="D281" s="19" t="s">
        <v>436</v>
      </c>
      <c r="E281" s="19" t="s">
        <v>322</v>
      </c>
      <c r="F281">
        <v>49</v>
      </c>
      <c r="G281">
        <v>8</v>
      </c>
      <c r="H281">
        <v>12</v>
      </c>
      <c r="I281">
        <v>20</v>
      </c>
      <c r="J281">
        <v>-4</v>
      </c>
      <c r="K281">
        <v>14</v>
      </c>
      <c r="L281">
        <v>6</v>
      </c>
      <c r="M281">
        <v>2</v>
      </c>
      <c r="N281">
        <v>0</v>
      </c>
      <c r="O281">
        <v>1</v>
      </c>
      <c r="P281">
        <v>7</v>
      </c>
      <c r="Q281">
        <v>5</v>
      </c>
      <c r="R281">
        <v>0</v>
      </c>
      <c r="S281">
        <v>72</v>
      </c>
      <c r="T281">
        <v>11.1</v>
      </c>
      <c r="U281">
        <v>128</v>
      </c>
      <c r="V281" s="19" t="s">
        <v>2422</v>
      </c>
      <c r="W281" s="19" t="s">
        <v>1758</v>
      </c>
      <c r="X281">
        <v>53</v>
      </c>
      <c r="Y281">
        <v>77</v>
      </c>
      <c r="Z281">
        <v>40.799999999999997</v>
      </c>
      <c r="AA281">
        <v>13</v>
      </c>
      <c r="AB281">
        <v>32</v>
      </c>
      <c r="AC281">
        <v>8</v>
      </c>
      <c r="AD281">
        <v>30</v>
      </c>
      <c r="AE281" s="19" t="s">
        <v>60</v>
      </c>
    </row>
    <row r="282" spans="1:31" x14ac:dyDescent="0.2">
      <c r="A282">
        <v>275</v>
      </c>
      <c r="B282" s="19" t="s">
        <v>611</v>
      </c>
      <c r="C282">
        <v>20</v>
      </c>
      <c r="D282" s="19" t="s">
        <v>950</v>
      </c>
      <c r="E282" s="19" t="s">
        <v>349</v>
      </c>
      <c r="F282">
        <v>50</v>
      </c>
      <c r="G282">
        <v>5</v>
      </c>
      <c r="H282">
        <v>15</v>
      </c>
      <c r="I282">
        <v>20</v>
      </c>
      <c r="J282">
        <v>-15</v>
      </c>
      <c r="K282">
        <v>14</v>
      </c>
      <c r="L282">
        <v>2</v>
      </c>
      <c r="M282">
        <v>3</v>
      </c>
      <c r="N282">
        <v>0</v>
      </c>
      <c r="O282">
        <v>1</v>
      </c>
      <c r="P282">
        <v>6</v>
      </c>
      <c r="Q282">
        <v>9</v>
      </c>
      <c r="R282">
        <v>0</v>
      </c>
      <c r="S282">
        <v>48</v>
      </c>
      <c r="T282">
        <v>10.4</v>
      </c>
      <c r="U282">
        <v>144</v>
      </c>
      <c r="V282" s="19" t="s">
        <v>2423</v>
      </c>
      <c r="W282" s="19" t="s">
        <v>1902</v>
      </c>
      <c r="X282">
        <v>0</v>
      </c>
      <c r="Y282">
        <v>0</v>
      </c>
      <c r="AA282">
        <v>30</v>
      </c>
      <c r="AB282">
        <v>15</v>
      </c>
      <c r="AC282">
        <v>10</v>
      </c>
      <c r="AD282">
        <v>52</v>
      </c>
      <c r="AE282" s="19" t="s">
        <v>60</v>
      </c>
    </row>
    <row r="283" spans="1:31" x14ac:dyDescent="0.2">
      <c r="A283">
        <v>275</v>
      </c>
      <c r="B283" s="19" t="s">
        <v>611</v>
      </c>
      <c r="C283">
        <v>20</v>
      </c>
      <c r="D283" s="19" t="s">
        <v>357</v>
      </c>
      <c r="E283" s="19" t="s">
        <v>349</v>
      </c>
      <c r="F283">
        <v>31</v>
      </c>
      <c r="G283">
        <v>3</v>
      </c>
      <c r="H283">
        <v>11</v>
      </c>
      <c r="I283">
        <v>14</v>
      </c>
      <c r="J283">
        <v>-9</v>
      </c>
      <c r="K283">
        <v>8</v>
      </c>
      <c r="L283">
        <v>1</v>
      </c>
      <c r="M283">
        <v>2</v>
      </c>
      <c r="N283">
        <v>0</v>
      </c>
      <c r="O283">
        <v>0</v>
      </c>
      <c r="P283">
        <v>5</v>
      </c>
      <c r="Q283">
        <v>6</v>
      </c>
      <c r="R283">
        <v>0</v>
      </c>
      <c r="S283">
        <v>31</v>
      </c>
      <c r="T283">
        <v>9.6999999999999993</v>
      </c>
      <c r="U283">
        <v>84</v>
      </c>
      <c r="V283" s="19" t="s">
        <v>1539</v>
      </c>
      <c r="W283" s="19" t="s">
        <v>1534</v>
      </c>
      <c r="X283">
        <v>0</v>
      </c>
      <c r="Y283">
        <v>0</v>
      </c>
      <c r="AA283">
        <v>15</v>
      </c>
      <c r="AB283">
        <v>9</v>
      </c>
      <c r="AC283">
        <v>5</v>
      </c>
      <c r="AD283">
        <v>32</v>
      </c>
      <c r="AE283" s="19" t="s">
        <v>60</v>
      </c>
    </row>
    <row r="284" spans="1:31" x14ac:dyDescent="0.2">
      <c r="A284">
        <v>275</v>
      </c>
      <c r="B284" s="19" t="s">
        <v>611</v>
      </c>
      <c r="C284">
        <v>20</v>
      </c>
      <c r="D284" s="19" t="s">
        <v>447</v>
      </c>
      <c r="E284" s="19" t="s">
        <v>349</v>
      </c>
      <c r="F284">
        <v>19</v>
      </c>
      <c r="G284">
        <v>2</v>
      </c>
      <c r="H284">
        <v>4</v>
      </c>
      <c r="I284">
        <v>6</v>
      </c>
      <c r="J284">
        <v>-6</v>
      </c>
      <c r="K284">
        <v>6</v>
      </c>
      <c r="L284">
        <v>1</v>
      </c>
      <c r="M284">
        <v>1</v>
      </c>
      <c r="N284">
        <v>0</v>
      </c>
      <c r="O284">
        <v>1</v>
      </c>
      <c r="P284">
        <v>1</v>
      </c>
      <c r="Q284">
        <v>3</v>
      </c>
      <c r="R284">
        <v>0</v>
      </c>
      <c r="S284">
        <v>17</v>
      </c>
      <c r="T284">
        <v>11.8</v>
      </c>
      <c r="U284">
        <v>60</v>
      </c>
      <c r="V284" s="19" t="s">
        <v>2424</v>
      </c>
      <c r="W284" s="19" t="s">
        <v>1719</v>
      </c>
      <c r="X284">
        <v>0</v>
      </c>
      <c r="Y284">
        <v>0</v>
      </c>
      <c r="AA284">
        <v>15</v>
      </c>
      <c r="AB284">
        <v>6</v>
      </c>
      <c r="AC284">
        <v>5</v>
      </c>
      <c r="AD284">
        <v>20</v>
      </c>
      <c r="AE284" s="19" t="s">
        <v>60</v>
      </c>
    </row>
    <row r="285" spans="1:31" x14ac:dyDescent="0.2">
      <c r="A285">
        <v>276</v>
      </c>
      <c r="B285" s="19" t="s">
        <v>672</v>
      </c>
      <c r="C285">
        <v>29</v>
      </c>
      <c r="D285" s="19" t="s">
        <v>416</v>
      </c>
      <c r="E285" s="19" t="s">
        <v>322</v>
      </c>
      <c r="F285">
        <v>51</v>
      </c>
      <c r="G285">
        <v>7</v>
      </c>
      <c r="H285">
        <v>12</v>
      </c>
      <c r="I285">
        <v>19</v>
      </c>
      <c r="J285">
        <v>1</v>
      </c>
      <c r="K285">
        <v>14</v>
      </c>
      <c r="L285">
        <v>7</v>
      </c>
      <c r="M285">
        <v>0</v>
      </c>
      <c r="N285">
        <v>0</v>
      </c>
      <c r="O285">
        <v>1</v>
      </c>
      <c r="P285">
        <v>12</v>
      </c>
      <c r="Q285">
        <v>0</v>
      </c>
      <c r="R285">
        <v>0</v>
      </c>
      <c r="S285">
        <v>60</v>
      </c>
      <c r="T285">
        <v>11.7</v>
      </c>
      <c r="U285">
        <v>119</v>
      </c>
      <c r="V285" s="19" t="s">
        <v>2743</v>
      </c>
      <c r="W285" s="19" t="s">
        <v>2150</v>
      </c>
      <c r="X285">
        <v>5</v>
      </c>
      <c r="Y285">
        <v>6</v>
      </c>
      <c r="Z285">
        <v>45.5</v>
      </c>
      <c r="AA285">
        <v>26</v>
      </c>
      <c r="AB285">
        <v>74</v>
      </c>
      <c r="AC285">
        <v>18</v>
      </c>
      <c r="AD285">
        <v>35</v>
      </c>
      <c r="AE285" s="19" t="s">
        <v>60</v>
      </c>
    </row>
    <row r="286" spans="1:31" x14ac:dyDescent="0.2">
      <c r="A286">
        <v>277</v>
      </c>
      <c r="B286" s="19" t="s">
        <v>674</v>
      </c>
      <c r="C286">
        <v>32</v>
      </c>
      <c r="D286" s="19" t="s">
        <v>419</v>
      </c>
      <c r="E286" s="19" t="s">
        <v>335</v>
      </c>
      <c r="F286">
        <v>45</v>
      </c>
      <c r="G286">
        <v>10</v>
      </c>
      <c r="H286">
        <v>9</v>
      </c>
      <c r="I286">
        <v>19</v>
      </c>
      <c r="J286">
        <v>4</v>
      </c>
      <c r="K286">
        <v>22</v>
      </c>
      <c r="L286">
        <v>5</v>
      </c>
      <c r="M286">
        <v>1</v>
      </c>
      <c r="N286">
        <v>4</v>
      </c>
      <c r="O286">
        <v>0</v>
      </c>
      <c r="P286">
        <v>8</v>
      </c>
      <c r="Q286">
        <v>0</v>
      </c>
      <c r="R286">
        <v>1</v>
      </c>
      <c r="S286">
        <v>58</v>
      </c>
      <c r="T286">
        <v>17.2</v>
      </c>
      <c r="U286">
        <v>123</v>
      </c>
      <c r="V286" s="19" t="s">
        <v>2744</v>
      </c>
      <c r="W286" s="19" t="s">
        <v>2044</v>
      </c>
      <c r="X286">
        <v>14</v>
      </c>
      <c r="Y286">
        <v>24</v>
      </c>
      <c r="Z286">
        <v>36.799999999999997</v>
      </c>
      <c r="AA286">
        <v>27</v>
      </c>
      <c r="AB286">
        <v>43</v>
      </c>
      <c r="AC286">
        <v>23</v>
      </c>
      <c r="AD286">
        <v>35</v>
      </c>
      <c r="AE286" s="19" t="s">
        <v>60</v>
      </c>
    </row>
    <row r="287" spans="1:31" x14ac:dyDescent="0.2">
      <c r="A287">
        <v>278</v>
      </c>
      <c r="B287" s="19" t="s">
        <v>610</v>
      </c>
      <c r="C287">
        <v>22</v>
      </c>
      <c r="D287" s="19" t="s">
        <v>363</v>
      </c>
      <c r="E287" s="19" t="s">
        <v>322</v>
      </c>
      <c r="F287">
        <v>52</v>
      </c>
      <c r="G287">
        <v>10</v>
      </c>
      <c r="H287">
        <v>9</v>
      </c>
      <c r="I287">
        <v>19</v>
      </c>
      <c r="J287">
        <v>-13</v>
      </c>
      <c r="K287">
        <v>22</v>
      </c>
      <c r="L287">
        <v>7</v>
      </c>
      <c r="M287">
        <v>3</v>
      </c>
      <c r="N287">
        <v>0</v>
      </c>
      <c r="O287">
        <v>2</v>
      </c>
      <c r="P287">
        <v>7</v>
      </c>
      <c r="Q287">
        <v>2</v>
      </c>
      <c r="R287">
        <v>0</v>
      </c>
      <c r="S287">
        <v>72</v>
      </c>
      <c r="T287">
        <v>13.9</v>
      </c>
      <c r="U287">
        <v>162</v>
      </c>
      <c r="V287" s="19" t="s">
        <v>2745</v>
      </c>
      <c r="W287" s="19" t="s">
        <v>1660</v>
      </c>
      <c r="X287">
        <v>18</v>
      </c>
      <c r="Y287">
        <v>17</v>
      </c>
      <c r="Z287">
        <v>51.4</v>
      </c>
      <c r="AA287">
        <v>27</v>
      </c>
      <c r="AB287">
        <v>106</v>
      </c>
      <c r="AC287">
        <v>11</v>
      </c>
      <c r="AD287">
        <v>39</v>
      </c>
      <c r="AE287" s="19" t="s">
        <v>60</v>
      </c>
    </row>
    <row r="288" spans="1:31" x14ac:dyDescent="0.2">
      <c r="A288">
        <v>279</v>
      </c>
      <c r="B288" s="19" t="s">
        <v>741</v>
      </c>
      <c r="C288">
        <v>32</v>
      </c>
      <c r="D288" s="19" t="s">
        <v>399</v>
      </c>
      <c r="E288" s="19" t="s">
        <v>335</v>
      </c>
      <c r="F288">
        <v>44</v>
      </c>
      <c r="G288">
        <v>10</v>
      </c>
      <c r="H288">
        <v>9</v>
      </c>
      <c r="I288">
        <v>19</v>
      </c>
      <c r="J288">
        <v>-3</v>
      </c>
      <c r="K288">
        <v>10</v>
      </c>
      <c r="L288">
        <v>8</v>
      </c>
      <c r="M288">
        <v>1</v>
      </c>
      <c r="N288">
        <v>1</v>
      </c>
      <c r="O288">
        <v>1</v>
      </c>
      <c r="P288">
        <v>9</v>
      </c>
      <c r="Q288">
        <v>0</v>
      </c>
      <c r="R288">
        <v>0</v>
      </c>
      <c r="S288">
        <v>60</v>
      </c>
      <c r="T288">
        <v>16.7</v>
      </c>
      <c r="U288">
        <v>101</v>
      </c>
      <c r="V288" s="19" t="s">
        <v>2425</v>
      </c>
      <c r="W288" s="19" t="s">
        <v>2078</v>
      </c>
      <c r="X288">
        <v>5</v>
      </c>
      <c r="Y288">
        <v>14</v>
      </c>
      <c r="Z288">
        <v>26.3</v>
      </c>
      <c r="AA288">
        <v>25</v>
      </c>
      <c r="AB288">
        <v>17</v>
      </c>
      <c r="AC288">
        <v>12</v>
      </c>
      <c r="AD288">
        <v>30</v>
      </c>
      <c r="AE288" s="19" t="s">
        <v>60</v>
      </c>
    </row>
    <row r="289" spans="1:31" x14ac:dyDescent="0.2">
      <c r="A289">
        <v>280</v>
      </c>
      <c r="B289" s="19" t="s">
        <v>696</v>
      </c>
      <c r="C289">
        <v>29</v>
      </c>
      <c r="D289" s="19" t="s">
        <v>416</v>
      </c>
      <c r="E289" s="19" t="s">
        <v>349</v>
      </c>
      <c r="F289">
        <v>36</v>
      </c>
      <c r="G289">
        <v>5</v>
      </c>
      <c r="H289">
        <v>14</v>
      </c>
      <c r="I289">
        <v>19</v>
      </c>
      <c r="J289">
        <v>-1</v>
      </c>
      <c r="K289">
        <v>16</v>
      </c>
      <c r="L289">
        <v>3</v>
      </c>
      <c r="M289">
        <v>2</v>
      </c>
      <c r="N289">
        <v>0</v>
      </c>
      <c r="O289">
        <v>0</v>
      </c>
      <c r="P289">
        <v>9</v>
      </c>
      <c r="Q289">
        <v>4</v>
      </c>
      <c r="R289">
        <v>1</v>
      </c>
      <c r="S289">
        <v>59</v>
      </c>
      <c r="T289">
        <v>8.5</v>
      </c>
      <c r="U289">
        <v>169</v>
      </c>
      <c r="V289" s="19" t="s">
        <v>2746</v>
      </c>
      <c r="W289" s="19" t="s">
        <v>1970</v>
      </c>
      <c r="X289">
        <v>0</v>
      </c>
      <c r="Y289">
        <v>0</v>
      </c>
      <c r="AA289">
        <v>70</v>
      </c>
      <c r="AB289">
        <v>25</v>
      </c>
      <c r="AC289">
        <v>14</v>
      </c>
      <c r="AD289">
        <v>30</v>
      </c>
      <c r="AE289" s="19" t="s">
        <v>60</v>
      </c>
    </row>
    <row r="290" spans="1:31" x14ac:dyDescent="0.2">
      <c r="A290">
        <v>281</v>
      </c>
      <c r="B290" s="19" t="s">
        <v>697</v>
      </c>
      <c r="C290">
        <v>30</v>
      </c>
      <c r="D290" s="19" t="s">
        <v>371</v>
      </c>
      <c r="E290" s="19" t="s">
        <v>340</v>
      </c>
      <c r="F290">
        <v>53</v>
      </c>
      <c r="G290">
        <v>8</v>
      </c>
      <c r="H290">
        <v>11</v>
      </c>
      <c r="I290">
        <v>19</v>
      </c>
      <c r="J290">
        <v>-2</v>
      </c>
      <c r="K290">
        <v>19</v>
      </c>
      <c r="L290">
        <v>8</v>
      </c>
      <c r="M290">
        <v>0</v>
      </c>
      <c r="N290">
        <v>0</v>
      </c>
      <c r="O290">
        <v>1</v>
      </c>
      <c r="P290">
        <v>11</v>
      </c>
      <c r="Q290">
        <v>0</v>
      </c>
      <c r="R290">
        <v>0</v>
      </c>
      <c r="S290">
        <v>63</v>
      </c>
      <c r="T290">
        <v>12.7</v>
      </c>
      <c r="U290">
        <v>117</v>
      </c>
      <c r="V290" s="19" t="s">
        <v>2747</v>
      </c>
      <c r="W290" s="19" t="s">
        <v>906</v>
      </c>
      <c r="X290">
        <v>316</v>
      </c>
      <c r="Y290">
        <v>309</v>
      </c>
      <c r="Z290">
        <v>50.6</v>
      </c>
      <c r="AA290">
        <v>34</v>
      </c>
      <c r="AB290">
        <v>18</v>
      </c>
      <c r="AC290">
        <v>8</v>
      </c>
      <c r="AD290">
        <v>27</v>
      </c>
      <c r="AE290" s="19" t="s">
        <v>60</v>
      </c>
    </row>
    <row r="291" spans="1:31" x14ac:dyDescent="0.2">
      <c r="A291">
        <v>282</v>
      </c>
      <c r="B291" s="19" t="s">
        <v>744</v>
      </c>
      <c r="C291">
        <v>26</v>
      </c>
      <c r="D291" s="19" t="s">
        <v>376</v>
      </c>
      <c r="E291" s="19" t="s">
        <v>322</v>
      </c>
      <c r="F291">
        <v>50</v>
      </c>
      <c r="G291">
        <v>11</v>
      </c>
      <c r="H291">
        <v>8</v>
      </c>
      <c r="I291">
        <v>19</v>
      </c>
      <c r="J291">
        <v>4</v>
      </c>
      <c r="K291">
        <v>10</v>
      </c>
      <c r="L291">
        <v>10</v>
      </c>
      <c r="M291">
        <v>0</v>
      </c>
      <c r="N291">
        <v>1</v>
      </c>
      <c r="O291">
        <v>2</v>
      </c>
      <c r="P291">
        <v>8</v>
      </c>
      <c r="Q291">
        <v>0</v>
      </c>
      <c r="R291">
        <v>0</v>
      </c>
      <c r="S291">
        <v>77</v>
      </c>
      <c r="T291">
        <v>14.3</v>
      </c>
      <c r="U291">
        <v>163</v>
      </c>
      <c r="V291" s="19" t="s">
        <v>2279</v>
      </c>
      <c r="W291" s="19" t="s">
        <v>1671</v>
      </c>
      <c r="X291">
        <v>12</v>
      </c>
      <c r="Y291">
        <v>11</v>
      </c>
      <c r="Z291">
        <v>52.2</v>
      </c>
      <c r="AA291">
        <v>24</v>
      </c>
      <c r="AB291">
        <v>88</v>
      </c>
      <c r="AC291">
        <v>5</v>
      </c>
      <c r="AD291">
        <v>22</v>
      </c>
      <c r="AE291" s="19" t="s">
        <v>60</v>
      </c>
    </row>
    <row r="292" spans="1:31" x14ac:dyDescent="0.2">
      <c r="A292">
        <v>283</v>
      </c>
      <c r="B292" s="19" t="s">
        <v>583</v>
      </c>
      <c r="C292">
        <v>25</v>
      </c>
      <c r="D292" s="19" t="s">
        <v>436</v>
      </c>
      <c r="E292" s="19" t="s">
        <v>340</v>
      </c>
      <c r="F292">
        <v>51</v>
      </c>
      <c r="G292">
        <v>10</v>
      </c>
      <c r="H292">
        <v>9</v>
      </c>
      <c r="I292">
        <v>19</v>
      </c>
      <c r="J292">
        <v>-12</v>
      </c>
      <c r="K292">
        <v>20</v>
      </c>
      <c r="L292">
        <v>6</v>
      </c>
      <c r="M292">
        <v>1</v>
      </c>
      <c r="N292">
        <v>3</v>
      </c>
      <c r="O292">
        <v>0</v>
      </c>
      <c r="P292">
        <v>7</v>
      </c>
      <c r="Q292">
        <v>2</v>
      </c>
      <c r="R292">
        <v>0</v>
      </c>
      <c r="S292">
        <v>92</v>
      </c>
      <c r="T292">
        <v>10.9</v>
      </c>
      <c r="U292">
        <v>170</v>
      </c>
      <c r="V292" s="19" t="s">
        <v>2426</v>
      </c>
      <c r="W292" s="19" t="s">
        <v>1748</v>
      </c>
      <c r="X292">
        <v>19</v>
      </c>
      <c r="Y292">
        <v>24</v>
      </c>
      <c r="Z292">
        <v>44.2</v>
      </c>
      <c r="AA292">
        <v>35</v>
      </c>
      <c r="AB292">
        <v>37</v>
      </c>
      <c r="AC292">
        <v>13</v>
      </c>
      <c r="AD292">
        <v>43</v>
      </c>
      <c r="AE292" s="19" t="s">
        <v>60</v>
      </c>
    </row>
    <row r="293" spans="1:31" x14ac:dyDescent="0.2">
      <c r="A293">
        <v>284</v>
      </c>
      <c r="B293" s="19" t="s">
        <v>704</v>
      </c>
      <c r="C293">
        <v>26</v>
      </c>
      <c r="D293" s="19" t="s">
        <v>366</v>
      </c>
      <c r="E293" s="19" t="s">
        <v>349</v>
      </c>
      <c r="F293">
        <v>53</v>
      </c>
      <c r="G293">
        <v>3</v>
      </c>
      <c r="H293">
        <v>16</v>
      </c>
      <c r="I293">
        <v>19</v>
      </c>
      <c r="J293">
        <v>13</v>
      </c>
      <c r="K293">
        <v>23</v>
      </c>
      <c r="L293">
        <v>3</v>
      </c>
      <c r="M293">
        <v>0</v>
      </c>
      <c r="N293">
        <v>0</v>
      </c>
      <c r="O293">
        <v>0</v>
      </c>
      <c r="P293">
        <v>16</v>
      </c>
      <c r="Q293">
        <v>0</v>
      </c>
      <c r="R293">
        <v>0</v>
      </c>
      <c r="S293">
        <v>57</v>
      </c>
      <c r="T293">
        <v>5.3</v>
      </c>
      <c r="U293">
        <v>128</v>
      </c>
      <c r="V293" s="19" t="s">
        <v>2108</v>
      </c>
      <c r="W293" s="19" t="s">
        <v>705</v>
      </c>
      <c r="X293">
        <v>0</v>
      </c>
      <c r="Y293">
        <v>0</v>
      </c>
      <c r="AA293">
        <v>106</v>
      </c>
      <c r="AB293">
        <v>60</v>
      </c>
      <c r="AC293">
        <v>10</v>
      </c>
      <c r="AD293">
        <v>34</v>
      </c>
      <c r="AE293" s="19" t="s">
        <v>60</v>
      </c>
    </row>
    <row r="294" spans="1:31" x14ac:dyDescent="0.2">
      <c r="A294">
        <v>285</v>
      </c>
      <c r="B294" s="19" t="s">
        <v>749</v>
      </c>
      <c r="C294">
        <v>22</v>
      </c>
      <c r="D294" s="19" t="s">
        <v>330</v>
      </c>
      <c r="E294" s="19" t="s">
        <v>322</v>
      </c>
      <c r="F294">
        <v>51</v>
      </c>
      <c r="G294">
        <v>7</v>
      </c>
      <c r="H294">
        <v>12</v>
      </c>
      <c r="I294">
        <v>19</v>
      </c>
      <c r="J294">
        <v>1</v>
      </c>
      <c r="K294">
        <v>10</v>
      </c>
      <c r="L294">
        <v>6</v>
      </c>
      <c r="M294">
        <v>1</v>
      </c>
      <c r="N294">
        <v>0</v>
      </c>
      <c r="O294">
        <v>0</v>
      </c>
      <c r="P294">
        <v>9</v>
      </c>
      <c r="Q294">
        <v>3</v>
      </c>
      <c r="R294">
        <v>0</v>
      </c>
      <c r="S294">
        <v>68</v>
      </c>
      <c r="T294">
        <v>10.3</v>
      </c>
      <c r="U294">
        <v>127</v>
      </c>
      <c r="V294" s="19" t="s">
        <v>2427</v>
      </c>
      <c r="W294" s="19" t="s">
        <v>1956</v>
      </c>
      <c r="X294">
        <v>261</v>
      </c>
      <c r="Y294">
        <v>311</v>
      </c>
      <c r="Z294">
        <v>45.6</v>
      </c>
      <c r="AA294">
        <v>24</v>
      </c>
      <c r="AB294">
        <v>30</v>
      </c>
      <c r="AC294">
        <v>17</v>
      </c>
      <c r="AD294">
        <v>36</v>
      </c>
      <c r="AE294" s="19" t="s">
        <v>60</v>
      </c>
    </row>
    <row r="295" spans="1:31" x14ac:dyDescent="0.2">
      <c r="A295">
        <v>286</v>
      </c>
      <c r="B295" s="19" t="s">
        <v>641</v>
      </c>
      <c r="C295">
        <v>29</v>
      </c>
      <c r="D295" s="19" t="s">
        <v>373</v>
      </c>
      <c r="E295" s="19" t="s">
        <v>340</v>
      </c>
      <c r="F295">
        <v>50</v>
      </c>
      <c r="G295">
        <v>10</v>
      </c>
      <c r="H295">
        <v>9</v>
      </c>
      <c r="I295">
        <v>19</v>
      </c>
      <c r="J295">
        <v>4</v>
      </c>
      <c r="K295">
        <v>74</v>
      </c>
      <c r="L295">
        <v>10</v>
      </c>
      <c r="M295">
        <v>0</v>
      </c>
      <c r="N295">
        <v>0</v>
      </c>
      <c r="O295">
        <v>1</v>
      </c>
      <c r="P295">
        <v>9</v>
      </c>
      <c r="Q295">
        <v>0</v>
      </c>
      <c r="R295">
        <v>0</v>
      </c>
      <c r="S295">
        <v>67</v>
      </c>
      <c r="T295">
        <v>14.9</v>
      </c>
      <c r="U295">
        <v>120</v>
      </c>
      <c r="V295" s="19" t="s">
        <v>2748</v>
      </c>
      <c r="W295" s="19" t="s">
        <v>1980</v>
      </c>
      <c r="X295">
        <v>3</v>
      </c>
      <c r="Y295">
        <v>7</v>
      </c>
      <c r="Z295">
        <v>30</v>
      </c>
      <c r="AA295">
        <v>17</v>
      </c>
      <c r="AB295">
        <v>127</v>
      </c>
      <c r="AC295">
        <v>6</v>
      </c>
      <c r="AD295">
        <v>35</v>
      </c>
      <c r="AE295" s="19" t="s">
        <v>60</v>
      </c>
    </row>
    <row r="296" spans="1:31" x14ac:dyDescent="0.2">
      <c r="A296">
        <v>287</v>
      </c>
      <c r="B296" s="19" t="s">
        <v>755</v>
      </c>
      <c r="C296">
        <v>32</v>
      </c>
      <c r="D296" s="19" t="s">
        <v>346</v>
      </c>
      <c r="E296" s="19" t="s">
        <v>322</v>
      </c>
      <c r="F296">
        <v>51</v>
      </c>
      <c r="G296">
        <v>9</v>
      </c>
      <c r="H296">
        <v>10</v>
      </c>
      <c r="I296">
        <v>19</v>
      </c>
      <c r="J296">
        <v>5</v>
      </c>
      <c r="K296">
        <v>12</v>
      </c>
      <c r="L296">
        <v>7</v>
      </c>
      <c r="M296">
        <v>2</v>
      </c>
      <c r="N296">
        <v>0</v>
      </c>
      <c r="O296">
        <v>1</v>
      </c>
      <c r="P296">
        <v>7</v>
      </c>
      <c r="Q296">
        <v>2</v>
      </c>
      <c r="R296">
        <v>1</v>
      </c>
      <c r="S296">
        <v>69</v>
      </c>
      <c r="T296">
        <v>13</v>
      </c>
      <c r="U296">
        <v>124</v>
      </c>
      <c r="V296" s="19" t="s">
        <v>2749</v>
      </c>
      <c r="W296" s="19" t="s">
        <v>2150</v>
      </c>
      <c r="X296">
        <v>13</v>
      </c>
      <c r="Y296">
        <v>17</v>
      </c>
      <c r="Z296">
        <v>43.3</v>
      </c>
      <c r="AA296">
        <v>35</v>
      </c>
      <c r="AB296">
        <v>67</v>
      </c>
      <c r="AC296">
        <v>8</v>
      </c>
      <c r="AD296">
        <v>16</v>
      </c>
      <c r="AE296" s="19" t="s">
        <v>60</v>
      </c>
    </row>
    <row r="297" spans="1:31" x14ac:dyDescent="0.2">
      <c r="A297">
        <v>288</v>
      </c>
      <c r="B297" s="19" t="s">
        <v>644</v>
      </c>
      <c r="C297">
        <v>28</v>
      </c>
      <c r="D297" s="19" t="s">
        <v>355</v>
      </c>
      <c r="E297" s="19" t="s">
        <v>325</v>
      </c>
      <c r="F297">
        <v>48</v>
      </c>
      <c r="G297">
        <v>5</v>
      </c>
      <c r="H297">
        <v>14</v>
      </c>
      <c r="I297">
        <v>19</v>
      </c>
      <c r="J297">
        <v>2</v>
      </c>
      <c r="K297">
        <v>41</v>
      </c>
      <c r="L297">
        <v>5</v>
      </c>
      <c r="M297">
        <v>0</v>
      </c>
      <c r="N297">
        <v>0</v>
      </c>
      <c r="O297">
        <v>1</v>
      </c>
      <c r="P297">
        <v>13</v>
      </c>
      <c r="Q297">
        <v>1</v>
      </c>
      <c r="R297">
        <v>0</v>
      </c>
      <c r="S297">
        <v>56</v>
      </c>
      <c r="T297">
        <v>8.9</v>
      </c>
      <c r="U297">
        <v>128</v>
      </c>
      <c r="V297" s="19" t="s">
        <v>2750</v>
      </c>
      <c r="W297" s="19" t="s">
        <v>2047</v>
      </c>
      <c r="X297">
        <v>7</v>
      </c>
      <c r="Y297">
        <v>6</v>
      </c>
      <c r="Z297">
        <v>53.8</v>
      </c>
      <c r="AA297">
        <v>39</v>
      </c>
      <c r="AB297">
        <v>150</v>
      </c>
      <c r="AC297">
        <v>3</v>
      </c>
      <c r="AD297">
        <v>35</v>
      </c>
      <c r="AE297" s="19" t="s">
        <v>60</v>
      </c>
    </row>
    <row r="298" spans="1:31" x14ac:dyDescent="0.2">
      <c r="A298">
        <v>289</v>
      </c>
      <c r="B298" s="19" t="s">
        <v>1057</v>
      </c>
      <c r="C298">
        <v>24</v>
      </c>
      <c r="D298" s="19" t="s">
        <v>530</v>
      </c>
      <c r="E298" s="19" t="s">
        <v>335</v>
      </c>
      <c r="F298">
        <v>34</v>
      </c>
      <c r="G298">
        <v>5</v>
      </c>
      <c r="H298">
        <v>14</v>
      </c>
      <c r="I298">
        <v>19</v>
      </c>
      <c r="J298">
        <v>3</v>
      </c>
      <c r="K298">
        <v>6</v>
      </c>
      <c r="L298">
        <v>4</v>
      </c>
      <c r="M298">
        <v>1</v>
      </c>
      <c r="N298">
        <v>0</v>
      </c>
      <c r="O298">
        <v>1</v>
      </c>
      <c r="P298">
        <v>10</v>
      </c>
      <c r="Q298">
        <v>4</v>
      </c>
      <c r="R298">
        <v>0</v>
      </c>
      <c r="S298">
        <v>50</v>
      </c>
      <c r="T298">
        <v>10</v>
      </c>
      <c r="U298">
        <v>90</v>
      </c>
      <c r="V298" s="19" t="s">
        <v>2428</v>
      </c>
      <c r="W298" s="19" t="s">
        <v>1758</v>
      </c>
      <c r="X298">
        <v>12</v>
      </c>
      <c r="Y298">
        <v>11</v>
      </c>
      <c r="Z298">
        <v>52.2</v>
      </c>
      <c r="AA298">
        <v>6</v>
      </c>
      <c r="AB298">
        <v>18</v>
      </c>
      <c r="AC298">
        <v>9</v>
      </c>
      <c r="AD298">
        <v>22</v>
      </c>
      <c r="AE298" s="19" t="s">
        <v>60</v>
      </c>
    </row>
    <row r="299" spans="1:31" x14ac:dyDescent="0.2">
      <c r="A299">
        <v>290</v>
      </c>
      <c r="B299" s="19" t="s">
        <v>568</v>
      </c>
      <c r="C299">
        <v>31</v>
      </c>
      <c r="D299" s="19" t="s">
        <v>530</v>
      </c>
      <c r="E299" s="19" t="s">
        <v>349</v>
      </c>
      <c r="F299">
        <v>32</v>
      </c>
      <c r="G299">
        <v>6</v>
      </c>
      <c r="H299">
        <v>13</v>
      </c>
      <c r="I299">
        <v>19</v>
      </c>
      <c r="J299">
        <v>-4</v>
      </c>
      <c r="K299">
        <v>29</v>
      </c>
      <c r="L299">
        <v>5</v>
      </c>
      <c r="M299">
        <v>1</v>
      </c>
      <c r="N299">
        <v>0</v>
      </c>
      <c r="O299">
        <v>1</v>
      </c>
      <c r="P299">
        <v>8</v>
      </c>
      <c r="Q299">
        <v>5</v>
      </c>
      <c r="R299">
        <v>0</v>
      </c>
      <c r="S299">
        <v>83</v>
      </c>
      <c r="T299">
        <v>7.2</v>
      </c>
      <c r="U299">
        <v>198</v>
      </c>
      <c r="V299" s="19" t="s">
        <v>2429</v>
      </c>
      <c r="W299" s="19" t="s">
        <v>2430</v>
      </c>
      <c r="X299">
        <v>0</v>
      </c>
      <c r="Y299">
        <v>0</v>
      </c>
      <c r="AA299">
        <v>39</v>
      </c>
      <c r="AB299">
        <v>39</v>
      </c>
      <c r="AC299">
        <v>16</v>
      </c>
      <c r="AD299">
        <v>42</v>
      </c>
      <c r="AE299" s="19" t="s">
        <v>60</v>
      </c>
    </row>
    <row r="300" spans="1:31" x14ac:dyDescent="0.2">
      <c r="A300">
        <v>291</v>
      </c>
      <c r="B300" s="19" t="s">
        <v>659</v>
      </c>
      <c r="C300">
        <v>33</v>
      </c>
      <c r="D300" s="19" t="s">
        <v>384</v>
      </c>
      <c r="E300" s="19" t="s">
        <v>322</v>
      </c>
      <c r="F300">
        <v>43</v>
      </c>
      <c r="G300">
        <v>8</v>
      </c>
      <c r="H300">
        <v>11</v>
      </c>
      <c r="I300">
        <v>19</v>
      </c>
      <c r="J300">
        <v>-1</v>
      </c>
      <c r="K300">
        <v>2</v>
      </c>
      <c r="L300">
        <v>6</v>
      </c>
      <c r="M300">
        <v>0</v>
      </c>
      <c r="N300">
        <v>2</v>
      </c>
      <c r="O300">
        <v>2</v>
      </c>
      <c r="P300">
        <v>9</v>
      </c>
      <c r="Q300">
        <v>0</v>
      </c>
      <c r="R300">
        <v>2</v>
      </c>
      <c r="S300">
        <v>42</v>
      </c>
      <c r="T300">
        <v>19</v>
      </c>
      <c r="U300">
        <v>84</v>
      </c>
      <c r="V300" s="19" t="s">
        <v>2181</v>
      </c>
      <c r="W300" s="19" t="s">
        <v>1035</v>
      </c>
      <c r="X300">
        <v>375</v>
      </c>
      <c r="Y300">
        <v>261</v>
      </c>
      <c r="Z300">
        <v>59</v>
      </c>
      <c r="AA300">
        <v>39</v>
      </c>
      <c r="AB300">
        <v>59</v>
      </c>
      <c r="AC300">
        <v>12</v>
      </c>
      <c r="AD300">
        <v>29</v>
      </c>
      <c r="AE300" s="19" t="s">
        <v>60</v>
      </c>
    </row>
    <row r="301" spans="1:31" x14ac:dyDescent="0.2">
      <c r="A301">
        <v>292</v>
      </c>
      <c r="B301" s="19" t="s">
        <v>604</v>
      </c>
      <c r="C301">
        <v>23</v>
      </c>
      <c r="D301" s="19" t="s">
        <v>373</v>
      </c>
      <c r="E301" s="19" t="s">
        <v>335</v>
      </c>
      <c r="F301">
        <v>48</v>
      </c>
      <c r="G301">
        <v>4</v>
      </c>
      <c r="H301">
        <v>15</v>
      </c>
      <c r="I301">
        <v>19</v>
      </c>
      <c r="J301">
        <v>-7</v>
      </c>
      <c r="K301">
        <v>16</v>
      </c>
      <c r="L301">
        <v>2</v>
      </c>
      <c r="M301">
        <v>2</v>
      </c>
      <c r="N301">
        <v>0</v>
      </c>
      <c r="O301">
        <v>0</v>
      </c>
      <c r="P301">
        <v>10</v>
      </c>
      <c r="Q301">
        <v>5</v>
      </c>
      <c r="R301">
        <v>0</v>
      </c>
      <c r="S301">
        <v>106</v>
      </c>
      <c r="T301">
        <v>3.8</v>
      </c>
      <c r="U301">
        <v>209</v>
      </c>
      <c r="V301" s="19" t="s">
        <v>2751</v>
      </c>
      <c r="W301" s="19" t="s">
        <v>1984</v>
      </c>
      <c r="X301">
        <v>0</v>
      </c>
      <c r="Y301">
        <v>2</v>
      </c>
      <c r="Z301">
        <v>0</v>
      </c>
      <c r="AA301">
        <v>19</v>
      </c>
      <c r="AB301">
        <v>92</v>
      </c>
      <c r="AC301">
        <v>6</v>
      </c>
      <c r="AD301">
        <v>30</v>
      </c>
      <c r="AE301" s="19" t="s">
        <v>60</v>
      </c>
    </row>
    <row r="302" spans="1:31" x14ac:dyDescent="0.2">
      <c r="A302">
        <v>293</v>
      </c>
      <c r="B302" s="19" t="s">
        <v>764</v>
      </c>
      <c r="C302">
        <v>31</v>
      </c>
      <c r="D302" s="19" t="s">
        <v>381</v>
      </c>
      <c r="E302" s="19" t="s">
        <v>349</v>
      </c>
      <c r="F302">
        <v>50</v>
      </c>
      <c r="G302">
        <v>3</v>
      </c>
      <c r="H302">
        <v>16</v>
      </c>
      <c r="I302">
        <v>19</v>
      </c>
      <c r="J302">
        <v>2</v>
      </c>
      <c r="K302">
        <v>28</v>
      </c>
      <c r="L302">
        <v>2</v>
      </c>
      <c r="M302">
        <v>1</v>
      </c>
      <c r="N302">
        <v>0</v>
      </c>
      <c r="O302">
        <v>1</v>
      </c>
      <c r="P302">
        <v>13</v>
      </c>
      <c r="Q302">
        <v>3</v>
      </c>
      <c r="R302">
        <v>0</v>
      </c>
      <c r="S302">
        <v>65</v>
      </c>
      <c r="T302">
        <v>4.5999999999999996</v>
      </c>
      <c r="U302">
        <v>173</v>
      </c>
      <c r="V302" s="19" t="s">
        <v>2752</v>
      </c>
      <c r="W302" s="19" t="s">
        <v>2053</v>
      </c>
      <c r="X302">
        <v>0</v>
      </c>
      <c r="Y302">
        <v>0</v>
      </c>
      <c r="AA302">
        <v>59</v>
      </c>
      <c r="AB302">
        <v>33</v>
      </c>
      <c r="AC302">
        <v>17</v>
      </c>
      <c r="AD302">
        <v>63</v>
      </c>
      <c r="AE302" s="19" t="s">
        <v>60</v>
      </c>
    </row>
    <row r="303" spans="1:31" x14ac:dyDescent="0.2">
      <c r="A303">
        <v>294</v>
      </c>
      <c r="B303" s="19" t="s">
        <v>726</v>
      </c>
      <c r="C303">
        <v>27</v>
      </c>
      <c r="D303" s="19" t="s">
        <v>334</v>
      </c>
      <c r="E303" s="19" t="s">
        <v>322</v>
      </c>
      <c r="F303">
        <v>52</v>
      </c>
      <c r="G303">
        <v>7</v>
      </c>
      <c r="H303">
        <v>12</v>
      </c>
      <c r="I303">
        <v>19</v>
      </c>
      <c r="J303">
        <v>-4</v>
      </c>
      <c r="K303">
        <v>20</v>
      </c>
      <c r="L303">
        <v>6</v>
      </c>
      <c r="M303">
        <v>1</v>
      </c>
      <c r="N303">
        <v>0</v>
      </c>
      <c r="O303">
        <v>5</v>
      </c>
      <c r="P303">
        <v>10</v>
      </c>
      <c r="Q303">
        <v>2</v>
      </c>
      <c r="R303">
        <v>0</v>
      </c>
      <c r="S303">
        <v>54</v>
      </c>
      <c r="T303">
        <v>13</v>
      </c>
      <c r="U303">
        <v>104</v>
      </c>
      <c r="V303" s="19" t="s">
        <v>2431</v>
      </c>
      <c r="W303" s="19" t="s">
        <v>470</v>
      </c>
      <c r="X303">
        <v>121</v>
      </c>
      <c r="Y303">
        <v>117</v>
      </c>
      <c r="Z303">
        <v>50.8</v>
      </c>
      <c r="AA303">
        <v>22</v>
      </c>
      <c r="AB303">
        <v>53</v>
      </c>
      <c r="AC303">
        <v>14</v>
      </c>
      <c r="AD303">
        <v>32</v>
      </c>
      <c r="AE303" s="19" t="s">
        <v>60</v>
      </c>
    </row>
    <row r="304" spans="1:31" x14ac:dyDescent="0.2">
      <c r="A304">
        <v>295</v>
      </c>
      <c r="B304" s="19" t="s">
        <v>768</v>
      </c>
      <c r="C304">
        <v>37</v>
      </c>
      <c r="D304" s="19" t="s">
        <v>346</v>
      </c>
      <c r="E304" s="19" t="s">
        <v>322</v>
      </c>
      <c r="F304">
        <v>51</v>
      </c>
      <c r="G304">
        <v>7</v>
      </c>
      <c r="H304">
        <v>12</v>
      </c>
      <c r="I304">
        <v>19</v>
      </c>
      <c r="J304">
        <v>-13</v>
      </c>
      <c r="K304">
        <v>26</v>
      </c>
      <c r="L304">
        <v>4</v>
      </c>
      <c r="M304">
        <v>3</v>
      </c>
      <c r="N304">
        <v>0</v>
      </c>
      <c r="O304">
        <v>0</v>
      </c>
      <c r="P304">
        <v>10</v>
      </c>
      <c r="Q304">
        <v>2</v>
      </c>
      <c r="R304">
        <v>0</v>
      </c>
      <c r="S304">
        <v>72</v>
      </c>
      <c r="T304">
        <v>9.6999999999999993</v>
      </c>
      <c r="U304">
        <v>126</v>
      </c>
      <c r="V304" s="19" t="s">
        <v>2753</v>
      </c>
      <c r="W304" s="19" t="s">
        <v>1142</v>
      </c>
      <c r="X304">
        <v>407</v>
      </c>
      <c r="Y304">
        <v>255</v>
      </c>
      <c r="Z304">
        <v>61.5</v>
      </c>
      <c r="AA304">
        <v>23</v>
      </c>
      <c r="AB304">
        <v>14</v>
      </c>
      <c r="AC304">
        <v>16</v>
      </c>
      <c r="AD304">
        <v>36</v>
      </c>
      <c r="AE304" s="19" t="s">
        <v>60</v>
      </c>
    </row>
    <row r="305" spans="1:31" x14ac:dyDescent="0.2">
      <c r="A305">
        <v>296</v>
      </c>
      <c r="B305" s="19" t="s">
        <v>846</v>
      </c>
      <c r="C305">
        <v>22</v>
      </c>
      <c r="D305" s="19" t="s">
        <v>357</v>
      </c>
      <c r="E305" s="19" t="s">
        <v>335</v>
      </c>
      <c r="F305">
        <v>46</v>
      </c>
      <c r="G305">
        <v>7</v>
      </c>
      <c r="H305">
        <v>12</v>
      </c>
      <c r="I305">
        <v>19</v>
      </c>
      <c r="J305">
        <v>-1</v>
      </c>
      <c r="K305">
        <v>16</v>
      </c>
      <c r="L305">
        <v>7</v>
      </c>
      <c r="M305">
        <v>0</v>
      </c>
      <c r="N305">
        <v>0</v>
      </c>
      <c r="O305">
        <v>2</v>
      </c>
      <c r="P305">
        <v>10</v>
      </c>
      <c r="Q305">
        <v>2</v>
      </c>
      <c r="R305">
        <v>0</v>
      </c>
      <c r="S305">
        <v>52</v>
      </c>
      <c r="T305">
        <v>13.5</v>
      </c>
      <c r="U305">
        <v>105</v>
      </c>
      <c r="V305" s="19" t="s">
        <v>2754</v>
      </c>
      <c r="W305" s="19" t="s">
        <v>1976</v>
      </c>
      <c r="X305">
        <v>190</v>
      </c>
      <c r="Y305">
        <v>291</v>
      </c>
      <c r="Z305">
        <v>39.5</v>
      </c>
      <c r="AA305">
        <v>31</v>
      </c>
      <c r="AB305">
        <v>28</v>
      </c>
      <c r="AC305">
        <v>12</v>
      </c>
      <c r="AD305">
        <v>28</v>
      </c>
      <c r="AE305" s="19" t="s">
        <v>60</v>
      </c>
    </row>
    <row r="306" spans="1:31" x14ac:dyDescent="0.2">
      <c r="A306">
        <v>297</v>
      </c>
      <c r="B306" s="19" t="s">
        <v>737</v>
      </c>
      <c r="C306">
        <v>24</v>
      </c>
      <c r="D306" s="19" t="s">
        <v>334</v>
      </c>
      <c r="E306" s="19" t="s">
        <v>322</v>
      </c>
      <c r="F306">
        <v>52</v>
      </c>
      <c r="G306">
        <v>8</v>
      </c>
      <c r="H306">
        <v>10</v>
      </c>
      <c r="I306">
        <v>18</v>
      </c>
      <c r="J306">
        <v>-4</v>
      </c>
      <c r="K306">
        <v>4</v>
      </c>
      <c r="L306">
        <v>7</v>
      </c>
      <c r="M306">
        <v>1</v>
      </c>
      <c r="N306">
        <v>0</v>
      </c>
      <c r="O306">
        <v>0</v>
      </c>
      <c r="P306">
        <v>8</v>
      </c>
      <c r="Q306">
        <v>2</v>
      </c>
      <c r="R306">
        <v>0</v>
      </c>
      <c r="S306">
        <v>86</v>
      </c>
      <c r="T306">
        <v>9.3000000000000007</v>
      </c>
      <c r="U306">
        <v>135</v>
      </c>
      <c r="V306" s="19" t="s">
        <v>2432</v>
      </c>
      <c r="W306" s="19" t="s">
        <v>1502</v>
      </c>
      <c r="X306">
        <v>74</v>
      </c>
      <c r="Y306">
        <v>96</v>
      </c>
      <c r="Z306">
        <v>43.5</v>
      </c>
      <c r="AA306">
        <v>12</v>
      </c>
      <c r="AB306">
        <v>33</v>
      </c>
      <c r="AC306">
        <v>9</v>
      </c>
      <c r="AD306">
        <v>31</v>
      </c>
      <c r="AE306" s="19" t="s">
        <v>60</v>
      </c>
    </row>
    <row r="307" spans="1:31" x14ac:dyDescent="0.2">
      <c r="A307">
        <v>298</v>
      </c>
      <c r="B307" s="19" t="s">
        <v>738</v>
      </c>
      <c r="C307">
        <v>22</v>
      </c>
      <c r="D307" s="19" t="s">
        <v>344</v>
      </c>
      <c r="E307" s="19" t="s">
        <v>325</v>
      </c>
      <c r="F307">
        <v>34</v>
      </c>
      <c r="G307">
        <v>7</v>
      </c>
      <c r="H307">
        <v>11</v>
      </c>
      <c r="I307">
        <v>18</v>
      </c>
      <c r="J307">
        <v>-11</v>
      </c>
      <c r="K307">
        <v>4</v>
      </c>
      <c r="L307">
        <v>5</v>
      </c>
      <c r="M307">
        <v>2</v>
      </c>
      <c r="N307">
        <v>0</v>
      </c>
      <c r="O307">
        <v>2</v>
      </c>
      <c r="P307">
        <v>11</v>
      </c>
      <c r="Q307">
        <v>0</v>
      </c>
      <c r="R307">
        <v>0</v>
      </c>
      <c r="S307">
        <v>47</v>
      </c>
      <c r="T307">
        <v>14.9</v>
      </c>
      <c r="U307">
        <v>97</v>
      </c>
      <c r="V307" s="19" t="s">
        <v>2433</v>
      </c>
      <c r="W307" s="19" t="s">
        <v>1751</v>
      </c>
      <c r="X307">
        <v>3</v>
      </c>
      <c r="Y307">
        <v>6</v>
      </c>
      <c r="Z307">
        <v>33.299999999999997</v>
      </c>
      <c r="AA307">
        <v>16</v>
      </c>
      <c r="AB307">
        <v>7</v>
      </c>
      <c r="AC307">
        <v>9</v>
      </c>
      <c r="AD307">
        <v>14</v>
      </c>
      <c r="AE307" s="19" t="s">
        <v>60</v>
      </c>
    </row>
    <row r="308" spans="1:31" x14ac:dyDescent="0.2">
      <c r="A308">
        <v>299</v>
      </c>
      <c r="B308" s="19" t="s">
        <v>695</v>
      </c>
      <c r="C308">
        <v>29</v>
      </c>
      <c r="D308" s="19" t="s">
        <v>405</v>
      </c>
      <c r="E308" s="19" t="s">
        <v>325</v>
      </c>
      <c r="F308">
        <v>49</v>
      </c>
      <c r="G308">
        <v>10</v>
      </c>
      <c r="H308">
        <v>8</v>
      </c>
      <c r="I308">
        <v>18</v>
      </c>
      <c r="J308">
        <v>3</v>
      </c>
      <c r="K308">
        <v>18</v>
      </c>
      <c r="L308">
        <v>9</v>
      </c>
      <c r="M308">
        <v>1</v>
      </c>
      <c r="N308">
        <v>0</v>
      </c>
      <c r="O308">
        <v>0</v>
      </c>
      <c r="P308">
        <v>8</v>
      </c>
      <c r="Q308">
        <v>0</v>
      </c>
      <c r="R308">
        <v>0</v>
      </c>
      <c r="S308">
        <v>97</v>
      </c>
      <c r="T308">
        <v>10.3</v>
      </c>
      <c r="U308">
        <v>212</v>
      </c>
      <c r="V308" s="19" t="s">
        <v>2755</v>
      </c>
      <c r="W308" s="19" t="s">
        <v>785</v>
      </c>
      <c r="X308">
        <v>8</v>
      </c>
      <c r="Y308">
        <v>8</v>
      </c>
      <c r="Z308">
        <v>50</v>
      </c>
      <c r="AA308">
        <v>13</v>
      </c>
      <c r="AB308">
        <v>78</v>
      </c>
      <c r="AC308">
        <v>10</v>
      </c>
      <c r="AD308">
        <v>27</v>
      </c>
      <c r="AE308" s="19" t="s">
        <v>60</v>
      </c>
    </row>
    <row r="309" spans="1:31" x14ac:dyDescent="0.2">
      <c r="A309">
        <v>300</v>
      </c>
      <c r="B309" s="19" t="s">
        <v>639</v>
      </c>
      <c r="C309">
        <v>34</v>
      </c>
      <c r="D309" s="19" t="s">
        <v>513</v>
      </c>
      <c r="E309" s="19" t="s">
        <v>349</v>
      </c>
      <c r="F309">
        <v>52</v>
      </c>
      <c r="G309">
        <v>1</v>
      </c>
      <c r="H309">
        <v>17</v>
      </c>
      <c r="I309">
        <v>18</v>
      </c>
      <c r="J309">
        <v>-20</v>
      </c>
      <c r="K309">
        <v>12</v>
      </c>
      <c r="L309">
        <v>1</v>
      </c>
      <c r="M309">
        <v>0</v>
      </c>
      <c r="N309">
        <v>0</v>
      </c>
      <c r="O309">
        <v>0</v>
      </c>
      <c r="P309">
        <v>8</v>
      </c>
      <c r="Q309">
        <v>8</v>
      </c>
      <c r="R309">
        <v>1</v>
      </c>
      <c r="S309">
        <v>65</v>
      </c>
      <c r="T309">
        <v>1.5</v>
      </c>
      <c r="U309">
        <v>165</v>
      </c>
      <c r="V309" s="19" t="s">
        <v>2756</v>
      </c>
      <c r="W309" s="19" t="s">
        <v>2176</v>
      </c>
      <c r="X309">
        <v>0</v>
      </c>
      <c r="Y309">
        <v>0</v>
      </c>
      <c r="AA309">
        <v>48</v>
      </c>
      <c r="AB309">
        <v>6</v>
      </c>
      <c r="AC309">
        <v>11</v>
      </c>
      <c r="AD309">
        <v>46</v>
      </c>
      <c r="AE309" s="19" t="s">
        <v>60</v>
      </c>
    </row>
    <row r="310" spans="1:31" x14ac:dyDescent="0.2">
      <c r="A310">
        <v>301</v>
      </c>
      <c r="B310" s="19" t="s">
        <v>973</v>
      </c>
      <c r="C310">
        <v>26</v>
      </c>
      <c r="D310" s="19" t="s">
        <v>399</v>
      </c>
      <c r="E310" s="19" t="s">
        <v>322</v>
      </c>
      <c r="F310">
        <v>40</v>
      </c>
      <c r="G310">
        <v>13</v>
      </c>
      <c r="H310">
        <v>5</v>
      </c>
      <c r="I310">
        <v>18</v>
      </c>
      <c r="J310">
        <v>3</v>
      </c>
      <c r="K310">
        <v>23</v>
      </c>
      <c r="L310">
        <v>12</v>
      </c>
      <c r="M310">
        <v>1</v>
      </c>
      <c r="N310">
        <v>0</v>
      </c>
      <c r="O310">
        <v>3</v>
      </c>
      <c r="P310">
        <v>4</v>
      </c>
      <c r="Q310">
        <v>1</v>
      </c>
      <c r="R310">
        <v>0</v>
      </c>
      <c r="S310">
        <v>72</v>
      </c>
      <c r="T310">
        <v>18.100000000000001</v>
      </c>
      <c r="U310">
        <v>113</v>
      </c>
      <c r="V310" s="19" t="s">
        <v>2434</v>
      </c>
      <c r="W310" s="19" t="s">
        <v>1738</v>
      </c>
      <c r="X310">
        <v>256</v>
      </c>
      <c r="Y310">
        <v>233</v>
      </c>
      <c r="Z310">
        <v>52.4</v>
      </c>
      <c r="AA310">
        <v>21</v>
      </c>
      <c r="AB310">
        <v>29</v>
      </c>
      <c r="AC310">
        <v>2</v>
      </c>
      <c r="AD310">
        <v>22</v>
      </c>
      <c r="AE310" s="19" t="s">
        <v>60</v>
      </c>
    </row>
    <row r="311" spans="1:31" x14ac:dyDescent="0.2">
      <c r="A311">
        <v>302</v>
      </c>
      <c r="B311" s="19" t="s">
        <v>709</v>
      </c>
      <c r="C311">
        <v>34</v>
      </c>
      <c r="D311" s="19" t="s">
        <v>352</v>
      </c>
      <c r="E311" s="19" t="s">
        <v>322</v>
      </c>
      <c r="F311">
        <v>50</v>
      </c>
      <c r="G311">
        <v>6</v>
      </c>
      <c r="H311">
        <v>12</v>
      </c>
      <c r="I311">
        <v>18</v>
      </c>
      <c r="J311">
        <v>3</v>
      </c>
      <c r="K311">
        <v>41</v>
      </c>
      <c r="L311">
        <v>6</v>
      </c>
      <c r="M311">
        <v>0</v>
      </c>
      <c r="N311">
        <v>0</v>
      </c>
      <c r="O311">
        <v>1</v>
      </c>
      <c r="P311">
        <v>12</v>
      </c>
      <c r="Q311">
        <v>0</v>
      </c>
      <c r="R311">
        <v>0</v>
      </c>
      <c r="S311">
        <v>71</v>
      </c>
      <c r="T311">
        <v>8.5</v>
      </c>
      <c r="U311">
        <v>141</v>
      </c>
      <c r="V311" s="19" t="s">
        <v>2757</v>
      </c>
      <c r="W311" s="19" t="s">
        <v>1966</v>
      </c>
      <c r="X311">
        <v>230</v>
      </c>
      <c r="Y311">
        <v>285</v>
      </c>
      <c r="Z311">
        <v>44.7</v>
      </c>
      <c r="AA311">
        <v>24</v>
      </c>
      <c r="AB311">
        <v>62</v>
      </c>
      <c r="AC311">
        <v>14</v>
      </c>
      <c r="AD311">
        <v>46</v>
      </c>
      <c r="AE311" s="19" t="s">
        <v>60</v>
      </c>
    </row>
    <row r="312" spans="1:31" x14ac:dyDescent="0.2">
      <c r="A312">
        <v>303</v>
      </c>
      <c r="B312" s="19" t="s">
        <v>710</v>
      </c>
      <c r="C312">
        <v>24</v>
      </c>
      <c r="D312" s="19" t="s">
        <v>334</v>
      </c>
      <c r="E312" s="19" t="s">
        <v>349</v>
      </c>
      <c r="F312">
        <v>40</v>
      </c>
      <c r="G312">
        <v>2</v>
      </c>
      <c r="H312">
        <v>16</v>
      </c>
      <c r="I312">
        <v>18</v>
      </c>
      <c r="J312">
        <v>-2</v>
      </c>
      <c r="K312">
        <v>10</v>
      </c>
      <c r="L312">
        <v>2</v>
      </c>
      <c r="M312">
        <v>0</v>
      </c>
      <c r="N312">
        <v>0</v>
      </c>
      <c r="O312">
        <v>1</v>
      </c>
      <c r="P312">
        <v>12</v>
      </c>
      <c r="Q312">
        <v>4</v>
      </c>
      <c r="R312">
        <v>0</v>
      </c>
      <c r="S312">
        <v>61</v>
      </c>
      <c r="T312">
        <v>3.3</v>
      </c>
      <c r="U312">
        <v>159</v>
      </c>
      <c r="V312" s="19" t="s">
        <v>2435</v>
      </c>
      <c r="W312" s="19" t="s">
        <v>2436</v>
      </c>
      <c r="X312">
        <v>0</v>
      </c>
      <c r="Y312">
        <v>0</v>
      </c>
      <c r="AA312">
        <v>91</v>
      </c>
      <c r="AB312">
        <v>25</v>
      </c>
      <c r="AC312">
        <v>23</v>
      </c>
      <c r="AD312">
        <v>52</v>
      </c>
      <c r="AE312" s="19" t="s">
        <v>60</v>
      </c>
    </row>
    <row r="313" spans="1:31" x14ac:dyDescent="0.2">
      <c r="A313">
        <v>304</v>
      </c>
      <c r="B313" s="19" t="s">
        <v>646</v>
      </c>
      <c r="C313">
        <v>26</v>
      </c>
      <c r="D313" s="19" t="s">
        <v>321</v>
      </c>
      <c r="E313" s="19" t="s">
        <v>325</v>
      </c>
      <c r="F313">
        <v>49</v>
      </c>
      <c r="G313">
        <v>10</v>
      </c>
      <c r="H313">
        <v>8</v>
      </c>
      <c r="I313">
        <v>18</v>
      </c>
      <c r="J313">
        <v>10</v>
      </c>
      <c r="K313">
        <v>14</v>
      </c>
      <c r="L313">
        <v>9</v>
      </c>
      <c r="M313">
        <v>0</v>
      </c>
      <c r="N313">
        <v>1</v>
      </c>
      <c r="O313">
        <v>2</v>
      </c>
      <c r="P313">
        <v>8</v>
      </c>
      <c r="Q313">
        <v>0</v>
      </c>
      <c r="R313">
        <v>0</v>
      </c>
      <c r="S313">
        <v>64</v>
      </c>
      <c r="T313">
        <v>15.6</v>
      </c>
      <c r="U313">
        <v>116</v>
      </c>
      <c r="V313" s="19" t="s">
        <v>2437</v>
      </c>
      <c r="W313" s="19" t="s">
        <v>1116</v>
      </c>
      <c r="X313">
        <v>39</v>
      </c>
      <c r="Y313">
        <v>72</v>
      </c>
      <c r="Z313">
        <v>35.1</v>
      </c>
      <c r="AA313">
        <v>34</v>
      </c>
      <c r="AB313">
        <v>100</v>
      </c>
      <c r="AC313">
        <v>9</v>
      </c>
      <c r="AD313">
        <v>25</v>
      </c>
      <c r="AE313" s="19" t="s">
        <v>60</v>
      </c>
    </row>
    <row r="314" spans="1:31" x14ac:dyDescent="0.2">
      <c r="A314">
        <v>305</v>
      </c>
      <c r="B314" s="19" t="s">
        <v>570</v>
      </c>
      <c r="C314">
        <v>33</v>
      </c>
      <c r="D314" s="19" t="s">
        <v>346</v>
      </c>
      <c r="E314" s="19" t="s">
        <v>335</v>
      </c>
      <c r="F314">
        <v>50</v>
      </c>
      <c r="G314">
        <v>7</v>
      </c>
      <c r="H314">
        <v>11</v>
      </c>
      <c r="I314">
        <v>18</v>
      </c>
      <c r="J314">
        <v>-3</v>
      </c>
      <c r="K314">
        <v>14</v>
      </c>
      <c r="L314">
        <v>6</v>
      </c>
      <c r="M314">
        <v>1</v>
      </c>
      <c r="N314">
        <v>0</v>
      </c>
      <c r="O314">
        <v>1</v>
      </c>
      <c r="P314">
        <v>7</v>
      </c>
      <c r="Q314">
        <v>4</v>
      </c>
      <c r="R314">
        <v>0</v>
      </c>
      <c r="S314">
        <v>69</v>
      </c>
      <c r="T314">
        <v>10.1</v>
      </c>
      <c r="U314">
        <v>124</v>
      </c>
      <c r="V314" s="19" t="s">
        <v>2758</v>
      </c>
      <c r="W314" s="19" t="s">
        <v>865</v>
      </c>
      <c r="X314">
        <v>3</v>
      </c>
      <c r="Y314">
        <v>3</v>
      </c>
      <c r="Z314">
        <v>50</v>
      </c>
      <c r="AA314">
        <v>18</v>
      </c>
      <c r="AB314">
        <v>60</v>
      </c>
      <c r="AC314">
        <v>6</v>
      </c>
      <c r="AD314">
        <v>34</v>
      </c>
      <c r="AE314" s="19" t="s">
        <v>60</v>
      </c>
    </row>
    <row r="315" spans="1:31" x14ac:dyDescent="0.2">
      <c r="A315">
        <v>306</v>
      </c>
      <c r="B315" s="19" t="s">
        <v>885</v>
      </c>
      <c r="C315">
        <v>21</v>
      </c>
      <c r="D315" s="19" t="s">
        <v>428</v>
      </c>
      <c r="E315" s="19" t="s">
        <v>322</v>
      </c>
      <c r="F315">
        <v>39</v>
      </c>
      <c r="G315">
        <v>9</v>
      </c>
      <c r="H315">
        <v>9</v>
      </c>
      <c r="I315">
        <v>18</v>
      </c>
      <c r="J315">
        <v>9</v>
      </c>
      <c r="K315">
        <v>6</v>
      </c>
      <c r="L315">
        <v>8</v>
      </c>
      <c r="M315">
        <v>1</v>
      </c>
      <c r="N315">
        <v>0</v>
      </c>
      <c r="O315">
        <v>0</v>
      </c>
      <c r="P315">
        <v>7</v>
      </c>
      <c r="Q315">
        <v>2</v>
      </c>
      <c r="R315">
        <v>0</v>
      </c>
      <c r="S315">
        <v>40</v>
      </c>
      <c r="T315">
        <v>22.5</v>
      </c>
      <c r="U315">
        <v>82</v>
      </c>
      <c r="V315" s="19" t="s">
        <v>2759</v>
      </c>
      <c r="W315" s="19" t="s">
        <v>1087</v>
      </c>
      <c r="X315">
        <v>54</v>
      </c>
      <c r="Y315">
        <v>145</v>
      </c>
      <c r="Z315">
        <v>27.1</v>
      </c>
      <c r="AA315">
        <v>21</v>
      </c>
      <c r="AB315">
        <v>2</v>
      </c>
      <c r="AC315">
        <v>12</v>
      </c>
      <c r="AD315">
        <v>20</v>
      </c>
      <c r="AE315" s="19" t="s">
        <v>60</v>
      </c>
    </row>
    <row r="316" spans="1:31" x14ac:dyDescent="0.2">
      <c r="A316">
        <v>307</v>
      </c>
      <c r="B316" s="19" t="s">
        <v>504</v>
      </c>
      <c r="C316">
        <v>34</v>
      </c>
      <c r="D316" s="19" t="s">
        <v>384</v>
      </c>
      <c r="E316" s="19" t="s">
        <v>335</v>
      </c>
      <c r="F316">
        <v>25</v>
      </c>
      <c r="G316">
        <v>6</v>
      </c>
      <c r="H316">
        <v>12</v>
      </c>
      <c r="I316">
        <v>18</v>
      </c>
      <c r="J316">
        <v>-2</v>
      </c>
      <c r="K316">
        <v>8</v>
      </c>
      <c r="L316">
        <v>4</v>
      </c>
      <c r="M316">
        <v>1</v>
      </c>
      <c r="N316">
        <v>1</v>
      </c>
      <c r="O316">
        <v>1</v>
      </c>
      <c r="P316">
        <v>8</v>
      </c>
      <c r="Q316">
        <v>4</v>
      </c>
      <c r="R316">
        <v>0</v>
      </c>
      <c r="S316">
        <v>71</v>
      </c>
      <c r="T316">
        <v>8.5</v>
      </c>
      <c r="U316">
        <v>126</v>
      </c>
      <c r="V316" s="19" t="s">
        <v>505</v>
      </c>
      <c r="W316" s="19" t="s">
        <v>506</v>
      </c>
      <c r="X316">
        <v>2</v>
      </c>
      <c r="Y316">
        <v>2</v>
      </c>
      <c r="Z316">
        <v>50</v>
      </c>
      <c r="AA316">
        <v>9</v>
      </c>
      <c r="AB316">
        <v>19</v>
      </c>
      <c r="AC316">
        <v>8</v>
      </c>
      <c r="AD316">
        <v>18</v>
      </c>
      <c r="AE316" s="19" t="s">
        <v>60</v>
      </c>
    </row>
    <row r="317" spans="1:31" x14ac:dyDescent="0.2">
      <c r="A317">
        <v>308</v>
      </c>
      <c r="B317" s="19" t="s">
        <v>686</v>
      </c>
      <c r="C317">
        <v>29</v>
      </c>
      <c r="D317" s="19" t="s">
        <v>381</v>
      </c>
      <c r="E317" s="19" t="s">
        <v>349</v>
      </c>
      <c r="F317">
        <v>51</v>
      </c>
      <c r="G317">
        <v>5</v>
      </c>
      <c r="H317">
        <v>13</v>
      </c>
      <c r="I317">
        <v>18</v>
      </c>
      <c r="J317">
        <v>12</v>
      </c>
      <c r="K317">
        <v>26</v>
      </c>
      <c r="L317">
        <v>5</v>
      </c>
      <c r="M317">
        <v>0</v>
      </c>
      <c r="N317">
        <v>0</v>
      </c>
      <c r="O317">
        <v>0</v>
      </c>
      <c r="P317">
        <v>11</v>
      </c>
      <c r="Q317">
        <v>2</v>
      </c>
      <c r="R317">
        <v>0</v>
      </c>
      <c r="S317">
        <v>104</v>
      </c>
      <c r="T317">
        <v>4.8</v>
      </c>
      <c r="U317">
        <v>225</v>
      </c>
      <c r="V317" s="19" t="s">
        <v>2760</v>
      </c>
      <c r="W317" s="19" t="s">
        <v>2761</v>
      </c>
      <c r="X317">
        <v>0</v>
      </c>
      <c r="Y317">
        <v>0</v>
      </c>
      <c r="AA317">
        <v>87</v>
      </c>
      <c r="AB317">
        <v>22</v>
      </c>
      <c r="AC317">
        <v>16</v>
      </c>
      <c r="AD317">
        <v>88</v>
      </c>
      <c r="AE317" s="19" t="s">
        <v>60</v>
      </c>
    </row>
    <row r="318" spans="1:31" x14ac:dyDescent="0.2">
      <c r="A318">
        <v>309</v>
      </c>
      <c r="B318" s="19" t="s">
        <v>722</v>
      </c>
      <c r="C318">
        <v>28</v>
      </c>
      <c r="D318" s="19" t="s">
        <v>359</v>
      </c>
      <c r="E318" s="19" t="s">
        <v>322</v>
      </c>
      <c r="F318">
        <v>48</v>
      </c>
      <c r="G318">
        <v>4</v>
      </c>
      <c r="H318">
        <v>14</v>
      </c>
      <c r="I318">
        <v>18</v>
      </c>
      <c r="J318">
        <v>5</v>
      </c>
      <c r="K318">
        <v>6</v>
      </c>
      <c r="L318">
        <v>3</v>
      </c>
      <c r="M318">
        <v>1</v>
      </c>
      <c r="N318">
        <v>0</v>
      </c>
      <c r="O318">
        <v>0</v>
      </c>
      <c r="P318">
        <v>13</v>
      </c>
      <c r="Q318">
        <v>0</v>
      </c>
      <c r="R318">
        <v>1</v>
      </c>
      <c r="S318">
        <v>48</v>
      </c>
      <c r="T318">
        <v>8.3000000000000007</v>
      </c>
      <c r="U318">
        <v>98</v>
      </c>
      <c r="V318" s="19" t="s">
        <v>2438</v>
      </c>
      <c r="W318" s="19" t="s">
        <v>1195</v>
      </c>
      <c r="X318">
        <v>284</v>
      </c>
      <c r="Y318">
        <v>241</v>
      </c>
      <c r="Z318">
        <v>54.1</v>
      </c>
      <c r="AA318">
        <v>22</v>
      </c>
      <c r="AB318">
        <v>51</v>
      </c>
      <c r="AC318">
        <v>16</v>
      </c>
      <c r="AD318">
        <v>40</v>
      </c>
      <c r="AE318" s="19" t="s">
        <v>60</v>
      </c>
    </row>
    <row r="319" spans="1:31" x14ac:dyDescent="0.2">
      <c r="A319">
        <v>310</v>
      </c>
      <c r="B319" s="19" t="s">
        <v>800</v>
      </c>
      <c r="C319">
        <v>20</v>
      </c>
      <c r="D319" s="19" t="s">
        <v>371</v>
      </c>
      <c r="E319" s="19" t="s">
        <v>349</v>
      </c>
      <c r="F319">
        <v>53</v>
      </c>
      <c r="G319">
        <v>6</v>
      </c>
      <c r="H319">
        <v>12</v>
      </c>
      <c r="I319">
        <v>18</v>
      </c>
      <c r="J319">
        <v>-15</v>
      </c>
      <c r="K319">
        <v>16</v>
      </c>
      <c r="L319">
        <v>5</v>
      </c>
      <c r="M319">
        <v>1</v>
      </c>
      <c r="N319">
        <v>0</v>
      </c>
      <c r="O319">
        <v>1</v>
      </c>
      <c r="P319">
        <v>6</v>
      </c>
      <c r="Q319">
        <v>6</v>
      </c>
      <c r="R319">
        <v>0</v>
      </c>
      <c r="S319">
        <v>58</v>
      </c>
      <c r="T319">
        <v>10.3</v>
      </c>
      <c r="U319">
        <v>161</v>
      </c>
      <c r="V319" s="19" t="s">
        <v>2762</v>
      </c>
      <c r="W319" s="19" t="s">
        <v>1956</v>
      </c>
      <c r="X319">
        <v>0</v>
      </c>
      <c r="Y319">
        <v>0</v>
      </c>
      <c r="AA319">
        <v>48</v>
      </c>
      <c r="AB319">
        <v>12</v>
      </c>
      <c r="AC319">
        <v>7</v>
      </c>
      <c r="AD319">
        <v>51</v>
      </c>
      <c r="AE319" s="19" t="s">
        <v>60</v>
      </c>
    </row>
    <row r="320" spans="1:31" x14ac:dyDescent="0.2">
      <c r="A320">
        <v>311</v>
      </c>
      <c r="B320" s="19" t="s">
        <v>689</v>
      </c>
      <c r="C320">
        <v>34</v>
      </c>
      <c r="D320" s="19" t="s">
        <v>405</v>
      </c>
      <c r="E320" s="19" t="s">
        <v>349</v>
      </c>
      <c r="F320">
        <v>51</v>
      </c>
      <c r="G320">
        <v>4</v>
      </c>
      <c r="H320">
        <v>14</v>
      </c>
      <c r="I320">
        <v>18</v>
      </c>
      <c r="J320">
        <v>26</v>
      </c>
      <c r="K320">
        <v>8</v>
      </c>
      <c r="L320">
        <v>4</v>
      </c>
      <c r="M320">
        <v>0</v>
      </c>
      <c r="N320">
        <v>0</v>
      </c>
      <c r="O320">
        <v>1</v>
      </c>
      <c r="P320">
        <v>14</v>
      </c>
      <c r="Q320">
        <v>0</v>
      </c>
      <c r="R320">
        <v>0</v>
      </c>
      <c r="S320">
        <v>56</v>
      </c>
      <c r="T320">
        <v>7.1</v>
      </c>
      <c r="U320">
        <v>153</v>
      </c>
      <c r="V320" s="19" t="s">
        <v>2763</v>
      </c>
      <c r="W320" s="19" t="s">
        <v>326</v>
      </c>
      <c r="X320">
        <v>0</v>
      </c>
      <c r="Y320">
        <v>0</v>
      </c>
      <c r="AA320">
        <v>53</v>
      </c>
      <c r="AB320">
        <v>49</v>
      </c>
      <c r="AC320">
        <v>11</v>
      </c>
      <c r="AD320">
        <v>52</v>
      </c>
      <c r="AE320" s="19" t="s">
        <v>60</v>
      </c>
    </row>
    <row r="321" spans="1:31" x14ac:dyDescent="0.2">
      <c r="A321">
        <v>312</v>
      </c>
      <c r="B321" s="19" t="s">
        <v>572</v>
      </c>
      <c r="C321">
        <v>33</v>
      </c>
      <c r="D321" s="19" t="s">
        <v>530</v>
      </c>
      <c r="E321" s="19" t="s">
        <v>322</v>
      </c>
      <c r="F321">
        <v>31</v>
      </c>
      <c r="G321">
        <v>9</v>
      </c>
      <c r="H321">
        <v>9</v>
      </c>
      <c r="I321">
        <v>18</v>
      </c>
      <c r="J321">
        <v>5</v>
      </c>
      <c r="K321">
        <v>8</v>
      </c>
      <c r="L321">
        <v>6</v>
      </c>
      <c r="M321">
        <v>2</v>
      </c>
      <c r="N321">
        <v>1</v>
      </c>
      <c r="O321">
        <v>2</v>
      </c>
      <c r="P321">
        <v>8</v>
      </c>
      <c r="Q321">
        <v>1</v>
      </c>
      <c r="R321">
        <v>0</v>
      </c>
      <c r="S321">
        <v>57</v>
      </c>
      <c r="T321">
        <v>15.8</v>
      </c>
      <c r="U321">
        <v>113</v>
      </c>
      <c r="V321" s="19" t="s">
        <v>2439</v>
      </c>
      <c r="W321" s="19" t="s">
        <v>1525</v>
      </c>
      <c r="X321">
        <v>17</v>
      </c>
      <c r="Y321">
        <v>13</v>
      </c>
      <c r="Z321">
        <v>56.7</v>
      </c>
      <c r="AA321">
        <v>29</v>
      </c>
      <c r="AB321">
        <v>26</v>
      </c>
      <c r="AC321">
        <v>16</v>
      </c>
      <c r="AD321">
        <v>31</v>
      </c>
      <c r="AE321" s="19" t="s">
        <v>60</v>
      </c>
    </row>
    <row r="322" spans="1:31" x14ac:dyDescent="0.2">
      <c r="A322">
        <v>313</v>
      </c>
      <c r="B322" s="19" t="s">
        <v>724</v>
      </c>
      <c r="C322">
        <v>28</v>
      </c>
      <c r="D322" s="19" t="s">
        <v>376</v>
      </c>
      <c r="E322" s="19" t="s">
        <v>349</v>
      </c>
      <c r="F322">
        <v>50</v>
      </c>
      <c r="G322">
        <v>2</v>
      </c>
      <c r="H322">
        <v>16</v>
      </c>
      <c r="I322">
        <v>18</v>
      </c>
      <c r="J322">
        <v>18</v>
      </c>
      <c r="K322">
        <v>18</v>
      </c>
      <c r="L322">
        <v>2</v>
      </c>
      <c r="M322">
        <v>0</v>
      </c>
      <c r="N322">
        <v>0</v>
      </c>
      <c r="O322">
        <v>0</v>
      </c>
      <c r="P322">
        <v>16</v>
      </c>
      <c r="Q322">
        <v>0</v>
      </c>
      <c r="R322">
        <v>0</v>
      </c>
      <c r="S322">
        <v>45</v>
      </c>
      <c r="T322">
        <v>4.4000000000000004</v>
      </c>
      <c r="U322">
        <v>125</v>
      </c>
      <c r="V322" s="19" t="s">
        <v>2280</v>
      </c>
      <c r="W322" s="19" t="s">
        <v>508</v>
      </c>
      <c r="X322">
        <v>0</v>
      </c>
      <c r="Y322">
        <v>0</v>
      </c>
      <c r="AA322">
        <v>61</v>
      </c>
      <c r="AB322">
        <v>29</v>
      </c>
      <c r="AC322">
        <v>14</v>
      </c>
      <c r="AD322">
        <v>33</v>
      </c>
      <c r="AE322" s="19" t="s">
        <v>60</v>
      </c>
    </row>
    <row r="323" spans="1:31" x14ac:dyDescent="0.2">
      <c r="A323">
        <v>314</v>
      </c>
      <c r="B323" s="19" t="s">
        <v>668</v>
      </c>
      <c r="C323">
        <v>22</v>
      </c>
      <c r="D323" s="19" t="s">
        <v>530</v>
      </c>
      <c r="E323" s="19" t="s">
        <v>322</v>
      </c>
      <c r="F323">
        <v>50</v>
      </c>
      <c r="G323">
        <v>7</v>
      </c>
      <c r="H323">
        <v>11</v>
      </c>
      <c r="I323">
        <v>18</v>
      </c>
      <c r="J323">
        <v>0</v>
      </c>
      <c r="K323">
        <v>4</v>
      </c>
      <c r="L323">
        <v>6</v>
      </c>
      <c r="M323">
        <v>1</v>
      </c>
      <c r="N323">
        <v>0</v>
      </c>
      <c r="O323">
        <v>2</v>
      </c>
      <c r="P323">
        <v>8</v>
      </c>
      <c r="Q323">
        <v>3</v>
      </c>
      <c r="R323">
        <v>0</v>
      </c>
      <c r="S323">
        <v>77</v>
      </c>
      <c r="T323">
        <v>9.1</v>
      </c>
      <c r="U323">
        <v>132</v>
      </c>
      <c r="V323" s="19" t="s">
        <v>2440</v>
      </c>
      <c r="W323" s="19" t="s">
        <v>645</v>
      </c>
      <c r="X323">
        <v>135</v>
      </c>
      <c r="Y323">
        <v>223</v>
      </c>
      <c r="Z323">
        <v>37.700000000000003</v>
      </c>
      <c r="AA323">
        <v>36</v>
      </c>
      <c r="AB323">
        <v>41</v>
      </c>
      <c r="AC323">
        <v>9</v>
      </c>
      <c r="AD323">
        <v>51</v>
      </c>
      <c r="AE323" s="19" t="s">
        <v>60</v>
      </c>
    </row>
    <row r="324" spans="1:31" x14ac:dyDescent="0.2">
      <c r="A324">
        <v>315</v>
      </c>
      <c r="B324" s="19" t="s">
        <v>670</v>
      </c>
      <c r="C324">
        <v>22</v>
      </c>
      <c r="D324" s="19" t="s">
        <v>337</v>
      </c>
      <c r="E324" s="19" t="s">
        <v>349</v>
      </c>
      <c r="F324">
        <v>50</v>
      </c>
      <c r="G324">
        <v>6</v>
      </c>
      <c r="H324">
        <v>12</v>
      </c>
      <c r="I324">
        <v>18</v>
      </c>
      <c r="J324">
        <v>6</v>
      </c>
      <c r="K324">
        <v>22</v>
      </c>
      <c r="L324">
        <v>5</v>
      </c>
      <c r="M324">
        <v>1</v>
      </c>
      <c r="N324">
        <v>0</v>
      </c>
      <c r="O324">
        <v>1</v>
      </c>
      <c r="P324">
        <v>10</v>
      </c>
      <c r="Q324">
        <v>2</v>
      </c>
      <c r="R324">
        <v>0</v>
      </c>
      <c r="S324">
        <v>84</v>
      </c>
      <c r="T324">
        <v>7.1</v>
      </c>
      <c r="U324">
        <v>218</v>
      </c>
      <c r="V324" s="19" t="s">
        <v>2441</v>
      </c>
      <c r="W324" s="19" t="s">
        <v>1741</v>
      </c>
      <c r="X324">
        <v>0</v>
      </c>
      <c r="Y324">
        <v>0</v>
      </c>
      <c r="AA324">
        <v>53</v>
      </c>
      <c r="AB324">
        <v>24</v>
      </c>
      <c r="AC324">
        <v>14</v>
      </c>
      <c r="AD324">
        <v>40</v>
      </c>
      <c r="AE324" s="19" t="s">
        <v>60</v>
      </c>
    </row>
    <row r="325" spans="1:31" x14ac:dyDescent="0.2">
      <c r="A325">
        <v>316</v>
      </c>
      <c r="B325" s="19" t="s">
        <v>772</v>
      </c>
      <c r="C325">
        <v>31</v>
      </c>
      <c r="D325" s="19" t="s">
        <v>363</v>
      </c>
      <c r="E325" s="19" t="s">
        <v>335</v>
      </c>
      <c r="F325">
        <v>46</v>
      </c>
      <c r="G325">
        <v>11</v>
      </c>
      <c r="H325">
        <v>6</v>
      </c>
      <c r="I325">
        <v>17</v>
      </c>
      <c r="J325">
        <v>-7</v>
      </c>
      <c r="K325">
        <v>50</v>
      </c>
      <c r="L325">
        <v>9</v>
      </c>
      <c r="M325">
        <v>0</v>
      </c>
      <c r="N325">
        <v>2</v>
      </c>
      <c r="O325">
        <v>0</v>
      </c>
      <c r="P325">
        <v>5</v>
      </c>
      <c r="Q325">
        <v>0</v>
      </c>
      <c r="R325">
        <v>1</v>
      </c>
      <c r="S325">
        <v>59</v>
      </c>
      <c r="T325">
        <v>18.600000000000001</v>
      </c>
      <c r="U325">
        <v>109</v>
      </c>
      <c r="V325" s="19" t="s">
        <v>2764</v>
      </c>
      <c r="W325" s="19" t="s">
        <v>1632</v>
      </c>
      <c r="X325">
        <v>19</v>
      </c>
      <c r="Y325">
        <v>9</v>
      </c>
      <c r="Z325">
        <v>67.900000000000006</v>
      </c>
      <c r="AA325">
        <v>30</v>
      </c>
      <c r="AB325">
        <v>84</v>
      </c>
      <c r="AC325">
        <v>5</v>
      </c>
      <c r="AD325">
        <v>31</v>
      </c>
      <c r="AE325" s="19" t="s">
        <v>60</v>
      </c>
    </row>
    <row r="326" spans="1:31" x14ac:dyDescent="0.2">
      <c r="A326">
        <v>317</v>
      </c>
      <c r="B326" s="19" t="s">
        <v>675</v>
      </c>
      <c r="C326">
        <v>28</v>
      </c>
      <c r="D326" s="19" t="s">
        <v>366</v>
      </c>
      <c r="E326" s="19" t="s">
        <v>340</v>
      </c>
      <c r="F326">
        <v>53</v>
      </c>
      <c r="G326">
        <v>10</v>
      </c>
      <c r="H326">
        <v>7</v>
      </c>
      <c r="I326">
        <v>17</v>
      </c>
      <c r="J326">
        <v>3</v>
      </c>
      <c r="K326">
        <v>20</v>
      </c>
      <c r="L326">
        <v>10</v>
      </c>
      <c r="M326">
        <v>0</v>
      </c>
      <c r="N326">
        <v>0</v>
      </c>
      <c r="O326">
        <v>3</v>
      </c>
      <c r="P326">
        <v>7</v>
      </c>
      <c r="Q326">
        <v>0</v>
      </c>
      <c r="R326">
        <v>0</v>
      </c>
      <c r="S326">
        <v>115</v>
      </c>
      <c r="T326">
        <v>8.6999999999999993</v>
      </c>
      <c r="U326">
        <v>198</v>
      </c>
      <c r="V326" s="19" t="s">
        <v>2765</v>
      </c>
      <c r="W326" s="19" t="s">
        <v>1512</v>
      </c>
      <c r="X326">
        <v>15</v>
      </c>
      <c r="Y326">
        <v>15</v>
      </c>
      <c r="Z326">
        <v>50</v>
      </c>
      <c r="AA326">
        <v>26</v>
      </c>
      <c r="AB326">
        <v>67</v>
      </c>
      <c r="AC326">
        <v>9</v>
      </c>
      <c r="AD326">
        <v>25</v>
      </c>
      <c r="AE326" s="19" t="s">
        <v>60</v>
      </c>
    </row>
    <row r="327" spans="1:31" x14ac:dyDescent="0.2">
      <c r="A327">
        <v>318</v>
      </c>
      <c r="B327" s="19" t="s">
        <v>776</v>
      </c>
      <c r="C327">
        <v>27</v>
      </c>
      <c r="D327" s="19" t="s">
        <v>352</v>
      </c>
      <c r="E327" s="19" t="s">
        <v>349</v>
      </c>
      <c r="F327">
        <v>43</v>
      </c>
      <c r="G327">
        <v>3</v>
      </c>
      <c r="H327">
        <v>14</v>
      </c>
      <c r="I327">
        <v>17</v>
      </c>
      <c r="J327">
        <v>0</v>
      </c>
      <c r="K327">
        <v>57</v>
      </c>
      <c r="L327">
        <v>3</v>
      </c>
      <c r="M327">
        <v>0</v>
      </c>
      <c r="N327">
        <v>0</v>
      </c>
      <c r="O327">
        <v>2</v>
      </c>
      <c r="P327">
        <v>12</v>
      </c>
      <c r="Q327">
        <v>2</v>
      </c>
      <c r="R327">
        <v>0</v>
      </c>
      <c r="S327">
        <v>52</v>
      </c>
      <c r="T327">
        <v>5.8</v>
      </c>
      <c r="U327">
        <v>124</v>
      </c>
      <c r="V327" s="19" t="s">
        <v>2766</v>
      </c>
      <c r="W327" s="19" t="s">
        <v>1721</v>
      </c>
      <c r="X327">
        <v>0</v>
      </c>
      <c r="Y327">
        <v>0</v>
      </c>
      <c r="AA327">
        <v>45</v>
      </c>
      <c r="AB327">
        <v>53</v>
      </c>
      <c r="AC327">
        <v>14</v>
      </c>
      <c r="AD327">
        <v>37</v>
      </c>
      <c r="AE327" s="19" t="s">
        <v>60</v>
      </c>
    </row>
    <row r="328" spans="1:31" x14ac:dyDescent="0.2">
      <c r="A328">
        <v>319</v>
      </c>
      <c r="B328" s="19" t="s">
        <v>637</v>
      </c>
      <c r="C328">
        <v>32</v>
      </c>
      <c r="D328" s="19" t="s">
        <v>346</v>
      </c>
      <c r="E328" s="19" t="s">
        <v>349</v>
      </c>
      <c r="F328">
        <v>51</v>
      </c>
      <c r="G328">
        <v>3</v>
      </c>
      <c r="H328">
        <v>14</v>
      </c>
      <c r="I328">
        <v>17</v>
      </c>
      <c r="J328">
        <v>12</v>
      </c>
      <c r="K328">
        <v>32</v>
      </c>
      <c r="L328">
        <v>3</v>
      </c>
      <c r="M328">
        <v>0</v>
      </c>
      <c r="N328">
        <v>0</v>
      </c>
      <c r="O328">
        <v>0</v>
      </c>
      <c r="P328">
        <v>13</v>
      </c>
      <c r="Q328">
        <v>0</v>
      </c>
      <c r="R328">
        <v>1</v>
      </c>
      <c r="S328">
        <v>44</v>
      </c>
      <c r="T328">
        <v>6.8</v>
      </c>
      <c r="U328">
        <v>117</v>
      </c>
      <c r="V328" s="19" t="s">
        <v>2767</v>
      </c>
      <c r="W328" s="19" t="s">
        <v>2400</v>
      </c>
      <c r="X328">
        <v>0</v>
      </c>
      <c r="Y328">
        <v>0</v>
      </c>
      <c r="AA328">
        <v>79</v>
      </c>
      <c r="AB328">
        <v>77</v>
      </c>
      <c r="AC328">
        <v>18</v>
      </c>
      <c r="AD328">
        <v>52</v>
      </c>
      <c r="AE328" s="19" t="s">
        <v>60</v>
      </c>
    </row>
    <row r="329" spans="1:31" x14ac:dyDescent="0.2">
      <c r="A329">
        <v>320</v>
      </c>
      <c r="B329" s="19" t="s">
        <v>747</v>
      </c>
      <c r="C329">
        <v>22</v>
      </c>
      <c r="D329" s="19" t="s">
        <v>371</v>
      </c>
      <c r="E329" s="19" t="s">
        <v>349</v>
      </c>
      <c r="F329">
        <v>48</v>
      </c>
      <c r="G329">
        <v>6</v>
      </c>
      <c r="H329">
        <v>11</v>
      </c>
      <c r="I329">
        <v>17</v>
      </c>
      <c r="J329">
        <v>6</v>
      </c>
      <c r="K329">
        <v>54</v>
      </c>
      <c r="L329">
        <v>6</v>
      </c>
      <c r="M329">
        <v>0</v>
      </c>
      <c r="N329">
        <v>0</v>
      </c>
      <c r="O329">
        <v>2</v>
      </c>
      <c r="P329">
        <v>9</v>
      </c>
      <c r="Q329">
        <v>1</v>
      </c>
      <c r="R329">
        <v>1</v>
      </c>
      <c r="S329">
        <v>57</v>
      </c>
      <c r="T329">
        <v>10.5</v>
      </c>
      <c r="U329">
        <v>139</v>
      </c>
      <c r="V329" s="19" t="s">
        <v>2242</v>
      </c>
      <c r="W329" s="19" t="s">
        <v>1689</v>
      </c>
      <c r="X329">
        <v>0</v>
      </c>
      <c r="Y329">
        <v>0</v>
      </c>
      <c r="AA329">
        <v>104</v>
      </c>
      <c r="AB329">
        <v>63</v>
      </c>
      <c r="AC329">
        <v>18</v>
      </c>
      <c r="AD329">
        <v>56</v>
      </c>
      <c r="AE329" s="19" t="s">
        <v>60</v>
      </c>
    </row>
    <row r="330" spans="1:31" x14ac:dyDescent="0.2">
      <c r="A330">
        <v>321</v>
      </c>
      <c r="B330" s="19" t="s">
        <v>703</v>
      </c>
      <c r="C330">
        <v>32</v>
      </c>
      <c r="D330" s="19" t="s">
        <v>334</v>
      </c>
      <c r="E330" s="19" t="s">
        <v>322</v>
      </c>
      <c r="F330">
        <v>51</v>
      </c>
      <c r="G330">
        <v>2</v>
      </c>
      <c r="H330">
        <v>15</v>
      </c>
      <c r="I330">
        <v>17</v>
      </c>
      <c r="J330">
        <v>4</v>
      </c>
      <c r="K330">
        <v>14</v>
      </c>
      <c r="L330">
        <v>1</v>
      </c>
      <c r="M330">
        <v>0</v>
      </c>
      <c r="N330">
        <v>1</v>
      </c>
      <c r="O330">
        <v>0</v>
      </c>
      <c r="P330">
        <v>13</v>
      </c>
      <c r="Q330">
        <v>0</v>
      </c>
      <c r="R330">
        <v>2</v>
      </c>
      <c r="S330">
        <v>31</v>
      </c>
      <c r="T330">
        <v>6.5</v>
      </c>
      <c r="U330">
        <v>69</v>
      </c>
      <c r="V330" s="19" t="s">
        <v>2442</v>
      </c>
      <c r="W330" s="19" t="s">
        <v>2217</v>
      </c>
      <c r="X330">
        <v>202</v>
      </c>
      <c r="Y330">
        <v>171</v>
      </c>
      <c r="Z330">
        <v>54.2</v>
      </c>
      <c r="AA330">
        <v>36</v>
      </c>
      <c r="AB330">
        <v>67</v>
      </c>
      <c r="AC330">
        <v>14</v>
      </c>
      <c r="AD330">
        <v>17</v>
      </c>
      <c r="AE330" s="19" t="s">
        <v>60</v>
      </c>
    </row>
    <row r="331" spans="1:31" x14ac:dyDescent="0.2">
      <c r="A331">
        <v>322</v>
      </c>
      <c r="B331" s="19" t="s">
        <v>587</v>
      </c>
      <c r="C331">
        <v>29</v>
      </c>
      <c r="D331" s="19" t="s">
        <v>373</v>
      </c>
      <c r="E331" s="19" t="s">
        <v>349</v>
      </c>
      <c r="F331">
        <v>50</v>
      </c>
      <c r="G331">
        <v>2</v>
      </c>
      <c r="H331">
        <v>15</v>
      </c>
      <c r="I331">
        <v>17</v>
      </c>
      <c r="J331">
        <v>-2</v>
      </c>
      <c r="K331">
        <v>24</v>
      </c>
      <c r="L331">
        <v>2</v>
      </c>
      <c r="M331">
        <v>0</v>
      </c>
      <c r="N331">
        <v>0</v>
      </c>
      <c r="O331">
        <v>1</v>
      </c>
      <c r="P331">
        <v>14</v>
      </c>
      <c r="Q331">
        <v>1</v>
      </c>
      <c r="R331">
        <v>0</v>
      </c>
      <c r="S331">
        <v>60</v>
      </c>
      <c r="T331">
        <v>3.3</v>
      </c>
      <c r="U331">
        <v>154</v>
      </c>
      <c r="V331" s="19" t="s">
        <v>2768</v>
      </c>
      <c r="W331" s="19" t="s">
        <v>1930</v>
      </c>
      <c r="X331">
        <v>0</v>
      </c>
      <c r="Y331">
        <v>0</v>
      </c>
      <c r="AA331">
        <v>56</v>
      </c>
      <c r="AB331">
        <v>37</v>
      </c>
      <c r="AC331">
        <v>19</v>
      </c>
      <c r="AD331">
        <v>37</v>
      </c>
      <c r="AE331" s="19" t="s">
        <v>60</v>
      </c>
    </row>
    <row r="332" spans="1:31" x14ac:dyDescent="0.2">
      <c r="A332">
        <v>323</v>
      </c>
      <c r="B332" s="19" t="s">
        <v>708</v>
      </c>
      <c r="C332">
        <v>29</v>
      </c>
      <c r="D332" s="19" t="s">
        <v>324</v>
      </c>
      <c r="E332" s="19" t="s">
        <v>322</v>
      </c>
      <c r="F332">
        <v>40</v>
      </c>
      <c r="G332">
        <v>10</v>
      </c>
      <c r="H332">
        <v>7</v>
      </c>
      <c r="I332">
        <v>17</v>
      </c>
      <c r="J332">
        <v>-11</v>
      </c>
      <c r="K332">
        <v>14</v>
      </c>
      <c r="L332">
        <v>7</v>
      </c>
      <c r="M332">
        <v>3</v>
      </c>
      <c r="N332">
        <v>0</v>
      </c>
      <c r="O332">
        <v>2</v>
      </c>
      <c r="P332">
        <v>4</v>
      </c>
      <c r="Q332">
        <v>3</v>
      </c>
      <c r="R332">
        <v>0</v>
      </c>
      <c r="S332">
        <v>60</v>
      </c>
      <c r="T332">
        <v>16.7</v>
      </c>
      <c r="U332">
        <v>114</v>
      </c>
      <c r="V332" s="19" t="s">
        <v>2443</v>
      </c>
      <c r="W332" s="19" t="s">
        <v>1978</v>
      </c>
      <c r="X332">
        <v>71</v>
      </c>
      <c r="Y332">
        <v>84</v>
      </c>
      <c r="Z332">
        <v>45.8</v>
      </c>
      <c r="AA332">
        <v>17</v>
      </c>
      <c r="AB332">
        <v>40</v>
      </c>
      <c r="AC332">
        <v>9</v>
      </c>
      <c r="AD332">
        <v>12</v>
      </c>
      <c r="AE332" s="19" t="s">
        <v>60</v>
      </c>
    </row>
    <row r="333" spans="1:31" x14ac:dyDescent="0.2">
      <c r="A333">
        <v>324</v>
      </c>
      <c r="B333" s="19" t="s">
        <v>617</v>
      </c>
      <c r="C333">
        <v>30</v>
      </c>
      <c r="D333" s="19" t="s">
        <v>361</v>
      </c>
      <c r="E333" s="19" t="s">
        <v>349</v>
      </c>
      <c r="F333">
        <v>52</v>
      </c>
      <c r="G333">
        <v>8</v>
      </c>
      <c r="H333">
        <v>9</v>
      </c>
      <c r="I333">
        <v>17</v>
      </c>
      <c r="J333">
        <v>-11</v>
      </c>
      <c r="K333">
        <v>24</v>
      </c>
      <c r="L333">
        <v>6</v>
      </c>
      <c r="M333">
        <v>2</v>
      </c>
      <c r="N333">
        <v>0</v>
      </c>
      <c r="O333">
        <v>1</v>
      </c>
      <c r="P333">
        <v>9</v>
      </c>
      <c r="Q333">
        <v>0</v>
      </c>
      <c r="R333">
        <v>0</v>
      </c>
      <c r="S333">
        <v>78</v>
      </c>
      <c r="T333">
        <v>10.3</v>
      </c>
      <c r="U333">
        <v>209</v>
      </c>
      <c r="V333" s="19" t="s">
        <v>2444</v>
      </c>
      <c r="W333" s="19" t="s">
        <v>2445</v>
      </c>
      <c r="X333">
        <v>0</v>
      </c>
      <c r="Y333">
        <v>0</v>
      </c>
      <c r="AA333">
        <v>81</v>
      </c>
      <c r="AB333">
        <v>32</v>
      </c>
      <c r="AC333">
        <v>14</v>
      </c>
      <c r="AD333">
        <v>64</v>
      </c>
      <c r="AE333" s="19" t="s">
        <v>60</v>
      </c>
    </row>
    <row r="334" spans="1:31" x14ac:dyDescent="0.2">
      <c r="A334">
        <v>325</v>
      </c>
      <c r="B334" s="19" t="s">
        <v>779</v>
      </c>
      <c r="C334">
        <v>32</v>
      </c>
      <c r="D334" s="19" t="s">
        <v>399</v>
      </c>
      <c r="E334" s="19" t="s">
        <v>349</v>
      </c>
      <c r="F334">
        <v>46</v>
      </c>
      <c r="G334">
        <v>5</v>
      </c>
      <c r="H334">
        <v>12</v>
      </c>
      <c r="I334">
        <v>17</v>
      </c>
      <c r="J334">
        <v>-4</v>
      </c>
      <c r="K334">
        <v>34</v>
      </c>
      <c r="L334">
        <v>3</v>
      </c>
      <c r="M334">
        <v>2</v>
      </c>
      <c r="N334">
        <v>0</v>
      </c>
      <c r="O334">
        <v>1</v>
      </c>
      <c r="P334">
        <v>7</v>
      </c>
      <c r="Q334">
        <v>5</v>
      </c>
      <c r="R334">
        <v>0</v>
      </c>
      <c r="S334">
        <v>118</v>
      </c>
      <c r="T334">
        <v>4.2</v>
      </c>
      <c r="U334">
        <v>265</v>
      </c>
      <c r="V334" s="19" t="s">
        <v>2446</v>
      </c>
      <c r="W334" s="19" t="s">
        <v>1397</v>
      </c>
      <c r="X334">
        <v>0</v>
      </c>
      <c r="Y334">
        <v>0</v>
      </c>
      <c r="AA334">
        <v>46</v>
      </c>
      <c r="AB334">
        <v>50</v>
      </c>
      <c r="AC334">
        <v>7</v>
      </c>
      <c r="AD334">
        <v>70</v>
      </c>
      <c r="AE334" s="19" t="s">
        <v>60</v>
      </c>
    </row>
    <row r="335" spans="1:31" x14ac:dyDescent="0.2">
      <c r="A335">
        <v>326</v>
      </c>
      <c r="B335" s="19" t="s">
        <v>908</v>
      </c>
      <c r="C335">
        <v>25</v>
      </c>
      <c r="D335" s="19" t="s">
        <v>405</v>
      </c>
      <c r="E335" s="19" t="s">
        <v>322</v>
      </c>
      <c r="F335">
        <v>46</v>
      </c>
      <c r="G335">
        <v>7</v>
      </c>
      <c r="H335">
        <v>10</v>
      </c>
      <c r="I335">
        <v>17</v>
      </c>
      <c r="J335">
        <v>4</v>
      </c>
      <c r="K335">
        <v>34</v>
      </c>
      <c r="L335">
        <v>3</v>
      </c>
      <c r="M335">
        <v>4</v>
      </c>
      <c r="N335">
        <v>0</v>
      </c>
      <c r="O335">
        <v>0</v>
      </c>
      <c r="P335">
        <v>9</v>
      </c>
      <c r="Q335">
        <v>1</v>
      </c>
      <c r="R335">
        <v>0</v>
      </c>
      <c r="S335">
        <v>80</v>
      </c>
      <c r="T335">
        <v>8.8000000000000007</v>
      </c>
      <c r="U335">
        <v>133</v>
      </c>
      <c r="V335" s="19" t="s">
        <v>2769</v>
      </c>
      <c r="W335" s="19" t="s">
        <v>1513</v>
      </c>
      <c r="X335">
        <v>271</v>
      </c>
      <c r="Y335">
        <v>245</v>
      </c>
      <c r="Z335">
        <v>52.5</v>
      </c>
      <c r="AA335">
        <v>22</v>
      </c>
      <c r="AB335">
        <v>17</v>
      </c>
      <c r="AC335">
        <v>12</v>
      </c>
      <c r="AD335">
        <v>29</v>
      </c>
      <c r="AE335" s="19" t="s">
        <v>60</v>
      </c>
    </row>
    <row r="336" spans="1:31" x14ac:dyDescent="0.2">
      <c r="A336">
        <v>327</v>
      </c>
      <c r="B336" s="19" t="s">
        <v>522</v>
      </c>
      <c r="C336">
        <v>24</v>
      </c>
      <c r="D336" s="19" t="s">
        <v>513</v>
      </c>
      <c r="E336" s="19" t="s">
        <v>322</v>
      </c>
      <c r="F336">
        <v>34</v>
      </c>
      <c r="G336">
        <v>8</v>
      </c>
      <c r="H336">
        <v>9</v>
      </c>
      <c r="I336">
        <v>17</v>
      </c>
      <c r="J336">
        <v>-13</v>
      </c>
      <c r="K336">
        <v>11</v>
      </c>
      <c r="L336">
        <v>7</v>
      </c>
      <c r="M336">
        <v>1</v>
      </c>
      <c r="N336">
        <v>0</v>
      </c>
      <c r="O336">
        <v>1</v>
      </c>
      <c r="P336">
        <v>7</v>
      </c>
      <c r="Q336">
        <v>2</v>
      </c>
      <c r="R336">
        <v>0</v>
      </c>
      <c r="S336">
        <v>79</v>
      </c>
      <c r="T336">
        <v>10.1</v>
      </c>
      <c r="U336">
        <v>151</v>
      </c>
      <c r="V336" s="19" t="s">
        <v>2099</v>
      </c>
      <c r="W336" s="19" t="s">
        <v>2042</v>
      </c>
      <c r="X336">
        <v>11</v>
      </c>
      <c r="Y336">
        <v>10</v>
      </c>
      <c r="Z336">
        <v>52.4</v>
      </c>
      <c r="AA336">
        <v>27</v>
      </c>
      <c r="AB336">
        <v>91</v>
      </c>
      <c r="AC336">
        <v>4</v>
      </c>
      <c r="AD336">
        <v>21</v>
      </c>
      <c r="AE336" s="19" t="s">
        <v>60</v>
      </c>
    </row>
    <row r="337" spans="1:31" x14ac:dyDescent="0.2">
      <c r="A337">
        <v>328</v>
      </c>
      <c r="B337" s="19" t="s">
        <v>781</v>
      </c>
      <c r="C337">
        <v>24</v>
      </c>
      <c r="D337" s="19" t="s">
        <v>334</v>
      </c>
      <c r="E337" s="19" t="s">
        <v>325</v>
      </c>
      <c r="F337">
        <v>51</v>
      </c>
      <c r="G337">
        <v>8</v>
      </c>
      <c r="H337">
        <v>9</v>
      </c>
      <c r="I337">
        <v>17</v>
      </c>
      <c r="J337">
        <v>-2</v>
      </c>
      <c r="K337">
        <v>25</v>
      </c>
      <c r="L337">
        <v>7</v>
      </c>
      <c r="M337">
        <v>1</v>
      </c>
      <c r="N337">
        <v>0</v>
      </c>
      <c r="O337">
        <v>1</v>
      </c>
      <c r="P337">
        <v>8</v>
      </c>
      <c r="Q337">
        <v>1</v>
      </c>
      <c r="R337">
        <v>0</v>
      </c>
      <c r="S337">
        <v>52</v>
      </c>
      <c r="T337">
        <v>15.4</v>
      </c>
      <c r="U337">
        <v>88</v>
      </c>
      <c r="V337" s="19" t="s">
        <v>2447</v>
      </c>
      <c r="W337" s="19" t="s">
        <v>1870</v>
      </c>
      <c r="X337">
        <v>75</v>
      </c>
      <c r="Y337">
        <v>53</v>
      </c>
      <c r="Z337">
        <v>58.6</v>
      </c>
      <c r="AA337">
        <v>24</v>
      </c>
      <c r="AB337">
        <v>77</v>
      </c>
      <c r="AC337">
        <v>17</v>
      </c>
      <c r="AD337">
        <v>16</v>
      </c>
      <c r="AE337" s="19" t="s">
        <v>60</v>
      </c>
    </row>
    <row r="338" spans="1:31" x14ac:dyDescent="0.2">
      <c r="A338">
        <v>329</v>
      </c>
      <c r="B338" s="19" t="s">
        <v>758</v>
      </c>
      <c r="C338">
        <v>33</v>
      </c>
      <c r="D338" s="19" t="s">
        <v>324</v>
      </c>
      <c r="E338" s="19" t="s">
        <v>349</v>
      </c>
      <c r="F338">
        <v>37</v>
      </c>
      <c r="G338">
        <v>9</v>
      </c>
      <c r="H338">
        <v>8</v>
      </c>
      <c r="I338">
        <v>17</v>
      </c>
      <c r="J338">
        <v>-4</v>
      </c>
      <c r="K338">
        <v>16</v>
      </c>
      <c r="L338">
        <v>5</v>
      </c>
      <c r="M338">
        <v>4</v>
      </c>
      <c r="N338">
        <v>0</v>
      </c>
      <c r="O338">
        <v>2</v>
      </c>
      <c r="P338">
        <v>5</v>
      </c>
      <c r="Q338">
        <v>3</v>
      </c>
      <c r="R338">
        <v>0</v>
      </c>
      <c r="S338">
        <v>59</v>
      </c>
      <c r="T338">
        <v>15.3</v>
      </c>
      <c r="U338">
        <v>156</v>
      </c>
      <c r="V338" s="19" t="s">
        <v>2448</v>
      </c>
      <c r="W338" s="19" t="s">
        <v>1830</v>
      </c>
      <c r="X338">
        <v>0</v>
      </c>
      <c r="Y338">
        <v>0</v>
      </c>
      <c r="AA338">
        <v>52</v>
      </c>
      <c r="AB338">
        <v>29</v>
      </c>
      <c r="AC338">
        <v>9</v>
      </c>
      <c r="AD338">
        <v>54</v>
      </c>
      <c r="AE338" s="19" t="s">
        <v>60</v>
      </c>
    </row>
    <row r="339" spans="1:31" x14ac:dyDescent="0.2">
      <c r="A339">
        <v>330</v>
      </c>
      <c r="B339" s="19" t="s">
        <v>684</v>
      </c>
      <c r="C339">
        <v>32</v>
      </c>
      <c r="D339" s="19" t="s">
        <v>359</v>
      </c>
      <c r="E339" s="19" t="s">
        <v>349</v>
      </c>
      <c r="F339">
        <v>49</v>
      </c>
      <c r="G339">
        <v>3</v>
      </c>
      <c r="H339">
        <v>14</v>
      </c>
      <c r="I339">
        <v>17</v>
      </c>
      <c r="J339">
        <v>15</v>
      </c>
      <c r="K339">
        <v>31</v>
      </c>
      <c r="L339">
        <v>3</v>
      </c>
      <c r="M339">
        <v>0</v>
      </c>
      <c r="N339">
        <v>0</v>
      </c>
      <c r="O339">
        <v>0</v>
      </c>
      <c r="P339">
        <v>14</v>
      </c>
      <c r="Q339">
        <v>0</v>
      </c>
      <c r="R339">
        <v>0</v>
      </c>
      <c r="S339">
        <v>39</v>
      </c>
      <c r="T339">
        <v>7.7</v>
      </c>
      <c r="U339">
        <v>98</v>
      </c>
      <c r="V339" s="19" t="s">
        <v>2449</v>
      </c>
      <c r="W339" s="19" t="s">
        <v>1716</v>
      </c>
      <c r="X339">
        <v>0</v>
      </c>
      <c r="Y339">
        <v>0</v>
      </c>
      <c r="AA339">
        <v>121</v>
      </c>
      <c r="AB339">
        <v>65</v>
      </c>
      <c r="AC339">
        <v>14</v>
      </c>
      <c r="AD339">
        <v>60</v>
      </c>
      <c r="AE339" s="19" t="s">
        <v>60</v>
      </c>
    </row>
    <row r="340" spans="1:31" x14ac:dyDescent="0.2">
      <c r="A340">
        <v>331</v>
      </c>
      <c r="B340" s="19" t="s">
        <v>826</v>
      </c>
      <c r="C340">
        <v>31</v>
      </c>
      <c r="D340" s="19" t="s">
        <v>330</v>
      </c>
      <c r="E340" s="19" t="s">
        <v>325</v>
      </c>
      <c r="F340">
        <v>46</v>
      </c>
      <c r="G340">
        <v>9</v>
      </c>
      <c r="H340">
        <v>8</v>
      </c>
      <c r="I340">
        <v>17</v>
      </c>
      <c r="J340">
        <v>-1</v>
      </c>
      <c r="K340">
        <v>14</v>
      </c>
      <c r="L340">
        <v>8</v>
      </c>
      <c r="M340">
        <v>0</v>
      </c>
      <c r="N340">
        <v>1</v>
      </c>
      <c r="O340">
        <v>2</v>
      </c>
      <c r="P340">
        <v>7</v>
      </c>
      <c r="Q340">
        <v>0</v>
      </c>
      <c r="R340">
        <v>1</v>
      </c>
      <c r="S340">
        <v>75</v>
      </c>
      <c r="T340">
        <v>12</v>
      </c>
      <c r="U340">
        <v>129</v>
      </c>
      <c r="V340" s="19" t="s">
        <v>2450</v>
      </c>
      <c r="W340" s="19" t="s">
        <v>1950</v>
      </c>
      <c r="X340">
        <v>1</v>
      </c>
      <c r="Y340">
        <v>7</v>
      </c>
      <c r="Z340">
        <v>12.5</v>
      </c>
      <c r="AA340">
        <v>14</v>
      </c>
      <c r="AB340">
        <v>24</v>
      </c>
      <c r="AC340">
        <v>15</v>
      </c>
      <c r="AD340">
        <v>39</v>
      </c>
      <c r="AE340" s="19" t="s">
        <v>60</v>
      </c>
    </row>
    <row r="341" spans="1:31" x14ac:dyDescent="0.2">
      <c r="A341">
        <v>332</v>
      </c>
      <c r="B341" s="19" t="s">
        <v>932</v>
      </c>
      <c r="C341">
        <v>26</v>
      </c>
      <c r="D341" s="19" t="s">
        <v>428</v>
      </c>
      <c r="E341" s="19" t="s">
        <v>322</v>
      </c>
      <c r="F341">
        <v>19</v>
      </c>
      <c r="G341">
        <v>6</v>
      </c>
      <c r="H341">
        <v>11</v>
      </c>
      <c r="I341">
        <v>17</v>
      </c>
      <c r="J341">
        <v>0</v>
      </c>
      <c r="K341">
        <v>6</v>
      </c>
      <c r="L341">
        <v>5</v>
      </c>
      <c r="M341">
        <v>1</v>
      </c>
      <c r="N341">
        <v>0</v>
      </c>
      <c r="O341">
        <v>1</v>
      </c>
      <c r="P341">
        <v>6</v>
      </c>
      <c r="Q341">
        <v>5</v>
      </c>
      <c r="R341">
        <v>0</v>
      </c>
      <c r="S341">
        <v>27</v>
      </c>
      <c r="T341">
        <v>22.2</v>
      </c>
      <c r="U341">
        <v>61</v>
      </c>
      <c r="V341" s="19" t="s">
        <v>2018</v>
      </c>
      <c r="W341" s="19" t="s">
        <v>1096</v>
      </c>
      <c r="X341">
        <v>121</v>
      </c>
      <c r="Y341">
        <v>125</v>
      </c>
      <c r="Z341">
        <v>49.2</v>
      </c>
      <c r="AA341">
        <v>11</v>
      </c>
      <c r="AB341">
        <v>6</v>
      </c>
      <c r="AC341">
        <v>3</v>
      </c>
      <c r="AD341">
        <v>9</v>
      </c>
      <c r="AE341" s="19" t="s">
        <v>60</v>
      </c>
    </row>
    <row r="342" spans="1:31" x14ac:dyDescent="0.2">
      <c r="A342">
        <v>333</v>
      </c>
      <c r="B342" s="19" t="s">
        <v>889</v>
      </c>
      <c r="C342">
        <v>27</v>
      </c>
      <c r="D342" s="19" t="s">
        <v>337</v>
      </c>
      <c r="E342" s="19" t="s">
        <v>322</v>
      </c>
      <c r="F342">
        <v>44</v>
      </c>
      <c r="G342">
        <v>4</v>
      </c>
      <c r="H342">
        <v>13</v>
      </c>
      <c r="I342">
        <v>17</v>
      </c>
      <c r="J342">
        <v>5</v>
      </c>
      <c r="K342">
        <v>6</v>
      </c>
      <c r="L342">
        <v>3</v>
      </c>
      <c r="M342">
        <v>0</v>
      </c>
      <c r="N342">
        <v>1</v>
      </c>
      <c r="O342">
        <v>0</v>
      </c>
      <c r="P342">
        <v>11</v>
      </c>
      <c r="Q342">
        <v>0</v>
      </c>
      <c r="R342">
        <v>2</v>
      </c>
      <c r="S342">
        <v>45</v>
      </c>
      <c r="T342">
        <v>8.9</v>
      </c>
      <c r="U342">
        <v>93</v>
      </c>
      <c r="V342" s="19" t="s">
        <v>2451</v>
      </c>
      <c r="W342" s="19" t="s">
        <v>2050</v>
      </c>
      <c r="X342">
        <v>240</v>
      </c>
      <c r="Y342">
        <v>289</v>
      </c>
      <c r="Z342">
        <v>45.4</v>
      </c>
      <c r="AA342">
        <v>51</v>
      </c>
      <c r="AB342">
        <v>19</v>
      </c>
      <c r="AC342">
        <v>8</v>
      </c>
      <c r="AD342">
        <v>26</v>
      </c>
      <c r="AE342" s="19" t="s">
        <v>60</v>
      </c>
    </row>
    <row r="343" spans="1:31" x14ac:dyDescent="0.2">
      <c r="A343">
        <v>334</v>
      </c>
      <c r="B343" s="19" t="s">
        <v>834</v>
      </c>
      <c r="C343">
        <v>25</v>
      </c>
      <c r="D343" s="19" t="s">
        <v>366</v>
      </c>
      <c r="E343" s="19" t="s">
        <v>349</v>
      </c>
      <c r="F343">
        <v>47</v>
      </c>
      <c r="G343">
        <v>2</v>
      </c>
      <c r="H343">
        <v>15</v>
      </c>
      <c r="I343">
        <v>17</v>
      </c>
      <c r="J343">
        <v>5</v>
      </c>
      <c r="K343">
        <v>8</v>
      </c>
      <c r="L343">
        <v>2</v>
      </c>
      <c r="M343">
        <v>0</v>
      </c>
      <c r="N343">
        <v>0</v>
      </c>
      <c r="O343">
        <v>0</v>
      </c>
      <c r="P343">
        <v>15</v>
      </c>
      <c r="Q343">
        <v>0</v>
      </c>
      <c r="R343">
        <v>0</v>
      </c>
      <c r="S343">
        <v>57</v>
      </c>
      <c r="T343">
        <v>3.5</v>
      </c>
      <c r="U343">
        <v>126</v>
      </c>
      <c r="V343" s="19" t="s">
        <v>2770</v>
      </c>
      <c r="W343" s="19" t="s">
        <v>1969</v>
      </c>
      <c r="X343">
        <v>0</v>
      </c>
      <c r="Y343">
        <v>0</v>
      </c>
      <c r="AA343">
        <v>80</v>
      </c>
      <c r="AB343">
        <v>54</v>
      </c>
      <c r="AC343">
        <v>17</v>
      </c>
      <c r="AD343">
        <v>58</v>
      </c>
      <c r="AE343" s="19" t="s">
        <v>60</v>
      </c>
    </row>
    <row r="344" spans="1:31" x14ac:dyDescent="0.2">
      <c r="A344">
        <v>335</v>
      </c>
      <c r="B344" s="19" t="s">
        <v>723</v>
      </c>
      <c r="C344">
        <v>22</v>
      </c>
      <c r="D344" s="19" t="s">
        <v>328</v>
      </c>
      <c r="E344" s="19" t="s">
        <v>322</v>
      </c>
      <c r="F344">
        <v>53</v>
      </c>
      <c r="G344">
        <v>9</v>
      </c>
      <c r="H344">
        <v>8</v>
      </c>
      <c r="I344">
        <v>17</v>
      </c>
      <c r="J344">
        <v>-3</v>
      </c>
      <c r="K344">
        <v>14</v>
      </c>
      <c r="L344">
        <v>6</v>
      </c>
      <c r="M344">
        <v>2</v>
      </c>
      <c r="N344">
        <v>1</v>
      </c>
      <c r="O344">
        <v>1</v>
      </c>
      <c r="P344">
        <v>6</v>
      </c>
      <c r="Q344">
        <v>2</v>
      </c>
      <c r="R344">
        <v>0</v>
      </c>
      <c r="S344">
        <v>70</v>
      </c>
      <c r="T344">
        <v>12.9</v>
      </c>
      <c r="U344">
        <v>124</v>
      </c>
      <c r="V344" s="19" t="s">
        <v>2771</v>
      </c>
      <c r="W344" s="19" t="s">
        <v>983</v>
      </c>
      <c r="X344">
        <v>24</v>
      </c>
      <c r="Y344">
        <v>27</v>
      </c>
      <c r="Z344">
        <v>47.1</v>
      </c>
      <c r="AA344">
        <v>25</v>
      </c>
      <c r="AB344">
        <v>9</v>
      </c>
      <c r="AC344">
        <v>18</v>
      </c>
      <c r="AD344">
        <v>43</v>
      </c>
      <c r="AE344" s="19" t="s">
        <v>60</v>
      </c>
    </row>
    <row r="345" spans="1:31" x14ac:dyDescent="0.2">
      <c r="A345">
        <v>336</v>
      </c>
      <c r="B345" s="19" t="s">
        <v>525</v>
      </c>
      <c r="C345">
        <v>34</v>
      </c>
      <c r="D345" s="19" t="s">
        <v>334</v>
      </c>
      <c r="E345" s="19" t="s">
        <v>322</v>
      </c>
      <c r="F345">
        <v>27</v>
      </c>
      <c r="G345">
        <v>7</v>
      </c>
      <c r="H345">
        <v>10</v>
      </c>
      <c r="I345">
        <v>17</v>
      </c>
      <c r="J345">
        <v>10</v>
      </c>
      <c r="K345">
        <v>2</v>
      </c>
      <c r="L345">
        <v>6</v>
      </c>
      <c r="M345">
        <v>1</v>
      </c>
      <c r="N345">
        <v>0</v>
      </c>
      <c r="O345">
        <v>2</v>
      </c>
      <c r="P345">
        <v>7</v>
      </c>
      <c r="Q345">
        <v>3</v>
      </c>
      <c r="R345">
        <v>0</v>
      </c>
      <c r="S345">
        <v>31</v>
      </c>
      <c r="T345">
        <v>22.6</v>
      </c>
      <c r="U345">
        <v>69</v>
      </c>
      <c r="V345" s="19" t="s">
        <v>526</v>
      </c>
      <c r="W345" s="19" t="s">
        <v>527</v>
      </c>
      <c r="X345">
        <v>126</v>
      </c>
      <c r="Y345">
        <v>109</v>
      </c>
      <c r="Z345">
        <v>53.6</v>
      </c>
      <c r="AA345">
        <v>6</v>
      </c>
      <c r="AB345">
        <v>18</v>
      </c>
      <c r="AC345">
        <v>3</v>
      </c>
      <c r="AD345">
        <v>21</v>
      </c>
      <c r="AE345" s="19" t="s">
        <v>60</v>
      </c>
    </row>
    <row r="346" spans="1:31" x14ac:dyDescent="0.2">
      <c r="A346">
        <v>337</v>
      </c>
      <c r="B346" s="19" t="s">
        <v>766</v>
      </c>
      <c r="C346">
        <v>27</v>
      </c>
      <c r="D346" s="19" t="s">
        <v>346</v>
      </c>
      <c r="E346" s="19" t="s">
        <v>349</v>
      </c>
      <c r="F346">
        <v>50</v>
      </c>
      <c r="G346">
        <v>8</v>
      </c>
      <c r="H346">
        <v>9</v>
      </c>
      <c r="I346">
        <v>17</v>
      </c>
      <c r="J346">
        <v>1</v>
      </c>
      <c r="K346">
        <v>95</v>
      </c>
      <c r="L346">
        <v>8</v>
      </c>
      <c r="M346">
        <v>0</v>
      </c>
      <c r="N346">
        <v>0</v>
      </c>
      <c r="O346">
        <v>1</v>
      </c>
      <c r="P346">
        <v>9</v>
      </c>
      <c r="Q346">
        <v>0</v>
      </c>
      <c r="R346">
        <v>0</v>
      </c>
      <c r="S346">
        <v>54</v>
      </c>
      <c r="T346">
        <v>14.8</v>
      </c>
      <c r="U346">
        <v>167</v>
      </c>
      <c r="V346" s="19" t="s">
        <v>2772</v>
      </c>
      <c r="W346" s="19" t="s">
        <v>567</v>
      </c>
      <c r="X346">
        <v>0</v>
      </c>
      <c r="Y346">
        <v>0</v>
      </c>
      <c r="AA346">
        <v>59</v>
      </c>
      <c r="AB346">
        <v>82</v>
      </c>
      <c r="AC346">
        <v>9</v>
      </c>
      <c r="AD346">
        <v>38</v>
      </c>
      <c r="AE346" s="19" t="s">
        <v>60</v>
      </c>
    </row>
    <row r="347" spans="1:31" x14ac:dyDescent="0.2">
      <c r="A347">
        <v>338</v>
      </c>
      <c r="B347" s="19" t="s">
        <v>771</v>
      </c>
      <c r="C347">
        <v>30</v>
      </c>
      <c r="D347" s="19" t="s">
        <v>355</v>
      </c>
      <c r="E347" s="19" t="s">
        <v>349</v>
      </c>
      <c r="F347">
        <v>52</v>
      </c>
      <c r="G347">
        <v>1</v>
      </c>
      <c r="H347">
        <v>16</v>
      </c>
      <c r="I347">
        <v>17</v>
      </c>
      <c r="J347">
        <v>16</v>
      </c>
      <c r="K347">
        <v>121</v>
      </c>
      <c r="L347">
        <v>1</v>
      </c>
      <c r="M347">
        <v>0</v>
      </c>
      <c r="N347">
        <v>0</v>
      </c>
      <c r="O347">
        <v>0</v>
      </c>
      <c r="P347">
        <v>16</v>
      </c>
      <c r="Q347">
        <v>0</v>
      </c>
      <c r="R347">
        <v>0</v>
      </c>
      <c r="S347">
        <v>63</v>
      </c>
      <c r="T347">
        <v>1.6</v>
      </c>
      <c r="U347">
        <v>165</v>
      </c>
      <c r="V347" s="19" t="s">
        <v>2773</v>
      </c>
      <c r="W347" s="19" t="s">
        <v>2375</v>
      </c>
      <c r="X347">
        <v>0</v>
      </c>
      <c r="Y347">
        <v>0</v>
      </c>
      <c r="AA347">
        <v>76</v>
      </c>
      <c r="AB347">
        <v>130</v>
      </c>
      <c r="AC347">
        <v>28</v>
      </c>
      <c r="AD347">
        <v>64</v>
      </c>
      <c r="AE347" s="19" t="s">
        <v>60</v>
      </c>
    </row>
    <row r="348" spans="1:31" x14ac:dyDescent="0.2">
      <c r="A348">
        <v>339</v>
      </c>
      <c r="B348" s="19" t="s">
        <v>693</v>
      </c>
      <c r="C348">
        <v>30</v>
      </c>
      <c r="D348" s="19" t="s">
        <v>416</v>
      </c>
      <c r="E348" s="19" t="s">
        <v>349</v>
      </c>
      <c r="F348">
        <v>50</v>
      </c>
      <c r="G348">
        <v>4</v>
      </c>
      <c r="H348">
        <v>13</v>
      </c>
      <c r="I348">
        <v>17</v>
      </c>
      <c r="J348">
        <v>9</v>
      </c>
      <c r="K348">
        <v>34</v>
      </c>
      <c r="L348">
        <v>4</v>
      </c>
      <c r="M348">
        <v>0</v>
      </c>
      <c r="N348">
        <v>0</v>
      </c>
      <c r="O348">
        <v>0</v>
      </c>
      <c r="P348">
        <v>13</v>
      </c>
      <c r="Q348">
        <v>0</v>
      </c>
      <c r="R348">
        <v>0</v>
      </c>
      <c r="S348">
        <v>58</v>
      </c>
      <c r="T348">
        <v>6.9</v>
      </c>
      <c r="U348">
        <v>139</v>
      </c>
      <c r="V348" s="19" t="s">
        <v>2774</v>
      </c>
      <c r="W348" s="19" t="s">
        <v>2265</v>
      </c>
      <c r="X348">
        <v>0</v>
      </c>
      <c r="Y348">
        <v>0</v>
      </c>
      <c r="AA348">
        <v>73</v>
      </c>
      <c r="AB348">
        <v>50</v>
      </c>
      <c r="AC348">
        <v>17</v>
      </c>
      <c r="AD348">
        <v>55</v>
      </c>
      <c r="AE348" s="19" t="s">
        <v>60</v>
      </c>
    </row>
    <row r="349" spans="1:31" x14ac:dyDescent="0.2">
      <c r="A349">
        <v>340</v>
      </c>
      <c r="B349" s="19" t="s">
        <v>1091</v>
      </c>
      <c r="C349">
        <v>26</v>
      </c>
      <c r="D349" s="19" t="s">
        <v>950</v>
      </c>
      <c r="E349" s="19" t="s">
        <v>322</v>
      </c>
      <c r="F349">
        <v>36</v>
      </c>
      <c r="G349">
        <v>7</v>
      </c>
      <c r="H349">
        <v>10</v>
      </c>
      <c r="I349">
        <v>17</v>
      </c>
      <c r="J349">
        <v>8</v>
      </c>
      <c r="K349">
        <v>10</v>
      </c>
      <c r="L349">
        <v>7</v>
      </c>
      <c r="M349">
        <v>0</v>
      </c>
      <c r="N349">
        <v>0</v>
      </c>
      <c r="O349">
        <v>1</v>
      </c>
      <c r="P349">
        <v>10</v>
      </c>
      <c r="Q349">
        <v>0</v>
      </c>
      <c r="R349">
        <v>0</v>
      </c>
      <c r="S349">
        <v>55</v>
      </c>
      <c r="T349">
        <v>12.7</v>
      </c>
      <c r="U349">
        <v>107</v>
      </c>
      <c r="V349" s="19" t="s">
        <v>2775</v>
      </c>
      <c r="W349" s="19" t="s">
        <v>1565</v>
      </c>
      <c r="X349">
        <v>3</v>
      </c>
      <c r="Y349">
        <v>13</v>
      </c>
      <c r="Z349">
        <v>18.8</v>
      </c>
      <c r="AA349">
        <v>10</v>
      </c>
      <c r="AB349">
        <v>37</v>
      </c>
      <c r="AC349">
        <v>5</v>
      </c>
      <c r="AD349">
        <v>15</v>
      </c>
      <c r="AE349" s="19" t="s">
        <v>60</v>
      </c>
    </row>
    <row r="350" spans="1:31" x14ac:dyDescent="0.2">
      <c r="A350">
        <v>340</v>
      </c>
      <c r="B350" s="19" t="s">
        <v>1091</v>
      </c>
      <c r="C350">
        <v>26</v>
      </c>
      <c r="D350" s="19" t="s">
        <v>513</v>
      </c>
      <c r="E350" s="19" t="s">
        <v>322</v>
      </c>
      <c r="F350">
        <v>8</v>
      </c>
      <c r="G350">
        <v>0</v>
      </c>
      <c r="H350">
        <v>1</v>
      </c>
      <c r="I350">
        <v>1</v>
      </c>
      <c r="J350">
        <v>0</v>
      </c>
      <c r="K350">
        <v>2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7</v>
      </c>
      <c r="T350">
        <v>0</v>
      </c>
      <c r="U350">
        <v>13</v>
      </c>
      <c r="V350" s="19" t="s">
        <v>1092</v>
      </c>
      <c r="W350" s="19" t="s">
        <v>1093</v>
      </c>
      <c r="X350">
        <v>1</v>
      </c>
      <c r="Y350">
        <v>0</v>
      </c>
      <c r="Z350">
        <v>100</v>
      </c>
      <c r="AA350">
        <v>1</v>
      </c>
      <c r="AB350">
        <v>9</v>
      </c>
      <c r="AC350">
        <v>1</v>
      </c>
      <c r="AD350">
        <v>2</v>
      </c>
      <c r="AE350" s="19" t="s">
        <v>60</v>
      </c>
    </row>
    <row r="351" spans="1:31" x14ac:dyDescent="0.2">
      <c r="A351">
        <v>340</v>
      </c>
      <c r="B351" s="19" t="s">
        <v>1091</v>
      </c>
      <c r="C351">
        <v>26</v>
      </c>
      <c r="D351" s="19" t="s">
        <v>363</v>
      </c>
      <c r="E351" s="19" t="s">
        <v>322</v>
      </c>
      <c r="F351">
        <v>28</v>
      </c>
      <c r="G351">
        <v>7</v>
      </c>
      <c r="H351">
        <v>9</v>
      </c>
      <c r="I351">
        <v>16</v>
      </c>
      <c r="J351">
        <v>8</v>
      </c>
      <c r="K351">
        <v>8</v>
      </c>
      <c r="L351">
        <v>7</v>
      </c>
      <c r="M351">
        <v>0</v>
      </c>
      <c r="N351">
        <v>0</v>
      </c>
      <c r="O351">
        <v>1</v>
      </c>
      <c r="P351">
        <v>9</v>
      </c>
      <c r="Q351">
        <v>0</v>
      </c>
      <c r="R351">
        <v>0</v>
      </c>
      <c r="S351">
        <v>48</v>
      </c>
      <c r="T351">
        <v>14.6</v>
      </c>
      <c r="U351">
        <v>94</v>
      </c>
      <c r="V351" s="19" t="s">
        <v>2776</v>
      </c>
      <c r="W351" s="19" t="s">
        <v>1103</v>
      </c>
      <c r="X351">
        <v>2</v>
      </c>
      <c r="Y351">
        <v>13</v>
      </c>
      <c r="Z351">
        <v>13.3</v>
      </c>
      <c r="AA351">
        <v>9</v>
      </c>
      <c r="AB351">
        <v>28</v>
      </c>
      <c r="AC351">
        <v>4</v>
      </c>
      <c r="AD351">
        <v>13</v>
      </c>
      <c r="AE351" s="19" t="s">
        <v>60</v>
      </c>
    </row>
    <row r="352" spans="1:31" x14ac:dyDescent="0.2">
      <c r="A352">
        <v>341</v>
      </c>
      <c r="B352" s="19" t="s">
        <v>807</v>
      </c>
      <c r="C352">
        <v>27</v>
      </c>
      <c r="D352" s="19" t="s">
        <v>346</v>
      </c>
      <c r="E352" s="19" t="s">
        <v>322</v>
      </c>
      <c r="F352">
        <v>42</v>
      </c>
      <c r="G352">
        <v>7</v>
      </c>
      <c r="H352">
        <v>9</v>
      </c>
      <c r="I352">
        <v>16</v>
      </c>
      <c r="J352">
        <v>5</v>
      </c>
      <c r="K352">
        <v>22</v>
      </c>
      <c r="L352">
        <v>5</v>
      </c>
      <c r="M352">
        <v>0</v>
      </c>
      <c r="N352">
        <v>2</v>
      </c>
      <c r="O352">
        <v>2</v>
      </c>
      <c r="P352">
        <v>9</v>
      </c>
      <c r="Q352">
        <v>0</v>
      </c>
      <c r="R352">
        <v>0</v>
      </c>
      <c r="S352">
        <v>67</v>
      </c>
      <c r="T352">
        <v>10.4</v>
      </c>
      <c r="U352">
        <v>116</v>
      </c>
      <c r="V352" s="19" t="s">
        <v>2777</v>
      </c>
      <c r="W352" s="19" t="s">
        <v>1786</v>
      </c>
      <c r="X352">
        <v>177</v>
      </c>
      <c r="Y352">
        <v>181</v>
      </c>
      <c r="Z352">
        <v>49.4</v>
      </c>
      <c r="AA352">
        <v>23</v>
      </c>
      <c r="AB352">
        <v>93</v>
      </c>
      <c r="AC352">
        <v>15</v>
      </c>
      <c r="AD352">
        <v>23</v>
      </c>
      <c r="AE352" s="19" t="s">
        <v>60</v>
      </c>
    </row>
    <row r="353" spans="1:31" x14ac:dyDescent="0.2">
      <c r="A353">
        <v>342</v>
      </c>
      <c r="B353" s="19" t="s">
        <v>773</v>
      </c>
      <c r="C353">
        <v>29</v>
      </c>
      <c r="D353" s="19" t="s">
        <v>363</v>
      </c>
      <c r="E353" s="19" t="s">
        <v>349</v>
      </c>
      <c r="F353">
        <v>52</v>
      </c>
      <c r="G353">
        <v>5</v>
      </c>
      <c r="H353">
        <v>11</v>
      </c>
      <c r="I353">
        <v>16</v>
      </c>
      <c r="J353">
        <v>-4</v>
      </c>
      <c r="K353">
        <v>22</v>
      </c>
      <c r="L353">
        <v>5</v>
      </c>
      <c r="M353">
        <v>0</v>
      </c>
      <c r="N353">
        <v>0</v>
      </c>
      <c r="O353">
        <v>0</v>
      </c>
      <c r="P353">
        <v>11</v>
      </c>
      <c r="Q353">
        <v>0</v>
      </c>
      <c r="R353">
        <v>0</v>
      </c>
      <c r="S353">
        <v>43</v>
      </c>
      <c r="T353">
        <v>11.6</v>
      </c>
      <c r="U353">
        <v>108</v>
      </c>
      <c r="V353" s="19" t="s">
        <v>2778</v>
      </c>
      <c r="W353" s="19" t="s">
        <v>1144</v>
      </c>
      <c r="X353">
        <v>0</v>
      </c>
      <c r="Y353">
        <v>0</v>
      </c>
      <c r="AA353">
        <v>115</v>
      </c>
      <c r="AB353">
        <v>23</v>
      </c>
      <c r="AC353">
        <v>22</v>
      </c>
      <c r="AD353">
        <v>42</v>
      </c>
      <c r="AE353" s="19" t="s">
        <v>60</v>
      </c>
    </row>
    <row r="354" spans="1:31" x14ac:dyDescent="0.2">
      <c r="A354">
        <v>343</v>
      </c>
      <c r="B354" s="19" t="s">
        <v>677</v>
      </c>
      <c r="C354">
        <v>36</v>
      </c>
      <c r="D354" s="19" t="s">
        <v>405</v>
      </c>
      <c r="E354" s="19" t="s">
        <v>349</v>
      </c>
      <c r="F354">
        <v>51</v>
      </c>
      <c r="G354">
        <v>2</v>
      </c>
      <c r="H354">
        <v>14</v>
      </c>
      <c r="I354">
        <v>16</v>
      </c>
      <c r="J354">
        <v>18</v>
      </c>
      <c r="K354">
        <v>26</v>
      </c>
      <c r="L354">
        <v>2</v>
      </c>
      <c r="M354">
        <v>0</v>
      </c>
      <c r="N354">
        <v>0</v>
      </c>
      <c r="O354">
        <v>0</v>
      </c>
      <c r="P354">
        <v>13</v>
      </c>
      <c r="Q354">
        <v>0</v>
      </c>
      <c r="R354">
        <v>1</v>
      </c>
      <c r="S354">
        <v>36</v>
      </c>
      <c r="T354">
        <v>5.6</v>
      </c>
      <c r="U354">
        <v>108</v>
      </c>
      <c r="V354" s="19" t="s">
        <v>2779</v>
      </c>
      <c r="W354" s="19" t="s">
        <v>2104</v>
      </c>
      <c r="X354">
        <v>0</v>
      </c>
      <c r="Y354">
        <v>0</v>
      </c>
      <c r="AA354">
        <v>101</v>
      </c>
      <c r="AB354">
        <v>53</v>
      </c>
      <c r="AC354">
        <v>8</v>
      </c>
      <c r="AD354">
        <v>56</v>
      </c>
      <c r="AE354" s="19" t="s">
        <v>60</v>
      </c>
    </row>
    <row r="355" spans="1:31" x14ac:dyDescent="0.2">
      <c r="A355">
        <v>344</v>
      </c>
      <c r="B355" s="19" t="s">
        <v>775</v>
      </c>
      <c r="C355">
        <v>20</v>
      </c>
      <c r="D355" s="19" t="s">
        <v>359</v>
      </c>
      <c r="E355" s="19" t="s">
        <v>335</v>
      </c>
      <c r="F355">
        <v>40</v>
      </c>
      <c r="G355">
        <v>7</v>
      </c>
      <c r="H355">
        <v>9</v>
      </c>
      <c r="I355">
        <v>16</v>
      </c>
      <c r="J355">
        <v>4</v>
      </c>
      <c r="K355">
        <v>14</v>
      </c>
      <c r="L355">
        <v>7</v>
      </c>
      <c r="M355">
        <v>0</v>
      </c>
      <c r="N355">
        <v>0</v>
      </c>
      <c r="O355">
        <v>1</v>
      </c>
      <c r="P355">
        <v>9</v>
      </c>
      <c r="Q355">
        <v>0</v>
      </c>
      <c r="R355">
        <v>0</v>
      </c>
      <c r="S355">
        <v>62</v>
      </c>
      <c r="T355">
        <v>11.3</v>
      </c>
      <c r="U355">
        <v>119</v>
      </c>
      <c r="V355" s="19" t="s">
        <v>2452</v>
      </c>
      <c r="W355" s="19" t="s">
        <v>1762</v>
      </c>
      <c r="X355">
        <v>2</v>
      </c>
      <c r="Y355">
        <v>4</v>
      </c>
      <c r="Z355">
        <v>33.299999999999997</v>
      </c>
      <c r="AA355">
        <v>21</v>
      </c>
      <c r="AB355">
        <v>44</v>
      </c>
      <c r="AC355">
        <v>6</v>
      </c>
      <c r="AD355">
        <v>41</v>
      </c>
      <c r="AE355" s="19" t="s">
        <v>60</v>
      </c>
    </row>
    <row r="356" spans="1:31" x14ac:dyDescent="0.2">
      <c r="A356">
        <v>345</v>
      </c>
      <c r="B356" s="19" t="s">
        <v>681</v>
      </c>
      <c r="C356">
        <v>32</v>
      </c>
      <c r="D356" s="19" t="s">
        <v>419</v>
      </c>
      <c r="E356" s="19" t="s">
        <v>349</v>
      </c>
      <c r="F356">
        <v>50</v>
      </c>
      <c r="G356">
        <v>2</v>
      </c>
      <c r="H356">
        <v>14</v>
      </c>
      <c r="I356">
        <v>16</v>
      </c>
      <c r="J356">
        <v>12</v>
      </c>
      <c r="K356">
        <v>19</v>
      </c>
      <c r="L356">
        <v>2</v>
      </c>
      <c r="M356">
        <v>0</v>
      </c>
      <c r="N356">
        <v>0</v>
      </c>
      <c r="O356">
        <v>0</v>
      </c>
      <c r="P356">
        <v>11</v>
      </c>
      <c r="Q356">
        <v>2</v>
      </c>
      <c r="R356">
        <v>1</v>
      </c>
      <c r="S356">
        <v>67</v>
      </c>
      <c r="T356">
        <v>3</v>
      </c>
      <c r="U356">
        <v>153</v>
      </c>
      <c r="V356" s="19" t="s">
        <v>2780</v>
      </c>
      <c r="W356" s="19" t="s">
        <v>1615</v>
      </c>
      <c r="X356">
        <v>0</v>
      </c>
      <c r="Y356">
        <v>0</v>
      </c>
      <c r="AA356">
        <v>53</v>
      </c>
      <c r="AB356">
        <v>59</v>
      </c>
      <c r="AC356">
        <v>7</v>
      </c>
      <c r="AD356">
        <v>48</v>
      </c>
      <c r="AE356" s="19" t="s">
        <v>60</v>
      </c>
    </row>
    <row r="357" spans="1:31" x14ac:dyDescent="0.2">
      <c r="A357">
        <v>346</v>
      </c>
      <c r="B357" s="19" t="s">
        <v>816</v>
      </c>
      <c r="C357">
        <v>25</v>
      </c>
      <c r="D357" s="19" t="s">
        <v>352</v>
      </c>
      <c r="E357" s="19" t="s">
        <v>322</v>
      </c>
      <c r="F357">
        <v>46</v>
      </c>
      <c r="G357">
        <v>6</v>
      </c>
      <c r="H357">
        <v>10</v>
      </c>
      <c r="I357">
        <v>16</v>
      </c>
      <c r="J357">
        <v>16</v>
      </c>
      <c r="K357">
        <v>29</v>
      </c>
      <c r="L357">
        <v>6</v>
      </c>
      <c r="M357">
        <v>0</v>
      </c>
      <c r="N357">
        <v>0</v>
      </c>
      <c r="O357">
        <v>1</v>
      </c>
      <c r="P357">
        <v>9</v>
      </c>
      <c r="Q357">
        <v>1</v>
      </c>
      <c r="R357">
        <v>0</v>
      </c>
      <c r="S357">
        <v>39</v>
      </c>
      <c r="T357">
        <v>15.4</v>
      </c>
      <c r="U357">
        <v>80</v>
      </c>
      <c r="V357" s="19" t="s">
        <v>2781</v>
      </c>
      <c r="W357" s="19" t="s">
        <v>1386</v>
      </c>
      <c r="X357">
        <v>6</v>
      </c>
      <c r="Y357">
        <v>13</v>
      </c>
      <c r="Z357">
        <v>31.6</v>
      </c>
      <c r="AA357">
        <v>18</v>
      </c>
      <c r="AB357">
        <v>42</v>
      </c>
      <c r="AC357">
        <v>11</v>
      </c>
      <c r="AD357">
        <v>37</v>
      </c>
      <c r="AE357" s="19" t="s">
        <v>60</v>
      </c>
    </row>
    <row r="358" spans="1:31" x14ac:dyDescent="0.2">
      <c r="A358">
        <v>347</v>
      </c>
      <c r="B358" s="19" t="s">
        <v>716</v>
      </c>
      <c r="C358">
        <v>32</v>
      </c>
      <c r="D358" s="19" t="s">
        <v>355</v>
      </c>
      <c r="E358" s="19" t="s">
        <v>349</v>
      </c>
      <c r="F358">
        <v>38</v>
      </c>
      <c r="G358">
        <v>3</v>
      </c>
      <c r="H358">
        <v>13</v>
      </c>
      <c r="I358">
        <v>16</v>
      </c>
      <c r="J358">
        <v>-9</v>
      </c>
      <c r="K358">
        <v>36</v>
      </c>
      <c r="L358">
        <v>2</v>
      </c>
      <c r="M358">
        <v>1</v>
      </c>
      <c r="N358">
        <v>0</v>
      </c>
      <c r="O358">
        <v>2</v>
      </c>
      <c r="P358">
        <v>10</v>
      </c>
      <c r="Q358">
        <v>3</v>
      </c>
      <c r="R358">
        <v>0</v>
      </c>
      <c r="S358">
        <v>63</v>
      </c>
      <c r="T358">
        <v>4.8</v>
      </c>
      <c r="U358">
        <v>151</v>
      </c>
      <c r="V358" s="19" t="s">
        <v>2782</v>
      </c>
      <c r="W358" s="19" t="s">
        <v>1974</v>
      </c>
      <c r="X358">
        <v>0</v>
      </c>
      <c r="Y358">
        <v>0</v>
      </c>
      <c r="AA358">
        <v>65</v>
      </c>
      <c r="AB358">
        <v>5</v>
      </c>
      <c r="AC358">
        <v>14</v>
      </c>
      <c r="AD358">
        <v>42</v>
      </c>
      <c r="AE358" s="19" t="s">
        <v>60</v>
      </c>
    </row>
    <row r="359" spans="1:31" x14ac:dyDescent="0.2">
      <c r="A359">
        <v>348</v>
      </c>
      <c r="B359" s="19" t="s">
        <v>719</v>
      </c>
      <c r="C359">
        <v>33</v>
      </c>
      <c r="D359" s="19" t="s">
        <v>397</v>
      </c>
      <c r="E359" s="19" t="s">
        <v>340</v>
      </c>
      <c r="F359">
        <v>49</v>
      </c>
      <c r="G359">
        <v>7</v>
      </c>
      <c r="H359">
        <v>9</v>
      </c>
      <c r="I359">
        <v>16</v>
      </c>
      <c r="J359">
        <v>4</v>
      </c>
      <c r="K359">
        <v>21</v>
      </c>
      <c r="L359">
        <v>6</v>
      </c>
      <c r="M359">
        <v>0</v>
      </c>
      <c r="N359">
        <v>1</v>
      </c>
      <c r="O359">
        <v>2</v>
      </c>
      <c r="P359">
        <v>9</v>
      </c>
      <c r="Q359">
        <v>0</v>
      </c>
      <c r="R359">
        <v>0</v>
      </c>
      <c r="S359">
        <v>67</v>
      </c>
      <c r="T359">
        <v>10.4</v>
      </c>
      <c r="U359">
        <v>152</v>
      </c>
      <c r="V359" s="19" t="s">
        <v>2783</v>
      </c>
      <c r="W359" s="19" t="s">
        <v>1195</v>
      </c>
      <c r="X359">
        <v>24</v>
      </c>
      <c r="Y359">
        <v>26</v>
      </c>
      <c r="Z359">
        <v>48</v>
      </c>
      <c r="AA359">
        <v>32</v>
      </c>
      <c r="AB359">
        <v>86</v>
      </c>
      <c r="AC359">
        <v>11</v>
      </c>
      <c r="AD359">
        <v>27</v>
      </c>
      <c r="AE359" s="19" t="s">
        <v>60</v>
      </c>
    </row>
    <row r="360" spans="1:31" x14ac:dyDescent="0.2">
      <c r="A360">
        <v>349</v>
      </c>
      <c r="B360" s="19" t="s">
        <v>789</v>
      </c>
      <c r="C360">
        <v>26</v>
      </c>
      <c r="D360" s="19" t="s">
        <v>405</v>
      </c>
      <c r="E360" s="19" t="s">
        <v>322</v>
      </c>
      <c r="F360">
        <v>51</v>
      </c>
      <c r="G360">
        <v>6</v>
      </c>
      <c r="H360">
        <v>10</v>
      </c>
      <c r="I360">
        <v>16</v>
      </c>
      <c r="J360">
        <v>3</v>
      </c>
      <c r="K360">
        <v>52</v>
      </c>
      <c r="L360">
        <v>6</v>
      </c>
      <c r="M360">
        <v>0</v>
      </c>
      <c r="N360">
        <v>0</v>
      </c>
      <c r="O360">
        <v>1</v>
      </c>
      <c r="P360">
        <v>10</v>
      </c>
      <c r="Q360">
        <v>0</v>
      </c>
      <c r="R360">
        <v>0</v>
      </c>
      <c r="S360">
        <v>74</v>
      </c>
      <c r="T360">
        <v>8.1</v>
      </c>
      <c r="U360">
        <v>149</v>
      </c>
      <c r="V360" s="19" t="s">
        <v>2784</v>
      </c>
      <c r="W360" s="19" t="s">
        <v>1764</v>
      </c>
      <c r="X360">
        <v>263</v>
      </c>
      <c r="Y360">
        <v>256</v>
      </c>
      <c r="Z360">
        <v>50.7</v>
      </c>
      <c r="AA360">
        <v>36</v>
      </c>
      <c r="AB360">
        <v>177</v>
      </c>
      <c r="AC360">
        <v>8</v>
      </c>
      <c r="AD360">
        <v>30</v>
      </c>
      <c r="AE360" s="19" t="s">
        <v>60</v>
      </c>
    </row>
    <row r="361" spans="1:31" x14ac:dyDescent="0.2">
      <c r="A361">
        <v>350</v>
      </c>
      <c r="B361" s="19" t="s">
        <v>790</v>
      </c>
      <c r="C361">
        <v>21</v>
      </c>
      <c r="D361" s="19" t="s">
        <v>330</v>
      </c>
      <c r="E361" s="19" t="s">
        <v>322</v>
      </c>
      <c r="F361">
        <v>39</v>
      </c>
      <c r="G361">
        <v>5</v>
      </c>
      <c r="H361">
        <v>11</v>
      </c>
      <c r="I361">
        <v>16</v>
      </c>
      <c r="J361">
        <v>-13</v>
      </c>
      <c r="K361">
        <v>15</v>
      </c>
      <c r="L361">
        <v>3</v>
      </c>
      <c r="M361">
        <v>2</v>
      </c>
      <c r="N361">
        <v>0</v>
      </c>
      <c r="O361">
        <v>0</v>
      </c>
      <c r="P361">
        <v>8</v>
      </c>
      <c r="Q361">
        <v>3</v>
      </c>
      <c r="R361">
        <v>0</v>
      </c>
      <c r="S361">
        <v>46</v>
      </c>
      <c r="T361">
        <v>10.9</v>
      </c>
      <c r="U361">
        <v>86</v>
      </c>
      <c r="V361" s="19" t="s">
        <v>2453</v>
      </c>
      <c r="W361" s="19" t="s">
        <v>956</v>
      </c>
      <c r="X361">
        <v>74</v>
      </c>
      <c r="Y361">
        <v>68</v>
      </c>
      <c r="Z361">
        <v>52.1</v>
      </c>
      <c r="AA361">
        <v>12</v>
      </c>
      <c r="AB361">
        <v>21</v>
      </c>
      <c r="AC361">
        <v>13</v>
      </c>
      <c r="AD361">
        <v>33</v>
      </c>
      <c r="AE361" s="19" t="s">
        <v>60</v>
      </c>
    </row>
    <row r="362" spans="1:31" x14ac:dyDescent="0.2">
      <c r="A362">
        <v>351</v>
      </c>
      <c r="B362" s="19" t="s">
        <v>828</v>
      </c>
      <c r="C362">
        <v>25</v>
      </c>
      <c r="D362" s="19" t="s">
        <v>352</v>
      </c>
      <c r="E362" s="19" t="s">
        <v>349</v>
      </c>
      <c r="F362">
        <v>48</v>
      </c>
      <c r="G362">
        <v>5</v>
      </c>
      <c r="H362">
        <v>11</v>
      </c>
      <c r="I362">
        <v>16</v>
      </c>
      <c r="J362">
        <v>37</v>
      </c>
      <c r="K362">
        <v>28</v>
      </c>
      <c r="L362">
        <v>5</v>
      </c>
      <c r="M362">
        <v>0</v>
      </c>
      <c r="N362">
        <v>0</v>
      </c>
      <c r="O362">
        <v>0</v>
      </c>
      <c r="P362">
        <v>10</v>
      </c>
      <c r="Q362">
        <v>0</v>
      </c>
      <c r="R362">
        <v>1</v>
      </c>
      <c r="S362">
        <v>67</v>
      </c>
      <c r="T362">
        <v>7.5</v>
      </c>
      <c r="U362">
        <v>154</v>
      </c>
      <c r="V362" s="19" t="s">
        <v>2785</v>
      </c>
      <c r="W362" s="19" t="s">
        <v>1716</v>
      </c>
      <c r="X362">
        <v>0</v>
      </c>
      <c r="Y362">
        <v>0</v>
      </c>
      <c r="AA362">
        <v>61</v>
      </c>
      <c r="AB362">
        <v>38</v>
      </c>
      <c r="AC362">
        <v>16</v>
      </c>
      <c r="AD362">
        <v>49</v>
      </c>
      <c r="AE362" s="19" t="s">
        <v>60</v>
      </c>
    </row>
    <row r="363" spans="1:31" x14ac:dyDescent="0.2">
      <c r="A363">
        <v>352</v>
      </c>
      <c r="B363" s="19" t="s">
        <v>720</v>
      </c>
      <c r="C363">
        <v>30</v>
      </c>
      <c r="D363" s="19" t="s">
        <v>328</v>
      </c>
      <c r="E363" s="19" t="s">
        <v>349</v>
      </c>
      <c r="F363">
        <v>53</v>
      </c>
      <c r="G363">
        <v>6</v>
      </c>
      <c r="H363">
        <v>10</v>
      </c>
      <c r="I363">
        <v>16</v>
      </c>
      <c r="J363">
        <v>-10</v>
      </c>
      <c r="K363">
        <v>81</v>
      </c>
      <c r="L363">
        <v>6</v>
      </c>
      <c r="M363">
        <v>0</v>
      </c>
      <c r="N363">
        <v>0</v>
      </c>
      <c r="O363">
        <v>0</v>
      </c>
      <c r="P363">
        <v>8</v>
      </c>
      <c r="Q363">
        <v>0</v>
      </c>
      <c r="R363">
        <v>2</v>
      </c>
      <c r="S363">
        <v>110</v>
      </c>
      <c r="T363">
        <v>5.5</v>
      </c>
      <c r="U363">
        <v>236</v>
      </c>
      <c r="V363" s="19" t="s">
        <v>2786</v>
      </c>
      <c r="W363" s="19" t="s">
        <v>1946</v>
      </c>
      <c r="X363">
        <v>0</v>
      </c>
      <c r="Y363">
        <v>0</v>
      </c>
      <c r="AA363">
        <v>118</v>
      </c>
      <c r="AB363">
        <v>73</v>
      </c>
      <c r="AC363">
        <v>14</v>
      </c>
      <c r="AD363">
        <v>56</v>
      </c>
      <c r="AE363" s="19" t="s">
        <v>60</v>
      </c>
    </row>
    <row r="364" spans="1:31" x14ac:dyDescent="0.2">
      <c r="A364">
        <v>353</v>
      </c>
      <c r="B364" s="19" t="s">
        <v>839</v>
      </c>
      <c r="C364">
        <v>31</v>
      </c>
      <c r="D364" s="19" t="s">
        <v>459</v>
      </c>
      <c r="E364" s="19" t="s">
        <v>349</v>
      </c>
      <c r="F364">
        <v>51</v>
      </c>
      <c r="G364">
        <v>1</v>
      </c>
      <c r="H364">
        <v>15</v>
      </c>
      <c r="I364">
        <v>16</v>
      </c>
      <c r="J364">
        <v>-8</v>
      </c>
      <c r="K364">
        <v>20</v>
      </c>
      <c r="L364">
        <v>1</v>
      </c>
      <c r="M364">
        <v>0</v>
      </c>
      <c r="N364">
        <v>0</v>
      </c>
      <c r="O364">
        <v>0</v>
      </c>
      <c r="P364">
        <v>13</v>
      </c>
      <c r="Q364">
        <v>2</v>
      </c>
      <c r="R364">
        <v>0</v>
      </c>
      <c r="S364">
        <v>77</v>
      </c>
      <c r="T364">
        <v>1.3</v>
      </c>
      <c r="U364">
        <v>192</v>
      </c>
      <c r="V364" s="19" t="s">
        <v>2787</v>
      </c>
      <c r="W364" s="19" t="s">
        <v>2110</v>
      </c>
      <c r="X364">
        <v>0</v>
      </c>
      <c r="Y364">
        <v>0</v>
      </c>
      <c r="AA364">
        <v>50</v>
      </c>
      <c r="AB364">
        <v>40</v>
      </c>
      <c r="AC364">
        <v>15</v>
      </c>
      <c r="AD364">
        <v>71</v>
      </c>
      <c r="AE364" s="19" t="s">
        <v>60</v>
      </c>
    </row>
    <row r="365" spans="1:31" x14ac:dyDescent="0.2">
      <c r="A365">
        <v>354</v>
      </c>
      <c r="B365" s="19" t="s">
        <v>690</v>
      </c>
      <c r="C365">
        <v>21</v>
      </c>
      <c r="D365" s="19" t="s">
        <v>513</v>
      </c>
      <c r="E365" s="19" t="s">
        <v>335</v>
      </c>
      <c r="F365">
        <v>40</v>
      </c>
      <c r="G365">
        <v>7</v>
      </c>
      <c r="H365">
        <v>9</v>
      </c>
      <c r="I365">
        <v>16</v>
      </c>
      <c r="J365">
        <v>-10</v>
      </c>
      <c r="K365">
        <v>10</v>
      </c>
      <c r="L365">
        <v>4</v>
      </c>
      <c r="M365">
        <v>3</v>
      </c>
      <c r="N365">
        <v>0</v>
      </c>
      <c r="O365">
        <v>2</v>
      </c>
      <c r="P365">
        <v>6</v>
      </c>
      <c r="Q365">
        <v>3</v>
      </c>
      <c r="R365">
        <v>0</v>
      </c>
      <c r="S365">
        <v>84</v>
      </c>
      <c r="T365">
        <v>8.3000000000000007</v>
      </c>
      <c r="U365">
        <v>184</v>
      </c>
      <c r="V365" s="19" t="s">
        <v>2788</v>
      </c>
      <c r="W365" s="19" t="s">
        <v>995</v>
      </c>
      <c r="X365">
        <v>3</v>
      </c>
      <c r="Y365">
        <v>1</v>
      </c>
      <c r="Z365">
        <v>75</v>
      </c>
      <c r="AA365">
        <v>26</v>
      </c>
      <c r="AB365">
        <v>42</v>
      </c>
      <c r="AC365">
        <v>12</v>
      </c>
      <c r="AD365">
        <v>23</v>
      </c>
      <c r="AE365" s="19" t="s">
        <v>60</v>
      </c>
    </row>
    <row r="366" spans="1:31" x14ac:dyDescent="0.2">
      <c r="A366">
        <v>355</v>
      </c>
      <c r="B366" s="19" t="s">
        <v>948</v>
      </c>
      <c r="C366">
        <v>32</v>
      </c>
      <c r="D366" s="19" t="s">
        <v>436</v>
      </c>
      <c r="E366" s="19" t="s">
        <v>349</v>
      </c>
      <c r="F366">
        <v>51</v>
      </c>
      <c r="G366">
        <v>3</v>
      </c>
      <c r="H366">
        <v>13</v>
      </c>
      <c r="I366">
        <v>16</v>
      </c>
      <c r="J366">
        <v>-28</v>
      </c>
      <c r="K366">
        <v>63</v>
      </c>
      <c r="L366">
        <v>3</v>
      </c>
      <c r="M366">
        <v>0</v>
      </c>
      <c r="N366">
        <v>0</v>
      </c>
      <c r="O366">
        <v>0</v>
      </c>
      <c r="P366">
        <v>9</v>
      </c>
      <c r="Q366">
        <v>3</v>
      </c>
      <c r="R366">
        <v>1</v>
      </c>
      <c r="S366">
        <v>112</v>
      </c>
      <c r="T366">
        <v>2.7</v>
      </c>
      <c r="U366">
        <v>272</v>
      </c>
      <c r="V366" s="19" t="s">
        <v>2454</v>
      </c>
      <c r="W366" s="19" t="s">
        <v>2455</v>
      </c>
      <c r="X366">
        <v>0</v>
      </c>
      <c r="Y366">
        <v>0</v>
      </c>
      <c r="AA366">
        <v>109</v>
      </c>
      <c r="AB366">
        <v>120</v>
      </c>
      <c r="AC366">
        <v>18</v>
      </c>
      <c r="AD366">
        <v>83</v>
      </c>
      <c r="AE366" s="19" t="s">
        <v>60</v>
      </c>
    </row>
    <row r="367" spans="1:31" x14ac:dyDescent="0.2">
      <c r="A367">
        <v>356</v>
      </c>
      <c r="B367" s="19" t="s">
        <v>731</v>
      </c>
      <c r="C367">
        <v>28</v>
      </c>
      <c r="D367" s="19" t="s">
        <v>376</v>
      </c>
      <c r="E367" s="19" t="s">
        <v>349</v>
      </c>
      <c r="F367">
        <v>50</v>
      </c>
      <c r="G367">
        <v>3</v>
      </c>
      <c r="H367">
        <v>13</v>
      </c>
      <c r="I367">
        <v>16</v>
      </c>
      <c r="J367">
        <v>3</v>
      </c>
      <c r="K367">
        <v>34</v>
      </c>
      <c r="L367">
        <v>3</v>
      </c>
      <c r="M367">
        <v>0</v>
      </c>
      <c r="N367">
        <v>0</v>
      </c>
      <c r="O367">
        <v>1</v>
      </c>
      <c r="P367">
        <v>12</v>
      </c>
      <c r="Q367">
        <v>0</v>
      </c>
      <c r="R367">
        <v>1</v>
      </c>
      <c r="S367">
        <v>46</v>
      </c>
      <c r="T367">
        <v>6.5</v>
      </c>
      <c r="U367">
        <v>102</v>
      </c>
      <c r="V367" s="19" t="s">
        <v>2282</v>
      </c>
      <c r="W367" s="19" t="s">
        <v>1757</v>
      </c>
      <c r="X367">
        <v>0</v>
      </c>
      <c r="Y367">
        <v>0</v>
      </c>
      <c r="AA367">
        <v>77</v>
      </c>
      <c r="AB367">
        <v>101</v>
      </c>
      <c r="AC367">
        <v>21</v>
      </c>
      <c r="AD367">
        <v>75</v>
      </c>
      <c r="AE367" s="19" t="s">
        <v>60</v>
      </c>
    </row>
    <row r="368" spans="1:31" x14ac:dyDescent="0.2">
      <c r="A368">
        <v>357</v>
      </c>
      <c r="B368" s="19" t="s">
        <v>694</v>
      </c>
      <c r="C368">
        <v>24</v>
      </c>
      <c r="D368" s="19" t="s">
        <v>513</v>
      </c>
      <c r="E368" s="19" t="s">
        <v>349</v>
      </c>
      <c r="F368">
        <v>51</v>
      </c>
      <c r="G368">
        <v>2</v>
      </c>
      <c r="H368">
        <v>13</v>
      </c>
      <c r="I368">
        <v>15</v>
      </c>
      <c r="J368">
        <v>-1</v>
      </c>
      <c r="K368">
        <v>8</v>
      </c>
      <c r="L368">
        <v>2</v>
      </c>
      <c r="M368">
        <v>0</v>
      </c>
      <c r="N368">
        <v>0</v>
      </c>
      <c r="O368">
        <v>0</v>
      </c>
      <c r="P368">
        <v>13</v>
      </c>
      <c r="Q368">
        <v>0</v>
      </c>
      <c r="R368">
        <v>0</v>
      </c>
      <c r="S368">
        <v>66</v>
      </c>
      <c r="T368">
        <v>3</v>
      </c>
      <c r="U368">
        <v>171</v>
      </c>
      <c r="V368" s="19" t="s">
        <v>2789</v>
      </c>
      <c r="W368" s="19" t="s">
        <v>2790</v>
      </c>
      <c r="X368">
        <v>0</v>
      </c>
      <c r="Y368">
        <v>0</v>
      </c>
      <c r="AA368">
        <v>73</v>
      </c>
      <c r="AB368">
        <v>20</v>
      </c>
      <c r="AC368">
        <v>16</v>
      </c>
      <c r="AD368">
        <v>70</v>
      </c>
      <c r="AE368" s="19" t="s">
        <v>60</v>
      </c>
    </row>
    <row r="369" spans="1:31" x14ac:dyDescent="0.2">
      <c r="A369">
        <v>358</v>
      </c>
      <c r="B369" s="19" t="s">
        <v>740</v>
      </c>
      <c r="C369">
        <v>32</v>
      </c>
      <c r="D369" s="19" t="s">
        <v>357</v>
      </c>
      <c r="E369" s="19" t="s">
        <v>349</v>
      </c>
      <c r="F369">
        <v>42</v>
      </c>
      <c r="G369">
        <v>3</v>
      </c>
      <c r="H369">
        <v>12</v>
      </c>
      <c r="I369">
        <v>15</v>
      </c>
      <c r="J369">
        <v>13</v>
      </c>
      <c r="K369">
        <v>8</v>
      </c>
      <c r="L369">
        <v>3</v>
      </c>
      <c r="M369">
        <v>0</v>
      </c>
      <c r="N369">
        <v>0</v>
      </c>
      <c r="O369">
        <v>1</v>
      </c>
      <c r="P369">
        <v>11</v>
      </c>
      <c r="Q369">
        <v>1</v>
      </c>
      <c r="R369">
        <v>0</v>
      </c>
      <c r="S369">
        <v>43</v>
      </c>
      <c r="T369">
        <v>7</v>
      </c>
      <c r="U369">
        <v>111</v>
      </c>
      <c r="V369" s="19" t="s">
        <v>1933</v>
      </c>
      <c r="W369" s="19" t="s">
        <v>1846</v>
      </c>
      <c r="X369">
        <v>0</v>
      </c>
      <c r="Y369">
        <v>0</v>
      </c>
      <c r="AA369">
        <v>91</v>
      </c>
      <c r="AB369">
        <v>8</v>
      </c>
      <c r="AC369">
        <v>9</v>
      </c>
      <c r="AD369">
        <v>30</v>
      </c>
      <c r="AE369" s="19" t="s">
        <v>60</v>
      </c>
    </row>
    <row r="370" spans="1:31" x14ac:dyDescent="0.2">
      <c r="A370">
        <v>359</v>
      </c>
      <c r="B370" s="19" t="s">
        <v>701</v>
      </c>
      <c r="C370">
        <v>25</v>
      </c>
      <c r="D370" s="19" t="s">
        <v>321</v>
      </c>
      <c r="E370" s="19" t="s">
        <v>322</v>
      </c>
      <c r="F370">
        <v>49</v>
      </c>
      <c r="G370">
        <v>7</v>
      </c>
      <c r="H370">
        <v>8</v>
      </c>
      <c r="I370">
        <v>15</v>
      </c>
      <c r="J370">
        <v>11</v>
      </c>
      <c r="K370">
        <v>18</v>
      </c>
      <c r="L370">
        <v>7</v>
      </c>
      <c r="M370">
        <v>0</v>
      </c>
      <c r="N370">
        <v>0</v>
      </c>
      <c r="O370">
        <v>0</v>
      </c>
      <c r="P370">
        <v>8</v>
      </c>
      <c r="Q370">
        <v>0</v>
      </c>
      <c r="R370">
        <v>0</v>
      </c>
      <c r="S370">
        <v>58</v>
      </c>
      <c r="T370">
        <v>12.1</v>
      </c>
      <c r="U370">
        <v>120</v>
      </c>
      <c r="V370" s="19" t="s">
        <v>2456</v>
      </c>
      <c r="W370" s="19" t="s">
        <v>1103</v>
      </c>
      <c r="X370">
        <v>341</v>
      </c>
      <c r="Y370">
        <v>243</v>
      </c>
      <c r="Z370">
        <v>58.4</v>
      </c>
      <c r="AA370">
        <v>43</v>
      </c>
      <c r="AB370">
        <v>19</v>
      </c>
      <c r="AC370">
        <v>11</v>
      </c>
      <c r="AD370">
        <v>22</v>
      </c>
      <c r="AE370" s="19" t="s">
        <v>60</v>
      </c>
    </row>
    <row r="371" spans="1:31" x14ac:dyDescent="0.2">
      <c r="A371">
        <v>360</v>
      </c>
      <c r="B371" s="19" t="s">
        <v>1104</v>
      </c>
      <c r="C371">
        <v>27</v>
      </c>
      <c r="D371" s="19" t="s">
        <v>405</v>
      </c>
      <c r="E371" s="19" t="s">
        <v>349</v>
      </c>
      <c r="F371">
        <v>30</v>
      </c>
      <c r="G371">
        <v>3</v>
      </c>
      <c r="H371">
        <v>12</v>
      </c>
      <c r="I371">
        <v>15</v>
      </c>
      <c r="J371">
        <v>-8</v>
      </c>
      <c r="K371">
        <v>24</v>
      </c>
      <c r="L371">
        <v>3</v>
      </c>
      <c r="M371">
        <v>0</v>
      </c>
      <c r="N371">
        <v>0</v>
      </c>
      <c r="O371">
        <v>2</v>
      </c>
      <c r="P371">
        <v>10</v>
      </c>
      <c r="Q371">
        <v>2</v>
      </c>
      <c r="R371">
        <v>0</v>
      </c>
      <c r="S371">
        <v>52</v>
      </c>
      <c r="T371">
        <v>5.8</v>
      </c>
      <c r="U371">
        <v>133</v>
      </c>
      <c r="V371" s="19" t="s">
        <v>2791</v>
      </c>
      <c r="W371" s="19" t="s">
        <v>2048</v>
      </c>
      <c r="X371">
        <v>0</v>
      </c>
      <c r="Y371">
        <v>0</v>
      </c>
      <c r="AA371">
        <v>55</v>
      </c>
      <c r="AB371">
        <v>16</v>
      </c>
      <c r="AC371">
        <v>6</v>
      </c>
      <c r="AD371">
        <v>35</v>
      </c>
      <c r="AE371" s="19" t="s">
        <v>60</v>
      </c>
    </row>
    <row r="372" spans="1:31" x14ac:dyDescent="0.2">
      <c r="A372">
        <v>361</v>
      </c>
      <c r="B372" s="19" t="s">
        <v>707</v>
      </c>
      <c r="C372">
        <v>33</v>
      </c>
      <c r="D372" s="19" t="s">
        <v>363</v>
      </c>
      <c r="E372" s="19" t="s">
        <v>335</v>
      </c>
      <c r="F372">
        <v>52</v>
      </c>
      <c r="G372">
        <v>4</v>
      </c>
      <c r="H372">
        <v>11</v>
      </c>
      <c r="I372">
        <v>15</v>
      </c>
      <c r="J372">
        <v>-3</v>
      </c>
      <c r="K372">
        <v>24</v>
      </c>
      <c r="L372">
        <v>3</v>
      </c>
      <c r="M372">
        <v>1</v>
      </c>
      <c r="N372">
        <v>0</v>
      </c>
      <c r="O372">
        <v>0</v>
      </c>
      <c r="P372">
        <v>9</v>
      </c>
      <c r="Q372">
        <v>2</v>
      </c>
      <c r="R372">
        <v>0</v>
      </c>
      <c r="S372">
        <v>91</v>
      </c>
      <c r="T372">
        <v>4.4000000000000004</v>
      </c>
      <c r="U372">
        <v>169</v>
      </c>
      <c r="V372" s="19" t="s">
        <v>2792</v>
      </c>
      <c r="W372" s="19" t="s">
        <v>2793</v>
      </c>
      <c r="X372">
        <v>5</v>
      </c>
      <c r="Y372">
        <v>4</v>
      </c>
      <c r="Z372">
        <v>55.6</v>
      </c>
      <c r="AA372">
        <v>10</v>
      </c>
      <c r="AB372">
        <v>57</v>
      </c>
      <c r="AC372">
        <v>9</v>
      </c>
      <c r="AD372">
        <v>25</v>
      </c>
      <c r="AE372" s="19" t="s">
        <v>60</v>
      </c>
    </row>
    <row r="373" spans="1:31" x14ac:dyDescent="0.2">
      <c r="A373">
        <v>362</v>
      </c>
      <c r="B373" s="19" t="s">
        <v>868</v>
      </c>
      <c r="C373">
        <v>26</v>
      </c>
      <c r="D373" s="19" t="s">
        <v>352</v>
      </c>
      <c r="E373" s="19" t="s">
        <v>335</v>
      </c>
      <c r="F373">
        <v>43</v>
      </c>
      <c r="G373">
        <v>8</v>
      </c>
      <c r="H373">
        <v>7</v>
      </c>
      <c r="I373">
        <v>15</v>
      </c>
      <c r="J373">
        <v>8</v>
      </c>
      <c r="K373">
        <v>12</v>
      </c>
      <c r="L373">
        <v>8</v>
      </c>
      <c r="M373">
        <v>0</v>
      </c>
      <c r="N373">
        <v>0</v>
      </c>
      <c r="O373">
        <v>2</v>
      </c>
      <c r="P373">
        <v>7</v>
      </c>
      <c r="Q373">
        <v>0</v>
      </c>
      <c r="R373">
        <v>0</v>
      </c>
      <c r="S373">
        <v>58</v>
      </c>
      <c r="T373">
        <v>13.8</v>
      </c>
      <c r="U373">
        <v>122</v>
      </c>
      <c r="V373" s="19" t="s">
        <v>2794</v>
      </c>
      <c r="W373" s="19" t="s">
        <v>2001</v>
      </c>
      <c r="X373">
        <v>16</v>
      </c>
      <c r="Y373">
        <v>27</v>
      </c>
      <c r="Z373">
        <v>37.200000000000003</v>
      </c>
      <c r="AA373">
        <v>23</v>
      </c>
      <c r="AB373">
        <v>38</v>
      </c>
      <c r="AC373">
        <v>8</v>
      </c>
      <c r="AD373">
        <v>26</v>
      </c>
      <c r="AE373" s="19" t="s">
        <v>60</v>
      </c>
    </row>
    <row r="374" spans="1:31" x14ac:dyDescent="0.2">
      <c r="A374">
        <v>363</v>
      </c>
      <c r="B374" s="19" t="s">
        <v>754</v>
      </c>
      <c r="C374">
        <v>27</v>
      </c>
      <c r="D374" s="19" t="s">
        <v>344</v>
      </c>
      <c r="E374" s="19" t="s">
        <v>322</v>
      </c>
      <c r="F374">
        <v>39</v>
      </c>
      <c r="G374">
        <v>9</v>
      </c>
      <c r="H374">
        <v>6</v>
      </c>
      <c r="I374">
        <v>15</v>
      </c>
      <c r="J374">
        <v>-4</v>
      </c>
      <c r="K374">
        <v>20</v>
      </c>
      <c r="L374">
        <v>9</v>
      </c>
      <c r="M374">
        <v>0</v>
      </c>
      <c r="N374">
        <v>0</v>
      </c>
      <c r="O374">
        <v>0</v>
      </c>
      <c r="P374">
        <v>6</v>
      </c>
      <c r="Q374">
        <v>0</v>
      </c>
      <c r="R374">
        <v>0</v>
      </c>
      <c r="S374">
        <v>46</v>
      </c>
      <c r="T374">
        <v>19.600000000000001</v>
      </c>
      <c r="U374">
        <v>81</v>
      </c>
      <c r="V374" s="19" t="s">
        <v>1900</v>
      </c>
      <c r="W374" s="19" t="s">
        <v>1754</v>
      </c>
      <c r="X374">
        <v>199</v>
      </c>
      <c r="Y374">
        <v>194</v>
      </c>
      <c r="Z374">
        <v>50.6</v>
      </c>
      <c r="AA374">
        <v>9</v>
      </c>
      <c r="AB374">
        <v>66</v>
      </c>
      <c r="AC374">
        <v>8</v>
      </c>
      <c r="AD374">
        <v>34</v>
      </c>
      <c r="AE374" s="19" t="s">
        <v>60</v>
      </c>
    </row>
    <row r="375" spans="1:31" x14ac:dyDescent="0.2">
      <c r="A375">
        <v>364</v>
      </c>
      <c r="B375" s="19" t="s">
        <v>873</v>
      </c>
      <c r="C375">
        <v>23</v>
      </c>
      <c r="D375" s="19" t="s">
        <v>381</v>
      </c>
      <c r="E375" s="19" t="s">
        <v>322</v>
      </c>
      <c r="F375">
        <v>50</v>
      </c>
      <c r="G375">
        <v>5</v>
      </c>
      <c r="H375">
        <v>10</v>
      </c>
      <c r="I375">
        <v>15</v>
      </c>
      <c r="J375">
        <v>-9</v>
      </c>
      <c r="K375">
        <v>8</v>
      </c>
      <c r="L375">
        <v>5</v>
      </c>
      <c r="M375">
        <v>0</v>
      </c>
      <c r="N375">
        <v>0</v>
      </c>
      <c r="O375">
        <v>0</v>
      </c>
      <c r="P375">
        <v>9</v>
      </c>
      <c r="Q375">
        <v>1</v>
      </c>
      <c r="R375">
        <v>0</v>
      </c>
      <c r="S375">
        <v>75</v>
      </c>
      <c r="T375">
        <v>6.7</v>
      </c>
      <c r="U375">
        <v>150</v>
      </c>
      <c r="V375" s="19" t="s">
        <v>2795</v>
      </c>
      <c r="W375" s="19" t="s">
        <v>2019</v>
      </c>
      <c r="X375">
        <v>0</v>
      </c>
      <c r="Y375">
        <v>1</v>
      </c>
      <c r="Z375">
        <v>0</v>
      </c>
      <c r="AA375">
        <v>28</v>
      </c>
      <c r="AB375">
        <v>7</v>
      </c>
      <c r="AC375">
        <v>8</v>
      </c>
      <c r="AD375">
        <v>34</v>
      </c>
      <c r="AE375" s="19" t="s">
        <v>60</v>
      </c>
    </row>
    <row r="376" spans="1:31" x14ac:dyDescent="0.2">
      <c r="A376">
        <v>365</v>
      </c>
      <c r="B376" s="19" t="s">
        <v>756</v>
      </c>
      <c r="C376">
        <v>26</v>
      </c>
      <c r="D376" s="19" t="s">
        <v>355</v>
      </c>
      <c r="E376" s="19" t="s">
        <v>322</v>
      </c>
      <c r="F376">
        <v>52</v>
      </c>
      <c r="G376">
        <v>8</v>
      </c>
      <c r="H376">
        <v>7</v>
      </c>
      <c r="I376">
        <v>15</v>
      </c>
      <c r="J376">
        <v>5</v>
      </c>
      <c r="K376">
        <v>104</v>
      </c>
      <c r="L376">
        <v>7</v>
      </c>
      <c r="M376">
        <v>0</v>
      </c>
      <c r="N376">
        <v>1</v>
      </c>
      <c r="O376">
        <v>3</v>
      </c>
      <c r="P376">
        <v>6</v>
      </c>
      <c r="Q376">
        <v>1</v>
      </c>
      <c r="R376">
        <v>0</v>
      </c>
      <c r="S376">
        <v>67</v>
      </c>
      <c r="T376">
        <v>11.9</v>
      </c>
      <c r="U376">
        <v>138</v>
      </c>
      <c r="V376" s="19" t="s">
        <v>2796</v>
      </c>
      <c r="W376" s="19" t="s">
        <v>2488</v>
      </c>
      <c r="X376">
        <v>220</v>
      </c>
      <c r="Y376">
        <v>152</v>
      </c>
      <c r="Z376">
        <v>59.1</v>
      </c>
      <c r="AA376">
        <v>44</v>
      </c>
      <c r="AB376">
        <v>138</v>
      </c>
      <c r="AC376">
        <v>19</v>
      </c>
      <c r="AD376">
        <v>28</v>
      </c>
      <c r="AE376" s="19" t="s">
        <v>60</v>
      </c>
    </row>
    <row r="377" spans="1:31" x14ac:dyDescent="0.2">
      <c r="A377">
        <v>366</v>
      </c>
      <c r="B377" s="19" t="s">
        <v>876</v>
      </c>
      <c r="C377">
        <v>33</v>
      </c>
      <c r="D377" s="19" t="s">
        <v>355</v>
      </c>
      <c r="E377" s="19" t="s">
        <v>322</v>
      </c>
      <c r="F377">
        <v>52</v>
      </c>
      <c r="G377">
        <v>4</v>
      </c>
      <c r="H377">
        <v>11</v>
      </c>
      <c r="I377">
        <v>15</v>
      </c>
      <c r="J377">
        <v>0</v>
      </c>
      <c r="K377">
        <v>39</v>
      </c>
      <c r="L377">
        <v>4</v>
      </c>
      <c r="M377">
        <v>0</v>
      </c>
      <c r="N377">
        <v>0</v>
      </c>
      <c r="O377">
        <v>0</v>
      </c>
      <c r="P377">
        <v>11</v>
      </c>
      <c r="Q377">
        <v>0</v>
      </c>
      <c r="R377">
        <v>0</v>
      </c>
      <c r="S377">
        <v>69</v>
      </c>
      <c r="T377">
        <v>5.8</v>
      </c>
      <c r="U377">
        <v>126</v>
      </c>
      <c r="V377" s="19" t="s">
        <v>2797</v>
      </c>
      <c r="W377" s="19" t="s">
        <v>2527</v>
      </c>
      <c r="X377">
        <v>233</v>
      </c>
      <c r="Y377">
        <v>249</v>
      </c>
      <c r="Z377">
        <v>48.3</v>
      </c>
      <c r="AA377">
        <v>34</v>
      </c>
      <c r="AB377">
        <v>57</v>
      </c>
      <c r="AC377">
        <v>13</v>
      </c>
      <c r="AD377">
        <v>39</v>
      </c>
      <c r="AE377" s="19" t="s">
        <v>60</v>
      </c>
    </row>
    <row r="378" spans="1:31" x14ac:dyDescent="0.2">
      <c r="A378">
        <v>367</v>
      </c>
      <c r="B378" s="19" t="s">
        <v>564</v>
      </c>
      <c r="C378">
        <v>26</v>
      </c>
      <c r="D378" s="19" t="s">
        <v>324</v>
      </c>
      <c r="E378" s="19" t="s">
        <v>322</v>
      </c>
      <c r="F378">
        <v>31</v>
      </c>
      <c r="G378">
        <v>6</v>
      </c>
      <c r="H378">
        <v>9</v>
      </c>
      <c r="I378">
        <v>15</v>
      </c>
      <c r="J378">
        <v>0</v>
      </c>
      <c r="K378">
        <v>8</v>
      </c>
      <c r="L378">
        <v>6</v>
      </c>
      <c r="M378">
        <v>0</v>
      </c>
      <c r="N378">
        <v>0</v>
      </c>
      <c r="O378">
        <v>1</v>
      </c>
      <c r="P378">
        <v>8</v>
      </c>
      <c r="Q378">
        <v>1</v>
      </c>
      <c r="R378">
        <v>0</v>
      </c>
      <c r="S378">
        <v>49</v>
      </c>
      <c r="T378">
        <v>12.2</v>
      </c>
      <c r="U378">
        <v>92</v>
      </c>
      <c r="V378" s="19" t="s">
        <v>1561</v>
      </c>
      <c r="W378" s="19" t="s">
        <v>1543</v>
      </c>
      <c r="X378">
        <v>24</v>
      </c>
      <c r="Y378">
        <v>27</v>
      </c>
      <c r="Z378">
        <v>47.1</v>
      </c>
      <c r="AA378">
        <v>8</v>
      </c>
      <c r="AB378">
        <v>30</v>
      </c>
      <c r="AC378">
        <v>5</v>
      </c>
      <c r="AD378">
        <v>27</v>
      </c>
      <c r="AE378" s="19" t="s">
        <v>60</v>
      </c>
    </row>
    <row r="379" spans="1:31" x14ac:dyDescent="0.2">
      <c r="A379">
        <v>368</v>
      </c>
      <c r="B379" s="19" t="s">
        <v>1006</v>
      </c>
      <c r="C379">
        <v>24</v>
      </c>
      <c r="D379" s="19" t="s">
        <v>346</v>
      </c>
      <c r="E379" s="19" t="s">
        <v>322</v>
      </c>
      <c r="F379">
        <v>37</v>
      </c>
      <c r="G379">
        <v>4</v>
      </c>
      <c r="H379">
        <v>11</v>
      </c>
      <c r="I379">
        <v>15</v>
      </c>
      <c r="J379">
        <v>-7</v>
      </c>
      <c r="K379">
        <v>10</v>
      </c>
      <c r="L379">
        <v>3</v>
      </c>
      <c r="M379">
        <v>1</v>
      </c>
      <c r="N379">
        <v>0</v>
      </c>
      <c r="O379">
        <v>1</v>
      </c>
      <c r="P379">
        <v>9</v>
      </c>
      <c r="Q379">
        <v>2</v>
      </c>
      <c r="R379">
        <v>0</v>
      </c>
      <c r="S379">
        <v>64</v>
      </c>
      <c r="T379">
        <v>6.3</v>
      </c>
      <c r="U379">
        <v>143</v>
      </c>
      <c r="V379" s="19" t="s">
        <v>2798</v>
      </c>
      <c r="W379" s="19" t="s">
        <v>1871</v>
      </c>
      <c r="X379">
        <v>4</v>
      </c>
      <c r="Y379">
        <v>3</v>
      </c>
      <c r="Z379">
        <v>57.1</v>
      </c>
      <c r="AA379">
        <v>16</v>
      </c>
      <c r="AB379">
        <v>28</v>
      </c>
      <c r="AC379">
        <v>11</v>
      </c>
      <c r="AD379">
        <v>31</v>
      </c>
      <c r="AE379" s="19" t="s">
        <v>60</v>
      </c>
    </row>
    <row r="380" spans="1:31" x14ac:dyDescent="0.2">
      <c r="A380">
        <v>369</v>
      </c>
      <c r="B380" s="19" t="s">
        <v>830</v>
      </c>
      <c r="C380">
        <v>23</v>
      </c>
      <c r="D380" s="19" t="s">
        <v>428</v>
      </c>
      <c r="E380" s="19" t="s">
        <v>349</v>
      </c>
      <c r="F380">
        <v>50</v>
      </c>
      <c r="G380">
        <v>3</v>
      </c>
      <c r="H380">
        <v>12</v>
      </c>
      <c r="I380">
        <v>15</v>
      </c>
      <c r="J380">
        <v>1</v>
      </c>
      <c r="K380">
        <v>6</v>
      </c>
      <c r="L380">
        <v>3</v>
      </c>
      <c r="M380">
        <v>0</v>
      </c>
      <c r="N380">
        <v>0</v>
      </c>
      <c r="O380">
        <v>0</v>
      </c>
      <c r="P380">
        <v>10</v>
      </c>
      <c r="Q380">
        <v>0</v>
      </c>
      <c r="R380">
        <v>2</v>
      </c>
      <c r="S380">
        <v>71</v>
      </c>
      <c r="T380">
        <v>4.2</v>
      </c>
      <c r="U380">
        <v>162</v>
      </c>
      <c r="V380" s="19" t="s">
        <v>2799</v>
      </c>
      <c r="W380" s="19" t="s">
        <v>2800</v>
      </c>
      <c r="X380">
        <v>0</v>
      </c>
      <c r="Y380">
        <v>0</v>
      </c>
      <c r="AA380">
        <v>48</v>
      </c>
      <c r="AB380">
        <v>25</v>
      </c>
      <c r="AC380">
        <v>16</v>
      </c>
      <c r="AD380">
        <v>50</v>
      </c>
      <c r="AE380" s="19" t="s">
        <v>60</v>
      </c>
    </row>
    <row r="381" spans="1:31" x14ac:dyDescent="0.2">
      <c r="A381">
        <v>370</v>
      </c>
      <c r="B381" s="19" t="s">
        <v>942</v>
      </c>
      <c r="C381">
        <v>21</v>
      </c>
      <c r="D381" s="19" t="s">
        <v>384</v>
      </c>
      <c r="E381" s="19" t="s">
        <v>322</v>
      </c>
      <c r="F381">
        <v>40</v>
      </c>
      <c r="G381">
        <v>7</v>
      </c>
      <c r="H381">
        <v>8</v>
      </c>
      <c r="I381">
        <v>15</v>
      </c>
      <c r="J381">
        <v>-5</v>
      </c>
      <c r="K381">
        <v>16</v>
      </c>
      <c r="L381">
        <v>6</v>
      </c>
      <c r="M381">
        <v>1</v>
      </c>
      <c r="N381">
        <v>0</v>
      </c>
      <c r="O381">
        <v>2</v>
      </c>
      <c r="P381">
        <v>5</v>
      </c>
      <c r="Q381">
        <v>3</v>
      </c>
      <c r="R381">
        <v>0</v>
      </c>
      <c r="S381">
        <v>51</v>
      </c>
      <c r="T381">
        <v>13.7</v>
      </c>
      <c r="U381">
        <v>83</v>
      </c>
      <c r="V381" s="19" t="s">
        <v>2801</v>
      </c>
      <c r="W381" s="19" t="s">
        <v>1870</v>
      </c>
      <c r="X381">
        <v>96</v>
      </c>
      <c r="Y381">
        <v>166</v>
      </c>
      <c r="Z381">
        <v>36.6</v>
      </c>
      <c r="AA381">
        <v>21</v>
      </c>
      <c r="AB381">
        <v>11</v>
      </c>
      <c r="AC381">
        <v>3</v>
      </c>
      <c r="AD381">
        <v>29</v>
      </c>
      <c r="AE381" s="19" t="s">
        <v>60</v>
      </c>
    </row>
    <row r="382" spans="1:31" x14ac:dyDescent="0.2">
      <c r="A382">
        <v>371</v>
      </c>
      <c r="B382" s="19" t="s">
        <v>832</v>
      </c>
      <c r="C382">
        <v>30</v>
      </c>
      <c r="D382" s="19" t="s">
        <v>397</v>
      </c>
      <c r="E382" s="19" t="s">
        <v>340</v>
      </c>
      <c r="F382">
        <v>44</v>
      </c>
      <c r="G382">
        <v>10</v>
      </c>
      <c r="H382">
        <v>5</v>
      </c>
      <c r="I382">
        <v>15</v>
      </c>
      <c r="J382">
        <v>7</v>
      </c>
      <c r="K382">
        <v>2</v>
      </c>
      <c r="L382">
        <v>10</v>
      </c>
      <c r="M382">
        <v>0</v>
      </c>
      <c r="N382">
        <v>0</v>
      </c>
      <c r="O382">
        <v>2</v>
      </c>
      <c r="P382">
        <v>4</v>
      </c>
      <c r="Q382">
        <v>0</v>
      </c>
      <c r="R382">
        <v>1</v>
      </c>
      <c r="S382">
        <v>59</v>
      </c>
      <c r="T382">
        <v>16.899999999999999</v>
      </c>
      <c r="U382">
        <v>125</v>
      </c>
      <c r="V382" s="19" t="s">
        <v>2174</v>
      </c>
      <c r="W382" s="19" t="s">
        <v>1044</v>
      </c>
      <c r="X382">
        <v>1</v>
      </c>
      <c r="Y382">
        <v>12</v>
      </c>
      <c r="Z382">
        <v>7.7</v>
      </c>
      <c r="AA382">
        <v>7</v>
      </c>
      <c r="AB382">
        <v>60</v>
      </c>
      <c r="AC382">
        <v>7</v>
      </c>
      <c r="AD382">
        <v>16</v>
      </c>
      <c r="AE382" s="19" t="s">
        <v>60</v>
      </c>
    </row>
    <row r="383" spans="1:31" x14ac:dyDescent="0.2">
      <c r="A383">
        <v>372</v>
      </c>
      <c r="B383" s="19" t="s">
        <v>765</v>
      </c>
      <c r="C383">
        <v>25</v>
      </c>
      <c r="D383" s="19" t="s">
        <v>384</v>
      </c>
      <c r="E383" s="19" t="s">
        <v>325</v>
      </c>
      <c r="F383">
        <v>37</v>
      </c>
      <c r="G383">
        <v>4</v>
      </c>
      <c r="H383">
        <v>11</v>
      </c>
      <c r="I383">
        <v>15</v>
      </c>
      <c r="J383">
        <v>-5</v>
      </c>
      <c r="K383">
        <v>2</v>
      </c>
      <c r="L383">
        <v>4</v>
      </c>
      <c r="M383">
        <v>0</v>
      </c>
      <c r="N383">
        <v>0</v>
      </c>
      <c r="O383">
        <v>0</v>
      </c>
      <c r="P383">
        <v>6</v>
      </c>
      <c r="Q383">
        <v>5</v>
      </c>
      <c r="R383">
        <v>0</v>
      </c>
      <c r="S383">
        <v>45</v>
      </c>
      <c r="T383">
        <v>8.9</v>
      </c>
      <c r="U383">
        <v>98</v>
      </c>
      <c r="V383" s="19" t="s">
        <v>2802</v>
      </c>
      <c r="W383" s="19" t="s">
        <v>1759</v>
      </c>
      <c r="X383">
        <v>0</v>
      </c>
      <c r="Y383">
        <v>2</v>
      </c>
      <c r="Z383">
        <v>0</v>
      </c>
      <c r="AA383">
        <v>12</v>
      </c>
      <c r="AB383">
        <v>23</v>
      </c>
      <c r="AC383">
        <v>10</v>
      </c>
      <c r="AD383">
        <v>30</v>
      </c>
      <c r="AE383" s="19" t="s">
        <v>60</v>
      </c>
    </row>
    <row r="384" spans="1:31" x14ac:dyDescent="0.2">
      <c r="A384">
        <v>373</v>
      </c>
      <c r="B384" s="19" t="s">
        <v>891</v>
      </c>
      <c r="C384">
        <v>34</v>
      </c>
      <c r="D384" s="19" t="s">
        <v>344</v>
      </c>
      <c r="E384" s="19" t="s">
        <v>335</v>
      </c>
      <c r="F384">
        <v>46</v>
      </c>
      <c r="G384">
        <v>8</v>
      </c>
      <c r="H384">
        <v>7</v>
      </c>
      <c r="I384">
        <v>15</v>
      </c>
      <c r="J384">
        <v>-5</v>
      </c>
      <c r="K384">
        <v>2</v>
      </c>
      <c r="L384">
        <v>7</v>
      </c>
      <c r="M384">
        <v>1</v>
      </c>
      <c r="N384">
        <v>0</v>
      </c>
      <c r="O384">
        <v>1</v>
      </c>
      <c r="P384">
        <v>7</v>
      </c>
      <c r="Q384">
        <v>0</v>
      </c>
      <c r="R384">
        <v>0</v>
      </c>
      <c r="S384">
        <v>52</v>
      </c>
      <c r="T384">
        <v>15.4</v>
      </c>
      <c r="U384">
        <v>102</v>
      </c>
      <c r="V384" s="19" t="s">
        <v>2457</v>
      </c>
      <c r="W384" s="19" t="s">
        <v>2019</v>
      </c>
      <c r="X384">
        <v>13</v>
      </c>
      <c r="Y384">
        <v>27</v>
      </c>
      <c r="Z384">
        <v>32.5</v>
      </c>
      <c r="AA384">
        <v>8</v>
      </c>
      <c r="AB384">
        <v>17</v>
      </c>
      <c r="AC384">
        <v>8</v>
      </c>
      <c r="AD384">
        <v>45</v>
      </c>
      <c r="AE384" s="19" t="s">
        <v>60</v>
      </c>
    </row>
    <row r="385" spans="1:31" x14ac:dyDescent="0.2">
      <c r="A385">
        <v>374</v>
      </c>
      <c r="B385" s="19" t="s">
        <v>725</v>
      </c>
      <c r="C385">
        <v>24</v>
      </c>
      <c r="D385" s="19" t="s">
        <v>416</v>
      </c>
      <c r="E385" s="19" t="s">
        <v>349</v>
      </c>
      <c r="F385">
        <v>42</v>
      </c>
      <c r="G385">
        <v>3</v>
      </c>
      <c r="H385">
        <v>12</v>
      </c>
      <c r="I385">
        <v>15</v>
      </c>
      <c r="J385">
        <v>9</v>
      </c>
      <c r="K385">
        <v>10</v>
      </c>
      <c r="L385">
        <v>3</v>
      </c>
      <c r="M385">
        <v>0</v>
      </c>
      <c r="N385">
        <v>0</v>
      </c>
      <c r="O385">
        <v>1</v>
      </c>
      <c r="P385">
        <v>12</v>
      </c>
      <c r="Q385">
        <v>0</v>
      </c>
      <c r="R385">
        <v>0</v>
      </c>
      <c r="S385">
        <v>59</v>
      </c>
      <c r="T385">
        <v>5.0999999999999996</v>
      </c>
      <c r="U385">
        <v>151</v>
      </c>
      <c r="V385" s="19" t="s">
        <v>2803</v>
      </c>
      <c r="W385" s="19" t="s">
        <v>479</v>
      </c>
      <c r="X385">
        <v>0</v>
      </c>
      <c r="Y385">
        <v>0</v>
      </c>
      <c r="AA385">
        <v>29</v>
      </c>
      <c r="AB385">
        <v>27</v>
      </c>
      <c r="AC385">
        <v>11</v>
      </c>
      <c r="AD385">
        <v>33</v>
      </c>
      <c r="AE385" s="19" t="s">
        <v>60</v>
      </c>
    </row>
    <row r="386" spans="1:31" x14ac:dyDescent="0.2">
      <c r="A386">
        <v>375</v>
      </c>
      <c r="B386" s="19" t="s">
        <v>666</v>
      </c>
      <c r="C386">
        <v>20</v>
      </c>
      <c r="D386" s="19" t="s">
        <v>459</v>
      </c>
      <c r="E386" s="19" t="s">
        <v>335</v>
      </c>
      <c r="F386">
        <v>41</v>
      </c>
      <c r="G386">
        <v>8</v>
      </c>
      <c r="H386">
        <v>7</v>
      </c>
      <c r="I386">
        <v>15</v>
      </c>
      <c r="J386">
        <v>-2</v>
      </c>
      <c r="K386">
        <v>2</v>
      </c>
      <c r="L386">
        <v>6</v>
      </c>
      <c r="M386">
        <v>2</v>
      </c>
      <c r="N386">
        <v>0</v>
      </c>
      <c r="O386">
        <v>0</v>
      </c>
      <c r="P386">
        <v>4</v>
      </c>
      <c r="Q386">
        <v>3</v>
      </c>
      <c r="R386">
        <v>0</v>
      </c>
      <c r="S386">
        <v>64</v>
      </c>
      <c r="T386">
        <v>12.5</v>
      </c>
      <c r="U386">
        <v>117</v>
      </c>
      <c r="V386" s="19" t="s">
        <v>2804</v>
      </c>
      <c r="W386" s="19" t="s">
        <v>856</v>
      </c>
      <c r="X386">
        <v>7</v>
      </c>
      <c r="Y386">
        <v>13</v>
      </c>
      <c r="Z386">
        <v>35</v>
      </c>
      <c r="AA386">
        <v>16</v>
      </c>
      <c r="AB386">
        <v>31</v>
      </c>
      <c r="AC386">
        <v>3</v>
      </c>
      <c r="AD386">
        <v>24</v>
      </c>
      <c r="AE386" s="19" t="s">
        <v>60</v>
      </c>
    </row>
    <row r="387" spans="1:31" x14ac:dyDescent="0.2">
      <c r="A387">
        <v>376</v>
      </c>
      <c r="B387" s="19" t="s">
        <v>622</v>
      </c>
      <c r="C387">
        <v>24</v>
      </c>
      <c r="D387" s="19" t="s">
        <v>950</v>
      </c>
      <c r="E387" s="19" t="s">
        <v>322</v>
      </c>
      <c r="F387">
        <v>25</v>
      </c>
      <c r="G387">
        <v>5</v>
      </c>
      <c r="H387">
        <v>10</v>
      </c>
      <c r="I387">
        <v>15</v>
      </c>
      <c r="J387">
        <v>-11</v>
      </c>
      <c r="K387">
        <v>4</v>
      </c>
      <c r="L387">
        <v>5</v>
      </c>
      <c r="M387">
        <v>0</v>
      </c>
      <c r="N387">
        <v>0</v>
      </c>
      <c r="O387">
        <v>0</v>
      </c>
      <c r="P387">
        <v>5</v>
      </c>
      <c r="Q387">
        <v>5</v>
      </c>
      <c r="R387">
        <v>0</v>
      </c>
      <c r="S387">
        <v>36</v>
      </c>
      <c r="T387">
        <v>13.9</v>
      </c>
      <c r="U387">
        <v>76</v>
      </c>
      <c r="V387" s="19" t="s">
        <v>1739</v>
      </c>
      <c r="W387" s="19" t="s">
        <v>1615</v>
      </c>
      <c r="X387">
        <v>169</v>
      </c>
      <c r="Y387">
        <v>173</v>
      </c>
      <c r="Z387">
        <v>49.4</v>
      </c>
      <c r="AA387">
        <v>20</v>
      </c>
      <c r="AB387">
        <v>16</v>
      </c>
      <c r="AC387">
        <v>6</v>
      </c>
      <c r="AD387">
        <v>21</v>
      </c>
      <c r="AE387" s="19" t="s">
        <v>60</v>
      </c>
    </row>
    <row r="388" spans="1:31" x14ac:dyDescent="0.2">
      <c r="A388">
        <v>376</v>
      </c>
      <c r="B388" s="19" t="s">
        <v>622</v>
      </c>
      <c r="C388">
        <v>24</v>
      </c>
      <c r="D388" s="19" t="s">
        <v>357</v>
      </c>
      <c r="E388" s="19" t="s">
        <v>322</v>
      </c>
      <c r="F388">
        <v>17</v>
      </c>
      <c r="G388">
        <v>4</v>
      </c>
      <c r="H388">
        <v>9</v>
      </c>
      <c r="I388">
        <v>13</v>
      </c>
      <c r="J388">
        <v>-6</v>
      </c>
      <c r="K388">
        <v>2</v>
      </c>
      <c r="L388">
        <v>4</v>
      </c>
      <c r="M388">
        <v>0</v>
      </c>
      <c r="N388">
        <v>0</v>
      </c>
      <c r="O388">
        <v>0</v>
      </c>
      <c r="P388">
        <v>4</v>
      </c>
      <c r="Q388">
        <v>5</v>
      </c>
      <c r="R388">
        <v>0</v>
      </c>
      <c r="S388">
        <v>27</v>
      </c>
      <c r="T388">
        <v>14.8</v>
      </c>
      <c r="U388">
        <v>55</v>
      </c>
      <c r="V388" s="19" t="s">
        <v>623</v>
      </c>
      <c r="W388" s="19" t="s">
        <v>624</v>
      </c>
      <c r="X388">
        <v>107</v>
      </c>
      <c r="Y388">
        <v>113</v>
      </c>
      <c r="Z388">
        <v>48.6</v>
      </c>
      <c r="AA388">
        <v>8</v>
      </c>
      <c r="AB388">
        <v>11</v>
      </c>
      <c r="AC388">
        <v>5</v>
      </c>
      <c r="AD388">
        <v>13</v>
      </c>
      <c r="AE388" s="19" t="s">
        <v>60</v>
      </c>
    </row>
    <row r="389" spans="1:31" x14ac:dyDescent="0.2">
      <c r="A389">
        <v>376</v>
      </c>
      <c r="B389" s="19" t="s">
        <v>622</v>
      </c>
      <c r="C389">
        <v>24</v>
      </c>
      <c r="D389" s="19" t="s">
        <v>447</v>
      </c>
      <c r="E389" s="19" t="s">
        <v>322</v>
      </c>
      <c r="F389">
        <v>8</v>
      </c>
      <c r="G389">
        <v>1</v>
      </c>
      <c r="H389">
        <v>1</v>
      </c>
      <c r="I389">
        <v>2</v>
      </c>
      <c r="J389">
        <v>-5</v>
      </c>
      <c r="K389">
        <v>2</v>
      </c>
      <c r="L389">
        <v>1</v>
      </c>
      <c r="M389">
        <v>0</v>
      </c>
      <c r="N389">
        <v>0</v>
      </c>
      <c r="O389">
        <v>0</v>
      </c>
      <c r="P389">
        <v>1</v>
      </c>
      <c r="Q389">
        <v>0</v>
      </c>
      <c r="R389">
        <v>0</v>
      </c>
      <c r="S389">
        <v>9</v>
      </c>
      <c r="T389">
        <v>11.1</v>
      </c>
      <c r="U389">
        <v>21</v>
      </c>
      <c r="V389" s="19" t="s">
        <v>1740</v>
      </c>
      <c r="W389" s="19" t="s">
        <v>1622</v>
      </c>
      <c r="X389">
        <v>62</v>
      </c>
      <c r="Y389">
        <v>60</v>
      </c>
      <c r="Z389">
        <v>50.8</v>
      </c>
      <c r="AA389">
        <v>12</v>
      </c>
      <c r="AB389">
        <v>5</v>
      </c>
      <c r="AC389">
        <v>1</v>
      </c>
      <c r="AD389">
        <v>8</v>
      </c>
      <c r="AE389" s="19" t="s">
        <v>60</v>
      </c>
    </row>
    <row r="390" spans="1:31" x14ac:dyDescent="0.2">
      <c r="A390">
        <v>377</v>
      </c>
      <c r="B390" s="19" t="s">
        <v>734</v>
      </c>
      <c r="C390">
        <v>36</v>
      </c>
      <c r="D390" s="19" t="s">
        <v>334</v>
      </c>
      <c r="E390" s="19" t="s">
        <v>340</v>
      </c>
      <c r="F390">
        <v>30</v>
      </c>
      <c r="G390">
        <v>7</v>
      </c>
      <c r="H390">
        <v>7</v>
      </c>
      <c r="I390">
        <v>14</v>
      </c>
      <c r="J390">
        <v>6</v>
      </c>
      <c r="K390">
        <v>21</v>
      </c>
      <c r="L390">
        <v>7</v>
      </c>
      <c r="M390">
        <v>0</v>
      </c>
      <c r="N390">
        <v>0</v>
      </c>
      <c r="O390">
        <v>0</v>
      </c>
      <c r="P390">
        <v>7</v>
      </c>
      <c r="Q390">
        <v>0</v>
      </c>
      <c r="R390">
        <v>0</v>
      </c>
      <c r="S390">
        <v>41</v>
      </c>
      <c r="T390">
        <v>17.100000000000001</v>
      </c>
      <c r="U390">
        <v>58</v>
      </c>
      <c r="V390" s="19" t="s">
        <v>2458</v>
      </c>
      <c r="W390" s="19" t="s">
        <v>1710</v>
      </c>
      <c r="X390">
        <v>32</v>
      </c>
      <c r="Y390">
        <v>31</v>
      </c>
      <c r="Z390">
        <v>50.8</v>
      </c>
      <c r="AA390">
        <v>9</v>
      </c>
      <c r="AB390">
        <v>41</v>
      </c>
      <c r="AC390">
        <v>4</v>
      </c>
      <c r="AD390">
        <v>18</v>
      </c>
      <c r="AE390" s="19" t="s">
        <v>60</v>
      </c>
    </row>
    <row r="391" spans="1:31" x14ac:dyDescent="0.2">
      <c r="A391">
        <v>378</v>
      </c>
      <c r="B391" s="19" t="s">
        <v>811</v>
      </c>
      <c r="C391">
        <v>32</v>
      </c>
      <c r="D391" s="19" t="s">
        <v>416</v>
      </c>
      <c r="E391" s="19" t="s">
        <v>322</v>
      </c>
      <c r="F391">
        <v>50</v>
      </c>
      <c r="G391">
        <v>6</v>
      </c>
      <c r="H391">
        <v>8</v>
      </c>
      <c r="I391">
        <v>14</v>
      </c>
      <c r="J391">
        <v>5</v>
      </c>
      <c r="K391">
        <v>59</v>
      </c>
      <c r="L391">
        <v>6</v>
      </c>
      <c r="M391">
        <v>0</v>
      </c>
      <c r="N391">
        <v>0</v>
      </c>
      <c r="O391">
        <v>1</v>
      </c>
      <c r="P391">
        <v>8</v>
      </c>
      <c r="Q391">
        <v>0</v>
      </c>
      <c r="R391">
        <v>0</v>
      </c>
      <c r="S391">
        <v>36</v>
      </c>
      <c r="T391">
        <v>16.7</v>
      </c>
      <c r="U391">
        <v>72</v>
      </c>
      <c r="V391" s="19" t="s">
        <v>2805</v>
      </c>
      <c r="W391" s="19" t="s">
        <v>1357</v>
      </c>
      <c r="X391">
        <v>10</v>
      </c>
      <c r="Y391">
        <v>12</v>
      </c>
      <c r="Z391">
        <v>45.5</v>
      </c>
      <c r="AA391">
        <v>22</v>
      </c>
      <c r="AB391">
        <v>98</v>
      </c>
      <c r="AC391">
        <v>8</v>
      </c>
      <c r="AD391">
        <v>29</v>
      </c>
      <c r="AE391" s="19" t="s">
        <v>60</v>
      </c>
    </row>
    <row r="392" spans="1:31" x14ac:dyDescent="0.2">
      <c r="A392">
        <v>379</v>
      </c>
      <c r="B392" s="19" t="s">
        <v>699</v>
      </c>
      <c r="C392">
        <v>24</v>
      </c>
      <c r="D392" s="19" t="s">
        <v>330</v>
      </c>
      <c r="E392" s="19" t="s">
        <v>349</v>
      </c>
      <c r="F392">
        <v>48</v>
      </c>
      <c r="G392">
        <v>4</v>
      </c>
      <c r="H392">
        <v>10</v>
      </c>
      <c r="I392">
        <v>14</v>
      </c>
      <c r="J392">
        <v>-1</v>
      </c>
      <c r="K392">
        <v>39</v>
      </c>
      <c r="L392">
        <v>3</v>
      </c>
      <c r="M392">
        <v>0</v>
      </c>
      <c r="N392">
        <v>1</v>
      </c>
      <c r="O392">
        <v>1</v>
      </c>
      <c r="P392">
        <v>9</v>
      </c>
      <c r="Q392">
        <v>0</v>
      </c>
      <c r="R392">
        <v>1</v>
      </c>
      <c r="S392">
        <v>72</v>
      </c>
      <c r="T392">
        <v>5.6</v>
      </c>
      <c r="U392">
        <v>154</v>
      </c>
      <c r="V392" s="19" t="s">
        <v>2459</v>
      </c>
      <c r="W392" s="19" t="s">
        <v>1785</v>
      </c>
      <c r="X392">
        <v>0</v>
      </c>
      <c r="Y392">
        <v>0</v>
      </c>
      <c r="AA392">
        <v>48</v>
      </c>
      <c r="AB392">
        <v>77</v>
      </c>
      <c r="AC392">
        <v>11</v>
      </c>
      <c r="AD392">
        <v>40</v>
      </c>
      <c r="AE392" s="19" t="s">
        <v>60</v>
      </c>
    </row>
    <row r="393" spans="1:31" x14ac:dyDescent="0.2">
      <c r="A393">
        <v>380</v>
      </c>
      <c r="B393" s="19" t="s">
        <v>638</v>
      </c>
      <c r="C393">
        <v>29</v>
      </c>
      <c r="D393" s="19" t="s">
        <v>355</v>
      </c>
      <c r="E393" s="19" t="s">
        <v>322</v>
      </c>
      <c r="F393">
        <v>40</v>
      </c>
      <c r="G393">
        <v>6</v>
      </c>
      <c r="H393">
        <v>8</v>
      </c>
      <c r="I393">
        <v>14</v>
      </c>
      <c r="J393">
        <v>-6</v>
      </c>
      <c r="K393">
        <v>21</v>
      </c>
      <c r="L393">
        <v>5</v>
      </c>
      <c r="M393">
        <v>1</v>
      </c>
      <c r="N393">
        <v>0</v>
      </c>
      <c r="O393">
        <v>1</v>
      </c>
      <c r="P393">
        <v>5</v>
      </c>
      <c r="Q393">
        <v>3</v>
      </c>
      <c r="R393">
        <v>0</v>
      </c>
      <c r="S393">
        <v>78</v>
      </c>
      <c r="T393">
        <v>7.7</v>
      </c>
      <c r="U393">
        <v>133</v>
      </c>
      <c r="V393" s="19" t="s">
        <v>1918</v>
      </c>
      <c r="W393" s="19" t="s">
        <v>1874</v>
      </c>
      <c r="X393">
        <v>1</v>
      </c>
      <c r="Y393">
        <v>3</v>
      </c>
      <c r="Z393">
        <v>25</v>
      </c>
      <c r="AA393">
        <v>12</v>
      </c>
      <c r="AB393">
        <v>29</v>
      </c>
      <c r="AC393">
        <v>2</v>
      </c>
      <c r="AD393">
        <v>26</v>
      </c>
      <c r="AE393" s="19" t="s">
        <v>60</v>
      </c>
    </row>
    <row r="394" spans="1:31" x14ac:dyDescent="0.2">
      <c r="A394">
        <v>381</v>
      </c>
      <c r="B394" s="19" t="s">
        <v>757</v>
      </c>
      <c r="C394">
        <v>36</v>
      </c>
      <c r="D394" s="19" t="s">
        <v>337</v>
      </c>
      <c r="E394" s="19" t="s">
        <v>322</v>
      </c>
      <c r="F394">
        <v>51</v>
      </c>
      <c r="G394">
        <v>5</v>
      </c>
      <c r="H394">
        <v>9</v>
      </c>
      <c r="I394">
        <v>14</v>
      </c>
      <c r="J394">
        <v>1</v>
      </c>
      <c r="K394">
        <v>34</v>
      </c>
      <c r="L394">
        <v>3</v>
      </c>
      <c r="M394">
        <v>2</v>
      </c>
      <c r="N394">
        <v>0</v>
      </c>
      <c r="O394">
        <v>0</v>
      </c>
      <c r="P394">
        <v>8</v>
      </c>
      <c r="Q394">
        <v>1</v>
      </c>
      <c r="R394">
        <v>0</v>
      </c>
      <c r="S394">
        <v>91</v>
      </c>
      <c r="T394">
        <v>5.5</v>
      </c>
      <c r="U394">
        <v>160</v>
      </c>
      <c r="V394" s="19" t="s">
        <v>2460</v>
      </c>
      <c r="W394" s="19" t="s">
        <v>995</v>
      </c>
      <c r="X394">
        <v>31</v>
      </c>
      <c r="Y394">
        <v>54</v>
      </c>
      <c r="Z394">
        <v>36.5</v>
      </c>
      <c r="AA394">
        <v>22</v>
      </c>
      <c r="AB394">
        <v>46</v>
      </c>
      <c r="AC394">
        <v>16</v>
      </c>
      <c r="AD394">
        <v>36</v>
      </c>
      <c r="AE394" s="19" t="s">
        <v>60</v>
      </c>
    </row>
    <row r="395" spans="1:31" x14ac:dyDescent="0.2">
      <c r="A395">
        <v>382</v>
      </c>
      <c r="B395" s="19" t="s">
        <v>787</v>
      </c>
      <c r="C395">
        <v>22</v>
      </c>
      <c r="D395" s="19" t="s">
        <v>361</v>
      </c>
      <c r="E395" s="19" t="s">
        <v>322</v>
      </c>
      <c r="F395">
        <v>49</v>
      </c>
      <c r="G395">
        <v>6</v>
      </c>
      <c r="H395">
        <v>8</v>
      </c>
      <c r="I395">
        <v>14</v>
      </c>
      <c r="J395">
        <v>-1</v>
      </c>
      <c r="K395">
        <v>22</v>
      </c>
      <c r="L395">
        <v>4</v>
      </c>
      <c r="M395">
        <v>2</v>
      </c>
      <c r="N395">
        <v>0</v>
      </c>
      <c r="O395">
        <v>1</v>
      </c>
      <c r="P395">
        <v>6</v>
      </c>
      <c r="Q395">
        <v>2</v>
      </c>
      <c r="R395">
        <v>0</v>
      </c>
      <c r="S395">
        <v>49</v>
      </c>
      <c r="T395">
        <v>12.2</v>
      </c>
      <c r="U395">
        <v>100</v>
      </c>
      <c r="V395" s="19" t="s">
        <v>2461</v>
      </c>
      <c r="W395" s="19" t="s">
        <v>1627</v>
      </c>
      <c r="X395">
        <v>212</v>
      </c>
      <c r="Y395">
        <v>201</v>
      </c>
      <c r="Z395">
        <v>51.3</v>
      </c>
      <c r="AA395">
        <v>32</v>
      </c>
      <c r="AB395">
        <v>61</v>
      </c>
      <c r="AC395">
        <v>7</v>
      </c>
      <c r="AD395">
        <v>21</v>
      </c>
      <c r="AE395" s="19" t="s">
        <v>60</v>
      </c>
    </row>
    <row r="396" spans="1:31" x14ac:dyDescent="0.2">
      <c r="A396">
        <v>383</v>
      </c>
      <c r="B396" s="19" t="s">
        <v>825</v>
      </c>
      <c r="C396">
        <v>29</v>
      </c>
      <c r="D396" s="19" t="s">
        <v>359</v>
      </c>
      <c r="E396" s="19" t="s">
        <v>322</v>
      </c>
      <c r="F396">
        <v>44</v>
      </c>
      <c r="G396">
        <v>4</v>
      </c>
      <c r="H396">
        <v>10</v>
      </c>
      <c r="I396">
        <v>14</v>
      </c>
      <c r="J396">
        <v>3</v>
      </c>
      <c r="K396">
        <v>10</v>
      </c>
      <c r="L396">
        <v>3</v>
      </c>
      <c r="M396">
        <v>0</v>
      </c>
      <c r="N396">
        <v>1</v>
      </c>
      <c r="O396">
        <v>0</v>
      </c>
      <c r="P396">
        <v>10</v>
      </c>
      <c r="Q396">
        <v>0</v>
      </c>
      <c r="R396">
        <v>0</v>
      </c>
      <c r="S396">
        <v>47</v>
      </c>
      <c r="T396">
        <v>8.5</v>
      </c>
      <c r="U396">
        <v>73</v>
      </c>
      <c r="V396" s="19" t="s">
        <v>2462</v>
      </c>
      <c r="W396" s="19" t="s">
        <v>1677</v>
      </c>
      <c r="X396">
        <v>38</v>
      </c>
      <c r="Y396">
        <v>33</v>
      </c>
      <c r="Z396">
        <v>53.5</v>
      </c>
      <c r="AA396">
        <v>27</v>
      </c>
      <c r="AB396">
        <v>96</v>
      </c>
      <c r="AC396">
        <v>10</v>
      </c>
      <c r="AD396">
        <v>21</v>
      </c>
      <c r="AE396" s="19" t="s">
        <v>60</v>
      </c>
    </row>
    <row r="397" spans="1:31" x14ac:dyDescent="0.2">
      <c r="A397">
        <v>384</v>
      </c>
      <c r="B397" s="19" t="s">
        <v>827</v>
      </c>
      <c r="C397">
        <v>22</v>
      </c>
      <c r="D397" s="19" t="s">
        <v>337</v>
      </c>
      <c r="E397" s="19" t="s">
        <v>349</v>
      </c>
      <c r="F397">
        <v>46</v>
      </c>
      <c r="G397">
        <v>6</v>
      </c>
      <c r="H397">
        <v>8</v>
      </c>
      <c r="I397">
        <v>14</v>
      </c>
      <c r="J397">
        <v>-3</v>
      </c>
      <c r="K397">
        <v>4</v>
      </c>
      <c r="L397">
        <v>6</v>
      </c>
      <c r="M397">
        <v>0</v>
      </c>
      <c r="N397">
        <v>0</v>
      </c>
      <c r="O397">
        <v>2</v>
      </c>
      <c r="P397">
        <v>7</v>
      </c>
      <c r="Q397">
        <v>1</v>
      </c>
      <c r="R397">
        <v>0</v>
      </c>
      <c r="S397">
        <v>49</v>
      </c>
      <c r="T397">
        <v>12.2</v>
      </c>
      <c r="U397">
        <v>130</v>
      </c>
      <c r="V397" s="19" t="s">
        <v>2463</v>
      </c>
      <c r="W397" s="19" t="s">
        <v>1975</v>
      </c>
      <c r="X397">
        <v>0</v>
      </c>
      <c r="Y397">
        <v>0</v>
      </c>
      <c r="AA397">
        <v>70</v>
      </c>
      <c r="AB397">
        <v>24</v>
      </c>
      <c r="AC397">
        <v>11</v>
      </c>
      <c r="AD397">
        <v>38</v>
      </c>
      <c r="AE397" s="19" t="s">
        <v>60</v>
      </c>
    </row>
    <row r="398" spans="1:31" x14ac:dyDescent="0.2">
      <c r="A398">
        <v>385</v>
      </c>
      <c r="B398" s="19" t="s">
        <v>652</v>
      </c>
      <c r="C398">
        <v>30</v>
      </c>
      <c r="D398" s="19" t="s">
        <v>419</v>
      </c>
      <c r="E398" s="19" t="s">
        <v>340</v>
      </c>
      <c r="F398">
        <v>38</v>
      </c>
      <c r="G398">
        <v>6</v>
      </c>
      <c r="H398">
        <v>8</v>
      </c>
      <c r="I398">
        <v>14</v>
      </c>
      <c r="J398">
        <v>0</v>
      </c>
      <c r="K398">
        <v>6</v>
      </c>
      <c r="L398">
        <v>5</v>
      </c>
      <c r="M398">
        <v>0</v>
      </c>
      <c r="N398">
        <v>1</v>
      </c>
      <c r="O398">
        <v>1</v>
      </c>
      <c r="P398">
        <v>7</v>
      </c>
      <c r="Q398">
        <v>0</v>
      </c>
      <c r="R398">
        <v>1</v>
      </c>
      <c r="S398">
        <v>72</v>
      </c>
      <c r="T398">
        <v>8.3000000000000007</v>
      </c>
      <c r="U398">
        <v>143</v>
      </c>
      <c r="V398" s="19" t="s">
        <v>2806</v>
      </c>
      <c r="W398" s="19" t="s">
        <v>2035</v>
      </c>
      <c r="X398">
        <v>3</v>
      </c>
      <c r="Y398">
        <v>12</v>
      </c>
      <c r="Z398">
        <v>20</v>
      </c>
      <c r="AA398">
        <v>22</v>
      </c>
      <c r="AB398">
        <v>24</v>
      </c>
      <c r="AC398">
        <v>16</v>
      </c>
      <c r="AD398">
        <v>30</v>
      </c>
      <c r="AE398" s="19" t="s">
        <v>60</v>
      </c>
    </row>
    <row r="399" spans="1:31" x14ac:dyDescent="0.2">
      <c r="A399">
        <v>386</v>
      </c>
      <c r="B399" s="19" t="s">
        <v>796</v>
      </c>
      <c r="C399">
        <v>26</v>
      </c>
      <c r="D399" s="19" t="s">
        <v>371</v>
      </c>
      <c r="E399" s="19" t="s">
        <v>322</v>
      </c>
      <c r="F399">
        <v>48</v>
      </c>
      <c r="G399">
        <v>6</v>
      </c>
      <c r="H399">
        <v>8</v>
      </c>
      <c r="I399">
        <v>14</v>
      </c>
      <c r="J399">
        <v>-3</v>
      </c>
      <c r="K399">
        <v>8</v>
      </c>
      <c r="L399">
        <v>5</v>
      </c>
      <c r="M399">
        <v>0</v>
      </c>
      <c r="N399">
        <v>1</v>
      </c>
      <c r="O399">
        <v>0</v>
      </c>
      <c r="P399">
        <v>8</v>
      </c>
      <c r="Q399">
        <v>0</v>
      </c>
      <c r="R399">
        <v>0</v>
      </c>
      <c r="S399">
        <v>55</v>
      </c>
      <c r="T399">
        <v>10.9</v>
      </c>
      <c r="U399">
        <v>109</v>
      </c>
      <c r="V399" s="19" t="s">
        <v>2807</v>
      </c>
      <c r="W399" s="19" t="s">
        <v>2808</v>
      </c>
      <c r="X399">
        <v>101</v>
      </c>
      <c r="Y399">
        <v>105</v>
      </c>
      <c r="Z399">
        <v>49</v>
      </c>
      <c r="AA399">
        <v>40</v>
      </c>
      <c r="AB399">
        <v>51</v>
      </c>
      <c r="AC399">
        <v>6</v>
      </c>
      <c r="AD399">
        <v>23</v>
      </c>
      <c r="AE399" s="19" t="s">
        <v>60</v>
      </c>
    </row>
    <row r="400" spans="1:31" x14ac:dyDescent="0.2">
      <c r="A400">
        <v>387</v>
      </c>
      <c r="B400" s="19" t="s">
        <v>721</v>
      </c>
      <c r="C400">
        <v>30</v>
      </c>
      <c r="D400" s="19" t="s">
        <v>366</v>
      </c>
      <c r="E400" s="19" t="s">
        <v>349</v>
      </c>
      <c r="F400">
        <v>53</v>
      </c>
      <c r="G400">
        <v>1</v>
      </c>
      <c r="H400">
        <v>13</v>
      </c>
      <c r="I400">
        <v>14</v>
      </c>
      <c r="J400">
        <v>13</v>
      </c>
      <c r="K400">
        <v>10</v>
      </c>
      <c r="L400">
        <v>1</v>
      </c>
      <c r="M400">
        <v>0</v>
      </c>
      <c r="N400">
        <v>0</v>
      </c>
      <c r="O400">
        <v>0</v>
      </c>
      <c r="P400">
        <v>13</v>
      </c>
      <c r="Q400">
        <v>0</v>
      </c>
      <c r="R400">
        <v>0</v>
      </c>
      <c r="S400">
        <v>67</v>
      </c>
      <c r="T400">
        <v>1.5</v>
      </c>
      <c r="U400">
        <v>157</v>
      </c>
      <c r="V400" s="19" t="s">
        <v>2809</v>
      </c>
      <c r="W400" s="19" t="s">
        <v>1946</v>
      </c>
      <c r="X400">
        <v>0</v>
      </c>
      <c r="Y400">
        <v>0</v>
      </c>
      <c r="AA400">
        <v>106</v>
      </c>
      <c r="AB400">
        <v>75</v>
      </c>
      <c r="AC400">
        <v>8</v>
      </c>
      <c r="AD400">
        <v>47</v>
      </c>
      <c r="AE400" s="19" t="s">
        <v>60</v>
      </c>
    </row>
    <row r="401" spans="1:31" x14ac:dyDescent="0.2">
      <c r="A401">
        <v>388</v>
      </c>
      <c r="B401" s="19" t="s">
        <v>1012</v>
      </c>
      <c r="C401">
        <v>36</v>
      </c>
      <c r="D401" s="19" t="s">
        <v>357</v>
      </c>
      <c r="E401" s="19" t="s">
        <v>349</v>
      </c>
      <c r="F401">
        <v>53</v>
      </c>
      <c r="G401">
        <v>4</v>
      </c>
      <c r="H401">
        <v>10</v>
      </c>
      <c r="I401">
        <v>14</v>
      </c>
      <c r="J401">
        <v>-3</v>
      </c>
      <c r="K401">
        <v>12</v>
      </c>
      <c r="L401">
        <v>2</v>
      </c>
      <c r="M401">
        <v>2</v>
      </c>
      <c r="N401">
        <v>0</v>
      </c>
      <c r="O401">
        <v>1</v>
      </c>
      <c r="P401">
        <v>7</v>
      </c>
      <c r="Q401">
        <v>3</v>
      </c>
      <c r="R401">
        <v>0</v>
      </c>
      <c r="S401">
        <v>62</v>
      </c>
      <c r="T401">
        <v>6.5</v>
      </c>
      <c r="U401">
        <v>150</v>
      </c>
      <c r="V401" s="19" t="s">
        <v>2810</v>
      </c>
      <c r="W401" s="19" t="s">
        <v>629</v>
      </c>
      <c r="X401">
        <v>0</v>
      </c>
      <c r="Y401">
        <v>0</v>
      </c>
      <c r="AA401">
        <v>101</v>
      </c>
      <c r="AB401">
        <v>63</v>
      </c>
      <c r="AC401">
        <v>10</v>
      </c>
      <c r="AD401">
        <v>41</v>
      </c>
      <c r="AE401" s="19" t="s">
        <v>60</v>
      </c>
    </row>
    <row r="402" spans="1:31" x14ac:dyDescent="0.2">
      <c r="A402">
        <v>389</v>
      </c>
      <c r="B402" s="19" t="s">
        <v>802</v>
      </c>
      <c r="C402">
        <v>26</v>
      </c>
      <c r="D402" s="19" t="s">
        <v>355</v>
      </c>
      <c r="E402" s="19" t="s">
        <v>325</v>
      </c>
      <c r="F402">
        <v>35</v>
      </c>
      <c r="G402">
        <v>8</v>
      </c>
      <c r="H402">
        <v>6</v>
      </c>
      <c r="I402">
        <v>14</v>
      </c>
      <c r="J402">
        <v>5</v>
      </c>
      <c r="K402">
        <v>32</v>
      </c>
      <c r="L402">
        <v>6</v>
      </c>
      <c r="M402">
        <v>1</v>
      </c>
      <c r="N402">
        <v>1</v>
      </c>
      <c r="O402">
        <v>0</v>
      </c>
      <c r="P402">
        <v>4</v>
      </c>
      <c r="Q402">
        <v>2</v>
      </c>
      <c r="R402">
        <v>0</v>
      </c>
      <c r="S402">
        <v>44</v>
      </c>
      <c r="T402">
        <v>18.2</v>
      </c>
      <c r="U402">
        <v>92</v>
      </c>
      <c r="V402" s="19" t="s">
        <v>2811</v>
      </c>
      <c r="W402" s="19" t="s">
        <v>1635</v>
      </c>
      <c r="X402">
        <v>3</v>
      </c>
      <c r="Y402">
        <v>4</v>
      </c>
      <c r="Z402">
        <v>42.9</v>
      </c>
      <c r="AA402">
        <v>23</v>
      </c>
      <c r="AB402">
        <v>119</v>
      </c>
      <c r="AC402">
        <v>9</v>
      </c>
      <c r="AD402">
        <v>18</v>
      </c>
      <c r="AE402" s="19" t="s">
        <v>60</v>
      </c>
    </row>
    <row r="403" spans="1:31" x14ac:dyDescent="0.2">
      <c r="A403">
        <v>390</v>
      </c>
      <c r="B403" s="19" t="s">
        <v>605</v>
      </c>
      <c r="C403">
        <v>29</v>
      </c>
      <c r="D403" s="19" t="s">
        <v>513</v>
      </c>
      <c r="E403" s="19" t="s">
        <v>325</v>
      </c>
      <c r="F403">
        <v>37</v>
      </c>
      <c r="G403">
        <v>7</v>
      </c>
      <c r="H403">
        <v>7</v>
      </c>
      <c r="I403">
        <v>14</v>
      </c>
      <c r="J403">
        <v>-3</v>
      </c>
      <c r="K403">
        <v>12</v>
      </c>
      <c r="L403">
        <v>6</v>
      </c>
      <c r="M403">
        <v>1</v>
      </c>
      <c r="N403">
        <v>0</v>
      </c>
      <c r="O403">
        <v>2</v>
      </c>
      <c r="P403">
        <v>5</v>
      </c>
      <c r="Q403">
        <v>1</v>
      </c>
      <c r="R403">
        <v>1</v>
      </c>
      <c r="S403">
        <v>62</v>
      </c>
      <c r="T403">
        <v>11.3</v>
      </c>
      <c r="U403">
        <v>114</v>
      </c>
      <c r="V403" s="19" t="s">
        <v>1688</v>
      </c>
      <c r="W403" s="19" t="s">
        <v>1630</v>
      </c>
      <c r="X403">
        <v>149</v>
      </c>
      <c r="Y403">
        <v>167</v>
      </c>
      <c r="Z403">
        <v>47.2</v>
      </c>
      <c r="AA403">
        <v>13</v>
      </c>
      <c r="AB403">
        <v>29</v>
      </c>
      <c r="AC403">
        <v>9</v>
      </c>
      <c r="AD403">
        <v>19</v>
      </c>
      <c r="AE403" s="19" t="s">
        <v>60</v>
      </c>
    </row>
    <row r="404" spans="1:31" x14ac:dyDescent="0.2">
      <c r="A404">
        <v>391</v>
      </c>
      <c r="B404" s="19" t="s">
        <v>803</v>
      </c>
      <c r="C404">
        <v>29</v>
      </c>
      <c r="D404" s="19" t="s">
        <v>357</v>
      </c>
      <c r="E404" s="19" t="s">
        <v>322</v>
      </c>
      <c r="F404">
        <v>53</v>
      </c>
      <c r="G404">
        <v>3</v>
      </c>
      <c r="H404">
        <v>11</v>
      </c>
      <c r="I404">
        <v>14</v>
      </c>
      <c r="J404">
        <v>6</v>
      </c>
      <c r="K404">
        <v>23</v>
      </c>
      <c r="L404">
        <v>3</v>
      </c>
      <c r="M404">
        <v>0</v>
      </c>
      <c r="N404">
        <v>0</v>
      </c>
      <c r="O404">
        <v>1</v>
      </c>
      <c r="P404">
        <v>11</v>
      </c>
      <c r="Q404">
        <v>0</v>
      </c>
      <c r="R404">
        <v>0</v>
      </c>
      <c r="S404">
        <v>57</v>
      </c>
      <c r="T404">
        <v>5.3</v>
      </c>
      <c r="U404">
        <v>122</v>
      </c>
      <c r="V404" s="19" t="s">
        <v>2116</v>
      </c>
      <c r="W404" s="19" t="s">
        <v>2051</v>
      </c>
      <c r="X404">
        <v>32</v>
      </c>
      <c r="Y404">
        <v>55</v>
      </c>
      <c r="Z404">
        <v>36.799999999999997</v>
      </c>
      <c r="AA404">
        <v>29</v>
      </c>
      <c r="AB404">
        <v>261</v>
      </c>
      <c r="AC404">
        <v>17</v>
      </c>
      <c r="AD404">
        <v>38</v>
      </c>
      <c r="AE404" s="19" t="s">
        <v>60</v>
      </c>
    </row>
    <row r="405" spans="1:31" x14ac:dyDescent="0.2">
      <c r="A405">
        <v>392</v>
      </c>
      <c r="B405" s="19" t="s">
        <v>770</v>
      </c>
      <c r="C405">
        <v>31</v>
      </c>
      <c r="D405" s="19" t="s">
        <v>397</v>
      </c>
      <c r="E405" s="19" t="s">
        <v>349</v>
      </c>
      <c r="F405">
        <v>52</v>
      </c>
      <c r="G405">
        <v>4</v>
      </c>
      <c r="H405">
        <v>10</v>
      </c>
      <c r="I405">
        <v>14</v>
      </c>
      <c r="J405">
        <v>-4</v>
      </c>
      <c r="K405">
        <v>43</v>
      </c>
      <c r="L405">
        <v>4</v>
      </c>
      <c r="M405">
        <v>0</v>
      </c>
      <c r="N405">
        <v>0</v>
      </c>
      <c r="O405">
        <v>0</v>
      </c>
      <c r="P405">
        <v>8</v>
      </c>
      <c r="Q405">
        <v>1</v>
      </c>
      <c r="R405">
        <v>1</v>
      </c>
      <c r="S405">
        <v>118</v>
      </c>
      <c r="T405">
        <v>3.4</v>
      </c>
      <c r="U405">
        <v>312</v>
      </c>
      <c r="V405" s="19" t="s">
        <v>2812</v>
      </c>
      <c r="W405" s="19" t="s">
        <v>2208</v>
      </c>
      <c r="X405">
        <v>0</v>
      </c>
      <c r="Y405">
        <v>0</v>
      </c>
      <c r="AA405">
        <v>76</v>
      </c>
      <c r="AB405">
        <v>87</v>
      </c>
      <c r="AC405">
        <v>21</v>
      </c>
      <c r="AD405">
        <v>58</v>
      </c>
      <c r="AE405" s="19" t="s">
        <v>60</v>
      </c>
    </row>
    <row r="406" spans="1:31" x14ac:dyDescent="0.2">
      <c r="A406">
        <v>393</v>
      </c>
      <c r="B406" s="19" t="s">
        <v>730</v>
      </c>
      <c r="C406">
        <v>29</v>
      </c>
      <c r="D406" s="19" t="s">
        <v>328</v>
      </c>
      <c r="E406" s="19" t="s">
        <v>349</v>
      </c>
      <c r="F406">
        <v>24</v>
      </c>
      <c r="G406">
        <v>4</v>
      </c>
      <c r="H406">
        <v>10</v>
      </c>
      <c r="I406">
        <v>14</v>
      </c>
      <c r="J406">
        <v>-8</v>
      </c>
      <c r="K406">
        <v>8</v>
      </c>
      <c r="L406">
        <v>1</v>
      </c>
      <c r="M406">
        <v>1</v>
      </c>
      <c r="N406">
        <v>2</v>
      </c>
      <c r="O406">
        <v>1</v>
      </c>
      <c r="P406">
        <v>9</v>
      </c>
      <c r="Q406">
        <v>1</v>
      </c>
      <c r="R406">
        <v>0</v>
      </c>
      <c r="S406">
        <v>41</v>
      </c>
      <c r="T406">
        <v>9.8000000000000007</v>
      </c>
      <c r="U406">
        <v>99</v>
      </c>
      <c r="V406" s="19" t="s">
        <v>2813</v>
      </c>
      <c r="W406" s="19" t="s">
        <v>1617</v>
      </c>
      <c r="X406">
        <v>0</v>
      </c>
      <c r="Y406">
        <v>0</v>
      </c>
      <c r="AA406">
        <v>43</v>
      </c>
      <c r="AB406">
        <v>7</v>
      </c>
      <c r="AC406">
        <v>9</v>
      </c>
      <c r="AD406">
        <v>31</v>
      </c>
      <c r="AE406" s="19" t="s">
        <v>60</v>
      </c>
    </row>
    <row r="407" spans="1:31" x14ac:dyDescent="0.2">
      <c r="A407">
        <v>394</v>
      </c>
      <c r="B407" s="19" t="s">
        <v>804</v>
      </c>
      <c r="C407">
        <v>20</v>
      </c>
      <c r="D407" s="19" t="s">
        <v>447</v>
      </c>
      <c r="E407" s="19" t="s">
        <v>349</v>
      </c>
      <c r="F407">
        <v>40</v>
      </c>
      <c r="G407">
        <v>2</v>
      </c>
      <c r="H407">
        <v>12</v>
      </c>
      <c r="I407">
        <v>14</v>
      </c>
      <c r="J407">
        <v>-7</v>
      </c>
      <c r="K407">
        <v>10</v>
      </c>
      <c r="L407">
        <v>2</v>
      </c>
      <c r="M407">
        <v>0</v>
      </c>
      <c r="N407">
        <v>0</v>
      </c>
      <c r="O407">
        <v>0</v>
      </c>
      <c r="P407">
        <v>9</v>
      </c>
      <c r="Q407">
        <v>3</v>
      </c>
      <c r="R407">
        <v>0</v>
      </c>
      <c r="S407">
        <v>35</v>
      </c>
      <c r="T407">
        <v>5.7</v>
      </c>
      <c r="U407">
        <v>94</v>
      </c>
      <c r="V407" s="19" t="s">
        <v>2464</v>
      </c>
      <c r="W407" s="19" t="s">
        <v>1040</v>
      </c>
      <c r="X407">
        <v>0</v>
      </c>
      <c r="Y407">
        <v>0</v>
      </c>
      <c r="AA407">
        <v>37</v>
      </c>
      <c r="AB407">
        <v>8</v>
      </c>
      <c r="AC407">
        <v>6</v>
      </c>
      <c r="AD407">
        <v>34</v>
      </c>
      <c r="AE407" s="19" t="s">
        <v>60</v>
      </c>
    </row>
    <row r="408" spans="1:31" x14ac:dyDescent="0.2">
      <c r="A408">
        <v>395</v>
      </c>
      <c r="B408" s="19" t="s">
        <v>809</v>
      </c>
      <c r="C408">
        <v>34</v>
      </c>
      <c r="D408" s="19" t="s">
        <v>384</v>
      </c>
      <c r="E408" s="19" t="s">
        <v>322</v>
      </c>
      <c r="F408">
        <v>51</v>
      </c>
      <c r="G408">
        <v>6</v>
      </c>
      <c r="H408">
        <v>7</v>
      </c>
      <c r="I408">
        <v>13</v>
      </c>
      <c r="J408">
        <v>-1</v>
      </c>
      <c r="K408">
        <v>10</v>
      </c>
      <c r="L408">
        <v>5</v>
      </c>
      <c r="M408">
        <v>0</v>
      </c>
      <c r="N408">
        <v>1</v>
      </c>
      <c r="O408">
        <v>0</v>
      </c>
      <c r="P408">
        <v>7</v>
      </c>
      <c r="Q408">
        <v>0</v>
      </c>
      <c r="R408">
        <v>0</v>
      </c>
      <c r="S408">
        <v>37</v>
      </c>
      <c r="T408">
        <v>16.2</v>
      </c>
      <c r="U408">
        <v>79</v>
      </c>
      <c r="V408" s="19" t="s">
        <v>2814</v>
      </c>
      <c r="W408" s="19" t="s">
        <v>1517</v>
      </c>
      <c r="X408">
        <v>206</v>
      </c>
      <c r="Y408">
        <v>191</v>
      </c>
      <c r="Z408">
        <v>51.9</v>
      </c>
      <c r="AA408">
        <v>37</v>
      </c>
      <c r="AB408">
        <v>107</v>
      </c>
      <c r="AC408">
        <v>8</v>
      </c>
      <c r="AD408">
        <v>32</v>
      </c>
      <c r="AE408" s="19" t="s">
        <v>60</v>
      </c>
    </row>
    <row r="409" spans="1:31" x14ac:dyDescent="0.2">
      <c r="A409">
        <v>396</v>
      </c>
      <c r="B409" s="19" t="s">
        <v>700</v>
      </c>
      <c r="C409">
        <v>36</v>
      </c>
      <c r="D409" s="19" t="s">
        <v>419</v>
      </c>
      <c r="E409" s="19" t="s">
        <v>349</v>
      </c>
      <c r="F409">
        <v>42</v>
      </c>
      <c r="G409">
        <v>3</v>
      </c>
      <c r="H409">
        <v>10</v>
      </c>
      <c r="I409">
        <v>13</v>
      </c>
      <c r="J409">
        <v>-1</v>
      </c>
      <c r="K409">
        <v>24</v>
      </c>
      <c r="L409">
        <v>3</v>
      </c>
      <c r="M409">
        <v>0</v>
      </c>
      <c r="N409">
        <v>0</v>
      </c>
      <c r="O409">
        <v>0</v>
      </c>
      <c r="P409">
        <v>8</v>
      </c>
      <c r="Q409">
        <v>1</v>
      </c>
      <c r="R409">
        <v>1</v>
      </c>
      <c r="S409">
        <v>64</v>
      </c>
      <c r="T409">
        <v>4.7</v>
      </c>
      <c r="U409">
        <v>162</v>
      </c>
      <c r="V409" s="19" t="s">
        <v>2815</v>
      </c>
      <c r="W409" s="19" t="s">
        <v>1658</v>
      </c>
      <c r="X409">
        <v>0</v>
      </c>
      <c r="Y409">
        <v>0</v>
      </c>
      <c r="AA409">
        <v>47</v>
      </c>
      <c r="AB409">
        <v>22</v>
      </c>
      <c r="AC409">
        <v>12</v>
      </c>
      <c r="AD409">
        <v>53</v>
      </c>
      <c r="AE409" s="19" t="s">
        <v>60</v>
      </c>
    </row>
    <row r="410" spans="1:31" x14ac:dyDescent="0.2">
      <c r="A410">
        <v>397</v>
      </c>
      <c r="B410" s="19" t="s">
        <v>905</v>
      </c>
      <c r="C410">
        <v>35</v>
      </c>
      <c r="D410" s="19" t="s">
        <v>366</v>
      </c>
      <c r="E410" s="19" t="s">
        <v>322</v>
      </c>
      <c r="F410">
        <v>45</v>
      </c>
      <c r="G410">
        <v>2</v>
      </c>
      <c r="H410">
        <v>11</v>
      </c>
      <c r="I410">
        <v>13</v>
      </c>
      <c r="J410">
        <v>-3</v>
      </c>
      <c r="K410">
        <v>47</v>
      </c>
      <c r="L410">
        <v>2</v>
      </c>
      <c r="M410">
        <v>0</v>
      </c>
      <c r="N410">
        <v>0</v>
      </c>
      <c r="O410">
        <v>0</v>
      </c>
      <c r="P410">
        <v>11</v>
      </c>
      <c r="Q410">
        <v>0</v>
      </c>
      <c r="R410">
        <v>0</v>
      </c>
      <c r="S410">
        <v>39</v>
      </c>
      <c r="T410">
        <v>5.0999999999999996</v>
      </c>
      <c r="U410">
        <v>76</v>
      </c>
      <c r="V410" s="19" t="s">
        <v>2816</v>
      </c>
      <c r="W410" s="19" t="s">
        <v>1035</v>
      </c>
      <c r="X410">
        <v>311</v>
      </c>
      <c r="Y410">
        <v>314</v>
      </c>
      <c r="Z410">
        <v>49.8</v>
      </c>
      <c r="AA410">
        <v>33</v>
      </c>
      <c r="AB410">
        <v>76</v>
      </c>
      <c r="AC410">
        <v>13</v>
      </c>
      <c r="AD410">
        <v>32</v>
      </c>
      <c r="AE410" s="19" t="s">
        <v>60</v>
      </c>
    </row>
    <row r="411" spans="1:31" x14ac:dyDescent="0.2">
      <c r="A411">
        <v>398</v>
      </c>
      <c r="B411" s="19" t="s">
        <v>968</v>
      </c>
      <c r="C411">
        <v>20</v>
      </c>
      <c r="D411" s="19" t="s">
        <v>513</v>
      </c>
      <c r="E411" s="19" t="s">
        <v>322</v>
      </c>
      <c r="F411">
        <v>42</v>
      </c>
      <c r="G411">
        <v>9</v>
      </c>
      <c r="H411">
        <v>4</v>
      </c>
      <c r="I411">
        <v>13</v>
      </c>
      <c r="J411">
        <v>-5</v>
      </c>
      <c r="K411">
        <v>12</v>
      </c>
      <c r="L411">
        <v>4</v>
      </c>
      <c r="M411">
        <v>5</v>
      </c>
      <c r="N411">
        <v>0</v>
      </c>
      <c r="O411">
        <v>0</v>
      </c>
      <c r="P411">
        <v>2</v>
      </c>
      <c r="Q411">
        <v>2</v>
      </c>
      <c r="R411">
        <v>0</v>
      </c>
      <c r="S411">
        <v>54</v>
      </c>
      <c r="T411">
        <v>16.7</v>
      </c>
      <c r="U411">
        <v>99</v>
      </c>
      <c r="V411" s="19" t="s">
        <v>2817</v>
      </c>
      <c r="W411" s="19" t="s">
        <v>929</v>
      </c>
      <c r="X411">
        <v>197</v>
      </c>
      <c r="Y411">
        <v>216</v>
      </c>
      <c r="Z411">
        <v>47.7</v>
      </c>
      <c r="AA411">
        <v>16</v>
      </c>
      <c r="AB411">
        <v>60</v>
      </c>
      <c r="AC411">
        <v>6</v>
      </c>
      <c r="AD411">
        <v>28</v>
      </c>
      <c r="AE411" s="19" t="s">
        <v>60</v>
      </c>
    </row>
    <row r="412" spans="1:31" x14ac:dyDescent="0.2">
      <c r="A412">
        <v>399</v>
      </c>
      <c r="B412" s="19" t="s">
        <v>615</v>
      </c>
      <c r="C412">
        <v>24</v>
      </c>
      <c r="D412" s="19" t="s">
        <v>407</v>
      </c>
      <c r="E412" s="19" t="s">
        <v>335</v>
      </c>
      <c r="F412">
        <v>21</v>
      </c>
      <c r="G412">
        <v>10</v>
      </c>
      <c r="H412">
        <v>3</v>
      </c>
      <c r="I412">
        <v>13</v>
      </c>
      <c r="J412">
        <v>7</v>
      </c>
      <c r="K412">
        <v>18</v>
      </c>
      <c r="L412">
        <v>7</v>
      </c>
      <c r="M412">
        <v>3</v>
      </c>
      <c r="N412">
        <v>0</v>
      </c>
      <c r="O412">
        <v>2</v>
      </c>
      <c r="P412">
        <v>3</v>
      </c>
      <c r="Q412">
        <v>0</v>
      </c>
      <c r="R412">
        <v>0</v>
      </c>
      <c r="S412">
        <v>41</v>
      </c>
      <c r="T412">
        <v>24.4</v>
      </c>
      <c r="U412">
        <v>75</v>
      </c>
      <c r="V412" s="19" t="s">
        <v>2114</v>
      </c>
      <c r="W412" s="19" t="s">
        <v>616</v>
      </c>
      <c r="X412">
        <v>1</v>
      </c>
      <c r="Y412">
        <v>1</v>
      </c>
      <c r="Z412">
        <v>50</v>
      </c>
      <c r="AA412">
        <v>18</v>
      </c>
      <c r="AB412">
        <v>20</v>
      </c>
      <c r="AC412">
        <v>8</v>
      </c>
      <c r="AD412">
        <v>11</v>
      </c>
      <c r="AE412" s="19" t="s">
        <v>60</v>
      </c>
    </row>
    <row r="413" spans="1:31" x14ac:dyDescent="0.2">
      <c r="A413">
        <v>400</v>
      </c>
      <c r="B413" s="19" t="s">
        <v>1048</v>
      </c>
      <c r="C413">
        <v>32</v>
      </c>
      <c r="D413" s="19" t="s">
        <v>530</v>
      </c>
      <c r="E413" s="19" t="s">
        <v>322</v>
      </c>
      <c r="F413">
        <v>37</v>
      </c>
      <c r="G413">
        <v>4</v>
      </c>
      <c r="H413">
        <v>9</v>
      </c>
      <c r="I413">
        <v>13</v>
      </c>
      <c r="J413">
        <v>4</v>
      </c>
      <c r="K413">
        <v>9</v>
      </c>
      <c r="L413">
        <v>3</v>
      </c>
      <c r="M413">
        <v>1</v>
      </c>
      <c r="N413">
        <v>0</v>
      </c>
      <c r="O413">
        <v>0</v>
      </c>
      <c r="P413">
        <v>8</v>
      </c>
      <c r="Q413">
        <v>1</v>
      </c>
      <c r="R413">
        <v>0</v>
      </c>
      <c r="S413">
        <v>39</v>
      </c>
      <c r="T413">
        <v>10.3</v>
      </c>
      <c r="U413">
        <v>88</v>
      </c>
      <c r="V413" s="19" t="s">
        <v>2465</v>
      </c>
      <c r="W413" s="19" t="s">
        <v>2100</v>
      </c>
      <c r="X413">
        <v>158</v>
      </c>
      <c r="Y413">
        <v>211</v>
      </c>
      <c r="Z413">
        <v>42.8</v>
      </c>
      <c r="AA413">
        <v>30</v>
      </c>
      <c r="AB413">
        <v>16</v>
      </c>
      <c r="AC413">
        <v>17</v>
      </c>
      <c r="AD413">
        <v>23</v>
      </c>
      <c r="AE413" s="19" t="s">
        <v>60</v>
      </c>
    </row>
    <row r="414" spans="1:31" x14ac:dyDescent="0.2">
      <c r="A414">
        <v>401</v>
      </c>
      <c r="B414" s="19" t="s">
        <v>782</v>
      </c>
      <c r="C414">
        <v>32</v>
      </c>
      <c r="D414" s="19" t="s">
        <v>344</v>
      </c>
      <c r="E414" s="19" t="s">
        <v>349</v>
      </c>
      <c r="F414">
        <v>43</v>
      </c>
      <c r="G414">
        <v>6</v>
      </c>
      <c r="H414">
        <v>7</v>
      </c>
      <c r="I414">
        <v>13</v>
      </c>
      <c r="J414">
        <v>2</v>
      </c>
      <c r="K414">
        <v>17</v>
      </c>
      <c r="L414">
        <v>6</v>
      </c>
      <c r="M414">
        <v>0</v>
      </c>
      <c r="N414">
        <v>0</v>
      </c>
      <c r="O414">
        <v>1</v>
      </c>
      <c r="P414">
        <v>7</v>
      </c>
      <c r="Q414">
        <v>0</v>
      </c>
      <c r="R414">
        <v>0</v>
      </c>
      <c r="S414">
        <v>54</v>
      </c>
      <c r="T414">
        <v>11.1</v>
      </c>
      <c r="U414">
        <v>112</v>
      </c>
      <c r="V414" s="19" t="s">
        <v>2466</v>
      </c>
      <c r="W414" s="19" t="s">
        <v>743</v>
      </c>
      <c r="X414">
        <v>0</v>
      </c>
      <c r="Y414">
        <v>0</v>
      </c>
      <c r="AA414">
        <v>44</v>
      </c>
      <c r="AB414">
        <v>22</v>
      </c>
      <c r="AC414">
        <v>14</v>
      </c>
      <c r="AD414">
        <v>37</v>
      </c>
      <c r="AE414" s="19" t="s">
        <v>60</v>
      </c>
    </row>
    <row r="415" spans="1:31" x14ac:dyDescent="0.2">
      <c r="A415">
        <v>402</v>
      </c>
      <c r="B415" s="19" t="s">
        <v>872</v>
      </c>
      <c r="C415">
        <v>35</v>
      </c>
      <c r="D415" s="19" t="s">
        <v>416</v>
      </c>
      <c r="E415" s="19" t="s">
        <v>349</v>
      </c>
      <c r="F415">
        <v>48</v>
      </c>
      <c r="G415">
        <v>3</v>
      </c>
      <c r="H415">
        <v>10</v>
      </c>
      <c r="I415">
        <v>13</v>
      </c>
      <c r="J415">
        <v>-11</v>
      </c>
      <c r="K415">
        <v>22</v>
      </c>
      <c r="L415">
        <v>3</v>
      </c>
      <c r="M415">
        <v>0</v>
      </c>
      <c r="N415">
        <v>0</v>
      </c>
      <c r="O415">
        <v>0</v>
      </c>
      <c r="P415">
        <v>10</v>
      </c>
      <c r="Q415">
        <v>0</v>
      </c>
      <c r="R415">
        <v>0</v>
      </c>
      <c r="S415">
        <v>31</v>
      </c>
      <c r="T415">
        <v>9.6999999999999993</v>
      </c>
      <c r="U415">
        <v>102</v>
      </c>
      <c r="V415" s="19" t="s">
        <v>2284</v>
      </c>
      <c r="W415" s="19" t="s">
        <v>1525</v>
      </c>
      <c r="X415">
        <v>0</v>
      </c>
      <c r="Y415">
        <v>0</v>
      </c>
      <c r="AA415">
        <v>49</v>
      </c>
      <c r="AB415">
        <v>29</v>
      </c>
      <c r="AC415">
        <v>11</v>
      </c>
      <c r="AD415">
        <v>44</v>
      </c>
      <c r="AE415" s="19" t="s">
        <v>60</v>
      </c>
    </row>
    <row r="416" spans="1:31" x14ac:dyDescent="0.2">
      <c r="A416">
        <v>403</v>
      </c>
      <c r="B416" s="19" t="s">
        <v>922</v>
      </c>
      <c r="C416">
        <v>28</v>
      </c>
      <c r="D416" s="19" t="s">
        <v>376</v>
      </c>
      <c r="E416" s="19" t="s">
        <v>322</v>
      </c>
      <c r="F416">
        <v>41</v>
      </c>
      <c r="G416">
        <v>6</v>
      </c>
      <c r="H416">
        <v>7</v>
      </c>
      <c r="I416">
        <v>13</v>
      </c>
      <c r="J416">
        <v>7</v>
      </c>
      <c r="K416">
        <v>21</v>
      </c>
      <c r="L416">
        <v>6</v>
      </c>
      <c r="M416">
        <v>0</v>
      </c>
      <c r="N416">
        <v>0</v>
      </c>
      <c r="O416">
        <v>1</v>
      </c>
      <c r="P416">
        <v>7</v>
      </c>
      <c r="Q416">
        <v>0</v>
      </c>
      <c r="R416">
        <v>0</v>
      </c>
      <c r="S416">
        <v>41</v>
      </c>
      <c r="T416">
        <v>14.6</v>
      </c>
      <c r="U416">
        <v>80</v>
      </c>
      <c r="V416" s="19" t="s">
        <v>2285</v>
      </c>
      <c r="W416" s="19" t="s">
        <v>2052</v>
      </c>
      <c r="X416">
        <v>182</v>
      </c>
      <c r="Y416">
        <v>168</v>
      </c>
      <c r="Z416">
        <v>52</v>
      </c>
      <c r="AA416">
        <v>21</v>
      </c>
      <c r="AB416">
        <v>36</v>
      </c>
      <c r="AC416">
        <v>7</v>
      </c>
      <c r="AD416">
        <v>27</v>
      </c>
      <c r="AE416" s="19" t="s">
        <v>60</v>
      </c>
    </row>
    <row r="417" spans="1:31" x14ac:dyDescent="0.2">
      <c r="A417">
        <v>404</v>
      </c>
      <c r="B417" s="19" t="s">
        <v>838</v>
      </c>
      <c r="C417">
        <v>33</v>
      </c>
      <c r="D417" s="19" t="s">
        <v>324</v>
      </c>
      <c r="E417" s="19" t="s">
        <v>340</v>
      </c>
      <c r="F417">
        <v>32</v>
      </c>
      <c r="G417">
        <v>6</v>
      </c>
      <c r="H417">
        <v>7</v>
      </c>
      <c r="I417">
        <v>13</v>
      </c>
      <c r="J417">
        <v>-8</v>
      </c>
      <c r="K417">
        <v>14</v>
      </c>
      <c r="L417">
        <v>4</v>
      </c>
      <c r="M417">
        <v>2</v>
      </c>
      <c r="N417">
        <v>0</v>
      </c>
      <c r="O417">
        <v>0</v>
      </c>
      <c r="P417">
        <v>5</v>
      </c>
      <c r="Q417">
        <v>2</v>
      </c>
      <c r="R417">
        <v>0</v>
      </c>
      <c r="S417">
        <v>56</v>
      </c>
      <c r="T417">
        <v>10.7</v>
      </c>
      <c r="U417">
        <v>117</v>
      </c>
      <c r="V417" s="19" t="s">
        <v>1919</v>
      </c>
      <c r="W417" s="19" t="s">
        <v>986</v>
      </c>
      <c r="X417">
        <v>3</v>
      </c>
      <c r="Y417">
        <v>8</v>
      </c>
      <c r="Z417">
        <v>27.3</v>
      </c>
      <c r="AA417">
        <v>11</v>
      </c>
      <c r="AB417">
        <v>17</v>
      </c>
      <c r="AC417">
        <v>10</v>
      </c>
      <c r="AD417">
        <v>27</v>
      </c>
      <c r="AE417" s="19" t="s">
        <v>60</v>
      </c>
    </row>
    <row r="418" spans="1:31" x14ac:dyDescent="0.2">
      <c r="A418">
        <v>405</v>
      </c>
      <c r="B418" s="19" t="s">
        <v>727</v>
      </c>
      <c r="C418">
        <v>31</v>
      </c>
      <c r="D418" s="19" t="s">
        <v>513</v>
      </c>
      <c r="E418" s="19" t="s">
        <v>322</v>
      </c>
      <c r="F418">
        <v>39</v>
      </c>
      <c r="G418">
        <v>3</v>
      </c>
      <c r="H418">
        <v>10</v>
      </c>
      <c r="I418">
        <v>13</v>
      </c>
      <c r="J418">
        <v>-13</v>
      </c>
      <c r="K418">
        <v>14</v>
      </c>
      <c r="L418">
        <v>3</v>
      </c>
      <c r="M418">
        <v>0</v>
      </c>
      <c r="N418">
        <v>0</v>
      </c>
      <c r="O418">
        <v>0</v>
      </c>
      <c r="P418">
        <v>9</v>
      </c>
      <c r="Q418">
        <v>1</v>
      </c>
      <c r="R418">
        <v>0</v>
      </c>
      <c r="S418">
        <v>32</v>
      </c>
      <c r="T418">
        <v>9.4</v>
      </c>
      <c r="U418">
        <v>59</v>
      </c>
      <c r="V418" s="19" t="s">
        <v>2156</v>
      </c>
      <c r="W418" s="19" t="s">
        <v>500</v>
      </c>
      <c r="X418">
        <v>163</v>
      </c>
      <c r="Y418">
        <v>181</v>
      </c>
      <c r="Z418">
        <v>47.4</v>
      </c>
      <c r="AA418">
        <v>23</v>
      </c>
      <c r="AB418">
        <v>47</v>
      </c>
      <c r="AC418">
        <v>9</v>
      </c>
      <c r="AD418">
        <v>16</v>
      </c>
      <c r="AE418" s="19" t="s">
        <v>60</v>
      </c>
    </row>
    <row r="419" spans="1:31" x14ac:dyDescent="0.2">
      <c r="A419">
        <v>406</v>
      </c>
      <c r="B419" s="19" t="s">
        <v>729</v>
      </c>
      <c r="C419">
        <v>31</v>
      </c>
      <c r="D419" s="19" t="s">
        <v>321</v>
      </c>
      <c r="E419" s="19" t="s">
        <v>349</v>
      </c>
      <c r="F419">
        <v>40</v>
      </c>
      <c r="G419">
        <v>1</v>
      </c>
      <c r="H419">
        <v>12</v>
      </c>
      <c r="I419">
        <v>13</v>
      </c>
      <c r="J419">
        <v>26</v>
      </c>
      <c r="K419">
        <v>18</v>
      </c>
      <c r="L419">
        <v>1</v>
      </c>
      <c r="M419">
        <v>0</v>
      </c>
      <c r="N419">
        <v>0</v>
      </c>
      <c r="O419">
        <v>0</v>
      </c>
      <c r="P419">
        <v>12</v>
      </c>
      <c r="Q419">
        <v>0</v>
      </c>
      <c r="R419">
        <v>0</v>
      </c>
      <c r="S419">
        <v>68</v>
      </c>
      <c r="T419">
        <v>1.5</v>
      </c>
      <c r="U419">
        <v>150</v>
      </c>
      <c r="V419" s="19" t="s">
        <v>1804</v>
      </c>
      <c r="W419" s="19" t="s">
        <v>1805</v>
      </c>
      <c r="X419">
        <v>0</v>
      </c>
      <c r="Y419">
        <v>0</v>
      </c>
      <c r="AA419">
        <v>58</v>
      </c>
      <c r="AB419">
        <v>14</v>
      </c>
      <c r="AC419">
        <v>14</v>
      </c>
      <c r="AD419">
        <v>44</v>
      </c>
      <c r="AE419" s="19" t="s">
        <v>60</v>
      </c>
    </row>
    <row r="420" spans="1:31" x14ac:dyDescent="0.2">
      <c r="A420">
        <v>407</v>
      </c>
      <c r="B420" s="19" t="s">
        <v>1022</v>
      </c>
      <c r="C420">
        <v>22</v>
      </c>
      <c r="D420" s="19" t="s">
        <v>530</v>
      </c>
      <c r="E420" s="19" t="s">
        <v>322</v>
      </c>
      <c r="F420">
        <v>48</v>
      </c>
      <c r="G420">
        <v>3</v>
      </c>
      <c r="H420">
        <v>10</v>
      </c>
      <c r="I420">
        <v>13</v>
      </c>
      <c r="J420">
        <v>0</v>
      </c>
      <c r="K420">
        <v>15</v>
      </c>
      <c r="L420">
        <v>3</v>
      </c>
      <c r="M420">
        <v>0</v>
      </c>
      <c r="N420">
        <v>0</v>
      </c>
      <c r="O420">
        <v>0</v>
      </c>
      <c r="P420">
        <v>10</v>
      </c>
      <c r="Q420">
        <v>0</v>
      </c>
      <c r="R420">
        <v>0</v>
      </c>
      <c r="S420">
        <v>46</v>
      </c>
      <c r="T420">
        <v>6.5</v>
      </c>
      <c r="U420">
        <v>96</v>
      </c>
      <c r="V420" s="19" t="s">
        <v>2467</v>
      </c>
      <c r="W420" s="19" t="s">
        <v>927</v>
      </c>
      <c r="X420">
        <v>0</v>
      </c>
      <c r="Y420">
        <v>5</v>
      </c>
      <c r="Z420">
        <v>0</v>
      </c>
      <c r="AA420">
        <v>23</v>
      </c>
      <c r="AB420">
        <v>46</v>
      </c>
      <c r="AC420">
        <v>9</v>
      </c>
      <c r="AD420">
        <v>22</v>
      </c>
      <c r="AE420" s="19" t="s">
        <v>60</v>
      </c>
    </row>
    <row r="421" spans="1:31" x14ac:dyDescent="0.2">
      <c r="A421">
        <v>408</v>
      </c>
      <c r="B421" s="19" t="s">
        <v>847</v>
      </c>
      <c r="C421">
        <v>25</v>
      </c>
      <c r="D421" s="19" t="s">
        <v>436</v>
      </c>
      <c r="E421" s="19" t="s">
        <v>349</v>
      </c>
      <c r="F421">
        <v>50</v>
      </c>
      <c r="G421">
        <v>3</v>
      </c>
      <c r="H421">
        <v>9</v>
      </c>
      <c r="I421">
        <v>12</v>
      </c>
      <c r="J421">
        <v>11</v>
      </c>
      <c r="K421">
        <v>33</v>
      </c>
      <c r="L421">
        <v>3</v>
      </c>
      <c r="M421">
        <v>0</v>
      </c>
      <c r="N421">
        <v>0</v>
      </c>
      <c r="O421">
        <v>2</v>
      </c>
      <c r="P421">
        <v>9</v>
      </c>
      <c r="Q421">
        <v>0</v>
      </c>
      <c r="R421">
        <v>0</v>
      </c>
      <c r="S421">
        <v>43</v>
      </c>
      <c r="T421">
        <v>7</v>
      </c>
      <c r="U421">
        <v>100</v>
      </c>
      <c r="V421" s="19" t="s">
        <v>2468</v>
      </c>
      <c r="W421" s="19" t="s">
        <v>2152</v>
      </c>
      <c r="X421">
        <v>0</v>
      </c>
      <c r="Y421">
        <v>0</v>
      </c>
      <c r="AA421">
        <v>73</v>
      </c>
      <c r="AB421">
        <v>77</v>
      </c>
      <c r="AC421">
        <v>34</v>
      </c>
      <c r="AD421">
        <v>66</v>
      </c>
      <c r="AE421" s="19" t="s">
        <v>60</v>
      </c>
    </row>
    <row r="422" spans="1:31" x14ac:dyDescent="0.2">
      <c r="A422">
        <v>409</v>
      </c>
      <c r="B422" s="19" t="s">
        <v>966</v>
      </c>
      <c r="C422">
        <v>29</v>
      </c>
      <c r="D422" s="19" t="s">
        <v>397</v>
      </c>
      <c r="E422" s="19" t="s">
        <v>349</v>
      </c>
      <c r="F422">
        <v>45</v>
      </c>
      <c r="G422">
        <v>1</v>
      </c>
      <c r="H422">
        <v>11</v>
      </c>
      <c r="I422">
        <v>12</v>
      </c>
      <c r="J422">
        <v>14</v>
      </c>
      <c r="K422">
        <v>14</v>
      </c>
      <c r="L422">
        <v>1</v>
      </c>
      <c r="M422">
        <v>0</v>
      </c>
      <c r="N422">
        <v>0</v>
      </c>
      <c r="O422">
        <v>1</v>
      </c>
      <c r="P422">
        <v>11</v>
      </c>
      <c r="Q422">
        <v>0</v>
      </c>
      <c r="R422">
        <v>0</v>
      </c>
      <c r="S422">
        <v>61</v>
      </c>
      <c r="T422">
        <v>1.6</v>
      </c>
      <c r="U422">
        <v>165</v>
      </c>
      <c r="V422" s="19" t="s">
        <v>2818</v>
      </c>
      <c r="W422" s="19" t="s">
        <v>338</v>
      </c>
      <c r="X422">
        <v>0</v>
      </c>
      <c r="Y422">
        <v>0</v>
      </c>
      <c r="AA422">
        <v>40</v>
      </c>
      <c r="AB422">
        <v>24</v>
      </c>
      <c r="AC422">
        <v>20</v>
      </c>
      <c r="AD422">
        <v>36</v>
      </c>
      <c r="AE422" s="19" t="s">
        <v>60</v>
      </c>
    </row>
    <row r="423" spans="1:31" x14ac:dyDescent="0.2">
      <c r="A423">
        <v>410</v>
      </c>
      <c r="B423" s="19" t="s">
        <v>745</v>
      </c>
      <c r="C423">
        <v>35</v>
      </c>
      <c r="D423" s="19" t="s">
        <v>399</v>
      </c>
      <c r="E423" s="19" t="s">
        <v>349</v>
      </c>
      <c r="F423">
        <v>51</v>
      </c>
      <c r="G423">
        <v>3</v>
      </c>
      <c r="H423">
        <v>9</v>
      </c>
      <c r="I423">
        <v>12</v>
      </c>
      <c r="J423">
        <v>-10</v>
      </c>
      <c r="K423">
        <v>39</v>
      </c>
      <c r="L423">
        <v>3</v>
      </c>
      <c r="M423">
        <v>0</v>
      </c>
      <c r="N423">
        <v>0</v>
      </c>
      <c r="O423">
        <v>2</v>
      </c>
      <c r="P423">
        <v>8</v>
      </c>
      <c r="Q423">
        <v>0</v>
      </c>
      <c r="R423">
        <v>1</v>
      </c>
      <c r="S423">
        <v>38</v>
      </c>
      <c r="T423">
        <v>7.9</v>
      </c>
      <c r="U423">
        <v>84</v>
      </c>
      <c r="V423" s="19" t="s">
        <v>2469</v>
      </c>
      <c r="W423" s="19" t="s">
        <v>2022</v>
      </c>
      <c r="X423">
        <v>0</v>
      </c>
      <c r="Y423">
        <v>0</v>
      </c>
      <c r="AA423">
        <v>71</v>
      </c>
      <c r="AB423">
        <v>129</v>
      </c>
      <c r="AC423">
        <v>9</v>
      </c>
      <c r="AD423">
        <v>28</v>
      </c>
      <c r="AE423" s="19" t="s">
        <v>60</v>
      </c>
    </row>
    <row r="424" spans="1:31" x14ac:dyDescent="0.2">
      <c r="A424">
        <v>411</v>
      </c>
      <c r="B424" s="19" t="s">
        <v>1102</v>
      </c>
      <c r="C424">
        <v>35</v>
      </c>
      <c r="D424" s="19" t="s">
        <v>334</v>
      </c>
      <c r="E424" s="19" t="s">
        <v>322</v>
      </c>
      <c r="F424">
        <v>27</v>
      </c>
      <c r="G424">
        <v>5</v>
      </c>
      <c r="H424">
        <v>7</v>
      </c>
      <c r="I424">
        <v>12</v>
      </c>
      <c r="J424">
        <v>-7</v>
      </c>
      <c r="K424">
        <v>4</v>
      </c>
      <c r="L424">
        <v>3</v>
      </c>
      <c r="M424">
        <v>2</v>
      </c>
      <c r="N424">
        <v>0</v>
      </c>
      <c r="O424">
        <v>1</v>
      </c>
      <c r="P424">
        <v>7</v>
      </c>
      <c r="Q424">
        <v>0</v>
      </c>
      <c r="R424">
        <v>0</v>
      </c>
      <c r="S424">
        <v>38</v>
      </c>
      <c r="T424">
        <v>13.2</v>
      </c>
      <c r="U424">
        <v>77</v>
      </c>
      <c r="V424" s="19" t="s">
        <v>2470</v>
      </c>
      <c r="W424" s="19" t="s">
        <v>698</v>
      </c>
      <c r="X424">
        <v>81</v>
      </c>
      <c r="Y424">
        <v>74</v>
      </c>
      <c r="Z424">
        <v>52.3</v>
      </c>
      <c r="AA424">
        <v>11</v>
      </c>
      <c r="AB424">
        <v>7</v>
      </c>
      <c r="AC424">
        <v>5</v>
      </c>
      <c r="AD424">
        <v>24</v>
      </c>
      <c r="AE424" s="19" t="s">
        <v>60</v>
      </c>
    </row>
    <row r="425" spans="1:31" x14ac:dyDescent="0.2">
      <c r="A425">
        <v>412</v>
      </c>
      <c r="B425" s="19" t="s">
        <v>815</v>
      </c>
      <c r="C425">
        <v>27</v>
      </c>
      <c r="D425" s="19" t="s">
        <v>324</v>
      </c>
      <c r="E425" s="19" t="s">
        <v>349</v>
      </c>
      <c r="F425">
        <v>50</v>
      </c>
      <c r="G425">
        <v>4</v>
      </c>
      <c r="H425">
        <v>8</v>
      </c>
      <c r="I425">
        <v>12</v>
      </c>
      <c r="J425">
        <v>-2</v>
      </c>
      <c r="K425">
        <v>16</v>
      </c>
      <c r="L425">
        <v>4</v>
      </c>
      <c r="M425">
        <v>0</v>
      </c>
      <c r="N425">
        <v>0</v>
      </c>
      <c r="O425">
        <v>0</v>
      </c>
      <c r="P425">
        <v>8</v>
      </c>
      <c r="Q425">
        <v>0</v>
      </c>
      <c r="R425">
        <v>0</v>
      </c>
      <c r="S425">
        <v>60</v>
      </c>
      <c r="T425">
        <v>6.7</v>
      </c>
      <c r="U425">
        <v>134</v>
      </c>
      <c r="V425" s="19" t="s">
        <v>2471</v>
      </c>
      <c r="W425" s="19" t="s">
        <v>1598</v>
      </c>
      <c r="X425">
        <v>0</v>
      </c>
      <c r="Y425">
        <v>0</v>
      </c>
      <c r="AA425">
        <v>95</v>
      </c>
      <c r="AB425">
        <v>85</v>
      </c>
      <c r="AC425">
        <v>19</v>
      </c>
      <c r="AD425">
        <v>58</v>
      </c>
      <c r="AE425" s="19" t="s">
        <v>60</v>
      </c>
    </row>
    <row r="426" spans="1:31" x14ac:dyDescent="0.2">
      <c r="A426">
        <v>413</v>
      </c>
      <c r="B426" s="19" t="s">
        <v>643</v>
      </c>
      <c r="C426">
        <v>35</v>
      </c>
      <c r="D426" s="19" t="s">
        <v>352</v>
      </c>
      <c r="E426" s="19" t="s">
        <v>349</v>
      </c>
      <c r="F426">
        <v>18</v>
      </c>
      <c r="G426">
        <v>0</v>
      </c>
      <c r="H426">
        <v>12</v>
      </c>
      <c r="I426">
        <v>12</v>
      </c>
      <c r="J426">
        <v>0</v>
      </c>
      <c r="K426">
        <v>6</v>
      </c>
      <c r="L426">
        <v>0</v>
      </c>
      <c r="M426">
        <v>0</v>
      </c>
      <c r="N426">
        <v>0</v>
      </c>
      <c r="O426">
        <v>0</v>
      </c>
      <c r="P426">
        <v>6</v>
      </c>
      <c r="Q426">
        <v>6</v>
      </c>
      <c r="R426">
        <v>0</v>
      </c>
      <c r="S426">
        <v>25</v>
      </c>
      <c r="T426">
        <v>0</v>
      </c>
      <c r="U426">
        <v>78</v>
      </c>
      <c r="V426" s="19" t="s">
        <v>1514</v>
      </c>
      <c r="W426" s="19" t="s">
        <v>1515</v>
      </c>
      <c r="X426">
        <v>0</v>
      </c>
      <c r="Y426">
        <v>0</v>
      </c>
      <c r="AA426">
        <v>29</v>
      </c>
      <c r="AB426">
        <v>8</v>
      </c>
      <c r="AC426">
        <v>5</v>
      </c>
      <c r="AD426">
        <v>28</v>
      </c>
      <c r="AE426" s="19" t="s">
        <v>60</v>
      </c>
    </row>
    <row r="427" spans="1:31" x14ac:dyDescent="0.2">
      <c r="A427">
        <v>414</v>
      </c>
      <c r="B427" s="19" t="s">
        <v>818</v>
      </c>
      <c r="C427">
        <v>31</v>
      </c>
      <c r="D427" s="19" t="s">
        <v>337</v>
      </c>
      <c r="E427" s="19" t="s">
        <v>340</v>
      </c>
      <c r="F427">
        <v>49</v>
      </c>
      <c r="G427">
        <v>2</v>
      </c>
      <c r="H427">
        <v>10</v>
      </c>
      <c r="I427">
        <v>12</v>
      </c>
      <c r="J427">
        <v>-3</v>
      </c>
      <c r="K427">
        <v>88</v>
      </c>
      <c r="L427">
        <v>2</v>
      </c>
      <c r="M427">
        <v>0</v>
      </c>
      <c r="N427">
        <v>0</v>
      </c>
      <c r="O427">
        <v>0</v>
      </c>
      <c r="P427">
        <v>10</v>
      </c>
      <c r="Q427">
        <v>0</v>
      </c>
      <c r="R427">
        <v>0</v>
      </c>
      <c r="S427">
        <v>27</v>
      </c>
      <c r="T427">
        <v>7.4</v>
      </c>
      <c r="U427">
        <v>59</v>
      </c>
      <c r="V427" s="19" t="s">
        <v>2472</v>
      </c>
      <c r="W427" s="19" t="s">
        <v>1666</v>
      </c>
      <c r="X427">
        <v>4</v>
      </c>
      <c r="Y427">
        <v>5</v>
      </c>
      <c r="Z427">
        <v>44.4</v>
      </c>
      <c r="AA427">
        <v>12</v>
      </c>
      <c r="AB427">
        <v>145</v>
      </c>
      <c r="AC427">
        <v>4</v>
      </c>
      <c r="AD427">
        <v>28</v>
      </c>
      <c r="AE427" s="19" t="s">
        <v>60</v>
      </c>
    </row>
    <row r="428" spans="1:31" x14ac:dyDescent="0.2">
      <c r="A428">
        <v>415</v>
      </c>
      <c r="B428" s="19" t="s">
        <v>1058</v>
      </c>
      <c r="C428">
        <v>21</v>
      </c>
      <c r="D428" s="19" t="s">
        <v>371</v>
      </c>
      <c r="E428" s="19" t="s">
        <v>322</v>
      </c>
      <c r="F428">
        <v>52</v>
      </c>
      <c r="G428">
        <v>5</v>
      </c>
      <c r="H428">
        <v>7</v>
      </c>
      <c r="I428">
        <v>12</v>
      </c>
      <c r="J428">
        <v>-9</v>
      </c>
      <c r="K428">
        <v>29</v>
      </c>
      <c r="L428">
        <v>4</v>
      </c>
      <c r="M428">
        <v>1</v>
      </c>
      <c r="N428">
        <v>0</v>
      </c>
      <c r="O428">
        <v>0</v>
      </c>
      <c r="P428">
        <v>6</v>
      </c>
      <c r="Q428">
        <v>1</v>
      </c>
      <c r="R428">
        <v>0</v>
      </c>
      <c r="S428">
        <v>80</v>
      </c>
      <c r="T428">
        <v>6.3</v>
      </c>
      <c r="U428">
        <v>143</v>
      </c>
      <c r="V428" s="19" t="s">
        <v>2819</v>
      </c>
      <c r="W428" s="19" t="s">
        <v>1087</v>
      </c>
      <c r="X428">
        <v>145</v>
      </c>
      <c r="Y428">
        <v>146</v>
      </c>
      <c r="Z428">
        <v>49.8</v>
      </c>
      <c r="AA428">
        <v>31</v>
      </c>
      <c r="AB428">
        <v>120</v>
      </c>
      <c r="AC428">
        <v>7</v>
      </c>
      <c r="AD428">
        <v>33</v>
      </c>
      <c r="AE428" s="19" t="s">
        <v>60</v>
      </c>
    </row>
    <row r="429" spans="1:31" x14ac:dyDescent="0.2">
      <c r="A429">
        <v>416</v>
      </c>
      <c r="B429" s="19" t="s">
        <v>991</v>
      </c>
      <c r="C429">
        <v>28</v>
      </c>
      <c r="D429" s="19" t="s">
        <v>344</v>
      </c>
      <c r="E429" s="19" t="s">
        <v>335</v>
      </c>
      <c r="F429">
        <v>50</v>
      </c>
      <c r="G429">
        <v>4</v>
      </c>
      <c r="H429">
        <v>8</v>
      </c>
      <c r="I429">
        <v>12</v>
      </c>
      <c r="J429">
        <v>-6</v>
      </c>
      <c r="K429">
        <v>42</v>
      </c>
      <c r="L429">
        <v>4</v>
      </c>
      <c r="M429">
        <v>0</v>
      </c>
      <c r="N429">
        <v>0</v>
      </c>
      <c r="O429">
        <v>0</v>
      </c>
      <c r="P429">
        <v>8</v>
      </c>
      <c r="Q429">
        <v>0</v>
      </c>
      <c r="R429">
        <v>0</v>
      </c>
      <c r="S429">
        <v>46</v>
      </c>
      <c r="T429">
        <v>8.6999999999999993</v>
      </c>
      <c r="U429">
        <v>86</v>
      </c>
      <c r="V429" s="19" t="s">
        <v>2473</v>
      </c>
      <c r="W429" s="19" t="s">
        <v>2122</v>
      </c>
      <c r="X429">
        <v>9</v>
      </c>
      <c r="Y429">
        <v>12</v>
      </c>
      <c r="Z429">
        <v>42.9</v>
      </c>
      <c r="AA429">
        <v>26</v>
      </c>
      <c r="AB429">
        <v>167</v>
      </c>
      <c r="AC429">
        <v>2</v>
      </c>
      <c r="AD429">
        <v>21</v>
      </c>
      <c r="AE429" s="19" t="s">
        <v>60</v>
      </c>
    </row>
    <row r="430" spans="1:31" x14ac:dyDescent="0.2">
      <c r="A430">
        <v>417</v>
      </c>
      <c r="B430" s="19" t="s">
        <v>1061</v>
      </c>
      <c r="C430">
        <v>25</v>
      </c>
      <c r="D430" s="19" t="s">
        <v>344</v>
      </c>
      <c r="E430" s="19" t="s">
        <v>349</v>
      </c>
      <c r="F430">
        <v>50</v>
      </c>
      <c r="G430">
        <v>3</v>
      </c>
      <c r="H430">
        <v>9</v>
      </c>
      <c r="I430">
        <v>12</v>
      </c>
      <c r="J430">
        <v>9</v>
      </c>
      <c r="K430">
        <v>16</v>
      </c>
      <c r="L430">
        <v>3</v>
      </c>
      <c r="M430">
        <v>0</v>
      </c>
      <c r="N430">
        <v>0</v>
      </c>
      <c r="O430">
        <v>0</v>
      </c>
      <c r="P430">
        <v>9</v>
      </c>
      <c r="Q430">
        <v>0</v>
      </c>
      <c r="R430">
        <v>0</v>
      </c>
      <c r="S430">
        <v>47</v>
      </c>
      <c r="T430">
        <v>6.4</v>
      </c>
      <c r="U430">
        <v>112</v>
      </c>
      <c r="V430" s="19" t="s">
        <v>2474</v>
      </c>
      <c r="W430" s="19" t="s">
        <v>1796</v>
      </c>
      <c r="X430">
        <v>0</v>
      </c>
      <c r="Y430">
        <v>0</v>
      </c>
      <c r="AA430">
        <v>72</v>
      </c>
      <c r="AB430">
        <v>78</v>
      </c>
      <c r="AC430">
        <v>7</v>
      </c>
      <c r="AD430">
        <v>64</v>
      </c>
      <c r="AE430" s="19" t="s">
        <v>60</v>
      </c>
    </row>
    <row r="431" spans="1:31" x14ac:dyDescent="0.2">
      <c r="A431">
        <v>418</v>
      </c>
      <c r="B431" s="19" t="s">
        <v>718</v>
      </c>
      <c r="C431">
        <v>29</v>
      </c>
      <c r="D431" s="19" t="s">
        <v>328</v>
      </c>
      <c r="E431" s="19" t="s">
        <v>340</v>
      </c>
      <c r="F431">
        <v>47</v>
      </c>
      <c r="G431">
        <v>6</v>
      </c>
      <c r="H431">
        <v>6</v>
      </c>
      <c r="I431">
        <v>12</v>
      </c>
      <c r="J431">
        <v>-19</v>
      </c>
      <c r="K431">
        <v>34</v>
      </c>
      <c r="L431">
        <v>6</v>
      </c>
      <c r="M431">
        <v>0</v>
      </c>
      <c r="N431">
        <v>0</v>
      </c>
      <c r="O431">
        <v>1</v>
      </c>
      <c r="P431">
        <v>6</v>
      </c>
      <c r="Q431">
        <v>0</v>
      </c>
      <c r="R431">
        <v>0</v>
      </c>
      <c r="S431">
        <v>44</v>
      </c>
      <c r="T431">
        <v>13.6</v>
      </c>
      <c r="U431">
        <v>99</v>
      </c>
      <c r="V431" s="19" t="s">
        <v>2820</v>
      </c>
      <c r="W431" s="19" t="s">
        <v>1654</v>
      </c>
      <c r="X431">
        <v>2</v>
      </c>
      <c r="Y431">
        <v>4</v>
      </c>
      <c r="Z431">
        <v>33.299999999999997</v>
      </c>
      <c r="AA431">
        <v>18</v>
      </c>
      <c r="AB431">
        <v>46</v>
      </c>
      <c r="AC431">
        <v>7</v>
      </c>
      <c r="AD431">
        <v>31</v>
      </c>
      <c r="AE431" s="19" t="s">
        <v>60</v>
      </c>
    </row>
    <row r="432" spans="1:31" x14ac:dyDescent="0.2">
      <c r="A432">
        <v>419</v>
      </c>
      <c r="B432" s="19" t="s">
        <v>788</v>
      </c>
      <c r="C432">
        <v>35</v>
      </c>
      <c r="D432" s="19" t="s">
        <v>459</v>
      </c>
      <c r="E432" s="19" t="s">
        <v>322</v>
      </c>
      <c r="F432">
        <v>32</v>
      </c>
      <c r="G432">
        <v>9</v>
      </c>
      <c r="H432">
        <v>3</v>
      </c>
      <c r="I432">
        <v>12</v>
      </c>
      <c r="J432">
        <v>-19</v>
      </c>
      <c r="K432">
        <v>6</v>
      </c>
      <c r="L432">
        <v>5</v>
      </c>
      <c r="M432">
        <v>4</v>
      </c>
      <c r="N432">
        <v>0</v>
      </c>
      <c r="O432">
        <v>1</v>
      </c>
      <c r="P432">
        <v>3</v>
      </c>
      <c r="Q432">
        <v>0</v>
      </c>
      <c r="R432">
        <v>0</v>
      </c>
      <c r="S432">
        <v>69</v>
      </c>
      <c r="T432">
        <v>13</v>
      </c>
      <c r="U432">
        <v>143</v>
      </c>
      <c r="V432" s="19" t="s">
        <v>2821</v>
      </c>
      <c r="W432" s="19" t="s">
        <v>567</v>
      </c>
      <c r="X432">
        <v>9</v>
      </c>
      <c r="Y432">
        <v>10</v>
      </c>
      <c r="Z432">
        <v>47.4</v>
      </c>
      <c r="AA432">
        <v>5</v>
      </c>
      <c r="AB432">
        <v>46</v>
      </c>
      <c r="AC432">
        <v>5</v>
      </c>
      <c r="AD432">
        <v>37</v>
      </c>
      <c r="AE432" s="19" t="s">
        <v>60</v>
      </c>
    </row>
    <row r="433" spans="1:31" x14ac:dyDescent="0.2">
      <c r="A433">
        <v>420</v>
      </c>
      <c r="B433" s="19" t="s">
        <v>791</v>
      </c>
      <c r="C433">
        <v>33</v>
      </c>
      <c r="D433" s="19" t="s">
        <v>346</v>
      </c>
      <c r="E433" s="19" t="s">
        <v>322</v>
      </c>
      <c r="F433">
        <v>50</v>
      </c>
      <c r="G433">
        <v>7</v>
      </c>
      <c r="H433">
        <v>5</v>
      </c>
      <c r="I433">
        <v>12</v>
      </c>
      <c r="J433">
        <v>-8</v>
      </c>
      <c r="K433">
        <v>28</v>
      </c>
      <c r="L433">
        <v>5</v>
      </c>
      <c r="M433">
        <v>2</v>
      </c>
      <c r="N433">
        <v>0</v>
      </c>
      <c r="O433">
        <v>1</v>
      </c>
      <c r="P433">
        <v>5</v>
      </c>
      <c r="Q433">
        <v>0</v>
      </c>
      <c r="R433">
        <v>0</v>
      </c>
      <c r="S433">
        <v>62</v>
      </c>
      <c r="T433">
        <v>11.3</v>
      </c>
      <c r="U433">
        <v>121</v>
      </c>
      <c r="V433" s="19" t="s">
        <v>2822</v>
      </c>
      <c r="W433" s="19" t="s">
        <v>1734</v>
      </c>
      <c r="X433">
        <v>81</v>
      </c>
      <c r="Y433">
        <v>120</v>
      </c>
      <c r="Z433">
        <v>40.299999999999997</v>
      </c>
      <c r="AA433">
        <v>29</v>
      </c>
      <c r="AB433">
        <v>64</v>
      </c>
      <c r="AC433">
        <v>6</v>
      </c>
      <c r="AD433">
        <v>37</v>
      </c>
      <c r="AE433" s="19" t="s">
        <v>60</v>
      </c>
    </row>
    <row r="434" spans="1:31" x14ac:dyDescent="0.2">
      <c r="A434">
        <v>421</v>
      </c>
      <c r="B434" s="19" t="s">
        <v>654</v>
      </c>
      <c r="C434">
        <v>25</v>
      </c>
      <c r="D434" s="19" t="s">
        <v>363</v>
      </c>
      <c r="E434" s="19" t="s">
        <v>322</v>
      </c>
      <c r="F434">
        <v>17</v>
      </c>
      <c r="G434">
        <v>6</v>
      </c>
      <c r="H434">
        <v>6</v>
      </c>
      <c r="I434">
        <v>12</v>
      </c>
      <c r="J434">
        <v>7</v>
      </c>
      <c r="K434">
        <v>8</v>
      </c>
      <c r="L434">
        <v>5</v>
      </c>
      <c r="M434">
        <v>1</v>
      </c>
      <c r="N434">
        <v>0</v>
      </c>
      <c r="O434">
        <v>2</v>
      </c>
      <c r="P434">
        <v>6</v>
      </c>
      <c r="Q434">
        <v>0</v>
      </c>
      <c r="R434">
        <v>0</v>
      </c>
      <c r="S434">
        <v>24</v>
      </c>
      <c r="T434">
        <v>25</v>
      </c>
      <c r="U434">
        <v>41</v>
      </c>
      <c r="V434" s="19" t="s">
        <v>655</v>
      </c>
      <c r="W434" s="19" t="s">
        <v>656</v>
      </c>
      <c r="X434">
        <v>37</v>
      </c>
      <c r="Y434">
        <v>52</v>
      </c>
      <c r="Z434">
        <v>41.6</v>
      </c>
      <c r="AA434">
        <v>5</v>
      </c>
      <c r="AB434">
        <v>26</v>
      </c>
      <c r="AC434">
        <v>1</v>
      </c>
      <c r="AD434">
        <v>4</v>
      </c>
      <c r="AE434" s="19" t="s">
        <v>60</v>
      </c>
    </row>
    <row r="435" spans="1:31" x14ac:dyDescent="0.2">
      <c r="A435">
        <v>422</v>
      </c>
      <c r="B435" s="19" t="s">
        <v>763</v>
      </c>
      <c r="C435">
        <v>32</v>
      </c>
      <c r="D435" s="19" t="s">
        <v>513</v>
      </c>
      <c r="E435" s="19" t="s">
        <v>349</v>
      </c>
      <c r="F435">
        <v>52</v>
      </c>
      <c r="G435">
        <v>0</v>
      </c>
      <c r="H435">
        <v>12</v>
      </c>
      <c r="I435">
        <v>12</v>
      </c>
      <c r="J435">
        <v>-10</v>
      </c>
      <c r="K435">
        <v>16</v>
      </c>
      <c r="L435">
        <v>0</v>
      </c>
      <c r="M435">
        <v>0</v>
      </c>
      <c r="N435">
        <v>0</v>
      </c>
      <c r="O435">
        <v>0</v>
      </c>
      <c r="P435">
        <v>12</v>
      </c>
      <c r="Q435">
        <v>0</v>
      </c>
      <c r="R435">
        <v>0</v>
      </c>
      <c r="S435">
        <v>64</v>
      </c>
      <c r="T435">
        <v>0</v>
      </c>
      <c r="U435">
        <v>157</v>
      </c>
      <c r="V435" s="19" t="s">
        <v>2823</v>
      </c>
      <c r="W435" s="19" t="s">
        <v>1957</v>
      </c>
      <c r="X435">
        <v>0</v>
      </c>
      <c r="Y435">
        <v>0</v>
      </c>
      <c r="AA435">
        <v>129</v>
      </c>
      <c r="AB435">
        <v>56</v>
      </c>
      <c r="AC435">
        <v>22</v>
      </c>
      <c r="AD435">
        <v>61</v>
      </c>
      <c r="AE435" s="19" t="s">
        <v>60</v>
      </c>
    </row>
    <row r="436" spans="1:31" x14ac:dyDescent="0.2">
      <c r="A436">
        <v>423</v>
      </c>
      <c r="B436" s="19" t="s">
        <v>831</v>
      </c>
      <c r="C436">
        <v>27</v>
      </c>
      <c r="D436" s="19" t="s">
        <v>361</v>
      </c>
      <c r="E436" s="19" t="s">
        <v>335</v>
      </c>
      <c r="F436">
        <v>49</v>
      </c>
      <c r="G436">
        <v>7</v>
      </c>
      <c r="H436">
        <v>5</v>
      </c>
      <c r="I436">
        <v>12</v>
      </c>
      <c r="J436">
        <v>2</v>
      </c>
      <c r="K436">
        <v>8</v>
      </c>
      <c r="L436">
        <v>6</v>
      </c>
      <c r="M436">
        <v>0</v>
      </c>
      <c r="N436">
        <v>1</v>
      </c>
      <c r="O436">
        <v>0</v>
      </c>
      <c r="P436">
        <v>5</v>
      </c>
      <c r="Q436">
        <v>0</v>
      </c>
      <c r="R436">
        <v>0</v>
      </c>
      <c r="S436">
        <v>39</v>
      </c>
      <c r="T436">
        <v>17.899999999999999</v>
      </c>
      <c r="U436">
        <v>76</v>
      </c>
      <c r="V436" s="19" t="s">
        <v>2475</v>
      </c>
      <c r="W436" s="19" t="s">
        <v>1456</v>
      </c>
      <c r="X436">
        <v>1</v>
      </c>
      <c r="Y436">
        <v>11</v>
      </c>
      <c r="Z436">
        <v>8.3000000000000007</v>
      </c>
      <c r="AA436">
        <v>25</v>
      </c>
      <c r="AB436">
        <v>42</v>
      </c>
      <c r="AC436">
        <v>11</v>
      </c>
      <c r="AD436">
        <v>19</v>
      </c>
      <c r="AE436" s="19" t="s">
        <v>60</v>
      </c>
    </row>
    <row r="437" spans="1:31" x14ac:dyDescent="0.2">
      <c r="A437">
        <v>424</v>
      </c>
      <c r="B437" s="19" t="s">
        <v>687</v>
      </c>
      <c r="C437">
        <v>23</v>
      </c>
      <c r="D437" s="19" t="s">
        <v>447</v>
      </c>
      <c r="E437" s="19" t="s">
        <v>322</v>
      </c>
      <c r="F437">
        <v>41</v>
      </c>
      <c r="G437">
        <v>3</v>
      </c>
      <c r="H437">
        <v>9</v>
      </c>
      <c r="I437">
        <v>12</v>
      </c>
      <c r="J437">
        <v>1</v>
      </c>
      <c r="K437">
        <v>18</v>
      </c>
      <c r="L437">
        <v>3</v>
      </c>
      <c r="M437">
        <v>0</v>
      </c>
      <c r="N437">
        <v>0</v>
      </c>
      <c r="O437">
        <v>1</v>
      </c>
      <c r="P437">
        <v>9</v>
      </c>
      <c r="Q437">
        <v>0</v>
      </c>
      <c r="R437">
        <v>0</v>
      </c>
      <c r="S437">
        <v>41</v>
      </c>
      <c r="T437">
        <v>7.3</v>
      </c>
      <c r="U437">
        <v>96</v>
      </c>
      <c r="V437" s="19" t="s">
        <v>2175</v>
      </c>
      <c r="W437" s="19" t="s">
        <v>1151</v>
      </c>
      <c r="X437">
        <v>275</v>
      </c>
      <c r="Y437">
        <v>180</v>
      </c>
      <c r="Z437">
        <v>60.4</v>
      </c>
      <c r="AA437">
        <v>8</v>
      </c>
      <c r="AB437">
        <v>96</v>
      </c>
      <c r="AC437">
        <v>7</v>
      </c>
      <c r="AD437">
        <v>24</v>
      </c>
      <c r="AE437" s="19" t="s">
        <v>60</v>
      </c>
    </row>
    <row r="438" spans="1:31" x14ac:dyDescent="0.2">
      <c r="A438">
        <v>425</v>
      </c>
      <c r="B438" s="19" t="s">
        <v>835</v>
      </c>
      <c r="C438">
        <v>25</v>
      </c>
      <c r="D438" s="19" t="s">
        <v>447</v>
      </c>
      <c r="E438" s="19" t="s">
        <v>325</v>
      </c>
      <c r="F438">
        <v>47</v>
      </c>
      <c r="G438">
        <v>10</v>
      </c>
      <c r="H438">
        <v>2</v>
      </c>
      <c r="I438">
        <v>12</v>
      </c>
      <c r="J438">
        <v>-6</v>
      </c>
      <c r="K438">
        <v>20</v>
      </c>
      <c r="L438">
        <v>10</v>
      </c>
      <c r="M438">
        <v>0</v>
      </c>
      <c r="N438">
        <v>0</v>
      </c>
      <c r="O438">
        <v>0</v>
      </c>
      <c r="P438">
        <v>1</v>
      </c>
      <c r="Q438">
        <v>1</v>
      </c>
      <c r="R438">
        <v>0</v>
      </c>
      <c r="S438">
        <v>47</v>
      </c>
      <c r="T438">
        <v>21.3</v>
      </c>
      <c r="U438">
        <v>82</v>
      </c>
      <c r="V438" s="19" t="s">
        <v>2243</v>
      </c>
      <c r="W438" s="19" t="s">
        <v>1227</v>
      </c>
      <c r="X438">
        <v>116</v>
      </c>
      <c r="Y438">
        <v>156</v>
      </c>
      <c r="Z438">
        <v>42.6</v>
      </c>
      <c r="AA438">
        <v>26</v>
      </c>
      <c r="AB438">
        <v>18</v>
      </c>
      <c r="AC438">
        <v>5</v>
      </c>
      <c r="AD438">
        <v>24</v>
      </c>
      <c r="AE438" s="19" t="s">
        <v>60</v>
      </c>
    </row>
    <row r="439" spans="1:31" x14ac:dyDescent="0.2">
      <c r="A439">
        <v>426</v>
      </c>
      <c r="B439" s="19" t="s">
        <v>895</v>
      </c>
      <c r="C439">
        <v>24</v>
      </c>
      <c r="D439" s="19" t="s">
        <v>419</v>
      </c>
      <c r="E439" s="19" t="s">
        <v>322</v>
      </c>
      <c r="F439">
        <v>49</v>
      </c>
      <c r="G439">
        <v>3</v>
      </c>
      <c r="H439">
        <v>9</v>
      </c>
      <c r="I439">
        <v>12</v>
      </c>
      <c r="J439">
        <v>-4</v>
      </c>
      <c r="K439">
        <v>19</v>
      </c>
      <c r="L439">
        <v>3</v>
      </c>
      <c r="M439">
        <v>0</v>
      </c>
      <c r="N439">
        <v>0</v>
      </c>
      <c r="O439">
        <v>0</v>
      </c>
      <c r="P439">
        <v>9</v>
      </c>
      <c r="Q439">
        <v>0</v>
      </c>
      <c r="R439">
        <v>0</v>
      </c>
      <c r="S439">
        <v>56</v>
      </c>
      <c r="T439">
        <v>5.4</v>
      </c>
      <c r="U439">
        <v>115</v>
      </c>
      <c r="V439" s="19" t="s">
        <v>2824</v>
      </c>
      <c r="W439" s="19" t="s">
        <v>1847</v>
      </c>
      <c r="X439">
        <v>235</v>
      </c>
      <c r="Y439">
        <v>187</v>
      </c>
      <c r="Z439">
        <v>55.7</v>
      </c>
      <c r="AA439">
        <v>25</v>
      </c>
      <c r="AB439">
        <v>29</v>
      </c>
      <c r="AC439">
        <v>11</v>
      </c>
      <c r="AD439">
        <v>22</v>
      </c>
      <c r="AE439" s="19" t="s">
        <v>60</v>
      </c>
    </row>
    <row r="440" spans="1:31" x14ac:dyDescent="0.2">
      <c r="A440">
        <v>427</v>
      </c>
      <c r="B440" s="19" t="s">
        <v>947</v>
      </c>
      <c r="C440">
        <v>24</v>
      </c>
      <c r="D440" s="19" t="s">
        <v>330</v>
      </c>
      <c r="E440" s="19" t="s">
        <v>349</v>
      </c>
      <c r="F440">
        <v>50</v>
      </c>
      <c r="G440">
        <v>2</v>
      </c>
      <c r="H440">
        <v>10</v>
      </c>
      <c r="I440">
        <v>12</v>
      </c>
      <c r="J440">
        <v>-14</v>
      </c>
      <c r="K440">
        <v>11</v>
      </c>
      <c r="L440">
        <v>2</v>
      </c>
      <c r="M440">
        <v>0</v>
      </c>
      <c r="N440">
        <v>0</v>
      </c>
      <c r="O440">
        <v>0</v>
      </c>
      <c r="P440">
        <v>10</v>
      </c>
      <c r="Q440">
        <v>0</v>
      </c>
      <c r="R440">
        <v>0</v>
      </c>
      <c r="S440">
        <v>51</v>
      </c>
      <c r="T440">
        <v>3.9</v>
      </c>
      <c r="U440">
        <v>137</v>
      </c>
      <c r="V440" s="19" t="s">
        <v>2476</v>
      </c>
      <c r="W440" s="19" t="s">
        <v>2098</v>
      </c>
      <c r="X440">
        <v>0</v>
      </c>
      <c r="Y440">
        <v>0</v>
      </c>
      <c r="AA440">
        <v>74</v>
      </c>
      <c r="AB440">
        <v>18</v>
      </c>
      <c r="AC440">
        <v>17</v>
      </c>
      <c r="AD440">
        <v>54</v>
      </c>
      <c r="AE440" s="19" t="s">
        <v>60</v>
      </c>
    </row>
    <row r="441" spans="1:31" x14ac:dyDescent="0.2">
      <c r="A441">
        <v>428</v>
      </c>
      <c r="B441" s="19" t="s">
        <v>667</v>
      </c>
      <c r="C441">
        <v>30</v>
      </c>
      <c r="D441" s="19" t="s">
        <v>381</v>
      </c>
      <c r="E441" s="19" t="s">
        <v>340</v>
      </c>
      <c r="F441">
        <v>32</v>
      </c>
      <c r="G441">
        <v>8</v>
      </c>
      <c r="H441">
        <v>4</v>
      </c>
      <c r="I441">
        <v>12</v>
      </c>
      <c r="J441">
        <v>-6</v>
      </c>
      <c r="K441">
        <v>16</v>
      </c>
      <c r="L441">
        <v>8</v>
      </c>
      <c r="M441">
        <v>0</v>
      </c>
      <c r="N441">
        <v>0</v>
      </c>
      <c r="O441">
        <v>1</v>
      </c>
      <c r="P441">
        <v>3</v>
      </c>
      <c r="Q441">
        <v>0</v>
      </c>
      <c r="R441">
        <v>1</v>
      </c>
      <c r="S441">
        <v>51</v>
      </c>
      <c r="T441">
        <v>15.7</v>
      </c>
      <c r="U441">
        <v>89</v>
      </c>
      <c r="V441" s="19" t="s">
        <v>1746</v>
      </c>
      <c r="W441" s="19" t="s">
        <v>1656</v>
      </c>
      <c r="X441">
        <v>1</v>
      </c>
      <c r="Y441">
        <v>7</v>
      </c>
      <c r="Z441">
        <v>12.5</v>
      </c>
      <c r="AA441">
        <v>8</v>
      </c>
      <c r="AB441">
        <v>39</v>
      </c>
      <c r="AC441">
        <v>4</v>
      </c>
      <c r="AD441">
        <v>23</v>
      </c>
      <c r="AE441" s="19" t="s">
        <v>60</v>
      </c>
    </row>
    <row r="442" spans="1:31" x14ac:dyDescent="0.2">
      <c r="A442">
        <v>429</v>
      </c>
      <c r="B442" s="19" t="s">
        <v>1987</v>
      </c>
      <c r="C442">
        <v>24</v>
      </c>
      <c r="D442" s="19" t="s">
        <v>950</v>
      </c>
      <c r="E442" s="19" t="s">
        <v>335</v>
      </c>
      <c r="F442">
        <v>41</v>
      </c>
      <c r="G442">
        <v>8</v>
      </c>
      <c r="H442">
        <v>4</v>
      </c>
      <c r="I442">
        <v>12</v>
      </c>
      <c r="J442">
        <v>-1</v>
      </c>
      <c r="K442">
        <v>6</v>
      </c>
      <c r="L442">
        <v>8</v>
      </c>
      <c r="M442">
        <v>0</v>
      </c>
      <c r="N442">
        <v>0</v>
      </c>
      <c r="O442">
        <v>2</v>
      </c>
      <c r="P442">
        <v>4</v>
      </c>
      <c r="Q442">
        <v>0</v>
      </c>
      <c r="R442">
        <v>0</v>
      </c>
      <c r="S442">
        <v>56</v>
      </c>
      <c r="T442">
        <v>14.3</v>
      </c>
      <c r="U442">
        <v>127</v>
      </c>
      <c r="V442" s="19" t="s">
        <v>2015</v>
      </c>
      <c r="W442" s="19" t="s">
        <v>936</v>
      </c>
      <c r="X442">
        <v>3</v>
      </c>
      <c r="Y442">
        <v>6</v>
      </c>
      <c r="Z442">
        <v>33.299999999999997</v>
      </c>
      <c r="AA442">
        <v>12</v>
      </c>
      <c r="AB442">
        <v>35</v>
      </c>
      <c r="AC442">
        <v>5</v>
      </c>
      <c r="AD442">
        <v>20</v>
      </c>
      <c r="AE442" s="19" t="s">
        <v>60</v>
      </c>
    </row>
    <row r="443" spans="1:31" x14ac:dyDescent="0.2">
      <c r="A443">
        <v>429</v>
      </c>
      <c r="B443" s="19" t="s">
        <v>1987</v>
      </c>
      <c r="C443">
        <v>24</v>
      </c>
      <c r="D443" s="19" t="s">
        <v>381</v>
      </c>
      <c r="E443" s="19" t="s">
        <v>335</v>
      </c>
      <c r="F443">
        <v>29</v>
      </c>
      <c r="G443">
        <v>3</v>
      </c>
      <c r="H443">
        <v>3</v>
      </c>
      <c r="I443">
        <v>6</v>
      </c>
      <c r="J443">
        <v>-6</v>
      </c>
      <c r="K443">
        <v>6</v>
      </c>
      <c r="L443">
        <v>3</v>
      </c>
      <c r="M443">
        <v>0</v>
      </c>
      <c r="N443">
        <v>0</v>
      </c>
      <c r="O443">
        <v>0</v>
      </c>
      <c r="P443">
        <v>3</v>
      </c>
      <c r="Q443">
        <v>0</v>
      </c>
      <c r="R443">
        <v>0</v>
      </c>
      <c r="S443">
        <v>36</v>
      </c>
      <c r="T443">
        <v>8.3000000000000007</v>
      </c>
      <c r="U443">
        <v>79</v>
      </c>
      <c r="V443" s="19" t="s">
        <v>1633</v>
      </c>
      <c r="W443" s="19" t="s">
        <v>1634</v>
      </c>
      <c r="X443">
        <v>0</v>
      </c>
      <c r="Y443">
        <v>0</v>
      </c>
      <c r="AA443">
        <v>8</v>
      </c>
      <c r="AB443">
        <v>28</v>
      </c>
      <c r="AC443">
        <v>3</v>
      </c>
      <c r="AD443">
        <v>15</v>
      </c>
      <c r="AE443" s="19" t="s">
        <v>60</v>
      </c>
    </row>
    <row r="444" spans="1:31" x14ac:dyDescent="0.2">
      <c r="A444">
        <v>429</v>
      </c>
      <c r="B444" s="19" t="s">
        <v>1987</v>
      </c>
      <c r="C444">
        <v>24</v>
      </c>
      <c r="D444" s="19" t="s">
        <v>376</v>
      </c>
      <c r="E444" s="19" t="s">
        <v>335</v>
      </c>
      <c r="F444">
        <v>12</v>
      </c>
      <c r="G444">
        <v>5</v>
      </c>
      <c r="H444">
        <v>1</v>
      </c>
      <c r="I444">
        <v>6</v>
      </c>
      <c r="J444">
        <v>5</v>
      </c>
      <c r="K444">
        <v>0</v>
      </c>
      <c r="L444">
        <v>5</v>
      </c>
      <c r="M444">
        <v>0</v>
      </c>
      <c r="N444">
        <v>0</v>
      </c>
      <c r="O444">
        <v>2</v>
      </c>
      <c r="P444">
        <v>1</v>
      </c>
      <c r="Q444">
        <v>0</v>
      </c>
      <c r="R444">
        <v>0</v>
      </c>
      <c r="S444">
        <v>20</v>
      </c>
      <c r="T444">
        <v>25</v>
      </c>
      <c r="U444">
        <v>48</v>
      </c>
      <c r="V444" s="19" t="s">
        <v>2286</v>
      </c>
      <c r="W444" s="19" t="s">
        <v>1802</v>
      </c>
      <c r="X444">
        <v>3</v>
      </c>
      <c r="Y444">
        <v>6</v>
      </c>
      <c r="Z444">
        <v>33.299999999999997</v>
      </c>
      <c r="AA444">
        <v>4</v>
      </c>
      <c r="AB444">
        <v>7</v>
      </c>
      <c r="AC444">
        <v>2</v>
      </c>
      <c r="AD444">
        <v>5</v>
      </c>
      <c r="AE444" s="19" t="s">
        <v>60</v>
      </c>
    </row>
    <row r="445" spans="1:31" x14ac:dyDescent="0.2">
      <c r="A445">
        <v>430</v>
      </c>
      <c r="B445" s="19" t="s">
        <v>957</v>
      </c>
      <c r="C445">
        <v>34</v>
      </c>
      <c r="D445" s="19" t="s">
        <v>376</v>
      </c>
      <c r="E445" s="19" t="s">
        <v>322</v>
      </c>
      <c r="F445">
        <v>37</v>
      </c>
      <c r="G445">
        <v>4</v>
      </c>
      <c r="H445">
        <v>7</v>
      </c>
      <c r="I445">
        <v>11</v>
      </c>
      <c r="J445">
        <v>7</v>
      </c>
      <c r="K445">
        <v>17</v>
      </c>
      <c r="L445">
        <v>4</v>
      </c>
      <c r="M445">
        <v>0</v>
      </c>
      <c r="N445">
        <v>0</v>
      </c>
      <c r="O445">
        <v>0</v>
      </c>
      <c r="P445">
        <v>7</v>
      </c>
      <c r="Q445">
        <v>0</v>
      </c>
      <c r="R445">
        <v>0</v>
      </c>
      <c r="S445">
        <v>43</v>
      </c>
      <c r="T445">
        <v>9.3000000000000007</v>
      </c>
      <c r="U445">
        <v>80</v>
      </c>
      <c r="V445" s="19" t="s">
        <v>2287</v>
      </c>
      <c r="W445" s="19" t="s">
        <v>2051</v>
      </c>
      <c r="X445">
        <v>164</v>
      </c>
      <c r="Y445">
        <v>137</v>
      </c>
      <c r="Z445">
        <v>54.5</v>
      </c>
      <c r="AA445">
        <v>29</v>
      </c>
      <c r="AB445">
        <v>40</v>
      </c>
      <c r="AC445">
        <v>6</v>
      </c>
      <c r="AD445">
        <v>9</v>
      </c>
      <c r="AE445" s="19" t="s">
        <v>60</v>
      </c>
    </row>
    <row r="446" spans="1:31" x14ac:dyDescent="0.2">
      <c r="A446">
        <v>431</v>
      </c>
      <c r="B446" s="19" t="s">
        <v>806</v>
      </c>
      <c r="C446">
        <v>23</v>
      </c>
      <c r="D446" s="19" t="s">
        <v>407</v>
      </c>
      <c r="E446" s="19" t="s">
        <v>349</v>
      </c>
      <c r="F446">
        <v>39</v>
      </c>
      <c r="G446">
        <v>1</v>
      </c>
      <c r="H446">
        <v>10</v>
      </c>
      <c r="I446">
        <v>11</v>
      </c>
      <c r="J446">
        <v>12</v>
      </c>
      <c r="K446">
        <v>16</v>
      </c>
      <c r="L446">
        <v>1</v>
      </c>
      <c r="M446">
        <v>0</v>
      </c>
      <c r="N446">
        <v>0</v>
      </c>
      <c r="O446">
        <v>0</v>
      </c>
      <c r="P446">
        <v>9</v>
      </c>
      <c r="Q446">
        <v>1</v>
      </c>
      <c r="R446">
        <v>0</v>
      </c>
      <c r="S446">
        <v>26</v>
      </c>
      <c r="T446">
        <v>3.8</v>
      </c>
      <c r="U446">
        <v>88</v>
      </c>
      <c r="V446" s="19" t="s">
        <v>2273</v>
      </c>
      <c r="W446" s="19" t="s">
        <v>1959</v>
      </c>
      <c r="X446">
        <v>0</v>
      </c>
      <c r="Y446">
        <v>0</v>
      </c>
      <c r="AA446">
        <v>39</v>
      </c>
      <c r="AB446">
        <v>44</v>
      </c>
      <c r="AC446">
        <v>5</v>
      </c>
      <c r="AD446">
        <v>28</v>
      </c>
      <c r="AE446" s="19" t="s">
        <v>60</v>
      </c>
    </row>
    <row r="447" spans="1:31" x14ac:dyDescent="0.2">
      <c r="A447">
        <v>432</v>
      </c>
      <c r="B447" s="19" t="s">
        <v>733</v>
      </c>
      <c r="C447">
        <v>30</v>
      </c>
      <c r="D447" s="19" t="s">
        <v>371</v>
      </c>
      <c r="E447" s="19" t="s">
        <v>322</v>
      </c>
      <c r="F447">
        <v>43</v>
      </c>
      <c r="G447">
        <v>5</v>
      </c>
      <c r="H447">
        <v>6</v>
      </c>
      <c r="I447">
        <v>11</v>
      </c>
      <c r="J447">
        <v>0</v>
      </c>
      <c r="K447">
        <v>28</v>
      </c>
      <c r="L447">
        <v>5</v>
      </c>
      <c r="M447">
        <v>0</v>
      </c>
      <c r="N447">
        <v>0</v>
      </c>
      <c r="O447">
        <v>2</v>
      </c>
      <c r="P447">
        <v>6</v>
      </c>
      <c r="Q447">
        <v>0</v>
      </c>
      <c r="R447">
        <v>0</v>
      </c>
      <c r="S447">
        <v>43</v>
      </c>
      <c r="T447">
        <v>11.6</v>
      </c>
      <c r="U447">
        <v>80</v>
      </c>
      <c r="V447" s="19" t="s">
        <v>2825</v>
      </c>
      <c r="W447" s="19" t="s">
        <v>1510</v>
      </c>
      <c r="X447">
        <v>4</v>
      </c>
      <c r="Y447">
        <v>14</v>
      </c>
      <c r="Z447">
        <v>22.2</v>
      </c>
      <c r="AA447">
        <v>19</v>
      </c>
      <c r="AB447">
        <v>55</v>
      </c>
      <c r="AC447">
        <v>0</v>
      </c>
      <c r="AD447">
        <v>18</v>
      </c>
      <c r="AE447" s="19" t="s">
        <v>60</v>
      </c>
    </row>
    <row r="448" spans="1:31" x14ac:dyDescent="0.2">
      <c r="A448">
        <v>433</v>
      </c>
      <c r="B448" s="19" t="s">
        <v>808</v>
      </c>
      <c r="C448">
        <v>21</v>
      </c>
      <c r="D448" s="19" t="s">
        <v>321</v>
      </c>
      <c r="E448" s="19" t="s">
        <v>322</v>
      </c>
      <c r="F448">
        <v>36</v>
      </c>
      <c r="G448">
        <v>5</v>
      </c>
      <c r="H448">
        <v>6</v>
      </c>
      <c r="I448">
        <v>11</v>
      </c>
      <c r="J448">
        <v>7</v>
      </c>
      <c r="K448">
        <v>8</v>
      </c>
      <c r="L448">
        <v>5</v>
      </c>
      <c r="M448">
        <v>0</v>
      </c>
      <c r="N448">
        <v>0</v>
      </c>
      <c r="O448">
        <v>3</v>
      </c>
      <c r="P448">
        <v>6</v>
      </c>
      <c r="Q448">
        <v>0</v>
      </c>
      <c r="R448">
        <v>0</v>
      </c>
      <c r="S448">
        <v>43</v>
      </c>
      <c r="T448">
        <v>11.6</v>
      </c>
      <c r="U448">
        <v>77</v>
      </c>
      <c r="V448" s="19" t="s">
        <v>1997</v>
      </c>
      <c r="W448" s="19" t="s">
        <v>1765</v>
      </c>
      <c r="X448">
        <v>12</v>
      </c>
      <c r="Y448">
        <v>18</v>
      </c>
      <c r="Z448">
        <v>40</v>
      </c>
      <c r="AA448">
        <v>11</v>
      </c>
      <c r="AB448">
        <v>28</v>
      </c>
      <c r="AC448">
        <v>4</v>
      </c>
      <c r="AD448">
        <v>13</v>
      </c>
      <c r="AE448" s="19" t="s">
        <v>60</v>
      </c>
    </row>
    <row r="449" spans="1:31" x14ac:dyDescent="0.2">
      <c r="A449">
        <v>434</v>
      </c>
      <c r="B449" s="19" t="s">
        <v>853</v>
      </c>
      <c r="C449">
        <v>31</v>
      </c>
      <c r="D449" s="19" t="s">
        <v>397</v>
      </c>
      <c r="E449" s="19" t="s">
        <v>340</v>
      </c>
      <c r="F449">
        <v>41</v>
      </c>
      <c r="G449">
        <v>6</v>
      </c>
      <c r="H449">
        <v>5</v>
      </c>
      <c r="I449">
        <v>11</v>
      </c>
      <c r="J449">
        <v>5</v>
      </c>
      <c r="K449">
        <v>14</v>
      </c>
      <c r="L449">
        <v>6</v>
      </c>
      <c r="M449">
        <v>0</v>
      </c>
      <c r="N449">
        <v>0</v>
      </c>
      <c r="O449">
        <v>2</v>
      </c>
      <c r="P449">
        <v>5</v>
      </c>
      <c r="Q449">
        <v>0</v>
      </c>
      <c r="R449">
        <v>0</v>
      </c>
      <c r="S449">
        <v>50</v>
      </c>
      <c r="T449">
        <v>12</v>
      </c>
      <c r="U449">
        <v>103</v>
      </c>
      <c r="V449" s="19" t="s">
        <v>2826</v>
      </c>
      <c r="W449" s="19" t="s">
        <v>1994</v>
      </c>
      <c r="X449">
        <v>1</v>
      </c>
      <c r="Y449">
        <v>4</v>
      </c>
      <c r="Z449">
        <v>20</v>
      </c>
      <c r="AA449">
        <v>10</v>
      </c>
      <c r="AB449">
        <v>98</v>
      </c>
      <c r="AC449">
        <v>10</v>
      </c>
      <c r="AD449">
        <v>14</v>
      </c>
      <c r="AE449" s="19" t="s">
        <v>60</v>
      </c>
    </row>
    <row r="450" spans="1:31" x14ac:dyDescent="0.2">
      <c r="A450">
        <v>435</v>
      </c>
      <c r="B450" s="19" t="s">
        <v>1587</v>
      </c>
      <c r="C450">
        <v>20</v>
      </c>
      <c r="D450" s="19" t="s">
        <v>324</v>
      </c>
      <c r="E450" s="19" t="s">
        <v>340</v>
      </c>
      <c r="F450">
        <v>15</v>
      </c>
      <c r="G450">
        <v>3</v>
      </c>
      <c r="H450">
        <v>8</v>
      </c>
      <c r="I450">
        <v>11</v>
      </c>
      <c r="J450">
        <v>2</v>
      </c>
      <c r="K450">
        <v>2</v>
      </c>
      <c r="L450">
        <v>2</v>
      </c>
      <c r="M450">
        <v>1</v>
      </c>
      <c r="N450">
        <v>0</v>
      </c>
      <c r="O450">
        <v>1</v>
      </c>
      <c r="P450">
        <v>6</v>
      </c>
      <c r="Q450">
        <v>2</v>
      </c>
      <c r="R450">
        <v>0</v>
      </c>
      <c r="S450">
        <v>27</v>
      </c>
      <c r="T450">
        <v>11.1</v>
      </c>
      <c r="U450">
        <v>49</v>
      </c>
      <c r="V450" s="19" t="s">
        <v>2177</v>
      </c>
      <c r="W450" s="19" t="s">
        <v>1530</v>
      </c>
      <c r="X450">
        <v>0</v>
      </c>
      <c r="Y450">
        <v>0</v>
      </c>
      <c r="AA450">
        <v>5</v>
      </c>
      <c r="AB450">
        <v>9</v>
      </c>
      <c r="AC450">
        <v>0</v>
      </c>
      <c r="AD450">
        <v>15</v>
      </c>
      <c r="AE450" s="19" t="s">
        <v>60</v>
      </c>
    </row>
    <row r="451" spans="1:31" x14ac:dyDescent="0.2">
      <c r="A451">
        <v>436</v>
      </c>
      <c r="B451" s="19" t="s">
        <v>774</v>
      </c>
      <c r="C451">
        <v>34</v>
      </c>
      <c r="D451" s="19" t="s">
        <v>371</v>
      </c>
      <c r="E451" s="19" t="s">
        <v>349</v>
      </c>
      <c r="F451">
        <v>53</v>
      </c>
      <c r="G451">
        <v>4</v>
      </c>
      <c r="H451">
        <v>7</v>
      </c>
      <c r="I451">
        <v>11</v>
      </c>
      <c r="J451">
        <v>1</v>
      </c>
      <c r="K451">
        <v>48</v>
      </c>
      <c r="L451">
        <v>4</v>
      </c>
      <c r="M451">
        <v>0</v>
      </c>
      <c r="N451">
        <v>0</v>
      </c>
      <c r="O451">
        <v>0</v>
      </c>
      <c r="P451">
        <v>7</v>
      </c>
      <c r="Q451">
        <v>0</v>
      </c>
      <c r="R451">
        <v>0</v>
      </c>
      <c r="S451">
        <v>64</v>
      </c>
      <c r="T451">
        <v>6.3</v>
      </c>
      <c r="U451">
        <v>158</v>
      </c>
      <c r="V451" s="19" t="s">
        <v>2827</v>
      </c>
      <c r="W451" s="19" t="s">
        <v>1507</v>
      </c>
      <c r="X451">
        <v>0</v>
      </c>
      <c r="Y451">
        <v>0</v>
      </c>
      <c r="AA451">
        <v>112</v>
      </c>
      <c r="AB451">
        <v>108</v>
      </c>
      <c r="AC451">
        <v>20</v>
      </c>
      <c r="AD451">
        <v>56</v>
      </c>
      <c r="AE451" s="19" t="s">
        <v>60</v>
      </c>
    </row>
    <row r="452" spans="1:31" x14ac:dyDescent="0.2">
      <c r="A452">
        <v>437</v>
      </c>
      <c r="B452" s="19" t="s">
        <v>742</v>
      </c>
      <c r="C452">
        <v>25</v>
      </c>
      <c r="D452" s="19" t="s">
        <v>324</v>
      </c>
      <c r="E452" s="19" t="s">
        <v>322</v>
      </c>
      <c r="F452">
        <v>42</v>
      </c>
      <c r="G452">
        <v>2</v>
      </c>
      <c r="H452">
        <v>9</v>
      </c>
      <c r="I452">
        <v>11</v>
      </c>
      <c r="J452">
        <v>-15</v>
      </c>
      <c r="K452">
        <v>18</v>
      </c>
      <c r="L452">
        <v>1</v>
      </c>
      <c r="M452">
        <v>0</v>
      </c>
      <c r="N452">
        <v>1</v>
      </c>
      <c r="O452">
        <v>0</v>
      </c>
      <c r="P452">
        <v>8</v>
      </c>
      <c r="Q452">
        <v>0</v>
      </c>
      <c r="R452">
        <v>1</v>
      </c>
      <c r="S452">
        <v>44</v>
      </c>
      <c r="T452">
        <v>4.5</v>
      </c>
      <c r="U452">
        <v>86</v>
      </c>
      <c r="V452" s="19" t="s">
        <v>1842</v>
      </c>
      <c r="W452" s="19" t="s">
        <v>1562</v>
      </c>
      <c r="X452">
        <v>267</v>
      </c>
      <c r="Y452">
        <v>244</v>
      </c>
      <c r="Z452">
        <v>52.3</v>
      </c>
      <c r="AA452">
        <v>36</v>
      </c>
      <c r="AB452">
        <v>117</v>
      </c>
      <c r="AC452">
        <v>7</v>
      </c>
      <c r="AD452">
        <v>24</v>
      </c>
      <c r="AE452" s="19" t="s">
        <v>60</v>
      </c>
    </row>
    <row r="453" spans="1:31" x14ac:dyDescent="0.2">
      <c r="A453">
        <v>438</v>
      </c>
      <c r="B453" s="19" t="s">
        <v>859</v>
      </c>
      <c r="C453">
        <v>34</v>
      </c>
      <c r="D453" s="19" t="s">
        <v>419</v>
      </c>
      <c r="E453" s="19" t="s">
        <v>349</v>
      </c>
      <c r="F453">
        <v>50</v>
      </c>
      <c r="G453">
        <v>1</v>
      </c>
      <c r="H453">
        <v>10</v>
      </c>
      <c r="I453">
        <v>11</v>
      </c>
      <c r="J453">
        <v>3</v>
      </c>
      <c r="K453">
        <v>14</v>
      </c>
      <c r="L453">
        <v>1</v>
      </c>
      <c r="M453">
        <v>0</v>
      </c>
      <c r="N453">
        <v>0</v>
      </c>
      <c r="O453">
        <v>0</v>
      </c>
      <c r="P453">
        <v>9</v>
      </c>
      <c r="Q453">
        <v>0</v>
      </c>
      <c r="R453">
        <v>1</v>
      </c>
      <c r="S453">
        <v>48</v>
      </c>
      <c r="T453">
        <v>2.1</v>
      </c>
      <c r="U453">
        <v>120</v>
      </c>
      <c r="V453" s="19" t="s">
        <v>2828</v>
      </c>
      <c r="W453" s="19" t="s">
        <v>1833</v>
      </c>
      <c r="X453">
        <v>0</v>
      </c>
      <c r="Y453">
        <v>0</v>
      </c>
      <c r="AA453">
        <v>63</v>
      </c>
      <c r="AB453">
        <v>23</v>
      </c>
      <c r="AC453">
        <v>11</v>
      </c>
      <c r="AD453">
        <v>58</v>
      </c>
      <c r="AE453" s="19" t="s">
        <v>60</v>
      </c>
    </row>
    <row r="454" spans="1:31" x14ac:dyDescent="0.2">
      <c r="A454">
        <v>439</v>
      </c>
      <c r="B454" s="19" t="s">
        <v>777</v>
      </c>
      <c r="C454">
        <v>29</v>
      </c>
      <c r="D454" s="19" t="s">
        <v>363</v>
      </c>
      <c r="E454" s="19" t="s">
        <v>322</v>
      </c>
      <c r="F454">
        <v>38</v>
      </c>
      <c r="G454">
        <v>5</v>
      </c>
      <c r="H454">
        <v>6</v>
      </c>
      <c r="I454">
        <v>11</v>
      </c>
      <c r="J454">
        <v>-12</v>
      </c>
      <c r="K454">
        <v>8</v>
      </c>
      <c r="L454">
        <v>4</v>
      </c>
      <c r="M454">
        <v>0</v>
      </c>
      <c r="N454">
        <v>1</v>
      </c>
      <c r="O454">
        <v>0</v>
      </c>
      <c r="P454">
        <v>6</v>
      </c>
      <c r="Q454">
        <v>0</v>
      </c>
      <c r="R454">
        <v>0</v>
      </c>
      <c r="S454">
        <v>38</v>
      </c>
      <c r="T454">
        <v>13.2</v>
      </c>
      <c r="U454">
        <v>84</v>
      </c>
      <c r="V454" s="19" t="s">
        <v>2829</v>
      </c>
      <c r="W454" s="19" t="s">
        <v>2178</v>
      </c>
      <c r="X454">
        <v>262</v>
      </c>
      <c r="Y454">
        <v>218</v>
      </c>
      <c r="Z454">
        <v>54.6</v>
      </c>
      <c r="AA454">
        <v>27</v>
      </c>
      <c r="AB454">
        <v>45</v>
      </c>
      <c r="AC454">
        <v>6</v>
      </c>
      <c r="AD454">
        <v>31</v>
      </c>
      <c r="AE454" s="19" t="s">
        <v>60</v>
      </c>
    </row>
    <row r="455" spans="1:31" x14ac:dyDescent="0.2">
      <c r="A455">
        <v>440</v>
      </c>
      <c r="B455" s="19" t="s">
        <v>1108</v>
      </c>
      <c r="C455">
        <v>27</v>
      </c>
      <c r="D455" s="19" t="s">
        <v>321</v>
      </c>
      <c r="E455" s="19" t="s">
        <v>349</v>
      </c>
      <c r="F455">
        <v>34</v>
      </c>
      <c r="G455">
        <v>3</v>
      </c>
      <c r="H455">
        <v>8</v>
      </c>
      <c r="I455">
        <v>11</v>
      </c>
      <c r="J455">
        <v>11</v>
      </c>
      <c r="K455">
        <v>15</v>
      </c>
      <c r="L455">
        <v>3</v>
      </c>
      <c r="M455">
        <v>0</v>
      </c>
      <c r="N455">
        <v>0</v>
      </c>
      <c r="O455">
        <v>1</v>
      </c>
      <c r="P455">
        <v>8</v>
      </c>
      <c r="Q455">
        <v>0</v>
      </c>
      <c r="R455">
        <v>0</v>
      </c>
      <c r="S455">
        <v>28</v>
      </c>
      <c r="T455">
        <v>10.7</v>
      </c>
      <c r="U455">
        <v>101</v>
      </c>
      <c r="V455" s="19" t="s">
        <v>2477</v>
      </c>
      <c r="W455" s="19" t="s">
        <v>2042</v>
      </c>
      <c r="X455">
        <v>0</v>
      </c>
      <c r="Y455">
        <v>0</v>
      </c>
      <c r="AA455">
        <v>32</v>
      </c>
      <c r="AB455">
        <v>11</v>
      </c>
      <c r="AC455">
        <v>8</v>
      </c>
      <c r="AD455">
        <v>32</v>
      </c>
      <c r="AE455" s="19" t="s">
        <v>60</v>
      </c>
    </row>
    <row r="456" spans="1:31" x14ac:dyDescent="0.2">
      <c r="A456">
        <v>441</v>
      </c>
      <c r="B456" s="19" t="s">
        <v>866</v>
      </c>
      <c r="C456">
        <v>32</v>
      </c>
      <c r="D456" s="19" t="s">
        <v>352</v>
      </c>
      <c r="E456" s="19" t="s">
        <v>322</v>
      </c>
      <c r="F456">
        <v>43</v>
      </c>
      <c r="G456">
        <v>6</v>
      </c>
      <c r="H456">
        <v>5</v>
      </c>
      <c r="I456">
        <v>11</v>
      </c>
      <c r="J456">
        <v>1</v>
      </c>
      <c r="K456">
        <v>12</v>
      </c>
      <c r="L456">
        <v>6</v>
      </c>
      <c r="M456">
        <v>0</v>
      </c>
      <c r="N456">
        <v>0</v>
      </c>
      <c r="O456">
        <v>0</v>
      </c>
      <c r="P456">
        <v>5</v>
      </c>
      <c r="Q456">
        <v>0</v>
      </c>
      <c r="R456">
        <v>0</v>
      </c>
      <c r="S456">
        <v>55</v>
      </c>
      <c r="T456">
        <v>10.9</v>
      </c>
      <c r="U456">
        <v>104</v>
      </c>
      <c r="V456" s="19" t="s">
        <v>2830</v>
      </c>
      <c r="W456" s="19" t="s">
        <v>1040</v>
      </c>
      <c r="X456">
        <v>39</v>
      </c>
      <c r="Y456">
        <v>70</v>
      </c>
      <c r="Z456">
        <v>35.799999999999997</v>
      </c>
      <c r="AA456">
        <v>22</v>
      </c>
      <c r="AB456">
        <v>114</v>
      </c>
      <c r="AC456">
        <v>2</v>
      </c>
      <c r="AD456">
        <v>21</v>
      </c>
      <c r="AE456" s="19" t="s">
        <v>60</v>
      </c>
    </row>
    <row r="457" spans="1:31" x14ac:dyDescent="0.2">
      <c r="A457">
        <v>442</v>
      </c>
      <c r="B457" s="19" t="s">
        <v>977</v>
      </c>
      <c r="C457">
        <v>32</v>
      </c>
      <c r="D457" s="19" t="s">
        <v>330</v>
      </c>
      <c r="E457" s="19" t="s">
        <v>349</v>
      </c>
      <c r="F457">
        <v>51</v>
      </c>
      <c r="G457">
        <v>0</v>
      </c>
      <c r="H457">
        <v>11</v>
      </c>
      <c r="I457">
        <v>11</v>
      </c>
      <c r="J457">
        <v>1</v>
      </c>
      <c r="K457">
        <v>22</v>
      </c>
      <c r="L457">
        <v>0</v>
      </c>
      <c r="M457">
        <v>0</v>
      </c>
      <c r="N457">
        <v>0</v>
      </c>
      <c r="O457">
        <v>0</v>
      </c>
      <c r="P457">
        <v>7</v>
      </c>
      <c r="Q457">
        <v>3</v>
      </c>
      <c r="R457">
        <v>1</v>
      </c>
      <c r="S457">
        <v>53</v>
      </c>
      <c r="T457">
        <v>0</v>
      </c>
      <c r="U457">
        <v>124</v>
      </c>
      <c r="V457" s="19" t="s">
        <v>2478</v>
      </c>
      <c r="W457" s="19" t="s">
        <v>1877</v>
      </c>
      <c r="X457">
        <v>0</v>
      </c>
      <c r="Y457">
        <v>0</v>
      </c>
      <c r="AA457">
        <v>37</v>
      </c>
      <c r="AB457">
        <v>22</v>
      </c>
      <c r="AC457">
        <v>16</v>
      </c>
      <c r="AD457">
        <v>33</v>
      </c>
      <c r="AE457" s="19" t="s">
        <v>60</v>
      </c>
    </row>
    <row r="458" spans="1:31" x14ac:dyDescent="0.2">
      <c r="A458">
        <v>443</v>
      </c>
      <c r="B458" s="19" t="s">
        <v>817</v>
      </c>
      <c r="C458">
        <v>27</v>
      </c>
      <c r="D458" s="19" t="s">
        <v>459</v>
      </c>
      <c r="E458" s="19" t="s">
        <v>349</v>
      </c>
      <c r="F458">
        <v>41</v>
      </c>
      <c r="G458">
        <v>2</v>
      </c>
      <c r="H458">
        <v>9</v>
      </c>
      <c r="I458">
        <v>11</v>
      </c>
      <c r="J458">
        <v>-11</v>
      </c>
      <c r="K458">
        <v>34</v>
      </c>
      <c r="L458">
        <v>2</v>
      </c>
      <c r="M458">
        <v>0</v>
      </c>
      <c r="N458">
        <v>0</v>
      </c>
      <c r="O458">
        <v>1</v>
      </c>
      <c r="P458">
        <v>8</v>
      </c>
      <c r="Q458">
        <v>0</v>
      </c>
      <c r="R458">
        <v>1</v>
      </c>
      <c r="S458">
        <v>32</v>
      </c>
      <c r="T458">
        <v>6.3</v>
      </c>
      <c r="U458">
        <v>93</v>
      </c>
      <c r="V458" s="19" t="s">
        <v>2289</v>
      </c>
      <c r="W458" s="19" t="s">
        <v>1736</v>
      </c>
      <c r="X458">
        <v>0</v>
      </c>
      <c r="Y458">
        <v>0</v>
      </c>
      <c r="AA458">
        <v>37</v>
      </c>
      <c r="AB458">
        <v>54</v>
      </c>
      <c r="AC458">
        <v>11</v>
      </c>
      <c r="AD458">
        <v>31</v>
      </c>
      <c r="AE458" s="19" t="s">
        <v>60</v>
      </c>
    </row>
    <row r="459" spans="1:31" x14ac:dyDescent="0.2">
      <c r="A459">
        <v>444</v>
      </c>
      <c r="B459" s="19" t="s">
        <v>750</v>
      </c>
      <c r="C459">
        <v>24</v>
      </c>
      <c r="D459" s="19" t="s">
        <v>337</v>
      </c>
      <c r="E459" s="19" t="s">
        <v>349</v>
      </c>
      <c r="F459">
        <v>45</v>
      </c>
      <c r="G459">
        <v>2</v>
      </c>
      <c r="H459">
        <v>9</v>
      </c>
      <c r="I459">
        <v>11</v>
      </c>
      <c r="J459">
        <v>-9</v>
      </c>
      <c r="K459">
        <v>16</v>
      </c>
      <c r="L459">
        <v>2</v>
      </c>
      <c r="M459">
        <v>0</v>
      </c>
      <c r="N459">
        <v>0</v>
      </c>
      <c r="O459">
        <v>0</v>
      </c>
      <c r="P459">
        <v>7</v>
      </c>
      <c r="Q459">
        <v>0</v>
      </c>
      <c r="R459">
        <v>2</v>
      </c>
      <c r="S459">
        <v>32</v>
      </c>
      <c r="T459">
        <v>6.3</v>
      </c>
      <c r="U459">
        <v>103</v>
      </c>
      <c r="V459" s="19" t="s">
        <v>2367</v>
      </c>
      <c r="W459" s="19" t="s">
        <v>1618</v>
      </c>
      <c r="X459">
        <v>0</v>
      </c>
      <c r="Y459">
        <v>0</v>
      </c>
      <c r="AA459">
        <v>67</v>
      </c>
      <c r="AB459">
        <v>51</v>
      </c>
      <c r="AC459">
        <v>22</v>
      </c>
      <c r="AD459">
        <v>35</v>
      </c>
      <c r="AE459" s="19" t="s">
        <v>60</v>
      </c>
    </row>
    <row r="460" spans="1:31" x14ac:dyDescent="0.2">
      <c r="A460">
        <v>445</v>
      </c>
      <c r="B460" s="19" t="s">
        <v>910</v>
      </c>
      <c r="C460">
        <v>23</v>
      </c>
      <c r="D460" s="19" t="s">
        <v>352</v>
      </c>
      <c r="E460" s="19" t="s">
        <v>322</v>
      </c>
      <c r="F460">
        <v>35</v>
      </c>
      <c r="G460">
        <v>4</v>
      </c>
      <c r="H460">
        <v>7</v>
      </c>
      <c r="I460">
        <v>11</v>
      </c>
      <c r="J460">
        <v>0</v>
      </c>
      <c r="K460">
        <v>4</v>
      </c>
      <c r="L460">
        <v>4</v>
      </c>
      <c r="M460">
        <v>0</v>
      </c>
      <c r="N460">
        <v>0</v>
      </c>
      <c r="O460">
        <v>0</v>
      </c>
      <c r="P460">
        <v>7</v>
      </c>
      <c r="Q460">
        <v>0</v>
      </c>
      <c r="R460">
        <v>0</v>
      </c>
      <c r="S460">
        <v>36</v>
      </c>
      <c r="T460">
        <v>11.1</v>
      </c>
      <c r="U460">
        <v>86</v>
      </c>
      <c r="V460" s="19" t="s">
        <v>2831</v>
      </c>
      <c r="W460" s="19" t="s">
        <v>1456</v>
      </c>
      <c r="X460">
        <v>99</v>
      </c>
      <c r="Y460">
        <v>107</v>
      </c>
      <c r="Z460">
        <v>48.1</v>
      </c>
      <c r="AA460">
        <v>13</v>
      </c>
      <c r="AB460">
        <v>50</v>
      </c>
      <c r="AC460">
        <v>9</v>
      </c>
      <c r="AD460">
        <v>32</v>
      </c>
      <c r="AE460" s="19" t="s">
        <v>60</v>
      </c>
    </row>
    <row r="461" spans="1:31" x14ac:dyDescent="0.2">
      <c r="A461">
        <v>446</v>
      </c>
      <c r="B461" s="19" t="s">
        <v>987</v>
      </c>
      <c r="C461">
        <v>31</v>
      </c>
      <c r="D461" s="19" t="s">
        <v>397</v>
      </c>
      <c r="E461" s="19" t="s">
        <v>322</v>
      </c>
      <c r="F461">
        <v>40</v>
      </c>
      <c r="G461">
        <v>4</v>
      </c>
      <c r="H461">
        <v>7</v>
      </c>
      <c r="I461">
        <v>11</v>
      </c>
      <c r="J461">
        <v>5</v>
      </c>
      <c r="K461">
        <v>12</v>
      </c>
      <c r="L461">
        <v>4</v>
      </c>
      <c r="M461">
        <v>0</v>
      </c>
      <c r="N461">
        <v>0</v>
      </c>
      <c r="O461">
        <v>2</v>
      </c>
      <c r="P461">
        <v>6</v>
      </c>
      <c r="Q461">
        <v>1</v>
      </c>
      <c r="R461">
        <v>0</v>
      </c>
      <c r="S461">
        <v>36</v>
      </c>
      <c r="T461">
        <v>11.1</v>
      </c>
      <c r="U461">
        <v>78</v>
      </c>
      <c r="V461" s="19" t="s">
        <v>2292</v>
      </c>
      <c r="W461" s="19" t="s">
        <v>1874</v>
      </c>
      <c r="X461">
        <v>227</v>
      </c>
      <c r="Y461">
        <v>183</v>
      </c>
      <c r="Z461">
        <v>55.4</v>
      </c>
      <c r="AA461">
        <v>28</v>
      </c>
      <c r="AB461">
        <v>26</v>
      </c>
      <c r="AC461">
        <v>8</v>
      </c>
      <c r="AD461">
        <v>24</v>
      </c>
      <c r="AE461" s="19" t="s">
        <v>60</v>
      </c>
    </row>
    <row r="462" spans="1:31" x14ac:dyDescent="0.2">
      <c r="A462">
        <v>447</v>
      </c>
      <c r="B462" s="19" t="s">
        <v>783</v>
      </c>
      <c r="C462">
        <v>28</v>
      </c>
      <c r="D462" s="19" t="s">
        <v>513</v>
      </c>
      <c r="E462" s="19" t="s">
        <v>335</v>
      </c>
      <c r="F462">
        <v>37</v>
      </c>
      <c r="G462">
        <v>2</v>
      </c>
      <c r="H462">
        <v>9</v>
      </c>
      <c r="I462">
        <v>11</v>
      </c>
      <c r="J462">
        <v>-1</v>
      </c>
      <c r="K462">
        <v>4</v>
      </c>
      <c r="L462">
        <v>1</v>
      </c>
      <c r="M462">
        <v>0</v>
      </c>
      <c r="N462">
        <v>1</v>
      </c>
      <c r="O462">
        <v>1</v>
      </c>
      <c r="P462">
        <v>9</v>
      </c>
      <c r="Q462">
        <v>0</v>
      </c>
      <c r="R462">
        <v>0</v>
      </c>
      <c r="S462">
        <v>28</v>
      </c>
      <c r="T462">
        <v>7.1</v>
      </c>
      <c r="U462">
        <v>64</v>
      </c>
      <c r="V462" s="19" t="s">
        <v>2832</v>
      </c>
      <c r="W462" s="19" t="s">
        <v>886</v>
      </c>
      <c r="X462">
        <v>4</v>
      </c>
      <c r="Y462">
        <v>11</v>
      </c>
      <c r="Z462">
        <v>26.7</v>
      </c>
      <c r="AA462">
        <v>27</v>
      </c>
      <c r="AB462">
        <v>78</v>
      </c>
      <c r="AC462">
        <v>10</v>
      </c>
      <c r="AD462">
        <v>21</v>
      </c>
      <c r="AE462" s="19" t="s">
        <v>60</v>
      </c>
    </row>
    <row r="463" spans="1:31" x14ac:dyDescent="0.2">
      <c r="A463">
        <v>448</v>
      </c>
      <c r="B463" s="19" t="s">
        <v>913</v>
      </c>
      <c r="C463">
        <v>23</v>
      </c>
      <c r="D463" s="19" t="s">
        <v>330</v>
      </c>
      <c r="E463" s="19" t="s">
        <v>349</v>
      </c>
      <c r="F463">
        <v>51</v>
      </c>
      <c r="G463">
        <v>5</v>
      </c>
      <c r="H463">
        <v>6</v>
      </c>
      <c r="I463">
        <v>11</v>
      </c>
      <c r="J463">
        <v>-4</v>
      </c>
      <c r="K463">
        <v>22</v>
      </c>
      <c r="L463">
        <v>5</v>
      </c>
      <c r="M463">
        <v>0</v>
      </c>
      <c r="N463">
        <v>0</v>
      </c>
      <c r="O463">
        <v>1</v>
      </c>
      <c r="P463">
        <v>6</v>
      </c>
      <c r="Q463">
        <v>0</v>
      </c>
      <c r="R463">
        <v>0</v>
      </c>
      <c r="S463">
        <v>55</v>
      </c>
      <c r="T463">
        <v>9.1</v>
      </c>
      <c r="U463">
        <v>118</v>
      </c>
      <c r="V463" s="19" t="s">
        <v>2479</v>
      </c>
      <c r="W463" s="19" t="s">
        <v>1831</v>
      </c>
      <c r="X463">
        <v>0</v>
      </c>
      <c r="Y463">
        <v>0</v>
      </c>
      <c r="AA463">
        <v>44</v>
      </c>
      <c r="AB463">
        <v>32</v>
      </c>
      <c r="AC463">
        <v>24</v>
      </c>
      <c r="AD463">
        <v>62</v>
      </c>
      <c r="AE463" s="19" t="s">
        <v>60</v>
      </c>
    </row>
    <row r="464" spans="1:31" x14ac:dyDescent="0.2">
      <c r="A464">
        <v>449</v>
      </c>
      <c r="B464" s="19" t="s">
        <v>915</v>
      </c>
      <c r="C464">
        <v>25</v>
      </c>
      <c r="D464" s="19" t="s">
        <v>436</v>
      </c>
      <c r="E464" s="19" t="s">
        <v>325</v>
      </c>
      <c r="F464">
        <v>50</v>
      </c>
      <c r="G464">
        <v>5</v>
      </c>
      <c r="H464">
        <v>6</v>
      </c>
      <c r="I464">
        <v>11</v>
      </c>
      <c r="J464">
        <v>-5</v>
      </c>
      <c r="K464">
        <v>86</v>
      </c>
      <c r="L464">
        <v>5</v>
      </c>
      <c r="M464">
        <v>0</v>
      </c>
      <c r="N464">
        <v>0</v>
      </c>
      <c r="O464">
        <v>0</v>
      </c>
      <c r="P464">
        <v>5</v>
      </c>
      <c r="Q464">
        <v>1</v>
      </c>
      <c r="R464">
        <v>0</v>
      </c>
      <c r="S464">
        <v>51</v>
      </c>
      <c r="T464">
        <v>9.8000000000000007</v>
      </c>
      <c r="U464">
        <v>119</v>
      </c>
      <c r="V464" s="19" t="s">
        <v>2480</v>
      </c>
      <c r="W464" s="19" t="s">
        <v>1935</v>
      </c>
      <c r="X464">
        <v>8</v>
      </c>
      <c r="Y464">
        <v>18</v>
      </c>
      <c r="Z464">
        <v>30.8</v>
      </c>
      <c r="AA464">
        <v>30</v>
      </c>
      <c r="AB464">
        <v>180</v>
      </c>
      <c r="AC464">
        <v>9</v>
      </c>
      <c r="AD464">
        <v>21</v>
      </c>
      <c r="AE464" s="19" t="s">
        <v>60</v>
      </c>
    </row>
    <row r="465" spans="1:31" x14ac:dyDescent="0.2">
      <c r="A465">
        <v>450</v>
      </c>
      <c r="B465" s="19" t="s">
        <v>824</v>
      </c>
      <c r="C465">
        <v>33</v>
      </c>
      <c r="D465" s="19" t="s">
        <v>530</v>
      </c>
      <c r="E465" s="19" t="s">
        <v>349</v>
      </c>
      <c r="F465">
        <v>50</v>
      </c>
      <c r="G465">
        <v>4</v>
      </c>
      <c r="H465">
        <v>7</v>
      </c>
      <c r="I465">
        <v>11</v>
      </c>
      <c r="J465">
        <v>-1</v>
      </c>
      <c r="K465">
        <v>28</v>
      </c>
      <c r="L465">
        <v>4</v>
      </c>
      <c r="M465">
        <v>0</v>
      </c>
      <c r="N465">
        <v>0</v>
      </c>
      <c r="O465">
        <v>1</v>
      </c>
      <c r="P465">
        <v>7</v>
      </c>
      <c r="Q465">
        <v>0</v>
      </c>
      <c r="R465">
        <v>0</v>
      </c>
      <c r="S465">
        <v>56</v>
      </c>
      <c r="T465">
        <v>7.1</v>
      </c>
      <c r="U465">
        <v>118</v>
      </c>
      <c r="V465" s="19" t="s">
        <v>2481</v>
      </c>
      <c r="W465" s="19" t="s">
        <v>1744</v>
      </c>
      <c r="X465">
        <v>0</v>
      </c>
      <c r="Y465">
        <v>0</v>
      </c>
      <c r="AA465">
        <v>110</v>
      </c>
      <c r="AB465">
        <v>70</v>
      </c>
      <c r="AC465">
        <v>11</v>
      </c>
      <c r="AD465">
        <v>30</v>
      </c>
      <c r="AE465" s="19" t="s">
        <v>60</v>
      </c>
    </row>
    <row r="466" spans="1:31" x14ac:dyDescent="0.2">
      <c r="A466">
        <v>451</v>
      </c>
      <c r="B466" s="19" t="s">
        <v>1066</v>
      </c>
      <c r="C466">
        <v>32</v>
      </c>
      <c r="D466" s="19" t="s">
        <v>346</v>
      </c>
      <c r="E466" s="19" t="s">
        <v>340</v>
      </c>
      <c r="F466">
        <v>39</v>
      </c>
      <c r="G466">
        <v>4</v>
      </c>
      <c r="H466">
        <v>7</v>
      </c>
      <c r="I466">
        <v>11</v>
      </c>
      <c r="J466">
        <v>1</v>
      </c>
      <c r="K466">
        <v>17</v>
      </c>
      <c r="L466">
        <v>3</v>
      </c>
      <c r="M466">
        <v>0</v>
      </c>
      <c r="N466">
        <v>1</v>
      </c>
      <c r="O466">
        <v>1</v>
      </c>
      <c r="P466">
        <v>7</v>
      </c>
      <c r="Q466">
        <v>0</v>
      </c>
      <c r="R466">
        <v>0</v>
      </c>
      <c r="S466">
        <v>41</v>
      </c>
      <c r="T466">
        <v>9.8000000000000007</v>
      </c>
      <c r="U466">
        <v>94</v>
      </c>
      <c r="V466" s="19" t="s">
        <v>2833</v>
      </c>
      <c r="W466" s="19" t="s">
        <v>1801</v>
      </c>
      <c r="X466">
        <v>261</v>
      </c>
      <c r="Y466">
        <v>235</v>
      </c>
      <c r="Z466">
        <v>52.6</v>
      </c>
      <c r="AA466">
        <v>27</v>
      </c>
      <c r="AB466">
        <v>79</v>
      </c>
      <c r="AC466">
        <v>6</v>
      </c>
      <c r="AD466">
        <v>21</v>
      </c>
      <c r="AE466" s="19" t="s">
        <v>60</v>
      </c>
    </row>
    <row r="467" spans="1:31" x14ac:dyDescent="0.2">
      <c r="A467">
        <v>452</v>
      </c>
      <c r="B467" s="19" t="s">
        <v>1069</v>
      </c>
      <c r="C467">
        <v>27</v>
      </c>
      <c r="D467" s="19" t="s">
        <v>530</v>
      </c>
      <c r="E467" s="19" t="s">
        <v>325</v>
      </c>
      <c r="F467">
        <v>31</v>
      </c>
      <c r="G467">
        <v>5</v>
      </c>
      <c r="H467">
        <v>6</v>
      </c>
      <c r="I467">
        <v>11</v>
      </c>
      <c r="J467">
        <v>0</v>
      </c>
      <c r="K467">
        <v>4</v>
      </c>
      <c r="L467">
        <v>5</v>
      </c>
      <c r="M467">
        <v>0</v>
      </c>
      <c r="N467">
        <v>0</v>
      </c>
      <c r="O467">
        <v>1</v>
      </c>
      <c r="P467">
        <v>6</v>
      </c>
      <c r="Q467">
        <v>0</v>
      </c>
      <c r="R467">
        <v>0</v>
      </c>
      <c r="S467">
        <v>40</v>
      </c>
      <c r="T467">
        <v>12.5</v>
      </c>
      <c r="U467">
        <v>77</v>
      </c>
      <c r="V467" s="19" t="s">
        <v>2244</v>
      </c>
      <c r="W467" s="19" t="s">
        <v>1990</v>
      </c>
      <c r="X467">
        <v>125</v>
      </c>
      <c r="Y467">
        <v>109</v>
      </c>
      <c r="Z467">
        <v>53.4</v>
      </c>
      <c r="AA467">
        <v>8</v>
      </c>
      <c r="AB467">
        <v>36</v>
      </c>
      <c r="AC467">
        <v>4</v>
      </c>
      <c r="AD467">
        <v>14</v>
      </c>
      <c r="AE467" s="19" t="s">
        <v>60</v>
      </c>
    </row>
    <row r="468" spans="1:31" x14ac:dyDescent="0.2">
      <c r="A468">
        <v>453</v>
      </c>
      <c r="B468" s="19" t="s">
        <v>762</v>
      </c>
      <c r="C468">
        <v>28</v>
      </c>
      <c r="D468" s="19" t="s">
        <v>381</v>
      </c>
      <c r="E468" s="19" t="s">
        <v>325</v>
      </c>
      <c r="F468">
        <v>38</v>
      </c>
      <c r="G468">
        <v>4</v>
      </c>
      <c r="H468">
        <v>7</v>
      </c>
      <c r="I468">
        <v>11</v>
      </c>
      <c r="J468">
        <v>2</v>
      </c>
      <c r="K468">
        <v>62</v>
      </c>
      <c r="L468">
        <v>4</v>
      </c>
      <c r="M468">
        <v>0</v>
      </c>
      <c r="N468">
        <v>0</v>
      </c>
      <c r="O468">
        <v>1</v>
      </c>
      <c r="P468">
        <v>7</v>
      </c>
      <c r="Q468">
        <v>0</v>
      </c>
      <c r="R468">
        <v>0</v>
      </c>
      <c r="S468">
        <v>47</v>
      </c>
      <c r="T468">
        <v>8.5</v>
      </c>
      <c r="U468">
        <v>105</v>
      </c>
      <c r="V468" s="19" t="s">
        <v>2834</v>
      </c>
      <c r="W468" s="19" t="s">
        <v>1871</v>
      </c>
      <c r="X468">
        <v>2</v>
      </c>
      <c r="Y468">
        <v>4</v>
      </c>
      <c r="Z468">
        <v>33.299999999999997</v>
      </c>
      <c r="AA468">
        <v>28</v>
      </c>
      <c r="AB468">
        <v>142</v>
      </c>
      <c r="AC468">
        <v>7</v>
      </c>
      <c r="AD468">
        <v>16</v>
      </c>
      <c r="AE468" s="19" t="s">
        <v>60</v>
      </c>
    </row>
    <row r="469" spans="1:31" x14ac:dyDescent="0.2">
      <c r="A469">
        <v>454</v>
      </c>
      <c r="B469" s="19" t="s">
        <v>887</v>
      </c>
      <c r="C469">
        <v>30</v>
      </c>
      <c r="D469" s="19" t="s">
        <v>352</v>
      </c>
      <c r="E469" s="19" t="s">
        <v>340</v>
      </c>
      <c r="F469">
        <v>31</v>
      </c>
      <c r="G469">
        <v>5</v>
      </c>
      <c r="H469">
        <v>6</v>
      </c>
      <c r="I469">
        <v>11</v>
      </c>
      <c r="J469">
        <v>-8</v>
      </c>
      <c r="K469">
        <v>13</v>
      </c>
      <c r="L469">
        <v>5</v>
      </c>
      <c r="M469">
        <v>0</v>
      </c>
      <c r="N469">
        <v>0</v>
      </c>
      <c r="O469">
        <v>1</v>
      </c>
      <c r="P469">
        <v>5</v>
      </c>
      <c r="Q469">
        <v>1</v>
      </c>
      <c r="R469">
        <v>0</v>
      </c>
      <c r="S469">
        <v>42</v>
      </c>
      <c r="T469">
        <v>11.9</v>
      </c>
      <c r="U469">
        <v>84</v>
      </c>
      <c r="V469" s="19" t="s">
        <v>2835</v>
      </c>
      <c r="W469" s="19" t="s">
        <v>2079</v>
      </c>
      <c r="X469">
        <v>183</v>
      </c>
      <c r="Y469">
        <v>157</v>
      </c>
      <c r="Z469">
        <v>53.8</v>
      </c>
      <c r="AA469">
        <v>14</v>
      </c>
      <c r="AB469">
        <v>39</v>
      </c>
      <c r="AC469">
        <v>7</v>
      </c>
      <c r="AD469">
        <v>18</v>
      </c>
      <c r="AE469" s="19" t="s">
        <v>60</v>
      </c>
    </row>
    <row r="470" spans="1:31" x14ac:dyDescent="0.2">
      <c r="A470">
        <v>455</v>
      </c>
      <c r="B470" s="19" t="s">
        <v>893</v>
      </c>
      <c r="C470">
        <v>29</v>
      </c>
      <c r="D470" s="19" t="s">
        <v>405</v>
      </c>
      <c r="E470" s="19" t="s">
        <v>322</v>
      </c>
      <c r="F470">
        <v>50</v>
      </c>
      <c r="G470">
        <v>4</v>
      </c>
      <c r="H470">
        <v>7</v>
      </c>
      <c r="I470">
        <v>11</v>
      </c>
      <c r="J470">
        <v>-7</v>
      </c>
      <c r="K470">
        <v>18</v>
      </c>
      <c r="L470">
        <v>3</v>
      </c>
      <c r="M470">
        <v>0</v>
      </c>
      <c r="N470">
        <v>1</v>
      </c>
      <c r="O470">
        <v>0</v>
      </c>
      <c r="P470">
        <v>6</v>
      </c>
      <c r="Q470">
        <v>0</v>
      </c>
      <c r="R470">
        <v>1</v>
      </c>
      <c r="S470">
        <v>43</v>
      </c>
      <c r="T470">
        <v>9.3000000000000007</v>
      </c>
      <c r="U470">
        <v>106</v>
      </c>
      <c r="V470" s="19" t="s">
        <v>2836</v>
      </c>
      <c r="W470" s="19" t="s">
        <v>1934</v>
      </c>
      <c r="X470">
        <v>394</v>
      </c>
      <c r="Y470">
        <v>339</v>
      </c>
      <c r="Z470">
        <v>53.8</v>
      </c>
      <c r="AA470">
        <v>39</v>
      </c>
      <c r="AB470">
        <v>26</v>
      </c>
      <c r="AC470">
        <v>9</v>
      </c>
      <c r="AD470">
        <v>32</v>
      </c>
      <c r="AE470" s="19" t="s">
        <v>60</v>
      </c>
    </row>
    <row r="471" spans="1:31" x14ac:dyDescent="0.2">
      <c r="A471">
        <v>456</v>
      </c>
      <c r="B471" s="19" t="s">
        <v>769</v>
      </c>
      <c r="C471">
        <v>31</v>
      </c>
      <c r="D471" s="19" t="s">
        <v>513</v>
      </c>
      <c r="E471" s="19" t="s">
        <v>322</v>
      </c>
      <c r="F471">
        <v>33</v>
      </c>
      <c r="G471">
        <v>4</v>
      </c>
      <c r="H471">
        <v>7</v>
      </c>
      <c r="I471">
        <v>11</v>
      </c>
      <c r="J471">
        <v>-3</v>
      </c>
      <c r="K471">
        <v>22</v>
      </c>
      <c r="L471">
        <v>4</v>
      </c>
      <c r="M471">
        <v>0</v>
      </c>
      <c r="N471">
        <v>0</v>
      </c>
      <c r="O471">
        <v>1</v>
      </c>
      <c r="P471">
        <v>7</v>
      </c>
      <c r="Q471">
        <v>0</v>
      </c>
      <c r="R471">
        <v>0</v>
      </c>
      <c r="S471">
        <v>33</v>
      </c>
      <c r="T471">
        <v>12.1</v>
      </c>
      <c r="U471">
        <v>58</v>
      </c>
      <c r="V471" s="19" t="s">
        <v>2837</v>
      </c>
      <c r="W471" s="19" t="s">
        <v>1116</v>
      </c>
      <c r="X471">
        <v>45</v>
      </c>
      <c r="Y471">
        <v>36</v>
      </c>
      <c r="Z471">
        <v>55.6</v>
      </c>
      <c r="AA471">
        <v>25</v>
      </c>
      <c r="AB471">
        <v>128</v>
      </c>
      <c r="AC471">
        <v>2</v>
      </c>
      <c r="AD471">
        <v>17</v>
      </c>
      <c r="AE471" s="19" t="s">
        <v>60</v>
      </c>
    </row>
    <row r="472" spans="1:31" x14ac:dyDescent="0.2">
      <c r="A472">
        <v>457</v>
      </c>
      <c r="B472" s="19" t="s">
        <v>844</v>
      </c>
      <c r="C472">
        <v>27</v>
      </c>
      <c r="D472" s="19" t="s">
        <v>405</v>
      </c>
      <c r="E472" s="19" t="s">
        <v>335</v>
      </c>
      <c r="F472">
        <v>29</v>
      </c>
      <c r="G472">
        <v>5</v>
      </c>
      <c r="H472">
        <v>6</v>
      </c>
      <c r="I472">
        <v>11</v>
      </c>
      <c r="J472">
        <v>6</v>
      </c>
      <c r="K472">
        <v>10</v>
      </c>
      <c r="L472">
        <v>5</v>
      </c>
      <c r="M472">
        <v>0</v>
      </c>
      <c r="N472">
        <v>0</v>
      </c>
      <c r="O472">
        <v>1</v>
      </c>
      <c r="P472">
        <v>6</v>
      </c>
      <c r="Q472">
        <v>0</v>
      </c>
      <c r="R472">
        <v>0</v>
      </c>
      <c r="S472">
        <v>23</v>
      </c>
      <c r="T472">
        <v>21.7</v>
      </c>
      <c r="U472">
        <v>41</v>
      </c>
      <c r="V472" s="19" t="s">
        <v>2838</v>
      </c>
      <c r="W472" s="19" t="s">
        <v>2839</v>
      </c>
      <c r="X472">
        <v>11</v>
      </c>
      <c r="Y472">
        <v>19</v>
      </c>
      <c r="Z472">
        <v>36.700000000000003</v>
      </c>
      <c r="AA472">
        <v>8</v>
      </c>
      <c r="AB472">
        <v>18</v>
      </c>
      <c r="AC472">
        <v>3</v>
      </c>
      <c r="AD472">
        <v>10</v>
      </c>
      <c r="AE472" s="19" t="s">
        <v>60</v>
      </c>
    </row>
    <row r="473" spans="1:31" x14ac:dyDescent="0.2">
      <c r="A473">
        <v>458</v>
      </c>
      <c r="B473" s="19" t="s">
        <v>849</v>
      </c>
      <c r="C473">
        <v>25</v>
      </c>
      <c r="D473" s="19" t="s">
        <v>950</v>
      </c>
      <c r="E473" s="19" t="s">
        <v>335</v>
      </c>
      <c r="F473">
        <v>31</v>
      </c>
      <c r="G473">
        <v>5</v>
      </c>
      <c r="H473">
        <v>6</v>
      </c>
      <c r="I473">
        <v>11</v>
      </c>
      <c r="J473">
        <v>-3</v>
      </c>
      <c r="K473">
        <v>6</v>
      </c>
      <c r="L473">
        <v>3</v>
      </c>
      <c r="M473">
        <v>2</v>
      </c>
      <c r="N473">
        <v>0</v>
      </c>
      <c r="O473">
        <v>1</v>
      </c>
      <c r="P473">
        <v>6</v>
      </c>
      <c r="Q473">
        <v>0</v>
      </c>
      <c r="R473">
        <v>0</v>
      </c>
      <c r="S473">
        <v>37</v>
      </c>
      <c r="T473">
        <v>13.5</v>
      </c>
      <c r="U473">
        <v>75</v>
      </c>
      <c r="V473" s="19" t="s">
        <v>2840</v>
      </c>
      <c r="W473" s="19" t="s">
        <v>2111</v>
      </c>
      <c r="X473">
        <v>1</v>
      </c>
      <c r="Y473">
        <v>1</v>
      </c>
      <c r="Z473">
        <v>50</v>
      </c>
      <c r="AA473">
        <v>6</v>
      </c>
      <c r="AB473">
        <v>20</v>
      </c>
      <c r="AC473">
        <v>4</v>
      </c>
      <c r="AD473">
        <v>28</v>
      </c>
      <c r="AE473" s="19" t="s">
        <v>60</v>
      </c>
    </row>
    <row r="474" spans="1:31" x14ac:dyDescent="0.2">
      <c r="A474">
        <v>458</v>
      </c>
      <c r="B474" s="19" t="s">
        <v>849</v>
      </c>
      <c r="C474">
        <v>25</v>
      </c>
      <c r="D474" s="19" t="s">
        <v>371</v>
      </c>
      <c r="E474" s="19" t="s">
        <v>335</v>
      </c>
      <c r="F474">
        <v>15</v>
      </c>
      <c r="G474">
        <v>2</v>
      </c>
      <c r="H474">
        <v>4</v>
      </c>
      <c r="I474">
        <v>6</v>
      </c>
      <c r="J474">
        <v>-3</v>
      </c>
      <c r="K474">
        <v>6</v>
      </c>
      <c r="L474">
        <v>1</v>
      </c>
      <c r="M474">
        <v>1</v>
      </c>
      <c r="N474">
        <v>0</v>
      </c>
      <c r="O474">
        <v>0</v>
      </c>
      <c r="P474">
        <v>4</v>
      </c>
      <c r="Q474">
        <v>0</v>
      </c>
      <c r="R474">
        <v>0</v>
      </c>
      <c r="S474">
        <v>20</v>
      </c>
      <c r="T474">
        <v>10</v>
      </c>
      <c r="U474">
        <v>44</v>
      </c>
      <c r="V474" s="19" t="s">
        <v>1542</v>
      </c>
      <c r="W474" s="19" t="s">
        <v>797</v>
      </c>
      <c r="X474">
        <v>0</v>
      </c>
      <c r="Y474">
        <v>0</v>
      </c>
      <c r="AA474">
        <v>3</v>
      </c>
      <c r="AB474">
        <v>10</v>
      </c>
      <c r="AC474">
        <v>1</v>
      </c>
      <c r="AD474">
        <v>14</v>
      </c>
      <c r="AE474" s="19" t="s">
        <v>60</v>
      </c>
    </row>
    <row r="475" spans="1:31" x14ac:dyDescent="0.2">
      <c r="A475">
        <v>458</v>
      </c>
      <c r="B475" s="19" t="s">
        <v>849</v>
      </c>
      <c r="C475">
        <v>25</v>
      </c>
      <c r="D475" s="19" t="s">
        <v>513</v>
      </c>
      <c r="E475" s="19" t="s">
        <v>335</v>
      </c>
      <c r="F475">
        <v>16</v>
      </c>
      <c r="G475">
        <v>3</v>
      </c>
      <c r="H475">
        <v>2</v>
      </c>
      <c r="I475">
        <v>5</v>
      </c>
      <c r="J475">
        <v>0</v>
      </c>
      <c r="K475">
        <v>0</v>
      </c>
      <c r="L475">
        <v>2</v>
      </c>
      <c r="M475">
        <v>1</v>
      </c>
      <c r="N475">
        <v>0</v>
      </c>
      <c r="O475">
        <v>1</v>
      </c>
      <c r="P475">
        <v>2</v>
      </c>
      <c r="Q475">
        <v>0</v>
      </c>
      <c r="R475">
        <v>0</v>
      </c>
      <c r="S475">
        <v>17</v>
      </c>
      <c r="T475">
        <v>17.600000000000001</v>
      </c>
      <c r="U475">
        <v>31</v>
      </c>
      <c r="V475" s="19" t="s">
        <v>2841</v>
      </c>
      <c r="W475" s="19" t="s">
        <v>1984</v>
      </c>
      <c r="X475">
        <v>1</v>
      </c>
      <c r="Y475">
        <v>1</v>
      </c>
      <c r="Z475">
        <v>50</v>
      </c>
      <c r="AA475">
        <v>3</v>
      </c>
      <c r="AB475">
        <v>10</v>
      </c>
      <c r="AC475">
        <v>3</v>
      </c>
      <c r="AD475">
        <v>14</v>
      </c>
      <c r="AE475" s="19" t="s">
        <v>60</v>
      </c>
    </row>
    <row r="476" spans="1:31" x14ac:dyDescent="0.2">
      <c r="A476">
        <v>459</v>
      </c>
      <c r="B476" s="19" t="s">
        <v>903</v>
      </c>
      <c r="C476">
        <v>32</v>
      </c>
      <c r="D476" s="19" t="s">
        <v>950</v>
      </c>
      <c r="E476" s="19" t="s">
        <v>322</v>
      </c>
      <c r="F476">
        <v>46</v>
      </c>
      <c r="G476">
        <v>1</v>
      </c>
      <c r="H476">
        <v>10</v>
      </c>
      <c r="I476">
        <v>11</v>
      </c>
      <c r="J476">
        <v>-1</v>
      </c>
      <c r="K476">
        <v>18</v>
      </c>
      <c r="L476">
        <v>1</v>
      </c>
      <c r="M476">
        <v>0</v>
      </c>
      <c r="N476">
        <v>0</v>
      </c>
      <c r="O476">
        <v>0</v>
      </c>
      <c r="P476">
        <v>9</v>
      </c>
      <c r="Q476">
        <v>0</v>
      </c>
      <c r="R476">
        <v>1</v>
      </c>
      <c r="S476">
        <v>64</v>
      </c>
      <c r="T476">
        <v>1.6</v>
      </c>
      <c r="U476">
        <v>124</v>
      </c>
      <c r="V476" s="19" t="s">
        <v>2842</v>
      </c>
      <c r="W476" s="19" t="s">
        <v>1803</v>
      </c>
      <c r="X476">
        <v>359</v>
      </c>
      <c r="Y476">
        <v>300</v>
      </c>
      <c r="Z476">
        <v>54.5</v>
      </c>
      <c r="AA476">
        <v>25</v>
      </c>
      <c r="AB476">
        <v>36</v>
      </c>
      <c r="AC476">
        <v>7</v>
      </c>
      <c r="AD476">
        <v>38</v>
      </c>
      <c r="AE476" s="19" t="s">
        <v>60</v>
      </c>
    </row>
    <row r="477" spans="1:31" x14ac:dyDescent="0.2">
      <c r="A477">
        <v>459</v>
      </c>
      <c r="B477" s="19" t="s">
        <v>903</v>
      </c>
      <c r="C477">
        <v>32</v>
      </c>
      <c r="D477" s="19" t="s">
        <v>419</v>
      </c>
      <c r="E477" s="19" t="s">
        <v>322</v>
      </c>
      <c r="F477">
        <v>30</v>
      </c>
      <c r="G477">
        <v>0</v>
      </c>
      <c r="H477">
        <v>5</v>
      </c>
      <c r="I477">
        <v>5</v>
      </c>
      <c r="J477">
        <v>3</v>
      </c>
      <c r="K477">
        <v>6</v>
      </c>
      <c r="L477">
        <v>0</v>
      </c>
      <c r="M477">
        <v>0</v>
      </c>
      <c r="N477">
        <v>0</v>
      </c>
      <c r="O477">
        <v>0</v>
      </c>
      <c r="P477">
        <v>4</v>
      </c>
      <c r="Q477">
        <v>0</v>
      </c>
      <c r="R477">
        <v>1</v>
      </c>
      <c r="S477">
        <v>42</v>
      </c>
      <c r="T477">
        <v>0</v>
      </c>
      <c r="U477">
        <v>88</v>
      </c>
      <c r="V477" s="19" t="s">
        <v>1526</v>
      </c>
      <c r="W477" s="19" t="s">
        <v>1527</v>
      </c>
      <c r="X477">
        <v>219</v>
      </c>
      <c r="Y477">
        <v>195</v>
      </c>
      <c r="Z477">
        <v>52.9</v>
      </c>
      <c r="AA477">
        <v>11</v>
      </c>
      <c r="AB477">
        <v>22</v>
      </c>
      <c r="AC477">
        <v>4</v>
      </c>
      <c r="AD477">
        <v>25</v>
      </c>
      <c r="AE477" s="19" t="s">
        <v>60</v>
      </c>
    </row>
    <row r="478" spans="1:31" x14ac:dyDescent="0.2">
      <c r="A478">
        <v>459</v>
      </c>
      <c r="B478" s="19" t="s">
        <v>903</v>
      </c>
      <c r="C478">
        <v>32</v>
      </c>
      <c r="D478" s="19" t="s">
        <v>363</v>
      </c>
      <c r="E478" s="19" t="s">
        <v>322</v>
      </c>
      <c r="F478">
        <v>16</v>
      </c>
      <c r="G478">
        <v>1</v>
      </c>
      <c r="H478">
        <v>5</v>
      </c>
      <c r="I478">
        <v>6</v>
      </c>
      <c r="J478">
        <v>-4</v>
      </c>
      <c r="K478">
        <v>12</v>
      </c>
      <c r="L478">
        <v>1</v>
      </c>
      <c r="M478">
        <v>0</v>
      </c>
      <c r="N478">
        <v>0</v>
      </c>
      <c r="O478">
        <v>0</v>
      </c>
      <c r="P478">
        <v>5</v>
      </c>
      <c r="Q478">
        <v>0</v>
      </c>
      <c r="R478">
        <v>0</v>
      </c>
      <c r="S478">
        <v>22</v>
      </c>
      <c r="T478">
        <v>4.5</v>
      </c>
      <c r="U478">
        <v>36</v>
      </c>
      <c r="V478" s="19" t="s">
        <v>2843</v>
      </c>
      <c r="W478" s="19" t="s">
        <v>1390</v>
      </c>
      <c r="X478">
        <v>140</v>
      </c>
      <c r="Y478">
        <v>105</v>
      </c>
      <c r="Z478">
        <v>57.1</v>
      </c>
      <c r="AA478">
        <v>14</v>
      </c>
      <c r="AB478">
        <v>14</v>
      </c>
      <c r="AC478">
        <v>3</v>
      </c>
      <c r="AD478">
        <v>13</v>
      </c>
      <c r="AE478" s="19" t="s">
        <v>60</v>
      </c>
    </row>
    <row r="479" spans="1:31" x14ac:dyDescent="0.2">
      <c r="A479">
        <v>460</v>
      </c>
      <c r="B479" s="19" t="s">
        <v>1155</v>
      </c>
      <c r="C479">
        <v>30</v>
      </c>
      <c r="D479" s="19" t="s">
        <v>407</v>
      </c>
      <c r="E479" s="19" t="s">
        <v>322</v>
      </c>
      <c r="F479">
        <v>42</v>
      </c>
      <c r="G479">
        <v>3</v>
      </c>
      <c r="H479">
        <v>7</v>
      </c>
      <c r="I479">
        <v>10</v>
      </c>
      <c r="J479">
        <v>-1</v>
      </c>
      <c r="K479">
        <v>22</v>
      </c>
      <c r="L479">
        <v>2</v>
      </c>
      <c r="M479">
        <v>0</v>
      </c>
      <c r="N479">
        <v>1</v>
      </c>
      <c r="O479">
        <v>0</v>
      </c>
      <c r="P479">
        <v>6</v>
      </c>
      <c r="Q479">
        <v>0</v>
      </c>
      <c r="R479">
        <v>1</v>
      </c>
      <c r="S479">
        <v>43</v>
      </c>
      <c r="T479">
        <v>7</v>
      </c>
      <c r="U479">
        <v>88</v>
      </c>
      <c r="V479" s="19" t="s">
        <v>2115</v>
      </c>
      <c r="W479" s="19" t="s">
        <v>2054</v>
      </c>
      <c r="X479">
        <v>158</v>
      </c>
      <c r="Y479">
        <v>145</v>
      </c>
      <c r="Z479">
        <v>52.1</v>
      </c>
      <c r="AA479">
        <v>24</v>
      </c>
      <c r="AB479">
        <v>49</v>
      </c>
      <c r="AC479">
        <v>11</v>
      </c>
      <c r="AD479">
        <v>14</v>
      </c>
      <c r="AE479" s="19" t="s">
        <v>60</v>
      </c>
    </row>
    <row r="480" spans="1:31" x14ac:dyDescent="0.2">
      <c r="A480">
        <v>461</v>
      </c>
      <c r="B480" s="19" t="s">
        <v>898</v>
      </c>
      <c r="C480">
        <v>29</v>
      </c>
      <c r="D480" s="19" t="s">
        <v>373</v>
      </c>
      <c r="E480" s="19" t="s">
        <v>349</v>
      </c>
      <c r="F480">
        <v>41</v>
      </c>
      <c r="G480">
        <v>3</v>
      </c>
      <c r="H480">
        <v>7</v>
      </c>
      <c r="I480">
        <v>10</v>
      </c>
      <c r="J480">
        <v>-4</v>
      </c>
      <c r="K480">
        <v>26</v>
      </c>
      <c r="L480">
        <v>2</v>
      </c>
      <c r="M480">
        <v>1</v>
      </c>
      <c r="N480">
        <v>0</v>
      </c>
      <c r="O480">
        <v>1</v>
      </c>
      <c r="P480">
        <v>6</v>
      </c>
      <c r="Q480">
        <v>1</v>
      </c>
      <c r="R480">
        <v>0</v>
      </c>
      <c r="S480">
        <v>40</v>
      </c>
      <c r="T480">
        <v>7.5</v>
      </c>
      <c r="U480">
        <v>88</v>
      </c>
      <c r="V480" s="19" t="s">
        <v>2844</v>
      </c>
      <c r="W480" s="19" t="s">
        <v>1958</v>
      </c>
      <c r="X480">
        <v>0</v>
      </c>
      <c r="Y480">
        <v>0</v>
      </c>
      <c r="AA480">
        <v>32</v>
      </c>
      <c r="AB480">
        <v>51</v>
      </c>
      <c r="AC480">
        <v>16</v>
      </c>
      <c r="AD480">
        <v>21</v>
      </c>
      <c r="AE480" s="19" t="s">
        <v>60</v>
      </c>
    </row>
    <row r="481" spans="1:31" x14ac:dyDescent="0.2">
      <c r="A481">
        <v>462</v>
      </c>
      <c r="B481" s="19" t="s">
        <v>902</v>
      </c>
      <c r="C481">
        <v>20</v>
      </c>
      <c r="D481" s="19" t="s">
        <v>530</v>
      </c>
      <c r="E481" s="19" t="s">
        <v>325</v>
      </c>
      <c r="F481">
        <v>37</v>
      </c>
      <c r="G481">
        <v>4</v>
      </c>
      <c r="H481">
        <v>6</v>
      </c>
      <c r="I481">
        <v>10</v>
      </c>
      <c r="J481">
        <v>-4</v>
      </c>
      <c r="K481">
        <v>14</v>
      </c>
      <c r="L481">
        <v>3</v>
      </c>
      <c r="M481">
        <v>1</v>
      </c>
      <c r="N481">
        <v>0</v>
      </c>
      <c r="O481">
        <v>1</v>
      </c>
      <c r="P481">
        <v>5</v>
      </c>
      <c r="Q481">
        <v>1</v>
      </c>
      <c r="R481">
        <v>0</v>
      </c>
      <c r="S481">
        <v>42</v>
      </c>
      <c r="T481">
        <v>9.5</v>
      </c>
      <c r="U481">
        <v>90</v>
      </c>
      <c r="V481" s="19" t="s">
        <v>2482</v>
      </c>
      <c r="W481" s="19" t="s">
        <v>886</v>
      </c>
      <c r="X481">
        <v>37</v>
      </c>
      <c r="Y481">
        <v>57</v>
      </c>
      <c r="Z481">
        <v>39.4</v>
      </c>
      <c r="AA481">
        <v>18</v>
      </c>
      <c r="AB481">
        <v>4</v>
      </c>
      <c r="AC481">
        <v>8</v>
      </c>
      <c r="AD481">
        <v>20</v>
      </c>
      <c r="AE481" s="19" t="s">
        <v>60</v>
      </c>
    </row>
    <row r="482" spans="1:31" x14ac:dyDescent="0.2">
      <c r="A482">
        <v>463</v>
      </c>
      <c r="B482" s="19" t="s">
        <v>855</v>
      </c>
      <c r="C482">
        <v>26</v>
      </c>
      <c r="D482" s="19" t="s">
        <v>399</v>
      </c>
      <c r="E482" s="19" t="s">
        <v>322</v>
      </c>
      <c r="F482">
        <v>48</v>
      </c>
      <c r="G482">
        <v>5</v>
      </c>
      <c r="H482">
        <v>5</v>
      </c>
      <c r="I482">
        <v>10</v>
      </c>
      <c r="J482">
        <v>-11</v>
      </c>
      <c r="K482">
        <v>15</v>
      </c>
      <c r="L482">
        <v>5</v>
      </c>
      <c r="M482">
        <v>0</v>
      </c>
      <c r="N482">
        <v>0</v>
      </c>
      <c r="O482">
        <v>1</v>
      </c>
      <c r="P482">
        <v>4</v>
      </c>
      <c r="Q482">
        <v>1</v>
      </c>
      <c r="R482">
        <v>0</v>
      </c>
      <c r="S482">
        <v>43</v>
      </c>
      <c r="T482">
        <v>11.6</v>
      </c>
      <c r="U482">
        <v>97</v>
      </c>
      <c r="V482" s="19" t="s">
        <v>2483</v>
      </c>
      <c r="W482" s="19" t="s">
        <v>1787</v>
      </c>
      <c r="X482">
        <v>31</v>
      </c>
      <c r="Y482">
        <v>28</v>
      </c>
      <c r="Z482">
        <v>52.5</v>
      </c>
      <c r="AA482">
        <v>16</v>
      </c>
      <c r="AB482">
        <v>125</v>
      </c>
      <c r="AC482">
        <v>7</v>
      </c>
      <c r="AD482">
        <v>19</v>
      </c>
      <c r="AE482" s="19" t="s">
        <v>60</v>
      </c>
    </row>
    <row r="483" spans="1:31" x14ac:dyDescent="0.2">
      <c r="A483">
        <v>464</v>
      </c>
      <c r="B483" s="19" t="s">
        <v>1036</v>
      </c>
      <c r="C483">
        <v>25</v>
      </c>
      <c r="D483" s="19" t="s">
        <v>352</v>
      </c>
      <c r="E483" s="19" t="s">
        <v>349</v>
      </c>
      <c r="F483">
        <v>31</v>
      </c>
      <c r="G483">
        <v>1</v>
      </c>
      <c r="H483">
        <v>9</v>
      </c>
      <c r="I483">
        <v>10</v>
      </c>
      <c r="J483">
        <v>8</v>
      </c>
      <c r="K483">
        <v>40</v>
      </c>
      <c r="L483">
        <v>1</v>
      </c>
      <c r="M483">
        <v>0</v>
      </c>
      <c r="N483">
        <v>0</v>
      </c>
      <c r="O483">
        <v>0</v>
      </c>
      <c r="P483">
        <v>8</v>
      </c>
      <c r="Q483">
        <v>0</v>
      </c>
      <c r="R483">
        <v>1</v>
      </c>
      <c r="S483">
        <v>40</v>
      </c>
      <c r="T483">
        <v>2.5</v>
      </c>
      <c r="U483">
        <v>91</v>
      </c>
      <c r="V483" s="19" t="s">
        <v>2484</v>
      </c>
      <c r="W483" s="19" t="s">
        <v>1674</v>
      </c>
      <c r="X483">
        <v>0</v>
      </c>
      <c r="Y483">
        <v>0</v>
      </c>
      <c r="AA483">
        <v>30</v>
      </c>
      <c r="AB483">
        <v>35</v>
      </c>
      <c r="AC483">
        <v>5</v>
      </c>
      <c r="AD483">
        <v>16</v>
      </c>
      <c r="AE483" s="19" t="s">
        <v>60</v>
      </c>
    </row>
    <row r="484" spans="1:31" x14ac:dyDescent="0.2">
      <c r="A484">
        <v>465</v>
      </c>
      <c r="B484" s="19" t="s">
        <v>967</v>
      </c>
      <c r="C484">
        <v>30</v>
      </c>
      <c r="D484" s="19" t="s">
        <v>330</v>
      </c>
      <c r="E484" s="19" t="s">
        <v>322</v>
      </c>
      <c r="F484">
        <v>37</v>
      </c>
      <c r="G484">
        <v>6</v>
      </c>
      <c r="H484">
        <v>4</v>
      </c>
      <c r="I484">
        <v>10</v>
      </c>
      <c r="J484">
        <v>-6</v>
      </c>
      <c r="K484">
        <v>10</v>
      </c>
      <c r="L484">
        <v>5</v>
      </c>
      <c r="M484">
        <v>0</v>
      </c>
      <c r="N484">
        <v>1</v>
      </c>
      <c r="O484">
        <v>1</v>
      </c>
      <c r="P484">
        <v>3</v>
      </c>
      <c r="Q484">
        <v>0</v>
      </c>
      <c r="R484">
        <v>1</v>
      </c>
      <c r="S484">
        <v>48</v>
      </c>
      <c r="T484">
        <v>12.5</v>
      </c>
      <c r="U484">
        <v>97</v>
      </c>
      <c r="V484" s="19" t="s">
        <v>2485</v>
      </c>
      <c r="W484" s="19" t="s">
        <v>1624</v>
      </c>
      <c r="X484">
        <v>276</v>
      </c>
      <c r="Y484">
        <v>279</v>
      </c>
      <c r="Z484">
        <v>49.7</v>
      </c>
      <c r="AA484">
        <v>27</v>
      </c>
      <c r="AB484">
        <v>41</v>
      </c>
      <c r="AC484">
        <v>7</v>
      </c>
      <c r="AD484">
        <v>25</v>
      </c>
      <c r="AE484" s="19" t="s">
        <v>60</v>
      </c>
    </row>
    <row r="485" spans="1:31" x14ac:dyDescent="0.2">
      <c r="A485">
        <v>466</v>
      </c>
      <c r="B485" s="19" t="s">
        <v>862</v>
      </c>
      <c r="C485">
        <v>24</v>
      </c>
      <c r="D485" s="19" t="s">
        <v>530</v>
      </c>
      <c r="E485" s="19" t="s">
        <v>349</v>
      </c>
      <c r="F485">
        <v>35</v>
      </c>
      <c r="G485">
        <v>3</v>
      </c>
      <c r="H485">
        <v>7</v>
      </c>
      <c r="I485">
        <v>10</v>
      </c>
      <c r="J485">
        <v>-1</v>
      </c>
      <c r="K485">
        <v>20</v>
      </c>
      <c r="L485">
        <v>3</v>
      </c>
      <c r="M485">
        <v>0</v>
      </c>
      <c r="N485">
        <v>0</v>
      </c>
      <c r="O485">
        <v>0</v>
      </c>
      <c r="P485">
        <v>6</v>
      </c>
      <c r="Q485">
        <v>1</v>
      </c>
      <c r="R485">
        <v>0</v>
      </c>
      <c r="S485">
        <v>24</v>
      </c>
      <c r="T485">
        <v>12.5</v>
      </c>
      <c r="U485">
        <v>60</v>
      </c>
      <c r="V485" s="19" t="s">
        <v>2486</v>
      </c>
      <c r="W485" s="19" t="s">
        <v>1798</v>
      </c>
      <c r="X485">
        <v>0</v>
      </c>
      <c r="Y485">
        <v>0</v>
      </c>
      <c r="AA485">
        <v>37</v>
      </c>
      <c r="AB485">
        <v>21</v>
      </c>
      <c r="AC485">
        <v>5</v>
      </c>
      <c r="AD485">
        <v>26</v>
      </c>
      <c r="AE485" s="19" t="s">
        <v>60</v>
      </c>
    </row>
    <row r="486" spans="1:31" x14ac:dyDescent="0.2">
      <c r="A486">
        <v>467</v>
      </c>
      <c r="B486" s="19" t="s">
        <v>1107</v>
      </c>
      <c r="C486">
        <v>34</v>
      </c>
      <c r="D486" s="19" t="s">
        <v>357</v>
      </c>
      <c r="E486" s="19" t="s">
        <v>340</v>
      </c>
      <c r="F486">
        <v>43</v>
      </c>
      <c r="G486">
        <v>6</v>
      </c>
      <c r="H486">
        <v>4</v>
      </c>
      <c r="I486">
        <v>10</v>
      </c>
      <c r="J486">
        <v>-12</v>
      </c>
      <c r="K486">
        <v>49</v>
      </c>
      <c r="L486">
        <v>4</v>
      </c>
      <c r="M486">
        <v>2</v>
      </c>
      <c r="N486">
        <v>0</v>
      </c>
      <c r="O486">
        <v>0</v>
      </c>
      <c r="P486">
        <v>4</v>
      </c>
      <c r="Q486">
        <v>0</v>
      </c>
      <c r="R486">
        <v>0</v>
      </c>
      <c r="S486">
        <v>49</v>
      </c>
      <c r="T486">
        <v>12.2</v>
      </c>
      <c r="U486">
        <v>83</v>
      </c>
      <c r="V486" s="19" t="s">
        <v>2112</v>
      </c>
      <c r="W486" s="19" t="s">
        <v>2081</v>
      </c>
      <c r="X486">
        <v>8</v>
      </c>
      <c r="Y486">
        <v>9</v>
      </c>
      <c r="Z486">
        <v>47.1</v>
      </c>
      <c r="AA486">
        <v>37</v>
      </c>
      <c r="AB486">
        <v>136</v>
      </c>
      <c r="AC486">
        <v>7</v>
      </c>
      <c r="AD486">
        <v>22</v>
      </c>
      <c r="AE486" s="19" t="s">
        <v>60</v>
      </c>
    </row>
    <row r="487" spans="1:31" x14ac:dyDescent="0.2">
      <c r="A487">
        <v>468</v>
      </c>
      <c r="B487" s="19" t="s">
        <v>864</v>
      </c>
      <c r="C487">
        <v>38</v>
      </c>
      <c r="D487" s="19" t="s">
        <v>330</v>
      </c>
      <c r="E487" s="19" t="s">
        <v>340</v>
      </c>
      <c r="F487">
        <v>29</v>
      </c>
      <c r="G487">
        <v>2</v>
      </c>
      <c r="H487">
        <v>8</v>
      </c>
      <c r="I487">
        <v>10</v>
      </c>
      <c r="J487">
        <v>1</v>
      </c>
      <c r="K487">
        <v>23</v>
      </c>
      <c r="L487">
        <v>2</v>
      </c>
      <c r="M487">
        <v>0</v>
      </c>
      <c r="N487">
        <v>0</v>
      </c>
      <c r="O487">
        <v>0</v>
      </c>
      <c r="P487">
        <v>5</v>
      </c>
      <c r="Q487">
        <v>2</v>
      </c>
      <c r="R487">
        <v>1</v>
      </c>
      <c r="S487">
        <v>25</v>
      </c>
      <c r="T487">
        <v>8</v>
      </c>
      <c r="U487">
        <v>43</v>
      </c>
      <c r="V487" s="19" t="s">
        <v>2487</v>
      </c>
      <c r="W487" s="19" t="s">
        <v>2488</v>
      </c>
      <c r="X487">
        <v>134</v>
      </c>
      <c r="Y487">
        <v>139</v>
      </c>
      <c r="Z487">
        <v>49.1</v>
      </c>
      <c r="AA487">
        <v>25</v>
      </c>
      <c r="AB487">
        <v>74</v>
      </c>
      <c r="AC487">
        <v>2</v>
      </c>
      <c r="AD487">
        <v>18</v>
      </c>
      <c r="AE487" s="19" t="s">
        <v>60</v>
      </c>
    </row>
    <row r="488" spans="1:31" x14ac:dyDescent="0.2">
      <c r="A488">
        <v>469</v>
      </c>
      <c r="B488" s="19" t="s">
        <v>975</v>
      </c>
      <c r="C488">
        <v>22</v>
      </c>
      <c r="D488" s="19" t="s">
        <v>407</v>
      </c>
      <c r="E488" s="19" t="s">
        <v>335</v>
      </c>
      <c r="F488">
        <v>36</v>
      </c>
      <c r="G488">
        <v>3</v>
      </c>
      <c r="H488">
        <v>7</v>
      </c>
      <c r="I488">
        <v>10</v>
      </c>
      <c r="J488">
        <v>-5</v>
      </c>
      <c r="K488">
        <v>40</v>
      </c>
      <c r="L488">
        <v>3</v>
      </c>
      <c r="M488">
        <v>0</v>
      </c>
      <c r="N488">
        <v>0</v>
      </c>
      <c r="O488">
        <v>0</v>
      </c>
      <c r="P488">
        <v>7</v>
      </c>
      <c r="Q488">
        <v>0</v>
      </c>
      <c r="R488">
        <v>0</v>
      </c>
      <c r="S488">
        <v>21</v>
      </c>
      <c r="T488">
        <v>14.3</v>
      </c>
      <c r="U488">
        <v>47</v>
      </c>
      <c r="V488" s="19" t="s">
        <v>2245</v>
      </c>
      <c r="W488" s="19" t="s">
        <v>2122</v>
      </c>
      <c r="X488">
        <v>4</v>
      </c>
      <c r="Y488">
        <v>1</v>
      </c>
      <c r="Z488">
        <v>80</v>
      </c>
      <c r="AA488">
        <v>9</v>
      </c>
      <c r="AB488">
        <v>61</v>
      </c>
      <c r="AC488">
        <v>8</v>
      </c>
      <c r="AD488">
        <v>25</v>
      </c>
      <c r="AE488" s="19" t="s">
        <v>60</v>
      </c>
    </row>
    <row r="489" spans="1:31" x14ac:dyDescent="0.2">
      <c r="A489">
        <v>470</v>
      </c>
      <c r="B489" s="19" t="s">
        <v>867</v>
      </c>
      <c r="C489">
        <v>35</v>
      </c>
      <c r="D489" s="19" t="s">
        <v>337</v>
      </c>
      <c r="E489" s="19" t="s">
        <v>349</v>
      </c>
      <c r="F489">
        <v>38</v>
      </c>
      <c r="G489">
        <v>1</v>
      </c>
      <c r="H489">
        <v>9</v>
      </c>
      <c r="I489">
        <v>10</v>
      </c>
      <c r="J489">
        <v>-1</v>
      </c>
      <c r="K489">
        <v>26</v>
      </c>
      <c r="L489">
        <v>1</v>
      </c>
      <c r="M489">
        <v>0</v>
      </c>
      <c r="N489">
        <v>0</v>
      </c>
      <c r="O489">
        <v>0</v>
      </c>
      <c r="P489">
        <v>9</v>
      </c>
      <c r="Q489">
        <v>0</v>
      </c>
      <c r="R489">
        <v>0</v>
      </c>
      <c r="S489">
        <v>45</v>
      </c>
      <c r="T489">
        <v>2.2000000000000002</v>
      </c>
      <c r="U489">
        <v>120</v>
      </c>
      <c r="V489" s="19" t="s">
        <v>2489</v>
      </c>
      <c r="W489" s="19" t="s">
        <v>1732</v>
      </c>
      <c r="X489">
        <v>0</v>
      </c>
      <c r="Y489">
        <v>0</v>
      </c>
      <c r="AA489">
        <v>62</v>
      </c>
      <c r="AB489">
        <v>135</v>
      </c>
      <c r="AC489">
        <v>8</v>
      </c>
      <c r="AD489">
        <v>34</v>
      </c>
      <c r="AE489" s="19" t="s">
        <v>60</v>
      </c>
    </row>
    <row r="490" spans="1:31" x14ac:dyDescent="0.2">
      <c r="A490">
        <v>471</v>
      </c>
      <c r="B490" s="19" t="s">
        <v>751</v>
      </c>
      <c r="C490">
        <v>35</v>
      </c>
      <c r="D490" s="19" t="s">
        <v>328</v>
      </c>
      <c r="E490" s="19" t="s">
        <v>322</v>
      </c>
      <c r="F490">
        <v>43</v>
      </c>
      <c r="G490">
        <v>2</v>
      </c>
      <c r="H490">
        <v>8</v>
      </c>
      <c r="I490">
        <v>10</v>
      </c>
      <c r="J490">
        <v>-9</v>
      </c>
      <c r="K490">
        <v>12</v>
      </c>
      <c r="L490">
        <v>2</v>
      </c>
      <c r="M490">
        <v>0</v>
      </c>
      <c r="N490">
        <v>0</v>
      </c>
      <c r="O490">
        <v>0</v>
      </c>
      <c r="P490">
        <v>4</v>
      </c>
      <c r="Q490">
        <v>3</v>
      </c>
      <c r="R490">
        <v>1</v>
      </c>
      <c r="S490">
        <v>63</v>
      </c>
      <c r="T490">
        <v>3.2</v>
      </c>
      <c r="U490">
        <v>114</v>
      </c>
      <c r="V490" s="19" t="s">
        <v>1843</v>
      </c>
      <c r="W490" s="19" t="s">
        <v>1344</v>
      </c>
      <c r="X490">
        <v>235</v>
      </c>
      <c r="Y490">
        <v>194</v>
      </c>
      <c r="Z490">
        <v>54.8</v>
      </c>
      <c r="AA490">
        <v>57</v>
      </c>
      <c r="AB490">
        <v>24</v>
      </c>
      <c r="AC490">
        <v>10</v>
      </c>
      <c r="AD490">
        <v>29</v>
      </c>
      <c r="AE490" s="19" t="s">
        <v>60</v>
      </c>
    </row>
    <row r="491" spans="1:31" x14ac:dyDescent="0.2">
      <c r="A491">
        <v>472</v>
      </c>
      <c r="B491" s="19" t="s">
        <v>784</v>
      </c>
      <c r="C491">
        <v>29</v>
      </c>
      <c r="D491" s="19" t="s">
        <v>359</v>
      </c>
      <c r="E491" s="19" t="s">
        <v>322</v>
      </c>
      <c r="F491">
        <v>36</v>
      </c>
      <c r="G491">
        <v>6</v>
      </c>
      <c r="H491">
        <v>4</v>
      </c>
      <c r="I491">
        <v>10</v>
      </c>
      <c r="J491">
        <v>-2</v>
      </c>
      <c r="K491">
        <v>25</v>
      </c>
      <c r="L491">
        <v>6</v>
      </c>
      <c r="M491">
        <v>0</v>
      </c>
      <c r="N491">
        <v>0</v>
      </c>
      <c r="O491">
        <v>2</v>
      </c>
      <c r="P491">
        <v>4</v>
      </c>
      <c r="Q491">
        <v>0</v>
      </c>
      <c r="R491">
        <v>0</v>
      </c>
      <c r="S491">
        <v>32</v>
      </c>
      <c r="T491">
        <v>18.8</v>
      </c>
      <c r="U491">
        <v>56</v>
      </c>
      <c r="V491" s="19" t="s">
        <v>1708</v>
      </c>
      <c r="W491" s="19" t="s">
        <v>911</v>
      </c>
      <c r="X491">
        <v>2</v>
      </c>
      <c r="Y491">
        <v>12</v>
      </c>
      <c r="Z491">
        <v>14.3</v>
      </c>
      <c r="AA491">
        <v>26</v>
      </c>
      <c r="AB491">
        <v>127</v>
      </c>
      <c r="AC491">
        <v>7</v>
      </c>
      <c r="AD491">
        <v>13</v>
      </c>
      <c r="AE491" s="19" t="s">
        <v>60</v>
      </c>
    </row>
    <row r="492" spans="1:31" x14ac:dyDescent="0.2">
      <c r="A492">
        <v>473</v>
      </c>
      <c r="B492" s="19" t="s">
        <v>916</v>
      </c>
      <c r="C492">
        <v>27</v>
      </c>
      <c r="D492" s="19" t="s">
        <v>346</v>
      </c>
      <c r="E492" s="19" t="s">
        <v>340</v>
      </c>
      <c r="F492">
        <v>35</v>
      </c>
      <c r="G492">
        <v>4</v>
      </c>
      <c r="H492">
        <v>6</v>
      </c>
      <c r="I492">
        <v>10</v>
      </c>
      <c r="J492">
        <v>0</v>
      </c>
      <c r="K492">
        <v>12</v>
      </c>
      <c r="L492">
        <v>4</v>
      </c>
      <c r="M492">
        <v>0</v>
      </c>
      <c r="N492">
        <v>0</v>
      </c>
      <c r="O492">
        <v>1</v>
      </c>
      <c r="P492">
        <v>6</v>
      </c>
      <c r="Q492">
        <v>0</v>
      </c>
      <c r="R492">
        <v>0</v>
      </c>
      <c r="S492">
        <v>42</v>
      </c>
      <c r="T492">
        <v>9.5</v>
      </c>
      <c r="U492">
        <v>78</v>
      </c>
      <c r="V492" s="19" t="s">
        <v>2845</v>
      </c>
      <c r="W492" s="19" t="s">
        <v>2088</v>
      </c>
      <c r="X492">
        <v>0</v>
      </c>
      <c r="Y492">
        <v>0</v>
      </c>
      <c r="AA492">
        <v>6</v>
      </c>
      <c r="AB492">
        <v>111</v>
      </c>
      <c r="AC492">
        <v>7</v>
      </c>
      <c r="AD492">
        <v>13</v>
      </c>
      <c r="AE492" s="19" t="s">
        <v>60</v>
      </c>
    </row>
    <row r="493" spans="1:31" x14ac:dyDescent="0.2">
      <c r="A493">
        <v>474</v>
      </c>
      <c r="B493" s="19" t="s">
        <v>1063</v>
      </c>
      <c r="C493">
        <v>31</v>
      </c>
      <c r="D493" s="19" t="s">
        <v>359</v>
      </c>
      <c r="E493" s="19" t="s">
        <v>322</v>
      </c>
      <c r="F493">
        <v>33</v>
      </c>
      <c r="G493">
        <v>8</v>
      </c>
      <c r="H493">
        <v>2</v>
      </c>
      <c r="I493">
        <v>10</v>
      </c>
      <c r="J493">
        <v>1</v>
      </c>
      <c r="K493">
        <v>10</v>
      </c>
      <c r="L493">
        <v>6</v>
      </c>
      <c r="M493">
        <v>0</v>
      </c>
      <c r="N493">
        <v>2</v>
      </c>
      <c r="O493">
        <v>1</v>
      </c>
      <c r="P493">
        <v>2</v>
      </c>
      <c r="Q493">
        <v>0</v>
      </c>
      <c r="R493">
        <v>0</v>
      </c>
      <c r="S493">
        <v>40</v>
      </c>
      <c r="T493">
        <v>20</v>
      </c>
      <c r="U493">
        <v>69</v>
      </c>
      <c r="V493" s="19" t="s">
        <v>2490</v>
      </c>
      <c r="W493" s="19" t="s">
        <v>503</v>
      </c>
      <c r="X493">
        <v>223</v>
      </c>
      <c r="Y493">
        <v>163</v>
      </c>
      <c r="Z493">
        <v>57.8</v>
      </c>
      <c r="AA493">
        <v>25</v>
      </c>
      <c r="AB493">
        <v>58</v>
      </c>
      <c r="AC493">
        <v>10</v>
      </c>
      <c r="AD493">
        <v>28</v>
      </c>
      <c r="AE493" s="19" t="s">
        <v>60</v>
      </c>
    </row>
    <row r="494" spans="1:31" x14ac:dyDescent="0.2">
      <c r="A494">
        <v>475</v>
      </c>
      <c r="B494" s="19" t="s">
        <v>930</v>
      </c>
      <c r="C494">
        <v>30</v>
      </c>
      <c r="D494" s="19" t="s">
        <v>357</v>
      </c>
      <c r="E494" s="19" t="s">
        <v>349</v>
      </c>
      <c r="F494">
        <v>46</v>
      </c>
      <c r="G494">
        <v>1</v>
      </c>
      <c r="H494">
        <v>9</v>
      </c>
      <c r="I494">
        <v>10</v>
      </c>
      <c r="J494">
        <v>-3</v>
      </c>
      <c r="K494">
        <v>55</v>
      </c>
      <c r="L494">
        <v>1</v>
      </c>
      <c r="M494">
        <v>0</v>
      </c>
      <c r="N494">
        <v>0</v>
      </c>
      <c r="O494">
        <v>0</v>
      </c>
      <c r="P494">
        <v>9</v>
      </c>
      <c r="Q494">
        <v>0</v>
      </c>
      <c r="R494">
        <v>0</v>
      </c>
      <c r="S494">
        <v>38</v>
      </c>
      <c r="T494">
        <v>2.6</v>
      </c>
      <c r="U494">
        <v>91</v>
      </c>
      <c r="V494" s="19" t="s">
        <v>2846</v>
      </c>
      <c r="W494" s="19" t="s">
        <v>1798</v>
      </c>
      <c r="X494">
        <v>0</v>
      </c>
      <c r="Y494">
        <v>0</v>
      </c>
      <c r="AA494">
        <v>64</v>
      </c>
      <c r="AB494">
        <v>63</v>
      </c>
      <c r="AC494">
        <v>5</v>
      </c>
      <c r="AD494">
        <v>29</v>
      </c>
      <c r="AE494" s="19" t="s">
        <v>60</v>
      </c>
    </row>
    <row r="495" spans="1:31" x14ac:dyDescent="0.2">
      <c r="A495">
        <v>476</v>
      </c>
      <c r="B495" s="19" t="s">
        <v>934</v>
      </c>
      <c r="C495">
        <v>34</v>
      </c>
      <c r="D495" s="19" t="s">
        <v>399</v>
      </c>
      <c r="E495" s="19" t="s">
        <v>340</v>
      </c>
      <c r="F495">
        <v>50</v>
      </c>
      <c r="G495">
        <v>4</v>
      </c>
      <c r="H495">
        <v>6</v>
      </c>
      <c r="I495">
        <v>10</v>
      </c>
      <c r="J495">
        <v>-4</v>
      </c>
      <c r="K495">
        <v>10</v>
      </c>
      <c r="L495">
        <v>4</v>
      </c>
      <c r="M495">
        <v>0</v>
      </c>
      <c r="N495">
        <v>0</v>
      </c>
      <c r="O495">
        <v>0</v>
      </c>
      <c r="P495">
        <v>5</v>
      </c>
      <c r="Q495">
        <v>1</v>
      </c>
      <c r="R495">
        <v>0</v>
      </c>
      <c r="S495">
        <v>53</v>
      </c>
      <c r="T495">
        <v>7.5</v>
      </c>
      <c r="U495">
        <v>108</v>
      </c>
      <c r="V495" s="19" t="s">
        <v>2491</v>
      </c>
      <c r="W495" s="19" t="s">
        <v>959</v>
      </c>
      <c r="X495">
        <v>5</v>
      </c>
      <c r="Y495">
        <v>8</v>
      </c>
      <c r="Z495">
        <v>38.5</v>
      </c>
      <c r="AA495">
        <v>40</v>
      </c>
      <c r="AB495">
        <v>88</v>
      </c>
      <c r="AC495">
        <v>7</v>
      </c>
      <c r="AD495">
        <v>26</v>
      </c>
      <c r="AE495" s="19" t="s">
        <v>60</v>
      </c>
    </row>
    <row r="496" spans="1:31" x14ac:dyDescent="0.2">
      <c r="A496">
        <v>477</v>
      </c>
      <c r="B496" s="19" t="s">
        <v>935</v>
      </c>
      <c r="C496">
        <v>33</v>
      </c>
      <c r="D496" s="19" t="s">
        <v>346</v>
      </c>
      <c r="E496" s="19" t="s">
        <v>340</v>
      </c>
      <c r="F496">
        <v>45</v>
      </c>
      <c r="G496">
        <v>7</v>
      </c>
      <c r="H496">
        <v>3</v>
      </c>
      <c r="I496">
        <v>10</v>
      </c>
      <c r="J496">
        <v>4</v>
      </c>
      <c r="K496">
        <v>23</v>
      </c>
      <c r="L496">
        <v>7</v>
      </c>
      <c r="M496">
        <v>0</v>
      </c>
      <c r="N496">
        <v>0</v>
      </c>
      <c r="O496">
        <v>2</v>
      </c>
      <c r="P496">
        <v>3</v>
      </c>
      <c r="Q496">
        <v>0</v>
      </c>
      <c r="R496">
        <v>0</v>
      </c>
      <c r="S496">
        <v>40</v>
      </c>
      <c r="T496">
        <v>17.5</v>
      </c>
      <c r="U496">
        <v>76</v>
      </c>
      <c r="V496" s="19" t="s">
        <v>2847</v>
      </c>
      <c r="W496" s="19" t="s">
        <v>2247</v>
      </c>
      <c r="X496">
        <v>4</v>
      </c>
      <c r="Y496">
        <v>14</v>
      </c>
      <c r="Z496">
        <v>22.2</v>
      </c>
      <c r="AA496">
        <v>23</v>
      </c>
      <c r="AB496">
        <v>60</v>
      </c>
      <c r="AC496">
        <v>5</v>
      </c>
      <c r="AD496">
        <v>23</v>
      </c>
      <c r="AE496" s="19" t="s">
        <v>60</v>
      </c>
    </row>
    <row r="497" spans="1:31" x14ac:dyDescent="0.2">
      <c r="A497">
        <v>478</v>
      </c>
      <c r="B497" s="19" t="s">
        <v>938</v>
      </c>
      <c r="C497">
        <v>29</v>
      </c>
      <c r="D497" s="19" t="s">
        <v>447</v>
      </c>
      <c r="E497" s="19" t="s">
        <v>349</v>
      </c>
      <c r="F497">
        <v>51</v>
      </c>
      <c r="G497">
        <v>1</v>
      </c>
      <c r="H497">
        <v>9</v>
      </c>
      <c r="I497">
        <v>10</v>
      </c>
      <c r="J497">
        <v>-4</v>
      </c>
      <c r="K497">
        <v>54</v>
      </c>
      <c r="L497">
        <v>1</v>
      </c>
      <c r="M497">
        <v>0</v>
      </c>
      <c r="N497">
        <v>0</v>
      </c>
      <c r="O497">
        <v>0</v>
      </c>
      <c r="P497">
        <v>9</v>
      </c>
      <c r="Q497">
        <v>0</v>
      </c>
      <c r="R497">
        <v>0</v>
      </c>
      <c r="S497">
        <v>44</v>
      </c>
      <c r="T497">
        <v>2.2999999999999998</v>
      </c>
      <c r="U497">
        <v>120</v>
      </c>
      <c r="V497" s="19" t="s">
        <v>2492</v>
      </c>
      <c r="W497" s="19" t="s">
        <v>1507</v>
      </c>
      <c r="X497">
        <v>0</v>
      </c>
      <c r="Y497">
        <v>0</v>
      </c>
      <c r="AA497">
        <v>83</v>
      </c>
      <c r="AB497">
        <v>43</v>
      </c>
      <c r="AC497">
        <v>10</v>
      </c>
      <c r="AD497">
        <v>52</v>
      </c>
      <c r="AE497" s="19" t="s">
        <v>60</v>
      </c>
    </row>
    <row r="498" spans="1:31" x14ac:dyDescent="0.2">
      <c r="A498">
        <v>479</v>
      </c>
      <c r="B498" s="19" t="s">
        <v>890</v>
      </c>
      <c r="C498">
        <v>24</v>
      </c>
      <c r="D498" s="19" t="s">
        <v>361</v>
      </c>
      <c r="E498" s="19" t="s">
        <v>349</v>
      </c>
      <c r="F498">
        <v>52</v>
      </c>
      <c r="G498">
        <v>2</v>
      </c>
      <c r="H498">
        <v>8</v>
      </c>
      <c r="I498">
        <v>10</v>
      </c>
      <c r="J498">
        <v>-14</v>
      </c>
      <c r="K498">
        <v>16</v>
      </c>
      <c r="L498">
        <v>2</v>
      </c>
      <c r="M498">
        <v>0</v>
      </c>
      <c r="N498">
        <v>0</v>
      </c>
      <c r="O498">
        <v>0</v>
      </c>
      <c r="P498">
        <v>8</v>
      </c>
      <c r="Q498">
        <v>0</v>
      </c>
      <c r="R498">
        <v>0</v>
      </c>
      <c r="S498">
        <v>65</v>
      </c>
      <c r="T498">
        <v>3.1</v>
      </c>
      <c r="U498">
        <v>160</v>
      </c>
      <c r="V498" s="19" t="s">
        <v>2493</v>
      </c>
      <c r="W498" s="19" t="s">
        <v>1747</v>
      </c>
      <c r="X498">
        <v>0</v>
      </c>
      <c r="Y498">
        <v>0</v>
      </c>
      <c r="AA498">
        <v>83</v>
      </c>
      <c r="AB498">
        <v>115</v>
      </c>
      <c r="AC498">
        <v>16</v>
      </c>
      <c r="AD498">
        <v>55</v>
      </c>
      <c r="AE498" s="19" t="s">
        <v>60</v>
      </c>
    </row>
    <row r="499" spans="1:31" x14ac:dyDescent="0.2">
      <c r="A499">
        <v>480</v>
      </c>
      <c r="B499" s="19" t="s">
        <v>1014</v>
      </c>
      <c r="C499">
        <v>31</v>
      </c>
      <c r="D499" s="19" t="s">
        <v>950</v>
      </c>
      <c r="E499" s="19" t="s">
        <v>349</v>
      </c>
      <c r="F499">
        <v>38</v>
      </c>
      <c r="G499">
        <v>2</v>
      </c>
      <c r="H499">
        <v>8</v>
      </c>
      <c r="I499">
        <v>10</v>
      </c>
      <c r="J499">
        <v>8</v>
      </c>
      <c r="K499">
        <v>16</v>
      </c>
      <c r="L499">
        <v>2</v>
      </c>
      <c r="M499">
        <v>0</v>
      </c>
      <c r="N499">
        <v>0</v>
      </c>
      <c r="O499">
        <v>0</v>
      </c>
      <c r="P499">
        <v>8</v>
      </c>
      <c r="Q499">
        <v>0</v>
      </c>
      <c r="R499">
        <v>0</v>
      </c>
      <c r="S499">
        <v>35</v>
      </c>
      <c r="T499">
        <v>5.7</v>
      </c>
      <c r="U499">
        <v>100</v>
      </c>
      <c r="V499" s="19" t="s">
        <v>2494</v>
      </c>
      <c r="W499" s="19" t="s">
        <v>1736</v>
      </c>
      <c r="X499">
        <v>0</v>
      </c>
      <c r="Y499">
        <v>0</v>
      </c>
      <c r="AA499">
        <v>42</v>
      </c>
      <c r="AB499">
        <v>17</v>
      </c>
      <c r="AC499">
        <v>11</v>
      </c>
      <c r="AD499">
        <v>41</v>
      </c>
      <c r="AE499" s="19" t="s">
        <v>60</v>
      </c>
    </row>
    <row r="500" spans="1:31" x14ac:dyDescent="0.2">
      <c r="A500">
        <v>480</v>
      </c>
      <c r="B500" s="19" t="s">
        <v>1014</v>
      </c>
      <c r="C500">
        <v>31</v>
      </c>
      <c r="D500" s="19" t="s">
        <v>328</v>
      </c>
      <c r="E500" s="19" t="s">
        <v>349</v>
      </c>
      <c r="F500">
        <v>6</v>
      </c>
      <c r="G500">
        <v>0</v>
      </c>
      <c r="H500">
        <v>0</v>
      </c>
      <c r="I500">
        <v>0</v>
      </c>
      <c r="J500">
        <v>0</v>
      </c>
      <c r="K500">
        <v>8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3</v>
      </c>
      <c r="T500">
        <v>0</v>
      </c>
      <c r="U500">
        <v>9</v>
      </c>
      <c r="V500" s="19" t="s">
        <v>1015</v>
      </c>
      <c r="W500" s="19" t="s">
        <v>1016</v>
      </c>
      <c r="X500">
        <v>0</v>
      </c>
      <c r="Y500">
        <v>0</v>
      </c>
      <c r="AA500">
        <v>3</v>
      </c>
      <c r="AB500">
        <v>2</v>
      </c>
      <c r="AC500">
        <v>2</v>
      </c>
      <c r="AD500">
        <v>8</v>
      </c>
      <c r="AE500" s="19" t="s">
        <v>60</v>
      </c>
    </row>
    <row r="501" spans="1:31" x14ac:dyDescent="0.2">
      <c r="A501">
        <v>480</v>
      </c>
      <c r="B501" s="19" t="s">
        <v>1014</v>
      </c>
      <c r="C501">
        <v>31</v>
      </c>
      <c r="D501" s="19" t="s">
        <v>359</v>
      </c>
      <c r="E501" s="19" t="s">
        <v>349</v>
      </c>
      <c r="F501">
        <v>32</v>
      </c>
      <c r="G501">
        <v>2</v>
      </c>
      <c r="H501">
        <v>8</v>
      </c>
      <c r="I501">
        <v>10</v>
      </c>
      <c r="J501">
        <v>8</v>
      </c>
      <c r="K501">
        <v>8</v>
      </c>
      <c r="L501">
        <v>2</v>
      </c>
      <c r="M501">
        <v>0</v>
      </c>
      <c r="N501">
        <v>0</v>
      </c>
      <c r="O501">
        <v>0</v>
      </c>
      <c r="P501">
        <v>8</v>
      </c>
      <c r="Q501">
        <v>0</v>
      </c>
      <c r="R501">
        <v>0</v>
      </c>
      <c r="S501">
        <v>32</v>
      </c>
      <c r="T501">
        <v>6.3</v>
      </c>
      <c r="U501">
        <v>91</v>
      </c>
      <c r="V501" s="19" t="s">
        <v>2495</v>
      </c>
      <c r="W501" s="19" t="s">
        <v>426</v>
      </c>
      <c r="X501">
        <v>0</v>
      </c>
      <c r="Y501">
        <v>0</v>
      </c>
      <c r="AA501">
        <v>39</v>
      </c>
      <c r="AB501">
        <v>15</v>
      </c>
      <c r="AC501">
        <v>9</v>
      </c>
      <c r="AD501">
        <v>33</v>
      </c>
      <c r="AE501" s="19" t="s">
        <v>60</v>
      </c>
    </row>
    <row r="502" spans="1:31" x14ac:dyDescent="0.2">
      <c r="A502">
        <v>481</v>
      </c>
      <c r="B502" s="19" t="s">
        <v>805</v>
      </c>
      <c r="C502">
        <v>26</v>
      </c>
      <c r="D502" s="19" t="s">
        <v>419</v>
      </c>
      <c r="E502" s="19" t="s">
        <v>349</v>
      </c>
      <c r="F502">
        <v>50</v>
      </c>
      <c r="G502">
        <v>2</v>
      </c>
      <c r="H502">
        <v>7</v>
      </c>
      <c r="I502">
        <v>9</v>
      </c>
      <c r="J502">
        <v>3</v>
      </c>
      <c r="K502">
        <v>14</v>
      </c>
      <c r="L502">
        <v>2</v>
      </c>
      <c r="M502">
        <v>0</v>
      </c>
      <c r="N502">
        <v>0</v>
      </c>
      <c r="O502">
        <v>0</v>
      </c>
      <c r="P502">
        <v>7</v>
      </c>
      <c r="Q502">
        <v>0</v>
      </c>
      <c r="R502">
        <v>0</v>
      </c>
      <c r="S502">
        <v>41</v>
      </c>
      <c r="T502">
        <v>4.9000000000000004</v>
      </c>
      <c r="U502">
        <v>110</v>
      </c>
      <c r="V502" s="19" t="s">
        <v>2848</v>
      </c>
      <c r="W502" s="19" t="s">
        <v>2113</v>
      </c>
      <c r="X502">
        <v>0</v>
      </c>
      <c r="Y502">
        <v>0</v>
      </c>
      <c r="AA502">
        <v>76</v>
      </c>
      <c r="AB502">
        <v>55</v>
      </c>
      <c r="AC502">
        <v>8</v>
      </c>
      <c r="AD502">
        <v>38</v>
      </c>
      <c r="AE502" s="19" t="s">
        <v>60</v>
      </c>
    </row>
    <row r="503" spans="1:31" x14ac:dyDescent="0.2">
      <c r="A503">
        <v>482</v>
      </c>
      <c r="B503" s="19" t="s">
        <v>899</v>
      </c>
      <c r="C503">
        <v>24</v>
      </c>
      <c r="D503" s="19" t="s">
        <v>321</v>
      </c>
      <c r="E503" s="19" t="s">
        <v>322</v>
      </c>
      <c r="F503">
        <v>36</v>
      </c>
      <c r="G503">
        <v>1</v>
      </c>
      <c r="H503">
        <v>8</v>
      </c>
      <c r="I503">
        <v>9</v>
      </c>
      <c r="J503">
        <v>7</v>
      </c>
      <c r="K503">
        <v>8</v>
      </c>
      <c r="L503">
        <v>1</v>
      </c>
      <c r="M503">
        <v>0</v>
      </c>
      <c r="N503">
        <v>0</v>
      </c>
      <c r="O503">
        <v>0</v>
      </c>
      <c r="P503">
        <v>8</v>
      </c>
      <c r="Q503">
        <v>0</v>
      </c>
      <c r="R503">
        <v>0</v>
      </c>
      <c r="S503">
        <v>21</v>
      </c>
      <c r="T503">
        <v>4.8</v>
      </c>
      <c r="U503">
        <v>46</v>
      </c>
      <c r="V503" s="19" t="s">
        <v>2496</v>
      </c>
      <c r="W503" s="19" t="s">
        <v>2497</v>
      </c>
      <c r="X503">
        <v>57</v>
      </c>
      <c r="Y503">
        <v>78</v>
      </c>
      <c r="Z503">
        <v>42.2</v>
      </c>
      <c r="AA503">
        <v>18</v>
      </c>
      <c r="AB503">
        <v>32</v>
      </c>
      <c r="AC503">
        <v>5</v>
      </c>
      <c r="AD503">
        <v>17</v>
      </c>
      <c r="AE503" s="19" t="s">
        <v>60</v>
      </c>
    </row>
    <row r="504" spans="1:31" x14ac:dyDescent="0.2">
      <c r="A504">
        <v>483</v>
      </c>
      <c r="B504" s="19" t="s">
        <v>901</v>
      </c>
      <c r="C504">
        <v>32</v>
      </c>
      <c r="D504" s="19" t="s">
        <v>361</v>
      </c>
      <c r="E504" s="19" t="s">
        <v>322</v>
      </c>
      <c r="F504">
        <v>36</v>
      </c>
      <c r="G504">
        <v>4</v>
      </c>
      <c r="H504">
        <v>5</v>
      </c>
      <c r="I504">
        <v>9</v>
      </c>
      <c r="J504">
        <v>-4</v>
      </c>
      <c r="K504">
        <v>8</v>
      </c>
      <c r="L504">
        <v>4</v>
      </c>
      <c r="M504">
        <v>0</v>
      </c>
      <c r="N504">
        <v>0</v>
      </c>
      <c r="O504">
        <v>0</v>
      </c>
      <c r="P504">
        <v>5</v>
      </c>
      <c r="Q504">
        <v>0</v>
      </c>
      <c r="R504">
        <v>0</v>
      </c>
      <c r="S504">
        <v>37</v>
      </c>
      <c r="T504">
        <v>10.8</v>
      </c>
      <c r="U504">
        <v>91</v>
      </c>
      <c r="V504" s="19" t="s">
        <v>2212</v>
      </c>
      <c r="W504" s="19" t="s">
        <v>1874</v>
      </c>
      <c r="X504">
        <v>22</v>
      </c>
      <c r="Y504">
        <v>18</v>
      </c>
      <c r="Z504">
        <v>55</v>
      </c>
      <c r="AA504">
        <v>16</v>
      </c>
      <c r="AB504">
        <v>27</v>
      </c>
      <c r="AC504">
        <v>10</v>
      </c>
      <c r="AD504">
        <v>17</v>
      </c>
      <c r="AE504" s="19" t="s">
        <v>60</v>
      </c>
    </row>
    <row r="505" spans="1:31" x14ac:dyDescent="0.2">
      <c r="A505">
        <v>484</v>
      </c>
      <c r="B505" s="19" t="s">
        <v>852</v>
      </c>
      <c r="C505">
        <v>33</v>
      </c>
      <c r="D505" s="19" t="s">
        <v>361</v>
      </c>
      <c r="E505" s="19" t="s">
        <v>322</v>
      </c>
      <c r="F505">
        <v>52</v>
      </c>
      <c r="G505">
        <v>3</v>
      </c>
      <c r="H505">
        <v>6</v>
      </c>
      <c r="I505">
        <v>9</v>
      </c>
      <c r="J505">
        <v>-1</v>
      </c>
      <c r="K505">
        <v>42</v>
      </c>
      <c r="L505">
        <v>3</v>
      </c>
      <c r="M505">
        <v>0</v>
      </c>
      <c r="N505">
        <v>0</v>
      </c>
      <c r="O505">
        <v>0</v>
      </c>
      <c r="P505">
        <v>5</v>
      </c>
      <c r="Q505">
        <v>0</v>
      </c>
      <c r="R505">
        <v>1</v>
      </c>
      <c r="S505">
        <v>53</v>
      </c>
      <c r="T505">
        <v>5.7</v>
      </c>
      <c r="U505">
        <v>106</v>
      </c>
      <c r="V505" s="19" t="s">
        <v>2498</v>
      </c>
      <c r="W505" s="19" t="s">
        <v>1418</v>
      </c>
      <c r="X505">
        <v>188</v>
      </c>
      <c r="Y505">
        <v>161</v>
      </c>
      <c r="Z505">
        <v>53.9</v>
      </c>
      <c r="AA505">
        <v>26</v>
      </c>
      <c r="AB505">
        <v>75</v>
      </c>
      <c r="AC505">
        <v>10</v>
      </c>
      <c r="AD505">
        <v>20</v>
      </c>
      <c r="AE505" s="19" t="s">
        <v>60</v>
      </c>
    </row>
    <row r="506" spans="1:31" x14ac:dyDescent="0.2">
      <c r="A506">
        <v>485</v>
      </c>
      <c r="B506" s="19" t="s">
        <v>857</v>
      </c>
      <c r="C506">
        <v>23</v>
      </c>
      <c r="D506" s="19" t="s">
        <v>330</v>
      </c>
      <c r="E506" s="19" t="s">
        <v>322</v>
      </c>
      <c r="F506">
        <v>49</v>
      </c>
      <c r="G506">
        <v>3</v>
      </c>
      <c r="H506">
        <v>6</v>
      </c>
      <c r="I506">
        <v>9</v>
      </c>
      <c r="J506">
        <v>-14</v>
      </c>
      <c r="K506">
        <v>45</v>
      </c>
      <c r="L506">
        <v>2</v>
      </c>
      <c r="M506">
        <v>1</v>
      </c>
      <c r="N506">
        <v>0</v>
      </c>
      <c r="O506">
        <v>1</v>
      </c>
      <c r="P506">
        <v>5</v>
      </c>
      <c r="Q506">
        <v>1</v>
      </c>
      <c r="R506">
        <v>0</v>
      </c>
      <c r="S506">
        <v>48</v>
      </c>
      <c r="T506">
        <v>6.3</v>
      </c>
      <c r="U506">
        <v>103</v>
      </c>
      <c r="V506" s="19" t="s">
        <v>2290</v>
      </c>
      <c r="W506" s="19" t="s">
        <v>1456</v>
      </c>
      <c r="X506">
        <v>26</v>
      </c>
      <c r="Y506">
        <v>45</v>
      </c>
      <c r="Z506">
        <v>36.6</v>
      </c>
      <c r="AA506">
        <v>26</v>
      </c>
      <c r="AB506">
        <v>172</v>
      </c>
      <c r="AC506">
        <v>13</v>
      </c>
      <c r="AD506">
        <v>25</v>
      </c>
      <c r="AE506" s="19" t="s">
        <v>60</v>
      </c>
    </row>
    <row r="507" spans="1:31" x14ac:dyDescent="0.2">
      <c r="A507">
        <v>486</v>
      </c>
      <c r="B507" s="19" t="s">
        <v>861</v>
      </c>
      <c r="C507">
        <v>25</v>
      </c>
      <c r="D507" s="19" t="s">
        <v>328</v>
      </c>
      <c r="E507" s="19" t="s">
        <v>349</v>
      </c>
      <c r="F507">
        <v>48</v>
      </c>
      <c r="G507">
        <v>1</v>
      </c>
      <c r="H507">
        <v>8</v>
      </c>
      <c r="I507">
        <v>9</v>
      </c>
      <c r="J507">
        <v>5</v>
      </c>
      <c r="K507">
        <v>12</v>
      </c>
      <c r="L507">
        <v>1</v>
      </c>
      <c r="M507">
        <v>0</v>
      </c>
      <c r="N507">
        <v>0</v>
      </c>
      <c r="O507">
        <v>1</v>
      </c>
      <c r="P507">
        <v>8</v>
      </c>
      <c r="Q507">
        <v>0</v>
      </c>
      <c r="R507">
        <v>0</v>
      </c>
      <c r="S507">
        <v>28</v>
      </c>
      <c r="T507">
        <v>3.6</v>
      </c>
      <c r="U507">
        <v>73</v>
      </c>
      <c r="V507" s="19" t="s">
        <v>2849</v>
      </c>
      <c r="W507" s="19" t="s">
        <v>2011</v>
      </c>
      <c r="X507">
        <v>0</v>
      </c>
      <c r="Y507">
        <v>0</v>
      </c>
      <c r="AA507">
        <v>84</v>
      </c>
      <c r="AB507">
        <v>71</v>
      </c>
      <c r="AC507">
        <v>11</v>
      </c>
      <c r="AD507">
        <v>38</v>
      </c>
      <c r="AE507" s="19" t="s">
        <v>60</v>
      </c>
    </row>
    <row r="508" spans="1:31" x14ac:dyDescent="0.2">
      <c r="A508">
        <v>487</v>
      </c>
      <c r="B508" s="19" t="s">
        <v>1051</v>
      </c>
      <c r="C508">
        <v>32</v>
      </c>
      <c r="D508" s="19" t="s">
        <v>324</v>
      </c>
      <c r="E508" s="19" t="s">
        <v>335</v>
      </c>
      <c r="F508">
        <v>50</v>
      </c>
      <c r="G508">
        <v>4</v>
      </c>
      <c r="H508">
        <v>5</v>
      </c>
      <c r="I508">
        <v>9</v>
      </c>
      <c r="J508">
        <v>-11</v>
      </c>
      <c r="K508">
        <v>28</v>
      </c>
      <c r="L508">
        <v>4</v>
      </c>
      <c r="M508">
        <v>0</v>
      </c>
      <c r="N508">
        <v>0</v>
      </c>
      <c r="O508">
        <v>0</v>
      </c>
      <c r="P508">
        <v>5</v>
      </c>
      <c r="Q508">
        <v>0</v>
      </c>
      <c r="R508">
        <v>0</v>
      </c>
      <c r="S508">
        <v>44</v>
      </c>
      <c r="T508">
        <v>9.1</v>
      </c>
      <c r="U508">
        <v>78</v>
      </c>
      <c r="V508" s="19" t="s">
        <v>2499</v>
      </c>
      <c r="W508" s="19" t="s">
        <v>927</v>
      </c>
      <c r="X508">
        <v>10</v>
      </c>
      <c r="Y508">
        <v>19</v>
      </c>
      <c r="Z508">
        <v>34.5</v>
      </c>
      <c r="AA508">
        <v>39</v>
      </c>
      <c r="AB508">
        <v>75</v>
      </c>
      <c r="AC508">
        <v>7</v>
      </c>
      <c r="AD508">
        <v>22</v>
      </c>
      <c r="AE508" s="19" t="s">
        <v>60</v>
      </c>
    </row>
    <row r="509" spans="1:31" x14ac:dyDescent="0.2">
      <c r="A509">
        <v>488</v>
      </c>
      <c r="B509" s="19" t="s">
        <v>1350</v>
      </c>
      <c r="C509">
        <v>28</v>
      </c>
      <c r="D509" s="19" t="s">
        <v>407</v>
      </c>
      <c r="E509" s="19" t="s">
        <v>335</v>
      </c>
      <c r="F509">
        <v>23</v>
      </c>
      <c r="G509">
        <v>7</v>
      </c>
      <c r="H509">
        <v>2</v>
      </c>
      <c r="I509">
        <v>9</v>
      </c>
      <c r="J509">
        <v>3</v>
      </c>
      <c r="K509">
        <v>8</v>
      </c>
      <c r="L509">
        <v>7</v>
      </c>
      <c r="M509">
        <v>0</v>
      </c>
      <c r="N509">
        <v>0</v>
      </c>
      <c r="O509">
        <v>1</v>
      </c>
      <c r="P509">
        <v>2</v>
      </c>
      <c r="Q509">
        <v>0</v>
      </c>
      <c r="R509">
        <v>0</v>
      </c>
      <c r="S509">
        <v>28</v>
      </c>
      <c r="T509">
        <v>25</v>
      </c>
      <c r="U509">
        <v>54</v>
      </c>
      <c r="V509" s="19" t="s">
        <v>2500</v>
      </c>
      <c r="W509" s="19" t="s">
        <v>1654</v>
      </c>
      <c r="X509">
        <v>2</v>
      </c>
      <c r="Y509">
        <v>2</v>
      </c>
      <c r="Z509">
        <v>50</v>
      </c>
      <c r="AA509">
        <v>13</v>
      </c>
      <c r="AB509">
        <v>70</v>
      </c>
      <c r="AC509">
        <v>4</v>
      </c>
      <c r="AD509">
        <v>10</v>
      </c>
      <c r="AE509" s="19" t="s">
        <v>60</v>
      </c>
    </row>
    <row r="510" spans="1:31" x14ac:dyDescent="0.2">
      <c r="A510">
        <v>489</v>
      </c>
      <c r="B510" s="19" t="s">
        <v>874</v>
      </c>
      <c r="C510">
        <v>26</v>
      </c>
      <c r="D510" s="19" t="s">
        <v>355</v>
      </c>
      <c r="E510" s="19" t="s">
        <v>349</v>
      </c>
      <c r="F510">
        <v>32</v>
      </c>
      <c r="G510">
        <v>0</v>
      </c>
      <c r="H510">
        <v>9</v>
      </c>
      <c r="I510">
        <v>9</v>
      </c>
      <c r="J510">
        <v>3</v>
      </c>
      <c r="K510">
        <v>10</v>
      </c>
      <c r="L510">
        <v>0</v>
      </c>
      <c r="M510">
        <v>0</v>
      </c>
      <c r="N510">
        <v>0</v>
      </c>
      <c r="O510">
        <v>0</v>
      </c>
      <c r="P510">
        <v>7</v>
      </c>
      <c r="Q510">
        <v>2</v>
      </c>
      <c r="R510">
        <v>0</v>
      </c>
      <c r="S510">
        <v>30</v>
      </c>
      <c r="T510">
        <v>0</v>
      </c>
      <c r="U510">
        <v>88</v>
      </c>
      <c r="V510" s="19" t="s">
        <v>2117</v>
      </c>
      <c r="W510" s="19" t="s">
        <v>1614</v>
      </c>
      <c r="X510">
        <v>0</v>
      </c>
      <c r="Y510">
        <v>0</v>
      </c>
      <c r="AA510">
        <v>25</v>
      </c>
      <c r="AB510">
        <v>19</v>
      </c>
      <c r="AC510">
        <v>5</v>
      </c>
      <c r="AD510">
        <v>41</v>
      </c>
      <c r="AE510" s="19" t="s">
        <v>60</v>
      </c>
    </row>
    <row r="511" spans="1:31" x14ac:dyDescent="0.2">
      <c r="A511">
        <v>490</v>
      </c>
      <c r="B511" s="19" t="s">
        <v>1115</v>
      </c>
      <c r="C511">
        <v>29</v>
      </c>
      <c r="D511" s="19" t="s">
        <v>328</v>
      </c>
      <c r="E511" s="19" t="s">
        <v>335</v>
      </c>
      <c r="F511">
        <v>14</v>
      </c>
      <c r="G511">
        <v>3</v>
      </c>
      <c r="H511">
        <v>6</v>
      </c>
      <c r="I511">
        <v>9</v>
      </c>
      <c r="J511">
        <v>3</v>
      </c>
      <c r="K511">
        <v>2</v>
      </c>
      <c r="L511">
        <v>3</v>
      </c>
      <c r="M511">
        <v>0</v>
      </c>
      <c r="N511">
        <v>0</v>
      </c>
      <c r="O511">
        <v>0</v>
      </c>
      <c r="P511">
        <v>6</v>
      </c>
      <c r="Q511">
        <v>0</v>
      </c>
      <c r="R511">
        <v>0</v>
      </c>
      <c r="S511">
        <v>23</v>
      </c>
      <c r="T511">
        <v>13</v>
      </c>
      <c r="U511">
        <v>36</v>
      </c>
      <c r="V511" s="19" t="s">
        <v>2157</v>
      </c>
      <c r="W511" s="19" t="s">
        <v>2149</v>
      </c>
      <c r="X511">
        <v>0</v>
      </c>
      <c r="Y511">
        <v>1</v>
      </c>
      <c r="Z511">
        <v>0</v>
      </c>
      <c r="AA511">
        <v>5</v>
      </c>
      <c r="AB511">
        <v>28</v>
      </c>
      <c r="AC511">
        <v>1</v>
      </c>
      <c r="AD511">
        <v>12</v>
      </c>
      <c r="AE511" s="19" t="s">
        <v>60</v>
      </c>
    </row>
    <row r="512" spans="1:31" x14ac:dyDescent="0.2">
      <c r="A512">
        <v>491</v>
      </c>
      <c r="B512" s="19" t="s">
        <v>1062</v>
      </c>
      <c r="C512">
        <v>23</v>
      </c>
      <c r="D512" s="19" t="s">
        <v>436</v>
      </c>
      <c r="E512" s="19" t="s">
        <v>349</v>
      </c>
      <c r="F512">
        <v>37</v>
      </c>
      <c r="G512">
        <v>4</v>
      </c>
      <c r="H512">
        <v>5</v>
      </c>
      <c r="I512">
        <v>9</v>
      </c>
      <c r="J512">
        <v>-6</v>
      </c>
      <c r="K512">
        <v>26</v>
      </c>
      <c r="L512">
        <v>4</v>
      </c>
      <c r="M512">
        <v>0</v>
      </c>
      <c r="N512">
        <v>0</v>
      </c>
      <c r="O512">
        <v>1</v>
      </c>
      <c r="P512">
        <v>4</v>
      </c>
      <c r="Q512">
        <v>0</v>
      </c>
      <c r="R512">
        <v>1</v>
      </c>
      <c r="S512">
        <v>37</v>
      </c>
      <c r="T512">
        <v>10.8</v>
      </c>
      <c r="U512">
        <v>86</v>
      </c>
      <c r="V512" s="19" t="s">
        <v>2501</v>
      </c>
      <c r="W512" s="19" t="s">
        <v>1757</v>
      </c>
      <c r="X512">
        <v>0</v>
      </c>
      <c r="Y512">
        <v>0</v>
      </c>
      <c r="AA512">
        <v>59</v>
      </c>
      <c r="AB512">
        <v>49</v>
      </c>
      <c r="AC512">
        <v>4</v>
      </c>
      <c r="AD512">
        <v>33</v>
      </c>
      <c r="AE512" s="19" t="s">
        <v>60</v>
      </c>
    </row>
    <row r="513" spans="1:31" x14ac:dyDescent="0.2">
      <c r="A513">
        <v>492</v>
      </c>
      <c r="B513" s="19" t="s">
        <v>996</v>
      </c>
      <c r="C513">
        <v>26</v>
      </c>
      <c r="D513" s="19" t="s">
        <v>324</v>
      </c>
      <c r="E513" s="19" t="s">
        <v>349</v>
      </c>
      <c r="F513">
        <v>38</v>
      </c>
      <c r="G513">
        <v>0</v>
      </c>
      <c r="H513">
        <v>9</v>
      </c>
      <c r="I513">
        <v>9</v>
      </c>
      <c r="J513">
        <v>-7</v>
      </c>
      <c r="K513">
        <v>22</v>
      </c>
      <c r="L513">
        <v>0</v>
      </c>
      <c r="M513">
        <v>0</v>
      </c>
      <c r="N513">
        <v>0</v>
      </c>
      <c r="O513">
        <v>0</v>
      </c>
      <c r="P513">
        <v>7</v>
      </c>
      <c r="Q513">
        <v>2</v>
      </c>
      <c r="R513">
        <v>0</v>
      </c>
      <c r="S513">
        <v>25</v>
      </c>
      <c r="T513">
        <v>0</v>
      </c>
      <c r="U513">
        <v>83</v>
      </c>
      <c r="V513" s="19" t="s">
        <v>2502</v>
      </c>
      <c r="W513" s="19" t="s">
        <v>2083</v>
      </c>
      <c r="X513">
        <v>0</v>
      </c>
      <c r="Y513">
        <v>0</v>
      </c>
      <c r="AA513">
        <v>79</v>
      </c>
      <c r="AB513">
        <v>33</v>
      </c>
      <c r="AC513">
        <v>5</v>
      </c>
      <c r="AD513">
        <v>41</v>
      </c>
      <c r="AE513" s="19" t="s">
        <v>60</v>
      </c>
    </row>
    <row r="514" spans="1:31" x14ac:dyDescent="0.2">
      <c r="A514">
        <v>493</v>
      </c>
      <c r="B514" s="19" t="s">
        <v>928</v>
      </c>
      <c r="C514">
        <v>30</v>
      </c>
      <c r="D514" s="19" t="s">
        <v>459</v>
      </c>
      <c r="E514" s="19" t="s">
        <v>335</v>
      </c>
      <c r="F514">
        <v>50</v>
      </c>
      <c r="G514">
        <v>2</v>
      </c>
      <c r="H514">
        <v>7</v>
      </c>
      <c r="I514">
        <v>9</v>
      </c>
      <c r="J514">
        <v>-13</v>
      </c>
      <c r="K514">
        <v>67</v>
      </c>
      <c r="L514">
        <v>1</v>
      </c>
      <c r="M514">
        <v>0</v>
      </c>
      <c r="N514">
        <v>1</v>
      </c>
      <c r="O514">
        <v>0</v>
      </c>
      <c r="P514">
        <v>7</v>
      </c>
      <c r="Q514">
        <v>0</v>
      </c>
      <c r="R514">
        <v>0</v>
      </c>
      <c r="S514">
        <v>72</v>
      </c>
      <c r="T514">
        <v>2.8</v>
      </c>
      <c r="U514">
        <v>129</v>
      </c>
      <c r="V514" s="19" t="s">
        <v>2850</v>
      </c>
      <c r="W514" s="19" t="s">
        <v>929</v>
      </c>
      <c r="X514">
        <v>374</v>
      </c>
      <c r="Y514">
        <v>322</v>
      </c>
      <c r="Z514">
        <v>53.7</v>
      </c>
      <c r="AA514">
        <v>49</v>
      </c>
      <c r="AB514">
        <v>144</v>
      </c>
      <c r="AC514">
        <v>14</v>
      </c>
      <c r="AD514">
        <v>29</v>
      </c>
      <c r="AE514" s="19" t="s">
        <v>60</v>
      </c>
    </row>
    <row r="515" spans="1:31" x14ac:dyDescent="0.2">
      <c r="A515">
        <v>494</v>
      </c>
      <c r="B515" s="19" t="s">
        <v>1071</v>
      </c>
      <c r="C515">
        <v>32</v>
      </c>
      <c r="D515" s="19" t="s">
        <v>330</v>
      </c>
      <c r="E515" s="19" t="s">
        <v>349</v>
      </c>
      <c r="F515">
        <v>51</v>
      </c>
      <c r="G515">
        <v>2</v>
      </c>
      <c r="H515">
        <v>7</v>
      </c>
      <c r="I515">
        <v>9</v>
      </c>
      <c r="J515">
        <v>-1</v>
      </c>
      <c r="K515">
        <v>44</v>
      </c>
      <c r="L515">
        <v>2</v>
      </c>
      <c r="M515">
        <v>0</v>
      </c>
      <c r="N515">
        <v>0</v>
      </c>
      <c r="O515">
        <v>0</v>
      </c>
      <c r="P515">
        <v>7</v>
      </c>
      <c r="Q515">
        <v>0</v>
      </c>
      <c r="R515">
        <v>0</v>
      </c>
      <c r="S515">
        <v>45</v>
      </c>
      <c r="T515">
        <v>4.4000000000000004</v>
      </c>
      <c r="U515">
        <v>100</v>
      </c>
      <c r="V515" s="19" t="s">
        <v>2503</v>
      </c>
      <c r="W515" s="19" t="s">
        <v>2504</v>
      </c>
      <c r="X515">
        <v>0</v>
      </c>
      <c r="Y515">
        <v>0</v>
      </c>
      <c r="AA515">
        <v>74</v>
      </c>
      <c r="AB515">
        <v>51</v>
      </c>
      <c r="AC515">
        <v>12</v>
      </c>
      <c r="AD515">
        <v>43</v>
      </c>
      <c r="AE515" s="19" t="s">
        <v>60</v>
      </c>
    </row>
    <row r="516" spans="1:31" x14ac:dyDescent="0.2">
      <c r="A516">
        <v>495</v>
      </c>
      <c r="B516" s="19" t="s">
        <v>792</v>
      </c>
      <c r="C516">
        <v>24</v>
      </c>
      <c r="D516" s="19" t="s">
        <v>337</v>
      </c>
      <c r="E516" s="19" t="s">
        <v>322</v>
      </c>
      <c r="F516">
        <v>29</v>
      </c>
      <c r="G516">
        <v>1</v>
      </c>
      <c r="H516">
        <v>8</v>
      </c>
      <c r="I516">
        <v>9</v>
      </c>
      <c r="J516">
        <v>-2</v>
      </c>
      <c r="K516">
        <v>8</v>
      </c>
      <c r="L516">
        <v>1</v>
      </c>
      <c r="M516">
        <v>0</v>
      </c>
      <c r="N516">
        <v>0</v>
      </c>
      <c r="O516">
        <v>1</v>
      </c>
      <c r="P516">
        <v>8</v>
      </c>
      <c r="Q516">
        <v>0</v>
      </c>
      <c r="R516">
        <v>0</v>
      </c>
      <c r="S516">
        <v>31</v>
      </c>
      <c r="T516">
        <v>3.2</v>
      </c>
      <c r="U516">
        <v>69</v>
      </c>
      <c r="V516" s="19" t="s">
        <v>1985</v>
      </c>
      <c r="W516" s="19" t="s">
        <v>952</v>
      </c>
      <c r="X516">
        <v>11</v>
      </c>
      <c r="Y516">
        <v>17</v>
      </c>
      <c r="Z516">
        <v>39.299999999999997</v>
      </c>
      <c r="AA516">
        <v>8</v>
      </c>
      <c r="AB516">
        <v>53</v>
      </c>
      <c r="AC516">
        <v>1</v>
      </c>
      <c r="AD516">
        <v>14</v>
      </c>
      <c r="AE516" s="19" t="s">
        <v>60</v>
      </c>
    </row>
    <row r="517" spans="1:31" x14ac:dyDescent="0.2">
      <c r="A517">
        <v>496</v>
      </c>
      <c r="B517" s="19" t="s">
        <v>1073</v>
      </c>
      <c r="C517">
        <v>23</v>
      </c>
      <c r="D517" s="19" t="s">
        <v>397</v>
      </c>
      <c r="E517" s="19" t="s">
        <v>349</v>
      </c>
      <c r="F517">
        <v>37</v>
      </c>
      <c r="G517">
        <v>1</v>
      </c>
      <c r="H517">
        <v>8</v>
      </c>
      <c r="I517">
        <v>9</v>
      </c>
      <c r="J517">
        <v>5</v>
      </c>
      <c r="K517">
        <v>6</v>
      </c>
      <c r="L517">
        <v>1</v>
      </c>
      <c r="M517">
        <v>0</v>
      </c>
      <c r="N517">
        <v>0</v>
      </c>
      <c r="O517">
        <v>0</v>
      </c>
      <c r="P517">
        <v>8</v>
      </c>
      <c r="Q517">
        <v>0</v>
      </c>
      <c r="R517">
        <v>0</v>
      </c>
      <c r="S517">
        <v>43</v>
      </c>
      <c r="T517">
        <v>2.2999999999999998</v>
      </c>
      <c r="U517">
        <v>121</v>
      </c>
      <c r="V517" s="19" t="s">
        <v>2851</v>
      </c>
      <c r="W517" s="19" t="s">
        <v>2107</v>
      </c>
      <c r="X517">
        <v>0</v>
      </c>
      <c r="Y517">
        <v>0</v>
      </c>
      <c r="AA517">
        <v>21</v>
      </c>
      <c r="AB517">
        <v>9</v>
      </c>
      <c r="AC517">
        <v>5</v>
      </c>
      <c r="AD517">
        <v>31</v>
      </c>
      <c r="AE517" s="19" t="s">
        <v>60</v>
      </c>
    </row>
    <row r="518" spans="1:31" x14ac:dyDescent="0.2">
      <c r="A518">
        <v>497</v>
      </c>
      <c r="B518" s="19" t="s">
        <v>937</v>
      </c>
      <c r="C518">
        <v>27</v>
      </c>
      <c r="D518" s="19" t="s">
        <v>355</v>
      </c>
      <c r="E518" s="19" t="s">
        <v>349</v>
      </c>
      <c r="F518">
        <v>51</v>
      </c>
      <c r="G518">
        <v>4</v>
      </c>
      <c r="H518">
        <v>5</v>
      </c>
      <c r="I518">
        <v>9</v>
      </c>
      <c r="J518">
        <v>-11</v>
      </c>
      <c r="K518">
        <v>18</v>
      </c>
      <c r="L518">
        <v>4</v>
      </c>
      <c r="M518">
        <v>0</v>
      </c>
      <c r="N518">
        <v>0</v>
      </c>
      <c r="O518">
        <v>0</v>
      </c>
      <c r="P518">
        <v>5</v>
      </c>
      <c r="Q518">
        <v>0</v>
      </c>
      <c r="R518">
        <v>0</v>
      </c>
      <c r="S518">
        <v>56</v>
      </c>
      <c r="T518">
        <v>7.1</v>
      </c>
      <c r="U518">
        <v>141</v>
      </c>
      <c r="V518" s="19" t="s">
        <v>2852</v>
      </c>
      <c r="W518" s="19" t="s">
        <v>1944</v>
      </c>
      <c r="X518">
        <v>0</v>
      </c>
      <c r="Y518">
        <v>0</v>
      </c>
      <c r="AA518">
        <v>94</v>
      </c>
      <c r="AB518">
        <v>60</v>
      </c>
      <c r="AC518">
        <v>9</v>
      </c>
      <c r="AD518">
        <v>44</v>
      </c>
      <c r="AE518" s="19" t="s">
        <v>60</v>
      </c>
    </row>
    <row r="519" spans="1:31" x14ac:dyDescent="0.2">
      <c r="A519">
        <v>498</v>
      </c>
      <c r="B519" s="19" t="s">
        <v>794</v>
      </c>
      <c r="C519">
        <v>33</v>
      </c>
      <c r="D519" s="19" t="s">
        <v>334</v>
      </c>
      <c r="E519" s="19" t="s">
        <v>349</v>
      </c>
      <c r="F519">
        <v>46</v>
      </c>
      <c r="G519">
        <v>2</v>
      </c>
      <c r="H519">
        <v>7</v>
      </c>
      <c r="I519">
        <v>9</v>
      </c>
      <c r="J519">
        <v>0</v>
      </c>
      <c r="K519">
        <v>47</v>
      </c>
      <c r="L519">
        <v>2</v>
      </c>
      <c r="M519">
        <v>0</v>
      </c>
      <c r="N519">
        <v>0</v>
      </c>
      <c r="O519">
        <v>0</v>
      </c>
      <c r="P519">
        <v>7</v>
      </c>
      <c r="Q519">
        <v>0</v>
      </c>
      <c r="R519">
        <v>0</v>
      </c>
      <c r="S519">
        <v>50</v>
      </c>
      <c r="T519">
        <v>4</v>
      </c>
      <c r="U519">
        <v>108</v>
      </c>
      <c r="V519" s="19" t="s">
        <v>1931</v>
      </c>
      <c r="W519" s="19" t="s">
        <v>1800</v>
      </c>
      <c r="X519">
        <v>0</v>
      </c>
      <c r="Y519">
        <v>0</v>
      </c>
      <c r="AA519">
        <v>67</v>
      </c>
      <c r="AB519">
        <v>77</v>
      </c>
      <c r="AC519">
        <v>9</v>
      </c>
      <c r="AD519">
        <v>38</v>
      </c>
      <c r="AE519" s="19" t="s">
        <v>60</v>
      </c>
    </row>
    <row r="520" spans="1:31" x14ac:dyDescent="0.2">
      <c r="A520">
        <v>499</v>
      </c>
      <c r="B520" s="19" t="s">
        <v>1136</v>
      </c>
      <c r="C520">
        <v>26</v>
      </c>
      <c r="D520" s="19" t="s">
        <v>324</v>
      </c>
      <c r="E520" s="19" t="s">
        <v>325</v>
      </c>
      <c r="F520">
        <v>13</v>
      </c>
      <c r="G520">
        <v>8</v>
      </c>
      <c r="H520">
        <v>1</v>
      </c>
      <c r="I520">
        <v>9</v>
      </c>
      <c r="J520">
        <v>2</v>
      </c>
      <c r="K520">
        <v>8</v>
      </c>
      <c r="L520">
        <v>4</v>
      </c>
      <c r="M520">
        <v>4</v>
      </c>
      <c r="N520">
        <v>0</v>
      </c>
      <c r="O520">
        <v>2</v>
      </c>
      <c r="P520">
        <v>1</v>
      </c>
      <c r="Q520">
        <v>0</v>
      </c>
      <c r="R520">
        <v>0</v>
      </c>
      <c r="S520">
        <v>31</v>
      </c>
      <c r="T520">
        <v>25.8</v>
      </c>
      <c r="U520">
        <v>47</v>
      </c>
      <c r="V520" s="19" t="s">
        <v>2505</v>
      </c>
      <c r="W520" s="19" t="s">
        <v>1955</v>
      </c>
      <c r="X520">
        <v>7</v>
      </c>
      <c r="Y520">
        <v>4</v>
      </c>
      <c r="Z520">
        <v>63.6</v>
      </c>
      <c r="AA520">
        <v>3</v>
      </c>
      <c r="AB520">
        <v>28</v>
      </c>
      <c r="AC520">
        <v>2</v>
      </c>
      <c r="AD520">
        <v>7</v>
      </c>
      <c r="AE520" s="19" t="s">
        <v>60</v>
      </c>
    </row>
    <row r="521" spans="1:31" x14ac:dyDescent="0.2">
      <c r="A521">
        <v>500</v>
      </c>
      <c r="B521" s="19" t="s">
        <v>1083</v>
      </c>
      <c r="C521">
        <v>24</v>
      </c>
      <c r="D521" s="19" t="s">
        <v>361</v>
      </c>
      <c r="E521" s="19" t="s">
        <v>349</v>
      </c>
      <c r="F521">
        <v>42</v>
      </c>
      <c r="G521">
        <v>3</v>
      </c>
      <c r="H521">
        <v>6</v>
      </c>
      <c r="I521">
        <v>9</v>
      </c>
      <c r="J521">
        <v>-2</v>
      </c>
      <c r="K521">
        <v>28</v>
      </c>
      <c r="L521">
        <v>3</v>
      </c>
      <c r="M521">
        <v>0</v>
      </c>
      <c r="N521">
        <v>0</v>
      </c>
      <c r="O521">
        <v>0</v>
      </c>
      <c r="P521">
        <v>6</v>
      </c>
      <c r="Q521">
        <v>0</v>
      </c>
      <c r="R521">
        <v>0</v>
      </c>
      <c r="S521">
        <v>43</v>
      </c>
      <c r="T521">
        <v>7</v>
      </c>
      <c r="U521">
        <v>122</v>
      </c>
      <c r="V521" s="19" t="s">
        <v>2506</v>
      </c>
      <c r="W521" s="19" t="s">
        <v>2102</v>
      </c>
      <c r="X521">
        <v>0</v>
      </c>
      <c r="Y521">
        <v>0</v>
      </c>
      <c r="AA521">
        <v>51</v>
      </c>
      <c r="AB521">
        <v>66</v>
      </c>
      <c r="AC521">
        <v>2</v>
      </c>
      <c r="AD521">
        <v>27</v>
      </c>
      <c r="AE521" s="19" t="s">
        <v>60</v>
      </c>
    </row>
    <row r="522" spans="1:31" x14ac:dyDescent="0.2">
      <c r="A522">
        <v>501</v>
      </c>
      <c r="B522" s="19" t="s">
        <v>837</v>
      </c>
      <c r="C522">
        <v>33</v>
      </c>
      <c r="D522" s="19" t="s">
        <v>361</v>
      </c>
      <c r="E522" s="19" t="s">
        <v>340</v>
      </c>
      <c r="F522">
        <v>37</v>
      </c>
      <c r="G522">
        <v>1</v>
      </c>
      <c r="H522">
        <v>8</v>
      </c>
      <c r="I522">
        <v>9</v>
      </c>
      <c r="J522">
        <v>-4</v>
      </c>
      <c r="K522">
        <v>8</v>
      </c>
      <c r="L522">
        <v>1</v>
      </c>
      <c r="M522">
        <v>0</v>
      </c>
      <c r="N522">
        <v>0</v>
      </c>
      <c r="O522">
        <v>0</v>
      </c>
      <c r="P522">
        <v>6</v>
      </c>
      <c r="Q522">
        <v>2</v>
      </c>
      <c r="R522">
        <v>0</v>
      </c>
      <c r="S522">
        <v>55</v>
      </c>
      <c r="T522">
        <v>1.8</v>
      </c>
      <c r="U522">
        <v>113</v>
      </c>
      <c r="V522" s="19" t="s">
        <v>1755</v>
      </c>
      <c r="W522" s="19" t="s">
        <v>1676</v>
      </c>
      <c r="X522">
        <v>8</v>
      </c>
      <c r="Y522">
        <v>6</v>
      </c>
      <c r="Z522">
        <v>57.1</v>
      </c>
      <c r="AA522">
        <v>25</v>
      </c>
      <c r="AB522">
        <v>17</v>
      </c>
      <c r="AC522">
        <v>13</v>
      </c>
      <c r="AD522">
        <v>26</v>
      </c>
      <c r="AE522" s="19" t="s">
        <v>60</v>
      </c>
    </row>
    <row r="523" spans="1:31" x14ac:dyDescent="0.2">
      <c r="A523">
        <v>502</v>
      </c>
      <c r="B523" s="19" t="s">
        <v>767</v>
      </c>
      <c r="C523">
        <v>26</v>
      </c>
      <c r="D523" s="19" t="s">
        <v>950</v>
      </c>
      <c r="E523" s="19" t="s">
        <v>349</v>
      </c>
      <c r="F523">
        <v>52</v>
      </c>
      <c r="G523">
        <v>1</v>
      </c>
      <c r="H523">
        <v>8</v>
      </c>
      <c r="I523">
        <v>9</v>
      </c>
      <c r="J523">
        <v>-7</v>
      </c>
      <c r="K523">
        <v>14</v>
      </c>
      <c r="L523">
        <v>1</v>
      </c>
      <c r="M523">
        <v>0</v>
      </c>
      <c r="N523">
        <v>0</v>
      </c>
      <c r="O523">
        <v>0</v>
      </c>
      <c r="P523">
        <v>7</v>
      </c>
      <c r="Q523">
        <v>0</v>
      </c>
      <c r="R523">
        <v>1</v>
      </c>
      <c r="S523">
        <v>51</v>
      </c>
      <c r="T523">
        <v>2</v>
      </c>
      <c r="U523">
        <v>112</v>
      </c>
      <c r="V523" s="19" t="s">
        <v>2853</v>
      </c>
      <c r="W523" s="19" t="s">
        <v>481</v>
      </c>
      <c r="X523">
        <v>0</v>
      </c>
      <c r="Y523">
        <v>0</v>
      </c>
      <c r="AA523">
        <v>53</v>
      </c>
      <c r="AB523">
        <v>13</v>
      </c>
      <c r="AC523">
        <v>16</v>
      </c>
      <c r="AD523">
        <v>54</v>
      </c>
      <c r="AE523" s="19" t="s">
        <v>60</v>
      </c>
    </row>
    <row r="524" spans="1:31" x14ac:dyDescent="0.2">
      <c r="A524">
        <v>502</v>
      </c>
      <c r="B524" s="19" t="s">
        <v>767</v>
      </c>
      <c r="C524">
        <v>26</v>
      </c>
      <c r="D524" s="19" t="s">
        <v>459</v>
      </c>
      <c r="E524" s="19" t="s">
        <v>349</v>
      </c>
      <c r="F524">
        <v>30</v>
      </c>
      <c r="G524">
        <v>1</v>
      </c>
      <c r="H524">
        <v>8</v>
      </c>
      <c r="I524">
        <v>9</v>
      </c>
      <c r="J524">
        <v>-1</v>
      </c>
      <c r="K524">
        <v>10</v>
      </c>
      <c r="L524">
        <v>1</v>
      </c>
      <c r="M524">
        <v>0</v>
      </c>
      <c r="N524">
        <v>0</v>
      </c>
      <c r="O524">
        <v>0</v>
      </c>
      <c r="P524">
        <v>7</v>
      </c>
      <c r="Q524">
        <v>0</v>
      </c>
      <c r="R524">
        <v>1</v>
      </c>
      <c r="S524">
        <v>30</v>
      </c>
      <c r="T524">
        <v>3.3</v>
      </c>
      <c r="U524">
        <v>67</v>
      </c>
      <c r="V524" s="19" t="s">
        <v>1541</v>
      </c>
      <c r="W524" s="19" t="s">
        <v>1333</v>
      </c>
      <c r="X524">
        <v>0</v>
      </c>
      <c r="Y524">
        <v>0</v>
      </c>
      <c r="AA524">
        <v>25</v>
      </c>
      <c r="AB524">
        <v>5</v>
      </c>
      <c r="AC524">
        <v>9</v>
      </c>
      <c r="AD524">
        <v>22</v>
      </c>
      <c r="AE524" s="19" t="s">
        <v>60</v>
      </c>
    </row>
    <row r="525" spans="1:31" x14ac:dyDescent="0.2">
      <c r="A525">
        <v>502</v>
      </c>
      <c r="B525" s="19" t="s">
        <v>767</v>
      </c>
      <c r="C525">
        <v>26</v>
      </c>
      <c r="D525" s="19" t="s">
        <v>328</v>
      </c>
      <c r="E525" s="19" t="s">
        <v>349</v>
      </c>
      <c r="F525">
        <v>22</v>
      </c>
      <c r="G525">
        <v>0</v>
      </c>
      <c r="H525">
        <v>0</v>
      </c>
      <c r="I525">
        <v>0</v>
      </c>
      <c r="J525">
        <v>-6</v>
      </c>
      <c r="K525">
        <v>4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21</v>
      </c>
      <c r="T525">
        <v>0</v>
      </c>
      <c r="U525">
        <v>45</v>
      </c>
      <c r="V525" s="19" t="s">
        <v>2854</v>
      </c>
      <c r="W525" s="19" t="s">
        <v>1953</v>
      </c>
      <c r="X525">
        <v>0</v>
      </c>
      <c r="Y525">
        <v>0</v>
      </c>
      <c r="AA525">
        <v>28</v>
      </c>
      <c r="AB525">
        <v>8</v>
      </c>
      <c r="AC525">
        <v>7</v>
      </c>
      <c r="AD525">
        <v>32</v>
      </c>
      <c r="AE525" s="19" t="s">
        <v>60</v>
      </c>
    </row>
    <row r="526" spans="1:31" x14ac:dyDescent="0.2">
      <c r="A526">
        <v>503</v>
      </c>
      <c r="B526" s="19" t="s">
        <v>1146</v>
      </c>
      <c r="C526">
        <v>30</v>
      </c>
      <c r="D526" s="19" t="s">
        <v>357</v>
      </c>
      <c r="E526" s="19" t="s">
        <v>322</v>
      </c>
      <c r="F526">
        <v>31</v>
      </c>
      <c r="G526">
        <v>3</v>
      </c>
      <c r="H526">
        <v>6</v>
      </c>
      <c r="I526">
        <v>9</v>
      </c>
      <c r="J526">
        <v>-1</v>
      </c>
      <c r="K526">
        <v>8</v>
      </c>
      <c r="L526">
        <v>3</v>
      </c>
      <c r="M526">
        <v>0</v>
      </c>
      <c r="N526">
        <v>0</v>
      </c>
      <c r="O526">
        <v>0</v>
      </c>
      <c r="P526">
        <v>6</v>
      </c>
      <c r="Q526">
        <v>0</v>
      </c>
      <c r="R526">
        <v>0</v>
      </c>
      <c r="S526">
        <v>29</v>
      </c>
      <c r="T526">
        <v>10.3</v>
      </c>
      <c r="U526">
        <v>51</v>
      </c>
      <c r="V526" s="19" t="s">
        <v>2855</v>
      </c>
      <c r="W526" s="19" t="s">
        <v>1686</v>
      </c>
      <c r="X526">
        <v>161</v>
      </c>
      <c r="Y526">
        <v>129</v>
      </c>
      <c r="Z526">
        <v>55.5</v>
      </c>
      <c r="AA526">
        <v>13</v>
      </c>
      <c r="AB526">
        <v>33</v>
      </c>
      <c r="AC526">
        <v>5</v>
      </c>
      <c r="AD526">
        <v>13</v>
      </c>
      <c r="AE526" s="19" t="s">
        <v>60</v>
      </c>
    </row>
    <row r="527" spans="1:31" x14ac:dyDescent="0.2">
      <c r="A527">
        <v>504</v>
      </c>
      <c r="B527" s="19" t="s">
        <v>1018</v>
      </c>
      <c r="C527">
        <v>22</v>
      </c>
      <c r="D527" s="19" t="s">
        <v>459</v>
      </c>
      <c r="E527" s="19" t="s">
        <v>322</v>
      </c>
      <c r="F527">
        <v>48</v>
      </c>
      <c r="G527">
        <v>2</v>
      </c>
      <c r="H527">
        <v>7</v>
      </c>
      <c r="I527">
        <v>9</v>
      </c>
      <c r="J527">
        <v>-7</v>
      </c>
      <c r="K527">
        <v>14</v>
      </c>
      <c r="L527">
        <v>1</v>
      </c>
      <c r="M527">
        <v>0</v>
      </c>
      <c r="N527">
        <v>1</v>
      </c>
      <c r="O527">
        <v>0</v>
      </c>
      <c r="P527">
        <v>7</v>
      </c>
      <c r="Q527">
        <v>0</v>
      </c>
      <c r="R527">
        <v>0</v>
      </c>
      <c r="S527">
        <v>55</v>
      </c>
      <c r="T527">
        <v>3.6</v>
      </c>
      <c r="U527">
        <v>105</v>
      </c>
      <c r="V527" s="19" t="s">
        <v>2291</v>
      </c>
      <c r="W527" s="19" t="s">
        <v>1635</v>
      </c>
      <c r="X527">
        <v>159</v>
      </c>
      <c r="Y527">
        <v>192</v>
      </c>
      <c r="Z527">
        <v>45.3</v>
      </c>
      <c r="AA527">
        <v>20</v>
      </c>
      <c r="AB527">
        <v>40</v>
      </c>
      <c r="AC527">
        <v>9</v>
      </c>
      <c r="AD527">
        <v>27</v>
      </c>
      <c r="AE527" s="19" t="s">
        <v>60</v>
      </c>
    </row>
    <row r="528" spans="1:31" x14ac:dyDescent="0.2">
      <c r="A528">
        <v>505</v>
      </c>
      <c r="B528" s="19" t="s">
        <v>1019</v>
      </c>
      <c r="C528">
        <v>25</v>
      </c>
      <c r="D528" s="19" t="s">
        <v>513</v>
      </c>
      <c r="E528" s="19" t="s">
        <v>349</v>
      </c>
      <c r="F528">
        <v>47</v>
      </c>
      <c r="G528">
        <v>2</v>
      </c>
      <c r="H528">
        <v>7</v>
      </c>
      <c r="I528">
        <v>9</v>
      </c>
      <c r="J528">
        <v>-9</v>
      </c>
      <c r="K528">
        <v>49</v>
      </c>
      <c r="L528">
        <v>2</v>
      </c>
      <c r="M528">
        <v>0</v>
      </c>
      <c r="N528">
        <v>0</v>
      </c>
      <c r="O528">
        <v>0</v>
      </c>
      <c r="P528">
        <v>7</v>
      </c>
      <c r="Q528">
        <v>0</v>
      </c>
      <c r="R528">
        <v>0</v>
      </c>
      <c r="S528">
        <v>50</v>
      </c>
      <c r="T528">
        <v>4</v>
      </c>
      <c r="U528">
        <v>110</v>
      </c>
      <c r="V528" s="19" t="s">
        <v>2856</v>
      </c>
      <c r="W528" s="19" t="s">
        <v>877</v>
      </c>
      <c r="X528">
        <v>0</v>
      </c>
      <c r="Y528">
        <v>0</v>
      </c>
      <c r="AA528">
        <v>34</v>
      </c>
      <c r="AB528">
        <v>69</v>
      </c>
      <c r="AC528">
        <v>7</v>
      </c>
      <c r="AD528">
        <v>39</v>
      </c>
      <c r="AE528" s="19" t="s">
        <v>60</v>
      </c>
    </row>
    <row r="529" spans="1:31" x14ac:dyDescent="0.2">
      <c r="A529">
        <v>506</v>
      </c>
      <c r="B529" s="19" t="s">
        <v>958</v>
      </c>
      <c r="C529">
        <v>25</v>
      </c>
      <c r="D529" s="19" t="s">
        <v>334</v>
      </c>
      <c r="E529" s="19" t="s">
        <v>322</v>
      </c>
      <c r="F529">
        <v>42</v>
      </c>
      <c r="G529">
        <v>4</v>
      </c>
      <c r="H529">
        <v>4</v>
      </c>
      <c r="I529">
        <v>8</v>
      </c>
      <c r="J529">
        <v>6</v>
      </c>
      <c r="K529">
        <v>6</v>
      </c>
      <c r="L529">
        <v>3</v>
      </c>
      <c r="M529">
        <v>0</v>
      </c>
      <c r="N529">
        <v>1</v>
      </c>
      <c r="O529">
        <v>1</v>
      </c>
      <c r="P529">
        <v>4</v>
      </c>
      <c r="Q529">
        <v>0</v>
      </c>
      <c r="R529">
        <v>0</v>
      </c>
      <c r="S529">
        <v>24</v>
      </c>
      <c r="T529">
        <v>16.7</v>
      </c>
      <c r="U529">
        <v>47</v>
      </c>
      <c r="V529" s="19" t="s">
        <v>2507</v>
      </c>
      <c r="W529" s="19" t="s">
        <v>1993</v>
      </c>
      <c r="X529">
        <v>12</v>
      </c>
      <c r="Y529">
        <v>14</v>
      </c>
      <c r="Z529">
        <v>46.2</v>
      </c>
      <c r="AA529">
        <v>22</v>
      </c>
      <c r="AB529">
        <v>17</v>
      </c>
      <c r="AC529">
        <v>8</v>
      </c>
      <c r="AD529">
        <v>28</v>
      </c>
      <c r="AE529" s="19" t="s">
        <v>60</v>
      </c>
    </row>
    <row r="530" spans="1:31" x14ac:dyDescent="0.2">
      <c r="A530">
        <v>507</v>
      </c>
      <c r="B530" s="19" t="s">
        <v>1640</v>
      </c>
      <c r="C530">
        <v>20</v>
      </c>
      <c r="D530" s="19" t="s">
        <v>407</v>
      </c>
      <c r="E530" s="19" t="s">
        <v>322</v>
      </c>
      <c r="F530">
        <v>16</v>
      </c>
      <c r="G530">
        <v>2</v>
      </c>
      <c r="H530">
        <v>6</v>
      </c>
      <c r="I530">
        <v>8</v>
      </c>
      <c r="J530">
        <v>-2</v>
      </c>
      <c r="K530">
        <v>8</v>
      </c>
      <c r="L530">
        <v>1</v>
      </c>
      <c r="M530">
        <v>1</v>
      </c>
      <c r="N530">
        <v>0</v>
      </c>
      <c r="O530">
        <v>0</v>
      </c>
      <c r="P530">
        <v>5</v>
      </c>
      <c r="Q530">
        <v>1</v>
      </c>
      <c r="R530">
        <v>0</v>
      </c>
      <c r="S530">
        <v>19</v>
      </c>
      <c r="T530">
        <v>10.5</v>
      </c>
      <c r="U530">
        <v>35</v>
      </c>
      <c r="V530" s="19" t="s">
        <v>2508</v>
      </c>
      <c r="W530" s="19" t="s">
        <v>1664</v>
      </c>
      <c r="X530">
        <v>2</v>
      </c>
      <c r="Y530">
        <v>5</v>
      </c>
      <c r="Z530">
        <v>28.6</v>
      </c>
      <c r="AA530">
        <v>10</v>
      </c>
      <c r="AB530">
        <v>11</v>
      </c>
      <c r="AC530">
        <v>0</v>
      </c>
      <c r="AD530">
        <v>8</v>
      </c>
      <c r="AE530" s="19" t="s">
        <v>60</v>
      </c>
    </row>
    <row r="531" spans="1:31" x14ac:dyDescent="0.2">
      <c r="A531">
        <v>508</v>
      </c>
      <c r="B531" s="19" t="s">
        <v>854</v>
      </c>
      <c r="C531">
        <v>32</v>
      </c>
      <c r="D531" s="19" t="s">
        <v>419</v>
      </c>
      <c r="E531" s="19" t="s">
        <v>349</v>
      </c>
      <c r="F531">
        <v>50</v>
      </c>
      <c r="G531">
        <v>1</v>
      </c>
      <c r="H531">
        <v>7</v>
      </c>
      <c r="I531">
        <v>8</v>
      </c>
      <c r="J531">
        <v>-2</v>
      </c>
      <c r="K531">
        <v>8</v>
      </c>
      <c r="L531">
        <v>1</v>
      </c>
      <c r="M531">
        <v>0</v>
      </c>
      <c r="N531">
        <v>0</v>
      </c>
      <c r="O531">
        <v>0</v>
      </c>
      <c r="P531">
        <v>6</v>
      </c>
      <c r="Q531">
        <v>0</v>
      </c>
      <c r="R531">
        <v>1</v>
      </c>
      <c r="S531">
        <v>38</v>
      </c>
      <c r="T531">
        <v>2.6</v>
      </c>
      <c r="U531">
        <v>117</v>
      </c>
      <c r="V531" s="19" t="s">
        <v>2857</v>
      </c>
      <c r="W531" s="19" t="s">
        <v>875</v>
      </c>
      <c r="X531">
        <v>0</v>
      </c>
      <c r="Y531">
        <v>0</v>
      </c>
      <c r="AA531">
        <v>59</v>
      </c>
      <c r="AB531">
        <v>20</v>
      </c>
      <c r="AC531">
        <v>11</v>
      </c>
      <c r="AD531">
        <v>40</v>
      </c>
      <c r="AE531" s="19" t="s">
        <v>60</v>
      </c>
    </row>
    <row r="532" spans="1:31" x14ac:dyDescent="0.2">
      <c r="A532">
        <v>509</v>
      </c>
      <c r="B532" s="19" t="s">
        <v>860</v>
      </c>
      <c r="C532">
        <v>36</v>
      </c>
      <c r="D532" s="19" t="s">
        <v>416</v>
      </c>
      <c r="E532" s="19" t="s">
        <v>322</v>
      </c>
      <c r="F532">
        <v>37</v>
      </c>
      <c r="G532">
        <v>2</v>
      </c>
      <c r="H532">
        <v>6</v>
      </c>
      <c r="I532">
        <v>8</v>
      </c>
      <c r="J532">
        <v>-2</v>
      </c>
      <c r="K532">
        <v>6</v>
      </c>
      <c r="L532">
        <v>1</v>
      </c>
      <c r="M532">
        <v>0</v>
      </c>
      <c r="N532">
        <v>1</v>
      </c>
      <c r="O532">
        <v>0</v>
      </c>
      <c r="P532">
        <v>6</v>
      </c>
      <c r="Q532">
        <v>0</v>
      </c>
      <c r="R532">
        <v>0</v>
      </c>
      <c r="S532">
        <v>34</v>
      </c>
      <c r="T532">
        <v>5.9</v>
      </c>
      <c r="U532">
        <v>74</v>
      </c>
      <c r="V532" s="19" t="s">
        <v>2858</v>
      </c>
      <c r="W532" s="19" t="s">
        <v>884</v>
      </c>
      <c r="X532">
        <v>191</v>
      </c>
      <c r="Y532">
        <v>133</v>
      </c>
      <c r="Z532">
        <v>59</v>
      </c>
      <c r="AA532">
        <v>21</v>
      </c>
      <c r="AB532">
        <v>28</v>
      </c>
      <c r="AC532">
        <v>4</v>
      </c>
      <c r="AD532">
        <v>18</v>
      </c>
      <c r="AE532" s="19" t="s">
        <v>60</v>
      </c>
    </row>
    <row r="533" spans="1:31" x14ac:dyDescent="0.2">
      <c r="A533">
        <v>510</v>
      </c>
      <c r="B533" s="19" t="s">
        <v>863</v>
      </c>
      <c r="C533">
        <v>29</v>
      </c>
      <c r="D533" s="19" t="s">
        <v>419</v>
      </c>
      <c r="E533" s="19" t="s">
        <v>340</v>
      </c>
      <c r="F533">
        <v>41</v>
      </c>
      <c r="G533">
        <v>6</v>
      </c>
      <c r="H533">
        <v>2</v>
      </c>
      <c r="I533">
        <v>8</v>
      </c>
      <c r="J533">
        <v>-3</v>
      </c>
      <c r="K533">
        <v>14</v>
      </c>
      <c r="L533">
        <v>6</v>
      </c>
      <c r="M533">
        <v>0</v>
      </c>
      <c r="N533">
        <v>0</v>
      </c>
      <c r="O533">
        <v>1</v>
      </c>
      <c r="P533">
        <v>2</v>
      </c>
      <c r="Q533">
        <v>0</v>
      </c>
      <c r="R533">
        <v>0</v>
      </c>
      <c r="S533">
        <v>66</v>
      </c>
      <c r="T533">
        <v>9.1</v>
      </c>
      <c r="U533">
        <v>141</v>
      </c>
      <c r="V533" s="19" t="s">
        <v>2213</v>
      </c>
      <c r="W533" s="19" t="s">
        <v>1995</v>
      </c>
      <c r="X533">
        <v>7</v>
      </c>
      <c r="Y533">
        <v>14</v>
      </c>
      <c r="Z533">
        <v>33.299999999999997</v>
      </c>
      <c r="AA533">
        <v>9</v>
      </c>
      <c r="AB533">
        <v>44</v>
      </c>
      <c r="AC533">
        <v>11</v>
      </c>
      <c r="AD533">
        <v>46</v>
      </c>
      <c r="AE533" s="19" t="s">
        <v>60</v>
      </c>
    </row>
    <row r="534" spans="1:31" x14ac:dyDescent="0.2">
      <c r="A534">
        <v>511</v>
      </c>
      <c r="B534" s="19" t="s">
        <v>909</v>
      </c>
      <c r="C534">
        <v>31</v>
      </c>
      <c r="D534" s="19" t="s">
        <v>357</v>
      </c>
      <c r="E534" s="19" t="s">
        <v>322</v>
      </c>
      <c r="F534">
        <v>39</v>
      </c>
      <c r="G534">
        <v>2</v>
      </c>
      <c r="H534">
        <v>6</v>
      </c>
      <c r="I534">
        <v>8</v>
      </c>
      <c r="J534">
        <v>-7</v>
      </c>
      <c r="K534">
        <v>6</v>
      </c>
      <c r="L534">
        <v>2</v>
      </c>
      <c r="M534">
        <v>0</v>
      </c>
      <c r="N534">
        <v>0</v>
      </c>
      <c r="O534">
        <v>1</v>
      </c>
      <c r="P534">
        <v>4</v>
      </c>
      <c r="Q534">
        <v>2</v>
      </c>
      <c r="R534">
        <v>0</v>
      </c>
      <c r="S534">
        <v>37</v>
      </c>
      <c r="T534">
        <v>5.4</v>
      </c>
      <c r="U534">
        <v>83</v>
      </c>
      <c r="V534" s="19" t="s">
        <v>2859</v>
      </c>
      <c r="W534" s="19" t="s">
        <v>1248</v>
      </c>
      <c r="X534">
        <v>18</v>
      </c>
      <c r="Y534">
        <v>17</v>
      </c>
      <c r="Z534">
        <v>51.4</v>
      </c>
      <c r="AA534">
        <v>13</v>
      </c>
      <c r="AB534">
        <v>25</v>
      </c>
      <c r="AC534">
        <v>13</v>
      </c>
      <c r="AD534">
        <v>32</v>
      </c>
      <c r="AE534" s="19" t="s">
        <v>60</v>
      </c>
    </row>
    <row r="535" spans="1:31" x14ac:dyDescent="0.2">
      <c r="A535">
        <v>512</v>
      </c>
      <c r="B535" s="19" t="s">
        <v>912</v>
      </c>
      <c r="C535">
        <v>33</v>
      </c>
      <c r="D535" s="19" t="s">
        <v>328</v>
      </c>
      <c r="E535" s="19" t="s">
        <v>322</v>
      </c>
      <c r="F535">
        <v>37</v>
      </c>
      <c r="G535">
        <v>1</v>
      </c>
      <c r="H535">
        <v>7</v>
      </c>
      <c r="I535">
        <v>8</v>
      </c>
      <c r="J535">
        <v>-5</v>
      </c>
      <c r="K535">
        <v>18</v>
      </c>
      <c r="L535">
        <v>1</v>
      </c>
      <c r="M535">
        <v>0</v>
      </c>
      <c r="N535">
        <v>0</v>
      </c>
      <c r="O535">
        <v>0</v>
      </c>
      <c r="P535">
        <v>6</v>
      </c>
      <c r="Q535">
        <v>0</v>
      </c>
      <c r="R535">
        <v>1</v>
      </c>
      <c r="S535">
        <v>24</v>
      </c>
      <c r="T535">
        <v>4.2</v>
      </c>
      <c r="U535">
        <v>51</v>
      </c>
      <c r="V535" s="19" t="s">
        <v>2860</v>
      </c>
      <c r="W535" s="19" t="s">
        <v>986</v>
      </c>
      <c r="X535">
        <v>7</v>
      </c>
      <c r="Y535">
        <v>12</v>
      </c>
      <c r="Z535">
        <v>36.799999999999997</v>
      </c>
      <c r="AA535">
        <v>12</v>
      </c>
      <c r="AB535">
        <v>10</v>
      </c>
      <c r="AC535">
        <v>5</v>
      </c>
      <c r="AD535">
        <v>12</v>
      </c>
      <c r="AE535" s="19" t="s">
        <v>60</v>
      </c>
    </row>
    <row r="536" spans="1:31" x14ac:dyDescent="0.2">
      <c r="A536">
        <v>513</v>
      </c>
      <c r="B536" s="19" t="s">
        <v>1056</v>
      </c>
      <c r="C536">
        <v>28</v>
      </c>
      <c r="D536" s="19" t="s">
        <v>407</v>
      </c>
      <c r="E536" s="19" t="s">
        <v>349</v>
      </c>
      <c r="F536">
        <v>37</v>
      </c>
      <c r="G536">
        <v>1</v>
      </c>
      <c r="H536">
        <v>7</v>
      </c>
      <c r="I536">
        <v>8</v>
      </c>
      <c r="J536">
        <v>4</v>
      </c>
      <c r="K536">
        <v>15</v>
      </c>
      <c r="L536">
        <v>1</v>
      </c>
      <c r="M536">
        <v>0</v>
      </c>
      <c r="N536">
        <v>0</v>
      </c>
      <c r="O536">
        <v>0</v>
      </c>
      <c r="P536">
        <v>7</v>
      </c>
      <c r="Q536">
        <v>0</v>
      </c>
      <c r="R536">
        <v>0</v>
      </c>
      <c r="S536">
        <v>20</v>
      </c>
      <c r="T536">
        <v>5</v>
      </c>
      <c r="U536">
        <v>62</v>
      </c>
      <c r="V536" s="19" t="s">
        <v>2509</v>
      </c>
      <c r="W536" s="19" t="s">
        <v>1751</v>
      </c>
      <c r="X536">
        <v>0</v>
      </c>
      <c r="Y536">
        <v>0</v>
      </c>
      <c r="AA536">
        <v>29</v>
      </c>
      <c r="AB536">
        <v>78</v>
      </c>
      <c r="AC536">
        <v>6</v>
      </c>
      <c r="AD536">
        <v>36</v>
      </c>
      <c r="AE536" s="19" t="s">
        <v>60</v>
      </c>
    </row>
    <row r="537" spans="1:31" x14ac:dyDescent="0.2">
      <c r="A537">
        <v>514</v>
      </c>
      <c r="B537" s="19" t="s">
        <v>917</v>
      </c>
      <c r="C537">
        <v>25</v>
      </c>
      <c r="D537" s="19" t="s">
        <v>397</v>
      </c>
      <c r="E537" s="19" t="s">
        <v>322</v>
      </c>
      <c r="F537">
        <v>31</v>
      </c>
      <c r="G537">
        <v>2</v>
      </c>
      <c r="H537">
        <v>6</v>
      </c>
      <c r="I537">
        <v>8</v>
      </c>
      <c r="J537">
        <v>2</v>
      </c>
      <c r="K537">
        <v>8</v>
      </c>
      <c r="L537">
        <v>2</v>
      </c>
      <c r="M537">
        <v>0</v>
      </c>
      <c r="N537">
        <v>0</v>
      </c>
      <c r="O537">
        <v>0</v>
      </c>
      <c r="P537">
        <v>6</v>
      </c>
      <c r="Q537">
        <v>0</v>
      </c>
      <c r="R537">
        <v>0</v>
      </c>
      <c r="S537">
        <v>35</v>
      </c>
      <c r="T537">
        <v>5.7</v>
      </c>
      <c r="U537">
        <v>62</v>
      </c>
      <c r="V537" s="19" t="s">
        <v>2861</v>
      </c>
      <c r="W537" s="19" t="s">
        <v>1992</v>
      </c>
      <c r="X537">
        <v>96</v>
      </c>
      <c r="Y537">
        <v>103</v>
      </c>
      <c r="Z537">
        <v>48.2</v>
      </c>
      <c r="AA537">
        <v>13</v>
      </c>
      <c r="AB537">
        <v>51</v>
      </c>
      <c r="AC537">
        <v>2</v>
      </c>
      <c r="AD537">
        <v>21</v>
      </c>
      <c r="AE537" s="19" t="s">
        <v>60</v>
      </c>
    </row>
    <row r="538" spans="1:31" x14ac:dyDescent="0.2">
      <c r="A538">
        <v>515</v>
      </c>
      <c r="B538" s="19" t="s">
        <v>921</v>
      </c>
      <c r="C538">
        <v>23</v>
      </c>
      <c r="D538" s="19" t="s">
        <v>366</v>
      </c>
      <c r="E538" s="19" t="s">
        <v>322</v>
      </c>
      <c r="F538">
        <v>50</v>
      </c>
      <c r="G538">
        <v>1</v>
      </c>
      <c r="H538">
        <v>7</v>
      </c>
      <c r="I538">
        <v>8</v>
      </c>
      <c r="J538">
        <v>2</v>
      </c>
      <c r="K538">
        <v>12</v>
      </c>
      <c r="L538">
        <v>1</v>
      </c>
      <c r="M538">
        <v>0</v>
      </c>
      <c r="N538">
        <v>0</v>
      </c>
      <c r="O538">
        <v>0</v>
      </c>
      <c r="P538">
        <v>7</v>
      </c>
      <c r="Q538">
        <v>0</v>
      </c>
      <c r="R538">
        <v>0</v>
      </c>
      <c r="S538">
        <v>37</v>
      </c>
      <c r="T538">
        <v>2.7</v>
      </c>
      <c r="U538">
        <v>71</v>
      </c>
      <c r="V538" s="19" t="s">
        <v>2043</v>
      </c>
      <c r="W538" s="19" t="s">
        <v>2089</v>
      </c>
      <c r="X538">
        <v>76</v>
      </c>
      <c r="Y538">
        <v>116</v>
      </c>
      <c r="Z538">
        <v>39.6</v>
      </c>
      <c r="AA538">
        <v>14</v>
      </c>
      <c r="AB538">
        <v>27</v>
      </c>
      <c r="AC538">
        <v>5</v>
      </c>
      <c r="AD538">
        <v>21</v>
      </c>
      <c r="AE538" s="19" t="s">
        <v>60</v>
      </c>
    </row>
    <row r="539" spans="1:31" x14ac:dyDescent="0.2">
      <c r="A539">
        <v>516</v>
      </c>
      <c r="B539" s="19" t="s">
        <v>994</v>
      </c>
      <c r="C539">
        <v>28</v>
      </c>
      <c r="D539" s="19" t="s">
        <v>344</v>
      </c>
      <c r="E539" s="19" t="s">
        <v>349</v>
      </c>
      <c r="F539">
        <v>36</v>
      </c>
      <c r="G539">
        <v>0</v>
      </c>
      <c r="H539">
        <v>8</v>
      </c>
      <c r="I539">
        <v>8</v>
      </c>
      <c r="J539">
        <v>7</v>
      </c>
      <c r="K539">
        <v>46</v>
      </c>
      <c r="L539">
        <v>0</v>
      </c>
      <c r="M539">
        <v>0</v>
      </c>
      <c r="N539">
        <v>0</v>
      </c>
      <c r="O539">
        <v>0</v>
      </c>
      <c r="P539">
        <v>8</v>
      </c>
      <c r="Q539">
        <v>0</v>
      </c>
      <c r="R539">
        <v>0</v>
      </c>
      <c r="S539">
        <v>35</v>
      </c>
      <c r="T539">
        <v>0</v>
      </c>
      <c r="U539">
        <v>98</v>
      </c>
      <c r="V539" s="19" t="s">
        <v>2510</v>
      </c>
      <c r="W539" s="19" t="s">
        <v>1730</v>
      </c>
      <c r="X539">
        <v>0</v>
      </c>
      <c r="Y539">
        <v>0</v>
      </c>
      <c r="AA539">
        <v>59</v>
      </c>
      <c r="AB539">
        <v>134</v>
      </c>
      <c r="AC539">
        <v>7</v>
      </c>
      <c r="AD539">
        <v>24</v>
      </c>
      <c r="AE539" s="19" t="s">
        <v>60</v>
      </c>
    </row>
    <row r="540" spans="1:31" x14ac:dyDescent="0.2">
      <c r="A540">
        <v>517</v>
      </c>
      <c r="B540" s="19" t="s">
        <v>1065</v>
      </c>
      <c r="C540">
        <v>27</v>
      </c>
      <c r="D540" s="19" t="s">
        <v>530</v>
      </c>
      <c r="E540" s="19" t="s">
        <v>349</v>
      </c>
      <c r="F540">
        <v>50</v>
      </c>
      <c r="G540">
        <v>2</v>
      </c>
      <c r="H540">
        <v>6</v>
      </c>
      <c r="I540">
        <v>8</v>
      </c>
      <c r="J540">
        <v>11</v>
      </c>
      <c r="K540">
        <v>49</v>
      </c>
      <c r="L540">
        <v>2</v>
      </c>
      <c r="M540">
        <v>0</v>
      </c>
      <c r="N540">
        <v>0</v>
      </c>
      <c r="O540">
        <v>1</v>
      </c>
      <c r="P540">
        <v>5</v>
      </c>
      <c r="Q540">
        <v>0</v>
      </c>
      <c r="R540">
        <v>1</v>
      </c>
      <c r="S540">
        <v>37</v>
      </c>
      <c r="T540">
        <v>5.4</v>
      </c>
      <c r="U540">
        <v>119</v>
      </c>
      <c r="V540" s="19" t="s">
        <v>2511</v>
      </c>
      <c r="W540" s="19" t="s">
        <v>1707</v>
      </c>
      <c r="X540">
        <v>0</v>
      </c>
      <c r="Y540">
        <v>1</v>
      </c>
      <c r="Z540">
        <v>0</v>
      </c>
      <c r="AA540">
        <v>85</v>
      </c>
      <c r="AB540">
        <v>31</v>
      </c>
      <c r="AC540">
        <v>11</v>
      </c>
      <c r="AD540">
        <v>61</v>
      </c>
      <c r="AE540" s="19" t="s">
        <v>60</v>
      </c>
    </row>
    <row r="541" spans="1:31" x14ac:dyDescent="0.2">
      <c r="A541">
        <v>518</v>
      </c>
      <c r="B541" s="19" t="s">
        <v>926</v>
      </c>
      <c r="C541">
        <v>27</v>
      </c>
      <c r="D541" s="19" t="s">
        <v>428</v>
      </c>
      <c r="E541" s="19" t="s">
        <v>340</v>
      </c>
      <c r="F541">
        <v>50</v>
      </c>
      <c r="G541">
        <v>4</v>
      </c>
      <c r="H541">
        <v>4</v>
      </c>
      <c r="I541">
        <v>8</v>
      </c>
      <c r="J541">
        <v>-7</v>
      </c>
      <c r="K541">
        <v>20</v>
      </c>
      <c r="L541">
        <v>3</v>
      </c>
      <c r="M541">
        <v>0</v>
      </c>
      <c r="N541">
        <v>1</v>
      </c>
      <c r="O541">
        <v>0</v>
      </c>
      <c r="P541">
        <v>4</v>
      </c>
      <c r="Q541">
        <v>0</v>
      </c>
      <c r="R541">
        <v>0</v>
      </c>
      <c r="S541">
        <v>45</v>
      </c>
      <c r="T541">
        <v>8.9</v>
      </c>
      <c r="U541">
        <v>79</v>
      </c>
      <c r="V541" s="19" t="s">
        <v>2862</v>
      </c>
      <c r="W541" s="19" t="s">
        <v>1901</v>
      </c>
      <c r="X541">
        <v>4</v>
      </c>
      <c r="Y541">
        <v>8</v>
      </c>
      <c r="Z541">
        <v>33.299999999999997</v>
      </c>
      <c r="AA541">
        <v>50</v>
      </c>
      <c r="AB541">
        <v>180</v>
      </c>
      <c r="AC541">
        <v>7</v>
      </c>
      <c r="AD541">
        <v>22</v>
      </c>
      <c r="AE541" s="19" t="s">
        <v>60</v>
      </c>
    </row>
    <row r="542" spans="1:31" x14ac:dyDescent="0.2">
      <c r="A542">
        <v>519</v>
      </c>
      <c r="B542" s="19" t="s">
        <v>881</v>
      </c>
      <c r="C542">
        <v>36</v>
      </c>
      <c r="D542" s="19" t="s">
        <v>352</v>
      </c>
      <c r="E542" s="19" t="s">
        <v>349</v>
      </c>
      <c r="F542">
        <v>18</v>
      </c>
      <c r="G542">
        <v>4</v>
      </c>
      <c r="H542">
        <v>4</v>
      </c>
      <c r="I542">
        <v>8</v>
      </c>
      <c r="J542">
        <v>1</v>
      </c>
      <c r="K542">
        <v>0</v>
      </c>
      <c r="L542">
        <v>4</v>
      </c>
      <c r="M542">
        <v>0</v>
      </c>
      <c r="N542">
        <v>0</v>
      </c>
      <c r="O542">
        <v>0</v>
      </c>
      <c r="P542">
        <v>4</v>
      </c>
      <c r="Q542">
        <v>0</v>
      </c>
      <c r="R542">
        <v>0</v>
      </c>
      <c r="S542">
        <v>17</v>
      </c>
      <c r="T542">
        <v>23.5</v>
      </c>
      <c r="U542">
        <v>48</v>
      </c>
      <c r="V542" s="19" t="s">
        <v>1669</v>
      </c>
      <c r="W542" s="19" t="s">
        <v>341</v>
      </c>
      <c r="X542">
        <v>0</v>
      </c>
      <c r="Y542">
        <v>0</v>
      </c>
      <c r="AA542">
        <v>29</v>
      </c>
      <c r="AB542">
        <v>9</v>
      </c>
      <c r="AC542">
        <v>7</v>
      </c>
      <c r="AD542">
        <v>19</v>
      </c>
      <c r="AE542" s="19" t="s">
        <v>60</v>
      </c>
    </row>
    <row r="543" spans="1:31" x14ac:dyDescent="0.2">
      <c r="A543">
        <v>520</v>
      </c>
      <c r="B543" s="19" t="s">
        <v>1002</v>
      </c>
      <c r="C543">
        <v>29</v>
      </c>
      <c r="D543" s="19" t="s">
        <v>373</v>
      </c>
      <c r="E543" s="19" t="s">
        <v>349</v>
      </c>
      <c r="F543">
        <v>50</v>
      </c>
      <c r="G543">
        <v>1</v>
      </c>
      <c r="H543">
        <v>7</v>
      </c>
      <c r="I543">
        <v>8</v>
      </c>
      <c r="J543">
        <v>6</v>
      </c>
      <c r="K543">
        <v>37</v>
      </c>
      <c r="L543">
        <v>1</v>
      </c>
      <c r="M543">
        <v>0</v>
      </c>
      <c r="N543">
        <v>0</v>
      </c>
      <c r="O543">
        <v>0</v>
      </c>
      <c r="P543">
        <v>7</v>
      </c>
      <c r="Q543">
        <v>0</v>
      </c>
      <c r="R543">
        <v>0</v>
      </c>
      <c r="S543">
        <v>51</v>
      </c>
      <c r="T543">
        <v>2</v>
      </c>
      <c r="U543">
        <v>123</v>
      </c>
      <c r="V543" s="19" t="s">
        <v>2863</v>
      </c>
      <c r="W543" s="19" t="s">
        <v>1747</v>
      </c>
      <c r="X543">
        <v>0</v>
      </c>
      <c r="Y543">
        <v>0</v>
      </c>
      <c r="AA543">
        <v>55</v>
      </c>
      <c r="AB543">
        <v>81</v>
      </c>
      <c r="AC543">
        <v>14</v>
      </c>
      <c r="AD543">
        <v>52</v>
      </c>
      <c r="AE543" s="19" t="s">
        <v>60</v>
      </c>
    </row>
    <row r="544" spans="1:31" x14ac:dyDescent="0.2">
      <c r="A544">
        <v>521</v>
      </c>
      <c r="B544" s="19" t="s">
        <v>1003</v>
      </c>
      <c r="C544">
        <v>24</v>
      </c>
      <c r="D544" s="19" t="s">
        <v>337</v>
      </c>
      <c r="E544" s="19" t="s">
        <v>349</v>
      </c>
      <c r="F544">
        <v>36</v>
      </c>
      <c r="G544">
        <v>2</v>
      </c>
      <c r="H544">
        <v>6</v>
      </c>
      <c r="I544">
        <v>8</v>
      </c>
      <c r="J544">
        <v>0</v>
      </c>
      <c r="K544">
        <v>18</v>
      </c>
      <c r="L544">
        <v>2</v>
      </c>
      <c r="M544">
        <v>0</v>
      </c>
      <c r="N544">
        <v>0</v>
      </c>
      <c r="O544">
        <v>1</v>
      </c>
      <c r="P544">
        <v>5</v>
      </c>
      <c r="Q544">
        <v>0</v>
      </c>
      <c r="R544">
        <v>1</v>
      </c>
      <c r="S544">
        <v>34</v>
      </c>
      <c r="T544">
        <v>5.9</v>
      </c>
      <c r="U544">
        <v>101</v>
      </c>
      <c r="V544" s="19" t="s">
        <v>2512</v>
      </c>
      <c r="W544" s="19" t="s">
        <v>1971</v>
      </c>
      <c r="X544">
        <v>0</v>
      </c>
      <c r="Y544">
        <v>0</v>
      </c>
      <c r="AA544">
        <v>60</v>
      </c>
      <c r="AB544">
        <v>14</v>
      </c>
      <c r="AC544">
        <v>12</v>
      </c>
      <c r="AD544">
        <v>27</v>
      </c>
      <c r="AE544" s="19" t="s">
        <v>60</v>
      </c>
    </row>
    <row r="545" spans="1:31" x14ac:dyDescent="0.2">
      <c r="A545">
        <v>522</v>
      </c>
      <c r="B545" s="19" t="s">
        <v>829</v>
      </c>
      <c r="C545">
        <v>35</v>
      </c>
      <c r="D545" s="19" t="s">
        <v>447</v>
      </c>
      <c r="E545" s="19" t="s">
        <v>349</v>
      </c>
      <c r="F545">
        <v>51</v>
      </c>
      <c r="G545">
        <v>1</v>
      </c>
      <c r="H545">
        <v>7</v>
      </c>
      <c r="I545">
        <v>8</v>
      </c>
      <c r="J545">
        <v>-22</v>
      </c>
      <c r="K545">
        <v>38</v>
      </c>
      <c r="L545">
        <v>1</v>
      </c>
      <c r="M545">
        <v>0</v>
      </c>
      <c r="N545">
        <v>0</v>
      </c>
      <c r="O545">
        <v>0</v>
      </c>
      <c r="P545">
        <v>7</v>
      </c>
      <c r="Q545">
        <v>0</v>
      </c>
      <c r="R545">
        <v>0</v>
      </c>
      <c r="S545">
        <v>63</v>
      </c>
      <c r="T545">
        <v>1.6</v>
      </c>
      <c r="U545">
        <v>148</v>
      </c>
      <c r="V545" s="19" t="s">
        <v>2513</v>
      </c>
      <c r="W545" s="19" t="s">
        <v>1947</v>
      </c>
      <c r="X545">
        <v>0</v>
      </c>
      <c r="Y545">
        <v>0</v>
      </c>
      <c r="AA545">
        <v>86</v>
      </c>
      <c r="AB545">
        <v>62</v>
      </c>
      <c r="AC545">
        <v>18</v>
      </c>
      <c r="AD545">
        <v>54</v>
      </c>
      <c r="AE545" s="19" t="s">
        <v>60</v>
      </c>
    </row>
    <row r="546" spans="1:31" x14ac:dyDescent="0.2">
      <c r="A546">
        <v>523</v>
      </c>
      <c r="B546" s="19" t="s">
        <v>883</v>
      </c>
      <c r="C546">
        <v>36</v>
      </c>
      <c r="D546" s="19" t="s">
        <v>346</v>
      </c>
      <c r="E546" s="19" t="s">
        <v>335</v>
      </c>
      <c r="F546">
        <v>32</v>
      </c>
      <c r="G546">
        <v>0</v>
      </c>
      <c r="H546">
        <v>8</v>
      </c>
      <c r="I546">
        <v>8</v>
      </c>
      <c r="J546">
        <v>-4</v>
      </c>
      <c r="K546">
        <v>4</v>
      </c>
      <c r="L546">
        <v>0</v>
      </c>
      <c r="M546">
        <v>0</v>
      </c>
      <c r="N546">
        <v>0</v>
      </c>
      <c r="O546">
        <v>0</v>
      </c>
      <c r="P546">
        <v>3</v>
      </c>
      <c r="Q546">
        <v>5</v>
      </c>
      <c r="R546">
        <v>0</v>
      </c>
      <c r="S546">
        <v>41</v>
      </c>
      <c r="T546">
        <v>0</v>
      </c>
      <c r="U546">
        <v>80</v>
      </c>
      <c r="V546" s="19" t="s">
        <v>2214</v>
      </c>
      <c r="W546" s="19" t="s">
        <v>1802</v>
      </c>
      <c r="X546">
        <v>7</v>
      </c>
      <c r="Y546">
        <v>11</v>
      </c>
      <c r="Z546">
        <v>38.9</v>
      </c>
      <c r="AA546">
        <v>14</v>
      </c>
      <c r="AB546">
        <v>19</v>
      </c>
      <c r="AC546">
        <v>10</v>
      </c>
      <c r="AD546">
        <v>15</v>
      </c>
      <c r="AE546" s="19" t="s">
        <v>60</v>
      </c>
    </row>
    <row r="547" spans="1:31" x14ac:dyDescent="0.2">
      <c r="A547">
        <v>524</v>
      </c>
      <c r="B547" s="19" t="s">
        <v>933</v>
      </c>
      <c r="C547">
        <v>33</v>
      </c>
      <c r="D547" s="19" t="s">
        <v>530</v>
      </c>
      <c r="E547" s="19" t="s">
        <v>349</v>
      </c>
      <c r="F547">
        <v>48</v>
      </c>
      <c r="G547">
        <v>3</v>
      </c>
      <c r="H547">
        <v>5</v>
      </c>
      <c r="I547">
        <v>8</v>
      </c>
      <c r="J547">
        <v>7</v>
      </c>
      <c r="K547">
        <v>12</v>
      </c>
      <c r="L547">
        <v>3</v>
      </c>
      <c r="M547">
        <v>0</v>
      </c>
      <c r="N547">
        <v>0</v>
      </c>
      <c r="O547">
        <v>1</v>
      </c>
      <c r="P547">
        <v>5</v>
      </c>
      <c r="Q547">
        <v>0</v>
      </c>
      <c r="R547">
        <v>0</v>
      </c>
      <c r="S547">
        <v>46</v>
      </c>
      <c r="T547">
        <v>6.5</v>
      </c>
      <c r="U547">
        <v>97</v>
      </c>
      <c r="V547" s="19" t="s">
        <v>2514</v>
      </c>
      <c r="W547" s="19" t="s">
        <v>1951</v>
      </c>
      <c r="X547">
        <v>0</v>
      </c>
      <c r="Y547">
        <v>0</v>
      </c>
      <c r="AA547">
        <v>73</v>
      </c>
      <c r="AB547">
        <v>65</v>
      </c>
      <c r="AC547">
        <v>16</v>
      </c>
      <c r="AD547">
        <v>47</v>
      </c>
      <c r="AE547" s="19" t="s">
        <v>60</v>
      </c>
    </row>
    <row r="548" spans="1:31" x14ac:dyDescent="0.2">
      <c r="A548">
        <v>525</v>
      </c>
      <c r="B548" s="19" t="s">
        <v>1005</v>
      </c>
      <c r="C548">
        <v>27</v>
      </c>
      <c r="D548" s="19" t="s">
        <v>459</v>
      </c>
      <c r="E548" s="19" t="s">
        <v>349</v>
      </c>
      <c r="F548">
        <v>48</v>
      </c>
      <c r="G548">
        <v>3</v>
      </c>
      <c r="H548">
        <v>5</v>
      </c>
      <c r="I548">
        <v>8</v>
      </c>
      <c r="J548">
        <v>-12</v>
      </c>
      <c r="K548">
        <v>14</v>
      </c>
      <c r="L548">
        <v>3</v>
      </c>
      <c r="M548">
        <v>0</v>
      </c>
      <c r="N548">
        <v>0</v>
      </c>
      <c r="O548">
        <v>0</v>
      </c>
      <c r="P548">
        <v>5</v>
      </c>
      <c r="Q548">
        <v>0</v>
      </c>
      <c r="R548">
        <v>0</v>
      </c>
      <c r="S548">
        <v>48</v>
      </c>
      <c r="T548">
        <v>6.3</v>
      </c>
      <c r="U548">
        <v>121</v>
      </c>
      <c r="V548" s="19" t="s">
        <v>2154</v>
      </c>
      <c r="W548" s="19" t="s">
        <v>2355</v>
      </c>
      <c r="X548">
        <v>0</v>
      </c>
      <c r="Y548">
        <v>0</v>
      </c>
      <c r="AA548">
        <v>51</v>
      </c>
      <c r="AB548">
        <v>23</v>
      </c>
      <c r="AC548">
        <v>11</v>
      </c>
      <c r="AD548">
        <v>53</v>
      </c>
      <c r="AE548" s="19" t="s">
        <v>60</v>
      </c>
    </row>
    <row r="549" spans="1:31" x14ac:dyDescent="0.2">
      <c r="A549">
        <v>526</v>
      </c>
      <c r="B549" s="19" t="s">
        <v>888</v>
      </c>
      <c r="C549">
        <v>38</v>
      </c>
      <c r="D549" s="19" t="s">
        <v>373</v>
      </c>
      <c r="E549" s="19" t="s">
        <v>349</v>
      </c>
      <c r="F549">
        <v>48</v>
      </c>
      <c r="G549">
        <v>0</v>
      </c>
      <c r="H549">
        <v>8</v>
      </c>
      <c r="I549">
        <v>8</v>
      </c>
      <c r="J549">
        <v>-10</v>
      </c>
      <c r="K549">
        <v>18</v>
      </c>
      <c r="L549">
        <v>0</v>
      </c>
      <c r="M549">
        <v>0</v>
      </c>
      <c r="N549">
        <v>0</v>
      </c>
      <c r="O549">
        <v>0</v>
      </c>
      <c r="P549">
        <v>6</v>
      </c>
      <c r="Q549">
        <v>2</v>
      </c>
      <c r="R549">
        <v>0</v>
      </c>
      <c r="S549">
        <v>38</v>
      </c>
      <c r="T549">
        <v>0</v>
      </c>
      <c r="U549">
        <v>113</v>
      </c>
      <c r="V549" s="19" t="s">
        <v>2864</v>
      </c>
      <c r="W549" s="19" t="s">
        <v>1103</v>
      </c>
      <c r="X549">
        <v>0</v>
      </c>
      <c r="Y549">
        <v>0</v>
      </c>
      <c r="AA549">
        <v>52</v>
      </c>
      <c r="AB549">
        <v>41</v>
      </c>
      <c r="AC549">
        <v>1</v>
      </c>
      <c r="AD549">
        <v>40</v>
      </c>
      <c r="AE549" s="19" t="s">
        <v>60</v>
      </c>
    </row>
    <row r="550" spans="1:31" x14ac:dyDescent="0.2">
      <c r="A550">
        <v>527</v>
      </c>
      <c r="B550" s="19" t="s">
        <v>939</v>
      </c>
      <c r="C550">
        <v>30</v>
      </c>
      <c r="D550" s="19" t="s">
        <v>346</v>
      </c>
      <c r="E550" s="19" t="s">
        <v>349</v>
      </c>
      <c r="F550">
        <v>40</v>
      </c>
      <c r="G550">
        <v>2</v>
      </c>
      <c r="H550">
        <v>6</v>
      </c>
      <c r="I550">
        <v>8</v>
      </c>
      <c r="J550">
        <v>-1</v>
      </c>
      <c r="K550">
        <v>19</v>
      </c>
      <c r="L550">
        <v>1</v>
      </c>
      <c r="M550">
        <v>1</v>
      </c>
      <c r="N550">
        <v>0</v>
      </c>
      <c r="O550">
        <v>1</v>
      </c>
      <c r="P550">
        <v>5</v>
      </c>
      <c r="Q550">
        <v>1</v>
      </c>
      <c r="R550">
        <v>0</v>
      </c>
      <c r="S550">
        <v>76</v>
      </c>
      <c r="T550">
        <v>2.6</v>
      </c>
      <c r="U550">
        <v>174</v>
      </c>
      <c r="V550" s="19" t="s">
        <v>1989</v>
      </c>
      <c r="W550" s="19" t="s">
        <v>1725</v>
      </c>
      <c r="X550">
        <v>0</v>
      </c>
      <c r="Y550">
        <v>0</v>
      </c>
      <c r="AA550">
        <v>64</v>
      </c>
      <c r="AB550">
        <v>84</v>
      </c>
      <c r="AC550">
        <v>11</v>
      </c>
      <c r="AD550">
        <v>47</v>
      </c>
      <c r="AE550" s="19" t="s">
        <v>60</v>
      </c>
    </row>
    <row r="551" spans="1:31" x14ac:dyDescent="0.2">
      <c r="A551">
        <v>528</v>
      </c>
      <c r="B551" s="19" t="s">
        <v>798</v>
      </c>
      <c r="C551">
        <v>21</v>
      </c>
      <c r="D551" s="19" t="s">
        <v>330</v>
      </c>
      <c r="E551" s="19" t="s">
        <v>349</v>
      </c>
      <c r="F551">
        <v>28</v>
      </c>
      <c r="G551">
        <v>1</v>
      </c>
      <c r="H551">
        <v>7</v>
      </c>
      <c r="I551">
        <v>8</v>
      </c>
      <c r="J551">
        <v>0</v>
      </c>
      <c r="K551">
        <v>28</v>
      </c>
      <c r="L551">
        <v>1</v>
      </c>
      <c r="M551">
        <v>0</v>
      </c>
      <c r="N551">
        <v>0</v>
      </c>
      <c r="O551">
        <v>0</v>
      </c>
      <c r="P551">
        <v>7</v>
      </c>
      <c r="Q551">
        <v>0</v>
      </c>
      <c r="R551">
        <v>0</v>
      </c>
      <c r="S551">
        <v>39</v>
      </c>
      <c r="T551">
        <v>2.6</v>
      </c>
      <c r="U551">
        <v>114</v>
      </c>
      <c r="V551" s="19" t="s">
        <v>799</v>
      </c>
      <c r="W551" s="19" t="s">
        <v>739</v>
      </c>
      <c r="X551">
        <v>0</v>
      </c>
      <c r="Y551">
        <v>0</v>
      </c>
      <c r="AA551">
        <v>29</v>
      </c>
      <c r="AB551">
        <v>26</v>
      </c>
      <c r="AC551">
        <v>4</v>
      </c>
      <c r="AD551">
        <v>37</v>
      </c>
      <c r="AE551" s="19" t="s">
        <v>60</v>
      </c>
    </row>
    <row r="552" spans="1:31" x14ac:dyDescent="0.2">
      <c r="A552">
        <v>529</v>
      </c>
      <c r="B552" s="19" t="s">
        <v>1010</v>
      </c>
      <c r="C552">
        <v>27</v>
      </c>
      <c r="D552" s="19" t="s">
        <v>346</v>
      </c>
      <c r="E552" s="19" t="s">
        <v>349</v>
      </c>
      <c r="F552">
        <v>35</v>
      </c>
      <c r="G552">
        <v>0</v>
      </c>
      <c r="H552">
        <v>8</v>
      </c>
      <c r="I552">
        <v>8</v>
      </c>
      <c r="J552">
        <v>-2</v>
      </c>
      <c r="K552">
        <v>8</v>
      </c>
      <c r="L552">
        <v>0</v>
      </c>
      <c r="M552">
        <v>0</v>
      </c>
      <c r="N552">
        <v>0</v>
      </c>
      <c r="O552">
        <v>0</v>
      </c>
      <c r="P552">
        <v>8</v>
      </c>
      <c r="Q552">
        <v>0</v>
      </c>
      <c r="R552">
        <v>0</v>
      </c>
      <c r="S552">
        <v>46</v>
      </c>
      <c r="T552">
        <v>0</v>
      </c>
      <c r="U552">
        <v>122</v>
      </c>
      <c r="V552" s="19" t="s">
        <v>2865</v>
      </c>
      <c r="W552" s="19" t="s">
        <v>1763</v>
      </c>
      <c r="X552">
        <v>0</v>
      </c>
      <c r="Y552">
        <v>0</v>
      </c>
      <c r="AA552">
        <v>60</v>
      </c>
      <c r="AB552">
        <v>28</v>
      </c>
      <c r="AC552">
        <v>16</v>
      </c>
      <c r="AD552">
        <v>36</v>
      </c>
      <c r="AE552" s="19" t="s">
        <v>60</v>
      </c>
    </row>
    <row r="553" spans="1:31" x14ac:dyDescent="0.2">
      <c r="A553">
        <v>530</v>
      </c>
      <c r="B553" s="19" t="s">
        <v>1086</v>
      </c>
      <c r="C553">
        <v>30</v>
      </c>
      <c r="D553" s="19" t="s">
        <v>459</v>
      </c>
      <c r="E553" s="19" t="s">
        <v>325</v>
      </c>
      <c r="F553">
        <v>32</v>
      </c>
      <c r="G553">
        <v>6</v>
      </c>
      <c r="H553">
        <v>2</v>
      </c>
      <c r="I553">
        <v>8</v>
      </c>
      <c r="J553">
        <v>-6</v>
      </c>
      <c r="K553">
        <v>25</v>
      </c>
      <c r="L553">
        <v>6</v>
      </c>
      <c r="M553">
        <v>0</v>
      </c>
      <c r="N553">
        <v>0</v>
      </c>
      <c r="O553">
        <v>1</v>
      </c>
      <c r="P553">
        <v>1</v>
      </c>
      <c r="Q553">
        <v>0</v>
      </c>
      <c r="R553">
        <v>1</v>
      </c>
      <c r="S553">
        <v>49</v>
      </c>
      <c r="T553">
        <v>12.2</v>
      </c>
      <c r="U553">
        <v>95</v>
      </c>
      <c r="V553" s="19" t="s">
        <v>2866</v>
      </c>
      <c r="W553" s="19" t="s">
        <v>1743</v>
      </c>
      <c r="X553">
        <v>2</v>
      </c>
      <c r="Y553">
        <v>9</v>
      </c>
      <c r="Z553">
        <v>18.2</v>
      </c>
      <c r="AA553">
        <v>7</v>
      </c>
      <c r="AB553">
        <v>99</v>
      </c>
      <c r="AC553">
        <v>8</v>
      </c>
      <c r="AD553">
        <v>11</v>
      </c>
      <c r="AE553" s="19" t="s">
        <v>60</v>
      </c>
    </row>
    <row r="554" spans="1:31" x14ac:dyDescent="0.2">
      <c r="A554">
        <v>531</v>
      </c>
      <c r="B554" s="19" t="s">
        <v>892</v>
      </c>
      <c r="C554">
        <v>31</v>
      </c>
      <c r="D554" s="19" t="s">
        <v>361</v>
      </c>
      <c r="E554" s="19" t="s">
        <v>349</v>
      </c>
      <c r="F554">
        <v>46</v>
      </c>
      <c r="G554">
        <v>3</v>
      </c>
      <c r="H554">
        <v>5</v>
      </c>
      <c r="I554">
        <v>8</v>
      </c>
      <c r="J554">
        <v>4</v>
      </c>
      <c r="K554">
        <v>18</v>
      </c>
      <c r="L554">
        <v>3</v>
      </c>
      <c r="M554">
        <v>0</v>
      </c>
      <c r="N554">
        <v>0</v>
      </c>
      <c r="O554">
        <v>0</v>
      </c>
      <c r="P554">
        <v>5</v>
      </c>
      <c r="Q554">
        <v>0</v>
      </c>
      <c r="R554">
        <v>0</v>
      </c>
      <c r="S554">
        <v>39</v>
      </c>
      <c r="T554">
        <v>7.7</v>
      </c>
      <c r="U554">
        <v>94</v>
      </c>
      <c r="V554" s="19" t="s">
        <v>2103</v>
      </c>
      <c r="W554" s="19" t="s">
        <v>573</v>
      </c>
      <c r="X554">
        <v>0</v>
      </c>
      <c r="Y554">
        <v>0</v>
      </c>
      <c r="AA554">
        <v>66</v>
      </c>
      <c r="AB554">
        <v>71</v>
      </c>
      <c r="AC554">
        <v>14</v>
      </c>
      <c r="AD554">
        <v>49</v>
      </c>
      <c r="AE554" s="19" t="s">
        <v>60</v>
      </c>
    </row>
    <row r="555" spans="1:31" x14ac:dyDescent="0.2">
      <c r="A555">
        <v>532</v>
      </c>
      <c r="B555" s="19" t="s">
        <v>1597</v>
      </c>
      <c r="C555">
        <v>20</v>
      </c>
      <c r="D555" s="19" t="s">
        <v>513</v>
      </c>
      <c r="E555" s="19" t="s">
        <v>322</v>
      </c>
      <c r="F555">
        <v>18</v>
      </c>
      <c r="G555">
        <v>1</v>
      </c>
      <c r="H555">
        <v>7</v>
      </c>
      <c r="I555">
        <v>8</v>
      </c>
      <c r="J555">
        <v>4</v>
      </c>
      <c r="K555">
        <v>0</v>
      </c>
      <c r="L555">
        <v>1</v>
      </c>
      <c r="M555">
        <v>0</v>
      </c>
      <c r="N555">
        <v>0</v>
      </c>
      <c r="O555">
        <v>0</v>
      </c>
      <c r="P555">
        <v>6</v>
      </c>
      <c r="Q555">
        <v>0</v>
      </c>
      <c r="R555">
        <v>1</v>
      </c>
      <c r="S555">
        <v>17</v>
      </c>
      <c r="T555">
        <v>5.9</v>
      </c>
      <c r="U555">
        <v>42</v>
      </c>
      <c r="V555" s="19" t="s">
        <v>2867</v>
      </c>
      <c r="W555" s="19" t="s">
        <v>2061</v>
      </c>
      <c r="X555">
        <v>4</v>
      </c>
      <c r="Y555">
        <v>6</v>
      </c>
      <c r="Z555">
        <v>40</v>
      </c>
      <c r="AA555">
        <v>10</v>
      </c>
      <c r="AB555">
        <v>33</v>
      </c>
      <c r="AC555">
        <v>2</v>
      </c>
      <c r="AD555">
        <v>8</v>
      </c>
      <c r="AE555" s="19" t="s">
        <v>60</v>
      </c>
    </row>
    <row r="556" spans="1:31" x14ac:dyDescent="0.2">
      <c r="A556">
        <v>533</v>
      </c>
      <c r="B556" s="19" t="s">
        <v>943</v>
      </c>
      <c r="C556">
        <v>32</v>
      </c>
      <c r="D556" s="19" t="s">
        <v>337</v>
      </c>
      <c r="E556" s="19" t="s">
        <v>322</v>
      </c>
      <c r="F556">
        <v>30</v>
      </c>
      <c r="G556">
        <v>3</v>
      </c>
      <c r="H556">
        <v>5</v>
      </c>
      <c r="I556">
        <v>8</v>
      </c>
      <c r="J556">
        <v>-7</v>
      </c>
      <c r="K556">
        <v>23</v>
      </c>
      <c r="L556">
        <v>2</v>
      </c>
      <c r="M556">
        <v>1</v>
      </c>
      <c r="N556">
        <v>0</v>
      </c>
      <c r="O556">
        <v>0</v>
      </c>
      <c r="P556">
        <v>5</v>
      </c>
      <c r="Q556">
        <v>0</v>
      </c>
      <c r="R556">
        <v>0</v>
      </c>
      <c r="S556">
        <v>34</v>
      </c>
      <c r="T556">
        <v>8.8000000000000007</v>
      </c>
      <c r="U556">
        <v>76</v>
      </c>
      <c r="V556" s="19" t="s">
        <v>2515</v>
      </c>
      <c r="W556" s="19" t="s">
        <v>1635</v>
      </c>
      <c r="X556">
        <v>91</v>
      </c>
      <c r="Y556">
        <v>102</v>
      </c>
      <c r="Z556">
        <v>47.2</v>
      </c>
      <c r="AA556">
        <v>6</v>
      </c>
      <c r="AB556">
        <v>14</v>
      </c>
      <c r="AC556">
        <v>5</v>
      </c>
      <c r="AD556">
        <v>19</v>
      </c>
      <c r="AE556" s="19" t="s">
        <v>60</v>
      </c>
    </row>
    <row r="557" spans="1:31" x14ac:dyDescent="0.2">
      <c r="A557">
        <v>534</v>
      </c>
      <c r="B557" s="19" t="s">
        <v>1089</v>
      </c>
      <c r="C557">
        <v>29</v>
      </c>
      <c r="D557" s="19" t="s">
        <v>950</v>
      </c>
      <c r="E557" s="19" t="s">
        <v>349</v>
      </c>
      <c r="F557">
        <v>50</v>
      </c>
      <c r="G557">
        <v>2</v>
      </c>
      <c r="H557">
        <v>6</v>
      </c>
      <c r="I557">
        <v>8</v>
      </c>
      <c r="J557">
        <v>-8</v>
      </c>
      <c r="K557">
        <v>20</v>
      </c>
      <c r="L557">
        <v>2</v>
      </c>
      <c r="M557">
        <v>0</v>
      </c>
      <c r="N557">
        <v>0</v>
      </c>
      <c r="O557">
        <v>0</v>
      </c>
      <c r="P557">
        <v>6</v>
      </c>
      <c r="Q557">
        <v>0</v>
      </c>
      <c r="R557">
        <v>0</v>
      </c>
      <c r="S557">
        <v>37</v>
      </c>
      <c r="T557">
        <v>5.4</v>
      </c>
      <c r="U557">
        <v>112</v>
      </c>
      <c r="V557" s="19" t="s">
        <v>2516</v>
      </c>
      <c r="W557" s="19" t="s">
        <v>421</v>
      </c>
      <c r="X557">
        <v>0</v>
      </c>
      <c r="Y557">
        <v>0</v>
      </c>
      <c r="AA557">
        <v>69</v>
      </c>
      <c r="AB557">
        <v>77</v>
      </c>
      <c r="AC557">
        <v>9</v>
      </c>
      <c r="AD557">
        <v>37</v>
      </c>
      <c r="AE557" s="19" t="s">
        <v>60</v>
      </c>
    </row>
    <row r="558" spans="1:31" x14ac:dyDescent="0.2">
      <c r="A558">
        <v>534</v>
      </c>
      <c r="B558" s="19" t="s">
        <v>1089</v>
      </c>
      <c r="C558">
        <v>29</v>
      </c>
      <c r="D558" s="19" t="s">
        <v>344</v>
      </c>
      <c r="E558" s="19" t="s">
        <v>349</v>
      </c>
      <c r="F558">
        <v>47</v>
      </c>
      <c r="G558">
        <v>2</v>
      </c>
      <c r="H558">
        <v>5</v>
      </c>
      <c r="I558">
        <v>7</v>
      </c>
      <c r="J558">
        <v>-8</v>
      </c>
      <c r="K558">
        <v>20</v>
      </c>
      <c r="L558">
        <v>2</v>
      </c>
      <c r="M558">
        <v>0</v>
      </c>
      <c r="N558">
        <v>0</v>
      </c>
      <c r="O558">
        <v>0</v>
      </c>
      <c r="P558">
        <v>5</v>
      </c>
      <c r="Q558">
        <v>0</v>
      </c>
      <c r="R558">
        <v>0</v>
      </c>
      <c r="S558">
        <v>33</v>
      </c>
      <c r="T558">
        <v>6.1</v>
      </c>
      <c r="U558">
        <v>105</v>
      </c>
      <c r="V558" s="19" t="s">
        <v>2125</v>
      </c>
      <c r="W558" s="19" t="s">
        <v>1780</v>
      </c>
      <c r="X558">
        <v>0</v>
      </c>
      <c r="Y558">
        <v>0</v>
      </c>
      <c r="AA558">
        <v>63</v>
      </c>
      <c r="AB558">
        <v>73</v>
      </c>
      <c r="AC558">
        <v>9</v>
      </c>
      <c r="AD558">
        <v>35</v>
      </c>
      <c r="AE558" s="19" t="s">
        <v>60</v>
      </c>
    </row>
    <row r="559" spans="1:31" x14ac:dyDescent="0.2">
      <c r="A559">
        <v>534</v>
      </c>
      <c r="B559" s="19" t="s">
        <v>1089</v>
      </c>
      <c r="C559">
        <v>29</v>
      </c>
      <c r="D559" s="19" t="s">
        <v>436</v>
      </c>
      <c r="E559" s="19" t="s">
        <v>349</v>
      </c>
      <c r="F559">
        <v>3</v>
      </c>
      <c r="G559">
        <v>0</v>
      </c>
      <c r="H559">
        <v>1</v>
      </c>
      <c r="I559">
        <v>1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4</v>
      </c>
      <c r="T559">
        <v>0</v>
      </c>
      <c r="U559">
        <v>7</v>
      </c>
      <c r="V559" s="19" t="s">
        <v>2517</v>
      </c>
      <c r="W559" s="19" t="s">
        <v>2031</v>
      </c>
      <c r="X559">
        <v>0</v>
      </c>
      <c r="Y559">
        <v>0</v>
      </c>
      <c r="AA559">
        <v>6</v>
      </c>
      <c r="AB559">
        <v>4</v>
      </c>
      <c r="AC559">
        <v>0</v>
      </c>
      <c r="AD559">
        <v>2</v>
      </c>
      <c r="AE559" s="19" t="s">
        <v>60</v>
      </c>
    </row>
    <row r="560" spans="1:31" x14ac:dyDescent="0.2">
      <c r="A560">
        <v>535</v>
      </c>
      <c r="B560" s="19" t="s">
        <v>1030</v>
      </c>
      <c r="C560">
        <v>29</v>
      </c>
      <c r="D560" s="19" t="s">
        <v>950</v>
      </c>
      <c r="E560" s="19" t="s">
        <v>340</v>
      </c>
      <c r="F560">
        <v>21</v>
      </c>
      <c r="G560">
        <v>3</v>
      </c>
      <c r="H560">
        <v>5</v>
      </c>
      <c r="I560">
        <v>8</v>
      </c>
      <c r="J560">
        <v>2</v>
      </c>
      <c r="K560">
        <v>10</v>
      </c>
      <c r="L560">
        <v>3</v>
      </c>
      <c r="M560">
        <v>0</v>
      </c>
      <c r="N560">
        <v>0</v>
      </c>
      <c r="O560">
        <v>0</v>
      </c>
      <c r="P560">
        <v>5</v>
      </c>
      <c r="Q560">
        <v>0</v>
      </c>
      <c r="R560">
        <v>0</v>
      </c>
      <c r="S560">
        <v>18</v>
      </c>
      <c r="T560">
        <v>16.7</v>
      </c>
      <c r="U560">
        <v>28</v>
      </c>
      <c r="V560" s="19" t="s">
        <v>2055</v>
      </c>
      <c r="W560" s="19" t="s">
        <v>1323</v>
      </c>
      <c r="X560">
        <v>1</v>
      </c>
      <c r="Y560">
        <v>2</v>
      </c>
      <c r="Z560">
        <v>33.299999999999997</v>
      </c>
      <c r="AA560">
        <v>12</v>
      </c>
      <c r="AB560">
        <v>78</v>
      </c>
      <c r="AC560">
        <v>4</v>
      </c>
      <c r="AD560">
        <v>2</v>
      </c>
      <c r="AE560" s="19" t="s">
        <v>60</v>
      </c>
    </row>
    <row r="561" spans="1:31" x14ac:dyDescent="0.2">
      <c r="A561">
        <v>535</v>
      </c>
      <c r="B561" s="19" t="s">
        <v>1030</v>
      </c>
      <c r="C561">
        <v>29</v>
      </c>
      <c r="D561" s="19" t="s">
        <v>359</v>
      </c>
      <c r="E561" s="19" t="s">
        <v>340</v>
      </c>
      <c r="F561">
        <v>8</v>
      </c>
      <c r="G561">
        <v>1</v>
      </c>
      <c r="H561">
        <v>2</v>
      </c>
      <c r="I561">
        <v>3</v>
      </c>
      <c r="J561">
        <v>-2</v>
      </c>
      <c r="K561">
        <v>4</v>
      </c>
      <c r="L561">
        <v>1</v>
      </c>
      <c r="M561">
        <v>0</v>
      </c>
      <c r="N561">
        <v>0</v>
      </c>
      <c r="O561">
        <v>0</v>
      </c>
      <c r="P561">
        <v>2</v>
      </c>
      <c r="Q561">
        <v>0</v>
      </c>
      <c r="R561">
        <v>0</v>
      </c>
      <c r="S561">
        <v>7</v>
      </c>
      <c r="T561">
        <v>14.3</v>
      </c>
      <c r="U561">
        <v>11</v>
      </c>
      <c r="V561" s="19" t="s">
        <v>1031</v>
      </c>
      <c r="W561" s="19" t="s">
        <v>1032</v>
      </c>
      <c r="X561">
        <v>1</v>
      </c>
      <c r="Y561">
        <v>0</v>
      </c>
      <c r="Z561">
        <v>100</v>
      </c>
      <c r="AA561">
        <v>5</v>
      </c>
      <c r="AB561">
        <v>28</v>
      </c>
      <c r="AC561">
        <v>1</v>
      </c>
      <c r="AD561">
        <v>2</v>
      </c>
      <c r="AE561" s="19" t="s">
        <v>60</v>
      </c>
    </row>
    <row r="562" spans="1:31" x14ac:dyDescent="0.2">
      <c r="A562">
        <v>535</v>
      </c>
      <c r="B562" s="19" t="s">
        <v>1030</v>
      </c>
      <c r="C562">
        <v>29</v>
      </c>
      <c r="D562" s="19" t="s">
        <v>363</v>
      </c>
      <c r="E562" s="19" t="s">
        <v>340</v>
      </c>
      <c r="F562">
        <v>13</v>
      </c>
      <c r="G562">
        <v>2</v>
      </c>
      <c r="H562">
        <v>3</v>
      </c>
      <c r="I562">
        <v>5</v>
      </c>
      <c r="J562">
        <v>4</v>
      </c>
      <c r="K562">
        <v>6</v>
      </c>
      <c r="L562">
        <v>2</v>
      </c>
      <c r="M562">
        <v>0</v>
      </c>
      <c r="N562">
        <v>0</v>
      </c>
      <c r="O562">
        <v>0</v>
      </c>
      <c r="P562">
        <v>3</v>
      </c>
      <c r="Q562">
        <v>0</v>
      </c>
      <c r="R562">
        <v>0</v>
      </c>
      <c r="S562">
        <v>11</v>
      </c>
      <c r="T562">
        <v>18.2</v>
      </c>
      <c r="U562">
        <v>17</v>
      </c>
      <c r="V562" s="19" t="s">
        <v>2056</v>
      </c>
      <c r="W562" s="19" t="s">
        <v>2057</v>
      </c>
      <c r="X562">
        <v>0</v>
      </c>
      <c r="Y562">
        <v>2</v>
      </c>
      <c r="Z562">
        <v>0</v>
      </c>
      <c r="AA562">
        <v>7</v>
      </c>
      <c r="AB562">
        <v>50</v>
      </c>
      <c r="AC562">
        <v>3</v>
      </c>
      <c r="AD562">
        <v>0</v>
      </c>
      <c r="AE562" s="19" t="s">
        <v>60</v>
      </c>
    </row>
    <row r="563" spans="1:31" x14ac:dyDescent="0.2">
      <c r="A563">
        <v>536</v>
      </c>
      <c r="B563" s="19" t="s">
        <v>900</v>
      </c>
      <c r="C563">
        <v>33</v>
      </c>
      <c r="D563" s="19" t="s">
        <v>513</v>
      </c>
      <c r="E563" s="19" t="s">
        <v>322</v>
      </c>
      <c r="F563">
        <v>31</v>
      </c>
      <c r="G563">
        <v>6</v>
      </c>
      <c r="H563">
        <v>1</v>
      </c>
      <c r="I563">
        <v>7</v>
      </c>
      <c r="J563">
        <v>-6</v>
      </c>
      <c r="K563">
        <v>17</v>
      </c>
      <c r="L563">
        <v>5</v>
      </c>
      <c r="M563">
        <v>0</v>
      </c>
      <c r="N563">
        <v>1</v>
      </c>
      <c r="O563">
        <v>1</v>
      </c>
      <c r="P563">
        <v>1</v>
      </c>
      <c r="Q563">
        <v>0</v>
      </c>
      <c r="R563">
        <v>0</v>
      </c>
      <c r="S563">
        <v>48</v>
      </c>
      <c r="T563">
        <v>12.5</v>
      </c>
      <c r="U563">
        <v>84</v>
      </c>
      <c r="V563" s="19" t="s">
        <v>2868</v>
      </c>
      <c r="W563" s="19" t="s">
        <v>2118</v>
      </c>
      <c r="X563">
        <v>111</v>
      </c>
      <c r="Y563">
        <v>115</v>
      </c>
      <c r="Z563">
        <v>49.1</v>
      </c>
      <c r="AA563">
        <v>22</v>
      </c>
      <c r="AB563">
        <v>63</v>
      </c>
      <c r="AC563">
        <v>3</v>
      </c>
      <c r="AD563">
        <v>8</v>
      </c>
      <c r="AE563" s="19" t="s">
        <v>60</v>
      </c>
    </row>
    <row r="564" spans="1:31" x14ac:dyDescent="0.2">
      <c r="A564">
        <v>537</v>
      </c>
      <c r="B564" s="19" t="s">
        <v>850</v>
      </c>
      <c r="C564">
        <v>32</v>
      </c>
      <c r="D564" s="19" t="s">
        <v>334</v>
      </c>
      <c r="E564" s="19" t="s">
        <v>322</v>
      </c>
      <c r="F564">
        <v>45</v>
      </c>
      <c r="G564">
        <v>2</v>
      </c>
      <c r="H564">
        <v>5</v>
      </c>
      <c r="I564">
        <v>7</v>
      </c>
      <c r="J564">
        <v>-3</v>
      </c>
      <c r="K564">
        <v>20</v>
      </c>
      <c r="L564">
        <v>2</v>
      </c>
      <c r="M564">
        <v>0</v>
      </c>
      <c r="N564">
        <v>0</v>
      </c>
      <c r="O564">
        <v>1</v>
      </c>
      <c r="P564">
        <v>5</v>
      </c>
      <c r="Q564">
        <v>0</v>
      </c>
      <c r="R564">
        <v>0</v>
      </c>
      <c r="S564">
        <v>34</v>
      </c>
      <c r="T564">
        <v>5.9</v>
      </c>
      <c r="U564">
        <v>80</v>
      </c>
      <c r="V564" s="19" t="s">
        <v>2518</v>
      </c>
      <c r="W564" s="19" t="s">
        <v>1636</v>
      </c>
      <c r="X564">
        <v>78</v>
      </c>
      <c r="Y564">
        <v>108</v>
      </c>
      <c r="Z564">
        <v>41.9</v>
      </c>
      <c r="AA564">
        <v>22</v>
      </c>
      <c r="AB564">
        <v>66</v>
      </c>
      <c r="AC564">
        <v>7</v>
      </c>
      <c r="AD564">
        <v>20</v>
      </c>
      <c r="AE564" s="19" t="s">
        <v>60</v>
      </c>
    </row>
    <row r="565" spans="1:31" x14ac:dyDescent="0.2">
      <c r="A565">
        <v>538</v>
      </c>
      <c r="B565" s="19" t="s">
        <v>851</v>
      </c>
      <c r="C565">
        <v>27</v>
      </c>
      <c r="D565" s="19" t="s">
        <v>373</v>
      </c>
      <c r="E565" s="19" t="s">
        <v>322</v>
      </c>
      <c r="F565">
        <v>48</v>
      </c>
      <c r="G565">
        <v>3</v>
      </c>
      <c r="H565">
        <v>4</v>
      </c>
      <c r="I565">
        <v>7</v>
      </c>
      <c r="J565">
        <v>-6</v>
      </c>
      <c r="K565">
        <v>14</v>
      </c>
      <c r="L565">
        <v>3</v>
      </c>
      <c r="M565">
        <v>0</v>
      </c>
      <c r="N565">
        <v>0</v>
      </c>
      <c r="O565">
        <v>1</v>
      </c>
      <c r="P565">
        <v>4</v>
      </c>
      <c r="Q565">
        <v>0</v>
      </c>
      <c r="R565">
        <v>0</v>
      </c>
      <c r="S565">
        <v>40</v>
      </c>
      <c r="T565">
        <v>7.5</v>
      </c>
      <c r="U565">
        <v>78</v>
      </c>
      <c r="V565" s="19" t="s">
        <v>2179</v>
      </c>
      <c r="W565" s="19" t="s">
        <v>2180</v>
      </c>
      <c r="X565">
        <v>24</v>
      </c>
      <c r="Y565">
        <v>49</v>
      </c>
      <c r="Z565">
        <v>32.9</v>
      </c>
      <c r="AA565">
        <v>23</v>
      </c>
      <c r="AB565">
        <v>94</v>
      </c>
      <c r="AC565">
        <v>4</v>
      </c>
      <c r="AD565">
        <v>30</v>
      </c>
      <c r="AE565" s="19" t="s">
        <v>60</v>
      </c>
    </row>
    <row r="566" spans="1:31" x14ac:dyDescent="0.2">
      <c r="A566">
        <v>539</v>
      </c>
      <c r="B566" s="19" t="s">
        <v>813</v>
      </c>
      <c r="C566">
        <v>25</v>
      </c>
      <c r="D566" s="19" t="s">
        <v>363</v>
      </c>
      <c r="E566" s="19" t="s">
        <v>322</v>
      </c>
      <c r="F566">
        <v>18</v>
      </c>
      <c r="G566">
        <v>5</v>
      </c>
      <c r="H566">
        <v>2</v>
      </c>
      <c r="I566">
        <v>7</v>
      </c>
      <c r="J566">
        <v>-4</v>
      </c>
      <c r="K566">
        <v>21</v>
      </c>
      <c r="L566">
        <v>5</v>
      </c>
      <c r="M566">
        <v>0</v>
      </c>
      <c r="N566">
        <v>0</v>
      </c>
      <c r="O566">
        <v>0</v>
      </c>
      <c r="P566">
        <v>1</v>
      </c>
      <c r="Q566">
        <v>1</v>
      </c>
      <c r="R566">
        <v>0</v>
      </c>
      <c r="S566">
        <v>24</v>
      </c>
      <c r="T566">
        <v>20.8</v>
      </c>
      <c r="U566">
        <v>50</v>
      </c>
      <c r="V566" s="19" t="s">
        <v>2869</v>
      </c>
      <c r="W566" s="19" t="s">
        <v>2045</v>
      </c>
      <c r="X566">
        <v>46</v>
      </c>
      <c r="Y566">
        <v>61</v>
      </c>
      <c r="Z566">
        <v>43</v>
      </c>
      <c r="AA566">
        <v>19</v>
      </c>
      <c r="AB566">
        <v>24</v>
      </c>
      <c r="AC566">
        <v>9</v>
      </c>
      <c r="AD566">
        <v>9</v>
      </c>
      <c r="AE566" s="19" t="s">
        <v>60</v>
      </c>
    </row>
    <row r="567" spans="1:31" x14ac:dyDescent="0.2">
      <c r="A567">
        <v>540</v>
      </c>
      <c r="B567" s="19" t="s">
        <v>904</v>
      </c>
      <c r="C567">
        <v>21</v>
      </c>
      <c r="D567" s="19" t="s">
        <v>371</v>
      </c>
      <c r="E567" s="19" t="s">
        <v>322</v>
      </c>
      <c r="F567">
        <v>28</v>
      </c>
      <c r="G567">
        <v>2</v>
      </c>
      <c r="H567">
        <v>5</v>
      </c>
      <c r="I567">
        <v>7</v>
      </c>
      <c r="J567">
        <v>-7</v>
      </c>
      <c r="K567">
        <v>4</v>
      </c>
      <c r="L567">
        <v>2</v>
      </c>
      <c r="M567">
        <v>0</v>
      </c>
      <c r="N567">
        <v>0</v>
      </c>
      <c r="O567">
        <v>0</v>
      </c>
      <c r="P567">
        <v>2</v>
      </c>
      <c r="Q567">
        <v>3</v>
      </c>
      <c r="R567">
        <v>0</v>
      </c>
      <c r="S567">
        <v>31</v>
      </c>
      <c r="T567">
        <v>6.5</v>
      </c>
      <c r="U567">
        <v>59</v>
      </c>
      <c r="V567" s="19" t="s">
        <v>1807</v>
      </c>
      <c r="W567" s="19" t="s">
        <v>1709</v>
      </c>
      <c r="X567">
        <v>55</v>
      </c>
      <c r="Y567">
        <v>91</v>
      </c>
      <c r="Z567">
        <v>37.700000000000003</v>
      </c>
      <c r="AA567">
        <v>9</v>
      </c>
      <c r="AB567">
        <v>8</v>
      </c>
      <c r="AC567">
        <v>8</v>
      </c>
      <c r="AD567">
        <v>17</v>
      </c>
      <c r="AE567" s="19" t="s">
        <v>60</v>
      </c>
    </row>
    <row r="568" spans="1:31" x14ac:dyDescent="0.2">
      <c r="A568">
        <v>541</v>
      </c>
      <c r="B568" s="19" t="s">
        <v>972</v>
      </c>
      <c r="C568">
        <v>27</v>
      </c>
      <c r="D568" s="19" t="s">
        <v>381</v>
      </c>
      <c r="E568" s="19" t="s">
        <v>349</v>
      </c>
      <c r="F568">
        <v>48</v>
      </c>
      <c r="G568">
        <v>3</v>
      </c>
      <c r="H568">
        <v>4</v>
      </c>
      <c r="I568">
        <v>7</v>
      </c>
      <c r="J568">
        <v>-13</v>
      </c>
      <c r="K568">
        <v>16</v>
      </c>
      <c r="L568">
        <v>3</v>
      </c>
      <c r="M568">
        <v>0</v>
      </c>
      <c r="N568">
        <v>0</v>
      </c>
      <c r="O568">
        <v>0</v>
      </c>
      <c r="P568">
        <v>4</v>
      </c>
      <c r="Q568">
        <v>0</v>
      </c>
      <c r="R568">
        <v>0</v>
      </c>
      <c r="S568">
        <v>48</v>
      </c>
      <c r="T568">
        <v>6.3</v>
      </c>
      <c r="U568">
        <v>121</v>
      </c>
      <c r="V568" s="19" t="s">
        <v>2120</v>
      </c>
      <c r="W568" s="19" t="s">
        <v>1535</v>
      </c>
      <c r="X568">
        <v>0</v>
      </c>
      <c r="Y568">
        <v>0</v>
      </c>
      <c r="AA568">
        <v>81</v>
      </c>
      <c r="AB568">
        <v>42</v>
      </c>
      <c r="AC568">
        <v>12</v>
      </c>
      <c r="AD568">
        <v>42</v>
      </c>
      <c r="AE568" s="19" t="s">
        <v>60</v>
      </c>
    </row>
    <row r="569" spans="1:31" x14ac:dyDescent="0.2">
      <c r="A569">
        <v>542</v>
      </c>
      <c r="B569" s="19" t="s">
        <v>1111</v>
      </c>
      <c r="C569">
        <v>23</v>
      </c>
      <c r="D569" s="19" t="s">
        <v>416</v>
      </c>
      <c r="E569" s="19" t="s">
        <v>322</v>
      </c>
      <c r="F569">
        <v>20</v>
      </c>
      <c r="G569">
        <v>1</v>
      </c>
      <c r="H569">
        <v>6</v>
      </c>
      <c r="I569">
        <v>7</v>
      </c>
      <c r="J569">
        <v>-2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3</v>
      </c>
      <c r="Q569">
        <v>3</v>
      </c>
      <c r="R569">
        <v>0</v>
      </c>
      <c r="S569">
        <v>21</v>
      </c>
      <c r="T569">
        <v>4.8</v>
      </c>
      <c r="U569">
        <v>36</v>
      </c>
      <c r="V569" s="19" t="s">
        <v>2870</v>
      </c>
      <c r="W569" s="19" t="s">
        <v>1323</v>
      </c>
      <c r="X569">
        <v>22</v>
      </c>
      <c r="Y569">
        <v>37</v>
      </c>
      <c r="Z569">
        <v>37.299999999999997</v>
      </c>
      <c r="AA569">
        <v>6</v>
      </c>
      <c r="AB569">
        <v>23</v>
      </c>
      <c r="AC569">
        <v>1</v>
      </c>
      <c r="AD569">
        <v>12</v>
      </c>
      <c r="AE569" s="19" t="s">
        <v>60</v>
      </c>
    </row>
    <row r="570" spans="1:31" x14ac:dyDescent="0.2">
      <c r="A570">
        <v>543</v>
      </c>
      <c r="B570" s="19" t="s">
        <v>988</v>
      </c>
      <c r="C570">
        <v>34</v>
      </c>
      <c r="D570" s="19" t="s">
        <v>359</v>
      </c>
      <c r="E570" s="19" t="s">
        <v>322</v>
      </c>
      <c r="F570">
        <v>32</v>
      </c>
      <c r="G570">
        <v>6</v>
      </c>
      <c r="H570">
        <v>1</v>
      </c>
      <c r="I570">
        <v>7</v>
      </c>
      <c r="J570">
        <v>-8</v>
      </c>
      <c r="K570">
        <v>6</v>
      </c>
      <c r="L570">
        <v>6</v>
      </c>
      <c r="M570">
        <v>0</v>
      </c>
      <c r="N570">
        <v>0</v>
      </c>
      <c r="O570">
        <v>0</v>
      </c>
      <c r="P570">
        <v>1</v>
      </c>
      <c r="Q570">
        <v>0</v>
      </c>
      <c r="R570">
        <v>0</v>
      </c>
      <c r="S570">
        <v>29</v>
      </c>
      <c r="T570">
        <v>20.7</v>
      </c>
      <c r="U570">
        <v>44</v>
      </c>
      <c r="V570" s="19" t="s">
        <v>2519</v>
      </c>
      <c r="W570" s="19" t="s">
        <v>1994</v>
      </c>
      <c r="X570">
        <v>8</v>
      </c>
      <c r="Y570">
        <v>5</v>
      </c>
      <c r="Z570">
        <v>61.5</v>
      </c>
      <c r="AA570">
        <v>4</v>
      </c>
      <c r="AB570">
        <v>22</v>
      </c>
      <c r="AC570">
        <v>4</v>
      </c>
      <c r="AD570">
        <v>9</v>
      </c>
      <c r="AE570" s="19" t="s">
        <v>60</v>
      </c>
    </row>
    <row r="571" spans="1:31" x14ac:dyDescent="0.2">
      <c r="A571">
        <v>544</v>
      </c>
      <c r="B571" s="19" t="s">
        <v>1055</v>
      </c>
      <c r="C571">
        <v>25</v>
      </c>
      <c r="D571" s="19" t="s">
        <v>371</v>
      </c>
      <c r="E571" s="19" t="s">
        <v>349</v>
      </c>
      <c r="F571">
        <v>53</v>
      </c>
      <c r="G571">
        <v>1</v>
      </c>
      <c r="H571">
        <v>6</v>
      </c>
      <c r="I571">
        <v>7</v>
      </c>
      <c r="J571">
        <v>-6</v>
      </c>
      <c r="K571">
        <v>8</v>
      </c>
      <c r="L571">
        <v>1</v>
      </c>
      <c r="M571">
        <v>0</v>
      </c>
      <c r="N571">
        <v>0</v>
      </c>
      <c r="O571">
        <v>0</v>
      </c>
      <c r="P571">
        <v>6</v>
      </c>
      <c r="Q571">
        <v>0</v>
      </c>
      <c r="R571">
        <v>0</v>
      </c>
      <c r="S571">
        <v>38</v>
      </c>
      <c r="T571">
        <v>2.6</v>
      </c>
      <c r="U571">
        <v>115</v>
      </c>
      <c r="V571" s="19" t="s">
        <v>2871</v>
      </c>
      <c r="W571" s="19" t="s">
        <v>2872</v>
      </c>
      <c r="X571">
        <v>0</v>
      </c>
      <c r="Y571">
        <v>0</v>
      </c>
      <c r="AA571">
        <v>72</v>
      </c>
      <c r="AB571">
        <v>40</v>
      </c>
      <c r="AC571">
        <v>13</v>
      </c>
      <c r="AD571">
        <v>44</v>
      </c>
      <c r="AE571" s="19" t="s">
        <v>60</v>
      </c>
    </row>
    <row r="572" spans="1:31" x14ac:dyDescent="0.2">
      <c r="A572">
        <v>545</v>
      </c>
      <c r="B572" s="19" t="s">
        <v>989</v>
      </c>
      <c r="C572">
        <v>27</v>
      </c>
      <c r="D572" s="19" t="s">
        <v>459</v>
      </c>
      <c r="E572" s="19" t="s">
        <v>322</v>
      </c>
      <c r="F572">
        <v>39</v>
      </c>
      <c r="G572">
        <v>3</v>
      </c>
      <c r="H572">
        <v>4</v>
      </c>
      <c r="I572">
        <v>7</v>
      </c>
      <c r="J572">
        <v>-13</v>
      </c>
      <c r="K572">
        <v>16</v>
      </c>
      <c r="L572">
        <v>3</v>
      </c>
      <c r="M572">
        <v>0</v>
      </c>
      <c r="N572">
        <v>0</v>
      </c>
      <c r="O572">
        <v>0</v>
      </c>
      <c r="P572">
        <v>4</v>
      </c>
      <c r="Q572">
        <v>0</v>
      </c>
      <c r="R572">
        <v>0</v>
      </c>
      <c r="S572">
        <v>43</v>
      </c>
      <c r="T572">
        <v>7</v>
      </c>
      <c r="U572">
        <v>84</v>
      </c>
      <c r="V572" s="19" t="s">
        <v>2873</v>
      </c>
      <c r="W572" s="19" t="s">
        <v>1994</v>
      </c>
      <c r="X572">
        <v>17</v>
      </c>
      <c r="Y572">
        <v>25</v>
      </c>
      <c r="Z572">
        <v>40.5</v>
      </c>
      <c r="AA572">
        <v>11</v>
      </c>
      <c r="AB572">
        <v>47</v>
      </c>
      <c r="AC572">
        <v>12</v>
      </c>
      <c r="AD572">
        <v>16</v>
      </c>
      <c r="AE572" s="19" t="s">
        <v>60</v>
      </c>
    </row>
    <row r="573" spans="1:31" x14ac:dyDescent="0.2">
      <c r="A573">
        <v>546</v>
      </c>
      <c r="B573" s="19" t="s">
        <v>819</v>
      </c>
      <c r="C573">
        <v>33</v>
      </c>
      <c r="D573" s="19" t="s">
        <v>344</v>
      </c>
      <c r="E573" s="19" t="s">
        <v>322</v>
      </c>
      <c r="F573">
        <v>14</v>
      </c>
      <c r="G573">
        <v>4</v>
      </c>
      <c r="H573">
        <v>3</v>
      </c>
      <c r="I573">
        <v>7</v>
      </c>
      <c r="J573">
        <v>-1</v>
      </c>
      <c r="K573">
        <v>4</v>
      </c>
      <c r="L573">
        <v>2</v>
      </c>
      <c r="M573">
        <v>1</v>
      </c>
      <c r="N573">
        <v>1</v>
      </c>
      <c r="O573">
        <v>1</v>
      </c>
      <c r="P573">
        <v>3</v>
      </c>
      <c r="Q573">
        <v>0</v>
      </c>
      <c r="R573">
        <v>0</v>
      </c>
      <c r="S573">
        <v>30</v>
      </c>
      <c r="T573">
        <v>13.3</v>
      </c>
      <c r="U573">
        <v>48</v>
      </c>
      <c r="V573" s="19" t="s">
        <v>820</v>
      </c>
      <c r="W573" s="19" t="s">
        <v>702</v>
      </c>
      <c r="X573">
        <v>91</v>
      </c>
      <c r="Y573">
        <v>67</v>
      </c>
      <c r="Z573">
        <v>57.6</v>
      </c>
      <c r="AA573">
        <v>13</v>
      </c>
      <c r="AB573">
        <v>3</v>
      </c>
      <c r="AC573">
        <v>3</v>
      </c>
      <c r="AD573">
        <v>11</v>
      </c>
      <c r="AE573" s="19" t="s">
        <v>60</v>
      </c>
    </row>
    <row r="574" spans="1:31" x14ac:dyDescent="0.2">
      <c r="A574">
        <v>547</v>
      </c>
      <c r="B574" s="19" t="s">
        <v>914</v>
      </c>
      <c r="C574">
        <v>24</v>
      </c>
      <c r="D574" s="19" t="s">
        <v>530</v>
      </c>
      <c r="E574" s="19" t="s">
        <v>325</v>
      </c>
      <c r="F574">
        <v>37</v>
      </c>
      <c r="G574">
        <v>2</v>
      </c>
      <c r="H574">
        <v>5</v>
      </c>
      <c r="I574">
        <v>7</v>
      </c>
      <c r="J574">
        <v>-7</v>
      </c>
      <c r="K574">
        <v>21</v>
      </c>
      <c r="L574">
        <v>2</v>
      </c>
      <c r="M574">
        <v>0</v>
      </c>
      <c r="N574">
        <v>0</v>
      </c>
      <c r="O574">
        <v>0</v>
      </c>
      <c r="P574">
        <v>5</v>
      </c>
      <c r="Q574">
        <v>0</v>
      </c>
      <c r="R574">
        <v>0</v>
      </c>
      <c r="S574">
        <v>26</v>
      </c>
      <c r="T574">
        <v>7.7</v>
      </c>
      <c r="U574">
        <v>70</v>
      </c>
      <c r="V574" s="19" t="s">
        <v>1903</v>
      </c>
      <c r="W574" s="19" t="s">
        <v>992</v>
      </c>
      <c r="X574">
        <v>3</v>
      </c>
      <c r="Y574">
        <v>9</v>
      </c>
      <c r="Z574">
        <v>25</v>
      </c>
      <c r="AA574">
        <v>23</v>
      </c>
      <c r="AB574">
        <v>94</v>
      </c>
      <c r="AC574">
        <v>9</v>
      </c>
      <c r="AD574">
        <v>19</v>
      </c>
      <c r="AE574" s="19" t="s">
        <v>60</v>
      </c>
    </row>
    <row r="575" spans="1:31" x14ac:dyDescent="0.2">
      <c r="A575">
        <v>548</v>
      </c>
      <c r="B575" s="19" t="s">
        <v>990</v>
      </c>
      <c r="C575">
        <v>24</v>
      </c>
      <c r="D575" s="19" t="s">
        <v>416</v>
      </c>
      <c r="E575" s="19" t="s">
        <v>349</v>
      </c>
      <c r="F575">
        <v>46</v>
      </c>
      <c r="G575">
        <v>1</v>
      </c>
      <c r="H575">
        <v>6</v>
      </c>
      <c r="I575">
        <v>7</v>
      </c>
      <c r="J575">
        <v>-7</v>
      </c>
      <c r="K575">
        <v>22</v>
      </c>
      <c r="L575">
        <v>1</v>
      </c>
      <c r="M575">
        <v>0</v>
      </c>
      <c r="N575">
        <v>0</v>
      </c>
      <c r="O575">
        <v>0</v>
      </c>
      <c r="P575">
        <v>5</v>
      </c>
      <c r="Q575">
        <v>0</v>
      </c>
      <c r="R575">
        <v>1</v>
      </c>
      <c r="S575">
        <v>53</v>
      </c>
      <c r="T575">
        <v>1.9</v>
      </c>
      <c r="U575">
        <v>120</v>
      </c>
      <c r="V575" s="19" t="s">
        <v>2874</v>
      </c>
      <c r="W575" s="19" t="s">
        <v>2034</v>
      </c>
      <c r="X575">
        <v>0</v>
      </c>
      <c r="Y575">
        <v>0</v>
      </c>
      <c r="AA575">
        <v>67</v>
      </c>
      <c r="AB575">
        <v>77</v>
      </c>
      <c r="AC575">
        <v>20</v>
      </c>
      <c r="AD575">
        <v>47</v>
      </c>
      <c r="AE575" s="19" t="s">
        <v>60</v>
      </c>
    </row>
    <row r="576" spans="1:31" x14ac:dyDescent="0.2">
      <c r="A576">
        <v>549</v>
      </c>
      <c r="B576" s="19" t="s">
        <v>1573</v>
      </c>
      <c r="C576">
        <v>20</v>
      </c>
      <c r="D576" s="19" t="s">
        <v>330</v>
      </c>
      <c r="E576" s="19" t="s">
        <v>340</v>
      </c>
      <c r="F576">
        <v>20</v>
      </c>
      <c r="G576">
        <v>5</v>
      </c>
      <c r="H576">
        <v>2</v>
      </c>
      <c r="I576">
        <v>7</v>
      </c>
      <c r="J576">
        <v>-7</v>
      </c>
      <c r="K576">
        <v>6</v>
      </c>
      <c r="L576">
        <v>3</v>
      </c>
      <c r="M576">
        <v>2</v>
      </c>
      <c r="N576">
        <v>0</v>
      </c>
      <c r="O576">
        <v>0</v>
      </c>
      <c r="P576">
        <v>1</v>
      </c>
      <c r="Q576">
        <v>1</v>
      </c>
      <c r="R576">
        <v>0</v>
      </c>
      <c r="S576">
        <v>31</v>
      </c>
      <c r="T576">
        <v>16.100000000000001</v>
      </c>
      <c r="U576">
        <v>69</v>
      </c>
      <c r="V576" s="19" t="s">
        <v>2520</v>
      </c>
      <c r="W576" s="19" t="s">
        <v>2077</v>
      </c>
      <c r="X576">
        <v>1</v>
      </c>
      <c r="Y576">
        <v>1</v>
      </c>
      <c r="Z576">
        <v>50</v>
      </c>
      <c r="AA576">
        <v>6</v>
      </c>
      <c r="AB576">
        <v>32</v>
      </c>
      <c r="AC576">
        <v>5</v>
      </c>
      <c r="AD576">
        <v>9</v>
      </c>
      <c r="AE576" s="19" t="s">
        <v>60</v>
      </c>
    </row>
    <row r="577" spans="1:31" x14ac:dyDescent="0.2">
      <c r="A577">
        <v>550</v>
      </c>
      <c r="B577" s="19" t="s">
        <v>1221</v>
      </c>
      <c r="C577">
        <v>31</v>
      </c>
      <c r="D577" s="19" t="s">
        <v>436</v>
      </c>
      <c r="E577" s="19" t="s">
        <v>340</v>
      </c>
      <c r="F577">
        <v>47</v>
      </c>
      <c r="G577">
        <v>3</v>
      </c>
      <c r="H577">
        <v>4</v>
      </c>
      <c r="I577">
        <v>7</v>
      </c>
      <c r="J577">
        <v>-1</v>
      </c>
      <c r="K577">
        <v>55</v>
      </c>
      <c r="L577">
        <v>3</v>
      </c>
      <c r="M577">
        <v>0</v>
      </c>
      <c r="N577">
        <v>0</v>
      </c>
      <c r="O577">
        <v>0</v>
      </c>
      <c r="P577">
        <v>4</v>
      </c>
      <c r="Q577">
        <v>0</v>
      </c>
      <c r="R577">
        <v>0</v>
      </c>
      <c r="S577">
        <v>44</v>
      </c>
      <c r="T577">
        <v>6.8</v>
      </c>
      <c r="U577">
        <v>80</v>
      </c>
      <c r="V577" s="19" t="s">
        <v>2521</v>
      </c>
      <c r="W577" s="19" t="s">
        <v>2246</v>
      </c>
      <c r="X577">
        <v>4</v>
      </c>
      <c r="Y577">
        <v>8</v>
      </c>
      <c r="Z577">
        <v>33.299999999999997</v>
      </c>
      <c r="AA577">
        <v>14</v>
      </c>
      <c r="AB577">
        <v>106</v>
      </c>
      <c r="AC577">
        <v>2</v>
      </c>
      <c r="AD577">
        <v>16</v>
      </c>
      <c r="AE577" s="19" t="s">
        <v>60</v>
      </c>
    </row>
    <row r="578" spans="1:31" x14ac:dyDescent="0.2">
      <c r="A578">
        <v>551</v>
      </c>
      <c r="B578" s="19" t="s">
        <v>924</v>
      </c>
      <c r="C578">
        <v>31</v>
      </c>
      <c r="D578" s="19" t="s">
        <v>334</v>
      </c>
      <c r="E578" s="19" t="s">
        <v>349</v>
      </c>
      <c r="F578">
        <v>39</v>
      </c>
      <c r="G578">
        <v>1</v>
      </c>
      <c r="H578">
        <v>6</v>
      </c>
      <c r="I578">
        <v>7</v>
      </c>
      <c r="J578">
        <v>0</v>
      </c>
      <c r="K578">
        <v>36</v>
      </c>
      <c r="L578">
        <v>1</v>
      </c>
      <c r="M578">
        <v>0</v>
      </c>
      <c r="N578">
        <v>0</v>
      </c>
      <c r="O578">
        <v>0</v>
      </c>
      <c r="P578">
        <v>6</v>
      </c>
      <c r="Q578">
        <v>0</v>
      </c>
      <c r="R578">
        <v>0</v>
      </c>
      <c r="S578">
        <v>24</v>
      </c>
      <c r="T578">
        <v>4.2</v>
      </c>
      <c r="U578">
        <v>49</v>
      </c>
      <c r="V578" s="19" t="s">
        <v>2522</v>
      </c>
      <c r="W578" s="19" t="s">
        <v>1803</v>
      </c>
      <c r="X578">
        <v>0</v>
      </c>
      <c r="Y578">
        <v>0</v>
      </c>
      <c r="AA578">
        <v>67</v>
      </c>
      <c r="AB578">
        <v>54</v>
      </c>
      <c r="AC578">
        <v>7</v>
      </c>
      <c r="AD578">
        <v>37</v>
      </c>
      <c r="AE578" s="19" t="s">
        <v>60</v>
      </c>
    </row>
    <row r="579" spans="1:31" x14ac:dyDescent="0.2">
      <c r="A579">
        <v>552</v>
      </c>
      <c r="B579" s="19" t="s">
        <v>1068</v>
      </c>
      <c r="C579">
        <v>33</v>
      </c>
      <c r="D579" s="19" t="s">
        <v>384</v>
      </c>
      <c r="E579" s="19" t="s">
        <v>349</v>
      </c>
      <c r="F579">
        <v>49</v>
      </c>
      <c r="G579">
        <v>1</v>
      </c>
      <c r="H579">
        <v>6</v>
      </c>
      <c r="I579">
        <v>7</v>
      </c>
      <c r="J579">
        <v>-3</v>
      </c>
      <c r="K579">
        <v>59</v>
      </c>
      <c r="L579">
        <v>1</v>
      </c>
      <c r="M579">
        <v>0</v>
      </c>
      <c r="N579">
        <v>0</v>
      </c>
      <c r="O579">
        <v>0</v>
      </c>
      <c r="P579">
        <v>6</v>
      </c>
      <c r="Q579">
        <v>0</v>
      </c>
      <c r="R579">
        <v>0</v>
      </c>
      <c r="S579">
        <v>45</v>
      </c>
      <c r="T579">
        <v>2.2000000000000002</v>
      </c>
      <c r="U579">
        <v>123</v>
      </c>
      <c r="V579" s="19" t="s">
        <v>2875</v>
      </c>
      <c r="W579" s="19" t="s">
        <v>1723</v>
      </c>
      <c r="X579">
        <v>0</v>
      </c>
      <c r="Y579">
        <v>0</v>
      </c>
      <c r="AA579">
        <v>61</v>
      </c>
      <c r="AB579">
        <v>46</v>
      </c>
      <c r="AC579">
        <v>7</v>
      </c>
      <c r="AD579">
        <v>41</v>
      </c>
      <c r="AE579" s="19" t="s">
        <v>60</v>
      </c>
    </row>
    <row r="580" spans="1:31" x14ac:dyDescent="0.2">
      <c r="A580">
        <v>553</v>
      </c>
      <c r="B580" s="19" t="s">
        <v>882</v>
      </c>
      <c r="C580">
        <v>29</v>
      </c>
      <c r="D580" s="19" t="s">
        <v>366</v>
      </c>
      <c r="E580" s="19" t="s">
        <v>340</v>
      </c>
      <c r="F580">
        <v>28</v>
      </c>
      <c r="G580">
        <v>4</v>
      </c>
      <c r="H580">
        <v>3</v>
      </c>
      <c r="I580">
        <v>7</v>
      </c>
      <c r="J580">
        <v>1</v>
      </c>
      <c r="K580">
        <v>4</v>
      </c>
      <c r="L580">
        <v>4</v>
      </c>
      <c r="M580">
        <v>0</v>
      </c>
      <c r="N580">
        <v>0</v>
      </c>
      <c r="O580">
        <v>2</v>
      </c>
      <c r="P580">
        <v>3</v>
      </c>
      <c r="Q580">
        <v>0</v>
      </c>
      <c r="R580">
        <v>0</v>
      </c>
      <c r="S580">
        <v>31</v>
      </c>
      <c r="T580">
        <v>12.9</v>
      </c>
      <c r="U580">
        <v>52</v>
      </c>
      <c r="V580" s="19" t="s">
        <v>2058</v>
      </c>
      <c r="W580" s="19" t="s">
        <v>1814</v>
      </c>
      <c r="X580">
        <v>7</v>
      </c>
      <c r="Y580">
        <v>4</v>
      </c>
      <c r="Z580">
        <v>63.6</v>
      </c>
      <c r="AA580">
        <v>3</v>
      </c>
      <c r="AB580">
        <v>8</v>
      </c>
      <c r="AC580">
        <v>4</v>
      </c>
      <c r="AD580">
        <v>15</v>
      </c>
      <c r="AE580" s="19" t="s">
        <v>60</v>
      </c>
    </row>
    <row r="581" spans="1:31" x14ac:dyDescent="0.2">
      <c r="A581">
        <v>554</v>
      </c>
      <c r="B581" s="19" t="s">
        <v>1072</v>
      </c>
      <c r="C581">
        <v>32</v>
      </c>
      <c r="D581" s="19" t="s">
        <v>399</v>
      </c>
      <c r="E581" s="19" t="s">
        <v>335</v>
      </c>
      <c r="F581">
        <v>38</v>
      </c>
      <c r="G581">
        <v>3</v>
      </c>
      <c r="H581">
        <v>4</v>
      </c>
      <c r="I581">
        <v>7</v>
      </c>
      <c r="J581">
        <v>-12</v>
      </c>
      <c r="K581">
        <v>33</v>
      </c>
      <c r="L581">
        <v>2</v>
      </c>
      <c r="M581">
        <v>1</v>
      </c>
      <c r="N581">
        <v>0</v>
      </c>
      <c r="O581">
        <v>1</v>
      </c>
      <c r="P581">
        <v>2</v>
      </c>
      <c r="Q581">
        <v>2</v>
      </c>
      <c r="R581">
        <v>0</v>
      </c>
      <c r="S581">
        <v>52</v>
      </c>
      <c r="T581">
        <v>5.8</v>
      </c>
      <c r="U581">
        <v>93</v>
      </c>
      <c r="V581" s="19" t="s">
        <v>1875</v>
      </c>
      <c r="W581" s="19" t="s">
        <v>1787</v>
      </c>
      <c r="X581">
        <v>16</v>
      </c>
      <c r="Y581">
        <v>17</v>
      </c>
      <c r="Z581">
        <v>48.5</v>
      </c>
      <c r="AA581">
        <v>15</v>
      </c>
      <c r="AB581">
        <v>33</v>
      </c>
      <c r="AC581">
        <v>3</v>
      </c>
      <c r="AD581">
        <v>23</v>
      </c>
      <c r="AE581" s="19" t="s">
        <v>60</v>
      </c>
    </row>
    <row r="582" spans="1:31" x14ac:dyDescent="0.2">
      <c r="A582">
        <v>555</v>
      </c>
      <c r="B582" s="19" t="s">
        <v>1078</v>
      </c>
      <c r="C582">
        <v>31</v>
      </c>
      <c r="D582" s="19" t="s">
        <v>384</v>
      </c>
      <c r="E582" s="19" t="s">
        <v>349</v>
      </c>
      <c r="F582">
        <v>51</v>
      </c>
      <c r="G582">
        <v>3</v>
      </c>
      <c r="H582">
        <v>4</v>
      </c>
      <c r="I582">
        <v>7</v>
      </c>
      <c r="J582">
        <v>3</v>
      </c>
      <c r="K582">
        <v>26</v>
      </c>
      <c r="L582">
        <v>3</v>
      </c>
      <c r="M582">
        <v>0</v>
      </c>
      <c r="N582">
        <v>0</v>
      </c>
      <c r="O582">
        <v>2</v>
      </c>
      <c r="P582">
        <v>4</v>
      </c>
      <c r="Q582">
        <v>0</v>
      </c>
      <c r="R582">
        <v>0</v>
      </c>
      <c r="S582">
        <v>76</v>
      </c>
      <c r="T582">
        <v>3.9</v>
      </c>
      <c r="U582">
        <v>201</v>
      </c>
      <c r="V582" s="19" t="s">
        <v>2876</v>
      </c>
      <c r="W582" s="19" t="s">
        <v>1013</v>
      </c>
      <c r="X582">
        <v>0</v>
      </c>
      <c r="Y582">
        <v>0</v>
      </c>
      <c r="AA582">
        <v>89</v>
      </c>
      <c r="AB582">
        <v>35</v>
      </c>
      <c r="AC582">
        <v>23</v>
      </c>
      <c r="AD582">
        <v>48</v>
      </c>
      <c r="AE582" s="19" t="s">
        <v>60</v>
      </c>
    </row>
    <row r="583" spans="1:31" x14ac:dyDescent="0.2">
      <c r="A583">
        <v>556</v>
      </c>
      <c r="B583" s="19" t="s">
        <v>1244</v>
      </c>
      <c r="C583">
        <v>20</v>
      </c>
      <c r="D583" s="19" t="s">
        <v>361</v>
      </c>
      <c r="E583" s="19" t="s">
        <v>335</v>
      </c>
      <c r="F583">
        <v>19</v>
      </c>
      <c r="G583">
        <v>3</v>
      </c>
      <c r="H583">
        <v>4</v>
      </c>
      <c r="I583">
        <v>7</v>
      </c>
      <c r="J583">
        <v>1</v>
      </c>
      <c r="K583">
        <v>4</v>
      </c>
      <c r="L583">
        <v>2</v>
      </c>
      <c r="M583">
        <v>1</v>
      </c>
      <c r="N583">
        <v>0</v>
      </c>
      <c r="O583">
        <v>0</v>
      </c>
      <c r="P583">
        <v>3</v>
      </c>
      <c r="Q583">
        <v>1</v>
      </c>
      <c r="R583">
        <v>0</v>
      </c>
      <c r="S583">
        <v>19</v>
      </c>
      <c r="T583">
        <v>15.8</v>
      </c>
      <c r="U583">
        <v>42</v>
      </c>
      <c r="V583" s="19" t="s">
        <v>2523</v>
      </c>
      <c r="W583" s="19" t="s">
        <v>2079</v>
      </c>
      <c r="X583">
        <v>3</v>
      </c>
      <c r="Y583">
        <v>1</v>
      </c>
      <c r="Z583">
        <v>75</v>
      </c>
      <c r="AA583">
        <v>13</v>
      </c>
      <c r="AB583">
        <v>18</v>
      </c>
      <c r="AC583">
        <v>4</v>
      </c>
      <c r="AD583">
        <v>14</v>
      </c>
      <c r="AE583" s="19" t="s">
        <v>60</v>
      </c>
    </row>
    <row r="584" spans="1:31" x14ac:dyDescent="0.2">
      <c r="A584">
        <v>557</v>
      </c>
      <c r="B584" s="19" t="s">
        <v>452</v>
      </c>
      <c r="C584">
        <v>21</v>
      </c>
      <c r="D584" s="19" t="s">
        <v>447</v>
      </c>
      <c r="E584" s="19" t="s">
        <v>349</v>
      </c>
      <c r="F584">
        <v>41</v>
      </c>
      <c r="G584">
        <v>1</v>
      </c>
      <c r="H584">
        <v>6</v>
      </c>
      <c r="I584">
        <v>7</v>
      </c>
      <c r="J584">
        <v>-4</v>
      </c>
      <c r="K584">
        <v>12</v>
      </c>
      <c r="L584">
        <v>1</v>
      </c>
      <c r="M584">
        <v>0</v>
      </c>
      <c r="N584">
        <v>0</v>
      </c>
      <c r="O584">
        <v>0</v>
      </c>
      <c r="P584">
        <v>6</v>
      </c>
      <c r="Q584">
        <v>0</v>
      </c>
      <c r="R584">
        <v>0</v>
      </c>
      <c r="S584">
        <v>21</v>
      </c>
      <c r="T584">
        <v>4.8</v>
      </c>
      <c r="U584">
        <v>82</v>
      </c>
      <c r="V584" s="19" t="s">
        <v>2524</v>
      </c>
      <c r="W584" s="19" t="s">
        <v>1565</v>
      </c>
      <c r="X584">
        <v>0</v>
      </c>
      <c r="Y584">
        <v>0</v>
      </c>
      <c r="AA584">
        <v>48</v>
      </c>
      <c r="AB584">
        <v>72</v>
      </c>
      <c r="AC584">
        <v>10</v>
      </c>
      <c r="AD584">
        <v>40</v>
      </c>
      <c r="AE584" s="19" t="s">
        <v>60</v>
      </c>
    </row>
    <row r="585" spans="1:31" x14ac:dyDescent="0.2">
      <c r="A585">
        <v>558</v>
      </c>
      <c r="B585" s="19" t="s">
        <v>940</v>
      </c>
      <c r="C585">
        <v>32</v>
      </c>
      <c r="D585" s="19" t="s">
        <v>397</v>
      </c>
      <c r="E585" s="19" t="s">
        <v>349</v>
      </c>
      <c r="F585">
        <v>29</v>
      </c>
      <c r="G585">
        <v>1</v>
      </c>
      <c r="H585">
        <v>6</v>
      </c>
      <c r="I585">
        <v>7</v>
      </c>
      <c r="J585">
        <v>9</v>
      </c>
      <c r="K585">
        <v>14</v>
      </c>
      <c r="L585">
        <v>0</v>
      </c>
      <c r="M585">
        <v>0</v>
      </c>
      <c r="N585">
        <v>1</v>
      </c>
      <c r="O585">
        <v>0</v>
      </c>
      <c r="P585">
        <v>6</v>
      </c>
      <c r="Q585">
        <v>0</v>
      </c>
      <c r="R585">
        <v>0</v>
      </c>
      <c r="S585">
        <v>45</v>
      </c>
      <c r="T585">
        <v>2.2000000000000002</v>
      </c>
      <c r="U585">
        <v>108</v>
      </c>
      <c r="V585" s="19" t="s">
        <v>2086</v>
      </c>
      <c r="W585" s="19" t="s">
        <v>1800</v>
      </c>
      <c r="X585">
        <v>0</v>
      </c>
      <c r="Y585">
        <v>0</v>
      </c>
      <c r="AA585">
        <v>27</v>
      </c>
      <c r="AB585">
        <v>14</v>
      </c>
      <c r="AC585">
        <v>3</v>
      </c>
      <c r="AD585">
        <v>20</v>
      </c>
      <c r="AE585" s="19" t="s">
        <v>60</v>
      </c>
    </row>
    <row r="586" spans="1:31" x14ac:dyDescent="0.2">
      <c r="A586">
        <v>559</v>
      </c>
      <c r="B586" s="19" t="s">
        <v>833</v>
      </c>
      <c r="C586">
        <v>22</v>
      </c>
      <c r="D586" s="19" t="s">
        <v>428</v>
      </c>
      <c r="E586" s="19" t="s">
        <v>335</v>
      </c>
      <c r="F586">
        <v>13</v>
      </c>
      <c r="G586">
        <v>3</v>
      </c>
      <c r="H586">
        <v>4</v>
      </c>
      <c r="I586">
        <v>7</v>
      </c>
      <c r="J586">
        <v>-3</v>
      </c>
      <c r="K586">
        <v>0</v>
      </c>
      <c r="L586">
        <v>3</v>
      </c>
      <c r="M586">
        <v>0</v>
      </c>
      <c r="N586">
        <v>0</v>
      </c>
      <c r="O586">
        <v>0</v>
      </c>
      <c r="P586">
        <v>2</v>
      </c>
      <c r="Q586">
        <v>2</v>
      </c>
      <c r="R586">
        <v>0</v>
      </c>
      <c r="S586">
        <v>14</v>
      </c>
      <c r="T586">
        <v>21.4</v>
      </c>
      <c r="U586">
        <v>35</v>
      </c>
      <c r="V586" s="19" t="s">
        <v>1657</v>
      </c>
      <c r="W586" s="19" t="s">
        <v>645</v>
      </c>
      <c r="X586">
        <v>1</v>
      </c>
      <c r="Y586">
        <v>0</v>
      </c>
      <c r="Z586">
        <v>100</v>
      </c>
      <c r="AA586">
        <v>9</v>
      </c>
      <c r="AB586">
        <v>6</v>
      </c>
      <c r="AC586">
        <v>4</v>
      </c>
      <c r="AD586">
        <v>10</v>
      </c>
      <c r="AE586" s="19" t="s">
        <v>60</v>
      </c>
    </row>
    <row r="587" spans="1:31" x14ac:dyDescent="0.2">
      <c r="A587">
        <v>560</v>
      </c>
      <c r="B587" s="19" t="s">
        <v>1008</v>
      </c>
      <c r="C587">
        <v>33</v>
      </c>
      <c r="D587" s="19" t="s">
        <v>344</v>
      </c>
      <c r="E587" s="19" t="s">
        <v>340</v>
      </c>
      <c r="F587">
        <v>39</v>
      </c>
      <c r="G587">
        <v>2</v>
      </c>
      <c r="H587">
        <v>5</v>
      </c>
      <c r="I587">
        <v>7</v>
      </c>
      <c r="J587">
        <v>-1</v>
      </c>
      <c r="K587">
        <v>14</v>
      </c>
      <c r="L587">
        <v>2</v>
      </c>
      <c r="M587">
        <v>0</v>
      </c>
      <c r="N587">
        <v>0</v>
      </c>
      <c r="O587">
        <v>0</v>
      </c>
      <c r="P587">
        <v>5</v>
      </c>
      <c r="Q587">
        <v>0</v>
      </c>
      <c r="R587">
        <v>0</v>
      </c>
      <c r="S587">
        <v>64</v>
      </c>
      <c r="T587">
        <v>3.1</v>
      </c>
      <c r="U587">
        <v>113</v>
      </c>
      <c r="V587" s="19" t="s">
        <v>1876</v>
      </c>
      <c r="W587" s="19" t="s">
        <v>601</v>
      </c>
      <c r="X587">
        <v>8</v>
      </c>
      <c r="Y587">
        <v>20</v>
      </c>
      <c r="Z587">
        <v>28.6</v>
      </c>
      <c r="AA587">
        <v>17</v>
      </c>
      <c r="AB587">
        <v>9</v>
      </c>
      <c r="AC587">
        <v>8</v>
      </c>
      <c r="AD587">
        <v>26</v>
      </c>
      <c r="AE587" s="19" t="s">
        <v>60</v>
      </c>
    </row>
    <row r="588" spans="1:31" x14ac:dyDescent="0.2">
      <c r="A588">
        <v>561</v>
      </c>
      <c r="B588" s="19" t="s">
        <v>1084</v>
      </c>
      <c r="C588">
        <v>32</v>
      </c>
      <c r="D588" s="19" t="s">
        <v>407</v>
      </c>
      <c r="E588" s="19" t="s">
        <v>349</v>
      </c>
      <c r="F588">
        <v>50</v>
      </c>
      <c r="G588">
        <v>2</v>
      </c>
      <c r="H588">
        <v>5</v>
      </c>
      <c r="I588">
        <v>7</v>
      </c>
      <c r="J588">
        <v>-2</v>
      </c>
      <c r="K588">
        <v>25</v>
      </c>
      <c r="L588">
        <v>2</v>
      </c>
      <c r="M588">
        <v>0</v>
      </c>
      <c r="N588">
        <v>0</v>
      </c>
      <c r="O588">
        <v>0</v>
      </c>
      <c r="P588">
        <v>5</v>
      </c>
      <c r="Q588">
        <v>0</v>
      </c>
      <c r="R588">
        <v>0</v>
      </c>
      <c r="S588">
        <v>66</v>
      </c>
      <c r="T588">
        <v>3</v>
      </c>
      <c r="U588">
        <v>167</v>
      </c>
      <c r="V588" s="19" t="s">
        <v>2525</v>
      </c>
      <c r="W588" s="19" t="s">
        <v>508</v>
      </c>
      <c r="X588">
        <v>0</v>
      </c>
      <c r="Y588">
        <v>0</v>
      </c>
      <c r="AA588">
        <v>95</v>
      </c>
      <c r="AB588">
        <v>83</v>
      </c>
      <c r="AC588">
        <v>9</v>
      </c>
      <c r="AD588">
        <v>35</v>
      </c>
      <c r="AE588" s="19" t="s">
        <v>60</v>
      </c>
    </row>
    <row r="589" spans="1:31" x14ac:dyDescent="0.2">
      <c r="A589">
        <v>562</v>
      </c>
      <c r="B589" s="19" t="s">
        <v>1143</v>
      </c>
      <c r="C589">
        <v>28</v>
      </c>
      <c r="D589" s="19" t="s">
        <v>399</v>
      </c>
      <c r="E589" s="19" t="s">
        <v>349</v>
      </c>
      <c r="F589">
        <v>51</v>
      </c>
      <c r="G589">
        <v>0</v>
      </c>
      <c r="H589">
        <v>7</v>
      </c>
      <c r="I589">
        <v>7</v>
      </c>
      <c r="J589">
        <v>-6</v>
      </c>
      <c r="K589">
        <v>35</v>
      </c>
      <c r="L589">
        <v>0</v>
      </c>
      <c r="M589">
        <v>0</v>
      </c>
      <c r="N589">
        <v>0</v>
      </c>
      <c r="O589">
        <v>0</v>
      </c>
      <c r="P589">
        <v>6</v>
      </c>
      <c r="Q589">
        <v>0</v>
      </c>
      <c r="R589">
        <v>1</v>
      </c>
      <c r="S589">
        <v>43</v>
      </c>
      <c r="T589">
        <v>0</v>
      </c>
      <c r="U589">
        <v>103</v>
      </c>
      <c r="V589" s="19" t="s">
        <v>2526</v>
      </c>
      <c r="W589" s="19" t="s">
        <v>338</v>
      </c>
      <c r="X589">
        <v>0</v>
      </c>
      <c r="Y589">
        <v>0</v>
      </c>
      <c r="AA589">
        <v>87</v>
      </c>
      <c r="AB589">
        <v>73</v>
      </c>
      <c r="AC589">
        <v>18</v>
      </c>
      <c r="AD589">
        <v>68</v>
      </c>
      <c r="AE589" s="19" t="s">
        <v>60</v>
      </c>
    </row>
    <row r="590" spans="1:31" x14ac:dyDescent="0.2">
      <c r="A590">
        <v>563</v>
      </c>
      <c r="B590" s="19" t="s">
        <v>1596</v>
      </c>
      <c r="C590">
        <v>26</v>
      </c>
      <c r="D590" s="19" t="s">
        <v>376</v>
      </c>
      <c r="E590" s="19" t="s">
        <v>349</v>
      </c>
      <c r="F590">
        <v>16</v>
      </c>
      <c r="G590">
        <v>0</v>
      </c>
      <c r="H590">
        <v>7</v>
      </c>
      <c r="I590">
        <v>7</v>
      </c>
      <c r="J590">
        <v>7</v>
      </c>
      <c r="K590">
        <v>6</v>
      </c>
      <c r="L590">
        <v>0</v>
      </c>
      <c r="M590">
        <v>0</v>
      </c>
      <c r="N590">
        <v>0</v>
      </c>
      <c r="O590">
        <v>0</v>
      </c>
      <c r="P590">
        <v>7</v>
      </c>
      <c r="Q590">
        <v>0</v>
      </c>
      <c r="R590">
        <v>0</v>
      </c>
      <c r="S590">
        <v>16</v>
      </c>
      <c r="T590">
        <v>0</v>
      </c>
      <c r="U590">
        <v>34</v>
      </c>
      <c r="V590" s="19" t="s">
        <v>2293</v>
      </c>
      <c r="W590" s="19" t="s">
        <v>1953</v>
      </c>
      <c r="X590">
        <v>0</v>
      </c>
      <c r="Y590">
        <v>0</v>
      </c>
      <c r="AA590">
        <v>22</v>
      </c>
      <c r="AB590">
        <v>40</v>
      </c>
      <c r="AC590">
        <v>4</v>
      </c>
      <c r="AD590">
        <v>16</v>
      </c>
      <c r="AE590" s="19" t="s">
        <v>60</v>
      </c>
    </row>
    <row r="591" spans="1:31" x14ac:dyDescent="0.2">
      <c r="A591">
        <v>564</v>
      </c>
      <c r="B591" s="19" t="s">
        <v>1017</v>
      </c>
      <c r="C591">
        <v>24</v>
      </c>
      <c r="D591" s="19" t="s">
        <v>363</v>
      </c>
      <c r="E591" s="19" t="s">
        <v>349</v>
      </c>
      <c r="F591">
        <v>38</v>
      </c>
      <c r="G591">
        <v>0</v>
      </c>
      <c r="H591">
        <v>7</v>
      </c>
      <c r="I591">
        <v>7</v>
      </c>
      <c r="J591">
        <v>-3</v>
      </c>
      <c r="K591">
        <v>36</v>
      </c>
      <c r="L591">
        <v>0</v>
      </c>
      <c r="M591">
        <v>0</v>
      </c>
      <c r="N591">
        <v>0</v>
      </c>
      <c r="O591">
        <v>0</v>
      </c>
      <c r="P591">
        <v>7</v>
      </c>
      <c r="Q591">
        <v>0</v>
      </c>
      <c r="R591">
        <v>0</v>
      </c>
      <c r="S591">
        <v>12</v>
      </c>
      <c r="T591">
        <v>0</v>
      </c>
      <c r="U591">
        <v>59</v>
      </c>
      <c r="V591" s="19" t="s">
        <v>2294</v>
      </c>
      <c r="W591" s="19" t="s">
        <v>1734</v>
      </c>
      <c r="X591">
        <v>0</v>
      </c>
      <c r="Y591">
        <v>0</v>
      </c>
      <c r="AA591">
        <v>17</v>
      </c>
      <c r="AB591">
        <v>71</v>
      </c>
      <c r="AC591">
        <v>6</v>
      </c>
      <c r="AD591">
        <v>38</v>
      </c>
      <c r="AE591" s="19" t="s">
        <v>60</v>
      </c>
    </row>
    <row r="592" spans="1:31" x14ac:dyDescent="0.2">
      <c r="A592">
        <v>565</v>
      </c>
      <c r="B592" s="19" t="s">
        <v>1090</v>
      </c>
      <c r="C592">
        <v>25</v>
      </c>
      <c r="D592" s="19" t="s">
        <v>459</v>
      </c>
      <c r="E592" s="19" t="s">
        <v>349</v>
      </c>
      <c r="F592">
        <v>37</v>
      </c>
      <c r="G592">
        <v>1</v>
      </c>
      <c r="H592">
        <v>6</v>
      </c>
      <c r="I592">
        <v>7</v>
      </c>
      <c r="J592">
        <v>-4</v>
      </c>
      <c r="K592">
        <v>18</v>
      </c>
      <c r="L592">
        <v>1</v>
      </c>
      <c r="M592">
        <v>0</v>
      </c>
      <c r="N592">
        <v>0</v>
      </c>
      <c r="O592">
        <v>0</v>
      </c>
      <c r="P592">
        <v>6</v>
      </c>
      <c r="Q592">
        <v>0</v>
      </c>
      <c r="R592">
        <v>0</v>
      </c>
      <c r="S592">
        <v>35</v>
      </c>
      <c r="T592">
        <v>2.9</v>
      </c>
      <c r="U592">
        <v>78</v>
      </c>
      <c r="V592" s="19" t="s">
        <v>2877</v>
      </c>
      <c r="W592" s="19" t="s">
        <v>1748</v>
      </c>
      <c r="X592">
        <v>0</v>
      </c>
      <c r="Y592">
        <v>0</v>
      </c>
      <c r="AA592">
        <v>30</v>
      </c>
      <c r="AB592">
        <v>14</v>
      </c>
      <c r="AC592">
        <v>9</v>
      </c>
      <c r="AD592">
        <v>29</v>
      </c>
      <c r="AE592" s="19" t="s">
        <v>60</v>
      </c>
    </row>
    <row r="593" spans="1:31" x14ac:dyDescent="0.2">
      <c r="A593">
        <v>566</v>
      </c>
      <c r="B593" s="19" t="s">
        <v>1295</v>
      </c>
      <c r="C593">
        <v>20</v>
      </c>
      <c r="D593" s="19" t="s">
        <v>405</v>
      </c>
      <c r="E593" s="19" t="s">
        <v>340</v>
      </c>
      <c r="F593">
        <v>24</v>
      </c>
      <c r="G593">
        <v>3</v>
      </c>
      <c r="H593">
        <v>3</v>
      </c>
      <c r="I593">
        <v>6</v>
      </c>
      <c r="J593">
        <v>3</v>
      </c>
      <c r="K593">
        <v>8</v>
      </c>
      <c r="L593">
        <v>2</v>
      </c>
      <c r="M593">
        <v>1</v>
      </c>
      <c r="N593">
        <v>0</v>
      </c>
      <c r="O593">
        <v>0</v>
      </c>
      <c r="P593">
        <v>1</v>
      </c>
      <c r="Q593">
        <v>2</v>
      </c>
      <c r="R593">
        <v>0</v>
      </c>
      <c r="S593">
        <v>35</v>
      </c>
      <c r="T593">
        <v>8.6</v>
      </c>
      <c r="U593">
        <v>82</v>
      </c>
      <c r="V593" s="19" t="s">
        <v>2878</v>
      </c>
      <c r="W593" s="19" t="s">
        <v>1752</v>
      </c>
      <c r="X593">
        <v>6</v>
      </c>
      <c r="Y593">
        <v>11</v>
      </c>
      <c r="Z593">
        <v>35.299999999999997</v>
      </c>
      <c r="AA593">
        <v>17</v>
      </c>
      <c r="AB593">
        <v>14</v>
      </c>
      <c r="AC593">
        <v>3</v>
      </c>
      <c r="AD593">
        <v>13</v>
      </c>
      <c r="AE593" s="19" t="s">
        <v>60</v>
      </c>
    </row>
    <row r="594" spans="1:31" x14ac:dyDescent="0.2">
      <c r="A594">
        <v>567</v>
      </c>
      <c r="B594" s="19" t="s">
        <v>1100</v>
      </c>
      <c r="C594">
        <v>19</v>
      </c>
      <c r="D594" s="19" t="s">
        <v>324</v>
      </c>
      <c r="E594" s="19" t="s">
        <v>349</v>
      </c>
      <c r="F594">
        <v>41</v>
      </c>
      <c r="G594">
        <v>1</v>
      </c>
      <c r="H594">
        <v>5</v>
      </c>
      <c r="I594">
        <v>6</v>
      </c>
      <c r="J594">
        <v>-6</v>
      </c>
      <c r="K594">
        <v>14</v>
      </c>
      <c r="L594">
        <v>1</v>
      </c>
      <c r="M594">
        <v>0</v>
      </c>
      <c r="N594">
        <v>0</v>
      </c>
      <c r="O594">
        <v>0</v>
      </c>
      <c r="P594">
        <v>5</v>
      </c>
      <c r="Q594">
        <v>0</v>
      </c>
      <c r="R594">
        <v>0</v>
      </c>
      <c r="S594">
        <v>36</v>
      </c>
      <c r="T594">
        <v>2.8</v>
      </c>
      <c r="U594">
        <v>89</v>
      </c>
      <c r="V594" s="19" t="s">
        <v>2528</v>
      </c>
      <c r="W594" s="19" t="s">
        <v>1626</v>
      </c>
      <c r="X594">
        <v>0</v>
      </c>
      <c r="Y594">
        <v>0</v>
      </c>
      <c r="AA594">
        <v>36</v>
      </c>
      <c r="AB594">
        <v>37</v>
      </c>
      <c r="AC594">
        <v>10</v>
      </c>
      <c r="AD594">
        <v>43</v>
      </c>
      <c r="AE594" s="19" t="s">
        <v>60</v>
      </c>
    </row>
    <row r="595" spans="1:31" x14ac:dyDescent="0.2">
      <c r="A595">
        <v>568</v>
      </c>
      <c r="B595" s="19" t="s">
        <v>858</v>
      </c>
      <c r="C595">
        <v>28</v>
      </c>
      <c r="D595" s="19" t="s">
        <v>366</v>
      </c>
      <c r="E595" s="19" t="s">
        <v>335</v>
      </c>
      <c r="F595">
        <v>53</v>
      </c>
      <c r="G595">
        <v>4</v>
      </c>
      <c r="H595">
        <v>2</v>
      </c>
      <c r="I595">
        <v>6</v>
      </c>
      <c r="J595">
        <v>-4</v>
      </c>
      <c r="K595">
        <v>51</v>
      </c>
      <c r="L595">
        <v>3</v>
      </c>
      <c r="M595">
        <v>0</v>
      </c>
      <c r="N595">
        <v>1</v>
      </c>
      <c r="O595">
        <v>0</v>
      </c>
      <c r="P595">
        <v>2</v>
      </c>
      <c r="Q595">
        <v>0</v>
      </c>
      <c r="R595">
        <v>0</v>
      </c>
      <c r="S595">
        <v>37</v>
      </c>
      <c r="T595">
        <v>10.8</v>
      </c>
      <c r="U595">
        <v>86</v>
      </c>
      <c r="V595" s="19" t="s">
        <v>2879</v>
      </c>
      <c r="W595" s="19" t="s">
        <v>1845</v>
      </c>
      <c r="X595">
        <v>10</v>
      </c>
      <c r="Y595">
        <v>22</v>
      </c>
      <c r="Z595">
        <v>31.3</v>
      </c>
      <c r="AA595">
        <v>35</v>
      </c>
      <c r="AB595">
        <v>106</v>
      </c>
      <c r="AC595">
        <v>6</v>
      </c>
      <c r="AD595">
        <v>14</v>
      </c>
      <c r="AE595" s="19" t="s">
        <v>60</v>
      </c>
    </row>
    <row r="596" spans="1:31" x14ac:dyDescent="0.2">
      <c r="A596">
        <v>569</v>
      </c>
      <c r="B596" s="19" t="s">
        <v>1049</v>
      </c>
      <c r="C596">
        <v>31</v>
      </c>
      <c r="D596" s="19" t="s">
        <v>381</v>
      </c>
      <c r="E596" s="19" t="s">
        <v>322</v>
      </c>
      <c r="F596">
        <v>25</v>
      </c>
      <c r="G596">
        <v>2</v>
      </c>
      <c r="H596">
        <v>4</v>
      </c>
      <c r="I596">
        <v>6</v>
      </c>
      <c r="J596">
        <v>-1</v>
      </c>
      <c r="K596">
        <v>12</v>
      </c>
      <c r="L596">
        <v>0</v>
      </c>
      <c r="M596">
        <v>0</v>
      </c>
      <c r="N596">
        <v>2</v>
      </c>
      <c r="O596">
        <v>1</v>
      </c>
      <c r="P596">
        <v>4</v>
      </c>
      <c r="Q596">
        <v>0</v>
      </c>
      <c r="R596">
        <v>0</v>
      </c>
      <c r="S596">
        <v>29</v>
      </c>
      <c r="T596">
        <v>6.9</v>
      </c>
      <c r="U596">
        <v>61</v>
      </c>
      <c r="V596" s="19" t="s">
        <v>2215</v>
      </c>
      <c r="W596" s="19" t="s">
        <v>1691</v>
      </c>
      <c r="X596">
        <v>103</v>
      </c>
      <c r="Y596">
        <v>78</v>
      </c>
      <c r="Z596">
        <v>56.9</v>
      </c>
      <c r="AA596">
        <v>21</v>
      </c>
      <c r="AB596">
        <v>44</v>
      </c>
      <c r="AC596">
        <v>6</v>
      </c>
      <c r="AD596">
        <v>7</v>
      </c>
      <c r="AE596" s="19" t="s">
        <v>60</v>
      </c>
    </row>
    <row r="597" spans="1:31" x14ac:dyDescent="0.2">
      <c r="A597">
        <v>570</v>
      </c>
      <c r="B597" s="19" t="s">
        <v>981</v>
      </c>
      <c r="C597">
        <v>34</v>
      </c>
      <c r="D597" s="19" t="s">
        <v>436</v>
      </c>
      <c r="E597" s="19" t="s">
        <v>349</v>
      </c>
      <c r="F597">
        <v>48</v>
      </c>
      <c r="G597">
        <v>0</v>
      </c>
      <c r="H597">
        <v>6</v>
      </c>
      <c r="I597">
        <v>6</v>
      </c>
      <c r="J597">
        <v>-5</v>
      </c>
      <c r="K597">
        <v>27</v>
      </c>
      <c r="L597">
        <v>0</v>
      </c>
      <c r="M597">
        <v>0</v>
      </c>
      <c r="N597">
        <v>0</v>
      </c>
      <c r="O597">
        <v>0</v>
      </c>
      <c r="P597">
        <v>6</v>
      </c>
      <c r="Q597">
        <v>0</v>
      </c>
      <c r="R597">
        <v>0</v>
      </c>
      <c r="S597">
        <v>28</v>
      </c>
      <c r="T597">
        <v>0</v>
      </c>
      <c r="U597">
        <v>86</v>
      </c>
      <c r="V597" s="19" t="s">
        <v>2529</v>
      </c>
      <c r="W597" s="19" t="s">
        <v>609</v>
      </c>
      <c r="X597">
        <v>0</v>
      </c>
      <c r="Y597">
        <v>0</v>
      </c>
      <c r="AA597">
        <v>61</v>
      </c>
      <c r="AB597">
        <v>33</v>
      </c>
      <c r="AC597">
        <v>7</v>
      </c>
      <c r="AD597">
        <v>40</v>
      </c>
      <c r="AE597" s="19" t="s">
        <v>60</v>
      </c>
    </row>
    <row r="598" spans="1:31" x14ac:dyDescent="0.2">
      <c r="A598">
        <v>571</v>
      </c>
      <c r="B598" s="19" t="s">
        <v>1369</v>
      </c>
      <c r="C598">
        <v>24</v>
      </c>
      <c r="D598" s="19" t="s">
        <v>344</v>
      </c>
      <c r="E598" s="19" t="s">
        <v>335</v>
      </c>
      <c r="F598">
        <v>20</v>
      </c>
      <c r="G598">
        <v>2</v>
      </c>
      <c r="H598">
        <v>4</v>
      </c>
      <c r="I598">
        <v>6</v>
      </c>
      <c r="J598">
        <v>1</v>
      </c>
      <c r="K598">
        <v>8</v>
      </c>
      <c r="L598">
        <v>2</v>
      </c>
      <c r="M598">
        <v>0</v>
      </c>
      <c r="N598">
        <v>0</v>
      </c>
      <c r="O598">
        <v>0</v>
      </c>
      <c r="P598">
        <v>4</v>
      </c>
      <c r="Q598">
        <v>0</v>
      </c>
      <c r="R598">
        <v>0</v>
      </c>
      <c r="S598">
        <v>22</v>
      </c>
      <c r="T598">
        <v>9.1</v>
      </c>
      <c r="U598">
        <v>47</v>
      </c>
      <c r="V598" s="19" t="s">
        <v>2530</v>
      </c>
      <c r="W598" s="19" t="s">
        <v>2217</v>
      </c>
      <c r="X598">
        <v>2</v>
      </c>
      <c r="Y598">
        <v>9</v>
      </c>
      <c r="Z598">
        <v>18.2</v>
      </c>
      <c r="AA598">
        <v>10</v>
      </c>
      <c r="AB598">
        <v>14</v>
      </c>
      <c r="AC598">
        <v>1</v>
      </c>
      <c r="AD598">
        <v>14</v>
      </c>
      <c r="AE598" s="19" t="s">
        <v>60</v>
      </c>
    </row>
    <row r="599" spans="1:31" x14ac:dyDescent="0.2">
      <c r="A599">
        <v>572</v>
      </c>
      <c r="B599" s="19" t="s">
        <v>1382</v>
      </c>
      <c r="C599">
        <v>31</v>
      </c>
      <c r="D599" s="19" t="s">
        <v>447</v>
      </c>
      <c r="E599" s="19" t="s">
        <v>322</v>
      </c>
      <c r="F599">
        <v>30</v>
      </c>
      <c r="G599">
        <v>2</v>
      </c>
      <c r="H599">
        <v>4</v>
      </c>
      <c r="I599">
        <v>6</v>
      </c>
      <c r="J599">
        <v>-7</v>
      </c>
      <c r="K599">
        <v>6</v>
      </c>
      <c r="L599">
        <v>2</v>
      </c>
      <c r="M599">
        <v>0</v>
      </c>
      <c r="N599">
        <v>0</v>
      </c>
      <c r="O599">
        <v>0</v>
      </c>
      <c r="P599">
        <v>4</v>
      </c>
      <c r="Q599">
        <v>0</v>
      </c>
      <c r="R599">
        <v>0</v>
      </c>
      <c r="S599">
        <v>29</v>
      </c>
      <c r="T599">
        <v>6.9</v>
      </c>
      <c r="U599">
        <v>51</v>
      </c>
      <c r="V599" s="19" t="s">
        <v>2531</v>
      </c>
      <c r="W599" s="19" t="s">
        <v>2107</v>
      </c>
      <c r="X599">
        <v>225</v>
      </c>
      <c r="Y599">
        <v>204</v>
      </c>
      <c r="Z599">
        <v>52.4</v>
      </c>
      <c r="AA599">
        <v>16</v>
      </c>
      <c r="AB599">
        <v>34</v>
      </c>
      <c r="AC599">
        <v>5</v>
      </c>
      <c r="AD599">
        <v>14</v>
      </c>
      <c r="AE599" s="19" t="s">
        <v>60</v>
      </c>
    </row>
    <row r="600" spans="1:31" x14ac:dyDescent="0.2">
      <c r="A600">
        <v>573</v>
      </c>
      <c r="B600" s="19" t="s">
        <v>923</v>
      </c>
      <c r="C600">
        <v>26</v>
      </c>
      <c r="D600" s="19" t="s">
        <v>381</v>
      </c>
      <c r="E600" s="19" t="s">
        <v>322</v>
      </c>
      <c r="F600">
        <v>37</v>
      </c>
      <c r="G600">
        <v>1</v>
      </c>
      <c r="H600">
        <v>5</v>
      </c>
      <c r="I600">
        <v>6</v>
      </c>
      <c r="J600">
        <v>-5</v>
      </c>
      <c r="K600">
        <v>4</v>
      </c>
      <c r="L600">
        <v>1</v>
      </c>
      <c r="M600">
        <v>0</v>
      </c>
      <c r="N600">
        <v>0</v>
      </c>
      <c r="O600">
        <v>0</v>
      </c>
      <c r="P600">
        <v>5</v>
      </c>
      <c r="Q600">
        <v>0</v>
      </c>
      <c r="R600">
        <v>0</v>
      </c>
      <c r="S600">
        <v>31</v>
      </c>
      <c r="T600">
        <v>3.2</v>
      </c>
      <c r="U600">
        <v>50</v>
      </c>
      <c r="V600" s="19" t="s">
        <v>2880</v>
      </c>
      <c r="W600" s="19" t="s">
        <v>952</v>
      </c>
      <c r="X600">
        <v>98</v>
      </c>
      <c r="Y600">
        <v>88</v>
      </c>
      <c r="Z600">
        <v>52.7</v>
      </c>
      <c r="AA600">
        <v>16</v>
      </c>
      <c r="AB600">
        <v>18</v>
      </c>
      <c r="AC600">
        <v>4</v>
      </c>
      <c r="AD600">
        <v>23</v>
      </c>
      <c r="AE600" s="19" t="s">
        <v>60</v>
      </c>
    </row>
    <row r="601" spans="1:31" x14ac:dyDescent="0.2">
      <c r="A601">
        <v>574</v>
      </c>
      <c r="B601" s="19" t="s">
        <v>1067</v>
      </c>
      <c r="C601">
        <v>25</v>
      </c>
      <c r="D601" s="19" t="s">
        <v>334</v>
      </c>
      <c r="E601" s="19" t="s">
        <v>349</v>
      </c>
      <c r="F601">
        <v>25</v>
      </c>
      <c r="G601">
        <v>2</v>
      </c>
      <c r="H601">
        <v>4</v>
      </c>
      <c r="I601">
        <v>6</v>
      </c>
      <c r="J601">
        <v>6</v>
      </c>
      <c r="K601">
        <v>12</v>
      </c>
      <c r="L601">
        <v>2</v>
      </c>
      <c r="M601">
        <v>0</v>
      </c>
      <c r="N601">
        <v>0</v>
      </c>
      <c r="O601">
        <v>0</v>
      </c>
      <c r="P601">
        <v>4</v>
      </c>
      <c r="Q601">
        <v>0</v>
      </c>
      <c r="R601">
        <v>0</v>
      </c>
      <c r="S601">
        <v>23</v>
      </c>
      <c r="T601">
        <v>8.6999999999999993</v>
      </c>
      <c r="U601">
        <v>58</v>
      </c>
      <c r="V601" s="19" t="s">
        <v>2532</v>
      </c>
      <c r="W601" s="19" t="s">
        <v>1543</v>
      </c>
      <c r="X601">
        <v>0</v>
      </c>
      <c r="Y601">
        <v>0</v>
      </c>
      <c r="AA601">
        <v>26</v>
      </c>
      <c r="AB601">
        <v>20</v>
      </c>
      <c r="AC601">
        <v>4</v>
      </c>
      <c r="AD601">
        <v>26</v>
      </c>
      <c r="AE601" s="19" t="s">
        <v>60</v>
      </c>
    </row>
    <row r="602" spans="1:31" x14ac:dyDescent="0.2">
      <c r="A602">
        <v>575</v>
      </c>
      <c r="B602" s="19" t="s">
        <v>1131</v>
      </c>
      <c r="C602">
        <v>29</v>
      </c>
      <c r="D602" s="19" t="s">
        <v>419</v>
      </c>
      <c r="E602" s="19" t="s">
        <v>325</v>
      </c>
      <c r="F602">
        <v>34</v>
      </c>
      <c r="G602">
        <v>3</v>
      </c>
      <c r="H602">
        <v>3</v>
      </c>
      <c r="I602">
        <v>6</v>
      </c>
      <c r="J602">
        <v>-4</v>
      </c>
      <c r="K602">
        <v>23</v>
      </c>
      <c r="L602">
        <v>3</v>
      </c>
      <c r="M602">
        <v>0</v>
      </c>
      <c r="N602">
        <v>0</v>
      </c>
      <c r="O602">
        <v>0</v>
      </c>
      <c r="P602">
        <v>3</v>
      </c>
      <c r="Q602">
        <v>0</v>
      </c>
      <c r="R602">
        <v>0</v>
      </c>
      <c r="S602">
        <v>32</v>
      </c>
      <c r="T602">
        <v>9.4</v>
      </c>
      <c r="U602">
        <v>75</v>
      </c>
      <c r="V602" s="19" t="s">
        <v>2881</v>
      </c>
      <c r="W602" s="19" t="s">
        <v>1936</v>
      </c>
      <c r="X602">
        <v>2</v>
      </c>
      <c r="Y602">
        <v>4</v>
      </c>
      <c r="Z602">
        <v>33.299999999999997</v>
      </c>
      <c r="AA602">
        <v>13</v>
      </c>
      <c r="AB602">
        <v>97</v>
      </c>
      <c r="AC602">
        <v>5</v>
      </c>
      <c r="AD602">
        <v>13</v>
      </c>
      <c r="AE602" s="19" t="s">
        <v>60</v>
      </c>
    </row>
    <row r="603" spans="1:31" x14ac:dyDescent="0.2">
      <c r="A603">
        <v>576</v>
      </c>
      <c r="B603" s="19" t="s">
        <v>879</v>
      </c>
      <c r="C603">
        <v>24</v>
      </c>
      <c r="D603" s="19" t="s">
        <v>352</v>
      </c>
      <c r="E603" s="19" t="s">
        <v>349</v>
      </c>
      <c r="F603">
        <v>32</v>
      </c>
      <c r="G603">
        <v>2</v>
      </c>
      <c r="H603">
        <v>4</v>
      </c>
      <c r="I603">
        <v>6</v>
      </c>
      <c r="J603">
        <v>9</v>
      </c>
      <c r="K603">
        <v>43</v>
      </c>
      <c r="L603">
        <v>2</v>
      </c>
      <c r="M603">
        <v>0</v>
      </c>
      <c r="N603">
        <v>0</v>
      </c>
      <c r="O603">
        <v>0</v>
      </c>
      <c r="P603">
        <v>4</v>
      </c>
      <c r="Q603">
        <v>0</v>
      </c>
      <c r="R603">
        <v>0</v>
      </c>
      <c r="S603">
        <v>24</v>
      </c>
      <c r="T603">
        <v>8.3000000000000007</v>
      </c>
      <c r="U603">
        <v>62</v>
      </c>
      <c r="V603" s="19" t="s">
        <v>1564</v>
      </c>
      <c r="W603" s="19" t="s">
        <v>1518</v>
      </c>
      <c r="X603">
        <v>0</v>
      </c>
      <c r="Y603">
        <v>0</v>
      </c>
      <c r="AA603">
        <v>33</v>
      </c>
      <c r="AB603">
        <v>53</v>
      </c>
      <c r="AC603">
        <v>5</v>
      </c>
      <c r="AD603">
        <v>25</v>
      </c>
      <c r="AE603" s="19" t="s">
        <v>60</v>
      </c>
    </row>
    <row r="604" spans="1:31" x14ac:dyDescent="0.2">
      <c r="A604">
        <v>577</v>
      </c>
      <c r="B604" s="19" t="s">
        <v>1070</v>
      </c>
      <c r="C604">
        <v>18</v>
      </c>
      <c r="D604" s="19" t="s">
        <v>324</v>
      </c>
      <c r="E604" s="19" t="s">
        <v>325</v>
      </c>
      <c r="F604">
        <v>13</v>
      </c>
      <c r="G604">
        <v>1</v>
      </c>
      <c r="H604">
        <v>5</v>
      </c>
      <c r="I604">
        <v>6</v>
      </c>
      <c r="J604">
        <v>1</v>
      </c>
      <c r="K604">
        <v>2</v>
      </c>
      <c r="L604">
        <v>1</v>
      </c>
      <c r="M604">
        <v>0</v>
      </c>
      <c r="N604">
        <v>0</v>
      </c>
      <c r="O604">
        <v>0</v>
      </c>
      <c r="P604">
        <v>4</v>
      </c>
      <c r="Q604">
        <v>1</v>
      </c>
      <c r="R604">
        <v>0</v>
      </c>
      <c r="S604">
        <v>18</v>
      </c>
      <c r="T604">
        <v>5.6</v>
      </c>
      <c r="U604">
        <v>33</v>
      </c>
      <c r="V604" s="19" t="s">
        <v>2533</v>
      </c>
      <c r="W604" s="19" t="s">
        <v>1044</v>
      </c>
      <c r="X604">
        <v>43</v>
      </c>
      <c r="Y604">
        <v>40</v>
      </c>
      <c r="Z604">
        <v>51.8</v>
      </c>
      <c r="AA604">
        <v>9</v>
      </c>
      <c r="AB604">
        <v>3</v>
      </c>
      <c r="AC604">
        <v>0</v>
      </c>
      <c r="AD604">
        <v>8</v>
      </c>
      <c r="AE604" s="19" t="s">
        <v>60</v>
      </c>
    </row>
    <row r="605" spans="1:31" x14ac:dyDescent="0.2">
      <c r="A605">
        <v>578</v>
      </c>
      <c r="B605" s="19" t="s">
        <v>1234</v>
      </c>
      <c r="C605">
        <v>23</v>
      </c>
      <c r="D605" s="19" t="s">
        <v>361</v>
      </c>
      <c r="E605" s="19" t="s">
        <v>349</v>
      </c>
      <c r="F605">
        <v>24</v>
      </c>
      <c r="G605">
        <v>0</v>
      </c>
      <c r="H605">
        <v>6</v>
      </c>
      <c r="I605">
        <v>6</v>
      </c>
      <c r="J605">
        <v>-3</v>
      </c>
      <c r="K605">
        <v>2</v>
      </c>
      <c r="L605">
        <v>0</v>
      </c>
      <c r="M605">
        <v>0</v>
      </c>
      <c r="N605">
        <v>0</v>
      </c>
      <c r="O605">
        <v>0</v>
      </c>
      <c r="P605">
        <v>4</v>
      </c>
      <c r="Q605">
        <v>2</v>
      </c>
      <c r="R605">
        <v>0</v>
      </c>
      <c r="S605">
        <v>21</v>
      </c>
      <c r="T605">
        <v>0</v>
      </c>
      <c r="U605">
        <v>76</v>
      </c>
      <c r="V605" s="19" t="s">
        <v>2534</v>
      </c>
      <c r="W605" s="19" t="s">
        <v>698</v>
      </c>
      <c r="X605">
        <v>0</v>
      </c>
      <c r="Y605">
        <v>0</v>
      </c>
      <c r="AA605">
        <v>27</v>
      </c>
      <c r="AB605">
        <v>9</v>
      </c>
      <c r="AC605">
        <v>4</v>
      </c>
      <c r="AD605">
        <v>17</v>
      </c>
      <c r="AE605" s="19" t="s">
        <v>60</v>
      </c>
    </row>
    <row r="606" spans="1:31" x14ac:dyDescent="0.2">
      <c r="A606">
        <v>579</v>
      </c>
      <c r="B606" s="19" t="s">
        <v>931</v>
      </c>
      <c r="C606">
        <v>24</v>
      </c>
      <c r="D606" s="19" t="s">
        <v>324</v>
      </c>
      <c r="E606" s="19" t="s">
        <v>349</v>
      </c>
      <c r="F606">
        <v>23</v>
      </c>
      <c r="G606">
        <v>2</v>
      </c>
      <c r="H606">
        <v>4</v>
      </c>
      <c r="I606">
        <v>6</v>
      </c>
      <c r="J606">
        <v>-4</v>
      </c>
      <c r="K606">
        <v>12</v>
      </c>
      <c r="L606">
        <v>2</v>
      </c>
      <c r="M606">
        <v>0</v>
      </c>
      <c r="N606">
        <v>0</v>
      </c>
      <c r="O606">
        <v>0</v>
      </c>
      <c r="P606">
        <v>4</v>
      </c>
      <c r="Q606">
        <v>0</v>
      </c>
      <c r="R606">
        <v>0</v>
      </c>
      <c r="S606">
        <v>18</v>
      </c>
      <c r="T606">
        <v>11.1</v>
      </c>
      <c r="U606">
        <v>48</v>
      </c>
      <c r="V606" s="19" t="s">
        <v>1809</v>
      </c>
      <c r="W606" s="19" t="s">
        <v>941</v>
      </c>
      <c r="X606">
        <v>0</v>
      </c>
      <c r="Y606">
        <v>0</v>
      </c>
      <c r="AA606">
        <v>27</v>
      </c>
      <c r="AB606">
        <v>11</v>
      </c>
      <c r="AC606">
        <v>3</v>
      </c>
      <c r="AD606">
        <v>25</v>
      </c>
      <c r="AE606" s="19" t="s">
        <v>60</v>
      </c>
    </row>
    <row r="607" spans="1:31" x14ac:dyDescent="0.2">
      <c r="A607">
        <v>580</v>
      </c>
      <c r="B607" s="19" t="s">
        <v>1004</v>
      </c>
      <c r="C607">
        <v>21</v>
      </c>
      <c r="D607" s="19" t="s">
        <v>530</v>
      </c>
      <c r="E607" s="19" t="s">
        <v>335</v>
      </c>
      <c r="F607">
        <v>24</v>
      </c>
      <c r="G607">
        <v>4</v>
      </c>
      <c r="H607">
        <v>2</v>
      </c>
      <c r="I607">
        <v>6</v>
      </c>
      <c r="J607">
        <v>1</v>
      </c>
      <c r="K607">
        <v>6</v>
      </c>
      <c r="L607">
        <v>3</v>
      </c>
      <c r="M607">
        <v>1</v>
      </c>
      <c r="N607">
        <v>0</v>
      </c>
      <c r="O607">
        <v>0</v>
      </c>
      <c r="P607">
        <v>1</v>
      </c>
      <c r="Q607">
        <v>1</v>
      </c>
      <c r="R607">
        <v>0</v>
      </c>
      <c r="S607">
        <v>31</v>
      </c>
      <c r="T607">
        <v>12.9</v>
      </c>
      <c r="U607">
        <v>68</v>
      </c>
      <c r="V607" s="19" t="s">
        <v>1670</v>
      </c>
      <c r="W607" s="19" t="s">
        <v>1586</v>
      </c>
      <c r="X607">
        <v>2</v>
      </c>
      <c r="Y607">
        <v>4</v>
      </c>
      <c r="Z607">
        <v>33.299999999999997</v>
      </c>
      <c r="AA607">
        <v>4</v>
      </c>
      <c r="AB607">
        <v>20</v>
      </c>
      <c r="AC607">
        <v>1</v>
      </c>
      <c r="AD607">
        <v>13</v>
      </c>
      <c r="AE607" s="19" t="s">
        <v>60</v>
      </c>
    </row>
    <row r="608" spans="1:31" x14ac:dyDescent="0.2">
      <c r="A608">
        <v>581</v>
      </c>
      <c r="B608" s="19" t="s">
        <v>1079</v>
      </c>
      <c r="C608">
        <v>31</v>
      </c>
      <c r="D608" s="19" t="s">
        <v>399</v>
      </c>
      <c r="E608" s="19" t="s">
        <v>349</v>
      </c>
      <c r="F608">
        <v>27</v>
      </c>
      <c r="G608">
        <v>1</v>
      </c>
      <c r="H608">
        <v>5</v>
      </c>
      <c r="I608">
        <v>6</v>
      </c>
      <c r="J608">
        <v>-10</v>
      </c>
      <c r="K608">
        <v>4</v>
      </c>
      <c r="L608">
        <v>1</v>
      </c>
      <c r="M608">
        <v>0</v>
      </c>
      <c r="N608">
        <v>0</v>
      </c>
      <c r="O608">
        <v>0</v>
      </c>
      <c r="P608">
        <v>5</v>
      </c>
      <c r="Q608">
        <v>0</v>
      </c>
      <c r="R608">
        <v>0</v>
      </c>
      <c r="S608">
        <v>37</v>
      </c>
      <c r="T608">
        <v>2.7</v>
      </c>
      <c r="U608">
        <v>73</v>
      </c>
      <c r="V608" s="19" t="s">
        <v>2535</v>
      </c>
      <c r="W608" s="19" t="s">
        <v>2536</v>
      </c>
      <c r="X608">
        <v>0</v>
      </c>
      <c r="Y608">
        <v>0</v>
      </c>
      <c r="AA608">
        <v>62</v>
      </c>
      <c r="AB608">
        <v>9</v>
      </c>
      <c r="AC608">
        <v>11</v>
      </c>
      <c r="AD608">
        <v>14</v>
      </c>
      <c r="AE608" s="19" t="s">
        <v>60</v>
      </c>
    </row>
    <row r="609" spans="1:31" x14ac:dyDescent="0.2">
      <c r="A609">
        <v>582</v>
      </c>
      <c r="B609" s="19" t="s">
        <v>1007</v>
      </c>
      <c r="C609">
        <v>25</v>
      </c>
      <c r="D609" s="19" t="s">
        <v>344</v>
      </c>
      <c r="E609" s="19" t="s">
        <v>340</v>
      </c>
      <c r="F609">
        <v>34</v>
      </c>
      <c r="G609">
        <v>2</v>
      </c>
      <c r="H609">
        <v>4</v>
      </c>
      <c r="I609">
        <v>6</v>
      </c>
      <c r="J609">
        <v>-1</v>
      </c>
      <c r="K609">
        <v>12</v>
      </c>
      <c r="L609">
        <v>2</v>
      </c>
      <c r="M609">
        <v>0</v>
      </c>
      <c r="N609">
        <v>0</v>
      </c>
      <c r="O609">
        <v>0</v>
      </c>
      <c r="P609">
        <v>4</v>
      </c>
      <c r="Q609">
        <v>0</v>
      </c>
      <c r="R609">
        <v>0</v>
      </c>
      <c r="S609">
        <v>23</v>
      </c>
      <c r="T609">
        <v>8.6999999999999993</v>
      </c>
      <c r="U609">
        <v>54</v>
      </c>
      <c r="V609" s="19" t="s">
        <v>2295</v>
      </c>
      <c r="W609" s="19" t="s">
        <v>2182</v>
      </c>
      <c r="X609">
        <v>4</v>
      </c>
      <c r="Y609">
        <v>4</v>
      </c>
      <c r="Z609">
        <v>50</v>
      </c>
      <c r="AA609">
        <v>5</v>
      </c>
      <c r="AB609">
        <v>65</v>
      </c>
      <c r="AC609">
        <v>3</v>
      </c>
      <c r="AD609">
        <v>15</v>
      </c>
      <c r="AE609" s="19" t="s">
        <v>60</v>
      </c>
    </row>
    <row r="610" spans="1:31" x14ac:dyDescent="0.2">
      <c r="A610">
        <v>583</v>
      </c>
      <c r="B610" s="19" t="s">
        <v>1254</v>
      </c>
      <c r="C610">
        <v>22</v>
      </c>
      <c r="D610" s="19" t="s">
        <v>459</v>
      </c>
      <c r="E610" s="19" t="s">
        <v>340</v>
      </c>
      <c r="F610">
        <v>25</v>
      </c>
      <c r="G610">
        <v>4</v>
      </c>
      <c r="H610">
        <v>2</v>
      </c>
      <c r="I610">
        <v>6</v>
      </c>
      <c r="J610">
        <v>-9</v>
      </c>
      <c r="K610">
        <v>13</v>
      </c>
      <c r="L610">
        <v>4</v>
      </c>
      <c r="M610">
        <v>0</v>
      </c>
      <c r="N610">
        <v>0</v>
      </c>
      <c r="O610">
        <v>1</v>
      </c>
      <c r="P610">
        <v>2</v>
      </c>
      <c r="Q610">
        <v>0</v>
      </c>
      <c r="R610">
        <v>0</v>
      </c>
      <c r="S610">
        <v>23</v>
      </c>
      <c r="T610">
        <v>17.399999999999999</v>
      </c>
      <c r="U610">
        <v>51</v>
      </c>
      <c r="V610" s="19" t="s">
        <v>2126</v>
      </c>
      <c r="W610" s="19" t="s">
        <v>2054</v>
      </c>
      <c r="X610">
        <v>0</v>
      </c>
      <c r="Y610">
        <v>1</v>
      </c>
      <c r="Z610">
        <v>0</v>
      </c>
      <c r="AA610">
        <v>20</v>
      </c>
      <c r="AB610">
        <v>63</v>
      </c>
      <c r="AC610">
        <v>3</v>
      </c>
      <c r="AD610">
        <v>11</v>
      </c>
      <c r="AE610" s="19" t="s">
        <v>60</v>
      </c>
    </row>
    <row r="611" spans="1:31" x14ac:dyDescent="0.2">
      <c r="A611">
        <v>584</v>
      </c>
      <c r="B611" s="19" t="s">
        <v>1011</v>
      </c>
      <c r="C611">
        <v>36</v>
      </c>
      <c r="D611" s="19" t="s">
        <v>346</v>
      </c>
      <c r="E611" s="19" t="s">
        <v>349</v>
      </c>
      <c r="F611">
        <v>37</v>
      </c>
      <c r="G611">
        <v>1</v>
      </c>
      <c r="H611">
        <v>5</v>
      </c>
      <c r="I611">
        <v>6</v>
      </c>
      <c r="J611">
        <v>-7</v>
      </c>
      <c r="K611">
        <v>25</v>
      </c>
      <c r="L611">
        <v>1</v>
      </c>
      <c r="M611">
        <v>0</v>
      </c>
      <c r="N611">
        <v>0</v>
      </c>
      <c r="O611">
        <v>0</v>
      </c>
      <c r="P611">
        <v>5</v>
      </c>
      <c r="Q611">
        <v>0</v>
      </c>
      <c r="R611">
        <v>0</v>
      </c>
      <c r="S611">
        <v>29</v>
      </c>
      <c r="T611">
        <v>3.4</v>
      </c>
      <c r="U611">
        <v>77</v>
      </c>
      <c r="V611" s="19" t="s">
        <v>2882</v>
      </c>
      <c r="W611" s="19" t="s">
        <v>1009</v>
      </c>
      <c r="X611">
        <v>0</v>
      </c>
      <c r="Y611">
        <v>0</v>
      </c>
      <c r="AA611">
        <v>47</v>
      </c>
      <c r="AB611">
        <v>115</v>
      </c>
      <c r="AC611">
        <v>6</v>
      </c>
      <c r="AD611">
        <v>36</v>
      </c>
      <c r="AE611" s="19" t="s">
        <v>60</v>
      </c>
    </row>
    <row r="612" spans="1:31" x14ac:dyDescent="0.2">
      <c r="A612">
        <v>585</v>
      </c>
      <c r="B612" s="19" t="s">
        <v>1085</v>
      </c>
      <c r="C612">
        <v>32</v>
      </c>
      <c r="D612" s="19" t="s">
        <v>344</v>
      </c>
      <c r="E612" s="19" t="s">
        <v>322</v>
      </c>
      <c r="F612">
        <v>41</v>
      </c>
      <c r="G612">
        <v>3</v>
      </c>
      <c r="H612">
        <v>3</v>
      </c>
      <c r="I612">
        <v>6</v>
      </c>
      <c r="J612">
        <v>-7</v>
      </c>
      <c r="K612">
        <v>15</v>
      </c>
      <c r="L612">
        <v>3</v>
      </c>
      <c r="M612">
        <v>0</v>
      </c>
      <c r="N612">
        <v>0</v>
      </c>
      <c r="O612">
        <v>1</v>
      </c>
      <c r="P612">
        <v>2</v>
      </c>
      <c r="Q612">
        <v>1</v>
      </c>
      <c r="R612">
        <v>0</v>
      </c>
      <c r="S612">
        <v>43</v>
      </c>
      <c r="T612">
        <v>7</v>
      </c>
      <c r="U612">
        <v>81</v>
      </c>
      <c r="V612" s="19" t="s">
        <v>2021</v>
      </c>
      <c r="W612" s="19" t="s">
        <v>1737</v>
      </c>
      <c r="X612">
        <v>234</v>
      </c>
      <c r="Y612">
        <v>191</v>
      </c>
      <c r="Z612">
        <v>55.1</v>
      </c>
      <c r="AA612">
        <v>26</v>
      </c>
      <c r="AB612">
        <v>61</v>
      </c>
      <c r="AC612">
        <v>5</v>
      </c>
      <c r="AD612">
        <v>22</v>
      </c>
      <c r="AE612" s="19" t="s">
        <v>60</v>
      </c>
    </row>
    <row r="613" spans="1:31" x14ac:dyDescent="0.2">
      <c r="A613">
        <v>586</v>
      </c>
      <c r="B613" s="19" t="s">
        <v>894</v>
      </c>
      <c r="C613">
        <v>27</v>
      </c>
      <c r="D613" s="19" t="s">
        <v>428</v>
      </c>
      <c r="E613" s="19" t="s">
        <v>349</v>
      </c>
      <c r="F613">
        <v>33</v>
      </c>
      <c r="G613">
        <v>0</v>
      </c>
      <c r="H613">
        <v>6</v>
      </c>
      <c r="I613">
        <v>6</v>
      </c>
      <c r="J613">
        <v>-11</v>
      </c>
      <c r="K613">
        <v>16</v>
      </c>
      <c r="L613">
        <v>0</v>
      </c>
      <c r="M613">
        <v>0</v>
      </c>
      <c r="N613">
        <v>0</v>
      </c>
      <c r="O613">
        <v>0</v>
      </c>
      <c r="P613">
        <v>6</v>
      </c>
      <c r="Q613">
        <v>0</v>
      </c>
      <c r="R613">
        <v>0</v>
      </c>
      <c r="S613">
        <v>33</v>
      </c>
      <c r="T613">
        <v>0</v>
      </c>
      <c r="U613">
        <v>90</v>
      </c>
      <c r="V613" s="19" t="s">
        <v>1600</v>
      </c>
      <c r="W613" s="19" t="s">
        <v>1110</v>
      </c>
      <c r="X613">
        <v>0</v>
      </c>
      <c r="Y613">
        <v>0</v>
      </c>
      <c r="AA613">
        <v>70</v>
      </c>
      <c r="AB613">
        <v>25</v>
      </c>
      <c r="AC613">
        <v>8</v>
      </c>
      <c r="AD613">
        <v>40</v>
      </c>
      <c r="AE613" s="19" t="s">
        <v>60</v>
      </c>
    </row>
    <row r="614" spans="1:31" x14ac:dyDescent="0.2">
      <c r="A614">
        <v>587</v>
      </c>
      <c r="B614" s="19" t="s">
        <v>1148</v>
      </c>
      <c r="C614">
        <v>26</v>
      </c>
      <c r="D614" s="19" t="s">
        <v>513</v>
      </c>
      <c r="E614" s="19" t="s">
        <v>335</v>
      </c>
      <c r="F614">
        <v>36</v>
      </c>
      <c r="G614">
        <v>2</v>
      </c>
      <c r="H614">
        <v>4</v>
      </c>
      <c r="I614">
        <v>6</v>
      </c>
      <c r="J614">
        <v>-7</v>
      </c>
      <c r="K614">
        <v>24</v>
      </c>
      <c r="L614">
        <v>1</v>
      </c>
      <c r="M614">
        <v>0</v>
      </c>
      <c r="N614">
        <v>1</v>
      </c>
      <c r="O614">
        <v>0</v>
      </c>
      <c r="P614">
        <v>3</v>
      </c>
      <c r="Q614">
        <v>0</v>
      </c>
      <c r="R614">
        <v>1</v>
      </c>
      <c r="S614">
        <v>34</v>
      </c>
      <c r="T614">
        <v>5.9</v>
      </c>
      <c r="U614">
        <v>60</v>
      </c>
      <c r="V614" s="19" t="s">
        <v>2883</v>
      </c>
      <c r="W614" s="19" t="s">
        <v>1519</v>
      </c>
      <c r="X614">
        <v>1</v>
      </c>
      <c r="Y614">
        <v>1</v>
      </c>
      <c r="Z614">
        <v>50</v>
      </c>
      <c r="AA614">
        <v>35</v>
      </c>
      <c r="AB614">
        <v>81</v>
      </c>
      <c r="AC614">
        <v>5</v>
      </c>
      <c r="AD614">
        <v>19</v>
      </c>
      <c r="AE614" s="19" t="s">
        <v>60</v>
      </c>
    </row>
    <row r="615" spans="1:31" x14ac:dyDescent="0.2">
      <c r="A615">
        <v>588</v>
      </c>
      <c r="B615" s="19" t="s">
        <v>946</v>
      </c>
      <c r="C615">
        <v>34</v>
      </c>
      <c r="D615" s="19" t="s">
        <v>366</v>
      </c>
      <c r="E615" s="19" t="s">
        <v>349</v>
      </c>
      <c r="F615">
        <v>39</v>
      </c>
      <c r="G615">
        <v>1</v>
      </c>
      <c r="H615">
        <v>5</v>
      </c>
      <c r="I615">
        <v>6</v>
      </c>
      <c r="J615">
        <v>-5</v>
      </c>
      <c r="K615">
        <v>14</v>
      </c>
      <c r="L615">
        <v>1</v>
      </c>
      <c r="M615">
        <v>0</v>
      </c>
      <c r="N615">
        <v>0</v>
      </c>
      <c r="O615">
        <v>0</v>
      </c>
      <c r="P615">
        <v>5</v>
      </c>
      <c r="Q615">
        <v>0</v>
      </c>
      <c r="R615">
        <v>0</v>
      </c>
      <c r="S615">
        <v>20</v>
      </c>
      <c r="T615">
        <v>5</v>
      </c>
      <c r="U615">
        <v>56</v>
      </c>
      <c r="V615" s="19" t="s">
        <v>2884</v>
      </c>
      <c r="W615" s="19" t="s">
        <v>2150</v>
      </c>
      <c r="X615">
        <v>0</v>
      </c>
      <c r="Y615">
        <v>0</v>
      </c>
      <c r="AA615">
        <v>54</v>
      </c>
      <c r="AB615">
        <v>4</v>
      </c>
      <c r="AC615">
        <v>9</v>
      </c>
      <c r="AD615">
        <v>30</v>
      </c>
      <c r="AE615" s="19" t="s">
        <v>60</v>
      </c>
    </row>
    <row r="616" spans="1:31" x14ac:dyDescent="0.2">
      <c r="A616">
        <v>589</v>
      </c>
      <c r="B616" s="19" t="s">
        <v>1020</v>
      </c>
      <c r="C616">
        <v>31</v>
      </c>
      <c r="D616" s="19" t="s">
        <v>337</v>
      </c>
      <c r="E616" s="19" t="s">
        <v>340</v>
      </c>
      <c r="F616">
        <v>38</v>
      </c>
      <c r="G616">
        <v>3</v>
      </c>
      <c r="H616">
        <v>3</v>
      </c>
      <c r="I616">
        <v>6</v>
      </c>
      <c r="J616">
        <v>-10</v>
      </c>
      <c r="K616">
        <v>36</v>
      </c>
      <c r="L616">
        <v>3</v>
      </c>
      <c r="M616">
        <v>0</v>
      </c>
      <c r="N616">
        <v>0</v>
      </c>
      <c r="O616">
        <v>1</v>
      </c>
      <c r="P616">
        <v>2</v>
      </c>
      <c r="Q616">
        <v>1</v>
      </c>
      <c r="R616">
        <v>0</v>
      </c>
      <c r="S616">
        <v>68</v>
      </c>
      <c r="T616">
        <v>4.4000000000000004</v>
      </c>
      <c r="U616">
        <v>118</v>
      </c>
      <c r="V616" s="19" t="s">
        <v>1694</v>
      </c>
      <c r="W616" s="19" t="s">
        <v>986</v>
      </c>
      <c r="X616">
        <v>5</v>
      </c>
      <c r="Y616">
        <v>8</v>
      </c>
      <c r="Z616">
        <v>38.5</v>
      </c>
      <c r="AA616">
        <v>24</v>
      </c>
      <c r="AB616">
        <v>67</v>
      </c>
      <c r="AC616">
        <v>5</v>
      </c>
      <c r="AD616">
        <v>15</v>
      </c>
      <c r="AE616" s="19" t="s">
        <v>60</v>
      </c>
    </row>
    <row r="617" spans="1:31" x14ac:dyDescent="0.2">
      <c r="A617">
        <v>590</v>
      </c>
      <c r="B617" s="19" t="s">
        <v>1119</v>
      </c>
      <c r="C617">
        <v>32</v>
      </c>
      <c r="D617" s="19" t="s">
        <v>950</v>
      </c>
      <c r="E617" s="19" t="s">
        <v>349</v>
      </c>
      <c r="F617">
        <v>50</v>
      </c>
      <c r="G617">
        <v>1</v>
      </c>
      <c r="H617">
        <v>5</v>
      </c>
      <c r="I617">
        <v>6</v>
      </c>
      <c r="J617">
        <v>-3</v>
      </c>
      <c r="K617">
        <v>28</v>
      </c>
      <c r="L617">
        <v>1</v>
      </c>
      <c r="M617">
        <v>0</v>
      </c>
      <c r="N617">
        <v>0</v>
      </c>
      <c r="O617">
        <v>0</v>
      </c>
      <c r="P617">
        <v>5</v>
      </c>
      <c r="Q617">
        <v>0</v>
      </c>
      <c r="R617">
        <v>0</v>
      </c>
      <c r="S617">
        <v>56</v>
      </c>
      <c r="T617">
        <v>1.8</v>
      </c>
      <c r="U617">
        <v>142</v>
      </c>
      <c r="V617" s="19" t="s">
        <v>2296</v>
      </c>
      <c r="W617" s="19" t="s">
        <v>1622</v>
      </c>
      <c r="X617">
        <v>0</v>
      </c>
      <c r="Y617">
        <v>0</v>
      </c>
      <c r="AA617">
        <v>71</v>
      </c>
      <c r="AB617">
        <v>7</v>
      </c>
      <c r="AC617">
        <v>7</v>
      </c>
      <c r="AD617">
        <v>37</v>
      </c>
      <c r="AE617" s="19" t="s">
        <v>60</v>
      </c>
    </row>
    <row r="618" spans="1:31" x14ac:dyDescent="0.2">
      <c r="A618">
        <v>590</v>
      </c>
      <c r="B618" s="19" t="s">
        <v>1119</v>
      </c>
      <c r="C618">
        <v>32</v>
      </c>
      <c r="D618" s="19" t="s">
        <v>328</v>
      </c>
      <c r="E618" s="19" t="s">
        <v>349</v>
      </c>
      <c r="F618">
        <v>31</v>
      </c>
      <c r="G618">
        <v>0</v>
      </c>
      <c r="H618">
        <v>2</v>
      </c>
      <c r="I618">
        <v>2</v>
      </c>
      <c r="J618">
        <v>-7</v>
      </c>
      <c r="K618">
        <v>10</v>
      </c>
      <c r="L618">
        <v>0</v>
      </c>
      <c r="M618">
        <v>0</v>
      </c>
      <c r="N618">
        <v>0</v>
      </c>
      <c r="O618">
        <v>0</v>
      </c>
      <c r="P618">
        <v>2</v>
      </c>
      <c r="Q618">
        <v>0</v>
      </c>
      <c r="R618">
        <v>0</v>
      </c>
      <c r="S618">
        <v>33</v>
      </c>
      <c r="T618">
        <v>0</v>
      </c>
      <c r="U618">
        <v>87</v>
      </c>
      <c r="V618" s="19" t="s">
        <v>1545</v>
      </c>
      <c r="W618" s="19" t="s">
        <v>1546</v>
      </c>
      <c r="X618">
        <v>0</v>
      </c>
      <c r="Y618">
        <v>0</v>
      </c>
      <c r="AA618">
        <v>38</v>
      </c>
      <c r="AB618">
        <v>4</v>
      </c>
      <c r="AC618">
        <v>5</v>
      </c>
      <c r="AD618">
        <v>18</v>
      </c>
      <c r="AE618" s="19" t="s">
        <v>60</v>
      </c>
    </row>
    <row r="619" spans="1:31" x14ac:dyDescent="0.2">
      <c r="A619">
        <v>590</v>
      </c>
      <c r="B619" s="19" t="s">
        <v>1119</v>
      </c>
      <c r="C619">
        <v>32</v>
      </c>
      <c r="D619" s="19" t="s">
        <v>376</v>
      </c>
      <c r="E619" s="19" t="s">
        <v>349</v>
      </c>
      <c r="F619">
        <v>19</v>
      </c>
      <c r="G619">
        <v>1</v>
      </c>
      <c r="H619">
        <v>3</v>
      </c>
      <c r="I619">
        <v>4</v>
      </c>
      <c r="J619">
        <v>4</v>
      </c>
      <c r="K619">
        <v>18</v>
      </c>
      <c r="L619">
        <v>1</v>
      </c>
      <c r="M619">
        <v>0</v>
      </c>
      <c r="N619">
        <v>0</v>
      </c>
      <c r="O619">
        <v>0</v>
      </c>
      <c r="P619">
        <v>3</v>
      </c>
      <c r="Q619">
        <v>0</v>
      </c>
      <c r="R619">
        <v>0</v>
      </c>
      <c r="S619">
        <v>23</v>
      </c>
      <c r="T619">
        <v>4.3</v>
      </c>
      <c r="U619">
        <v>55</v>
      </c>
      <c r="V619" s="19" t="s">
        <v>2297</v>
      </c>
      <c r="W619" s="19" t="s">
        <v>1668</v>
      </c>
      <c r="X619">
        <v>0</v>
      </c>
      <c r="Y619">
        <v>0</v>
      </c>
      <c r="AA619">
        <v>33</v>
      </c>
      <c r="AB619">
        <v>3</v>
      </c>
      <c r="AC619">
        <v>2</v>
      </c>
      <c r="AD619">
        <v>19</v>
      </c>
      <c r="AE619" s="19" t="s">
        <v>60</v>
      </c>
    </row>
    <row r="620" spans="1:31" x14ac:dyDescent="0.2">
      <c r="A620">
        <v>591</v>
      </c>
      <c r="B620" s="19" t="s">
        <v>1023</v>
      </c>
      <c r="C620">
        <v>31</v>
      </c>
      <c r="D620" s="19" t="s">
        <v>381</v>
      </c>
      <c r="E620" s="19" t="s">
        <v>322</v>
      </c>
      <c r="F620">
        <v>26</v>
      </c>
      <c r="G620">
        <v>1</v>
      </c>
      <c r="H620">
        <v>4</v>
      </c>
      <c r="I620">
        <v>5</v>
      </c>
      <c r="J620">
        <v>-1</v>
      </c>
      <c r="K620">
        <v>12</v>
      </c>
      <c r="L620">
        <v>1</v>
      </c>
      <c r="M620">
        <v>0</v>
      </c>
      <c r="N620">
        <v>0</v>
      </c>
      <c r="O620">
        <v>0</v>
      </c>
      <c r="P620">
        <v>4</v>
      </c>
      <c r="Q620">
        <v>0</v>
      </c>
      <c r="R620">
        <v>0</v>
      </c>
      <c r="S620">
        <v>17</v>
      </c>
      <c r="T620">
        <v>5.9</v>
      </c>
      <c r="U620">
        <v>31</v>
      </c>
      <c r="V620" s="19" t="s">
        <v>2216</v>
      </c>
      <c r="W620" s="19" t="s">
        <v>1639</v>
      </c>
      <c r="X620">
        <v>7</v>
      </c>
      <c r="Y620">
        <v>18</v>
      </c>
      <c r="Z620">
        <v>28</v>
      </c>
      <c r="AA620">
        <v>17</v>
      </c>
      <c r="AB620">
        <v>71</v>
      </c>
      <c r="AC620">
        <v>2</v>
      </c>
      <c r="AD620">
        <v>10</v>
      </c>
      <c r="AE620" s="19" t="s">
        <v>60</v>
      </c>
    </row>
    <row r="621" spans="1:31" x14ac:dyDescent="0.2">
      <c r="A621">
        <v>592</v>
      </c>
      <c r="B621" s="19" t="s">
        <v>897</v>
      </c>
      <c r="C621">
        <v>25</v>
      </c>
      <c r="D621" s="19" t="s">
        <v>447</v>
      </c>
      <c r="E621" s="19" t="s">
        <v>325</v>
      </c>
      <c r="F621">
        <v>28</v>
      </c>
      <c r="G621">
        <v>1</v>
      </c>
      <c r="H621">
        <v>4</v>
      </c>
      <c r="I621">
        <v>5</v>
      </c>
      <c r="J621">
        <v>-3</v>
      </c>
      <c r="K621">
        <v>12</v>
      </c>
      <c r="L621">
        <v>1</v>
      </c>
      <c r="M621">
        <v>0</v>
      </c>
      <c r="N621">
        <v>0</v>
      </c>
      <c r="O621">
        <v>0</v>
      </c>
      <c r="P621">
        <v>3</v>
      </c>
      <c r="Q621">
        <v>1</v>
      </c>
      <c r="R621">
        <v>0</v>
      </c>
      <c r="S621">
        <v>18</v>
      </c>
      <c r="T621">
        <v>5.6</v>
      </c>
      <c r="U621">
        <v>31</v>
      </c>
      <c r="V621" s="19" t="s">
        <v>2128</v>
      </c>
      <c r="W621" s="19" t="s">
        <v>1304</v>
      </c>
      <c r="X621">
        <v>2</v>
      </c>
      <c r="Y621">
        <v>12</v>
      </c>
      <c r="Z621">
        <v>14.3</v>
      </c>
      <c r="AA621">
        <v>5</v>
      </c>
      <c r="AB621">
        <v>24</v>
      </c>
      <c r="AC621">
        <v>6</v>
      </c>
      <c r="AD621">
        <v>11</v>
      </c>
      <c r="AE621" s="19" t="s">
        <v>60</v>
      </c>
    </row>
    <row r="622" spans="1:31" x14ac:dyDescent="0.2">
      <c r="A622">
        <v>593</v>
      </c>
      <c r="B622" s="19" t="s">
        <v>1033</v>
      </c>
      <c r="C622">
        <v>28</v>
      </c>
      <c r="D622" s="19" t="s">
        <v>428</v>
      </c>
      <c r="E622" s="19" t="s">
        <v>349</v>
      </c>
      <c r="F622">
        <v>33</v>
      </c>
      <c r="G622">
        <v>2</v>
      </c>
      <c r="H622">
        <v>3</v>
      </c>
      <c r="I622">
        <v>5</v>
      </c>
      <c r="J622">
        <v>0</v>
      </c>
      <c r="K622">
        <v>8</v>
      </c>
      <c r="L622">
        <v>2</v>
      </c>
      <c r="M622">
        <v>0</v>
      </c>
      <c r="N622">
        <v>0</v>
      </c>
      <c r="O622">
        <v>0</v>
      </c>
      <c r="P622">
        <v>3</v>
      </c>
      <c r="Q622">
        <v>0</v>
      </c>
      <c r="R622">
        <v>0</v>
      </c>
      <c r="S622">
        <v>11</v>
      </c>
      <c r="T622">
        <v>18.2</v>
      </c>
      <c r="U622">
        <v>38</v>
      </c>
      <c r="V622" s="19" t="s">
        <v>2298</v>
      </c>
      <c r="W622" s="19" t="s">
        <v>1000</v>
      </c>
      <c r="X622">
        <v>0</v>
      </c>
      <c r="Y622">
        <v>0</v>
      </c>
      <c r="AA622">
        <v>20</v>
      </c>
      <c r="AB622">
        <v>9</v>
      </c>
      <c r="AC622">
        <v>2</v>
      </c>
      <c r="AD622">
        <v>10</v>
      </c>
      <c r="AE622" s="19" t="s">
        <v>60</v>
      </c>
    </row>
    <row r="623" spans="1:31" x14ac:dyDescent="0.2">
      <c r="A623">
        <v>594</v>
      </c>
      <c r="B623" s="19" t="s">
        <v>963</v>
      </c>
      <c r="C623">
        <v>28</v>
      </c>
      <c r="D623" s="19" t="s">
        <v>334</v>
      </c>
      <c r="E623" s="19" t="s">
        <v>349</v>
      </c>
      <c r="F623">
        <v>26</v>
      </c>
      <c r="G623">
        <v>2</v>
      </c>
      <c r="H623">
        <v>3</v>
      </c>
      <c r="I623">
        <v>5</v>
      </c>
      <c r="J623">
        <v>0</v>
      </c>
      <c r="K623">
        <v>8</v>
      </c>
      <c r="L623">
        <v>2</v>
      </c>
      <c r="M623">
        <v>0</v>
      </c>
      <c r="N623">
        <v>0</v>
      </c>
      <c r="O623">
        <v>0</v>
      </c>
      <c r="P623">
        <v>3</v>
      </c>
      <c r="Q623">
        <v>0</v>
      </c>
      <c r="R623">
        <v>0</v>
      </c>
      <c r="S623">
        <v>14</v>
      </c>
      <c r="T623">
        <v>14.3</v>
      </c>
      <c r="U623">
        <v>49</v>
      </c>
      <c r="V623" s="19" t="s">
        <v>2537</v>
      </c>
      <c r="W623" s="19" t="s">
        <v>793</v>
      </c>
      <c r="X623">
        <v>0</v>
      </c>
      <c r="Y623">
        <v>0</v>
      </c>
      <c r="AA623">
        <v>19</v>
      </c>
      <c r="AB623">
        <v>10</v>
      </c>
      <c r="AC623">
        <v>9</v>
      </c>
      <c r="AD623">
        <v>16</v>
      </c>
      <c r="AE623" s="19" t="s">
        <v>60</v>
      </c>
    </row>
    <row r="624" spans="1:31" x14ac:dyDescent="0.2">
      <c r="A624">
        <v>595</v>
      </c>
      <c r="B624" s="19" t="s">
        <v>965</v>
      </c>
      <c r="C624">
        <v>28</v>
      </c>
      <c r="D624" s="19" t="s">
        <v>352</v>
      </c>
      <c r="E624" s="19" t="s">
        <v>349</v>
      </c>
      <c r="F624">
        <v>31</v>
      </c>
      <c r="G624">
        <v>0</v>
      </c>
      <c r="H624">
        <v>5</v>
      </c>
      <c r="I624">
        <v>5</v>
      </c>
      <c r="J624">
        <v>1</v>
      </c>
      <c r="K624">
        <v>41</v>
      </c>
      <c r="L624">
        <v>0</v>
      </c>
      <c r="M624">
        <v>0</v>
      </c>
      <c r="N624">
        <v>0</v>
      </c>
      <c r="O624">
        <v>0</v>
      </c>
      <c r="P624">
        <v>4</v>
      </c>
      <c r="Q624">
        <v>0</v>
      </c>
      <c r="R624">
        <v>1</v>
      </c>
      <c r="S624">
        <v>24</v>
      </c>
      <c r="T624">
        <v>0</v>
      </c>
      <c r="U624">
        <v>62</v>
      </c>
      <c r="V624" s="19" t="s">
        <v>2885</v>
      </c>
      <c r="W624" s="19" t="s">
        <v>1788</v>
      </c>
      <c r="X624">
        <v>0</v>
      </c>
      <c r="Y624">
        <v>0</v>
      </c>
      <c r="AA624">
        <v>58</v>
      </c>
      <c r="AB624">
        <v>61</v>
      </c>
      <c r="AC624">
        <v>5</v>
      </c>
      <c r="AD624">
        <v>29</v>
      </c>
      <c r="AE624" s="19" t="s">
        <v>60</v>
      </c>
    </row>
    <row r="625" spans="1:31" x14ac:dyDescent="0.2">
      <c r="A625">
        <v>596</v>
      </c>
      <c r="B625" s="19" t="s">
        <v>1052</v>
      </c>
      <c r="C625">
        <v>28</v>
      </c>
      <c r="D625" s="19" t="s">
        <v>428</v>
      </c>
      <c r="E625" s="19" t="s">
        <v>340</v>
      </c>
      <c r="F625">
        <v>33</v>
      </c>
      <c r="G625">
        <v>1</v>
      </c>
      <c r="H625">
        <v>4</v>
      </c>
      <c r="I625">
        <v>5</v>
      </c>
      <c r="J625">
        <v>-9</v>
      </c>
      <c r="K625">
        <v>23</v>
      </c>
      <c r="L625">
        <v>1</v>
      </c>
      <c r="M625">
        <v>0</v>
      </c>
      <c r="N625">
        <v>0</v>
      </c>
      <c r="O625">
        <v>0</v>
      </c>
      <c r="P625">
        <v>4</v>
      </c>
      <c r="Q625">
        <v>0</v>
      </c>
      <c r="R625">
        <v>0</v>
      </c>
      <c r="S625">
        <v>29</v>
      </c>
      <c r="T625">
        <v>3.4</v>
      </c>
      <c r="U625">
        <v>58</v>
      </c>
      <c r="V625" s="19" t="s">
        <v>2299</v>
      </c>
      <c r="W625" s="19" t="s">
        <v>1844</v>
      </c>
      <c r="X625">
        <v>8</v>
      </c>
      <c r="Y625">
        <v>22</v>
      </c>
      <c r="Z625">
        <v>26.7</v>
      </c>
      <c r="AA625">
        <v>15</v>
      </c>
      <c r="AB625">
        <v>49</v>
      </c>
      <c r="AC625">
        <v>5</v>
      </c>
      <c r="AD625">
        <v>17</v>
      </c>
      <c r="AE625" s="19" t="s">
        <v>60</v>
      </c>
    </row>
    <row r="626" spans="1:31" x14ac:dyDescent="0.2">
      <c r="A626">
        <v>597</v>
      </c>
      <c r="B626" s="19" t="s">
        <v>982</v>
      </c>
      <c r="C626">
        <v>33</v>
      </c>
      <c r="D626" s="19" t="s">
        <v>376</v>
      </c>
      <c r="E626" s="19" t="s">
        <v>335</v>
      </c>
      <c r="F626">
        <v>23</v>
      </c>
      <c r="G626">
        <v>3</v>
      </c>
      <c r="H626">
        <v>2</v>
      </c>
      <c r="I626">
        <v>5</v>
      </c>
      <c r="J626">
        <v>-5</v>
      </c>
      <c r="K626">
        <v>6</v>
      </c>
      <c r="L626">
        <v>3</v>
      </c>
      <c r="M626">
        <v>0</v>
      </c>
      <c r="N626">
        <v>0</v>
      </c>
      <c r="O626">
        <v>1</v>
      </c>
      <c r="P626">
        <v>2</v>
      </c>
      <c r="Q626">
        <v>0</v>
      </c>
      <c r="R626">
        <v>0</v>
      </c>
      <c r="S626">
        <v>39</v>
      </c>
      <c r="T626">
        <v>7.7</v>
      </c>
      <c r="U626">
        <v>65</v>
      </c>
      <c r="V626" s="19" t="s">
        <v>1920</v>
      </c>
      <c r="W626" s="19" t="s">
        <v>1770</v>
      </c>
      <c r="X626">
        <v>36</v>
      </c>
      <c r="Y626">
        <v>59</v>
      </c>
      <c r="Z626">
        <v>37.9</v>
      </c>
      <c r="AA626">
        <v>8</v>
      </c>
      <c r="AB626">
        <v>27</v>
      </c>
      <c r="AC626">
        <v>3</v>
      </c>
      <c r="AD626">
        <v>17</v>
      </c>
      <c r="AE626" s="19" t="s">
        <v>60</v>
      </c>
    </row>
    <row r="627" spans="1:31" x14ac:dyDescent="0.2">
      <c r="A627">
        <v>598</v>
      </c>
      <c r="B627" s="19" t="s">
        <v>1053</v>
      </c>
      <c r="C627">
        <v>21</v>
      </c>
      <c r="D627" s="19" t="s">
        <v>328</v>
      </c>
      <c r="E627" s="19" t="s">
        <v>340</v>
      </c>
      <c r="F627">
        <v>28</v>
      </c>
      <c r="G627">
        <v>2</v>
      </c>
      <c r="H627">
        <v>3</v>
      </c>
      <c r="I627">
        <v>5</v>
      </c>
      <c r="J627">
        <v>-6</v>
      </c>
      <c r="K627">
        <v>12</v>
      </c>
      <c r="L627">
        <v>2</v>
      </c>
      <c r="M627">
        <v>0</v>
      </c>
      <c r="N627">
        <v>0</v>
      </c>
      <c r="O627">
        <v>0</v>
      </c>
      <c r="P627">
        <v>3</v>
      </c>
      <c r="Q627">
        <v>0</v>
      </c>
      <c r="R627">
        <v>0</v>
      </c>
      <c r="S627">
        <v>33</v>
      </c>
      <c r="T627">
        <v>6.1</v>
      </c>
      <c r="U627">
        <v>70</v>
      </c>
      <c r="V627" s="19" t="s">
        <v>2886</v>
      </c>
      <c r="W627" s="19" t="s">
        <v>1811</v>
      </c>
      <c r="X627">
        <v>0</v>
      </c>
      <c r="Y627">
        <v>0</v>
      </c>
      <c r="AA627">
        <v>4</v>
      </c>
      <c r="AB627">
        <v>7</v>
      </c>
      <c r="AC627">
        <v>2</v>
      </c>
      <c r="AD627">
        <v>17</v>
      </c>
      <c r="AE627" s="19" t="s">
        <v>60</v>
      </c>
    </row>
    <row r="628" spans="1:31" x14ac:dyDescent="0.2">
      <c r="A628">
        <v>599</v>
      </c>
      <c r="B628" s="19" t="s">
        <v>1059</v>
      </c>
      <c r="C628">
        <v>22</v>
      </c>
      <c r="D628" s="19" t="s">
        <v>376</v>
      </c>
      <c r="E628" s="19" t="s">
        <v>335</v>
      </c>
      <c r="F628">
        <v>27</v>
      </c>
      <c r="G628">
        <v>2</v>
      </c>
      <c r="H628">
        <v>3</v>
      </c>
      <c r="I628">
        <v>5</v>
      </c>
      <c r="J628">
        <v>-5</v>
      </c>
      <c r="K628">
        <v>8</v>
      </c>
      <c r="L628">
        <v>1</v>
      </c>
      <c r="M628">
        <v>1</v>
      </c>
      <c r="N628">
        <v>0</v>
      </c>
      <c r="O628">
        <v>0</v>
      </c>
      <c r="P628">
        <v>1</v>
      </c>
      <c r="Q628">
        <v>2</v>
      </c>
      <c r="R628">
        <v>0</v>
      </c>
      <c r="S628">
        <v>28</v>
      </c>
      <c r="T628">
        <v>7.1</v>
      </c>
      <c r="U628">
        <v>70</v>
      </c>
      <c r="V628" s="19" t="s">
        <v>1827</v>
      </c>
      <c r="W628" s="19" t="s">
        <v>1752</v>
      </c>
      <c r="X628">
        <v>2</v>
      </c>
      <c r="Y628">
        <v>0</v>
      </c>
      <c r="Z628">
        <v>100</v>
      </c>
      <c r="AA628">
        <v>11</v>
      </c>
      <c r="AB628">
        <v>3</v>
      </c>
      <c r="AC628">
        <v>5</v>
      </c>
      <c r="AD628">
        <v>12</v>
      </c>
      <c r="AE628" s="19" t="s">
        <v>60</v>
      </c>
    </row>
    <row r="629" spans="1:31" x14ac:dyDescent="0.2">
      <c r="A629">
        <v>600</v>
      </c>
      <c r="B629" s="19" t="s">
        <v>918</v>
      </c>
      <c r="C629">
        <v>21</v>
      </c>
      <c r="D629" s="19" t="s">
        <v>428</v>
      </c>
      <c r="E629" s="19" t="s">
        <v>322</v>
      </c>
      <c r="F629">
        <v>12</v>
      </c>
      <c r="G629">
        <v>3</v>
      </c>
      <c r="H629">
        <v>2</v>
      </c>
      <c r="I629">
        <v>5</v>
      </c>
      <c r="J629">
        <v>-4</v>
      </c>
      <c r="K629">
        <v>4</v>
      </c>
      <c r="L629">
        <v>3</v>
      </c>
      <c r="M629">
        <v>0</v>
      </c>
      <c r="N629">
        <v>0</v>
      </c>
      <c r="O629">
        <v>0</v>
      </c>
      <c r="P629">
        <v>2</v>
      </c>
      <c r="Q629">
        <v>0</v>
      </c>
      <c r="R629">
        <v>0</v>
      </c>
      <c r="S629">
        <v>20</v>
      </c>
      <c r="T629">
        <v>15</v>
      </c>
      <c r="U629">
        <v>43</v>
      </c>
      <c r="V629" s="19" t="s">
        <v>919</v>
      </c>
      <c r="W629" s="19" t="s">
        <v>920</v>
      </c>
      <c r="X629">
        <v>68</v>
      </c>
      <c r="Y629">
        <v>95</v>
      </c>
      <c r="Z629">
        <v>41.7</v>
      </c>
      <c r="AA629">
        <v>12</v>
      </c>
      <c r="AB629">
        <v>9</v>
      </c>
      <c r="AC629">
        <v>1</v>
      </c>
      <c r="AD629">
        <v>10</v>
      </c>
      <c r="AE629" s="19" t="s">
        <v>60</v>
      </c>
    </row>
    <row r="630" spans="1:31" x14ac:dyDescent="0.2">
      <c r="A630">
        <v>601</v>
      </c>
      <c r="B630" s="19" t="s">
        <v>1122</v>
      </c>
      <c r="C630">
        <v>30</v>
      </c>
      <c r="D630" s="19" t="s">
        <v>328</v>
      </c>
      <c r="E630" s="19" t="s">
        <v>322</v>
      </c>
      <c r="F630">
        <v>30</v>
      </c>
      <c r="G630">
        <v>3</v>
      </c>
      <c r="H630">
        <v>2</v>
      </c>
      <c r="I630">
        <v>5</v>
      </c>
      <c r="J630">
        <v>-2</v>
      </c>
      <c r="K630">
        <v>6</v>
      </c>
      <c r="L630">
        <v>3</v>
      </c>
      <c r="M630">
        <v>0</v>
      </c>
      <c r="N630">
        <v>0</v>
      </c>
      <c r="O630">
        <v>1</v>
      </c>
      <c r="P630">
        <v>2</v>
      </c>
      <c r="Q630">
        <v>0</v>
      </c>
      <c r="R630">
        <v>0</v>
      </c>
      <c r="S630">
        <v>19</v>
      </c>
      <c r="T630">
        <v>15.8</v>
      </c>
      <c r="U630">
        <v>43</v>
      </c>
      <c r="V630" s="19" t="s">
        <v>2887</v>
      </c>
      <c r="W630" s="19" t="s">
        <v>1638</v>
      </c>
      <c r="X630">
        <v>108</v>
      </c>
      <c r="Y630">
        <v>76</v>
      </c>
      <c r="Z630">
        <v>58.7</v>
      </c>
      <c r="AA630">
        <v>14</v>
      </c>
      <c r="AB630">
        <v>62</v>
      </c>
      <c r="AC630">
        <v>3</v>
      </c>
      <c r="AD630">
        <v>2</v>
      </c>
      <c r="AE630" s="19" t="s">
        <v>60</v>
      </c>
    </row>
    <row r="631" spans="1:31" x14ac:dyDescent="0.2">
      <c r="A631">
        <v>602</v>
      </c>
      <c r="B631" s="19" t="s">
        <v>1443</v>
      </c>
      <c r="C631">
        <v>22</v>
      </c>
      <c r="D631" s="19" t="s">
        <v>950</v>
      </c>
      <c r="E631" s="19" t="s">
        <v>340</v>
      </c>
      <c r="F631">
        <v>38</v>
      </c>
      <c r="G631">
        <v>3</v>
      </c>
      <c r="H631">
        <v>2</v>
      </c>
      <c r="I631">
        <v>5</v>
      </c>
      <c r="J631">
        <v>-7</v>
      </c>
      <c r="K631">
        <v>0</v>
      </c>
      <c r="L631">
        <v>3</v>
      </c>
      <c r="M631">
        <v>0</v>
      </c>
      <c r="N631">
        <v>0</v>
      </c>
      <c r="O631">
        <v>0</v>
      </c>
      <c r="P631">
        <v>2</v>
      </c>
      <c r="Q631">
        <v>0</v>
      </c>
      <c r="R631">
        <v>0</v>
      </c>
      <c r="S631">
        <v>51</v>
      </c>
      <c r="T631">
        <v>5.9</v>
      </c>
      <c r="U631">
        <v>113</v>
      </c>
      <c r="V631" s="19" t="s">
        <v>2538</v>
      </c>
      <c r="W631" s="19" t="s">
        <v>2119</v>
      </c>
      <c r="X631">
        <v>5</v>
      </c>
      <c r="Y631">
        <v>5</v>
      </c>
      <c r="Z631">
        <v>50</v>
      </c>
      <c r="AA631">
        <v>19</v>
      </c>
      <c r="AB631">
        <v>50</v>
      </c>
      <c r="AC631">
        <v>5</v>
      </c>
      <c r="AD631">
        <v>17</v>
      </c>
      <c r="AE631" s="19" t="s">
        <v>60</v>
      </c>
    </row>
    <row r="632" spans="1:31" x14ac:dyDescent="0.2">
      <c r="A632">
        <v>602</v>
      </c>
      <c r="B632" s="19" t="s">
        <v>1443</v>
      </c>
      <c r="C632">
        <v>22</v>
      </c>
      <c r="D632" s="19" t="s">
        <v>357</v>
      </c>
      <c r="E632" s="19" t="s">
        <v>340</v>
      </c>
      <c r="F632">
        <v>18</v>
      </c>
      <c r="G632">
        <v>0</v>
      </c>
      <c r="H632">
        <v>0</v>
      </c>
      <c r="I632">
        <v>0</v>
      </c>
      <c r="J632">
        <v>-3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18</v>
      </c>
      <c r="T632">
        <v>0</v>
      </c>
      <c r="U632">
        <v>40</v>
      </c>
      <c r="V632" s="19" t="s">
        <v>1556</v>
      </c>
      <c r="W632" s="19" t="s">
        <v>1399</v>
      </c>
      <c r="X632">
        <v>2</v>
      </c>
      <c r="Y632">
        <v>1</v>
      </c>
      <c r="Z632">
        <v>66.7</v>
      </c>
      <c r="AA632">
        <v>8</v>
      </c>
      <c r="AB632">
        <v>29</v>
      </c>
      <c r="AC632">
        <v>1</v>
      </c>
      <c r="AD632">
        <v>7</v>
      </c>
      <c r="AE632" s="19" t="s">
        <v>60</v>
      </c>
    </row>
    <row r="633" spans="1:31" x14ac:dyDescent="0.2">
      <c r="A633">
        <v>602</v>
      </c>
      <c r="B633" s="19" t="s">
        <v>1443</v>
      </c>
      <c r="C633">
        <v>22</v>
      </c>
      <c r="D633" s="19" t="s">
        <v>447</v>
      </c>
      <c r="E633" s="19" t="s">
        <v>340</v>
      </c>
      <c r="F633">
        <v>20</v>
      </c>
      <c r="G633">
        <v>3</v>
      </c>
      <c r="H633">
        <v>2</v>
      </c>
      <c r="I633">
        <v>5</v>
      </c>
      <c r="J633">
        <v>-4</v>
      </c>
      <c r="K633">
        <v>0</v>
      </c>
      <c r="L633">
        <v>3</v>
      </c>
      <c r="M633">
        <v>0</v>
      </c>
      <c r="N633">
        <v>0</v>
      </c>
      <c r="O633">
        <v>0</v>
      </c>
      <c r="P633">
        <v>2</v>
      </c>
      <c r="Q633">
        <v>0</v>
      </c>
      <c r="R633">
        <v>0</v>
      </c>
      <c r="S633">
        <v>33</v>
      </c>
      <c r="T633">
        <v>9.1</v>
      </c>
      <c r="U633">
        <v>73</v>
      </c>
      <c r="V633" s="19" t="s">
        <v>1921</v>
      </c>
      <c r="W633" s="19" t="s">
        <v>1844</v>
      </c>
      <c r="X633">
        <v>3</v>
      </c>
      <c r="Y633">
        <v>4</v>
      </c>
      <c r="Z633">
        <v>42.9</v>
      </c>
      <c r="AA633">
        <v>11</v>
      </c>
      <c r="AB633">
        <v>21</v>
      </c>
      <c r="AC633">
        <v>4</v>
      </c>
      <c r="AD633">
        <v>10</v>
      </c>
      <c r="AE633" s="19" t="s">
        <v>60</v>
      </c>
    </row>
    <row r="634" spans="1:31" x14ac:dyDescent="0.2">
      <c r="A634">
        <v>603</v>
      </c>
      <c r="B634" s="19" t="s">
        <v>1258</v>
      </c>
      <c r="C634">
        <v>23</v>
      </c>
      <c r="D634" s="19" t="s">
        <v>330</v>
      </c>
      <c r="E634" s="19" t="s">
        <v>340</v>
      </c>
      <c r="F634">
        <v>25</v>
      </c>
      <c r="G634">
        <v>2</v>
      </c>
      <c r="H634">
        <v>3</v>
      </c>
      <c r="I634">
        <v>5</v>
      </c>
      <c r="J634">
        <v>2</v>
      </c>
      <c r="K634">
        <v>14</v>
      </c>
      <c r="L634">
        <v>2</v>
      </c>
      <c r="M634">
        <v>0</v>
      </c>
      <c r="N634">
        <v>0</v>
      </c>
      <c r="O634">
        <v>1</v>
      </c>
      <c r="P634">
        <v>3</v>
      </c>
      <c r="Q634">
        <v>0</v>
      </c>
      <c r="R634">
        <v>0</v>
      </c>
      <c r="S634">
        <v>25</v>
      </c>
      <c r="T634">
        <v>8</v>
      </c>
      <c r="U634">
        <v>48</v>
      </c>
      <c r="V634" s="19" t="s">
        <v>2539</v>
      </c>
      <c r="W634" s="19" t="s">
        <v>2300</v>
      </c>
      <c r="X634">
        <v>0</v>
      </c>
      <c r="Y634">
        <v>0</v>
      </c>
      <c r="AA634">
        <v>12</v>
      </c>
      <c r="AB634">
        <v>40</v>
      </c>
      <c r="AC634">
        <v>2</v>
      </c>
      <c r="AD634">
        <v>6</v>
      </c>
      <c r="AE634" s="19" t="s">
        <v>60</v>
      </c>
    </row>
    <row r="635" spans="1:31" x14ac:dyDescent="0.2">
      <c r="A635">
        <v>604</v>
      </c>
      <c r="B635" s="19" t="s">
        <v>945</v>
      </c>
      <c r="C635">
        <v>29</v>
      </c>
      <c r="D635" s="19" t="s">
        <v>328</v>
      </c>
      <c r="E635" s="19" t="s">
        <v>325</v>
      </c>
      <c r="F635">
        <v>22</v>
      </c>
      <c r="G635">
        <v>3</v>
      </c>
      <c r="H635">
        <v>2</v>
      </c>
      <c r="I635">
        <v>5</v>
      </c>
      <c r="J635">
        <v>-6</v>
      </c>
      <c r="K635">
        <v>10</v>
      </c>
      <c r="L635">
        <v>3</v>
      </c>
      <c r="M635">
        <v>0</v>
      </c>
      <c r="N635">
        <v>0</v>
      </c>
      <c r="O635">
        <v>0</v>
      </c>
      <c r="P635">
        <v>0</v>
      </c>
      <c r="Q635">
        <v>2</v>
      </c>
      <c r="R635">
        <v>0</v>
      </c>
      <c r="S635">
        <v>30</v>
      </c>
      <c r="T635">
        <v>10</v>
      </c>
      <c r="U635">
        <v>52</v>
      </c>
      <c r="V635" s="19" t="s">
        <v>1566</v>
      </c>
      <c r="W635" s="19" t="s">
        <v>1567</v>
      </c>
      <c r="X635">
        <v>30</v>
      </c>
      <c r="Y635">
        <v>34</v>
      </c>
      <c r="Z635">
        <v>46.9</v>
      </c>
      <c r="AA635">
        <v>6</v>
      </c>
      <c r="AB635">
        <v>17</v>
      </c>
      <c r="AC635">
        <v>3</v>
      </c>
      <c r="AD635">
        <v>12</v>
      </c>
      <c r="AE635" s="19" t="s">
        <v>60</v>
      </c>
    </row>
    <row r="636" spans="1:31" x14ac:dyDescent="0.2">
      <c r="A636">
        <v>605</v>
      </c>
      <c r="B636" s="19" t="s">
        <v>949</v>
      </c>
      <c r="C636">
        <v>23</v>
      </c>
      <c r="D636" s="19" t="s">
        <v>950</v>
      </c>
      <c r="E636" s="19" t="s">
        <v>340</v>
      </c>
      <c r="F636">
        <v>19</v>
      </c>
      <c r="G636">
        <v>2</v>
      </c>
      <c r="H636">
        <v>3</v>
      </c>
      <c r="I636">
        <v>5</v>
      </c>
      <c r="J636">
        <v>-4</v>
      </c>
      <c r="K636">
        <v>6</v>
      </c>
      <c r="L636">
        <v>2</v>
      </c>
      <c r="M636">
        <v>0</v>
      </c>
      <c r="N636">
        <v>0</v>
      </c>
      <c r="O636">
        <v>0</v>
      </c>
      <c r="P636">
        <v>3</v>
      </c>
      <c r="Q636">
        <v>0</v>
      </c>
      <c r="R636">
        <v>0</v>
      </c>
      <c r="S636">
        <v>15</v>
      </c>
      <c r="T636">
        <v>13.3</v>
      </c>
      <c r="U636">
        <v>36</v>
      </c>
      <c r="V636" s="19" t="s">
        <v>951</v>
      </c>
      <c r="W636" s="19" t="s">
        <v>952</v>
      </c>
      <c r="X636">
        <v>46</v>
      </c>
      <c r="Y636">
        <v>71</v>
      </c>
      <c r="Z636">
        <v>39.299999999999997</v>
      </c>
      <c r="AA636">
        <v>11</v>
      </c>
      <c r="AB636">
        <v>7</v>
      </c>
      <c r="AC636">
        <v>2</v>
      </c>
      <c r="AD636">
        <v>13</v>
      </c>
      <c r="AE636" s="19" t="s">
        <v>60</v>
      </c>
    </row>
    <row r="637" spans="1:31" x14ac:dyDescent="0.2">
      <c r="A637">
        <v>605</v>
      </c>
      <c r="B637" s="19" t="s">
        <v>949</v>
      </c>
      <c r="C637">
        <v>23</v>
      </c>
      <c r="D637" s="19" t="s">
        <v>330</v>
      </c>
      <c r="E637" s="19" t="s">
        <v>340</v>
      </c>
      <c r="F637">
        <v>5</v>
      </c>
      <c r="G637">
        <v>2</v>
      </c>
      <c r="H637">
        <v>2</v>
      </c>
      <c r="I637">
        <v>4</v>
      </c>
      <c r="J637">
        <v>1</v>
      </c>
      <c r="K637">
        <v>2</v>
      </c>
      <c r="L637">
        <v>2</v>
      </c>
      <c r="M637">
        <v>0</v>
      </c>
      <c r="N637">
        <v>0</v>
      </c>
      <c r="O637">
        <v>0</v>
      </c>
      <c r="P637">
        <v>2</v>
      </c>
      <c r="Q637">
        <v>0</v>
      </c>
      <c r="R637">
        <v>0</v>
      </c>
      <c r="S637">
        <v>6</v>
      </c>
      <c r="T637">
        <v>33.299999999999997</v>
      </c>
      <c r="U637">
        <v>10</v>
      </c>
      <c r="V637" s="19" t="s">
        <v>953</v>
      </c>
      <c r="W637" s="19" t="s">
        <v>954</v>
      </c>
      <c r="X637">
        <v>2</v>
      </c>
      <c r="Y637">
        <v>5</v>
      </c>
      <c r="Z637">
        <v>28.6</v>
      </c>
      <c r="AA637">
        <v>3</v>
      </c>
      <c r="AB637">
        <v>1</v>
      </c>
      <c r="AC637">
        <v>1</v>
      </c>
      <c r="AD637">
        <v>4</v>
      </c>
      <c r="AE637" s="19" t="s">
        <v>60</v>
      </c>
    </row>
    <row r="638" spans="1:31" x14ac:dyDescent="0.2">
      <c r="A638">
        <v>605</v>
      </c>
      <c r="B638" s="19" t="s">
        <v>949</v>
      </c>
      <c r="C638">
        <v>23</v>
      </c>
      <c r="D638" s="19" t="s">
        <v>447</v>
      </c>
      <c r="E638" s="19" t="s">
        <v>340</v>
      </c>
      <c r="F638">
        <v>14</v>
      </c>
      <c r="G638">
        <v>0</v>
      </c>
      <c r="H638">
        <v>1</v>
      </c>
      <c r="I638">
        <v>1</v>
      </c>
      <c r="J638">
        <v>-5</v>
      </c>
      <c r="K638">
        <v>4</v>
      </c>
      <c r="L638">
        <v>0</v>
      </c>
      <c r="M638">
        <v>0</v>
      </c>
      <c r="N638">
        <v>0</v>
      </c>
      <c r="O638">
        <v>0</v>
      </c>
      <c r="P638">
        <v>1</v>
      </c>
      <c r="Q638">
        <v>0</v>
      </c>
      <c r="R638">
        <v>0</v>
      </c>
      <c r="S638">
        <v>9</v>
      </c>
      <c r="T638">
        <v>0</v>
      </c>
      <c r="U638">
        <v>26</v>
      </c>
      <c r="V638" s="19" t="s">
        <v>955</v>
      </c>
      <c r="W638" s="19" t="s">
        <v>956</v>
      </c>
      <c r="X638">
        <v>44</v>
      </c>
      <c r="Y638">
        <v>66</v>
      </c>
      <c r="Z638">
        <v>40</v>
      </c>
      <c r="AA638">
        <v>8</v>
      </c>
      <c r="AB638">
        <v>6</v>
      </c>
      <c r="AC638">
        <v>1</v>
      </c>
      <c r="AD638">
        <v>9</v>
      </c>
      <c r="AE638" s="19" t="s">
        <v>60</v>
      </c>
    </row>
    <row r="639" spans="1:31" x14ac:dyDescent="0.2">
      <c r="A639">
        <v>606</v>
      </c>
      <c r="B639" s="19" t="s">
        <v>960</v>
      </c>
      <c r="C639">
        <v>24</v>
      </c>
      <c r="D639" s="19" t="s">
        <v>459</v>
      </c>
      <c r="E639" s="19" t="s">
        <v>349</v>
      </c>
      <c r="F639">
        <v>27</v>
      </c>
      <c r="G639">
        <v>0</v>
      </c>
      <c r="H639">
        <v>4</v>
      </c>
      <c r="I639">
        <v>4</v>
      </c>
      <c r="J639">
        <v>-5</v>
      </c>
      <c r="K639">
        <v>8</v>
      </c>
      <c r="L639">
        <v>0</v>
      </c>
      <c r="M639">
        <v>0</v>
      </c>
      <c r="N639">
        <v>0</v>
      </c>
      <c r="O639">
        <v>0</v>
      </c>
      <c r="P639">
        <v>4</v>
      </c>
      <c r="Q639">
        <v>0</v>
      </c>
      <c r="R639">
        <v>0</v>
      </c>
      <c r="S639">
        <v>16</v>
      </c>
      <c r="T639">
        <v>0</v>
      </c>
      <c r="U639">
        <v>50</v>
      </c>
      <c r="V639" s="19" t="s">
        <v>2888</v>
      </c>
      <c r="W639" s="19" t="s">
        <v>1751</v>
      </c>
      <c r="X639">
        <v>0</v>
      </c>
      <c r="Y639">
        <v>0</v>
      </c>
      <c r="AA639">
        <v>29</v>
      </c>
      <c r="AB639">
        <v>16</v>
      </c>
      <c r="AC639">
        <v>1</v>
      </c>
      <c r="AD639">
        <v>36</v>
      </c>
      <c r="AE639" s="19" t="s">
        <v>60</v>
      </c>
    </row>
    <row r="640" spans="1:31" x14ac:dyDescent="0.2">
      <c r="A640">
        <v>607</v>
      </c>
      <c r="B640" s="19" t="s">
        <v>1158</v>
      </c>
      <c r="C640">
        <v>25</v>
      </c>
      <c r="D640" s="19" t="s">
        <v>371</v>
      </c>
      <c r="E640" s="19" t="s">
        <v>349</v>
      </c>
      <c r="F640">
        <v>37</v>
      </c>
      <c r="G640">
        <v>0</v>
      </c>
      <c r="H640">
        <v>4</v>
      </c>
      <c r="I640">
        <v>4</v>
      </c>
      <c r="J640">
        <v>9</v>
      </c>
      <c r="K640">
        <v>12</v>
      </c>
      <c r="L640">
        <v>0</v>
      </c>
      <c r="M640">
        <v>0</v>
      </c>
      <c r="N640">
        <v>0</v>
      </c>
      <c r="O640">
        <v>0</v>
      </c>
      <c r="P640">
        <v>4</v>
      </c>
      <c r="Q640">
        <v>0</v>
      </c>
      <c r="R640">
        <v>0</v>
      </c>
      <c r="S640">
        <v>24</v>
      </c>
      <c r="T640">
        <v>0</v>
      </c>
      <c r="U640">
        <v>69</v>
      </c>
      <c r="V640" s="19" t="s">
        <v>2889</v>
      </c>
      <c r="W640" s="19" t="s">
        <v>1962</v>
      </c>
      <c r="X640">
        <v>0</v>
      </c>
      <c r="Y640">
        <v>0</v>
      </c>
      <c r="AA640">
        <v>55</v>
      </c>
      <c r="AB640">
        <v>48</v>
      </c>
      <c r="AC640">
        <v>7</v>
      </c>
      <c r="AD640">
        <v>28</v>
      </c>
      <c r="AE640" s="19" t="s">
        <v>60</v>
      </c>
    </row>
    <row r="641" spans="1:31" x14ac:dyDescent="0.2">
      <c r="A641">
        <v>608</v>
      </c>
      <c r="B641" s="19" t="s">
        <v>1162</v>
      </c>
      <c r="C641">
        <v>35</v>
      </c>
      <c r="D641" s="19" t="s">
        <v>357</v>
      </c>
      <c r="E641" s="19" t="s">
        <v>349</v>
      </c>
      <c r="F641">
        <v>23</v>
      </c>
      <c r="G641">
        <v>1</v>
      </c>
      <c r="H641">
        <v>3</v>
      </c>
      <c r="I641">
        <v>4</v>
      </c>
      <c r="J641">
        <v>8</v>
      </c>
      <c r="K641">
        <v>4</v>
      </c>
      <c r="L641">
        <v>1</v>
      </c>
      <c r="M641">
        <v>0</v>
      </c>
      <c r="N641">
        <v>0</v>
      </c>
      <c r="O641">
        <v>0</v>
      </c>
      <c r="P641">
        <v>3</v>
      </c>
      <c r="Q641">
        <v>0</v>
      </c>
      <c r="R641">
        <v>0</v>
      </c>
      <c r="S641">
        <v>20</v>
      </c>
      <c r="T641">
        <v>5</v>
      </c>
      <c r="U641">
        <v>41</v>
      </c>
      <c r="V641" s="19" t="s">
        <v>1810</v>
      </c>
      <c r="W641" s="19" t="s">
        <v>1333</v>
      </c>
      <c r="X641">
        <v>0</v>
      </c>
      <c r="Y641">
        <v>1</v>
      </c>
      <c r="Z641">
        <v>0</v>
      </c>
      <c r="AA641">
        <v>20</v>
      </c>
      <c r="AB641">
        <v>20</v>
      </c>
      <c r="AC641">
        <v>5</v>
      </c>
      <c r="AD641">
        <v>12</v>
      </c>
      <c r="AE641" s="19" t="s">
        <v>60</v>
      </c>
    </row>
    <row r="642" spans="1:31" x14ac:dyDescent="0.2">
      <c r="A642">
        <v>609</v>
      </c>
      <c r="B642" s="19" t="s">
        <v>962</v>
      </c>
      <c r="C642">
        <v>29</v>
      </c>
      <c r="D642" s="19" t="s">
        <v>361</v>
      </c>
      <c r="E642" s="19" t="s">
        <v>349</v>
      </c>
      <c r="F642">
        <v>45</v>
      </c>
      <c r="G642">
        <v>2</v>
      </c>
      <c r="H642">
        <v>2</v>
      </c>
      <c r="I642">
        <v>4</v>
      </c>
      <c r="J642">
        <v>-1</v>
      </c>
      <c r="K642">
        <v>26</v>
      </c>
      <c r="L642">
        <v>2</v>
      </c>
      <c r="M642">
        <v>0</v>
      </c>
      <c r="N642">
        <v>0</v>
      </c>
      <c r="O642">
        <v>2</v>
      </c>
      <c r="P642">
        <v>2</v>
      </c>
      <c r="Q642">
        <v>0</v>
      </c>
      <c r="R642">
        <v>0</v>
      </c>
      <c r="S642">
        <v>44</v>
      </c>
      <c r="T642">
        <v>4.5</v>
      </c>
      <c r="U642">
        <v>112</v>
      </c>
      <c r="V642" s="19" t="s">
        <v>2540</v>
      </c>
      <c r="W642" s="19" t="s">
        <v>1999</v>
      </c>
      <c r="X642">
        <v>0</v>
      </c>
      <c r="Y642">
        <v>0</v>
      </c>
      <c r="AA642">
        <v>62</v>
      </c>
      <c r="AB642">
        <v>65</v>
      </c>
      <c r="AC642">
        <v>11</v>
      </c>
      <c r="AD642">
        <v>43</v>
      </c>
      <c r="AE642" s="19" t="s">
        <v>60</v>
      </c>
    </row>
    <row r="643" spans="1:31" x14ac:dyDescent="0.2">
      <c r="A643">
        <v>610</v>
      </c>
      <c r="B643" s="19" t="s">
        <v>1097</v>
      </c>
      <c r="C643">
        <v>29</v>
      </c>
      <c r="D643" s="19" t="s">
        <v>359</v>
      </c>
      <c r="E643" s="19" t="s">
        <v>349</v>
      </c>
      <c r="F643">
        <v>28</v>
      </c>
      <c r="G643">
        <v>0</v>
      </c>
      <c r="H643">
        <v>4</v>
      </c>
      <c r="I643">
        <v>4</v>
      </c>
      <c r="J643">
        <v>3</v>
      </c>
      <c r="K643">
        <v>10</v>
      </c>
      <c r="L643">
        <v>0</v>
      </c>
      <c r="M643">
        <v>0</v>
      </c>
      <c r="N643">
        <v>0</v>
      </c>
      <c r="O643">
        <v>0</v>
      </c>
      <c r="P643">
        <v>4</v>
      </c>
      <c r="Q643">
        <v>0</v>
      </c>
      <c r="R643">
        <v>0</v>
      </c>
      <c r="S643">
        <v>31</v>
      </c>
      <c r="T643">
        <v>0</v>
      </c>
      <c r="U643">
        <v>71</v>
      </c>
      <c r="V643" s="19" t="s">
        <v>2541</v>
      </c>
      <c r="W643" s="19" t="s">
        <v>2041</v>
      </c>
      <c r="X643">
        <v>0</v>
      </c>
      <c r="Y643">
        <v>0</v>
      </c>
      <c r="AA643">
        <v>57</v>
      </c>
      <c r="AB643">
        <v>26</v>
      </c>
      <c r="AC643">
        <v>2</v>
      </c>
      <c r="AD643">
        <v>33</v>
      </c>
      <c r="AE643" s="19" t="s">
        <v>60</v>
      </c>
    </row>
    <row r="644" spans="1:31" x14ac:dyDescent="0.2">
      <c r="A644">
        <v>611</v>
      </c>
      <c r="B644" s="19" t="s">
        <v>1037</v>
      </c>
      <c r="C644">
        <v>31</v>
      </c>
      <c r="D644" s="19" t="s">
        <v>405</v>
      </c>
      <c r="E644" s="19" t="s">
        <v>349</v>
      </c>
      <c r="F644">
        <v>26</v>
      </c>
      <c r="G644">
        <v>2</v>
      </c>
      <c r="H644">
        <v>2</v>
      </c>
      <c r="I644">
        <v>4</v>
      </c>
      <c r="J644">
        <v>2</v>
      </c>
      <c r="K644">
        <v>6</v>
      </c>
      <c r="L644">
        <v>2</v>
      </c>
      <c r="M644">
        <v>0</v>
      </c>
      <c r="N644">
        <v>0</v>
      </c>
      <c r="O644">
        <v>1</v>
      </c>
      <c r="P644">
        <v>2</v>
      </c>
      <c r="Q644">
        <v>0</v>
      </c>
      <c r="R644">
        <v>0</v>
      </c>
      <c r="S644">
        <v>26</v>
      </c>
      <c r="T644">
        <v>7.7</v>
      </c>
      <c r="U644">
        <v>56</v>
      </c>
      <c r="V644" s="19" t="s">
        <v>2890</v>
      </c>
      <c r="W644" s="19" t="s">
        <v>1743</v>
      </c>
      <c r="X644">
        <v>0</v>
      </c>
      <c r="Y644">
        <v>0</v>
      </c>
      <c r="AA644">
        <v>17</v>
      </c>
      <c r="AB644">
        <v>14</v>
      </c>
      <c r="AC644">
        <v>3</v>
      </c>
      <c r="AD644">
        <v>21</v>
      </c>
      <c r="AE644" s="19" t="s">
        <v>60</v>
      </c>
    </row>
    <row r="645" spans="1:31" x14ac:dyDescent="0.2">
      <c r="A645">
        <v>612</v>
      </c>
      <c r="B645" s="19" t="s">
        <v>1041</v>
      </c>
      <c r="C645">
        <v>27</v>
      </c>
      <c r="D645" s="19" t="s">
        <v>428</v>
      </c>
      <c r="E645" s="19" t="s">
        <v>322</v>
      </c>
      <c r="F645">
        <v>28</v>
      </c>
      <c r="G645">
        <v>1</v>
      </c>
      <c r="H645">
        <v>3</v>
      </c>
      <c r="I645">
        <v>4</v>
      </c>
      <c r="J645">
        <v>-4</v>
      </c>
      <c r="K645">
        <v>34</v>
      </c>
      <c r="L645">
        <v>1</v>
      </c>
      <c r="M645">
        <v>0</v>
      </c>
      <c r="N645">
        <v>0</v>
      </c>
      <c r="O645">
        <v>0</v>
      </c>
      <c r="P645">
        <v>3</v>
      </c>
      <c r="Q645">
        <v>0</v>
      </c>
      <c r="R645">
        <v>0</v>
      </c>
      <c r="S645">
        <v>24</v>
      </c>
      <c r="T645">
        <v>4.2</v>
      </c>
      <c r="U645">
        <v>49</v>
      </c>
      <c r="V645" s="19" t="s">
        <v>1862</v>
      </c>
      <c r="W645" s="19" t="s">
        <v>1659</v>
      </c>
      <c r="X645">
        <v>45</v>
      </c>
      <c r="Y645">
        <v>44</v>
      </c>
      <c r="Z645">
        <v>50.6</v>
      </c>
      <c r="AA645">
        <v>12</v>
      </c>
      <c r="AB645">
        <v>34</v>
      </c>
      <c r="AC645">
        <v>5</v>
      </c>
      <c r="AD645">
        <v>14</v>
      </c>
      <c r="AE645" s="19" t="s">
        <v>60</v>
      </c>
    </row>
    <row r="646" spans="1:31" x14ac:dyDescent="0.2">
      <c r="A646">
        <v>613</v>
      </c>
      <c r="B646" s="19" t="s">
        <v>969</v>
      </c>
      <c r="C646">
        <v>25</v>
      </c>
      <c r="D646" s="19" t="s">
        <v>361</v>
      </c>
      <c r="E646" s="19" t="s">
        <v>322</v>
      </c>
      <c r="F646">
        <v>24</v>
      </c>
      <c r="G646">
        <v>2</v>
      </c>
      <c r="H646">
        <v>2</v>
      </c>
      <c r="I646">
        <v>4</v>
      </c>
      <c r="J646">
        <v>5</v>
      </c>
      <c r="K646">
        <v>2</v>
      </c>
      <c r="L646">
        <v>2</v>
      </c>
      <c r="M646">
        <v>0</v>
      </c>
      <c r="N646">
        <v>0</v>
      </c>
      <c r="O646">
        <v>1</v>
      </c>
      <c r="P646">
        <v>2</v>
      </c>
      <c r="Q646">
        <v>0</v>
      </c>
      <c r="R646">
        <v>0</v>
      </c>
      <c r="S646">
        <v>21</v>
      </c>
      <c r="T646">
        <v>9.5</v>
      </c>
      <c r="U646">
        <v>35</v>
      </c>
      <c r="V646" s="19" t="s">
        <v>970</v>
      </c>
      <c r="W646" s="19" t="s">
        <v>971</v>
      </c>
      <c r="X646">
        <v>2</v>
      </c>
      <c r="Y646">
        <v>0</v>
      </c>
      <c r="Z646">
        <v>100</v>
      </c>
      <c r="AA646">
        <v>13</v>
      </c>
      <c r="AB646">
        <v>48</v>
      </c>
      <c r="AC646">
        <v>5</v>
      </c>
      <c r="AD646">
        <v>12</v>
      </c>
      <c r="AE646" s="19" t="s">
        <v>60</v>
      </c>
    </row>
    <row r="647" spans="1:31" x14ac:dyDescent="0.2">
      <c r="A647">
        <v>614</v>
      </c>
      <c r="B647" s="19" t="s">
        <v>1042</v>
      </c>
      <c r="C647">
        <v>30</v>
      </c>
      <c r="D647" s="19" t="s">
        <v>334</v>
      </c>
      <c r="E647" s="19" t="s">
        <v>340</v>
      </c>
      <c r="F647">
        <v>20</v>
      </c>
      <c r="G647">
        <v>3</v>
      </c>
      <c r="H647">
        <v>1</v>
      </c>
      <c r="I647">
        <v>4</v>
      </c>
      <c r="J647">
        <v>1</v>
      </c>
      <c r="K647">
        <v>6</v>
      </c>
      <c r="L647">
        <v>3</v>
      </c>
      <c r="M647">
        <v>0</v>
      </c>
      <c r="N647">
        <v>0</v>
      </c>
      <c r="O647">
        <v>0</v>
      </c>
      <c r="P647">
        <v>1</v>
      </c>
      <c r="Q647">
        <v>0</v>
      </c>
      <c r="R647">
        <v>0</v>
      </c>
      <c r="S647">
        <v>16</v>
      </c>
      <c r="T647">
        <v>18.8</v>
      </c>
      <c r="U647">
        <v>38</v>
      </c>
      <c r="V647" s="19" t="s">
        <v>1937</v>
      </c>
      <c r="W647" s="19" t="s">
        <v>1661</v>
      </c>
      <c r="X647">
        <v>2</v>
      </c>
      <c r="Y647">
        <v>3</v>
      </c>
      <c r="Z647">
        <v>40</v>
      </c>
      <c r="AA647">
        <v>10</v>
      </c>
      <c r="AB647">
        <v>62</v>
      </c>
      <c r="AC647">
        <v>1</v>
      </c>
      <c r="AD647">
        <v>6</v>
      </c>
      <c r="AE647" s="19" t="s">
        <v>60</v>
      </c>
    </row>
    <row r="648" spans="1:31" x14ac:dyDescent="0.2">
      <c r="A648">
        <v>615</v>
      </c>
      <c r="B648" s="19" t="s">
        <v>1050</v>
      </c>
      <c r="C648">
        <v>36</v>
      </c>
      <c r="D648" s="19" t="s">
        <v>399</v>
      </c>
      <c r="E648" s="19" t="s">
        <v>322</v>
      </c>
      <c r="F648">
        <v>48</v>
      </c>
      <c r="G648">
        <v>0</v>
      </c>
      <c r="H648">
        <v>4</v>
      </c>
      <c r="I648">
        <v>4</v>
      </c>
      <c r="J648">
        <v>-9</v>
      </c>
      <c r="K648">
        <v>4</v>
      </c>
      <c r="L648">
        <v>0</v>
      </c>
      <c r="M648">
        <v>0</v>
      </c>
      <c r="N648">
        <v>0</v>
      </c>
      <c r="O648">
        <v>0</v>
      </c>
      <c r="P648">
        <v>3</v>
      </c>
      <c r="Q648">
        <v>0</v>
      </c>
      <c r="R648">
        <v>1</v>
      </c>
      <c r="S648">
        <v>28</v>
      </c>
      <c r="T648">
        <v>0</v>
      </c>
      <c r="U648">
        <v>50</v>
      </c>
      <c r="V648" s="19" t="s">
        <v>2130</v>
      </c>
      <c r="W648" s="19" t="s">
        <v>2088</v>
      </c>
      <c r="X648">
        <v>251</v>
      </c>
      <c r="Y648">
        <v>241</v>
      </c>
      <c r="Z648">
        <v>51</v>
      </c>
      <c r="AA648">
        <v>42</v>
      </c>
      <c r="AB648">
        <v>64</v>
      </c>
      <c r="AC648">
        <v>6</v>
      </c>
      <c r="AD648">
        <v>8</v>
      </c>
      <c r="AE648" s="19" t="s">
        <v>60</v>
      </c>
    </row>
    <row r="649" spans="1:31" x14ac:dyDescent="0.2">
      <c r="A649">
        <v>616</v>
      </c>
      <c r="B649" s="19" t="s">
        <v>978</v>
      </c>
      <c r="C649">
        <v>25</v>
      </c>
      <c r="D649" s="19" t="s">
        <v>376</v>
      </c>
      <c r="E649" s="19" t="s">
        <v>322</v>
      </c>
      <c r="F649">
        <v>13</v>
      </c>
      <c r="G649">
        <v>1</v>
      </c>
      <c r="H649">
        <v>3</v>
      </c>
      <c r="I649">
        <v>4</v>
      </c>
      <c r="J649">
        <v>4</v>
      </c>
      <c r="K649">
        <v>2</v>
      </c>
      <c r="L649">
        <v>0</v>
      </c>
      <c r="M649">
        <v>0</v>
      </c>
      <c r="N649">
        <v>1</v>
      </c>
      <c r="O649">
        <v>1</v>
      </c>
      <c r="P649">
        <v>3</v>
      </c>
      <c r="Q649">
        <v>0</v>
      </c>
      <c r="R649">
        <v>0</v>
      </c>
      <c r="S649">
        <v>22</v>
      </c>
      <c r="T649">
        <v>4.5</v>
      </c>
      <c r="U649">
        <v>47</v>
      </c>
      <c r="V649" s="19" t="s">
        <v>979</v>
      </c>
      <c r="W649" s="19" t="s">
        <v>980</v>
      </c>
      <c r="X649">
        <v>0</v>
      </c>
      <c r="Y649">
        <v>2</v>
      </c>
      <c r="Z649">
        <v>0</v>
      </c>
      <c r="AA649">
        <v>5</v>
      </c>
      <c r="AB649">
        <v>3</v>
      </c>
      <c r="AC649">
        <v>2</v>
      </c>
      <c r="AD649">
        <v>12</v>
      </c>
      <c r="AE649" s="19" t="s">
        <v>60</v>
      </c>
    </row>
    <row r="650" spans="1:31" x14ac:dyDescent="0.2">
      <c r="A650">
        <v>617</v>
      </c>
      <c r="B650" s="19" t="s">
        <v>2198</v>
      </c>
      <c r="C650">
        <v>19</v>
      </c>
      <c r="D650" s="19" t="s">
        <v>428</v>
      </c>
      <c r="E650" s="19" t="s">
        <v>325</v>
      </c>
      <c r="F650">
        <v>4</v>
      </c>
      <c r="G650">
        <v>1</v>
      </c>
      <c r="H650">
        <v>3</v>
      </c>
      <c r="I650">
        <v>4</v>
      </c>
      <c r="J650">
        <v>3</v>
      </c>
      <c r="K650">
        <v>0</v>
      </c>
      <c r="L650">
        <v>1</v>
      </c>
      <c r="M650">
        <v>0</v>
      </c>
      <c r="N650">
        <v>0</v>
      </c>
      <c r="O650">
        <v>0</v>
      </c>
      <c r="P650">
        <v>3</v>
      </c>
      <c r="Q650">
        <v>0</v>
      </c>
      <c r="R650">
        <v>0</v>
      </c>
      <c r="S650">
        <v>7</v>
      </c>
      <c r="T650">
        <v>14.3</v>
      </c>
      <c r="U650">
        <v>11</v>
      </c>
      <c r="V650" s="19" t="s">
        <v>2891</v>
      </c>
      <c r="W650" s="19" t="s">
        <v>927</v>
      </c>
      <c r="X650">
        <v>3</v>
      </c>
      <c r="Y650">
        <v>6</v>
      </c>
      <c r="Z650">
        <v>33.299999999999997</v>
      </c>
      <c r="AA650">
        <v>2</v>
      </c>
      <c r="AB650">
        <v>5</v>
      </c>
      <c r="AC650">
        <v>1</v>
      </c>
      <c r="AD650">
        <v>3</v>
      </c>
      <c r="AE650" s="19" t="s">
        <v>60</v>
      </c>
    </row>
    <row r="651" spans="1:31" x14ac:dyDescent="0.2">
      <c r="A651">
        <v>618</v>
      </c>
      <c r="B651" s="19" t="s">
        <v>984</v>
      </c>
      <c r="C651">
        <v>21</v>
      </c>
      <c r="D651" s="19" t="s">
        <v>436</v>
      </c>
      <c r="E651" s="19" t="s">
        <v>340</v>
      </c>
      <c r="F651">
        <v>18</v>
      </c>
      <c r="G651">
        <v>2</v>
      </c>
      <c r="H651">
        <v>2</v>
      </c>
      <c r="I651">
        <v>4</v>
      </c>
      <c r="J651">
        <v>1</v>
      </c>
      <c r="K651">
        <v>2</v>
      </c>
      <c r="L651">
        <v>2</v>
      </c>
      <c r="M651">
        <v>0</v>
      </c>
      <c r="N651">
        <v>0</v>
      </c>
      <c r="O651">
        <v>0</v>
      </c>
      <c r="P651">
        <v>2</v>
      </c>
      <c r="Q651">
        <v>0</v>
      </c>
      <c r="R651">
        <v>0</v>
      </c>
      <c r="S651">
        <v>22</v>
      </c>
      <c r="T651">
        <v>9.1</v>
      </c>
      <c r="U651">
        <v>42</v>
      </c>
      <c r="V651" s="19" t="s">
        <v>985</v>
      </c>
      <c r="W651" s="19" t="s">
        <v>986</v>
      </c>
      <c r="X651">
        <v>6</v>
      </c>
      <c r="Y651">
        <v>5</v>
      </c>
      <c r="Z651">
        <v>54.5</v>
      </c>
      <c r="AA651">
        <v>6</v>
      </c>
      <c r="AB651">
        <v>35</v>
      </c>
      <c r="AC651">
        <v>1</v>
      </c>
      <c r="AD651">
        <v>9</v>
      </c>
      <c r="AE651" s="19" t="s">
        <v>60</v>
      </c>
    </row>
    <row r="652" spans="1:31" x14ac:dyDescent="0.2">
      <c r="A652">
        <v>619</v>
      </c>
      <c r="B652" s="19" t="s">
        <v>1118</v>
      </c>
      <c r="C652">
        <v>29</v>
      </c>
      <c r="D652" s="19" t="s">
        <v>321</v>
      </c>
      <c r="E652" s="19" t="s">
        <v>325</v>
      </c>
      <c r="F652">
        <v>22</v>
      </c>
      <c r="G652">
        <v>1</v>
      </c>
      <c r="H652">
        <v>3</v>
      </c>
      <c r="I652">
        <v>4</v>
      </c>
      <c r="J652">
        <v>0</v>
      </c>
      <c r="K652">
        <v>6</v>
      </c>
      <c r="L652">
        <v>1</v>
      </c>
      <c r="M652">
        <v>0</v>
      </c>
      <c r="N652">
        <v>0</v>
      </c>
      <c r="O652">
        <v>0</v>
      </c>
      <c r="P652">
        <v>3</v>
      </c>
      <c r="Q652">
        <v>0</v>
      </c>
      <c r="R652">
        <v>0</v>
      </c>
      <c r="S652">
        <v>16</v>
      </c>
      <c r="T652">
        <v>6.3</v>
      </c>
      <c r="U652">
        <v>33</v>
      </c>
      <c r="V652" s="19" t="s">
        <v>2542</v>
      </c>
      <c r="W652" s="19" t="s">
        <v>1054</v>
      </c>
      <c r="X652">
        <v>3</v>
      </c>
      <c r="Y652">
        <v>3</v>
      </c>
      <c r="Z652">
        <v>50</v>
      </c>
      <c r="AA652">
        <v>5</v>
      </c>
      <c r="AB652">
        <v>31</v>
      </c>
      <c r="AC652">
        <v>1</v>
      </c>
      <c r="AD652">
        <v>8</v>
      </c>
      <c r="AE652" s="19" t="s">
        <v>60</v>
      </c>
    </row>
    <row r="653" spans="1:31" x14ac:dyDescent="0.2">
      <c r="A653">
        <v>620</v>
      </c>
      <c r="B653" s="19" t="s">
        <v>993</v>
      </c>
      <c r="C653">
        <v>23</v>
      </c>
      <c r="D653" s="19" t="s">
        <v>428</v>
      </c>
      <c r="E653" s="19" t="s">
        <v>322</v>
      </c>
      <c r="F653">
        <v>29</v>
      </c>
      <c r="G653">
        <v>2</v>
      </c>
      <c r="H653">
        <v>2</v>
      </c>
      <c r="I653">
        <v>4</v>
      </c>
      <c r="J653">
        <v>-4</v>
      </c>
      <c r="K653">
        <v>2</v>
      </c>
      <c r="L653">
        <v>2</v>
      </c>
      <c r="M653">
        <v>0</v>
      </c>
      <c r="N653">
        <v>0</v>
      </c>
      <c r="O653">
        <v>0</v>
      </c>
      <c r="P653">
        <v>2</v>
      </c>
      <c r="Q653">
        <v>0</v>
      </c>
      <c r="R653">
        <v>0</v>
      </c>
      <c r="S653">
        <v>22</v>
      </c>
      <c r="T653">
        <v>9.1</v>
      </c>
      <c r="U653">
        <v>40</v>
      </c>
      <c r="V653" s="19" t="s">
        <v>2892</v>
      </c>
      <c r="W653" s="19" t="s">
        <v>2085</v>
      </c>
      <c r="X653">
        <v>132</v>
      </c>
      <c r="Y653">
        <v>138</v>
      </c>
      <c r="Z653">
        <v>48.9</v>
      </c>
      <c r="AA653">
        <v>24</v>
      </c>
      <c r="AB653">
        <v>77</v>
      </c>
      <c r="AC653">
        <v>9</v>
      </c>
      <c r="AD653">
        <v>16</v>
      </c>
      <c r="AE653" s="19" t="s">
        <v>60</v>
      </c>
    </row>
    <row r="654" spans="1:31" x14ac:dyDescent="0.2">
      <c r="A654">
        <v>621</v>
      </c>
      <c r="B654" s="19" t="s">
        <v>1064</v>
      </c>
      <c r="C654">
        <v>34</v>
      </c>
      <c r="D654" s="19" t="s">
        <v>324</v>
      </c>
      <c r="E654" s="19" t="s">
        <v>349</v>
      </c>
      <c r="F654">
        <v>19</v>
      </c>
      <c r="G654">
        <v>0</v>
      </c>
      <c r="H654">
        <v>4</v>
      </c>
      <c r="I654">
        <v>4</v>
      </c>
      <c r="J654">
        <v>-9</v>
      </c>
      <c r="K654">
        <v>6</v>
      </c>
      <c r="L654">
        <v>0</v>
      </c>
      <c r="M654">
        <v>0</v>
      </c>
      <c r="N654">
        <v>0</v>
      </c>
      <c r="O654">
        <v>0</v>
      </c>
      <c r="P654">
        <v>4</v>
      </c>
      <c r="Q654">
        <v>0</v>
      </c>
      <c r="R654">
        <v>0</v>
      </c>
      <c r="S654">
        <v>6</v>
      </c>
      <c r="T654">
        <v>0</v>
      </c>
      <c r="U654">
        <v>19</v>
      </c>
      <c r="V654" s="19" t="s">
        <v>2087</v>
      </c>
      <c r="W654" s="19" t="s">
        <v>386</v>
      </c>
      <c r="X654">
        <v>0</v>
      </c>
      <c r="Y654">
        <v>0</v>
      </c>
      <c r="AA654">
        <v>26</v>
      </c>
      <c r="AB654">
        <v>4</v>
      </c>
      <c r="AC654">
        <v>4</v>
      </c>
      <c r="AD654">
        <v>13</v>
      </c>
      <c r="AE654" s="19" t="s">
        <v>60</v>
      </c>
    </row>
    <row r="655" spans="1:31" x14ac:dyDescent="0.2">
      <c r="A655">
        <v>622</v>
      </c>
      <c r="B655" s="19" t="s">
        <v>1588</v>
      </c>
      <c r="C655">
        <v>27</v>
      </c>
      <c r="D655" s="19" t="s">
        <v>371</v>
      </c>
      <c r="E655" s="19" t="s">
        <v>340</v>
      </c>
      <c r="F655">
        <v>9</v>
      </c>
      <c r="G655">
        <v>2</v>
      </c>
      <c r="H655">
        <v>2</v>
      </c>
      <c r="I655">
        <v>4</v>
      </c>
      <c r="J655">
        <v>-2</v>
      </c>
      <c r="K655">
        <v>0</v>
      </c>
      <c r="L655">
        <v>2</v>
      </c>
      <c r="M655">
        <v>0</v>
      </c>
      <c r="N655">
        <v>0</v>
      </c>
      <c r="O655">
        <v>0</v>
      </c>
      <c r="P655">
        <v>0</v>
      </c>
      <c r="Q655">
        <v>2</v>
      </c>
      <c r="R655">
        <v>0</v>
      </c>
      <c r="S655">
        <v>9</v>
      </c>
      <c r="T655">
        <v>22.2</v>
      </c>
      <c r="U655">
        <v>26</v>
      </c>
      <c r="V655" s="19" t="s">
        <v>1878</v>
      </c>
      <c r="W655" s="19" t="s">
        <v>1749</v>
      </c>
      <c r="X655">
        <v>0</v>
      </c>
      <c r="Y655">
        <v>0</v>
      </c>
      <c r="AA655">
        <v>6</v>
      </c>
      <c r="AB655">
        <v>8</v>
      </c>
      <c r="AC655">
        <v>2</v>
      </c>
      <c r="AD655">
        <v>10</v>
      </c>
      <c r="AE655" s="19" t="s">
        <v>60</v>
      </c>
    </row>
    <row r="656" spans="1:31" x14ac:dyDescent="0.2">
      <c r="A656">
        <v>623</v>
      </c>
      <c r="B656" s="19" t="s">
        <v>998</v>
      </c>
      <c r="C656">
        <v>31</v>
      </c>
      <c r="D656" s="19" t="s">
        <v>447</v>
      </c>
      <c r="E656" s="19" t="s">
        <v>340</v>
      </c>
      <c r="F656">
        <v>8</v>
      </c>
      <c r="G656">
        <v>1</v>
      </c>
      <c r="H656">
        <v>3</v>
      </c>
      <c r="I656">
        <v>4</v>
      </c>
      <c r="J656">
        <v>0</v>
      </c>
      <c r="K656">
        <v>12</v>
      </c>
      <c r="L656">
        <v>1</v>
      </c>
      <c r="M656">
        <v>0</v>
      </c>
      <c r="N656">
        <v>0</v>
      </c>
      <c r="O656">
        <v>0</v>
      </c>
      <c r="P656">
        <v>3</v>
      </c>
      <c r="Q656">
        <v>0</v>
      </c>
      <c r="R656">
        <v>0</v>
      </c>
      <c r="S656">
        <v>6</v>
      </c>
      <c r="T656">
        <v>16.7</v>
      </c>
      <c r="U656">
        <v>10</v>
      </c>
      <c r="V656" s="19" t="s">
        <v>999</v>
      </c>
      <c r="W656" s="19" t="s">
        <v>1000</v>
      </c>
      <c r="X656">
        <v>1</v>
      </c>
      <c r="Y656">
        <v>1</v>
      </c>
      <c r="Z656">
        <v>50</v>
      </c>
      <c r="AA656">
        <v>6</v>
      </c>
      <c r="AB656">
        <v>10</v>
      </c>
      <c r="AC656">
        <v>1</v>
      </c>
      <c r="AD656">
        <v>3</v>
      </c>
      <c r="AE656" s="19" t="s">
        <v>60</v>
      </c>
    </row>
    <row r="657" spans="1:31" x14ac:dyDescent="0.2">
      <c r="A657">
        <v>624</v>
      </c>
      <c r="B657" s="19" t="s">
        <v>1129</v>
      </c>
      <c r="C657">
        <v>26</v>
      </c>
      <c r="D657" s="19" t="s">
        <v>384</v>
      </c>
      <c r="E657" s="19" t="s">
        <v>325</v>
      </c>
      <c r="F657">
        <v>35</v>
      </c>
      <c r="G657">
        <v>2</v>
      </c>
      <c r="H657">
        <v>2</v>
      </c>
      <c r="I657">
        <v>4</v>
      </c>
      <c r="J657">
        <v>-5</v>
      </c>
      <c r="K657">
        <v>29</v>
      </c>
      <c r="L657">
        <v>2</v>
      </c>
      <c r="M657">
        <v>0</v>
      </c>
      <c r="N657">
        <v>0</v>
      </c>
      <c r="O657">
        <v>0</v>
      </c>
      <c r="P657">
        <v>2</v>
      </c>
      <c r="Q657">
        <v>0</v>
      </c>
      <c r="R657">
        <v>0</v>
      </c>
      <c r="S657">
        <v>29</v>
      </c>
      <c r="T657">
        <v>6.9</v>
      </c>
      <c r="U657">
        <v>48</v>
      </c>
      <c r="V657" s="19" t="s">
        <v>2893</v>
      </c>
      <c r="W657" s="19" t="s">
        <v>1637</v>
      </c>
      <c r="X657">
        <v>34</v>
      </c>
      <c r="Y657">
        <v>19</v>
      </c>
      <c r="Z657">
        <v>64.2</v>
      </c>
      <c r="AA657">
        <v>14</v>
      </c>
      <c r="AB657">
        <v>69</v>
      </c>
      <c r="AC657">
        <v>3</v>
      </c>
      <c r="AD657">
        <v>15</v>
      </c>
      <c r="AE657" s="19" t="s">
        <v>60</v>
      </c>
    </row>
    <row r="658" spans="1:31" x14ac:dyDescent="0.2">
      <c r="A658">
        <v>625</v>
      </c>
      <c r="B658" s="19" t="s">
        <v>1001</v>
      </c>
      <c r="C658">
        <v>27</v>
      </c>
      <c r="D658" s="19" t="s">
        <v>416</v>
      </c>
      <c r="E658" s="19" t="s">
        <v>349</v>
      </c>
      <c r="F658">
        <v>30</v>
      </c>
      <c r="G658">
        <v>0</v>
      </c>
      <c r="H658">
        <v>4</v>
      </c>
      <c r="I658">
        <v>4</v>
      </c>
      <c r="J658">
        <v>0</v>
      </c>
      <c r="K658">
        <v>10</v>
      </c>
      <c r="L658">
        <v>0</v>
      </c>
      <c r="M658">
        <v>0</v>
      </c>
      <c r="N658">
        <v>0</v>
      </c>
      <c r="O658">
        <v>0</v>
      </c>
      <c r="P658">
        <v>4</v>
      </c>
      <c r="Q658">
        <v>0</v>
      </c>
      <c r="R658">
        <v>0</v>
      </c>
      <c r="S658">
        <v>19</v>
      </c>
      <c r="T658">
        <v>0</v>
      </c>
      <c r="U658">
        <v>64</v>
      </c>
      <c r="V658" s="19" t="s">
        <v>2894</v>
      </c>
      <c r="W658" s="19" t="s">
        <v>1728</v>
      </c>
      <c r="X658">
        <v>0</v>
      </c>
      <c r="Y658">
        <v>0</v>
      </c>
      <c r="AA658">
        <v>33</v>
      </c>
      <c r="AB658">
        <v>27</v>
      </c>
      <c r="AC658">
        <v>7</v>
      </c>
      <c r="AD658">
        <v>17</v>
      </c>
      <c r="AE658" s="19" t="s">
        <v>60</v>
      </c>
    </row>
    <row r="659" spans="1:31" x14ac:dyDescent="0.2">
      <c r="A659">
        <v>626</v>
      </c>
      <c r="B659" s="19" t="s">
        <v>1581</v>
      </c>
      <c r="C659">
        <v>22</v>
      </c>
      <c r="D659" s="19" t="s">
        <v>530</v>
      </c>
      <c r="E659" s="19" t="s">
        <v>335</v>
      </c>
      <c r="F659">
        <v>16</v>
      </c>
      <c r="G659">
        <v>1</v>
      </c>
      <c r="H659">
        <v>3</v>
      </c>
      <c r="I659">
        <v>4</v>
      </c>
      <c r="J659">
        <v>-2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3</v>
      </c>
      <c r="Q659">
        <v>0</v>
      </c>
      <c r="R659">
        <v>0</v>
      </c>
      <c r="S659">
        <v>12</v>
      </c>
      <c r="T659">
        <v>8.3000000000000007</v>
      </c>
      <c r="U659">
        <v>34</v>
      </c>
      <c r="V659" s="19" t="s">
        <v>2543</v>
      </c>
      <c r="W659" s="19" t="s">
        <v>1266</v>
      </c>
      <c r="X659">
        <v>1</v>
      </c>
      <c r="Y659">
        <v>0</v>
      </c>
      <c r="Z659">
        <v>100</v>
      </c>
      <c r="AA659">
        <v>6</v>
      </c>
      <c r="AB659">
        <v>75</v>
      </c>
      <c r="AC659">
        <v>2</v>
      </c>
      <c r="AD659">
        <v>7</v>
      </c>
      <c r="AE659" s="19" t="s">
        <v>60</v>
      </c>
    </row>
    <row r="660" spans="1:31" x14ac:dyDescent="0.2">
      <c r="A660">
        <v>627</v>
      </c>
      <c r="B660" s="19" t="s">
        <v>1444</v>
      </c>
      <c r="C660">
        <v>22</v>
      </c>
      <c r="D660" s="19" t="s">
        <v>324</v>
      </c>
      <c r="E660" s="19" t="s">
        <v>322</v>
      </c>
      <c r="F660">
        <v>28</v>
      </c>
      <c r="G660">
        <v>3</v>
      </c>
      <c r="H660">
        <v>1</v>
      </c>
      <c r="I660">
        <v>4</v>
      </c>
      <c r="J660">
        <v>-6</v>
      </c>
      <c r="K660">
        <v>4</v>
      </c>
      <c r="L660">
        <v>3</v>
      </c>
      <c r="M660">
        <v>0</v>
      </c>
      <c r="N660">
        <v>0</v>
      </c>
      <c r="O660">
        <v>2</v>
      </c>
      <c r="P660">
        <v>1</v>
      </c>
      <c r="Q660">
        <v>0</v>
      </c>
      <c r="R660">
        <v>0</v>
      </c>
      <c r="S660">
        <v>22</v>
      </c>
      <c r="T660">
        <v>13.6</v>
      </c>
      <c r="U660">
        <v>36</v>
      </c>
      <c r="V660" s="19" t="s">
        <v>2544</v>
      </c>
      <c r="W660" s="19" t="s">
        <v>1693</v>
      </c>
      <c r="X660">
        <v>117</v>
      </c>
      <c r="Y660">
        <v>109</v>
      </c>
      <c r="Z660">
        <v>51.8</v>
      </c>
      <c r="AA660">
        <v>11</v>
      </c>
      <c r="AB660">
        <v>72</v>
      </c>
      <c r="AC660">
        <v>5</v>
      </c>
      <c r="AD660">
        <v>8</v>
      </c>
      <c r="AE660" s="19" t="s">
        <v>60</v>
      </c>
    </row>
    <row r="661" spans="1:31" x14ac:dyDescent="0.2">
      <c r="A661">
        <v>628</v>
      </c>
      <c r="B661" s="19" t="s">
        <v>1272</v>
      </c>
      <c r="C661">
        <v>26</v>
      </c>
      <c r="D661" s="19" t="s">
        <v>363</v>
      </c>
      <c r="E661" s="19" t="s">
        <v>322</v>
      </c>
      <c r="F661">
        <v>46</v>
      </c>
      <c r="G661">
        <v>2</v>
      </c>
      <c r="H661">
        <v>2</v>
      </c>
      <c r="I661">
        <v>4</v>
      </c>
      <c r="J661">
        <v>-7</v>
      </c>
      <c r="K661">
        <v>15</v>
      </c>
      <c r="L661">
        <v>2</v>
      </c>
      <c r="M661">
        <v>0</v>
      </c>
      <c r="N661">
        <v>0</v>
      </c>
      <c r="O661">
        <v>1</v>
      </c>
      <c r="P661">
        <v>2</v>
      </c>
      <c r="Q661">
        <v>0</v>
      </c>
      <c r="R661">
        <v>0</v>
      </c>
      <c r="S661">
        <v>44</v>
      </c>
      <c r="T661">
        <v>4.5</v>
      </c>
      <c r="U661">
        <v>79</v>
      </c>
      <c r="V661" s="19" t="s">
        <v>2301</v>
      </c>
      <c r="W661" s="19" t="s">
        <v>1116</v>
      </c>
      <c r="X661">
        <v>144</v>
      </c>
      <c r="Y661">
        <v>137</v>
      </c>
      <c r="Z661">
        <v>51.2</v>
      </c>
      <c r="AA661">
        <v>23</v>
      </c>
      <c r="AB661">
        <v>111</v>
      </c>
      <c r="AC661">
        <v>7</v>
      </c>
      <c r="AD661">
        <v>14</v>
      </c>
      <c r="AE661" s="19" t="s">
        <v>60</v>
      </c>
    </row>
    <row r="662" spans="1:31" x14ac:dyDescent="0.2">
      <c r="A662">
        <v>629</v>
      </c>
      <c r="B662" s="19" t="s">
        <v>1866</v>
      </c>
      <c r="C662">
        <v>27</v>
      </c>
      <c r="D662" s="19" t="s">
        <v>419</v>
      </c>
      <c r="E662" s="19" t="s">
        <v>325</v>
      </c>
      <c r="F662">
        <v>9</v>
      </c>
      <c r="G662">
        <v>2</v>
      </c>
      <c r="H662">
        <v>2</v>
      </c>
      <c r="I662">
        <v>4</v>
      </c>
      <c r="J662">
        <v>3</v>
      </c>
      <c r="K662">
        <v>0</v>
      </c>
      <c r="L662">
        <v>2</v>
      </c>
      <c r="M662">
        <v>0</v>
      </c>
      <c r="N662">
        <v>0</v>
      </c>
      <c r="O662">
        <v>0</v>
      </c>
      <c r="P662">
        <v>2</v>
      </c>
      <c r="Q662">
        <v>0</v>
      </c>
      <c r="R662">
        <v>0</v>
      </c>
      <c r="S662">
        <v>7</v>
      </c>
      <c r="T662">
        <v>28.6</v>
      </c>
      <c r="U662">
        <v>30</v>
      </c>
      <c r="V662" s="19" t="s">
        <v>2895</v>
      </c>
      <c r="W662" s="19" t="s">
        <v>2124</v>
      </c>
      <c r="X662">
        <v>1</v>
      </c>
      <c r="Y662">
        <v>3</v>
      </c>
      <c r="Z662">
        <v>25</v>
      </c>
      <c r="AA662">
        <v>3</v>
      </c>
      <c r="AB662">
        <v>6</v>
      </c>
      <c r="AC662">
        <v>1</v>
      </c>
      <c r="AD662">
        <v>8</v>
      </c>
      <c r="AE662" s="19" t="s">
        <v>60</v>
      </c>
    </row>
    <row r="663" spans="1:31" x14ac:dyDescent="0.2">
      <c r="A663">
        <v>630</v>
      </c>
      <c r="B663" s="19" t="s">
        <v>1493</v>
      </c>
      <c r="C663">
        <v>28</v>
      </c>
      <c r="D663" s="19" t="s">
        <v>399</v>
      </c>
      <c r="E663" s="19" t="s">
        <v>349</v>
      </c>
      <c r="F663">
        <v>23</v>
      </c>
      <c r="G663">
        <v>0</v>
      </c>
      <c r="H663">
        <v>4</v>
      </c>
      <c r="I663">
        <v>4</v>
      </c>
      <c r="J663">
        <v>2</v>
      </c>
      <c r="K663">
        <v>2</v>
      </c>
      <c r="L663">
        <v>0</v>
      </c>
      <c r="M663">
        <v>0</v>
      </c>
      <c r="N663">
        <v>0</v>
      </c>
      <c r="O663">
        <v>0</v>
      </c>
      <c r="P663">
        <v>4</v>
      </c>
      <c r="Q663">
        <v>0</v>
      </c>
      <c r="R663">
        <v>0</v>
      </c>
      <c r="S663">
        <v>14</v>
      </c>
      <c r="T663">
        <v>0</v>
      </c>
      <c r="U663">
        <v>32</v>
      </c>
      <c r="V663" s="19" t="s">
        <v>1848</v>
      </c>
      <c r="W663" s="19" t="s">
        <v>952</v>
      </c>
      <c r="X663">
        <v>0</v>
      </c>
      <c r="Y663">
        <v>0</v>
      </c>
      <c r="AA663">
        <v>16</v>
      </c>
      <c r="AB663">
        <v>23</v>
      </c>
      <c r="AC663">
        <v>4</v>
      </c>
      <c r="AD663">
        <v>21</v>
      </c>
      <c r="AE663" s="19" t="s">
        <v>60</v>
      </c>
    </row>
    <row r="664" spans="1:31" x14ac:dyDescent="0.2">
      <c r="A664">
        <v>631</v>
      </c>
      <c r="B664" s="19" t="s">
        <v>1021</v>
      </c>
      <c r="C664">
        <v>23</v>
      </c>
      <c r="D664" s="19" t="s">
        <v>459</v>
      </c>
      <c r="E664" s="19" t="s">
        <v>335</v>
      </c>
      <c r="F664">
        <v>27</v>
      </c>
      <c r="G664">
        <v>1</v>
      </c>
      <c r="H664">
        <v>3</v>
      </c>
      <c r="I664">
        <v>4</v>
      </c>
      <c r="J664">
        <v>-7</v>
      </c>
      <c r="K664">
        <v>32</v>
      </c>
      <c r="L664">
        <v>1</v>
      </c>
      <c r="M664">
        <v>0</v>
      </c>
      <c r="N664">
        <v>0</v>
      </c>
      <c r="O664">
        <v>0</v>
      </c>
      <c r="P664">
        <v>3</v>
      </c>
      <c r="Q664">
        <v>0</v>
      </c>
      <c r="R664">
        <v>0</v>
      </c>
      <c r="S664">
        <v>23</v>
      </c>
      <c r="T664">
        <v>4.3</v>
      </c>
      <c r="U664">
        <v>48</v>
      </c>
      <c r="V664" s="19" t="s">
        <v>2896</v>
      </c>
      <c r="W664" s="19" t="s">
        <v>1854</v>
      </c>
      <c r="X664">
        <v>0</v>
      </c>
      <c r="Y664">
        <v>4</v>
      </c>
      <c r="Z664">
        <v>0</v>
      </c>
      <c r="AA664">
        <v>13</v>
      </c>
      <c r="AB664">
        <v>68</v>
      </c>
      <c r="AC664">
        <v>6</v>
      </c>
      <c r="AD664">
        <v>12</v>
      </c>
      <c r="AE664" s="19" t="s">
        <v>60</v>
      </c>
    </row>
    <row r="665" spans="1:31" x14ac:dyDescent="0.2">
      <c r="A665">
        <v>632</v>
      </c>
      <c r="B665" s="19" t="s">
        <v>1200</v>
      </c>
      <c r="C665">
        <v>30</v>
      </c>
      <c r="D665" s="19" t="s">
        <v>950</v>
      </c>
      <c r="E665" s="19" t="s">
        <v>322</v>
      </c>
      <c r="F665">
        <v>24</v>
      </c>
      <c r="G665">
        <v>2</v>
      </c>
      <c r="H665">
        <v>2</v>
      </c>
      <c r="I665">
        <v>4</v>
      </c>
      <c r="J665">
        <v>0</v>
      </c>
      <c r="K665">
        <v>8</v>
      </c>
      <c r="L665">
        <v>2</v>
      </c>
      <c r="M665">
        <v>0</v>
      </c>
      <c r="N665">
        <v>0</v>
      </c>
      <c r="O665">
        <v>0</v>
      </c>
      <c r="P665">
        <v>2</v>
      </c>
      <c r="Q665">
        <v>0</v>
      </c>
      <c r="R665">
        <v>0</v>
      </c>
      <c r="S665">
        <v>23</v>
      </c>
      <c r="T665">
        <v>8.6999999999999993</v>
      </c>
      <c r="U665">
        <v>55</v>
      </c>
      <c r="V665" s="19" t="s">
        <v>2897</v>
      </c>
      <c r="W665" s="19" t="s">
        <v>2131</v>
      </c>
      <c r="X665">
        <v>6</v>
      </c>
      <c r="Y665">
        <v>13</v>
      </c>
      <c r="Z665">
        <v>31.6</v>
      </c>
      <c r="AA665">
        <v>16</v>
      </c>
      <c r="AB665">
        <v>37</v>
      </c>
      <c r="AC665">
        <v>6</v>
      </c>
      <c r="AD665">
        <v>8</v>
      </c>
      <c r="AE665" s="19" t="s">
        <v>60</v>
      </c>
    </row>
    <row r="666" spans="1:31" x14ac:dyDescent="0.2">
      <c r="A666">
        <v>632</v>
      </c>
      <c r="B666" s="19" t="s">
        <v>1200</v>
      </c>
      <c r="C666">
        <v>30</v>
      </c>
      <c r="D666" s="19" t="s">
        <v>376</v>
      </c>
      <c r="E666" s="19" t="s">
        <v>322</v>
      </c>
      <c r="F666">
        <v>13</v>
      </c>
      <c r="G666">
        <v>1</v>
      </c>
      <c r="H666">
        <v>1</v>
      </c>
      <c r="I666">
        <v>2</v>
      </c>
      <c r="J666">
        <v>1</v>
      </c>
      <c r="K666">
        <v>8</v>
      </c>
      <c r="L666">
        <v>1</v>
      </c>
      <c r="M666">
        <v>0</v>
      </c>
      <c r="N666">
        <v>0</v>
      </c>
      <c r="O666">
        <v>0</v>
      </c>
      <c r="P666">
        <v>1</v>
      </c>
      <c r="Q666">
        <v>0</v>
      </c>
      <c r="R666">
        <v>0</v>
      </c>
      <c r="S666">
        <v>14</v>
      </c>
      <c r="T666">
        <v>7.1</v>
      </c>
      <c r="U666">
        <v>35</v>
      </c>
      <c r="V666" s="19" t="s">
        <v>1601</v>
      </c>
      <c r="W666" s="19" t="s">
        <v>1269</v>
      </c>
      <c r="X666">
        <v>5</v>
      </c>
      <c r="Y666">
        <v>11</v>
      </c>
      <c r="Z666">
        <v>31.3</v>
      </c>
      <c r="AA666">
        <v>10</v>
      </c>
      <c r="AB666">
        <v>16</v>
      </c>
      <c r="AC666">
        <v>2</v>
      </c>
      <c r="AD666">
        <v>4</v>
      </c>
      <c r="AE666" s="19" t="s">
        <v>60</v>
      </c>
    </row>
    <row r="667" spans="1:31" x14ac:dyDescent="0.2">
      <c r="A667">
        <v>632</v>
      </c>
      <c r="B667" s="19" t="s">
        <v>1200</v>
      </c>
      <c r="C667">
        <v>30</v>
      </c>
      <c r="D667" s="19" t="s">
        <v>381</v>
      </c>
      <c r="E667" s="19" t="s">
        <v>322</v>
      </c>
      <c r="F667">
        <v>11</v>
      </c>
      <c r="G667">
        <v>1</v>
      </c>
      <c r="H667">
        <v>1</v>
      </c>
      <c r="I667">
        <v>2</v>
      </c>
      <c r="J667">
        <v>-1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1</v>
      </c>
      <c r="Q667">
        <v>0</v>
      </c>
      <c r="R667">
        <v>0</v>
      </c>
      <c r="S667">
        <v>9</v>
      </c>
      <c r="T667">
        <v>11.1</v>
      </c>
      <c r="U667">
        <v>20</v>
      </c>
      <c r="V667" s="19" t="s">
        <v>2898</v>
      </c>
      <c r="W667" s="19" t="s">
        <v>1121</v>
      </c>
      <c r="X667">
        <v>1</v>
      </c>
      <c r="Y667">
        <v>2</v>
      </c>
      <c r="Z667">
        <v>33.299999999999997</v>
      </c>
      <c r="AA667">
        <v>6</v>
      </c>
      <c r="AB667">
        <v>21</v>
      </c>
      <c r="AC667">
        <v>4</v>
      </c>
      <c r="AD667">
        <v>4</v>
      </c>
      <c r="AE667" s="19" t="s">
        <v>60</v>
      </c>
    </row>
    <row r="668" spans="1:31" x14ac:dyDescent="0.2">
      <c r="A668">
        <v>633</v>
      </c>
      <c r="B668" s="19" t="s">
        <v>1157</v>
      </c>
      <c r="C668">
        <v>26</v>
      </c>
      <c r="D668" s="19" t="s">
        <v>355</v>
      </c>
      <c r="E668" s="19" t="s">
        <v>349</v>
      </c>
      <c r="F668">
        <v>32</v>
      </c>
      <c r="G668">
        <v>2</v>
      </c>
      <c r="H668">
        <v>1</v>
      </c>
      <c r="I668">
        <v>3</v>
      </c>
      <c r="J668">
        <v>19</v>
      </c>
      <c r="K668">
        <v>31</v>
      </c>
      <c r="L668">
        <v>2</v>
      </c>
      <c r="M668">
        <v>0</v>
      </c>
      <c r="N668">
        <v>0</v>
      </c>
      <c r="O668">
        <v>0</v>
      </c>
      <c r="P668">
        <v>1</v>
      </c>
      <c r="Q668">
        <v>0</v>
      </c>
      <c r="R668">
        <v>0</v>
      </c>
      <c r="S668">
        <v>21</v>
      </c>
      <c r="T668">
        <v>9.5</v>
      </c>
      <c r="U668">
        <v>58</v>
      </c>
      <c r="V668" s="19" t="s">
        <v>2899</v>
      </c>
      <c r="W668" s="19" t="s">
        <v>586</v>
      </c>
      <c r="X668">
        <v>0</v>
      </c>
      <c r="Y668">
        <v>0</v>
      </c>
      <c r="AA668">
        <v>44</v>
      </c>
      <c r="AB668">
        <v>57</v>
      </c>
      <c r="AC668">
        <v>5</v>
      </c>
      <c r="AD668">
        <v>27</v>
      </c>
      <c r="AE668" s="19" t="s">
        <v>60</v>
      </c>
    </row>
    <row r="669" spans="1:31" x14ac:dyDescent="0.2">
      <c r="A669">
        <v>634</v>
      </c>
      <c r="B669" s="19" t="s">
        <v>1024</v>
      </c>
      <c r="C669">
        <v>28</v>
      </c>
      <c r="D669" s="19" t="s">
        <v>334</v>
      </c>
      <c r="E669" s="19" t="s">
        <v>335</v>
      </c>
      <c r="F669">
        <v>24</v>
      </c>
      <c r="G669">
        <v>3</v>
      </c>
      <c r="H669">
        <v>0</v>
      </c>
      <c r="I669">
        <v>3</v>
      </c>
      <c r="J669">
        <v>1</v>
      </c>
      <c r="K669">
        <v>15</v>
      </c>
      <c r="L669">
        <v>3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16</v>
      </c>
      <c r="T669">
        <v>18.8</v>
      </c>
      <c r="U669">
        <v>26</v>
      </c>
      <c r="V669" s="19" t="s">
        <v>2302</v>
      </c>
      <c r="W669" s="19" t="s">
        <v>2303</v>
      </c>
      <c r="X669">
        <v>0</v>
      </c>
      <c r="Y669">
        <v>0</v>
      </c>
      <c r="AA669">
        <v>6</v>
      </c>
      <c r="AB669">
        <v>55</v>
      </c>
      <c r="AC669">
        <v>1</v>
      </c>
      <c r="AD669">
        <v>6</v>
      </c>
      <c r="AE669" s="19" t="s">
        <v>60</v>
      </c>
    </row>
    <row r="670" spans="1:31" x14ac:dyDescent="0.2">
      <c r="A670">
        <v>635</v>
      </c>
      <c r="B670" s="19" t="s">
        <v>1026</v>
      </c>
      <c r="C670">
        <v>27</v>
      </c>
      <c r="D670" s="19" t="s">
        <v>359</v>
      </c>
      <c r="E670" s="19" t="s">
        <v>349</v>
      </c>
      <c r="F670">
        <v>44</v>
      </c>
      <c r="G670">
        <v>0</v>
      </c>
      <c r="H670">
        <v>3</v>
      </c>
      <c r="I670">
        <v>3</v>
      </c>
      <c r="J670">
        <v>-3</v>
      </c>
      <c r="K670">
        <v>27</v>
      </c>
      <c r="L670">
        <v>0</v>
      </c>
      <c r="M670">
        <v>0</v>
      </c>
      <c r="N670">
        <v>0</v>
      </c>
      <c r="O670">
        <v>0</v>
      </c>
      <c r="P670">
        <v>3</v>
      </c>
      <c r="Q670">
        <v>0</v>
      </c>
      <c r="R670">
        <v>0</v>
      </c>
      <c r="S670">
        <v>27</v>
      </c>
      <c r="T670">
        <v>0</v>
      </c>
      <c r="U670">
        <v>79</v>
      </c>
      <c r="V670" s="19" t="s">
        <v>2545</v>
      </c>
      <c r="W670" s="19" t="s">
        <v>479</v>
      </c>
      <c r="X670">
        <v>0</v>
      </c>
      <c r="Y670">
        <v>0</v>
      </c>
      <c r="AA670">
        <v>67</v>
      </c>
      <c r="AB670">
        <v>115</v>
      </c>
      <c r="AC670">
        <v>8</v>
      </c>
      <c r="AD670">
        <v>44</v>
      </c>
      <c r="AE670" s="19" t="s">
        <v>60</v>
      </c>
    </row>
    <row r="671" spans="1:31" x14ac:dyDescent="0.2">
      <c r="A671">
        <v>636</v>
      </c>
      <c r="B671" s="19" t="s">
        <v>1027</v>
      </c>
      <c r="C671">
        <v>21</v>
      </c>
      <c r="D671" s="19" t="s">
        <v>334</v>
      </c>
      <c r="E671" s="19" t="s">
        <v>349</v>
      </c>
      <c r="F671">
        <v>26</v>
      </c>
      <c r="G671">
        <v>1</v>
      </c>
      <c r="H671">
        <v>2</v>
      </c>
      <c r="I671">
        <v>3</v>
      </c>
      <c r="J671">
        <v>6</v>
      </c>
      <c r="K671">
        <v>22</v>
      </c>
      <c r="L671">
        <v>1</v>
      </c>
      <c r="M671">
        <v>0</v>
      </c>
      <c r="N671">
        <v>0</v>
      </c>
      <c r="O671">
        <v>0</v>
      </c>
      <c r="P671">
        <v>2</v>
      </c>
      <c r="Q671">
        <v>0</v>
      </c>
      <c r="R671">
        <v>0</v>
      </c>
      <c r="S671">
        <v>9</v>
      </c>
      <c r="T671">
        <v>11.1</v>
      </c>
      <c r="U671">
        <v>30</v>
      </c>
      <c r="V671" s="19" t="s">
        <v>1028</v>
      </c>
      <c r="W671" s="19" t="s">
        <v>1029</v>
      </c>
      <c r="X671">
        <v>0</v>
      </c>
      <c r="Y671">
        <v>0</v>
      </c>
      <c r="AA671">
        <v>24</v>
      </c>
      <c r="AB671">
        <v>85</v>
      </c>
      <c r="AC671">
        <v>4</v>
      </c>
      <c r="AD671">
        <v>23</v>
      </c>
      <c r="AE671" s="19" t="s">
        <v>60</v>
      </c>
    </row>
    <row r="672" spans="1:31" x14ac:dyDescent="0.2">
      <c r="A672">
        <v>637</v>
      </c>
      <c r="B672" s="19" t="s">
        <v>1170</v>
      </c>
      <c r="C672">
        <v>25</v>
      </c>
      <c r="D672" s="19" t="s">
        <v>352</v>
      </c>
      <c r="E672" s="19" t="s">
        <v>349</v>
      </c>
      <c r="F672">
        <v>29</v>
      </c>
      <c r="G672">
        <v>1</v>
      </c>
      <c r="H672">
        <v>2</v>
      </c>
      <c r="I672">
        <v>3</v>
      </c>
      <c r="J672">
        <v>4</v>
      </c>
      <c r="K672">
        <v>17</v>
      </c>
      <c r="L672">
        <v>1</v>
      </c>
      <c r="M672">
        <v>0</v>
      </c>
      <c r="N672">
        <v>0</v>
      </c>
      <c r="O672">
        <v>0</v>
      </c>
      <c r="P672">
        <v>2</v>
      </c>
      <c r="Q672">
        <v>0</v>
      </c>
      <c r="R672">
        <v>0</v>
      </c>
      <c r="S672">
        <v>21</v>
      </c>
      <c r="T672">
        <v>4.8</v>
      </c>
      <c r="U672">
        <v>62</v>
      </c>
      <c r="V672" s="19" t="s">
        <v>2900</v>
      </c>
      <c r="W672" s="19" t="s">
        <v>1628</v>
      </c>
      <c r="X672">
        <v>0</v>
      </c>
      <c r="Y672">
        <v>0</v>
      </c>
      <c r="AA672">
        <v>24</v>
      </c>
      <c r="AB672">
        <v>29</v>
      </c>
      <c r="AC672">
        <v>5</v>
      </c>
      <c r="AD672">
        <v>13</v>
      </c>
      <c r="AE672" s="19" t="s">
        <v>60</v>
      </c>
    </row>
    <row r="673" spans="1:31" x14ac:dyDescent="0.2">
      <c r="A673">
        <v>638</v>
      </c>
      <c r="B673" s="19" t="s">
        <v>1098</v>
      </c>
      <c r="C673">
        <v>26</v>
      </c>
      <c r="D673" s="19" t="s">
        <v>366</v>
      </c>
      <c r="E673" s="19" t="s">
        <v>349</v>
      </c>
      <c r="F673">
        <v>18</v>
      </c>
      <c r="G673">
        <v>0</v>
      </c>
      <c r="H673">
        <v>3</v>
      </c>
      <c r="I673">
        <v>3</v>
      </c>
      <c r="J673">
        <v>0</v>
      </c>
      <c r="K673">
        <v>2</v>
      </c>
      <c r="L673">
        <v>0</v>
      </c>
      <c r="M673">
        <v>0</v>
      </c>
      <c r="N673">
        <v>0</v>
      </c>
      <c r="O673">
        <v>0</v>
      </c>
      <c r="P673">
        <v>3</v>
      </c>
      <c r="Q673">
        <v>0</v>
      </c>
      <c r="R673">
        <v>0</v>
      </c>
      <c r="S673">
        <v>16</v>
      </c>
      <c r="T673">
        <v>0</v>
      </c>
      <c r="U673">
        <v>40</v>
      </c>
      <c r="V673" s="19" t="s">
        <v>2183</v>
      </c>
      <c r="W673" s="19" t="s">
        <v>1871</v>
      </c>
      <c r="X673">
        <v>0</v>
      </c>
      <c r="Y673">
        <v>0</v>
      </c>
      <c r="AA673">
        <v>18</v>
      </c>
      <c r="AB673">
        <v>7</v>
      </c>
      <c r="AC673">
        <v>5</v>
      </c>
      <c r="AD673">
        <v>18</v>
      </c>
      <c r="AE673" s="19" t="s">
        <v>60</v>
      </c>
    </row>
    <row r="674" spans="1:31" x14ac:dyDescent="0.2">
      <c r="A674">
        <v>639</v>
      </c>
      <c r="B674" s="19" t="s">
        <v>1034</v>
      </c>
      <c r="C674">
        <v>26</v>
      </c>
      <c r="D674" s="19" t="s">
        <v>447</v>
      </c>
      <c r="E674" s="19" t="s">
        <v>322</v>
      </c>
      <c r="F674">
        <v>7</v>
      </c>
      <c r="G674">
        <v>3</v>
      </c>
      <c r="H674">
        <v>0</v>
      </c>
      <c r="I674">
        <v>3</v>
      </c>
      <c r="J674">
        <v>0</v>
      </c>
      <c r="K674">
        <v>6</v>
      </c>
      <c r="L674">
        <v>3</v>
      </c>
      <c r="M674">
        <v>0</v>
      </c>
      <c r="N674">
        <v>0</v>
      </c>
      <c r="O674">
        <v>1</v>
      </c>
      <c r="P674">
        <v>0</v>
      </c>
      <c r="Q674">
        <v>0</v>
      </c>
      <c r="R674">
        <v>0</v>
      </c>
      <c r="S674">
        <v>17</v>
      </c>
      <c r="T674">
        <v>17.600000000000001</v>
      </c>
      <c r="U674">
        <v>26</v>
      </c>
      <c r="V674" s="19" t="s">
        <v>2546</v>
      </c>
      <c r="W674" s="19" t="s">
        <v>1785</v>
      </c>
      <c r="X674">
        <v>44</v>
      </c>
      <c r="Y674">
        <v>45</v>
      </c>
      <c r="Z674">
        <v>49.4</v>
      </c>
      <c r="AA674">
        <v>4</v>
      </c>
      <c r="AB674">
        <v>4</v>
      </c>
      <c r="AC674">
        <v>2</v>
      </c>
      <c r="AD674">
        <v>6</v>
      </c>
      <c r="AE674" s="19" t="s">
        <v>60</v>
      </c>
    </row>
    <row r="675" spans="1:31" x14ac:dyDescent="0.2">
      <c r="A675">
        <v>640</v>
      </c>
      <c r="B675" s="19" t="s">
        <v>1306</v>
      </c>
      <c r="C675">
        <v>30</v>
      </c>
      <c r="D675" s="19" t="s">
        <v>376</v>
      </c>
      <c r="E675" s="19" t="s">
        <v>349</v>
      </c>
      <c r="F675">
        <v>22</v>
      </c>
      <c r="G675">
        <v>1</v>
      </c>
      <c r="H675">
        <v>2</v>
      </c>
      <c r="I675">
        <v>3</v>
      </c>
      <c r="J675">
        <v>-1</v>
      </c>
      <c r="K675">
        <v>22</v>
      </c>
      <c r="L675">
        <v>1</v>
      </c>
      <c r="M675">
        <v>0</v>
      </c>
      <c r="N675">
        <v>0</v>
      </c>
      <c r="O675">
        <v>0</v>
      </c>
      <c r="P675">
        <v>2</v>
      </c>
      <c r="Q675">
        <v>0</v>
      </c>
      <c r="R675">
        <v>0</v>
      </c>
      <c r="S675">
        <v>17</v>
      </c>
      <c r="T675">
        <v>5.9</v>
      </c>
      <c r="U675">
        <v>56</v>
      </c>
      <c r="V675" s="19" t="s">
        <v>2304</v>
      </c>
      <c r="W675" s="19" t="s">
        <v>1991</v>
      </c>
      <c r="X675">
        <v>0</v>
      </c>
      <c r="Y675">
        <v>0</v>
      </c>
      <c r="AA675">
        <v>33</v>
      </c>
      <c r="AB675">
        <v>87</v>
      </c>
      <c r="AC675">
        <v>6</v>
      </c>
      <c r="AD675">
        <v>15</v>
      </c>
      <c r="AE675" s="19" t="s">
        <v>60</v>
      </c>
    </row>
    <row r="676" spans="1:31" x14ac:dyDescent="0.2">
      <c r="A676">
        <v>641</v>
      </c>
      <c r="B676" s="19" t="s">
        <v>1177</v>
      </c>
      <c r="C676">
        <v>29</v>
      </c>
      <c r="D676" s="19" t="s">
        <v>530</v>
      </c>
      <c r="E676" s="19" t="s">
        <v>3</v>
      </c>
      <c r="F676">
        <v>29</v>
      </c>
      <c r="G676">
        <v>0</v>
      </c>
      <c r="H676">
        <v>3</v>
      </c>
      <c r="I676">
        <v>3</v>
      </c>
      <c r="J676">
        <v>0</v>
      </c>
      <c r="K676">
        <v>4</v>
      </c>
      <c r="L676">
        <v>0</v>
      </c>
      <c r="M676">
        <v>0</v>
      </c>
      <c r="N676">
        <v>0</v>
      </c>
      <c r="O676">
        <v>0</v>
      </c>
      <c r="P676">
        <v>3</v>
      </c>
      <c r="Q676">
        <v>0</v>
      </c>
      <c r="R676">
        <v>0</v>
      </c>
      <c r="S676">
        <v>3</v>
      </c>
      <c r="T676">
        <v>0</v>
      </c>
      <c r="U676">
        <v>5</v>
      </c>
      <c r="V676" s="19" t="s">
        <v>2184</v>
      </c>
      <c r="W676" s="19" t="s">
        <v>2185</v>
      </c>
      <c r="X676">
        <v>0</v>
      </c>
      <c r="Y676">
        <v>0</v>
      </c>
      <c r="AA676">
        <v>0</v>
      </c>
      <c r="AB676">
        <v>0</v>
      </c>
      <c r="AC676">
        <v>0</v>
      </c>
      <c r="AD676">
        <v>20</v>
      </c>
      <c r="AE676" s="19" t="s">
        <v>60</v>
      </c>
    </row>
    <row r="677" spans="1:31" x14ac:dyDescent="0.2">
      <c r="A677">
        <v>642</v>
      </c>
      <c r="B677" s="19" t="s">
        <v>1099</v>
      </c>
      <c r="C677">
        <v>29</v>
      </c>
      <c r="D677" s="19" t="s">
        <v>324</v>
      </c>
      <c r="E677" s="19" t="s">
        <v>349</v>
      </c>
      <c r="F677">
        <v>23</v>
      </c>
      <c r="G677">
        <v>1</v>
      </c>
      <c r="H677">
        <v>2</v>
      </c>
      <c r="I677">
        <v>3</v>
      </c>
      <c r="J677">
        <v>1</v>
      </c>
      <c r="K677">
        <v>38</v>
      </c>
      <c r="L677">
        <v>1</v>
      </c>
      <c r="M677">
        <v>0</v>
      </c>
      <c r="N677">
        <v>0</v>
      </c>
      <c r="O677">
        <v>1</v>
      </c>
      <c r="P677">
        <v>2</v>
      </c>
      <c r="Q677">
        <v>0</v>
      </c>
      <c r="R677">
        <v>0</v>
      </c>
      <c r="S677">
        <v>16</v>
      </c>
      <c r="T677">
        <v>6.3</v>
      </c>
      <c r="U677">
        <v>40</v>
      </c>
      <c r="V677" s="19" t="s">
        <v>2547</v>
      </c>
      <c r="W677" s="19" t="s">
        <v>1630</v>
      </c>
      <c r="X677">
        <v>0</v>
      </c>
      <c r="Y677">
        <v>0</v>
      </c>
      <c r="AA677">
        <v>40</v>
      </c>
      <c r="AB677">
        <v>35</v>
      </c>
      <c r="AC677">
        <v>3</v>
      </c>
      <c r="AD677">
        <v>19</v>
      </c>
      <c r="AE677" s="19" t="s">
        <v>60</v>
      </c>
    </row>
    <row r="678" spans="1:31" x14ac:dyDescent="0.2">
      <c r="A678">
        <v>643</v>
      </c>
      <c r="B678" s="19" t="s">
        <v>1038</v>
      </c>
      <c r="C678">
        <v>31</v>
      </c>
      <c r="D678" s="19" t="s">
        <v>376</v>
      </c>
      <c r="E678" s="19" t="s">
        <v>349</v>
      </c>
      <c r="F678">
        <v>11</v>
      </c>
      <c r="G678">
        <v>1</v>
      </c>
      <c r="H678">
        <v>2</v>
      </c>
      <c r="I678">
        <v>3</v>
      </c>
      <c r="J678">
        <v>-5</v>
      </c>
      <c r="K678">
        <v>11</v>
      </c>
      <c r="L678">
        <v>1</v>
      </c>
      <c r="M678">
        <v>0</v>
      </c>
      <c r="N678">
        <v>0</v>
      </c>
      <c r="O678">
        <v>0</v>
      </c>
      <c r="P678">
        <v>2</v>
      </c>
      <c r="Q678">
        <v>0</v>
      </c>
      <c r="R678">
        <v>0</v>
      </c>
      <c r="S678">
        <v>7</v>
      </c>
      <c r="T678">
        <v>14.3</v>
      </c>
      <c r="U678">
        <v>26</v>
      </c>
      <c r="V678" s="19" t="s">
        <v>1039</v>
      </c>
      <c r="W678" s="19" t="s">
        <v>1040</v>
      </c>
      <c r="X678">
        <v>0</v>
      </c>
      <c r="Y678">
        <v>0</v>
      </c>
      <c r="AA678">
        <v>12</v>
      </c>
      <c r="AB678">
        <v>16</v>
      </c>
      <c r="AC678">
        <v>6</v>
      </c>
      <c r="AD678">
        <v>8</v>
      </c>
      <c r="AE678" s="19" t="s">
        <v>60</v>
      </c>
    </row>
    <row r="679" spans="1:31" x14ac:dyDescent="0.2">
      <c r="A679">
        <v>644</v>
      </c>
      <c r="B679" s="19" t="s">
        <v>1548</v>
      </c>
      <c r="C679">
        <v>30</v>
      </c>
      <c r="D679" s="19" t="s">
        <v>513</v>
      </c>
      <c r="E679" s="19" t="s">
        <v>322</v>
      </c>
      <c r="F679">
        <v>11</v>
      </c>
      <c r="G679">
        <v>0</v>
      </c>
      <c r="H679">
        <v>3</v>
      </c>
      <c r="I679">
        <v>3</v>
      </c>
      <c r="J679">
        <v>-2</v>
      </c>
      <c r="K679">
        <v>8</v>
      </c>
      <c r="L679">
        <v>0</v>
      </c>
      <c r="M679">
        <v>0</v>
      </c>
      <c r="N679">
        <v>0</v>
      </c>
      <c r="O679">
        <v>0</v>
      </c>
      <c r="P679">
        <v>3</v>
      </c>
      <c r="Q679">
        <v>0</v>
      </c>
      <c r="R679">
        <v>0</v>
      </c>
      <c r="S679">
        <v>12</v>
      </c>
      <c r="T679">
        <v>0</v>
      </c>
      <c r="U679">
        <v>21</v>
      </c>
      <c r="V679" s="19" t="s">
        <v>2548</v>
      </c>
      <c r="W679" s="19" t="s">
        <v>2077</v>
      </c>
      <c r="X679">
        <v>4</v>
      </c>
      <c r="Y679">
        <v>2</v>
      </c>
      <c r="Z679">
        <v>66.7</v>
      </c>
      <c r="AA679">
        <v>7</v>
      </c>
      <c r="AB679">
        <v>20</v>
      </c>
      <c r="AC679">
        <v>0</v>
      </c>
      <c r="AD679">
        <v>3</v>
      </c>
      <c r="AE679" s="19" t="s">
        <v>60</v>
      </c>
    </row>
    <row r="680" spans="1:31" x14ac:dyDescent="0.2">
      <c r="A680">
        <v>645</v>
      </c>
      <c r="B680" s="19" t="s">
        <v>1105</v>
      </c>
      <c r="C680">
        <v>23</v>
      </c>
      <c r="D680" s="19" t="s">
        <v>352</v>
      </c>
      <c r="E680" s="19" t="s">
        <v>322</v>
      </c>
      <c r="F680">
        <v>18</v>
      </c>
      <c r="G680">
        <v>2</v>
      </c>
      <c r="H680">
        <v>1</v>
      </c>
      <c r="I680">
        <v>3</v>
      </c>
      <c r="J680">
        <v>2</v>
      </c>
      <c r="K680">
        <v>19</v>
      </c>
      <c r="L680">
        <v>2</v>
      </c>
      <c r="M680">
        <v>0</v>
      </c>
      <c r="N680">
        <v>0</v>
      </c>
      <c r="O680">
        <v>1</v>
      </c>
      <c r="P680">
        <v>1</v>
      </c>
      <c r="Q680">
        <v>0</v>
      </c>
      <c r="R680">
        <v>0</v>
      </c>
      <c r="S680">
        <v>10</v>
      </c>
      <c r="T680">
        <v>20</v>
      </c>
      <c r="U680">
        <v>16</v>
      </c>
      <c r="V680" s="19" t="s">
        <v>2549</v>
      </c>
      <c r="W680" s="19" t="s">
        <v>2057</v>
      </c>
      <c r="X680">
        <v>66</v>
      </c>
      <c r="Y680">
        <v>75</v>
      </c>
      <c r="Z680">
        <v>46.8</v>
      </c>
      <c r="AA680">
        <v>2</v>
      </c>
      <c r="AB680">
        <v>31</v>
      </c>
      <c r="AC680">
        <v>0</v>
      </c>
      <c r="AD680">
        <v>5</v>
      </c>
      <c r="AE680" s="19" t="s">
        <v>60</v>
      </c>
    </row>
    <row r="681" spans="1:31" x14ac:dyDescent="0.2">
      <c r="A681">
        <v>646</v>
      </c>
      <c r="B681" s="19" t="s">
        <v>1043</v>
      </c>
      <c r="C681">
        <v>27</v>
      </c>
      <c r="D681" s="19" t="s">
        <v>328</v>
      </c>
      <c r="E681" s="19" t="s">
        <v>322</v>
      </c>
      <c r="F681">
        <v>51</v>
      </c>
      <c r="G681">
        <v>2</v>
      </c>
      <c r="H681">
        <v>1</v>
      </c>
      <c r="I681">
        <v>3</v>
      </c>
      <c r="J681">
        <v>-11</v>
      </c>
      <c r="K681">
        <v>37</v>
      </c>
      <c r="L681">
        <v>2</v>
      </c>
      <c r="M681">
        <v>0</v>
      </c>
      <c r="N681">
        <v>0</v>
      </c>
      <c r="O681">
        <v>1</v>
      </c>
      <c r="P681">
        <v>1</v>
      </c>
      <c r="Q681">
        <v>0</v>
      </c>
      <c r="R681">
        <v>0</v>
      </c>
      <c r="S681">
        <v>44</v>
      </c>
      <c r="T681">
        <v>4.5</v>
      </c>
      <c r="U681">
        <v>90</v>
      </c>
      <c r="V681" s="19" t="s">
        <v>2901</v>
      </c>
      <c r="W681" s="19" t="s">
        <v>1128</v>
      </c>
      <c r="X681">
        <v>73</v>
      </c>
      <c r="Y681">
        <v>55</v>
      </c>
      <c r="Z681">
        <v>57</v>
      </c>
      <c r="AA681">
        <v>14</v>
      </c>
      <c r="AB681">
        <v>124</v>
      </c>
      <c r="AC681">
        <v>5</v>
      </c>
      <c r="AD681">
        <v>22</v>
      </c>
      <c r="AE681" s="19" t="s">
        <v>60</v>
      </c>
    </row>
    <row r="682" spans="1:31" x14ac:dyDescent="0.2">
      <c r="A682">
        <v>647</v>
      </c>
      <c r="B682" s="19" t="s">
        <v>1045</v>
      </c>
      <c r="C682">
        <v>27</v>
      </c>
      <c r="D682" s="19" t="s">
        <v>373</v>
      </c>
      <c r="E682" s="19" t="s">
        <v>340</v>
      </c>
      <c r="F682">
        <v>10</v>
      </c>
      <c r="G682">
        <v>0</v>
      </c>
      <c r="H682">
        <v>3</v>
      </c>
      <c r="I682">
        <v>3</v>
      </c>
      <c r="J682">
        <v>2</v>
      </c>
      <c r="K682">
        <v>7</v>
      </c>
      <c r="L682">
        <v>0</v>
      </c>
      <c r="M682">
        <v>0</v>
      </c>
      <c r="N682">
        <v>0</v>
      </c>
      <c r="O682">
        <v>0</v>
      </c>
      <c r="P682">
        <v>3</v>
      </c>
      <c r="Q682">
        <v>0</v>
      </c>
      <c r="R682">
        <v>0</v>
      </c>
      <c r="S682">
        <v>8</v>
      </c>
      <c r="T682">
        <v>0</v>
      </c>
      <c r="U682">
        <v>12</v>
      </c>
      <c r="V682" s="19" t="s">
        <v>1046</v>
      </c>
      <c r="W682" s="19" t="s">
        <v>1047</v>
      </c>
      <c r="X682">
        <v>0</v>
      </c>
      <c r="Y682">
        <v>0</v>
      </c>
      <c r="AA682">
        <v>3</v>
      </c>
      <c r="AB682">
        <v>30</v>
      </c>
      <c r="AC682">
        <v>3</v>
      </c>
      <c r="AD682">
        <v>3</v>
      </c>
      <c r="AE682" s="19" t="s">
        <v>60</v>
      </c>
    </row>
    <row r="683" spans="1:31" x14ac:dyDescent="0.2">
      <c r="A683">
        <v>648</v>
      </c>
      <c r="B683" s="19" t="s">
        <v>1193</v>
      </c>
      <c r="C683">
        <v>27</v>
      </c>
      <c r="D683" s="19" t="s">
        <v>373</v>
      </c>
      <c r="E683" s="19" t="s">
        <v>322</v>
      </c>
      <c r="F683">
        <v>24</v>
      </c>
      <c r="G683">
        <v>1</v>
      </c>
      <c r="H683">
        <v>2</v>
      </c>
      <c r="I683">
        <v>3</v>
      </c>
      <c r="J683">
        <v>-7</v>
      </c>
      <c r="K683">
        <v>11</v>
      </c>
      <c r="L683">
        <v>1</v>
      </c>
      <c r="M683">
        <v>0</v>
      </c>
      <c r="N683">
        <v>0</v>
      </c>
      <c r="O683">
        <v>0</v>
      </c>
      <c r="P683">
        <v>2</v>
      </c>
      <c r="Q683">
        <v>0</v>
      </c>
      <c r="R683">
        <v>0</v>
      </c>
      <c r="S683">
        <v>20</v>
      </c>
      <c r="T683">
        <v>5</v>
      </c>
      <c r="U683">
        <v>41</v>
      </c>
      <c r="V683" s="19" t="s">
        <v>1879</v>
      </c>
      <c r="W683" s="19" t="s">
        <v>1880</v>
      </c>
      <c r="X683">
        <v>12</v>
      </c>
      <c r="Y683">
        <v>21</v>
      </c>
      <c r="Z683">
        <v>36.4</v>
      </c>
      <c r="AA683">
        <v>7</v>
      </c>
      <c r="AB683">
        <v>27</v>
      </c>
      <c r="AC683">
        <v>1</v>
      </c>
      <c r="AD683">
        <v>8</v>
      </c>
      <c r="AE683" s="19" t="s">
        <v>60</v>
      </c>
    </row>
    <row r="684" spans="1:31" x14ac:dyDescent="0.2">
      <c r="A684">
        <v>649</v>
      </c>
      <c r="B684" s="19" t="s">
        <v>1109</v>
      </c>
      <c r="C684">
        <v>24</v>
      </c>
      <c r="D684" s="19" t="s">
        <v>363</v>
      </c>
      <c r="E684" s="19" t="s">
        <v>349</v>
      </c>
      <c r="F684">
        <v>12</v>
      </c>
      <c r="G684">
        <v>1</v>
      </c>
      <c r="H684">
        <v>2</v>
      </c>
      <c r="I684">
        <v>3</v>
      </c>
      <c r="J684">
        <v>-2</v>
      </c>
      <c r="K684">
        <v>13</v>
      </c>
      <c r="L684">
        <v>1</v>
      </c>
      <c r="M684">
        <v>0</v>
      </c>
      <c r="N684">
        <v>0</v>
      </c>
      <c r="O684">
        <v>1</v>
      </c>
      <c r="P684">
        <v>2</v>
      </c>
      <c r="Q684">
        <v>0</v>
      </c>
      <c r="R684">
        <v>0</v>
      </c>
      <c r="S684">
        <v>13</v>
      </c>
      <c r="T684">
        <v>7.7</v>
      </c>
      <c r="U684">
        <v>31</v>
      </c>
      <c r="V684" s="19" t="s">
        <v>2902</v>
      </c>
      <c r="W684" s="19" t="s">
        <v>1927</v>
      </c>
      <c r="X684">
        <v>0</v>
      </c>
      <c r="Y684">
        <v>0</v>
      </c>
      <c r="AA684">
        <v>13</v>
      </c>
      <c r="AB684">
        <v>25</v>
      </c>
      <c r="AC684">
        <v>7</v>
      </c>
      <c r="AD684">
        <v>11</v>
      </c>
      <c r="AE684" s="19" t="s">
        <v>60</v>
      </c>
    </row>
    <row r="685" spans="1:31" x14ac:dyDescent="0.2">
      <c r="A685">
        <v>650</v>
      </c>
      <c r="B685" s="19" t="s">
        <v>1112</v>
      </c>
      <c r="C685">
        <v>28</v>
      </c>
      <c r="D685" s="19" t="s">
        <v>337</v>
      </c>
      <c r="E685" s="19" t="s">
        <v>322</v>
      </c>
      <c r="F685">
        <v>26</v>
      </c>
      <c r="G685">
        <v>3</v>
      </c>
      <c r="H685">
        <v>0</v>
      </c>
      <c r="I685">
        <v>3</v>
      </c>
      <c r="J685">
        <v>-4</v>
      </c>
      <c r="K685">
        <v>11</v>
      </c>
      <c r="L685">
        <v>3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17</v>
      </c>
      <c r="T685">
        <v>17.600000000000001</v>
      </c>
      <c r="U685">
        <v>37</v>
      </c>
      <c r="V685" s="19" t="s">
        <v>2550</v>
      </c>
      <c r="W685" s="19" t="s">
        <v>1252</v>
      </c>
      <c r="X685">
        <v>75</v>
      </c>
      <c r="Y685">
        <v>69</v>
      </c>
      <c r="Z685">
        <v>52.1</v>
      </c>
      <c r="AA685">
        <v>18</v>
      </c>
      <c r="AB685">
        <v>75</v>
      </c>
      <c r="AC685">
        <v>2</v>
      </c>
      <c r="AD685">
        <v>17</v>
      </c>
      <c r="AE685" s="19" t="s">
        <v>60</v>
      </c>
    </row>
    <row r="686" spans="1:31" x14ac:dyDescent="0.2">
      <c r="A686">
        <v>651</v>
      </c>
      <c r="B686" s="19" t="s">
        <v>1361</v>
      </c>
      <c r="C686">
        <v>23</v>
      </c>
      <c r="D686" s="19" t="s">
        <v>419</v>
      </c>
      <c r="E686" s="19" t="s">
        <v>322</v>
      </c>
      <c r="F686">
        <v>23</v>
      </c>
      <c r="G686">
        <v>1</v>
      </c>
      <c r="H686">
        <v>2</v>
      </c>
      <c r="I686">
        <v>3</v>
      </c>
      <c r="J686">
        <v>-1</v>
      </c>
      <c r="K686">
        <v>17</v>
      </c>
      <c r="L686">
        <v>1</v>
      </c>
      <c r="M686">
        <v>0</v>
      </c>
      <c r="N686">
        <v>0</v>
      </c>
      <c r="O686">
        <v>0</v>
      </c>
      <c r="P686">
        <v>2</v>
      </c>
      <c r="Q686">
        <v>0</v>
      </c>
      <c r="R686">
        <v>0</v>
      </c>
      <c r="S686">
        <v>10</v>
      </c>
      <c r="T686">
        <v>10</v>
      </c>
      <c r="U686">
        <v>21</v>
      </c>
      <c r="V686" s="19" t="s">
        <v>1982</v>
      </c>
      <c r="W686" s="19" t="s">
        <v>2084</v>
      </c>
      <c r="X686">
        <v>48</v>
      </c>
      <c r="Y686">
        <v>56</v>
      </c>
      <c r="Z686">
        <v>46.2</v>
      </c>
      <c r="AA686">
        <v>7</v>
      </c>
      <c r="AB686">
        <v>53</v>
      </c>
      <c r="AC686">
        <v>3</v>
      </c>
      <c r="AD686">
        <v>7</v>
      </c>
      <c r="AE686" s="19" t="s">
        <v>60</v>
      </c>
    </row>
    <row r="687" spans="1:31" x14ac:dyDescent="0.2">
      <c r="A687">
        <v>652</v>
      </c>
      <c r="B687" s="19" t="s">
        <v>1201</v>
      </c>
      <c r="C687">
        <v>23</v>
      </c>
      <c r="D687" s="19" t="s">
        <v>357</v>
      </c>
      <c r="E687" s="19" t="s">
        <v>349</v>
      </c>
      <c r="F687">
        <v>21</v>
      </c>
      <c r="G687">
        <v>0</v>
      </c>
      <c r="H687">
        <v>3</v>
      </c>
      <c r="I687">
        <v>3</v>
      </c>
      <c r="J687">
        <v>-1</v>
      </c>
      <c r="K687">
        <v>4</v>
      </c>
      <c r="L687">
        <v>0</v>
      </c>
      <c r="M687">
        <v>0</v>
      </c>
      <c r="N687">
        <v>0</v>
      </c>
      <c r="O687">
        <v>0</v>
      </c>
      <c r="P687">
        <v>3</v>
      </c>
      <c r="Q687">
        <v>0</v>
      </c>
      <c r="R687">
        <v>0</v>
      </c>
      <c r="S687">
        <v>10</v>
      </c>
      <c r="T687">
        <v>0</v>
      </c>
      <c r="U687">
        <v>28</v>
      </c>
      <c r="V687" s="19" t="s">
        <v>2903</v>
      </c>
      <c r="W687" s="19" t="s">
        <v>1329</v>
      </c>
      <c r="X687">
        <v>0</v>
      </c>
      <c r="Y687">
        <v>0</v>
      </c>
      <c r="AA687">
        <v>28</v>
      </c>
      <c r="AB687">
        <v>14</v>
      </c>
      <c r="AC687">
        <v>1</v>
      </c>
      <c r="AD687">
        <v>11</v>
      </c>
      <c r="AE687" s="19" t="s">
        <v>60</v>
      </c>
    </row>
    <row r="688" spans="1:31" x14ac:dyDescent="0.2">
      <c r="A688">
        <v>653</v>
      </c>
      <c r="B688" s="19" t="s">
        <v>1374</v>
      </c>
      <c r="C688">
        <v>23</v>
      </c>
      <c r="D688" s="19" t="s">
        <v>324</v>
      </c>
      <c r="E688" s="19" t="s">
        <v>349</v>
      </c>
      <c r="F688">
        <v>21</v>
      </c>
      <c r="G688">
        <v>0</v>
      </c>
      <c r="H688">
        <v>3</v>
      </c>
      <c r="I688">
        <v>3</v>
      </c>
      <c r="J688">
        <v>-4</v>
      </c>
      <c r="K688">
        <v>12</v>
      </c>
      <c r="L688">
        <v>0</v>
      </c>
      <c r="M688">
        <v>0</v>
      </c>
      <c r="N688">
        <v>0</v>
      </c>
      <c r="O688">
        <v>0</v>
      </c>
      <c r="P688">
        <v>3</v>
      </c>
      <c r="Q688">
        <v>0</v>
      </c>
      <c r="R688">
        <v>0</v>
      </c>
      <c r="S688">
        <v>10</v>
      </c>
      <c r="T688">
        <v>0</v>
      </c>
      <c r="U688">
        <v>34</v>
      </c>
      <c r="V688" s="19" t="s">
        <v>2059</v>
      </c>
      <c r="W688" s="19" t="s">
        <v>1667</v>
      </c>
      <c r="X688">
        <v>0</v>
      </c>
      <c r="Y688">
        <v>0</v>
      </c>
      <c r="AA688">
        <v>32</v>
      </c>
      <c r="AB688">
        <v>11</v>
      </c>
      <c r="AC688">
        <v>4</v>
      </c>
      <c r="AD688">
        <v>14</v>
      </c>
      <c r="AE688" s="19" t="s">
        <v>60</v>
      </c>
    </row>
    <row r="689" spans="1:31" x14ac:dyDescent="0.2">
      <c r="A689">
        <v>654</v>
      </c>
      <c r="B689" s="19" t="s">
        <v>1117</v>
      </c>
      <c r="C689">
        <v>25</v>
      </c>
      <c r="D689" s="19" t="s">
        <v>513</v>
      </c>
      <c r="E689" s="19" t="s">
        <v>349</v>
      </c>
      <c r="F689">
        <v>21</v>
      </c>
      <c r="G689">
        <v>2</v>
      </c>
      <c r="H689">
        <v>1</v>
      </c>
      <c r="I689">
        <v>3</v>
      </c>
      <c r="J689">
        <v>0</v>
      </c>
      <c r="K689">
        <v>4</v>
      </c>
      <c r="L689">
        <v>2</v>
      </c>
      <c r="M689">
        <v>0</v>
      </c>
      <c r="N689">
        <v>0</v>
      </c>
      <c r="O689">
        <v>1</v>
      </c>
      <c r="P689">
        <v>1</v>
      </c>
      <c r="Q689">
        <v>0</v>
      </c>
      <c r="R689">
        <v>0</v>
      </c>
      <c r="S689">
        <v>11</v>
      </c>
      <c r="T689">
        <v>18.2</v>
      </c>
      <c r="U689">
        <v>29</v>
      </c>
      <c r="V689" s="19" t="s">
        <v>2000</v>
      </c>
      <c r="W689" s="19" t="s">
        <v>1386</v>
      </c>
      <c r="X689">
        <v>0</v>
      </c>
      <c r="Y689">
        <v>0</v>
      </c>
      <c r="AA689">
        <v>14</v>
      </c>
      <c r="AB689">
        <v>9</v>
      </c>
      <c r="AC689">
        <v>1</v>
      </c>
      <c r="AD689">
        <v>12</v>
      </c>
      <c r="AE689" s="19" t="s">
        <v>60</v>
      </c>
    </row>
    <row r="690" spans="1:31" x14ac:dyDescent="0.2">
      <c r="A690">
        <v>655</v>
      </c>
      <c r="B690" s="19" t="s">
        <v>1060</v>
      </c>
      <c r="C690">
        <v>24</v>
      </c>
      <c r="D690" s="19" t="s">
        <v>950</v>
      </c>
      <c r="E690" s="19" t="s">
        <v>349</v>
      </c>
      <c r="F690">
        <v>13</v>
      </c>
      <c r="G690">
        <v>1</v>
      </c>
      <c r="H690">
        <v>2</v>
      </c>
      <c r="I690">
        <v>3</v>
      </c>
      <c r="J690">
        <v>2</v>
      </c>
      <c r="K690">
        <v>4</v>
      </c>
      <c r="L690">
        <v>1</v>
      </c>
      <c r="M690">
        <v>0</v>
      </c>
      <c r="N690">
        <v>0</v>
      </c>
      <c r="O690">
        <v>1</v>
      </c>
      <c r="P690">
        <v>2</v>
      </c>
      <c r="Q690">
        <v>0</v>
      </c>
      <c r="R690">
        <v>0</v>
      </c>
      <c r="S690">
        <v>12</v>
      </c>
      <c r="T690">
        <v>8.3000000000000007</v>
      </c>
      <c r="U690">
        <v>24</v>
      </c>
      <c r="V690" s="19" t="s">
        <v>1696</v>
      </c>
      <c r="W690" s="19" t="s">
        <v>1662</v>
      </c>
      <c r="X690">
        <v>0</v>
      </c>
      <c r="Y690">
        <v>0</v>
      </c>
      <c r="AA690">
        <v>13</v>
      </c>
      <c r="AB690">
        <v>5</v>
      </c>
      <c r="AC690">
        <v>3</v>
      </c>
      <c r="AD690">
        <v>4</v>
      </c>
      <c r="AE690" s="19" t="s">
        <v>60</v>
      </c>
    </row>
    <row r="691" spans="1:31" x14ac:dyDescent="0.2">
      <c r="A691">
        <v>655</v>
      </c>
      <c r="B691" s="19" t="s">
        <v>1060</v>
      </c>
      <c r="C691">
        <v>24</v>
      </c>
      <c r="D691" s="19" t="s">
        <v>334</v>
      </c>
      <c r="E691" s="19" t="s">
        <v>349</v>
      </c>
      <c r="F691">
        <v>11</v>
      </c>
      <c r="G691">
        <v>1</v>
      </c>
      <c r="H691">
        <v>2</v>
      </c>
      <c r="I691">
        <v>3</v>
      </c>
      <c r="J691">
        <v>3</v>
      </c>
      <c r="K691">
        <v>4</v>
      </c>
      <c r="L691">
        <v>1</v>
      </c>
      <c r="M691">
        <v>0</v>
      </c>
      <c r="N691">
        <v>0</v>
      </c>
      <c r="O691">
        <v>1</v>
      </c>
      <c r="P691">
        <v>2</v>
      </c>
      <c r="Q691">
        <v>0</v>
      </c>
      <c r="R691">
        <v>0</v>
      </c>
      <c r="S691">
        <v>10</v>
      </c>
      <c r="T691">
        <v>10</v>
      </c>
      <c r="U691">
        <v>19</v>
      </c>
      <c r="V691" s="19" t="s">
        <v>1544</v>
      </c>
      <c r="W691" s="19" t="s">
        <v>974</v>
      </c>
      <c r="X691">
        <v>0</v>
      </c>
      <c r="Y691">
        <v>0</v>
      </c>
      <c r="AA691">
        <v>10</v>
      </c>
      <c r="AB691">
        <v>5</v>
      </c>
      <c r="AC691">
        <v>2</v>
      </c>
      <c r="AD691">
        <v>1</v>
      </c>
      <c r="AE691" s="19" t="s">
        <v>60</v>
      </c>
    </row>
    <row r="692" spans="1:31" x14ac:dyDescent="0.2">
      <c r="A692">
        <v>655</v>
      </c>
      <c r="B692" s="19" t="s">
        <v>1060</v>
      </c>
      <c r="C692">
        <v>24</v>
      </c>
      <c r="D692" s="19" t="s">
        <v>355</v>
      </c>
      <c r="E692" s="19" t="s">
        <v>349</v>
      </c>
      <c r="F692">
        <v>2</v>
      </c>
      <c r="G692">
        <v>0</v>
      </c>
      <c r="H692">
        <v>0</v>
      </c>
      <c r="I692">
        <v>0</v>
      </c>
      <c r="J692">
        <v>-1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2</v>
      </c>
      <c r="T692">
        <v>0</v>
      </c>
      <c r="U692">
        <v>5</v>
      </c>
      <c r="V692" s="19" t="s">
        <v>1649</v>
      </c>
      <c r="W692" s="19" t="s">
        <v>1329</v>
      </c>
      <c r="X692">
        <v>0</v>
      </c>
      <c r="Y692">
        <v>0</v>
      </c>
      <c r="AA692">
        <v>3</v>
      </c>
      <c r="AB692">
        <v>0</v>
      </c>
      <c r="AC692">
        <v>1</v>
      </c>
      <c r="AD692">
        <v>3</v>
      </c>
      <c r="AE692" s="19" t="s">
        <v>60</v>
      </c>
    </row>
    <row r="693" spans="1:31" x14ac:dyDescent="0.2">
      <c r="A693">
        <v>656</v>
      </c>
      <c r="B693" s="19" t="s">
        <v>1120</v>
      </c>
      <c r="C693">
        <v>28</v>
      </c>
      <c r="D693" s="19" t="s">
        <v>373</v>
      </c>
      <c r="E693" s="19" t="s">
        <v>322</v>
      </c>
      <c r="F693">
        <v>39</v>
      </c>
      <c r="G693">
        <v>2</v>
      </c>
      <c r="H693">
        <v>1</v>
      </c>
      <c r="I693">
        <v>3</v>
      </c>
      <c r="J693">
        <v>-10</v>
      </c>
      <c r="K693">
        <v>23</v>
      </c>
      <c r="L693">
        <v>2</v>
      </c>
      <c r="M693">
        <v>0</v>
      </c>
      <c r="N693">
        <v>0</v>
      </c>
      <c r="O693">
        <v>0</v>
      </c>
      <c r="P693">
        <v>1</v>
      </c>
      <c r="Q693">
        <v>0</v>
      </c>
      <c r="R693">
        <v>0</v>
      </c>
      <c r="S693">
        <v>27</v>
      </c>
      <c r="T693">
        <v>7.4</v>
      </c>
      <c r="U693">
        <v>56</v>
      </c>
      <c r="V693" s="19" t="s">
        <v>2904</v>
      </c>
      <c r="W693" s="19" t="s">
        <v>1775</v>
      </c>
      <c r="X693">
        <v>120</v>
      </c>
      <c r="Y693">
        <v>113</v>
      </c>
      <c r="Z693">
        <v>51.5</v>
      </c>
      <c r="AA693">
        <v>31</v>
      </c>
      <c r="AB693">
        <v>73</v>
      </c>
      <c r="AC693">
        <v>2</v>
      </c>
      <c r="AD693">
        <v>14</v>
      </c>
      <c r="AE693" s="19" t="s">
        <v>60</v>
      </c>
    </row>
    <row r="694" spans="1:31" x14ac:dyDescent="0.2">
      <c r="A694">
        <v>657</v>
      </c>
      <c r="B694" s="19" t="s">
        <v>1130</v>
      </c>
      <c r="C694">
        <v>27</v>
      </c>
      <c r="D694" s="19" t="s">
        <v>530</v>
      </c>
      <c r="E694" s="19" t="s">
        <v>349</v>
      </c>
      <c r="F694">
        <v>20</v>
      </c>
      <c r="G694">
        <v>1</v>
      </c>
      <c r="H694">
        <v>2</v>
      </c>
      <c r="I694">
        <v>3</v>
      </c>
      <c r="J694">
        <v>9</v>
      </c>
      <c r="K694">
        <v>16</v>
      </c>
      <c r="L694">
        <v>1</v>
      </c>
      <c r="M694">
        <v>0</v>
      </c>
      <c r="N694">
        <v>0</v>
      </c>
      <c r="O694">
        <v>1</v>
      </c>
      <c r="P694">
        <v>2</v>
      </c>
      <c r="Q694">
        <v>0</v>
      </c>
      <c r="R694">
        <v>0</v>
      </c>
      <c r="S694">
        <v>12</v>
      </c>
      <c r="T694">
        <v>8.3000000000000007</v>
      </c>
      <c r="U694">
        <v>33</v>
      </c>
      <c r="V694" s="19" t="s">
        <v>1678</v>
      </c>
      <c r="W694" s="19" t="s">
        <v>660</v>
      </c>
      <c r="X694">
        <v>0</v>
      </c>
      <c r="Y694">
        <v>0</v>
      </c>
      <c r="AA694">
        <v>32</v>
      </c>
      <c r="AB694">
        <v>22</v>
      </c>
      <c r="AC694">
        <v>2</v>
      </c>
      <c r="AD694">
        <v>11</v>
      </c>
      <c r="AE694" s="19" t="s">
        <v>60</v>
      </c>
    </row>
    <row r="695" spans="1:31" x14ac:dyDescent="0.2">
      <c r="A695">
        <v>658</v>
      </c>
      <c r="B695" s="19" t="s">
        <v>1224</v>
      </c>
      <c r="C695">
        <v>22</v>
      </c>
      <c r="D695" s="19" t="s">
        <v>513</v>
      </c>
      <c r="E695" s="19" t="s">
        <v>349</v>
      </c>
      <c r="F695">
        <v>37</v>
      </c>
      <c r="G695">
        <v>1</v>
      </c>
      <c r="H695">
        <v>2</v>
      </c>
      <c r="I695">
        <v>3</v>
      </c>
      <c r="J695">
        <v>-22</v>
      </c>
      <c r="K695">
        <v>33</v>
      </c>
      <c r="L695">
        <v>1</v>
      </c>
      <c r="M695">
        <v>0</v>
      </c>
      <c r="N695">
        <v>0</v>
      </c>
      <c r="O695">
        <v>0</v>
      </c>
      <c r="P695">
        <v>2</v>
      </c>
      <c r="Q695">
        <v>0</v>
      </c>
      <c r="R695">
        <v>0</v>
      </c>
      <c r="S695">
        <v>31</v>
      </c>
      <c r="T695">
        <v>3.2</v>
      </c>
      <c r="U695">
        <v>79</v>
      </c>
      <c r="V695" s="19" t="s">
        <v>2905</v>
      </c>
      <c r="W695" s="19" t="s">
        <v>1968</v>
      </c>
      <c r="X695">
        <v>0</v>
      </c>
      <c r="Y695">
        <v>0</v>
      </c>
      <c r="AA695">
        <v>23</v>
      </c>
      <c r="AB695">
        <v>48</v>
      </c>
      <c r="AC695">
        <v>6</v>
      </c>
      <c r="AD695">
        <v>35</v>
      </c>
      <c r="AE695" s="19" t="s">
        <v>60</v>
      </c>
    </row>
    <row r="696" spans="1:31" x14ac:dyDescent="0.2">
      <c r="A696">
        <v>659</v>
      </c>
      <c r="B696" s="19" t="s">
        <v>1420</v>
      </c>
      <c r="C696">
        <v>21</v>
      </c>
      <c r="D696" s="19" t="s">
        <v>376</v>
      </c>
      <c r="E696" s="19" t="s">
        <v>335</v>
      </c>
      <c r="F696">
        <v>16</v>
      </c>
      <c r="G696">
        <v>2</v>
      </c>
      <c r="H696">
        <v>1</v>
      </c>
      <c r="I696">
        <v>3</v>
      </c>
      <c r="J696">
        <v>-5</v>
      </c>
      <c r="K696">
        <v>0</v>
      </c>
      <c r="L696">
        <v>2</v>
      </c>
      <c r="M696">
        <v>0</v>
      </c>
      <c r="N696">
        <v>0</v>
      </c>
      <c r="O696">
        <v>0</v>
      </c>
      <c r="P696">
        <v>1</v>
      </c>
      <c r="Q696">
        <v>0</v>
      </c>
      <c r="R696">
        <v>0</v>
      </c>
      <c r="S696">
        <v>28</v>
      </c>
      <c r="T696">
        <v>7.1</v>
      </c>
      <c r="U696">
        <v>43</v>
      </c>
      <c r="V696" s="19" t="s">
        <v>1813</v>
      </c>
      <c r="W696" s="19" t="s">
        <v>1519</v>
      </c>
      <c r="X696">
        <v>2</v>
      </c>
      <c r="Y696">
        <v>9</v>
      </c>
      <c r="Z696">
        <v>18.2</v>
      </c>
      <c r="AA696">
        <v>4</v>
      </c>
      <c r="AB696">
        <v>16</v>
      </c>
      <c r="AC696">
        <v>0</v>
      </c>
      <c r="AD696">
        <v>10</v>
      </c>
      <c r="AE696" s="19" t="s">
        <v>60</v>
      </c>
    </row>
    <row r="697" spans="1:31" x14ac:dyDescent="0.2">
      <c r="A697">
        <v>660</v>
      </c>
      <c r="B697" s="19" t="s">
        <v>1228</v>
      </c>
      <c r="C697">
        <v>35</v>
      </c>
      <c r="D697" s="19" t="s">
        <v>344</v>
      </c>
      <c r="E697" s="19" t="s">
        <v>349</v>
      </c>
      <c r="F697">
        <v>38</v>
      </c>
      <c r="G697">
        <v>2</v>
      </c>
      <c r="H697">
        <v>1</v>
      </c>
      <c r="I697">
        <v>3</v>
      </c>
      <c r="J697">
        <v>-5</v>
      </c>
      <c r="K697">
        <v>18</v>
      </c>
      <c r="L697">
        <v>2</v>
      </c>
      <c r="M697">
        <v>0</v>
      </c>
      <c r="N697">
        <v>0</v>
      </c>
      <c r="O697">
        <v>1</v>
      </c>
      <c r="P697">
        <v>1</v>
      </c>
      <c r="Q697">
        <v>0</v>
      </c>
      <c r="R697">
        <v>0</v>
      </c>
      <c r="S697">
        <v>33</v>
      </c>
      <c r="T697">
        <v>6.1</v>
      </c>
      <c r="U697">
        <v>106</v>
      </c>
      <c r="V697" s="19" t="s">
        <v>1767</v>
      </c>
      <c r="W697" s="19" t="s">
        <v>1501</v>
      </c>
      <c r="X697">
        <v>0</v>
      </c>
      <c r="Y697">
        <v>0</v>
      </c>
      <c r="AA697">
        <v>98</v>
      </c>
      <c r="AB697">
        <v>63</v>
      </c>
      <c r="AC697">
        <v>13</v>
      </c>
      <c r="AD697">
        <v>29</v>
      </c>
      <c r="AE697" s="19" t="s">
        <v>60</v>
      </c>
    </row>
    <row r="698" spans="1:31" x14ac:dyDescent="0.2">
      <c r="A698">
        <v>661</v>
      </c>
      <c r="B698" s="19" t="s">
        <v>1133</v>
      </c>
      <c r="C698">
        <v>31</v>
      </c>
      <c r="D698" s="19" t="s">
        <v>405</v>
      </c>
      <c r="E698" s="19" t="s">
        <v>322</v>
      </c>
      <c r="F698">
        <v>28</v>
      </c>
      <c r="G698">
        <v>2</v>
      </c>
      <c r="H698">
        <v>1</v>
      </c>
      <c r="I698">
        <v>3</v>
      </c>
      <c r="J698">
        <v>-5</v>
      </c>
      <c r="K698">
        <v>31</v>
      </c>
      <c r="L698">
        <v>2</v>
      </c>
      <c r="M698">
        <v>0</v>
      </c>
      <c r="N698">
        <v>0</v>
      </c>
      <c r="O698">
        <v>0</v>
      </c>
      <c r="P698">
        <v>1</v>
      </c>
      <c r="Q698">
        <v>0</v>
      </c>
      <c r="R698">
        <v>0</v>
      </c>
      <c r="S698">
        <v>25</v>
      </c>
      <c r="T698">
        <v>8</v>
      </c>
      <c r="U698">
        <v>64</v>
      </c>
      <c r="V698" s="19" t="s">
        <v>2906</v>
      </c>
      <c r="W698" s="19" t="s">
        <v>1106</v>
      </c>
      <c r="X698">
        <v>5</v>
      </c>
      <c r="Y698">
        <v>1</v>
      </c>
      <c r="Z698">
        <v>83.3</v>
      </c>
      <c r="AA698">
        <v>11</v>
      </c>
      <c r="AB698">
        <v>75</v>
      </c>
      <c r="AC698">
        <v>1</v>
      </c>
      <c r="AD698">
        <v>7</v>
      </c>
      <c r="AE698" s="19" t="s">
        <v>60</v>
      </c>
    </row>
    <row r="699" spans="1:31" x14ac:dyDescent="0.2">
      <c r="A699">
        <v>662</v>
      </c>
      <c r="B699" s="19" t="s">
        <v>1074</v>
      </c>
      <c r="C699">
        <v>26</v>
      </c>
      <c r="D699" s="19" t="s">
        <v>436</v>
      </c>
      <c r="E699" s="19" t="s">
        <v>349</v>
      </c>
      <c r="F699">
        <v>25</v>
      </c>
      <c r="G699">
        <v>0</v>
      </c>
      <c r="H699">
        <v>3</v>
      </c>
      <c r="I699">
        <v>3</v>
      </c>
      <c r="J699">
        <v>-2</v>
      </c>
      <c r="K699">
        <v>35</v>
      </c>
      <c r="L699">
        <v>0</v>
      </c>
      <c r="M699">
        <v>0</v>
      </c>
      <c r="N699">
        <v>0</v>
      </c>
      <c r="O699">
        <v>0</v>
      </c>
      <c r="P699">
        <v>3</v>
      </c>
      <c r="Q699">
        <v>0</v>
      </c>
      <c r="R699">
        <v>0</v>
      </c>
      <c r="S699">
        <v>16</v>
      </c>
      <c r="T699">
        <v>0</v>
      </c>
      <c r="U699">
        <v>61</v>
      </c>
      <c r="V699" s="19" t="s">
        <v>2551</v>
      </c>
      <c r="W699" s="19" t="s">
        <v>1651</v>
      </c>
      <c r="X699">
        <v>0</v>
      </c>
      <c r="Y699">
        <v>0</v>
      </c>
      <c r="AA699">
        <v>22</v>
      </c>
      <c r="AB699">
        <v>61</v>
      </c>
      <c r="AC699">
        <v>5</v>
      </c>
      <c r="AD699">
        <v>19</v>
      </c>
      <c r="AE699" s="19" t="s">
        <v>60</v>
      </c>
    </row>
    <row r="700" spans="1:31" x14ac:dyDescent="0.2">
      <c r="A700">
        <v>663</v>
      </c>
      <c r="B700" s="19" t="s">
        <v>1075</v>
      </c>
      <c r="C700">
        <v>24</v>
      </c>
      <c r="D700" s="19" t="s">
        <v>361</v>
      </c>
      <c r="E700" s="19" t="s">
        <v>322</v>
      </c>
      <c r="F700">
        <v>14</v>
      </c>
      <c r="G700">
        <v>2</v>
      </c>
      <c r="H700">
        <v>1</v>
      </c>
      <c r="I700">
        <v>3</v>
      </c>
      <c r="J700">
        <v>3</v>
      </c>
      <c r="K700">
        <v>2</v>
      </c>
      <c r="L700">
        <v>2</v>
      </c>
      <c r="M700">
        <v>0</v>
      </c>
      <c r="N700">
        <v>0</v>
      </c>
      <c r="O700">
        <v>0</v>
      </c>
      <c r="P700">
        <v>1</v>
      </c>
      <c r="Q700">
        <v>0</v>
      </c>
      <c r="R700">
        <v>0</v>
      </c>
      <c r="S700">
        <v>12</v>
      </c>
      <c r="T700">
        <v>16.7</v>
      </c>
      <c r="U700">
        <v>21</v>
      </c>
      <c r="V700" s="19" t="s">
        <v>1076</v>
      </c>
      <c r="W700" s="19" t="s">
        <v>1077</v>
      </c>
      <c r="X700">
        <v>14</v>
      </c>
      <c r="Y700">
        <v>15</v>
      </c>
      <c r="Z700">
        <v>48.3</v>
      </c>
      <c r="AA700">
        <v>9</v>
      </c>
      <c r="AB700">
        <v>20</v>
      </c>
      <c r="AC700">
        <v>3</v>
      </c>
      <c r="AD700">
        <v>6</v>
      </c>
      <c r="AE700" s="19" t="s">
        <v>60</v>
      </c>
    </row>
    <row r="701" spans="1:31" x14ac:dyDescent="0.2">
      <c r="A701">
        <v>664</v>
      </c>
      <c r="B701" s="19" t="s">
        <v>1080</v>
      </c>
      <c r="C701">
        <v>27</v>
      </c>
      <c r="D701" s="19" t="s">
        <v>950</v>
      </c>
      <c r="E701" s="19" t="s">
        <v>325</v>
      </c>
      <c r="F701">
        <v>17</v>
      </c>
      <c r="G701">
        <v>2</v>
      </c>
      <c r="H701">
        <v>1</v>
      </c>
      <c r="I701">
        <v>3</v>
      </c>
      <c r="J701">
        <v>-7</v>
      </c>
      <c r="K701">
        <v>4</v>
      </c>
      <c r="L701">
        <v>2</v>
      </c>
      <c r="M701">
        <v>0</v>
      </c>
      <c r="N701">
        <v>0</v>
      </c>
      <c r="O701">
        <v>0</v>
      </c>
      <c r="P701">
        <v>1</v>
      </c>
      <c r="Q701">
        <v>0</v>
      </c>
      <c r="R701">
        <v>0</v>
      </c>
      <c r="S701">
        <v>14</v>
      </c>
      <c r="T701">
        <v>14.3</v>
      </c>
      <c r="U701">
        <v>22</v>
      </c>
      <c r="V701" s="19" t="s">
        <v>1849</v>
      </c>
      <c r="W701" s="19" t="s">
        <v>1631</v>
      </c>
      <c r="X701">
        <v>69</v>
      </c>
      <c r="Y701">
        <v>54</v>
      </c>
      <c r="Z701">
        <v>56.1</v>
      </c>
      <c r="AA701">
        <v>2</v>
      </c>
      <c r="AB701">
        <v>30</v>
      </c>
      <c r="AC701">
        <v>5</v>
      </c>
      <c r="AD701">
        <v>7</v>
      </c>
      <c r="AE701" s="19" t="s">
        <v>60</v>
      </c>
    </row>
    <row r="702" spans="1:31" x14ac:dyDescent="0.2">
      <c r="A702">
        <v>664</v>
      </c>
      <c r="B702" s="19" t="s">
        <v>1080</v>
      </c>
      <c r="C702">
        <v>27</v>
      </c>
      <c r="D702" s="19" t="s">
        <v>328</v>
      </c>
      <c r="E702" s="19" t="s">
        <v>325</v>
      </c>
      <c r="F702">
        <v>15</v>
      </c>
      <c r="G702">
        <v>2</v>
      </c>
      <c r="H702">
        <v>1</v>
      </c>
      <c r="I702">
        <v>3</v>
      </c>
      <c r="J702">
        <v>-7</v>
      </c>
      <c r="K702">
        <v>4</v>
      </c>
      <c r="L702">
        <v>2</v>
      </c>
      <c r="M702">
        <v>0</v>
      </c>
      <c r="N702">
        <v>0</v>
      </c>
      <c r="O702">
        <v>0</v>
      </c>
      <c r="P702">
        <v>1</v>
      </c>
      <c r="Q702">
        <v>0</v>
      </c>
      <c r="R702">
        <v>0</v>
      </c>
      <c r="S702">
        <v>12</v>
      </c>
      <c r="T702">
        <v>16.7</v>
      </c>
      <c r="U702">
        <v>19</v>
      </c>
      <c r="V702" s="19" t="s">
        <v>1081</v>
      </c>
      <c r="W702" s="19" t="s">
        <v>1082</v>
      </c>
      <c r="X702">
        <v>58</v>
      </c>
      <c r="Y702">
        <v>44</v>
      </c>
      <c r="Z702">
        <v>56.9</v>
      </c>
      <c r="AA702">
        <v>2</v>
      </c>
      <c r="AB702">
        <v>24</v>
      </c>
      <c r="AC702">
        <v>4</v>
      </c>
      <c r="AD702">
        <v>7</v>
      </c>
      <c r="AE702" s="19" t="s">
        <v>60</v>
      </c>
    </row>
    <row r="703" spans="1:31" x14ac:dyDescent="0.2">
      <c r="A703">
        <v>664</v>
      </c>
      <c r="B703" s="19" t="s">
        <v>1080</v>
      </c>
      <c r="C703">
        <v>27</v>
      </c>
      <c r="D703" s="19" t="s">
        <v>397</v>
      </c>
      <c r="E703" s="19" t="s">
        <v>325</v>
      </c>
      <c r="F703">
        <v>2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2</v>
      </c>
      <c r="T703">
        <v>0</v>
      </c>
      <c r="U703">
        <v>3</v>
      </c>
      <c r="V703" s="19" t="s">
        <v>1826</v>
      </c>
      <c r="W703" s="19" t="s">
        <v>1850</v>
      </c>
      <c r="X703">
        <v>11</v>
      </c>
      <c r="Y703">
        <v>10</v>
      </c>
      <c r="Z703">
        <v>52.4</v>
      </c>
      <c r="AA703">
        <v>0</v>
      </c>
      <c r="AB703">
        <v>6</v>
      </c>
      <c r="AC703">
        <v>1</v>
      </c>
      <c r="AD703">
        <v>0</v>
      </c>
      <c r="AE703" s="19" t="s">
        <v>60</v>
      </c>
    </row>
    <row r="704" spans="1:31" x14ac:dyDescent="0.2">
      <c r="A704">
        <v>665</v>
      </c>
      <c r="B704" s="19" t="s">
        <v>1134</v>
      </c>
      <c r="C704">
        <v>39</v>
      </c>
      <c r="D704" s="19" t="s">
        <v>324</v>
      </c>
      <c r="E704" s="19" t="s">
        <v>335</v>
      </c>
      <c r="F704">
        <v>42</v>
      </c>
      <c r="G704">
        <v>3</v>
      </c>
      <c r="H704">
        <v>0</v>
      </c>
      <c r="I704">
        <v>3</v>
      </c>
      <c r="J704">
        <v>-11</v>
      </c>
      <c r="K704">
        <v>32</v>
      </c>
      <c r="L704">
        <v>3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23</v>
      </c>
      <c r="T704">
        <v>13</v>
      </c>
      <c r="U704">
        <v>48</v>
      </c>
      <c r="V704" s="19" t="s">
        <v>2552</v>
      </c>
      <c r="W704" s="19" t="s">
        <v>2186</v>
      </c>
      <c r="X704">
        <v>0</v>
      </c>
      <c r="Y704">
        <v>2</v>
      </c>
      <c r="Z704">
        <v>0</v>
      </c>
      <c r="AA704">
        <v>13</v>
      </c>
      <c r="AB704">
        <v>133</v>
      </c>
      <c r="AC704">
        <v>6</v>
      </c>
      <c r="AD704">
        <v>14</v>
      </c>
      <c r="AE704" s="19" t="s">
        <v>60</v>
      </c>
    </row>
    <row r="705" spans="1:31" x14ac:dyDescent="0.2">
      <c r="A705">
        <v>666</v>
      </c>
      <c r="B705" s="19" t="s">
        <v>1467</v>
      </c>
      <c r="C705">
        <v>25</v>
      </c>
      <c r="D705" s="19" t="s">
        <v>328</v>
      </c>
      <c r="E705" s="19" t="s">
        <v>349</v>
      </c>
      <c r="F705">
        <v>29</v>
      </c>
      <c r="G705">
        <v>0</v>
      </c>
      <c r="H705">
        <v>3</v>
      </c>
      <c r="I705">
        <v>3</v>
      </c>
      <c r="J705">
        <v>-16</v>
      </c>
      <c r="K705">
        <v>35</v>
      </c>
      <c r="L705">
        <v>0</v>
      </c>
      <c r="M705">
        <v>0</v>
      </c>
      <c r="N705">
        <v>0</v>
      </c>
      <c r="O705">
        <v>0</v>
      </c>
      <c r="P705">
        <v>3</v>
      </c>
      <c r="Q705">
        <v>0</v>
      </c>
      <c r="R705">
        <v>0</v>
      </c>
      <c r="S705">
        <v>18</v>
      </c>
      <c r="T705">
        <v>0</v>
      </c>
      <c r="U705">
        <v>51</v>
      </c>
      <c r="V705" s="19" t="s">
        <v>2218</v>
      </c>
      <c r="W705" s="19" t="s">
        <v>752</v>
      </c>
      <c r="X705">
        <v>0</v>
      </c>
      <c r="Y705">
        <v>0</v>
      </c>
      <c r="AA705">
        <v>44</v>
      </c>
      <c r="AB705">
        <v>15</v>
      </c>
      <c r="AC705">
        <v>7</v>
      </c>
      <c r="AD705">
        <v>28</v>
      </c>
      <c r="AE705" s="19" t="s">
        <v>60</v>
      </c>
    </row>
    <row r="706" spans="1:31" x14ac:dyDescent="0.2">
      <c r="A706">
        <v>667</v>
      </c>
      <c r="B706" s="19" t="s">
        <v>1595</v>
      </c>
      <c r="C706">
        <v>31</v>
      </c>
      <c r="D706" s="19" t="s">
        <v>407</v>
      </c>
      <c r="E706" s="19" t="s">
        <v>349</v>
      </c>
      <c r="F706">
        <v>13</v>
      </c>
      <c r="G706">
        <v>0</v>
      </c>
      <c r="H706">
        <v>3</v>
      </c>
      <c r="I706">
        <v>3</v>
      </c>
      <c r="J706">
        <v>-3</v>
      </c>
      <c r="K706">
        <v>4</v>
      </c>
      <c r="L706">
        <v>0</v>
      </c>
      <c r="M706">
        <v>0</v>
      </c>
      <c r="N706">
        <v>0</v>
      </c>
      <c r="O706">
        <v>0</v>
      </c>
      <c r="P706">
        <v>2</v>
      </c>
      <c r="Q706">
        <v>0</v>
      </c>
      <c r="R706">
        <v>1</v>
      </c>
      <c r="S706">
        <v>24</v>
      </c>
      <c r="T706">
        <v>0</v>
      </c>
      <c r="U706">
        <v>55</v>
      </c>
      <c r="V706" s="19" t="s">
        <v>1938</v>
      </c>
      <c r="W706" s="19" t="s">
        <v>1806</v>
      </c>
      <c r="X706">
        <v>0</v>
      </c>
      <c r="Y706">
        <v>0</v>
      </c>
      <c r="AA706">
        <v>24</v>
      </c>
      <c r="AB706">
        <v>16</v>
      </c>
      <c r="AC706">
        <v>5</v>
      </c>
      <c r="AD706">
        <v>7</v>
      </c>
      <c r="AE706" s="19" t="s">
        <v>60</v>
      </c>
    </row>
    <row r="707" spans="1:31" x14ac:dyDescent="0.2">
      <c r="A707">
        <v>668</v>
      </c>
      <c r="B707" s="19" t="s">
        <v>1138</v>
      </c>
      <c r="C707">
        <v>33</v>
      </c>
      <c r="D707" s="19" t="s">
        <v>352</v>
      </c>
      <c r="E707" s="19" t="s">
        <v>325</v>
      </c>
      <c r="F707">
        <v>9</v>
      </c>
      <c r="G707">
        <v>1</v>
      </c>
      <c r="H707">
        <v>2</v>
      </c>
      <c r="I707">
        <v>3</v>
      </c>
      <c r="J707">
        <v>0</v>
      </c>
      <c r="K707">
        <v>63</v>
      </c>
      <c r="L707">
        <v>1</v>
      </c>
      <c r="M707">
        <v>0</v>
      </c>
      <c r="N707">
        <v>0</v>
      </c>
      <c r="O707">
        <v>0</v>
      </c>
      <c r="P707">
        <v>2</v>
      </c>
      <c r="Q707">
        <v>0</v>
      </c>
      <c r="R707">
        <v>0</v>
      </c>
      <c r="S707">
        <v>5</v>
      </c>
      <c r="T707">
        <v>20</v>
      </c>
      <c r="U707">
        <v>11</v>
      </c>
      <c r="V707" s="19" t="s">
        <v>1711</v>
      </c>
      <c r="W707" s="19" t="s">
        <v>1645</v>
      </c>
      <c r="X707">
        <v>0</v>
      </c>
      <c r="Y707">
        <v>2</v>
      </c>
      <c r="Z707">
        <v>0</v>
      </c>
      <c r="AA707">
        <v>4</v>
      </c>
      <c r="AB707">
        <v>15</v>
      </c>
      <c r="AC707">
        <v>0</v>
      </c>
      <c r="AD707">
        <v>4</v>
      </c>
      <c r="AE707" s="19" t="s">
        <v>60</v>
      </c>
    </row>
    <row r="708" spans="1:31" x14ac:dyDescent="0.2">
      <c r="A708">
        <v>669</v>
      </c>
      <c r="B708" s="19" t="s">
        <v>1259</v>
      </c>
      <c r="C708">
        <v>24</v>
      </c>
      <c r="D708" s="19" t="s">
        <v>371</v>
      </c>
      <c r="E708" s="19" t="s">
        <v>335</v>
      </c>
      <c r="F708">
        <v>33</v>
      </c>
      <c r="G708">
        <v>2</v>
      </c>
      <c r="H708">
        <v>1</v>
      </c>
      <c r="I708">
        <v>3</v>
      </c>
      <c r="J708">
        <v>-3</v>
      </c>
      <c r="K708">
        <v>12</v>
      </c>
      <c r="L708">
        <v>2</v>
      </c>
      <c r="M708">
        <v>0</v>
      </c>
      <c r="N708">
        <v>0</v>
      </c>
      <c r="O708">
        <v>1</v>
      </c>
      <c r="P708">
        <v>1</v>
      </c>
      <c r="Q708">
        <v>0</v>
      </c>
      <c r="R708">
        <v>0</v>
      </c>
      <c r="S708">
        <v>39</v>
      </c>
      <c r="T708">
        <v>5.0999999999999996</v>
      </c>
      <c r="U708">
        <v>89</v>
      </c>
      <c r="V708" s="19" t="s">
        <v>2907</v>
      </c>
      <c r="W708" s="19" t="s">
        <v>2121</v>
      </c>
      <c r="X708">
        <v>1</v>
      </c>
      <c r="Y708">
        <v>3</v>
      </c>
      <c r="Z708">
        <v>25</v>
      </c>
      <c r="AA708">
        <v>9</v>
      </c>
      <c r="AB708">
        <v>52</v>
      </c>
      <c r="AC708">
        <v>5</v>
      </c>
      <c r="AD708">
        <v>25</v>
      </c>
      <c r="AE708" s="19" t="s">
        <v>60</v>
      </c>
    </row>
    <row r="709" spans="1:31" x14ac:dyDescent="0.2">
      <c r="A709">
        <v>670</v>
      </c>
      <c r="B709" s="19" t="s">
        <v>1481</v>
      </c>
      <c r="C709">
        <v>25</v>
      </c>
      <c r="D709" s="19" t="s">
        <v>321</v>
      </c>
      <c r="E709" s="19" t="s">
        <v>349</v>
      </c>
      <c r="F709">
        <v>16</v>
      </c>
      <c r="G709">
        <v>1</v>
      </c>
      <c r="H709">
        <v>2</v>
      </c>
      <c r="I709">
        <v>3</v>
      </c>
      <c r="J709">
        <v>-1</v>
      </c>
      <c r="K709">
        <v>6</v>
      </c>
      <c r="L709">
        <v>1</v>
      </c>
      <c r="M709">
        <v>0</v>
      </c>
      <c r="N709">
        <v>0</v>
      </c>
      <c r="O709">
        <v>0</v>
      </c>
      <c r="P709">
        <v>2</v>
      </c>
      <c r="Q709">
        <v>0</v>
      </c>
      <c r="R709">
        <v>0</v>
      </c>
      <c r="S709">
        <v>14</v>
      </c>
      <c r="T709">
        <v>7.1</v>
      </c>
      <c r="U709">
        <v>43</v>
      </c>
      <c r="V709" s="19" t="s">
        <v>2187</v>
      </c>
      <c r="W709" s="19" t="s">
        <v>1636</v>
      </c>
      <c r="X709">
        <v>0</v>
      </c>
      <c r="Y709">
        <v>0</v>
      </c>
      <c r="AA709">
        <v>19</v>
      </c>
      <c r="AB709">
        <v>19</v>
      </c>
      <c r="AC709">
        <v>3</v>
      </c>
      <c r="AD709">
        <v>6</v>
      </c>
      <c r="AE709" s="19" t="s">
        <v>60</v>
      </c>
    </row>
    <row r="710" spans="1:31" x14ac:dyDescent="0.2">
      <c r="A710">
        <v>671</v>
      </c>
      <c r="B710" s="19" t="s">
        <v>2205</v>
      </c>
      <c r="C710">
        <v>28</v>
      </c>
      <c r="D710" s="19" t="s">
        <v>373</v>
      </c>
      <c r="E710" s="19" t="s">
        <v>340</v>
      </c>
      <c r="F710">
        <v>3</v>
      </c>
      <c r="G710">
        <v>0</v>
      </c>
      <c r="H710">
        <v>3</v>
      </c>
      <c r="I710">
        <v>3</v>
      </c>
      <c r="J710">
        <v>-1</v>
      </c>
      <c r="K710">
        <v>4</v>
      </c>
      <c r="L710">
        <v>0</v>
      </c>
      <c r="M710">
        <v>0</v>
      </c>
      <c r="N710">
        <v>0</v>
      </c>
      <c r="O710">
        <v>0</v>
      </c>
      <c r="P710">
        <v>1</v>
      </c>
      <c r="Q710">
        <v>2</v>
      </c>
      <c r="R710">
        <v>0</v>
      </c>
      <c r="S710">
        <v>8</v>
      </c>
      <c r="T710">
        <v>0</v>
      </c>
      <c r="U710">
        <v>14</v>
      </c>
      <c r="V710" s="19" t="s">
        <v>2908</v>
      </c>
      <c r="W710" s="19" t="s">
        <v>2075</v>
      </c>
      <c r="X710">
        <v>0</v>
      </c>
      <c r="Y710">
        <v>1</v>
      </c>
      <c r="Z710">
        <v>0</v>
      </c>
      <c r="AA710">
        <v>1</v>
      </c>
      <c r="AB710">
        <v>3</v>
      </c>
      <c r="AC710">
        <v>0</v>
      </c>
      <c r="AD710">
        <v>3</v>
      </c>
      <c r="AE710" s="19" t="s">
        <v>60</v>
      </c>
    </row>
    <row r="711" spans="1:31" x14ac:dyDescent="0.2">
      <c r="A711">
        <v>672</v>
      </c>
      <c r="B711" s="19" t="s">
        <v>1088</v>
      </c>
      <c r="C711">
        <v>27</v>
      </c>
      <c r="D711" s="19" t="s">
        <v>361</v>
      </c>
      <c r="E711" s="19" t="s">
        <v>349</v>
      </c>
      <c r="F711">
        <v>22</v>
      </c>
      <c r="G711">
        <v>0</v>
      </c>
      <c r="H711">
        <v>3</v>
      </c>
      <c r="I711">
        <v>3</v>
      </c>
      <c r="J711">
        <v>-2</v>
      </c>
      <c r="K711">
        <v>12</v>
      </c>
      <c r="L711">
        <v>0</v>
      </c>
      <c r="M711">
        <v>0</v>
      </c>
      <c r="N711">
        <v>0</v>
      </c>
      <c r="O711">
        <v>0</v>
      </c>
      <c r="P711">
        <v>3</v>
      </c>
      <c r="Q711">
        <v>0</v>
      </c>
      <c r="R711">
        <v>0</v>
      </c>
      <c r="S711">
        <v>14</v>
      </c>
      <c r="T711">
        <v>0</v>
      </c>
      <c r="U711">
        <v>46</v>
      </c>
      <c r="V711" s="19" t="s">
        <v>2188</v>
      </c>
      <c r="W711" s="19" t="s">
        <v>1344</v>
      </c>
      <c r="X711">
        <v>0</v>
      </c>
      <c r="Y711">
        <v>0</v>
      </c>
      <c r="AA711">
        <v>17</v>
      </c>
      <c r="AB711">
        <v>8</v>
      </c>
      <c r="AC711">
        <v>4</v>
      </c>
      <c r="AD711">
        <v>15</v>
      </c>
      <c r="AE711" s="19" t="s">
        <v>60</v>
      </c>
    </row>
    <row r="712" spans="1:31" x14ac:dyDescent="0.2">
      <c r="A712">
        <v>673</v>
      </c>
      <c r="B712" s="19" t="s">
        <v>1490</v>
      </c>
      <c r="C712">
        <v>29</v>
      </c>
      <c r="D712" s="19" t="s">
        <v>950</v>
      </c>
      <c r="E712" s="19" t="s">
        <v>325</v>
      </c>
      <c r="F712">
        <v>14</v>
      </c>
      <c r="G712">
        <v>2</v>
      </c>
      <c r="H712">
        <v>1</v>
      </c>
      <c r="I712">
        <v>3</v>
      </c>
      <c r="J712">
        <v>2</v>
      </c>
      <c r="K712">
        <v>35</v>
      </c>
      <c r="L712">
        <v>2</v>
      </c>
      <c r="M712">
        <v>0</v>
      </c>
      <c r="N712">
        <v>0</v>
      </c>
      <c r="O712">
        <v>0</v>
      </c>
      <c r="P712">
        <v>1</v>
      </c>
      <c r="Q712">
        <v>0</v>
      </c>
      <c r="R712">
        <v>0</v>
      </c>
      <c r="S712">
        <v>20</v>
      </c>
      <c r="T712">
        <v>10</v>
      </c>
      <c r="U712">
        <v>39</v>
      </c>
      <c r="V712" s="19" t="s">
        <v>2553</v>
      </c>
      <c r="W712" s="19" t="s">
        <v>1998</v>
      </c>
      <c r="X712">
        <v>1</v>
      </c>
      <c r="Y712">
        <v>1</v>
      </c>
      <c r="Z712">
        <v>50</v>
      </c>
      <c r="AA712">
        <v>6</v>
      </c>
      <c r="AB712">
        <v>41</v>
      </c>
      <c r="AC712">
        <v>1</v>
      </c>
      <c r="AD712">
        <v>3</v>
      </c>
      <c r="AE712" s="19" t="s">
        <v>60</v>
      </c>
    </row>
    <row r="713" spans="1:31" x14ac:dyDescent="0.2">
      <c r="A713">
        <v>673</v>
      </c>
      <c r="B713" s="19" t="s">
        <v>1490</v>
      </c>
      <c r="C713">
        <v>29</v>
      </c>
      <c r="D713" s="19" t="s">
        <v>355</v>
      </c>
      <c r="E713" s="19" t="s">
        <v>325</v>
      </c>
      <c r="F713">
        <v>10</v>
      </c>
      <c r="G713">
        <v>0</v>
      </c>
      <c r="H713">
        <v>0</v>
      </c>
      <c r="I713">
        <v>0</v>
      </c>
      <c r="J713">
        <v>-1</v>
      </c>
      <c r="K713">
        <v>30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11</v>
      </c>
      <c r="T713">
        <v>0</v>
      </c>
      <c r="U713">
        <v>21</v>
      </c>
      <c r="V713" s="19" t="s">
        <v>1647</v>
      </c>
      <c r="W713" s="19" t="s">
        <v>1054</v>
      </c>
      <c r="X713">
        <v>1</v>
      </c>
      <c r="Y713">
        <v>1</v>
      </c>
      <c r="Z713">
        <v>50</v>
      </c>
      <c r="AA713">
        <v>4</v>
      </c>
      <c r="AB713">
        <v>27</v>
      </c>
      <c r="AC713">
        <v>1</v>
      </c>
      <c r="AD713">
        <v>2</v>
      </c>
      <c r="AE713" s="19" t="s">
        <v>60</v>
      </c>
    </row>
    <row r="714" spans="1:31" x14ac:dyDescent="0.2">
      <c r="A714">
        <v>673</v>
      </c>
      <c r="B714" s="19" t="s">
        <v>1490</v>
      </c>
      <c r="C714">
        <v>29</v>
      </c>
      <c r="D714" s="19" t="s">
        <v>337</v>
      </c>
      <c r="E714" s="19" t="s">
        <v>325</v>
      </c>
      <c r="F714">
        <v>4</v>
      </c>
      <c r="G714">
        <v>2</v>
      </c>
      <c r="H714">
        <v>1</v>
      </c>
      <c r="I714">
        <v>3</v>
      </c>
      <c r="J714">
        <v>3</v>
      </c>
      <c r="K714">
        <v>5</v>
      </c>
      <c r="L714">
        <v>2</v>
      </c>
      <c r="M714">
        <v>0</v>
      </c>
      <c r="N714">
        <v>0</v>
      </c>
      <c r="O714">
        <v>0</v>
      </c>
      <c r="P714">
        <v>1</v>
      </c>
      <c r="Q714">
        <v>0</v>
      </c>
      <c r="R714">
        <v>0</v>
      </c>
      <c r="S714">
        <v>9</v>
      </c>
      <c r="T714">
        <v>22.2</v>
      </c>
      <c r="U714">
        <v>18</v>
      </c>
      <c r="V714" s="19" t="s">
        <v>2554</v>
      </c>
      <c r="W714" s="19" t="s">
        <v>2003</v>
      </c>
      <c r="X714">
        <v>0</v>
      </c>
      <c r="Y714">
        <v>0</v>
      </c>
      <c r="AA714">
        <v>2</v>
      </c>
      <c r="AB714">
        <v>14</v>
      </c>
      <c r="AC714">
        <v>0</v>
      </c>
      <c r="AD714">
        <v>1</v>
      </c>
      <c r="AE714" s="19" t="s">
        <v>60</v>
      </c>
    </row>
    <row r="715" spans="1:31" x14ac:dyDescent="0.2">
      <c r="A715">
        <v>674</v>
      </c>
      <c r="B715" s="19" t="s">
        <v>1150</v>
      </c>
      <c r="C715">
        <v>24</v>
      </c>
      <c r="D715" s="19" t="s">
        <v>384</v>
      </c>
      <c r="E715" s="19" t="s">
        <v>349</v>
      </c>
      <c r="F715">
        <v>8</v>
      </c>
      <c r="G715">
        <v>0</v>
      </c>
      <c r="H715">
        <v>3</v>
      </c>
      <c r="I715">
        <v>3</v>
      </c>
      <c r="J715">
        <v>0</v>
      </c>
      <c r="K715">
        <v>4</v>
      </c>
      <c r="L715">
        <v>0</v>
      </c>
      <c r="M715">
        <v>0</v>
      </c>
      <c r="N715">
        <v>0</v>
      </c>
      <c r="O715">
        <v>0</v>
      </c>
      <c r="P715">
        <v>3</v>
      </c>
      <c r="Q715">
        <v>0</v>
      </c>
      <c r="R715">
        <v>0</v>
      </c>
      <c r="S715">
        <v>7</v>
      </c>
      <c r="T715">
        <v>0</v>
      </c>
      <c r="U715">
        <v>19</v>
      </c>
      <c r="V715" s="19" t="s">
        <v>1768</v>
      </c>
      <c r="W715" s="19" t="s">
        <v>1695</v>
      </c>
      <c r="X715">
        <v>0</v>
      </c>
      <c r="Y715">
        <v>0</v>
      </c>
      <c r="AA715">
        <v>5</v>
      </c>
      <c r="AB715">
        <v>7</v>
      </c>
      <c r="AC715">
        <v>1</v>
      </c>
      <c r="AD715">
        <v>7</v>
      </c>
      <c r="AE715" s="19" t="s">
        <v>60</v>
      </c>
    </row>
    <row r="716" spans="1:31" x14ac:dyDescent="0.2">
      <c r="A716">
        <v>675</v>
      </c>
      <c r="B716" s="19" t="s">
        <v>1152</v>
      </c>
      <c r="C716">
        <v>24</v>
      </c>
      <c r="D716" s="19" t="s">
        <v>950</v>
      </c>
      <c r="E716" s="19" t="s">
        <v>322</v>
      </c>
      <c r="F716">
        <v>25</v>
      </c>
      <c r="G716">
        <v>1</v>
      </c>
      <c r="H716">
        <v>2</v>
      </c>
      <c r="I716">
        <v>3</v>
      </c>
      <c r="J716">
        <v>-5</v>
      </c>
      <c r="K716">
        <v>29</v>
      </c>
      <c r="L716">
        <v>1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1</v>
      </c>
      <c r="S716">
        <v>21</v>
      </c>
      <c r="T716">
        <v>4.8</v>
      </c>
      <c r="U716">
        <v>42</v>
      </c>
      <c r="V716" s="19" t="s">
        <v>1815</v>
      </c>
      <c r="W716" s="19" t="s">
        <v>1184</v>
      </c>
      <c r="X716">
        <v>43</v>
      </c>
      <c r="Y716">
        <v>60</v>
      </c>
      <c r="Z716">
        <v>41.7</v>
      </c>
      <c r="AA716">
        <v>18</v>
      </c>
      <c r="AB716">
        <v>18</v>
      </c>
      <c r="AC716">
        <v>2</v>
      </c>
      <c r="AD716">
        <v>8</v>
      </c>
      <c r="AE716" s="19" t="s">
        <v>60</v>
      </c>
    </row>
    <row r="717" spans="1:31" x14ac:dyDescent="0.2">
      <c r="A717">
        <v>675</v>
      </c>
      <c r="B717" s="19" t="s">
        <v>1152</v>
      </c>
      <c r="C717">
        <v>24</v>
      </c>
      <c r="D717" s="19" t="s">
        <v>355</v>
      </c>
      <c r="E717" s="19" t="s">
        <v>322</v>
      </c>
      <c r="F717">
        <v>6</v>
      </c>
      <c r="G717">
        <v>1</v>
      </c>
      <c r="H717">
        <v>0</v>
      </c>
      <c r="I717">
        <v>1</v>
      </c>
      <c r="J717">
        <v>-1</v>
      </c>
      <c r="K717">
        <v>0</v>
      </c>
      <c r="L717">
        <v>1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6</v>
      </c>
      <c r="T717">
        <v>16.7</v>
      </c>
      <c r="U717">
        <v>10</v>
      </c>
      <c r="V717" s="19" t="s">
        <v>1153</v>
      </c>
      <c r="W717" s="19" t="s">
        <v>1154</v>
      </c>
      <c r="X717">
        <v>0</v>
      </c>
      <c r="Y717">
        <v>3</v>
      </c>
      <c r="Z717">
        <v>0</v>
      </c>
      <c r="AA717">
        <v>4</v>
      </c>
      <c r="AB717">
        <v>7</v>
      </c>
      <c r="AC717">
        <v>0</v>
      </c>
      <c r="AD717">
        <v>1</v>
      </c>
      <c r="AE717" s="19" t="s">
        <v>60</v>
      </c>
    </row>
    <row r="718" spans="1:31" x14ac:dyDescent="0.2">
      <c r="A718">
        <v>675</v>
      </c>
      <c r="B718" s="19" t="s">
        <v>1152</v>
      </c>
      <c r="C718">
        <v>24</v>
      </c>
      <c r="D718" s="19" t="s">
        <v>436</v>
      </c>
      <c r="E718" s="19" t="s">
        <v>322</v>
      </c>
      <c r="F718">
        <v>19</v>
      </c>
      <c r="G718">
        <v>0</v>
      </c>
      <c r="H718">
        <v>2</v>
      </c>
      <c r="I718">
        <v>2</v>
      </c>
      <c r="J718">
        <v>-4</v>
      </c>
      <c r="K718">
        <v>29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1</v>
      </c>
      <c r="S718">
        <v>15</v>
      </c>
      <c r="T718">
        <v>0</v>
      </c>
      <c r="U718">
        <v>32</v>
      </c>
      <c r="V718" s="19" t="s">
        <v>1816</v>
      </c>
      <c r="W718" s="19" t="s">
        <v>1812</v>
      </c>
      <c r="X718">
        <v>43</v>
      </c>
      <c r="Y718">
        <v>57</v>
      </c>
      <c r="Z718">
        <v>43</v>
      </c>
      <c r="AA718">
        <v>14</v>
      </c>
      <c r="AB718">
        <v>11</v>
      </c>
      <c r="AC718">
        <v>2</v>
      </c>
      <c r="AD718">
        <v>7</v>
      </c>
      <c r="AE718" s="19" t="s">
        <v>60</v>
      </c>
    </row>
    <row r="719" spans="1:31" x14ac:dyDescent="0.2">
      <c r="A719">
        <v>676</v>
      </c>
      <c r="B719" s="19" t="s">
        <v>1156</v>
      </c>
      <c r="C719">
        <v>28</v>
      </c>
      <c r="D719" s="19" t="s">
        <v>321</v>
      </c>
      <c r="E719" s="19" t="s">
        <v>349</v>
      </c>
      <c r="F719">
        <v>8</v>
      </c>
      <c r="G719">
        <v>0</v>
      </c>
      <c r="H719">
        <v>2</v>
      </c>
      <c r="I719">
        <v>2</v>
      </c>
      <c r="J719">
        <v>3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2</v>
      </c>
      <c r="Q719">
        <v>0</v>
      </c>
      <c r="R719">
        <v>0</v>
      </c>
      <c r="S719">
        <v>3</v>
      </c>
      <c r="T719">
        <v>0</v>
      </c>
      <c r="U719">
        <v>11</v>
      </c>
      <c r="V719" s="19" t="s">
        <v>2555</v>
      </c>
      <c r="W719" s="19" t="s">
        <v>927</v>
      </c>
      <c r="X719">
        <v>0</v>
      </c>
      <c r="Y719">
        <v>0</v>
      </c>
      <c r="AA719">
        <v>5</v>
      </c>
      <c r="AB719">
        <v>6</v>
      </c>
      <c r="AC719">
        <v>0</v>
      </c>
      <c r="AD719">
        <v>3</v>
      </c>
      <c r="AE719" s="19" t="s">
        <v>60</v>
      </c>
    </row>
    <row r="720" spans="1:31" x14ac:dyDescent="0.2">
      <c r="A720">
        <v>677</v>
      </c>
      <c r="B720" s="19" t="s">
        <v>1094</v>
      </c>
      <c r="C720">
        <v>27</v>
      </c>
      <c r="D720" s="19" t="s">
        <v>436</v>
      </c>
      <c r="E720" s="19" t="s">
        <v>349</v>
      </c>
      <c r="F720">
        <v>16</v>
      </c>
      <c r="G720">
        <v>1</v>
      </c>
      <c r="H720">
        <v>1</v>
      </c>
      <c r="I720">
        <v>2</v>
      </c>
      <c r="J720">
        <v>-7</v>
      </c>
      <c r="K720">
        <v>16</v>
      </c>
      <c r="L720">
        <v>1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16</v>
      </c>
      <c r="T720">
        <v>6.3</v>
      </c>
      <c r="U720">
        <v>44</v>
      </c>
      <c r="V720" s="19" t="s">
        <v>1095</v>
      </c>
      <c r="W720" s="19" t="s">
        <v>1096</v>
      </c>
      <c r="X720">
        <v>0</v>
      </c>
      <c r="Y720">
        <v>0</v>
      </c>
      <c r="AA720">
        <v>29</v>
      </c>
      <c r="AB720">
        <v>3</v>
      </c>
      <c r="AC720">
        <v>5</v>
      </c>
      <c r="AD720">
        <v>15</v>
      </c>
      <c r="AE720" s="19" t="s">
        <v>60</v>
      </c>
    </row>
    <row r="721" spans="1:31" x14ac:dyDescent="0.2">
      <c r="A721">
        <v>678</v>
      </c>
      <c r="B721" s="19" t="s">
        <v>1160</v>
      </c>
      <c r="C721">
        <v>31</v>
      </c>
      <c r="D721" s="19" t="s">
        <v>447</v>
      </c>
      <c r="E721" s="19" t="s">
        <v>322</v>
      </c>
      <c r="F721">
        <v>4</v>
      </c>
      <c r="G721">
        <v>2</v>
      </c>
      <c r="H721">
        <v>0</v>
      </c>
      <c r="I721">
        <v>2</v>
      </c>
      <c r="J721">
        <v>-2</v>
      </c>
      <c r="K721">
        <v>0</v>
      </c>
      <c r="L721">
        <v>1</v>
      </c>
      <c r="M721">
        <v>0</v>
      </c>
      <c r="N721">
        <v>1</v>
      </c>
      <c r="O721">
        <v>1</v>
      </c>
      <c r="P721">
        <v>0</v>
      </c>
      <c r="Q721">
        <v>0</v>
      </c>
      <c r="R721">
        <v>0</v>
      </c>
      <c r="S721">
        <v>7</v>
      </c>
      <c r="T721">
        <v>28.6</v>
      </c>
      <c r="U721">
        <v>10</v>
      </c>
      <c r="V721" s="19" t="s">
        <v>2556</v>
      </c>
      <c r="W721" s="19" t="s">
        <v>1535</v>
      </c>
      <c r="X721">
        <v>22</v>
      </c>
      <c r="Y721">
        <v>31</v>
      </c>
      <c r="Z721">
        <v>41.5</v>
      </c>
      <c r="AA721">
        <v>3</v>
      </c>
      <c r="AB721">
        <v>10</v>
      </c>
      <c r="AC721">
        <v>0</v>
      </c>
      <c r="AD721">
        <v>3</v>
      </c>
      <c r="AE721" s="19" t="s">
        <v>60</v>
      </c>
    </row>
    <row r="722" spans="1:31" x14ac:dyDescent="0.2">
      <c r="A722">
        <v>679</v>
      </c>
      <c r="B722" s="19" t="s">
        <v>1172</v>
      </c>
      <c r="C722">
        <v>26</v>
      </c>
      <c r="D722" s="19" t="s">
        <v>381</v>
      </c>
      <c r="E722" s="19" t="s">
        <v>349</v>
      </c>
      <c r="F722">
        <v>31</v>
      </c>
      <c r="G722">
        <v>0</v>
      </c>
      <c r="H722">
        <v>2</v>
      </c>
      <c r="I722">
        <v>2</v>
      </c>
      <c r="J722">
        <v>-9</v>
      </c>
      <c r="K722">
        <v>4</v>
      </c>
      <c r="L722">
        <v>0</v>
      </c>
      <c r="M722">
        <v>0</v>
      </c>
      <c r="N722">
        <v>0</v>
      </c>
      <c r="O722">
        <v>0</v>
      </c>
      <c r="P722">
        <v>2</v>
      </c>
      <c r="Q722">
        <v>0</v>
      </c>
      <c r="R722">
        <v>0</v>
      </c>
      <c r="S722">
        <v>21</v>
      </c>
      <c r="T722">
        <v>0</v>
      </c>
      <c r="U722">
        <v>63</v>
      </c>
      <c r="V722" s="19" t="s">
        <v>2909</v>
      </c>
      <c r="W722" s="19" t="s">
        <v>1765</v>
      </c>
      <c r="X722">
        <v>0</v>
      </c>
      <c r="Y722">
        <v>0</v>
      </c>
      <c r="AA722">
        <v>15</v>
      </c>
      <c r="AB722">
        <v>25</v>
      </c>
      <c r="AC722">
        <v>1</v>
      </c>
      <c r="AD722">
        <v>11</v>
      </c>
      <c r="AE722" s="19" t="s">
        <v>60</v>
      </c>
    </row>
    <row r="723" spans="1:31" x14ac:dyDescent="0.2">
      <c r="A723">
        <v>680</v>
      </c>
      <c r="B723" s="19" t="s">
        <v>1101</v>
      </c>
      <c r="C723">
        <v>25</v>
      </c>
      <c r="D723" s="19" t="s">
        <v>352</v>
      </c>
      <c r="E723" s="19" t="s">
        <v>322</v>
      </c>
      <c r="F723">
        <v>27</v>
      </c>
      <c r="G723">
        <v>0</v>
      </c>
      <c r="H723">
        <v>2</v>
      </c>
      <c r="I723">
        <v>2</v>
      </c>
      <c r="J723">
        <v>1</v>
      </c>
      <c r="K723">
        <v>75</v>
      </c>
      <c r="L723">
        <v>0</v>
      </c>
      <c r="M723">
        <v>0</v>
      </c>
      <c r="N723">
        <v>0</v>
      </c>
      <c r="O723">
        <v>0</v>
      </c>
      <c r="P723">
        <v>2</v>
      </c>
      <c r="Q723">
        <v>0</v>
      </c>
      <c r="R723">
        <v>0</v>
      </c>
      <c r="S723">
        <v>15</v>
      </c>
      <c r="T723">
        <v>0</v>
      </c>
      <c r="U723">
        <v>31</v>
      </c>
      <c r="V723" s="19" t="s">
        <v>1697</v>
      </c>
      <c r="W723" s="19" t="s">
        <v>1698</v>
      </c>
      <c r="X723">
        <v>2</v>
      </c>
      <c r="Y723">
        <v>2</v>
      </c>
      <c r="Z723">
        <v>50</v>
      </c>
      <c r="AA723">
        <v>6</v>
      </c>
      <c r="AB723">
        <v>29</v>
      </c>
      <c r="AC723">
        <v>3</v>
      </c>
      <c r="AD723">
        <v>9</v>
      </c>
      <c r="AE723" s="19" t="s">
        <v>60</v>
      </c>
    </row>
    <row r="724" spans="1:31" x14ac:dyDescent="0.2">
      <c r="A724">
        <v>681</v>
      </c>
      <c r="B724" s="19" t="s">
        <v>1181</v>
      </c>
      <c r="C724">
        <v>27</v>
      </c>
      <c r="D724" s="19" t="s">
        <v>530</v>
      </c>
      <c r="E724" s="19" t="s">
        <v>349</v>
      </c>
      <c r="F724">
        <v>16</v>
      </c>
      <c r="G724">
        <v>1</v>
      </c>
      <c r="H724">
        <v>1</v>
      </c>
      <c r="I724">
        <v>2</v>
      </c>
      <c r="J724">
        <v>2</v>
      </c>
      <c r="K724">
        <v>5</v>
      </c>
      <c r="L724">
        <v>1</v>
      </c>
      <c r="M724">
        <v>0</v>
      </c>
      <c r="N724">
        <v>0</v>
      </c>
      <c r="O724">
        <v>0</v>
      </c>
      <c r="P724">
        <v>1</v>
      </c>
      <c r="Q724">
        <v>0</v>
      </c>
      <c r="R724">
        <v>0</v>
      </c>
      <c r="S724">
        <v>20</v>
      </c>
      <c r="T724">
        <v>5</v>
      </c>
      <c r="U724">
        <v>44</v>
      </c>
      <c r="V724" s="19" t="s">
        <v>2060</v>
      </c>
      <c r="W724" s="19" t="s">
        <v>1756</v>
      </c>
      <c r="X724">
        <v>0</v>
      </c>
      <c r="Y724">
        <v>0</v>
      </c>
      <c r="AA724">
        <v>19</v>
      </c>
      <c r="AB724">
        <v>31</v>
      </c>
      <c r="AC724">
        <v>4</v>
      </c>
      <c r="AD724">
        <v>14</v>
      </c>
      <c r="AE724" s="19" t="s">
        <v>60</v>
      </c>
    </row>
    <row r="725" spans="1:31" x14ac:dyDescent="0.2">
      <c r="A725">
        <v>682</v>
      </c>
      <c r="B725" s="19" t="s">
        <v>1185</v>
      </c>
      <c r="C725">
        <v>26</v>
      </c>
      <c r="D725" s="19" t="s">
        <v>384</v>
      </c>
      <c r="E725" s="19" t="s">
        <v>325</v>
      </c>
      <c r="F725">
        <v>22</v>
      </c>
      <c r="G725">
        <v>1</v>
      </c>
      <c r="H725">
        <v>1</v>
      </c>
      <c r="I725">
        <v>2</v>
      </c>
      <c r="J725">
        <v>0</v>
      </c>
      <c r="K725">
        <v>2</v>
      </c>
      <c r="L725">
        <v>1</v>
      </c>
      <c r="M725">
        <v>0</v>
      </c>
      <c r="N725">
        <v>0</v>
      </c>
      <c r="O725">
        <v>0</v>
      </c>
      <c r="P725">
        <v>1</v>
      </c>
      <c r="Q725">
        <v>0</v>
      </c>
      <c r="R725">
        <v>0</v>
      </c>
      <c r="S725">
        <v>28</v>
      </c>
      <c r="T725">
        <v>3.6</v>
      </c>
      <c r="U725">
        <v>40</v>
      </c>
      <c r="V725" s="19" t="s">
        <v>2189</v>
      </c>
      <c r="W725" s="19" t="s">
        <v>810</v>
      </c>
      <c r="X725">
        <v>0</v>
      </c>
      <c r="Y725">
        <v>1</v>
      </c>
      <c r="Z725">
        <v>0</v>
      </c>
      <c r="AA725">
        <v>15</v>
      </c>
      <c r="AB725">
        <v>102</v>
      </c>
      <c r="AC725">
        <v>4</v>
      </c>
      <c r="AD725">
        <v>7</v>
      </c>
      <c r="AE725" s="19" t="s">
        <v>60</v>
      </c>
    </row>
    <row r="726" spans="1:31" x14ac:dyDescent="0.2">
      <c r="A726">
        <v>683</v>
      </c>
      <c r="B726" s="19" t="s">
        <v>1194</v>
      </c>
      <c r="C726">
        <v>19</v>
      </c>
      <c r="D726" s="19" t="s">
        <v>436</v>
      </c>
      <c r="E726" s="19" t="s">
        <v>325</v>
      </c>
      <c r="F726">
        <v>8</v>
      </c>
      <c r="G726">
        <v>1</v>
      </c>
      <c r="H726">
        <v>1</v>
      </c>
      <c r="I726">
        <v>2</v>
      </c>
      <c r="J726">
        <v>-4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1</v>
      </c>
      <c r="Q726">
        <v>0</v>
      </c>
      <c r="R726">
        <v>0</v>
      </c>
      <c r="S726">
        <v>13</v>
      </c>
      <c r="T726">
        <v>7.7</v>
      </c>
      <c r="U726">
        <v>25</v>
      </c>
      <c r="V726" s="19" t="s">
        <v>2557</v>
      </c>
      <c r="W726" s="19" t="s">
        <v>2558</v>
      </c>
      <c r="X726">
        <v>0</v>
      </c>
      <c r="Y726">
        <v>4</v>
      </c>
      <c r="Z726">
        <v>0</v>
      </c>
      <c r="AA726">
        <v>4</v>
      </c>
      <c r="AB726">
        <v>6</v>
      </c>
      <c r="AC726">
        <v>2</v>
      </c>
      <c r="AD726">
        <v>11</v>
      </c>
      <c r="AE726" s="19" t="s">
        <v>60</v>
      </c>
    </row>
    <row r="727" spans="1:31" x14ac:dyDescent="0.2">
      <c r="A727">
        <v>684</v>
      </c>
      <c r="B727" s="19" t="s">
        <v>1351</v>
      </c>
      <c r="C727">
        <v>34</v>
      </c>
      <c r="D727" s="19" t="s">
        <v>381</v>
      </c>
      <c r="E727" s="19" t="s">
        <v>349</v>
      </c>
      <c r="F727">
        <v>9</v>
      </c>
      <c r="G727">
        <v>0</v>
      </c>
      <c r="H727">
        <v>2</v>
      </c>
      <c r="I727">
        <v>2</v>
      </c>
      <c r="J727">
        <v>0</v>
      </c>
      <c r="K727">
        <v>6</v>
      </c>
      <c r="L727">
        <v>0</v>
      </c>
      <c r="M727">
        <v>0</v>
      </c>
      <c r="N727">
        <v>0</v>
      </c>
      <c r="O727">
        <v>0</v>
      </c>
      <c r="P727">
        <v>2</v>
      </c>
      <c r="Q727">
        <v>0</v>
      </c>
      <c r="R727">
        <v>0</v>
      </c>
      <c r="S727">
        <v>9</v>
      </c>
      <c r="T727">
        <v>0</v>
      </c>
      <c r="U727">
        <v>29</v>
      </c>
      <c r="V727" s="19" t="s">
        <v>2910</v>
      </c>
      <c r="W727" s="19" t="s">
        <v>1532</v>
      </c>
      <c r="X727">
        <v>0</v>
      </c>
      <c r="Y727">
        <v>0</v>
      </c>
      <c r="AA727">
        <v>13</v>
      </c>
      <c r="AB727">
        <v>15</v>
      </c>
      <c r="AC727">
        <v>5</v>
      </c>
      <c r="AD727">
        <v>8</v>
      </c>
      <c r="AE727" s="19" t="s">
        <v>60</v>
      </c>
    </row>
    <row r="728" spans="1:31" x14ac:dyDescent="0.2">
      <c r="A728">
        <v>685</v>
      </c>
      <c r="B728" s="19" t="s">
        <v>2197</v>
      </c>
      <c r="C728">
        <v>21</v>
      </c>
      <c r="D728" s="19" t="s">
        <v>399</v>
      </c>
      <c r="E728" s="19" t="s">
        <v>335</v>
      </c>
      <c r="F728">
        <v>3</v>
      </c>
      <c r="G728">
        <v>1</v>
      </c>
      <c r="H728">
        <v>1</v>
      </c>
      <c r="I728">
        <v>2</v>
      </c>
      <c r="J728">
        <v>3</v>
      </c>
      <c r="K728">
        <v>0</v>
      </c>
      <c r="L728">
        <v>1</v>
      </c>
      <c r="M728">
        <v>0</v>
      </c>
      <c r="N728">
        <v>0</v>
      </c>
      <c r="O728">
        <v>0</v>
      </c>
      <c r="P728">
        <v>1</v>
      </c>
      <c r="Q728">
        <v>0</v>
      </c>
      <c r="R728">
        <v>0</v>
      </c>
      <c r="S728">
        <v>5</v>
      </c>
      <c r="T728">
        <v>20</v>
      </c>
      <c r="U728">
        <v>7</v>
      </c>
      <c r="V728" s="19" t="s">
        <v>2559</v>
      </c>
      <c r="W728" s="19" t="s">
        <v>1154</v>
      </c>
      <c r="X728">
        <v>0</v>
      </c>
      <c r="Y728">
        <v>1</v>
      </c>
      <c r="Z728">
        <v>0</v>
      </c>
      <c r="AA728">
        <v>2</v>
      </c>
      <c r="AB728">
        <v>2</v>
      </c>
      <c r="AC728">
        <v>0</v>
      </c>
      <c r="AD728">
        <v>2</v>
      </c>
      <c r="AE728" s="19" t="s">
        <v>60</v>
      </c>
    </row>
    <row r="729" spans="1:31" x14ac:dyDescent="0.2">
      <c r="A729">
        <v>686</v>
      </c>
      <c r="B729" s="19" t="s">
        <v>1199</v>
      </c>
      <c r="C729">
        <v>35</v>
      </c>
      <c r="D729" s="19" t="s">
        <v>371</v>
      </c>
      <c r="E729" s="19" t="s">
        <v>349</v>
      </c>
      <c r="F729">
        <v>21</v>
      </c>
      <c r="G729">
        <v>0</v>
      </c>
      <c r="H729">
        <v>2</v>
      </c>
      <c r="I729">
        <v>2</v>
      </c>
      <c r="J729">
        <v>-10</v>
      </c>
      <c r="K729">
        <v>22</v>
      </c>
      <c r="L729">
        <v>0</v>
      </c>
      <c r="M729">
        <v>0</v>
      </c>
      <c r="N729">
        <v>0</v>
      </c>
      <c r="O729">
        <v>0</v>
      </c>
      <c r="P729">
        <v>2</v>
      </c>
      <c r="Q729">
        <v>0</v>
      </c>
      <c r="R729">
        <v>0</v>
      </c>
      <c r="S729">
        <v>18</v>
      </c>
      <c r="T729">
        <v>0</v>
      </c>
      <c r="U729">
        <v>35</v>
      </c>
      <c r="V729" s="19" t="s">
        <v>2911</v>
      </c>
      <c r="W729" s="19" t="s">
        <v>1995</v>
      </c>
      <c r="X729">
        <v>0</v>
      </c>
      <c r="Y729">
        <v>0</v>
      </c>
      <c r="AA729">
        <v>31</v>
      </c>
      <c r="AB729">
        <v>23</v>
      </c>
      <c r="AC729">
        <v>5</v>
      </c>
      <c r="AD729">
        <v>18</v>
      </c>
      <c r="AE729" s="19" t="s">
        <v>60</v>
      </c>
    </row>
    <row r="730" spans="1:31" x14ac:dyDescent="0.2">
      <c r="A730">
        <v>687</v>
      </c>
      <c r="B730" s="19" t="s">
        <v>1113</v>
      </c>
      <c r="C730">
        <v>25</v>
      </c>
      <c r="D730" s="19" t="s">
        <v>355</v>
      </c>
      <c r="E730" s="19" t="s">
        <v>349</v>
      </c>
      <c r="F730">
        <v>5</v>
      </c>
      <c r="G730">
        <v>1</v>
      </c>
      <c r="H730">
        <v>1</v>
      </c>
      <c r="I730">
        <v>2</v>
      </c>
      <c r="J730">
        <v>0</v>
      </c>
      <c r="K730">
        <v>0</v>
      </c>
      <c r="L730">
        <v>1</v>
      </c>
      <c r="M730">
        <v>0</v>
      </c>
      <c r="N730">
        <v>0</v>
      </c>
      <c r="O730">
        <v>0</v>
      </c>
      <c r="P730">
        <v>1</v>
      </c>
      <c r="Q730">
        <v>0</v>
      </c>
      <c r="R730">
        <v>0</v>
      </c>
      <c r="S730">
        <v>9</v>
      </c>
      <c r="T730">
        <v>11.1</v>
      </c>
      <c r="U730">
        <v>12</v>
      </c>
      <c r="V730" s="19" t="s">
        <v>1114</v>
      </c>
      <c r="W730" s="19" t="s">
        <v>1035</v>
      </c>
      <c r="X730">
        <v>0</v>
      </c>
      <c r="Y730">
        <v>0</v>
      </c>
      <c r="AA730">
        <v>3</v>
      </c>
      <c r="AB730">
        <v>4</v>
      </c>
      <c r="AC730">
        <v>1</v>
      </c>
      <c r="AD730">
        <v>5</v>
      </c>
      <c r="AE730" s="19" t="s">
        <v>60</v>
      </c>
    </row>
    <row r="731" spans="1:31" x14ac:dyDescent="0.2">
      <c r="A731">
        <v>688</v>
      </c>
      <c r="B731" s="19" t="s">
        <v>1356</v>
      </c>
      <c r="C731">
        <v>34</v>
      </c>
      <c r="D731" s="19" t="s">
        <v>407</v>
      </c>
      <c r="E731" s="19" t="s">
        <v>335</v>
      </c>
      <c r="F731">
        <v>44</v>
      </c>
      <c r="G731">
        <v>1</v>
      </c>
      <c r="H731">
        <v>1</v>
      </c>
      <c r="I731">
        <v>2</v>
      </c>
      <c r="J731">
        <v>-6</v>
      </c>
      <c r="K731">
        <v>50</v>
      </c>
      <c r="L731">
        <v>1</v>
      </c>
      <c r="M731">
        <v>0</v>
      </c>
      <c r="N731">
        <v>0</v>
      </c>
      <c r="O731">
        <v>0</v>
      </c>
      <c r="P731">
        <v>1</v>
      </c>
      <c r="Q731">
        <v>0</v>
      </c>
      <c r="R731">
        <v>0</v>
      </c>
      <c r="S731">
        <v>19</v>
      </c>
      <c r="T731">
        <v>5.3</v>
      </c>
      <c r="U731">
        <v>39</v>
      </c>
      <c r="V731" s="19" t="s">
        <v>2560</v>
      </c>
      <c r="W731" s="19" t="s">
        <v>1634</v>
      </c>
      <c r="X731">
        <v>6</v>
      </c>
      <c r="Y731">
        <v>4</v>
      </c>
      <c r="Z731">
        <v>60</v>
      </c>
      <c r="AA731">
        <v>31</v>
      </c>
      <c r="AB731">
        <v>168</v>
      </c>
      <c r="AC731">
        <v>4</v>
      </c>
      <c r="AD731">
        <v>21</v>
      </c>
      <c r="AE731" s="19" t="s">
        <v>60</v>
      </c>
    </row>
    <row r="732" spans="1:31" x14ac:dyDescent="0.2">
      <c r="A732">
        <v>689</v>
      </c>
      <c r="B732" s="19" t="s">
        <v>1506</v>
      </c>
      <c r="C732">
        <v>25</v>
      </c>
      <c r="D732" s="19" t="s">
        <v>447</v>
      </c>
      <c r="E732" s="19" t="s">
        <v>340</v>
      </c>
      <c r="F732">
        <v>16</v>
      </c>
      <c r="G732">
        <v>0</v>
      </c>
      <c r="H732">
        <v>2</v>
      </c>
      <c r="I732">
        <v>2</v>
      </c>
      <c r="J732">
        <v>2</v>
      </c>
      <c r="K732">
        <v>6</v>
      </c>
      <c r="L732">
        <v>0</v>
      </c>
      <c r="M732">
        <v>0</v>
      </c>
      <c r="N732">
        <v>0</v>
      </c>
      <c r="O732">
        <v>0</v>
      </c>
      <c r="P732">
        <v>2</v>
      </c>
      <c r="Q732">
        <v>0</v>
      </c>
      <c r="R732">
        <v>0</v>
      </c>
      <c r="S732">
        <v>16</v>
      </c>
      <c r="T732">
        <v>0</v>
      </c>
      <c r="U732">
        <v>40</v>
      </c>
      <c r="V732" s="19" t="s">
        <v>2561</v>
      </c>
      <c r="W732" s="19" t="s">
        <v>845</v>
      </c>
      <c r="X732">
        <v>0</v>
      </c>
      <c r="Y732">
        <v>0</v>
      </c>
      <c r="AA732">
        <v>3</v>
      </c>
      <c r="AB732">
        <v>26</v>
      </c>
      <c r="AC732">
        <v>2</v>
      </c>
      <c r="AD732">
        <v>10</v>
      </c>
      <c r="AE732" s="19" t="s">
        <v>60</v>
      </c>
    </row>
    <row r="733" spans="1:31" x14ac:dyDescent="0.2">
      <c r="A733">
        <v>690</v>
      </c>
      <c r="B733" s="19" t="s">
        <v>1381</v>
      </c>
      <c r="C733">
        <v>26</v>
      </c>
      <c r="D733" s="19" t="s">
        <v>357</v>
      </c>
      <c r="E733" s="19" t="s">
        <v>325</v>
      </c>
      <c r="F733">
        <v>26</v>
      </c>
      <c r="G733">
        <v>1</v>
      </c>
      <c r="H733">
        <v>1</v>
      </c>
      <c r="I733">
        <v>2</v>
      </c>
      <c r="J733">
        <v>-10</v>
      </c>
      <c r="K733">
        <v>0</v>
      </c>
      <c r="L733">
        <v>1</v>
      </c>
      <c r="M733">
        <v>0</v>
      </c>
      <c r="N733">
        <v>0</v>
      </c>
      <c r="O733">
        <v>0</v>
      </c>
      <c r="P733">
        <v>1</v>
      </c>
      <c r="Q733">
        <v>0</v>
      </c>
      <c r="R733">
        <v>0</v>
      </c>
      <c r="S733">
        <v>25</v>
      </c>
      <c r="T733">
        <v>4</v>
      </c>
      <c r="U733">
        <v>44</v>
      </c>
      <c r="V733" s="19" t="s">
        <v>2219</v>
      </c>
      <c r="W733" s="19" t="s">
        <v>1610</v>
      </c>
      <c r="X733">
        <v>68</v>
      </c>
      <c r="Y733">
        <v>59</v>
      </c>
      <c r="Z733">
        <v>53.5</v>
      </c>
      <c r="AA733">
        <v>11</v>
      </c>
      <c r="AB733">
        <v>53</v>
      </c>
      <c r="AC733">
        <v>1</v>
      </c>
      <c r="AD733">
        <v>8</v>
      </c>
      <c r="AE733" s="19" t="s">
        <v>60</v>
      </c>
    </row>
    <row r="734" spans="1:31" x14ac:dyDescent="0.2">
      <c r="A734">
        <v>691</v>
      </c>
      <c r="B734" s="19" t="s">
        <v>1580</v>
      </c>
      <c r="C734">
        <v>27</v>
      </c>
      <c r="D734" s="19" t="s">
        <v>328</v>
      </c>
      <c r="E734" s="19" t="s">
        <v>340</v>
      </c>
      <c r="F734">
        <v>8</v>
      </c>
      <c r="G734">
        <v>1</v>
      </c>
      <c r="H734">
        <v>1</v>
      </c>
      <c r="I734">
        <v>2</v>
      </c>
      <c r="J734">
        <v>0</v>
      </c>
      <c r="K734">
        <v>5</v>
      </c>
      <c r="L734">
        <v>1</v>
      </c>
      <c r="M734">
        <v>0</v>
      </c>
      <c r="N734">
        <v>0</v>
      </c>
      <c r="O734">
        <v>0</v>
      </c>
      <c r="P734">
        <v>1</v>
      </c>
      <c r="Q734">
        <v>0</v>
      </c>
      <c r="R734">
        <v>0</v>
      </c>
      <c r="S734">
        <v>12</v>
      </c>
      <c r="T734">
        <v>8.3000000000000007</v>
      </c>
      <c r="U734">
        <v>15</v>
      </c>
      <c r="V734" s="19" t="s">
        <v>1769</v>
      </c>
      <c r="W734" s="19" t="s">
        <v>1135</v>
      </c>
      <c r="X734">
        <v>0</v>
      </c>
      <c r="Y734">
        <v>0</v>
      </c>
      <c r="AA734">
        <v>2</v>
      </c>
      <c r="AB734">
        <v>20</v>
      </c>
      <c r="AC734">
        <v>2</v>
      </c>
      <c r="AD734">
        <v>4</v>
      </c>
      <c r="AE734" s="19" t="s">
        <v>60</v>
      </c>
    </row>
    <row r="735" spans="1:31" x14ac:dyDescent="0.2">
      <c r="A735">
        <v>692</v>
      </c>
      <c r="B735" s="19" t="s">
        <v>1206</v>
      </c>
      <c r="C735">
        <v>26</v>
      </c>
      <c r="D735" s="19" t="s">
        <v>447</v>
      </c>
      <c r="E735" s="19" t="s">
        <v>349</v>
      </c>
      <c r="F735">
        <v>16</v>
      </c>
      <c r="G735">
        <v>0</v>
      </c>
      <c r="H735">
        <v>2</v>
      </c>
      <c r="I735">
        <v>2</v>
      </c>
      <c r="J735">
        <v>-8</v>
      </c>
      <c r="K735">
        <v>2</v>
      </c>
      <c r="L735">
        <v>0</v>
      </c>
      <c r="M735">
        <v>0</v>
      </c>
      <c r="N735">
        <v>0</v>
      </c>
      <c r="O735">
        <v>0</v>
      </c>
      <c r="P735">
        <v>2</v>
      </c>
      <c r="Q735">
        <v>0</v>
      </c>
      <c r="R735">
        <v>0</v>
      </c>
      <c r="S735">
        <v>11</v>
      </c>
      <c r="T735">
        <v>0</v>
      </c>
      <c r="U735">
        <v>28</v>
      </c>
      <c r="V735" s="19" t="s">
        <v>2002</v>
      </c>
      <c r="W735" s="19" t="s">
        <v>2003</v>
      </c>
      <c r="X735">
        <v>0</v>
      </c>
      <c r="Y735">
        <v>0</v>
      </c>
      <c r="AA735">
        <v>16</v>
      </c>
      <c r="AB735">
        <v>6</v>
      </c>
      <c r="AC735">
        <v>5</v>
      </c>
      <c r="AD735">
        <v>9</v>
      </c>
      <c r="AE735" s="19" t="s">
        <v>60</v>
      </c>
    </row>
    <row r="736" spans="1:31" x14ac:dyDescent="0.2">
      <c r="A736">
        <v>693</v>
      </c>
      <c r="B736" s="19" t="s">
        <v>1208</v>
      </c>
      <c r="C736">
        <v>29</v>
      </c>
      <c r="D736" s="19" t="s">
        <v>436</v>
      </c>
      <c r="E736" s="19" t="s">
        <v>340</v>
      </c>
      <c r="F736">
        <v>18</v>
      </c>
      <c r="G736">
        <v>1</v>
      </c>
      <c r="H736">
        <v>1</v>
      </c>
      <c r="I736">
        <v>2</v>
      </c>
      <c r="J736">
        <v>0</v>
      </c>
      <c r="K736">
        <v>0</v>
      </c>
      <c r="L736">
        <v>1</v>
      </c>
      <c r="M736">
        <v>0</v>
      </c>
      <c r="N736">
        <v>0</v>
      </c>
      <c r="O736">
        <v>1</v>
      </c>
      <c r="P736">
        <v>1</v>
      </c>
      <c r="Q736">
        <v>0</v>
      </c>
      <c r="R736">
        <v>0</v>
      </c>
      <c r="S736">
        <v>9</v>
      </c>
      <c r="T736">
        <v>11.1</v>
      </c>
      <c r="U736">
        <v>26</v>
      </c>
      <c r="V736" s="19" t="s">
        <v>2248</v>
      </c>
      <c r="W736" s="19" t="s">
        <v>1666</v>
      </c>
      <c r="X736">
        <v>56</v>
      </c>
      <c r="Y736">
        <v>56</v>
      </c>
      <c r="Z736">
        <v>50</v>
      </c>
      <c r="AA736">
        <v>9</v>
      </c>
      <c r="AB736">
        <v>27</v>
      </c>
      <c r="AC736">
        <v>3</v>
      </c>
      <c r="AD736">
        <v>11</v>
      </c>
      <c r="AE736" s="19" t="s">
        <v>60</v>
      </c>
    </row>
    <row r="737" spans="1:31" x14ac:dyDescent="0.2">
      <c r="A737">
        <v>694</v>
      </c>
      <c r="B737" s="19" t="s">
        <v>1922</v>
      </c>
      <c r="C737">
        <v>28</v>
      </c>
      <c r="D737" s="19" t="s">
        <v>399</v>
      </c>
      <c r="E737" s="19" t="s">
        <v>349</v>
      </c>
      <c r="F737">
        <v>5</v>
      </c>
      <c r="G737">
        <v>0</v>
      </c>
      <c r="H737">
        <v>2</v>
      </c>
      <c r="I737">
        <v>2</v>
      </c>
      <c r="J737">
        <v>0</v>
      </c>
      <c r="K737">
        <v>5</v>
      </c>
      <c r="L737">
        <v>0</v>
      </c>
      <c r="M737">
        <v>0</v>
      </c>
      <c r="N737">
        <v>0</v>
      </c>
      <c r="O737">
        <v>0</v>
      </c>
      <c r="P737">
        <v>2</v>
      </c>
      <c r="Q737">
        <v>0</v>
      </c>
      <c r="R737">
        <v>0</v>
      </c>
      <c r="S737">
        <v>3</v>
      </c>
      <c r="T737">
        <v>0</v>
      </c>
      <c r="U737">
        <v>7</v>
      </c>
      <c r="V737" s="19" t="s">
        <v>2562</v>
      </c>
      <c r="W737" s="19" t="s">
        <v>1877</v>
      </c>
      <c r="X737">
        <v>0</v>
      </c>
      <c r="Y737">
        <v>0</v>
      </c>
      <c r="AA737">
        <v>7</v>
      </c>
      <c r="AB737">
        <v>11</v>
      </c>
      <c r="AC737">
        <v>0</v>
      </c>
      <c r="AD737">
        <v>5</v>
      </c>
      <c r="AE737" s="19" t="s">
        <v>60</v>
      </c>
    </row>
    <row r="738" spans="1:31" x14ac:dyDescent="0.2">
      <c r="A738">
        <v>695</v>
      </c>
      <c r="B738" s="19" t="s">
        <v>2069</v>
      </c>
      <c r="C738">
        <v>28</v>
      </c>
      <c r="D738" s="19" t="s">
        <v>344</v>
      </c>
      <c r="E738" s="19" t="s">
        <v>322</v>
      </c>
      <c r="F738">
        <v>5</v>
      </c>
      <c r="G738">
        <v>0</v>
      </c>
      <c r="H738">
        <v>2</v>
      </c>
      <c r="I738">
        <v>2</v>
      </c>
      <c r="J738">
        <v>1</v>
      </c>
      <c r="K738">
        <v>2</v>
      </c>
      <c r="L738">
        <v>0</v>
      </c>
      <c r="M738">
        <v>0</v>
      </c>
      <c r="N738">
        <v>0</v>
      </c>
      <c r="O738">
        <v>0</v>
      </c>
      <c r="P738">
        <v>2</v>
      </c>
      <c r="Q738">
        <v>0</v>
      </c>
      <c r="R738">
        <v>0</v>
      </c>
      <c r="S738">
        <v>11</v>
      </c>
      <c r="T738">
        <v>0</v>
      </c>
      <c r="U738">
        <v>17</v>
      </c>
      <c r="V738" s="19" t="s">
        <v>2563</v>
      </c>
      <c r="W738" s="19" t="s">
        <v>1690</v>
      </c>
      <c r="X738">
        <v>18</v>
      </c>
      <c r="Y738">
        <v>23</v>
      </c>
      <c r="Z738">
        <v>43.9</v>
      </c>
      <c r="AA738">
        <v>3</v>
      </c>
      <c r="AB738">
        <v>1</v>
      </c>
      <c r="AC738">
        <v>1</v>
      </c>
      <c r="AD738">
        <v>3</v>
      </c>
      <c r="AE738" s="19" t="s">
        <v>60</v>
      </c>
    </row>
    <row r="739" spans="1:31" x14ac:dyDescent="0.2">
      <c r="A739">
        <v>696</v>
      </c>
      <c r="B739" s="19" t="s">
        <v>1213</v>
      </c>
      <c r="C739">
        <v>30</v>
      </c>
      <c r="D739" s="19" t="s">
        <v>330</v>
      </c>
      <c r="E739" s="19" t="s">
        <v>322</v>
      </c>
      <c r="F739">
        <v>18</v>
      </c>
      <c r="G739">
        <v>1</v>
      </c>
      <c r="H739">
        <v>1</v>
      </c>
      <c r="I739">
        <v>2</v>
      </c>
      <c r="J739">
        <v>2</v>
      </c>
      <c r="K739">
        <v>14</v>
      </c>
      <c r="L739">
        <v>1</v>
      </c>
      <c r="M739">
        <v>0</v>
      </c>
      <c r="N739">
        <v>0</v>
      </c>
      <c r="O739">
        <v>0</v>
      </c>
      <c r="P739">
        <v>1</v>
      </c>
      <c r="Q739">
        <v>0</v>
      </c>
      <c r="R739">
        <v>0</v>
      </c>
      <c r="S739">
        <v>6</v>
      </c>
      <c r="T739">
        <v>16.7</v>
      </c>
      <c r="U739">
        <v>15</v>
      </c>
      <c r="V739" s="19" t="s">
        <v>2190</v>
      </c>
      <c r="W739" s="19" t="s">
        <v>1679</v>
      </c>
      <c r="X739">
        <v>10</v>
      </c>
      <c r="Y739">
        <v>11</v>
      </c>
      <c r="Z739">
        <v>47.6</v>
      </c>
      <c r="AA739">
        <v>2</v>
      </c>
      <c r="AB739">
        <v>21</v>
      </c>
      <c r="AC739">
        <v>1</v>
      </c>
      <c r="AD739">
        <v>9</v>
      </c>
      <c r="AE739" s="19" t="s">
        <v>60</v>
      </c>
    </row>
    <row r="740" spans="1:31" x14ac:dyDescent="0.2">
      <c r="A740">
        <v>697</v>
      </c>
      <c r="B740" s="19" t="s">
        <v>1402</v>
      </c>
      <c r="C740">
        <v>30</v>
      </c>
      <c r="D740" s="19" t="s">
        <v>399</v>
      </c>
      <c r="E740" s="19" t="s">
        <v>335</v>
      </c>
      <c r="F740">
        <v>23</v>
      </c>
      <c r="G740">
        <v>0</v>
      </c>
      <c r="H740">
        <v>2</v>
      </c>
      <c r="I740">
        <v>2</v>
      </c>
      <c r="J740">
        <v>-4</v>
      </c>
      <c r="K740">
        <v>4</v>
      </c>
      <c r="L740">
        <v>0</v>
      </c>
      <c r="M740">
        <v>0</v>
      </c>
      <c r="N740">
        <v>0</v>
      </c>
      <c r="O740">
        <v>0</v>
      </c>
      <c r="P740">
        <v>2</v>
      </c>
      <c r="Q740">
        <v>0</v>
      </c>
      <c r="R740">
        <v>0</v>
      </c>
      <c r="S740">
        <v>15</v>
      </c>
      <c r="T740">
        <v>0</v>
      </c>
      <c r="U740">
        <v>25</v>
      </c>
      <c r="V740" s="19" t="s">
        <v>2132</v>
      </c>
      <c r="W740" s="19" t="s">
        <v>2133</v>
      </c>
      <c r="X740">
        <v>54</v>
      </c>
      <c r="Y740">
        <v>56</v>
      </c>
      <c r="Z740">
        <v>49.1</v>
      </c>
      <c r="AA740">
        <v>14</v>
      </c>
      <c r="AB740">
        <v>38</v>
      </c>
      <c r="AC740">
        <v>2</v>
      </c>
      <c r="AD740">
        <v>4</v>
      </c>
      <c r="AE740" s="19" t="s">
        <v>60</v>
      </c>
    </row>
    <row r="741" spans="1:31" x14ac:dyDescent="0.2">
      <c r="A741">
        <v>698</v>
      </c>
      <c r="B741" s="19" t="s">
        <v>1864</v>
      </c>
      <c r="C741">
        <v>25</v>
      </c>
      <c r="D741" s="19" t="s">
        <v>419</v>
      </c>
      <c r="E741" s="19" t="s">
        <v>340</v>
      </c>
      <c r="F741">
        <v>7</v>
      </c>
      <c r="G741">
        <v>1</v>
      </c>
      <c r="H741">
        <v>1</v>
      </c>
      <c r="I741">
        <v>2</v>
      </c>
      <c r="J741">
        <v>-2</v>
      </c>
      <c r="K741">
        <v>0</v>
      </c>
      <c r="L741">
        <v>1</v>
      </c>
      <c r="M741">
        <v>0</v>
      </c>
      <c r="N741">
        <v>0</v>
      </c>
      <c r="O741">
        <v>0</v>
      </c>
      <c r="P741">
        <v>1</v>
      </c>
      <c r="Q741">
        <v>0</v>
      </c>
      <c r="R741">
        <v>0</v>
      </c>
      <c r="S741">
        <v>5</v>
      </c>
      <c r="T741">
        <v>20</v>
      </c>
      <c r="U741">
        <v>14</v>
      </c>
      <c r="V741" s="19" t="s">
        <v>2134</v>
      </c>
      <c r="W741" s="19" t="s">
        <v>1765</v>
      </c>
      <c r="X741">
        <v>0</v>
      </c>
      <c r="Y741">
        <v>0</v>
      </c>
      <c r="AA741">
        <v>3</v>
      </c>
      <c r="AB741">
        <v>17</v>
      </c>
      <c r="AC741">
        <v>3</v>
      </c>
      <c r="AD741">
        <v>2</v>
      </c>
      <c r="AE741" s="19" t="s">
        <v>60</v>
      </c>
    </row>
    <row r="742" spans="1:31" x14ac:dyDescent="0.2">
      <c r="A742">
        <v>699</v>
      </c>
      <c r="B742" s="19" t="s">
        <v>1124</v>
      </c>
      <c r="C742">
        <v>22</v>
      </c>
      <c r="D742" s="19" t="s">
        <v>397</v>
      </c>
      <c r="E742" s="19" t="s">
        <v>349</v>
      </c>
      <c r="F742">
        <v>8</v>
      </c>
      <c r="G742">
        <v>1</v>
      </c>
      <c r="H742">
        <v>1</v>
      </c>
      <c r="I742">
        <v>2</v>
      </c>
      <c r="J742">
        <v>4</v>
      </c>
      <c r="K742">
        <v>10</v>
      </c>
      <c r="L742">
        <v>1</v>
      </c>
      <c r="M742">
        <v>0</v>
      </c>
      <c r="N742">
        <v>0</v>
      </c>
      <c r="O742">
        <v>0</v>
      </c>
      <c r="P742">
        <v>1</v>
      </c>
      <c r="Q742">
        <v>0</v>
      </c>
      <c r="R742">
        <v>0</v>
      </c>
      <c r="S742">
        <v>10</v>
      </c>
      <c r="T742">
        <v>10</v>
      </c>
      <c r="U742">
        <v>24</v>
      </c>
      <c r="V742" s="19" t="s">
        <v>1125</v>
      </c>
      <c r="W742" s="19" t="s">
        <v>735</v>
      </c>
      <c r="X742">
        <v>0</v>
      </c>
      <c r="Y742">
        <v>0</v>
      </c>
      <c r="AA742">
        <v>6</v>
      </c>
      <c r="AB742">
        <v>9</v>
      </c>
      <c r="AC742">
        <v>4</v>
      </c>
      <c r="AD742">
        <v>8</v>
      </c>
      <c r="AE742" s="19" t="s">
        <v>60</v>
      </c>
    </row>
    <row r="743" spans="1:31" x14ac:dyDescent="0.2">
      <c r="A743">
        <v>700</v>
      </c>
      <c r="B743" s="19" t="s">
        <v>1126</v>
      </c>
      <c r="C743">
        <v>21</v>
      </c>
      <c r="D743" s="19" t="s">
        <v>447</v>
      </c>
      <c r="E743" s="19" t="s">
        <v>335</v>
      </c>
      <c r="F743">
        <v>8</v>
      </c>
      <c r="G743">
        <v>1</v>
      </c>
      <c r="H743">
        <v>1</v>
      </c>
      <c r="I743">
        <v>2</v>
      </c>
      <c r="J743">
        <v>0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1</v>
      </c>
      <c r="Q743">
        <v>0</v>
      </c>
      <c r="R743">
        <v>0</v>
      </c>
      <c r="S743">
        <v>4</v>
      </c>
      <c r="T743">
        <v>25</v>
      </c>
      <c r="U743">
        <v>13</v>
      </c>
      <c r="V743" s="19" t="s">
        <v>1127</v>
      </c>
      <c r="W743" s="19" t="s">
        <v>1128</v>
      </c>
      <c r="X743">
        <v>0</v>
      </c>
      <c r="Y743">
        <v>0</v>
      </c>
      <c r="AA743">
        <v>3</v>
      </c>
      <c r="AB743">
        <v>6</v>
      </c>
      <c r="AC743">
        <v>0</v>
      </c>
      <c r="AD743">
        <v>6</v>
      </c>
      <c r="AE743" s="19" t="s">
        <v>60</v>
      </c>
    </row>
    <row r="744" spans="1:31" x14ac:dyDescent="0.2">
      <c r="A744">
        <v>701</v>
      </c>
      <c r="B744" s="19" t="s">
        <v>1222</v>
      </c>
      <c r="C744">
        <v>26</v>
      </c>
      <c r="D744" s="19" t="s">
        <v>416</v>
      </c>
      <c r="E744" s="19" t="s">
        <v>335</v>
      </c>
      <c r="F744">
        <v>7</v>
      </c>
      <c r="G744">
        <v>1</v>
      </c>
      <c r="H744">
        <v>1</v>
      </c>
      <c r="I744">
        <v>2</v>
      </c>
      <c r="J744">
        <v>-2</v>
      </c>
      <c r="K744">
        <v>0</v>
      </c>
      <c r="L744">
        <v>1</v>
      </c>
      <c r="M744">
        <v>0</v>
      </c>
      <c r="N744">
        <v>0</v>
      </c>
      <c r="O744">
        <v>1</v>
      </c>
      <c r="P744">
        <v>1</v>
      </c>
      <c r="Q744">
        <v>0</v>
      </c>
      <c r="R744">
        <v>0</v>
      </c>
      <c r="S744">
        <v>7</v>
      </c>
      <c r="T744">
        <v>14.3</v>
      </c>
      <c r="U744">
        <v>10</v>
      </c>
      <c r="V744" s="19" t="s">
        <v>1641</v>
      </c>
      <c r="W744" s="19" t="s">
        <v>1403</v>
      </c>
      <c r="X744">
        <v>0</v>
      </c>
      <c r="Y744">
        <v>0</v>
      </c>
      <c r="AA744">
        <v>4</v>
      </c>
      <c r="AB744">
        <v>4</v>
      </c>
      <c r="AC744">
        <v>1</v>
      </c>
      <c r="AD744">
        <v>1</v>
      </c>
      <c r="AE744" s="19" t="s">
        <v>60</v>
      </c>
    </row>
    <row r="745" spans="1:31" x14ac:dyDescent="0.2">
      <c r="A745">
        <v>702</v>
      </c>
      <c r="B745" s="19" t="s">
        <v>1132</v>
      </c>
      <c r="C745">
        <v>36</v>
      </c>
      <c r="D745" s="19" t="s">
        <v>399</v>
      </c>
      <c r="E745" s="19" t="s">
        <v>3</v>
      </c>
      <c r="F745">
        <v>27</v>
      </c>
      <c r="G745">
        <v>0</v>
      </c>
      <c r="H745">
        <v>2</v>
      </c>
      <c r="I745">
        <v>2</v>
      </c>
      <c r="J745">
        <v>0</v>
      </c>
      <c r="K745">
        <v>6</v>
      </c>
      <c r="L745">
        <v>0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1</v>
      </c>
      <c r="S745">
        <v>0</v>
      </c>
      <c r="U745">
        <v>0</v>
      </c>
      <c r="V745" s="19" t="s">
        <v>2564</v>
      </c>
      <c r="W745" s="19" t="s">
        <v>2196</v>
      </c>
      <c r="X745">
        <v>0</v>
      </c>
      <c r="Y745">
        <v>0</v>
      </c>
      <c r="AA745">
        <v>0</v>
      </c>
      <c r="AB745">
        <v>0</v>
      </c>
      <c r="AC745">
        <v>0</v>
      </c>
      <c r="AD745">
        <v>14</v>
      </c>
      <c r="AE745" s="19" t="s">
        <v>60</v>
      </c>
    </row>
    <row r="746" spans="1:31" x14ac:dyDescent="0.2">
      <c r="A746">
        <v>703</v>
      </c>
      <c r="B746" s="19" t="s">
        <v>1549</v>
      </c>
      <c r="C746">
        <v>27</v>
      </c>
      <c r="D746" s="19" t="s">
        <v>513</v>
      </c>
      <c r="E746" s="19" t="s">
        <v>340</v>
      </c>
      <c r="F746">
        <v>3</v>
      </c>
      <c r="G746">
        <v>1</v>
      </c>
      <c r="H746">
        <v>1</v>
      </c>
      <c r="I746">
        <v>2</v>
      </c>
      <c r="J746">
        <v>0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1</v>
      </c>
      <c r="Q746">
        <v>0</v>
      </c>
      <c r="R746">
        <v>0</v>
      </c>
      <c r="S746">
        <v>4</v>
      </c>
      <c r="T746">
        <v>25</v>
      </c>
      <c r="U746">
        <v>5</v>
      </c>
      <c r="V746" s="19" t="s">
        <v>1584</v>
      </c>
      <c r="W746" s="19" t="s">
        <v>836</v>
      </c>
      <c r="X746">
        <v>4</v>
      </c>
      <c r="Y746">
        <v>1</v>
      </c>
      <c r="Z746">
        <v>80</v>
      </c>
      <c r="AA746">
        <v>2</v>
      </c>
      <c r="AB746">
        <v>0</v>
      </c>
      <c r="AC746">
        <v>1</v>
      </c>
      <c r="AD746">
        <v>2</v>
      </c>
      <c r="AE746" s="19" t="s">
        <v>60</v>
      </c>
    </row>
    <row r="747" spans="1:31" x14ac:dyDescent="0.2">
      <c r="A747">
        <v>704</v>
      </c>
      <c r="B747" s="19" t="s">
        <v>1425</v>
      </c>
      <c r="C747">
        <v>27</v>
      </c>
      <c r="D747" s="19" t="s">
        <v>428</v>
      </c>
      <c r="E747" s="19" t="s">
        <v>349</v>
      </c>
      <c r="F747">
        <v>21</v>
      </c>
      <c r="G747">
        <v>1</v>
      </c>
      <c r="H747">
        <v>1</v>
      </c>
      <c r="I747">
        <v>2</v>
      </c>
      <c r="J747">
        <v>13</v>
      </c>
      <c r="K747">
        <v>6</v>
      </c>
      <c r="L747">
        <v>1</v>
      </c>
      <c r="M747">
        <v>0</v>
      </c>
      <c r="N747">
        <v>0</v>
      </c>
      <c r="O747">
        <v>1</v>
      </c>
      <c r="P747">
        <v>1</v>
      </c>
      <c r="Q747">
        <v>0</v>
      </c>
      <c r="R747">
        <v>0</v>
      </c>
      <c r="S747">
        <v>9</v>
      </c>
      <c r="T747">
        <v>11.1</v>
      </c>
      <c r="U747">
        <v>25</v>
      </c>
      <c r="V747" s="19" t="s">
        <v>2912</v>
      </c>
      <c r="W747" s="19" t="s">
        <v>1123</v>
      </c>
      <c r="X747">
        <v>0</v>
      </c>
      <c r="Y747">
        <v>0</v>
      </c>
      <c r="AA747">
        <v>13</v>
      </c>
      <c r="AB747">
        <v>3</v>
      </c>
      <c r="AC747">
        <v>2</v>
      </c>
      <c r="AD747">
        <v>16</v>
      </c>
      <c r="AE747" s="19" t="s">
        <v>60</v>
      </c>
    </row>
    <row r="748" spans="1:31" x14ac:dyDescent="0.2">
      <c r="A748">
        <v>705</v>
      </c>
      <c r="B748" s="19" t="s">
        <v>1235</v>
      </c>
      <c r="C748">
        <v>29</v>
      </c>
      <c r="D748" s="19" t="s">
        <v>359</v>
      </c>
      <c r="E748" s="19" t="s">
        <v>349</v>
      </c>
      <c r="F748">
        <v>25</v>
      </c>
      <c r="G748">
        <v>0</v>
      </c>
      <c r="H748">
        <v>2</v>
      </c>
      <c r="I748">
        <v>2</v>
      </c>
      <c r="J748">
        <v>-9</v>
      </c>
      <c r="K748">
        <v>14</v>
      </c>
      <c r="L748">
        <v>0</v>
      </c>
      <c r="M748">
        <v>0</v>
      </c>
      <c r="N748">
        <v>0</v>
      </c>
      <c r="O748">
        <v>0</v>
      </c>
      <c r="P748">
        <v>2</v>
      </c>
      <c r="Q748">
        <v>0</v>
      </c>
      <c r="R748">
        <v>0</v>
      </c>
      <c r="S748">
        <v>30</v>
      </c>
      <c r="T748">
        <v>0</v>
      </c>
      <c r="U748">
        <v>63</v>
      </c>
      <c r="V748" s="19" t="s">
        <v>2135</v>
      </c>
      <c r="W748" s="19" t="s">
        <v>1460</v>
      </c>
      <c r="X748">
        <v>0</v>
      </c>
      <c r="Y748">
        <v>0</v>
      </c>
      <c r="AA748">
        <v>30</v>
      </c>
      <c r="AB748">
        <v>39</v>
      </c>
      <c r="AC748">
        <v>3</v>
      </c>
      <c r="AD748">
        <v>17</v>
      </c>
      <c r="AE748" s="19" t="s">
        <v>60</v>
      </c>
    </row>
    <row r="749" spans="1:31" x14ac:dyDescent="0.2">
      <c r="A749">
        <v>706</v>
      </c>
      <c r="B749" s="19" t="s">
        <v>1236</v>
      </c>
      <c r="C749">
        <v>20</v>
      </c>
      <c r="D749" s="19" t="s">
        <v>397</v>
      </c>
      <c r="E749" s="19" t="s">
        <v>340</v>
      </c>
      <c r="F749">
        <v>8</v>
      </c>
      <c r="G749">
        <v>2</v>
      </c>
      <c r="H749">
        <v>0</v>
      </c>
      <c r="I749">
        <v>2</v>
      </c>
      <c r="J749">
        <v>-2</v>
      </c>
      <c r="K749">
        <v>0</v>
      </c>
      <c r="L749">
        <v>1</v>
      </c>
      <c r="M749">
        <v>1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8</v>
      </c>
      <c r="T749">
        <v>25</v>
      </c>
      <c r="U749">
        <v>22</v>
      </c>
      <c r="V749" s="19" t="s">
        <v>1680</v>
      </c>
      <c r="W749" s="19" t="s">
        <v>1652</v>
      </c>
      <c r="X749">
        <v>0</v>
      </c>
      <c r="Y749">
        <v>1</v>
      </c>
      <c r="Z749">
        <v>0</v>
      </c>
      <c r="AA749">
        <v>4</v>
      </c>
      <c r="AB749">
        <v>12</v>
      </c>
      <c r="AC749">
        <v>0</v>
      </c>
      <c r="AD749">
        <v>7</v>
      </c>
      <c r="AE749" s="19" t="s">
        <v>60</v>
      </c>
    </row>
    <row r="750" spans="1:31" x14ac:dyDescent="0.2">
      <c r="A750">
        <v>707</v>
      </c>
      <c r="B750" s="19" t="s">
        <v>1139</v>
      </c>
      <c r="C750">
        <v>24</v>
      </c>
      <c r="D750" s="19" t="s">
        <v>373</v>
      </c>
      <c r="E750" s="19" t="s">
        <v>335</v>
      </c>
      <c r="F750">
        <v>14</v>
      </c>
      <c r="G750">
        <v>2</v>
      </c>
      <c r="H750">
        <v>0</v>
      </c>
      <c r="I750">
        <v>2</v>
      </c>
      <c r="J750">
        <v>-2</v>
      </c>
      <c r="K750">
        <v>0</v>
      </c>
      <c r="L750">
        <v>2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7</v>
      </c>
      <c r="T750">
        <v>28.6</v>
      </c>
      <c r="U750">
        <v>14</v>
      </c>
      <c r="V750" s="19" t="s">
        <v>2305</v>
      </c>
      <c r="W750" s="19" t="s">
        <v>1914</v>
      </c>
      <c r="X750">
        <v>29</v>
      </c>
      <c r="Y750">
        <v>41</v>
      </c>
      <c r="Z750">
        <v>41.4</v>
      </c>
      <c r="AA750">
        <v>6</v>
      </c>
      <c r="AB750">
        <v>15</v>
      </c>
      <c r="AC750">
        <v>2</v>
      </c>
      <c r="AD750">
        <v>6</v>
      </c>
      <c r="AE750" s="19" t="s">
        <v>60</v>
      </c>
    </row>
    <row r="751" spans="1:31" x14ac:dyDescent="0.2">
      <c r="A751">
        <v>708</v>
      </c>
      <c r="B751" s="19" t="s">
        <v>1140</v>
      </c>
      <c r="C751">
        <v>24</v>
      </c>
      <c r="D751" s="19" t="s">
        <v>950</v>
      </c>
      <c r="E751" s="19" t="s">
        <v>349</v>
      </c>
      <c r="F751">
        <v>18</v>
      </c>
      <c r="G751">
        <v>0</v>
      </c>
      <c r="H751">
        <v>2</v>
      </c>
      <c r="I751">
        <v>2</v>
      </c>
      <c r="J751">
        <v>-4</v>
      </c>
      <c r="K751">
        <v>44</v>
      </c>
      <c r="L751">
        <v>0</v>
      </c>
      <c r="M751">
        <v>0</v>
      </c>
      <c r="N751">
        <v>0</v>
      </c>
      <c r="O751">
        <v>0</v>
      </c>
      <c r="P751">
        <v>2</v>
      </c>
      <c r="Q751">
        <v>0</v>
      </c>
      <c r="R751">
        <v>0</v>
      </c>
      <c r="S751">
        <v>10</v>
      </c>
      <c r="T751">
        <v>0</v>
      </c>
      <c r="U751">
        <v>38</v>
      </c>
      <c r="V751" s="19" t="s">
        <v>2090</v>
      </c>
      <c r="W751" s="19" t="s">
        <v>1137</v>
      </c>
      <c r="X751">
        <v>0</v>
      </c>
      <c r="Y751">
        <v>0</v>
      </c>
      <c r="AA751">
        <v>12</v>
      </c>
      <c r="AB751">
        <v>29</v>
      </c>
      <c r="AC751">
        <v>2</v>
      </c>
      <c r="AD751">
        <v>15</v>
      </c>
      <c r="AE751" s="19" t="s">
        <v>60</v>
      </c>
    </row>
    <row r="752" spans="1:31" x14ac:dyDescent="0.2">
      <c r="A752">
        <v>708</v>
      </c>
      <c r="B752" s="19" t="s">
        <v>1140</v>
      </c>
      <c r="C752">
        <v>24</v>
      </c>
      <c r="D752" s="19" t="s">
        <v>416</v>
      </c>
      <c r="E752" s="19" t="s">
        <v>349</v>
      </c>
      <c r="F752">
        <v>2</v>
      </c>
      <c r="G752">
        <v>0</v>
      </c>
      <c r="H752">
        <v>0</v>
      </c>
      <c r="I752">
        <v>0</v>
      </c>
      <c r="J752">
        <v>-1</v>
      </c>
      <c r="K752">
        <v>5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1</v>
      </c>
      <c r="T752">
        <v>0</v>
      </c>
      <c r="U752">
        <v>5</v>
      </c>
      <c r="V752" s="19" t="s">
        <v>1141</v>
      </c>
      <c r="W752" s="19" t="s">
        <v>1142</v>
      </c>
      <c r="X752">
        <v>0</v>
      </c>
      <c r="Y752">
        <v>0</v>
      </c>
      <c r="AA752">
        <v>0</v>
      </c>
      <c r="AB752">
        <v>1</v>
      </c>
      <c r="AC752">
        <v>0</v>
      </c>
      <c r="AD752">
        <v>1</v>
      </c>
      <c r="AE752" s="19" t="s">
        <v>60</v>
      </c>
    </row>
    <row r="753" spans="1:31" x14ac:dyDescent="0.2">
      <c r="A753">
        <v>708</v>
      </c>
      <c r="B753" s="19" t="s">
        <v>1140</v>
      </c>
      <c r="C753">
        <v>24</v>
      </c>
      <c r="D753" s="19" t="s">
        <v>373</v>
      </c>
      <c r="E753" s="19" t="s">
        <v>349</v>
      </c>
      <c r="F753">
        <v>16</v>
      </c>
      <c r="G753">
        <v>0</v>
      </c>
      <c r="H753">
        <v>2</v>
      </c>
      <c r="I753">
        <v>2</v>
      </c>
      <c r="J753">
        <v>-3</v>
      </c>
      <c r="K753">
        <v>39</v>
      </c>
      <c r="L753">
        <v>0</v>
      </c>
      <c r="M753">
        <v>0</v>
      </c>
      <c r="N753">
        <v>0</v>
      </c>
      <c r="O753">
        <v>0</v>
      </c>
      <c r="P753">
        <v>2</v>
      </c>
      <c r="Q753">
        <v>0</v>
      </c>
      <c r="R753">
        <v>0</v>
      </c>
      <c r="S753">
        <v>9</v>
      </c>
      <c r="T753">
        <v>0</v>
      </c>
      <c r="U753">
        <v>33</v>
      </c>
      <c r="V753" s="19" t="s">
        <v>2091</v>
      </c>
      <c r="W753" s="19" t="s">
        <v>1844</v>
      </c>
      <c r="X753">
        <v>0</v>
      </c>
      <c r="Y753">
        <v>0</v>
      </c>
      <c r="AA753">
        <v>12</v>
      </c>
      <c r="AB753">
        <v>28</v>
      </c>
      <c r="AC753">
        <v>2</v>
      </c>
      <c r="AD753">
        <v>14</v>
      </c>
      <c r="AE753" s="19" t="s">
        <v>60</v>
      </c>
    </row>
    <row r="754" spans="1:31" x14ac:dyDescent="0.2">
      <c r="A754">
        <v>709</v>
      </c>
      <c r="B754" s="19" t="s">
        <v>1255</v>
      </c>
      <c r="C754">
        <v>24</v>
      </c>
      <c r="D754" s="19" t="s">
        <v>376</v>
      </c>
      <c r="E754" s="19" t="s">
        <v>3</v>
      </c>
      <c r="F754">
        <v>23</v>
      </c>
      <c r="G754">
        <v>0</v>
      </c>
      <c r="H754">
        <v>2</v>
      </c>
      <c r="I754">
        <v>2</v>
      </c>
      <c r="J754">
        <v>0</v>
      </c>
      <c r="K754">
        <v>2</v>
      </c>
      <c r="L754">
        <v>0</v>
      </c>
      <c r="M754">
        <v>0</v>
      </c>
      <c r="N754">
        <v>0</v>
      </c>
      <c r="O754">
        <v>0</v>
      </c>
      <c r="P754">
        <v>1</v>
      </c>
      <c r="Q754">
        <v>1</v>
      </c>
      <c r="R754">
        <v>0</v>
      </c>
      <c r="S754">
        <v>0</v>
      </c>
      <c r="U754">
        <v>0</v>
      </c>
      <c r="V754" s="19" t="s">
        <v>2306</v>
      </c>
      <c r="W754" s="19" t="s">
        <v>2307</v>
      </c>
      <c r="X754">
        <v>0</v>
      </c>
      <c r="Y754">
        <v>0</v>
      </c>
      <c r="AA754">
        <v>0</v>
      </c>
      <c r="AB754">
        <v>0</v>
      </c>
      <c r="AC754">
        <v>0</v>
      </c>
      <c r="AD754">
        <v>8</v>
      </c>
      <c r="AE754" s="19" t="s">
        <v>60</v>
      </c>
    </row>
    <row r="755" spans="1:31" x14ac:dyDescent="0.2">
      <c r="A755">
        <v>710</v>
      </c>
      <c r="B755" s="19" t="s">
        <v>1477</v>
      </c>
      <c r="C755">
        <v>31</v>
      </c>
      <c r="D755" s="19" t="s">
        <v>397</v>
      </c>
      <c r="E755" s="19" t="s">
        <v>349</v>
      </c>
      <c r="F755">
        <v>12</v>
      </c>
      <c r="G755">
        <v>0</v>
      </c>
      <c r="H755">
        <v>2</v>
      </c>
      <c r="I755">
        <v>2</v>
      </c>
      <c r="J755">
        <v>3</v>
      </c>
      <c r="K755">
        <v>2</v>
      </c>
      <c r="L755">
        <v>0</v>
      </c>
      <c r="M755">
        <v>0</v>
      </c>
      <c r="N755">
        <v>0</v>
      </c>
      <c r="O755">
        <v>0</v>
      </c>
      <c r="P755">
        <v>2</v>
      </c>
      <c r="Q755">
        <v>0</v>
      </c>
      <c r="R755">
        <v>0</v>
      </c>
      <c r="S755">
        <v>9</v>
      </c>
      <c r="T755">
        <v>0</v>
      </c>
      <c r="U755">
        <v>30</v>
      </c>
      <c r="V755" s="19" t="s">
        <v>2913</v>
      </c>
      <c r="W755" s="19" t="s">
        <v>2211</v>
      </c>
      <c r="X755">
        <v>0</v>
      </c>
      <c r="Y755">
        <v>0</v>
      </c>
      <c r="AA755">
        <v>19</v>
      </c>
      <c r="AB755">
        <v>2</v>
      </c>
      <c r="AC755">
        <v>8</v>
      </c>
      <c r="AD755">
        <v>12</v>
      </c>
      <c r="AE755" s="19" t="s">
        <v>60</v>
      </c>
    </row>
    <row r="756" spans="1:31" x14ac:dyDescent="0.2">
      <c r="A756">
        <v>711</v>
      </c>
      <c r="B756" s="19" t="s">
        <v>1145</v>
      </c>
      <c r="C756">
        <v>36</v>
      </c>
      <c r="D756" s="19" t="s">
        <v>381</v>
      </c>
      <c r="E756" s="19" t="s">
        <v>349</v>
      </c>
      <c r="F756">
        <v>15</v>
      </c>
      <c r="G756">
        <v>0</v>
      </c>
      <c r="H756">
        <v>2</v>
      </c>
      <c r="I756">
        <v>2</v>
      </c>
      <c r="J756">
        <v>-1</v>
      </c>
      <c r="K756">
        <v>11</v>
      </c>
      <c r="L756">
        <v>0</v>
      </c>
      <c r="M756">
        <v>0</v>
      </c>
      <c r="N756">
        <v>0</v>
      </c>
      <c r="O756">
        <v>0</v>
      </c>
      <c r="P756">
        <v>2</v>
      </c>
      <c r="Q756">
        <v>0</v>
      </c>
      <c r="R756">
        <v>0</v>
      </c>
      <c r="S756">
        <v>10</v>
      </c>
      <c r="T756">
        <v>0</v>
      </c>
      <c r="U756">
        <v>21</v>
      </c>
      <c r="V756" s="19" t="s">
        <v>1771</v>
      </c>
      <c r="W756" s="19" t="s">
        <v>1761</v>
      </c>
      <c r="X756">
        <v>0</v>
      </c>
      <c r="Y756">
        <v>0</v>
      </c>
      <c r="AA756">
        <v>11</v>
      </c>
      <c r="AB756">
        <v>12</v>
      </c>
      <c r="AC756">
        <v>5</v>
      </c>
      <c r="AD756">
        <v>15</v>
      </c>
      <c r="AE756" s="19" t="s">
        <v>60</v>
      </c>
    </row>
    <row r="757" spans="1:31" x14ac:dyDescent="0.2">
      <c r="A757">
        <v>712</v>
      </c>
      <c r="B757" s="19" t="s">
        <v>1261</v>
      </c>
      <c r="C757">
        <v>34</v>
      </c>
      <c r="D757" s="19" t="s">
        <v>405</v>
      </c>
      <c r="E757" s="19" t="s">
        <v>340</v>
      </c>
      <c r="F757">
        <v>38</v>
      </c>
      <c r="G757">
        <v>0</v>
      </c>
      <c r="H757">
        <v>2</v>
      </c>
      <c r="I757">
        <v>2</v>
      </c>
      <c r="J757">
        <v>-12</v>
      </c>
      <c r="K757">
        <v>21</v>
      </c>
      <c r="L757">
        <v>0</v>
      </c>
      <c r="M757">
        <v>0</v>
      </c>
      <c r="N757">
        <v>0</v>
      </c>
      <c r="O757">
        <v>0</v>
      </c>
      <c r="P757">
        <v>2</v>
      </c>
      <c r="Q757">
        <v>0</v>
      </c>
      <c r="R757">
        <v>0</v>
      </c>
      <c r="S757">
        <v>31</v>
      </c>
      <c r="T757">
        <v>0</v>
      </c>
      <c r="U757">
        <v>57</v>
      </c>
      <c r="V757" s="19" t="s">
        <v>2914</v>
      </c>
      <c r="W757" s="19" t="s">
        <v>2182</v>
      </c>
      <c r="X757">
        <v>3</v>
      </c>
      <c r="Y757">
        <v>11</v>
      </c>
      <c r="Z757">
        <v>21.4</v>
      </c>
      <c r="AA757">
        <v>23</v>
      </c>
      <c r="AB757">
        <v>107</v>
      </c>
      <c r="AC757">
        <v>5</v>
      </c>
      <c r="AD757">
        <v>24</v>
      </c>
      <c r="AE757" s="19" t="s">
        <v>60</v>
      </c>
    </row>
    <row r="758" spans="1:31" x14ac:dyDescent="0.2">
      <c r="A758">
        <v>713</v>
      </c>
      <c r="B758" s="19" t="s">
        <v>1147</v>
      </c>
      <c r="C758">
        <v>36</v>
      </c>
      <c r="D758" s="19" t="s">
        <v>359</v>
      </c>
      <c r="E758" s="19" t="s">
        <v>349</v>
      </c>
      <c r="F758">
        <v>11</v>
      </c>
      <c r="G758">
        <v>0</v>
      </c>
      <c r="H758">
        <v>2</v>
      </c>
      <c r="I758">
        <v>2</v>
      </c>
      <c r="J758">
        <v>8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2</v>
      </c>
      <c r="Q758">
        <v>0</v>
      </c>
      <c r="R758">
        <v>0</v>
      </c>
      <c r="S758">
        <v>8</v>
      </c>
      <c r="T758">
        <v>0</v>
      </c>
      <c r="U758">
        <v>18</v>
      </c>
      <c r="V758" s="19" t="s">
        <v>1712</v>
      </c>
      <c r="W758" s="19" t="s">
        <v>1650</v>
      </c>
      <c r="X758">
        <v>0</v>
      </c>
      <c r="Y758">
        <v>0</v>
      </c>
      <c r="AA758">
        <v>15</v>
      </c>
      <c r="AB758">
        <v>2</v>
      </c>
      <c r="AC758">
        <v>5</v>
      </c>
      <c r="AD758">
        <v>8</v>
      </c>
      <c r="AE758" s="19" t="s">
        <v>60</v>
      </c>
    </row>
    <row r="759" spans="1:31" x14ac:dyDescent="0.2">
      <c r="A759">
        <v>714</v>
      </c>
      <c r="B759" s="19" t="s">
        <v>1271</v>
      </c>
      <c r="C759">
        <v>29</v>
      </c>
      <c r="D759" s="19" t="s">
        <v>405</v>
      </c>
      <c r="E759" s="19" t="s">
        <v>3</v>
      </c>
      <c r="F759">
        <v>39</v>
      </c>
      <c r="G759">
        <v>0</v>
      </c>
      <c r="H759">
        <v>2</v>
      </c>
      <c r="I759">
        <v>2</v>
      </c>
      <c r="J759">
        <v>0</v>
      </c>
      <c r="K759">
        <v>2</v>
      </c>
      <c r="L759">
        <v>0</v>
      </c>
      <c r="M759">
        <v>0</v>
      </c>
      <c r="N759">
        <v>0</v>
      </c>
      <c r="O759">
        <v>0</v>
      </c>
      <c r="P759">
        <v>2</v>
      </c>
      <c r="Q759">
        <v>0</v>
      </c>
      <c r="R759">
        <v>0</v>
      </c>
      <c r="S759">
        <v>0</v>
      </c>
      <c r="U759">
        <v>0</v>
      </c>
      <c r="V759" s="19" t="s">
        <v>2915</v>
      </c>
      <c r="W759" s="19" t="s">
        <v>1925</v>
      </c>
      <c r="X759">
        <v>0</v>
      </c>
      <c r="Y759">
        <v>0</v>
      </c>
      <c r="AA759">
        <v>0</v>
      </c>
      <c r="AB759">
        <v>0</v>
      </c>
      <c r="AC759">
        <v>0</v>
      </c>
      <c r="AD759">
        <v>13</v>
      </c>
      <c r="AE759" s="19" t="s">
        <v>60</v>
      </c>
    </row>
    <row r="760" spans="1:31" x14ac:dyDescent="0.2">
      <c r="A760">
        <v>715</v>
      </c>
      <c r="B760" s="19" t="s">
        <v>1274</v>
      </c>
      <c r="C760">
        <v>25</v>
      </c>
      <c r="D760" s="19" t="s">
        <v>363</v>
      </c>
      <c r="E760" s="19" t="s">
        <v>349</v>
      </c>
      <c r="F760">
        <v>46</v>
      </c>
      <c r="G760">
        <v>1</v>
      </c>
      <c r="H760">
        <v>1</v>
      </c>
      <c r="I760">
        <v>2</v>
      </c>
      <c r="J760">
        <v>-7</v>
      </c>
      <c r="K760">
        <v>102</v>
      </c>
      <c r="L760">
        <v>1</v>
      </c>
      <c r="M760">
        <v>0</v>
      </c>
      <c r="N760">
        <v>0</v>
      </c>
      <c r="O760">
        <v>0</v>
      </c>
      <c r="P760">
        <v>1</v>
      </c>
      <c r="Q760">
        <v>0</v>
      </c>
      <c r="R760">
        <v>0</v>
      </c>
      <c r="S760">
        <v>32</v>
      </c>
      <c r="T760">
        <v>3.1</v>
      </c>
      <c r="U760">
        <v>92</v>
      </c>
      <c r="V760" s="19" t="s">
        <v>2916</v>
      </c>
      <c r="W760" s="19" t="s">
        <v>1636</v>
      </c>
      <c r="X760">
        <v>0</v>
      </c>
      <c r="Y760">
        <v>0</v>
      </c>
      <c r="AA760">
        <v>33</v>
      </c>
      <c r="AB760">
        <v>125</v>
      </c>
      <c r="AC760">
        <v>2</v>
      </c>
      <c r="AD760">
        <v>26</v>
      </c>
      <c r="AE760" s="19" t="s">
        <v>60</v>
      </c>
    </row>
    <row r="761" spans="1:31" x14ac:dyDescent="0.2">
      <c r="A761">
        <v>716</v>
      </c>
      <c r="B761" s="19" t="s">
        <v>1278</v>
      </c>
      <c r="C761">
        <v>25</v>
      </c>
      <c r="D761" s="19" t="s">
        <v>950</v>
      </c>
      <c r="E761" s="19" t="s">
        <v>349</v>
      </c>
      <c r="F761">
        <v>21</v>
      </c>
      <c r="G761">
        <v>0</v>
      </c>
      <c r="H761">
        <v>2</v>
      </c>
      <c r="I761">
        <v>2</v>
      </c>
      <c r="J761">
        <v>4</v>
      </c>
      <c r="K761">
        <v>4</v>
      </c>
      <c r="L761">
        <v>0</v>
      </c>
      <c r="M761">
        <v>0</v>
      </c>
      <c r="N761">
        <v>0</v>
      </c>
      <c r="O761">
        <v>0</v>
      </c>
      <c r="P761">
        <v>2</v>
      </c>
      <c r="Q761">
        <v>0</v>
      </c>
      <c r="R761">
        <v>0</v>
      </c>
      <c r="S761">
        <v>12</v>
      </c>
      <c r="T761">
        <v>0</v>
      </c>
      <c r="U761">
        <v>32</v>
      </c>
      <c r="V761" s="19" t="s">
        <v>2917</v>
      </c>
      <c r="W761" s="19" t="s">
        <v>1502</v>
      </c>
      <c r="X761">
        <v>0</v>
      </c>
      <c r="Y761">
        <v>0</v>
      </c>
      <c r="AA761">
        <v>25</v>
      </c>
      <c r="AB761">
        <v>2</v>
      </c>
      <c r="AC761">
        <v>3</v>
      </c>
      <c r="AD761">
        <v>17</v>
      </c>
      <c r="AE761" s="19" t="s">
        <v>60</v>
      </c>
    </row>
    <row r="762" spans="1:31" x14ac:dyDescent="0.2">
      <c r="A762">
        <v>716</v>
      </c>
      <c r="B762" s="19" t="s">
        <v>1278</v>
      </c>
      <c r="C762">
        <v>25</v>
      </c>
      <c r="D762" s="19" t="s">
        <v>407</v>
      </c>
      <c r="E762" s="19" t="s">
        <v>349</v>
      </c>
      <c r="F762">
        <v>13</v>
      </c>
      <c r="G762">
        <v>0</v>
      </c>
      <c r="H762">
        <v>1</v>
      </c>
      <c r="I762">
        <v>1</v>
      </c>
      <c r="J762">
        <v>4</v>
      </c>
      <c r="K762">
        <v>4</v>
      </c>
      <c r="L762">
        <v>0</v>
      </c>
      <c r="M762">
        <v>0</v>
      </c>
      <c r="N762">
        <v>0</v>
      </c>
      <c r="O762">
        <v>0</v>
      </c>
      <c r="P762">
        <v>1</v>
      </c>
      <c r="Q762">
        <v>0</v>
      </c>
      <c r="R762">
        <v>0</v>
      </c>
      <c r="S762">
        <v>9</v>
      </c>
      <c r="T762">
        <v>0</v>
      </c>
      <c r="U762">
        <v>19</v>
      </c>
      <c r="V762" s="19" t="s">
        <v>1279</v>
      </c>
      <c r="W762" s="19" t="s">
        <v>983</v>
      </c>
      <c r="X762">
        <v>0</v>
      </c>
      <c r="Y762">
        <v>0</v>
      </c>
      <c r="AA762">
        <v>15</v>
      </c>
      <c r="AB762">
        <v>2</v>
      </c>
      <c r="AC762">
        <v>1</v>
      </c>
      <c r="AD762">
        <v>10</v>
      </c>
      <c r="AE762" s="19" t="s">
        <v>60</v>
      </c>
    </row>
    <row r="763" spans="1:31" x14ac:dyDescent="0.2">
      <c r="A763">
        <v>716</v>
      </c>
      <c r="B763" s="19" t="s">
        <v>1278</v>
      </c>
      <c r="C763">
        <v>25</v>
      </c>
      <c r="D763" s="19" t="s">
        <v>381</v>
      </c>
      <c r="E763" s="19" t="s">
        <v>349</v>
      </c>
      <c r="F763">
        <v>8</v>
      </c>
      <c r="G763">
        <v>0</v>
      </c>
      <c r="H763">
        <v>1</v>
      </c>
      <c r="I763">
        <v>1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3</v>
      </c>
      <c r="T763">
        <v>0</v>
      </c>
      <c r="U763">
        <v>13</v>
      </c>
      <c r="V763" s="19" t="s">
        <v>2918</v>
      </c>
      <c r="W763" s="19" t="s">
        <v>656</v>
      </c>
      <c r="X763">
        <v>0</v>
      </c>
      <c r="Y763">
        <v>0</v>
      </c>
      <c r="AA763">
        <v>10</v>
      </c>
      <c r="AB763">
        <v>0</v>
      </c>
      <c r="AC763">
        <v>2</v>
      </c>
      <c r="AD763">
        <v>7</v>
      </c>
      <c r="AE763" s="19" t="s">
        <v>60</v>
      </c>
    </row>
    <row r="764" spans="1:31" x14ac:dyDescent="0.2">
      <c r="A764">
        <v>717</v>
      </c>
      <c r="B764" s="19" t="s">
        <v>1569</v>
      </c>
      <c r="C764">
        <v>29</v>
      </c>
      <c r="D764" s="19" t="s">
        <v>357</v>
      </c>
      <c r="E764" s="19" t="s">
        <v>335</v>
      </c>
      <c r="F764">
        <v>4</v>
      </c>
      <c r="G764">
        <v>0</v>
      </c>
      <c r="H764">
        <v>1</v>
      </c>
      <c r="I764">
        <v>1</v>
      </c>
      <c r="J764">
        <v>1</v>
      </c>
      <c r="K764">
        <v>6</v>
      </c>
      <c r="L764">
        <v>0</v>
      </c>
      <c r="M764">
        <v>0</v>
      </c>
      <c r="N764">
        <v>0</v>
      </c>
      <c r="O764">
        <v>0</v>
      </c>
      <c r="P764">
        <v>1</v>
      </c>
      <c r="Q764">
        <v>0</v>
      </c>
      <c r="R764">
        <v>0</v>
      </c>
      <c r="S764">
        <v>4</v>
      </c>
      <c r="T764">
        <v>0</v>
      </c>
      <c r="U764">
        <v>10</v>
      </c>
      <c r="V764" s="19" t="s">
        <v>1602</v>
      </c>
      <c r="W764" s="19" t="s">
        <v>1151</v>
      </c>
      <c r="X764">
        <v>0</v>
      </c>
      <c r="Y764">
        <v>5</v>
      </c>
      <c r="Z764">
        <v>0</v>
      </c>
      <c r="AA764">
        <v>4</v>
      </c>
      <c r="AB764">
        <v>4</v>
      </c>
      <c r="AC764">
        <v>1</v>
      </c>
      <c r="AD764">
        <v>1</v>
      </c>
      <c r="AE764" s="19" t="s">
        <v>60</v>
      </c>
    </row>
    <row r="765" spans="1:31" x14ac:dyDescent="0.2">
      <c r="A765">
        <v>718</v>
      </c>
      <c r="B765" s="19" t="s">
        <v>2191</v>
      </c>
      <c r="C765">
        <v>28</v>
      </c>
      <c r="D765" s="19" t="s">
        <v>321</v>
      </c>
      <c r="E765" s="19" t="s">
        <v>325</v>
      </c>
      <c r="F765">
        <v>1</v>
      </c>
      <c r="G765">
        <v>0</v>
      </c>
      <c r="H765">
        <v>1</v>
      </c>
      <c r="I765">
        <v>1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1</v>
      </c>
      <c r="Q765">
        <v>0</v>
      </c>
      <c r="R765">
        <v>0</v>
      </c>
      <c r="S765">
        <v>0</v>
      </c>
      <c r="U765">
        <v>1</v>
      </c>
      <c r="V765" s="19" t="s">
        <v>2192</v>
      </c>
      <c r="W765" s="19" t="s">
        <v>2192</v>
      </c>
      <c r="X765">
        <v>0</v>
      </c>
      <c r="Y765">
        <v>0</v>
      </c>
      <c r="AA765">
        <v>0</v>
      </c>
      <c r="AB765">
        <v>2</v>
      </c>
      <c r="AC765">
        <v>0</v>
      </c>
      <c r="AD765">
        <v>0</v>
      </c>
      <c r="AE765" s="19" t="s">
        <v>60</v>
      </c>
    </row>
    <row r="766" spans="1:31" x14ac:dyDescent="0.2">
      <c r="A766">
        <v>719</v>
      </c>
      <c r="B766" s="19" t="s">
        <v>1289</v>
      </c>
      <c r="C766">
        <v>21</v>
      </c>
      <c r="D766" s="19" t="s">
        <v>363</v>
      </c>
      <c r="E766" s="19" t="s">
        <v>322</v>
      </c>
      <c r="F766">
        <v>15</v>
      </c>
      <c r="G766">
        <v>1</v>
      </c>
      <c r="H766">
        <v>0</v>
      </c>
      <c r="I766">
        <v>1</v>
      </c>
      <c r="J766">
        <v>4</v>
      </c>
      <c r="K766">
        <v>6</v>
      </c>
      <c r="L766">
        <v>1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11</v>
      </c>
      <c r="T766">
        <v>9.1</v>
      </c>
      <c r="U766">
        <v>25</v>
      </c>
      <c r="V766" s="19" t="s">
        <v>1939</v>
      </c>
      <c r="W766" s="19" t="s">
        <v>1699</v>
      </c>
      <c r="X766">
        <v>44</v>
      </c>
      <c r="Y766">
        <v>31</v>
      </c>
      <c r="Z766">
        <v>58.7</v>
      </c>
      <c r="AA766">
        <v>8</v>
      </c>
      <c r="AB766">
        <v>24</v>
      </c>
      <c r="AC766">
        <v>2</v>
      </c>
      <c r="AD766">
        <v>10</v>
      </c>
      <c r="AE766" s="19" t="s">
        <v>60</v>
      </c>
    </row>
    <row r="767" spans="1:31" x14ac:dyDescent="0.2">
      <c r="A767">
        <v>720</v>
      </c>
      <c r="B767" s="19" t="s">
        <v>1159</v>
      </c>
      <c r="C767">
        <v>32</v>
      </c>
      <c r="D767" s="19" t="s">
        <v>513</v>
      </c>
      <c r="E767" s="19" t="s">
        <v>3</v>
      </c>
      <c r="F767">
        <v>29</v>
      </c>
      <c r="G767">
        <v>0</v>
      </c>
      <c r="H767">
        <v>1</v>
      </c>
      <c r="I767">
        <v>1</v>
      </c>
      <c r="J767">
        <v>0</v>
      </c>
      <c r="K767">
        <v>2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1</v>
      </c>
      <c r="R767">
        <v>0</v>
      </c>
      <c r="S767">
        <v>0</v>
      </c>
      <c r="U767">
        <v>0</v>
      </c>
      <c r="V767" s="19" t="s">
        <v>2565</v>
      </c>
      <c r="W767" s="19" t="s">
        <v>1940</v>
      </c>
      <c r="X767">
        <v>0</v>
      </c>
      <c r="Y767">
        <v>0</v>
      </c>
      <c r="AA767">
        <v>0</v>
      </c>
      <c r="AB767">
        <v>0</v>
      </c>
      <c r="AC767">
        <v>0</v>
      </c>
      <c r="AD767">
        <v>15</v>
      </c>
      <c r="AE767" s="19" t="s">
        <v>60</v>
      </c>
    </row>
    <row r="768" spans="1:31" x14ac:dyDescent="0.2">
      <c r="A768">
        <v>721</v>
      </c>
      <c r="B768" s="19" t="s">
        <v>1852</v>
      </c>
      <c r="C768">
        <v>30</v>
      </c>
      <c r="D768" s="19" t="s">
        <v>361</v>
      </c>
      <c r="E768" s="19" t="s">
        <v>340</v>
      </c>
      <c r="F768">
        <v>3</v>
      </c>
      <c r="G768">
        <v>0</v>
      </c>
      <c r="H768">
        <v>1</v>
      </c>
      <c r="I768">
        <v>1</v>
      </c>
      <c r="J768">
        <v>1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4</v>
      </c>
      <c r="T768">
        <v>0</v>
      </c>
      <c r="U768">
        <v>5</v>
      </c>
      <c r="V768" s="19" t="s">
        <v>1954</v>
      </c>
      <c r="W768" s="19" t="s">
        <v>2566</v>
      </c>
      <c r="X768">
        <v>0</v>
      </c>
      <c r="Y768">
        <v>0</v>
      </c>
      <c r="AA768">
        <v>0</v>
      </c>
      <c r="AB768">
        <v>8</v>
      </c>
      <c r="AC768">
        <v>0</v>
      </c>
      <c r="AD768">
        <v>0</v>
      </c>
      <c r="AE768" s="19" t="s">
        <v>60</v>
      </c>
    </row>
    <row r="769" spans="1:31" x14ac:dyDescent="0.2">
      <c r="A769">
        <v>722</v>
      </c>
      <c r="B769" s="19" t="s">
        <v>1161</v>
      </c>
      <c r="C769">
        <v>37</v>
      </c>
      <c r="D769" s="19" t="s">
        <v>373</v>
      </c>
      <c r="E769" s="19" t="s">
        <v>3</v>
      </c>
      <c r="F769">
        <v>35</v>
      </c>
      <c r="G769">
        <v>0</v>
      </c>
      <c r="H769">
        <v>1</v>
      </c>
      <c r="I769">
        <v>1</v>
      </c>
      <c r="J769">
        <v>0</v>
      </c>
      <c r="K769">
        <v>9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1</v>
      </c>
      <c r="R769">
        <v>0</v>
      </c>
      <c r="S769">
        <v>0</v>
      </c>
      <c r="U769">
        <v>0</v>
      </c>
      <c r="V769" s="19" t="s">
        <v>2919</v>
      </c>
      <c r="W769" s="19" t="s">
        <v>2920</v>
      </c>
      <c r="X769">
        <v>0</v>
      </c>
      <c r="Y769">
        <v>0</v>
      </c>
      <c r="AA769">
        <v>0</v>
      </c>
      <c r="AB769">
        <v>0</v>
      </c>
      <c r="AC769">
        <v>0</v>
      </c>
      <c r="AD769">
        <v>16</v>
      </c>
      <c r="AE769" s="19" t="s">
        <v>60</v>
      </c>
    </row>
    <row r="770" spans="1:31" x14ac:dyDescent="0.2">
      <c r="A770">
        <v>723</v>
      </c>
      <c r="B770" s="19" t="s">
        <v>1163</v>
      </c>
      <c r="C770">
        <v>25</v>
      </c>
      <c r="D770" s="19" t="s">
        <v>384</v>
      </c>
      <c r="E770" s="19" t="s">
        <v>349</v>
      </c>
      <c r="F770">
        <v>19</v>
      </c>
      <c r="G770">
        <v>0</v>
      </c>
      <c r="H770">
        <v>1</v>
      </c>
      <c r="I770">
        <v>1</v>
      </c>
      <c r="J770">
        <v>-3</v>
      </c>
      <c r="K770">
        <v>4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7</v>
      </c>
      <c r="T770">
        <v>0</v>
      </c>
      <c r="U770">
        <v>26</v>
      </c>
      <c r="V770" s="19" t="s">
        <v>2921</v>
      </c>
      <c r="W770" s="19" t="s">
        <v>1750</v>
      </c>
      <c r="X770">
        <v>0</v>
      </c>
      <c r="Y770">
        <v>0</v>
      </c>
      <c r="AA770">
        <v>17</v>
      </c>
      <c r="AB770">
        <v>8</v>
      </c>
      <c r="AC770">
        <v>3</v>
      </c>
      <c r="AD770">
        <v>8</v>
      </c>
      <c r="AE770" s="19" t="s">
        <v>60</v>
      </c>
    </row>
    <row r="771" spans="1:31" x14ac:dyDescent="0.2">
      <c r="A771">
        <v>724</v>
      </c>
      <c r="B771" s="19" t="s">
        <v>1164</v>
      </c>
      <c r="C771">
        <v>20</v>
      </c>
      <c r="D771" s="19" t="s">
        <v>371</v>
      </c>
      <c r="E771" s="19" t="s">
        <v>325</v>
      </c>
      <c r="F771">
        <v>9</v>
      </c>
      <c r="G771">
        <v>0</v>
      </c>
      <c r="H771">
        <v>1</v>
      </c>
      <c r="I771">
        <v>1</v>
      </c>
      <c r="J771">
        <v>-5</v>
      </c>
      <c r="K771">
        <v>2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14</v>
      </c>
      <c r="T771">
        <v>0</v>
      </c>
      <c r="U771">
        <v>35</v>
      </c>
      <c r="V771" s="19" t="s">
        <v>1165</v>
      </c>
      <c r="W771" s="19" t="s">
        <v>964</v>
      </c>
      <c r="X771">
        <v>0</v>
      </c>
      <c r="Y771">
        <v>0</v>
      </c>
      <c r="AA771">
        <v>3</v>
      </c>
      <c r="AB771">
        <v>28</v>
      </c>
      <c r="AC771">
        <v>2</v>
      </c>
      <c r="AD771">
        <v>10</v>
      </c>
      <c r="AE771" s="19" t="s">
        <v>60</v>
      </c>
    </row>
    <row r="772" spans="1:31" x14ac:dyDescent="0.2">
      <c r="A772">
        <v>725</v>
      </c>
      <c r="B772" s="19" t="s">
        <v>1166</v>
      </c>
      <c r="C772">
        <v>19</v>
      </c>
      <c r="D772" s="19" t="s">
        <v>376</v>
      </c>
      <c r="E772" s="19" t="s">
        <v>349</v>
      </c>
      <c r="F772">
        <v>9</v>
      </c>
      <c r="G772">
        <v>1</v>
      </c>
      <c r="H772">
        <v>0</v>
      </c>
      <c r="I772">
        <v>1</v>
      </c>
      <c r="J772">
        <v>-4</v>
      </c>
      <c r="K772">
        <v>6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8</v>
      </c>
      <c r="T772">
        <v>12.5</v>
      </c>
      <c r="U772">
        <v>22</v>
      </c>
      <c r="V772" s="19" t="s">
        <v>944</v>
      </c>
      <c r="W772" s="19" t="s">
        <v>1167</v>
      </c>
      <c r="X772">
        <v>0</v>
      </c>
      <c r="Y772">
        <v>0</v>
      </c>
      <c r="AA772">
        <v>13</v>
      </c>
      <c r="AB772">
        <v>4</v>
      </c>
      <c r="AC772">
        <v>1</v>
      </c>
      <c r="AD772">
        <v>14</v>
      </c>
      <c r="AE772" s="19" t="s">
        <v>60</v>
      </c>
    </row>
    <row r="773" spans="1:31" x14ac:dyDescent="0.2">
      <c r="A773">
        <v>726</v>
      </c>
      <c r="B773" s="19" t="s">
        <v>1529</v>
      </c>
      <c r="C773">
        <v>21</v>
      </c>
      <c r="D773" s="19" t="s">
        <v>436</v>
      </c>
      <c r="E773" s="19" t="s">
        <v>349</v>
      </c>
      <c r="F773">
        <v>16</v>
      </c>
      <c r="G773">
        <v>0</v>
      </c>
      <c r="H773">
        <v>1</v>
      </c>
      <c r="I773">
        <v>1</v>
      </c>
      <c r="J773">
        <v>-2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1</v>
      </c>
      <c r="Q773">
        <v>0</v>
      </c>
      <c r="R773">
        <v>0</v>
      </c>
      <c r="S773">
        <v>16</v>
      </c>
      <c r="T773">
        <v>0</v>
      </c>
      <c r="U773">
        <v>43</v>
      </c>
      <c r="V773" s="19" t="s">
        <v>2249</v>
      </c>
      <c r="W773" s="19" t="s">
        <v>822</v>
      </c>
      <c r="X773">
        <v>0</v>
      </c>
      <c r="Y773">
        <v>0</v>
      </c>
      <c r="AA773">
        <v>6</v>
      </c>
      <c r="AB773">
        <v>8</v>
      </c>
      <c r="AC773">
        <v>0</v>
      </c>
      <c r="AD773">
        <v>12</v>
      </c>
      <c r="AE773" s="19" t="s">
        <v>60</v>
      </c>
    </row>
    <row r="774" spans="1:31" x14ac:dyDescent="0.2">
      <c r="A774">
        <v>727</v>
      </c>
      <c r="B774" s="19" t="s">
        <v>1168</v>
      </c>
      <c r="C774">
        <v>27</v>
      </c>
      <c r="D774" s="19" t="s">
        <v>397</v>
      </c>
      <c r="E774" s="19" t="s">
        <v>3</v>
      </c>
      <c r="F774">
        <v>23</v>
      </c>
      <c r="G774">
        <v>0</v>
      </c>
      <c r="H774">
        <v>1</v>
      </c>
      <c r="I774">
        <v>1</v>
      </c>
      <c r="J774">
        <v>0</v>
      </c>
      <c r="K774">
        <v>2</v>
      </c>
      <c r="L774">
        <v>0</v>
      </c>
      <c r="M774">
        <v>0</v>
      </c>
      <c r="N774">
        <v>0</v>
      </c>
      <c r="O774">
        <v>0</v>
      </c>
      <c r="P774">
        <v>1</v>
      </c>
      <c r="Q774">
        <v>0</v>
      </c>
      <c r="R774">
        <v>0</v>
      </c>
      <c r="S774">
        <v>0</v>
      </c>
      <c r="U774">
        <v>0</v>
      </c>
      <c r="V774" s="19" t="s">
        <v>2922</v>
      </c>
      <c r="W774" s="19" t="s">
        <v>2923</v>
      </c>
      <c r="X774">
        <v>0</v>
      </c>
      <c r="Y774">
        <v>0</v>
      </c>
      <c r="AA774">
        <v>0</v>
      </c>
      <c r="AB774">
        <v>0</v>
      </c>
      <c r="AC774">
        <v>0</v>
      </c>
      <c r="AD774">
        <v>18</v>
      </c>
      <c r="AE774" s="19" t="s">
        <v>60</v>
      </c>
    </row>
    <row r="775" spans="1:31" x14ac:dyDescent="0.2">
      <c r="A775">
        <v>728</v>
      </c>
      <c r="B775" s="19" t="s">
        <v>1169</v>
      </c>
      <c r="C775">
        <v>23</v>
      </c>
      <c r="D775" s="19" t="s">
        <v>324</v>
      </c>
      <c r="E775" s="19" t="s">
        <v>335</v>
      </c>
      <c r="F775">
        <v>7</v>
      </c>
      <c r="G775">
        <v>1</v>
      </c>
      <c r="H775">
        <v>0</v>
      </c>
      <c r="I775">
        <v>1</v>
      </c>
      <c r="J775">
        <v>-3</v>
      </c>
      <c r="K775">
        <v>2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6</v>
      </c>
      <c r="T775">
        <v>16.7</v>
      </c>
      <c r="U775">
        <v>19</v>
      </c>
      <c r="V775" s="19" t="s">
        <v>1681</v>
      </c>
      <c r="W775" s="19" t="s">
        <v>1682</v>
      </c>
      <c r="X775">
        <v>0</v>
      </c>
      <c r="Y775">
        <v>0</v>
      </c>
      <c r="AA775">
        <v>1</v>
      </c>
      <c r="AB775">
        <v>9</v>
      </c>
      <c r="AC775">
        <v>3</v>
      </c>
      <c r="AD775">
        <v>5</v>
      </c>
      <c r="AE775" s="19" t="s">
        <v>60</v>
      </c>
    </row>
    <row r="776" spans="1:31" x14ac:dyDescent="0.2">
      <c r="A776">
        <v>729</v>
      </c>
      <c r="B776" s="19" t="s">
        <v>1171</v>
      </c>
      <c r="C776">
        <v>27</v>
      </c>
      <c r="D776" s="19" t="s">
        <v>399</v>
      </c>
      <c r="E776" s="19" t="s">
        <v>349</v>
      </c>
      <c r="F776">
        <v>15</v>
      </c>
      <c r="G776">
        <v>0</v>
      </c>
      <c r="H776">
        <v>1</v>
      </c>
      <c r="I776">
        <v>1</v>
      </c>
      <c r="J776">
        <v>-5</v>
      </c>
      <c r="K776">
        <v>2</v>
      </c>
      <c r="L776">
        <v>0</v>
      </c>
      <c r="M776">
        <v>0</v>
      </c>
      <c r="N776">
        <v>0</v>
      </c>
      <c r="O776">
        <v>0</v>
      </c>
      <c r="P776">
        <v>1</v>
      </c>
      <c r="Q776">
        <v>0</v>
      </c>
      <c r="R776">
        <v>0</v>
      </c>
      <c r="S776">
        <v>10</v>
      </c>
      <c r="T776">
        <v>0</v>
      </c>
      <c r="U776">
        <v>22</v>
      </c>
      <c r="V776" s="19" t="s">
        <v>1579</v>
      </c>
      <c r="W776" s="19" t="s">
        <v>752</v>
      </c>
      <c r="X776">
        <v>0</v>
      </c>
      <c r="Y776">
        <v>0</v>
      </c>
      <c r="AA776">
        <v>15</v>
      </c>
      <c r="AB776">
        <v>3</v>
      </c>
      <c r="AC776">
        <v>4</v>
      </c>
      <c r="AD776">
        <v>15</v>
      </c>
      <c r="AE776" s="19" t="s">
        <v>60</v>
      </c>
    </row>
    <row r="777" spans="1:31" x14ac:dyDescent="0.2">
      <c r="A777">
        <v>730</v>
      </c>
      <c r="B777" s="19" t="s">
        <v>1173</v>
      </c>
      <c r="C777">
        <v>20</v>
      </c>
      <c r="D777" s="19" t="s">
        <v>328</v>
      </c>
      <c r="E777" s="19" t="s">
        <v>325</v>
      </c>
      <c r="F777">
        <v>5</v>
      </c>
      <c r="G777">
        <v>1</v>
      </c>
      <c r="H777">
        <v>0</v>
      </c>
      <c r="I777">
        <v>1</v>
      </c>
      <c r="J777">
        <v>1</v>
      </c>
      <c r="K777">
        <v>13</v>
      </c>
      <c r="L777">
        <v>1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3</v>
      </c>
      <c r="T777">
        <v>33.299999999999997</v>
      </c>
      <c r="U777">
        <v>7</v>
      </c>
      <c r="V777" s="19" t="s">
        <v>1174</v>
      </c>
      <c r="W777" s="19" t="s">
        <v>1175</v>
      </c>
      <c r="X777">
        <v>0</v>
      </c>
      <c r="Y777">
        <v>0</v>
      </c>
      <c r="AA777">
        <v>3</v>
      </c>
      <c r="AB777">
        <v>17</v>
      </c>
      <c r="AC777">
        <v>0</v>
      </c>
      <c r="AD777">
        <v>4</v>
      </c>
      <c r="AE777" s="19" t="s">
        <v>60</v>
      </c>
    </row>
    <row r="778" spans="1:31" x14ac:dyDescent="0.2">
      <c r="A778">
        <v>731</v>
      </c>
      <c r="B778" s="19" t="s">
        <v>1176</v>
      </c>
      <c r="C778">
        <v>24</v>
      </c>
      <c r="D778" s="19" t="s">
        <v>337</v>
      </c>
      <c r="E778" s="19" t="s">
        <v>335</v>
      </c>
      <c r="F778">
        <v>8</v>
      </c>
      <c r="G778">
        <v>1</v>
      </c>
      <c r="H778">
        <v>0</v>
      </c>
      <c r="I778">
        <v>1</v>
      </c>
      <c r="J778">
        <v>-3</v>
      </c>
      <c r="K778">
        <v>4</v>
      </c>
      <c r="L778">
        <v>1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5</v>
      </c>
      <c r="T778">
        <v>20</v>
      </c>
      <c r="U778">
        <v>13</v>
      </c>
      <c r="V778" s="19" t="s">
        <v>2092</v>
      </c>
      <c r="W778" s="19" t="s">
        <v>976</v>
      </c>
      <c r="X778">
        <v>1</v>
      </c>
      <c r="Y778">
        <v>1</v>
      </c>
      <c r="Z778">
        <v>50</v>
      </c>
      <c r="AA778">
        <v>1</v>
      </c>
      <c r="AB778">
        <v>10</v>
      </c>
      <c r="AC778">
        <v>1</v>
      </c>
      <c r="AD778">
        <v>8</v>
      </c>
      <c r="AE778" s="19" t="s">
        <v>60</v>
      </c>
    </row>
    <row r="779" spans="1:31" x14ac:dyDescent="0.2">
      <c r="A779">
        <v>732</v>
      </c>
      <c r="B779" s="19" t="s">
        <v>1311</v>
      </c>
      <c r="C779">
        <v>26</v>
      </c>
      <c r="D779" s="19" t="s">
        <v>399</v>
      </c>
      <c r="E779" s="19" t="s">
        <v>340</v>
      </c>
      <c r="F779">
        <v>8</v>
      </c>
      <c r="G779">
        <v>1</v>
      </c>
      <c r="H779">
        <v>0</v>
      </c>
      <c r="I779">
        <v>1</v>
      </c>
      <c r="J779">
        <v>1</v>
      </c>
      <c r="K779">
        <v>4</v>
      </c>
      <c r="L779">
        <v>1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4</v>
      </c>
      <c r="T779">
        <v>25</v>
      </c>
      <c r="U779">
        <v>9</v>
      </c>
      <c r="V779" s="19" t="s">
        <v>1609</v>
      </c>
      <c r="W779" s="19" t="s">
        <v>1610</v>
      </c>
      <c r="X779">
        <v>1</v>
      </c>
      <c r="Y779">
        <v>2</v>
      </c>
      <c r="Z779">
        <v>33.299999999999997</v>
      </c>
      <c r="AA779">
        <v>7</v>
      </c>
      <c r="AB779">
        <v>5</v>
      </c>
      <c r="AC779">
        <v>0</v>
      </c>
      <c r="AD779">
        <v>2</v>
      </c>
      <c r="AE779" s="19" t="s">
        <v>60</v>
      </c>
    </row>
    <row r="780" spans="1:31" x14ac:dyDescent="0.2">
      <c r="A780">
        <v>733</v>
      </c>
      <c r="B780" s="19" t="s">
        <v>1178</v>
      </c>
      <c r="C780">
        <v>23</v>
      </c>
      <c r="D780" s="19" t="s">
        <v>363</v>
      </c>
      <c r="E780" s="19" t="s">
        <v>322</v>
      </c>
      <c r="F780">
        <v>10</v>
      </c>
      <c r="G780">
        <v>0</v>
      </c>
      <c r="H780">
        <v>1</v>
      </c>
      <c r="I780">
        <v>1</v>
      </c>
      <c r="J780">
        <v>-4</v>
      </c>
      <c r="K780">
        <v>10</v>
      </c>
      <c r="L780">
        <v>0</v>
      </c>
      <c r="M780">
        <v>0</v>
      </c>
      <c r="N780">
        <v>0</v>
      </c>
      <c r="O780">
        <v>0</v>
      </c>
      <c r="P780">
        <v>1</v>
      </c>
      <c r="Q780">
        <v>0</v>
      </c>
      <c r="R780">
        <v>0</v>
      </c>
      <c r="S780">
        <v>9</v>
      </c>
      <c r="T780">
        <v>0</v>
      </c>
      <c r="U780">
        <v>19</v>
      </c>
      <c r="V780" s="19" t="s">
        <v>1547</v>
      </c>
      <c r="W780" s="19" t="s">
        <v>1503</v>
      </c>
      <c r="X780">
        <v>0</v>
      </c>
      <c r="Y780">
        <v>1</v>
      </c>
      <c r="Z780">
        <v>0</v>
      </c>
      <c r="AA780">
        <v>1</v>
      </c>
      <c r="AB780">
        <v>18</v>
      </c>
      <c r="AC780">
        <v>1</v>
      </c>
      <c r="AD780">
        <v>5</v>
      </c>
      <c r="AE780" s="19" t="s">
        <v>60</v>
      </c>
    </row>
    <row r="781" spans="1:31" x14ac:dyDescent="0.2">
      <c r="A781">
        <v>734</v>
      </c>
      <c r="B781" s="19" t="s">
        <v>1179</v>
      </c>
      <c r="C781">
        <v>22</v>
      </c>
      <c r="D781" s="19" t="s">
        <v>381</v>
      </c>
      <c r="E781" s="19" t="s">
        <v>322</v>
      </c>
      <c r="F781">
        <v>13</v>
      </c>
      <c r="G781">
        <v>0</v>
      </c>
      <c r="H781">
        <v>1</v>
      </c>
      <c r="I781">
        <v>1</v>
      </c>
      <c r="J781">
        <v>-2</v>
      </c>
      <c r="K781">
        <v>4</v>
      </c>
      <c r="L781">
        <v>0</v>
      </c>
      <c r="M781">
        <v>0</v>
      </c>
      <c r="N781">
        <v>0</v>
      </c>
      <c r="O781">
        <v>0</v>
      </c>
      <c r="P781">
        <v>1</v>
      </c>
      <c r="Q781">
        <v>0</v>
      </c>
      <c r="R781">
        <v>0</v>
      </c>
      <c r="S781">
        <v>11</v>
      </c>
      <c r="T781">
        <v>0</v>
      </c>
      <c r="U781">
        <v>16</v>
      </c>
      <c r="V781" s="19" t="s">
        <v>1672</v>
      </c>
      <c r="W781" s="19" t="s">
        <v>1340</v>
      </c>
      <c r="X781">
        <v>23</v>
      </c>
      <c r="Y781">
        <v>37</v>
      </c>
      <c r="Z781">
        <v>38.299999999999997</v>
      </c>
      <c r="AA781">
        <v>10</v>
      </c>
      <c r="AB781">
        <v>2</v>
      </c>
      <c r="AC781">
        <v>2</v>
      </c>
      <c r="AD781">
        <v>1</v>
      </c>
      <c r="AE781" s="19" t="s">
        <v>60</v>
      </c>
    </row>
    <row r="782" spans="1:31" x14ac:dyDescent="0.2">
      <c r="A782">
        <v>735</v>
      </c>
      <c r="B782" s="19" t="s">
        <v>1318</v>
      </c>
      <c r="C782">
        <v>30</v>
      </c>
      <c r="D782" s="19" t="s">
        <v>447</v>
      </c>
      <c r="E782" s="19" t="s">
        <v>3</v>
      </c>
      <c r="F782">
        <v>20</v>
      </c>
      <c r="G782">
        <v>0</v>
      </c>
      <c r="H782">
        <v>1</v>
      </c>
      <c r="I782">
        <v>1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1</v>
      </c>
      <c r="R782">
        <v>0</v>
      </c>
      <c r="S782">
        <v>0</v>
      </c>
      <c r="U782">
        <v>0</v>
      </c>
      <c r="V782" s="19" t="s">
        <v>1905</v>
      </c>
      <c r="W782" s="19" t="s">
        <v>1906</v>
      </c>
      <c r="X782">
        <v>0</v>
      </c>
      <c r="Y782">
        <v>0</v>
      </c>
      <c r="AA782">
        <v>0</v>
      </c>
      <c r="AB782">
        <v>0</v>
      </c>
      <c r="AC782">
        <v>0</v>
      </c>
      <c r="AD782">
        <v>9</v>
      </c>
      <c r="AE782" s="19" t="s">
        <v>60</v>
      </c>
    </row>
    <row r="783" spans="1:31" x14ac:dyDescent="0.2">
      <c r="A783">
        <v>736</v>
      </c>
      <c r="B783" s="19" t="s">
        <v>1180</v>
      </c>
      <c r="C783">
        <v>25</v>
      </c>
      <c r="D783" s="19" t="s">
        <v>428</v>
      </c>
      <c r="E783" s="19" t="s">
        <v>3</v>
      </c>
      <c r="F783">
        <v>11</v>
      </c>
      <c r="G783">
        <v>0</v>
      </c>
      <c r="H783">
        <v>1</v>
      </c>
      <c r="I783">
        <v>1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1</v>
      </c>
      <c r="Q783">
        <v>0</v>
      </c>
      <c r="R783">
        <v>0</v>
      </c>
      <c r="S783">
        <v>0</v>
      </c>
      <c r="U783">
        <v>1</v>
      </c>
      <c r="V783" s="19" t="s">
        <v>1840</v>
      </c>
      <c r="W783" s="19" t="s">
        <v>2062</v>
      </c>
      <c r="X783">
        <v>0</v>
      </c>
      <c r="Y783">
        <v>0</v>
      </c>
      <c r="AA783">
        <v>0</v>
      </c>
      <c r="AB783">
        <v>0</v>
      </c>
      <c r="AC783">
        <v>0</v>
      </c>
      <c r="AD783">
        <v>11</v>
      </c>
      <c r="AE783" s="19" t="s">
        <v>60</v>
      </c>
    </row>
    <row r="784" spans="1:31" x14ac:dyDescent="0.2">
      <c r="A784">
        <v>737</v>
      </c>
      <c r="B784" s="19" t="s">
        <v>1182</v>
      </c>
      <c r="C784">
        <v>25</v>
      </c>
      <c r="D784" s="19" t="s">
        <v>346</v>
      </c>
      <c r="E784" s="19" t="s">
        <v>325</v>
      </c>
      <c r="F784">
        <v>11</v>
      </c>
      <c r="G784">
        <v>0</v>
      </c>
      <c r="H784">
        <v>1</v>
      </c>
      <c r="I784">
        <v>1</v>
      </c>
      <c r="J784">
        <v>-2</v>
      </c>
      <c r="K784">
        <v>4</v>
      </c>
      <c r="L784">
        <v>0</v>
      </c>
      <c r="M784">
        <v>0</v>
      </c>
      <c r="N784">
        <v>0</v>
      </c>
      <c r="O784">
        <v>0</v>
      </c>
      <c r="P784">
        <v>1</v>
      </c>
      <c r="Q784">
        <v>0</v>
      </c>
      <c r="R784">
        <v>0</v>
      </c>
      <c r="S784">
        <v>7</v>
      </c>
      <c r="T784">
        <v>0</v>
      </c>
      <c r="U784">
        <v>20</v>
      </c>
      <c r="V784" s="19" t="s">
        <v>1183</v>
      </c>
      <c r="W784" s="19" t="s">
        <v>1184</v>
      </c>
      <c r="X784">
        <v>29</v>
      </c>
      <c r="Y784">
        <v>36</v>
      </c>
      <c r="Z784">
        <v>44.6</v>
      </c>
      <c r="AA784">
        <v>11</v>
      </c>
      <c r="AB784">
        <v>20</v>
      </c>
      <c r="AC784">
        <v>2</v>
      </c>
      <c r="AD784">
        <v>1</v>
      </c>
      <c r="AE784" s="19" t="s">
        <v>60</v>
      </c>
    </row>
    <row r="785" spans="1:31" x14ac:dyDescent="0.2">
      <c r="A785">
        <v>738</v>
      </c>
      <c r="B785" s="19" t="s">
        <v>1186</v>
      </c>
      <c r="C785">
        <v>21</v>
      </c>
      <c r="D785" s="19" t="s">
        <v>352</v>
      </c>
      <c r="E785" s="19" t="s">
        <v>322</v>
      </c>
      <c r="F785">
        <v>6</v>
      </c>
      <c r="G785">
        <v>0</v>
      </c>
      <c r="H785">
        <v>1</v>
      </c>
      <c r="I785">
        <v>1</v>
      </c>
      <c r="J785">
        <v>0</v>
      </c>
      <c r="K785">
        <v>4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5</v>
      </c>
      <c r="T785">
        <v>0</v>
      </c>
      <c r="U785">
        <v>12</v>
      </c>
      <c r="V785" s="19" t="s">
        <v>1187</v>
      </c>
      <c r="W785" s="19" t="s">
        <v>1082</v>
      </c>
      <c r="X785">
        <v>8</v>
      </c>
      <c r="Y785">
        <v>13</v>
      </c>
      <c r="Z785">
        <v>38.1</v>
      </c>
      <c r="AA785">
        <v>5</v>
      </c>
      <c r="AB785">
        <v>15</v>
      </c>
      <c r="AC785">
        <v>0</v>
      </c>
      <c r="AD785">
        <v>5</v>
      </c>
      <c r="AE785" s="19" t="s">
        <v>60</v>
      </c>
    </row>
    <row r="786" spans="1:31" x14ac:dyDescent="0.2">
      <c r="A786">
        <v>739</v>
      </c>
      <c r="B786" s="19" t="s">
        <v>1188</v>
      </c>
      <c r="C786">
        <v>32</v>
      </c>
      <c r="D786" s="19" t="s">
        <v>371</v>
      </c>
      <c r="E786" s="19" t="s">
        <v>3</v>
      </c>
      <c r="F786">
        <v>32</v>
      </c>
      <c r="G786">
        <v>0</v>
      </c>
      <c r="H786">
        <v>1</v>
      </c>
      <c r="I786">
        <v>1</v>
      </c>
      <c r="J786">
        <v>0</v>
      </c>
      <c r="K786">
        <v>2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0</v>
      </c>
      <c r="U786">
        <v>0</v>
      </c>
      <c r="V786" s="19" t="s">
        <v>2924</v>
      </c>
      <c r="W786" s="19" t="s">
        <v>1925</v>
      </c>
      <c r="X786">
        <v>0</v>
      </c>
      <c r="Y786">
        <v>0</v>
      </c>
      <c r="AA786">
        <v>0</v>
      </c>
      <c r="AB786">
        <v>0</v>
      </c>
      <c r="AC786">
        <v>0</v>
      </c>
      <c r="AD786">
        <v>16</v>
      </c>
      <c r="AE786" s="19" t="s">
        <v>60</v>
      </c>
    </row>
    <row r="787" spans="1:31" x14ac:dyDescent="0.2">
      <c r="A787">
        <v>740</v>
      </c>
      <c r="B787" s="19" t="s">
        <v>1189</v>
      </c>
      <c r="C787">
        <v>26</v>
      </c>
      <c r="D787" s="19" t="s">
        <v>324</v>
      </c>
      <c r="E787" s="19" t="s">
        <v>325</v>
      </c>
      <c r="F787">
        <v>3</v>
      </c>
      <c r="G787">
        <v>0</v>
      </c>
      <c r="H787">
        <v>1</v>
      </c>
      <c r="I787">
        <v>1</v>
      </c>
      <c r="J787">
        <v>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2</v>
      </c>
      <c r="T787">
        <v>0</v>
      </c>
      <c r="U787">
        <v>5</v>
      </c>
      <c r="V787" s="19" t="s">
        <v>1190</v>
      </c>
      <c r="W787" s="19" t="s">
        <v>1191</v>
      </c>
      <c r="X787">
        <v>9</v>
      </c>
      <c r="Y787">
        <v>6</v>
      </c>
      <c r="Z787">
        <v>60</v>
      </c>
      <c r="AA787">
        <v>2</v>
      </c>
      <c r="AB787">
        <v>3</v>
      </c>
      <c r="AC787">
        <v>0</v>
      </c>
      <c r="AD787">
        <v>1</v>
      </c>
      <c r="AE787" s="19" t="s">
        <v>60</v>
      </c>
    </row>
    <row r="788" spans="1:31" x14ac:dyDescent="0.2">
      <c r="A788">
        <v>741</v>
      </c>
      <c r="B788" s="19" t="s">
        <v>1192</v>
      </c>
      <c r="C788">
        <v>30</v>
      </c>
      <c r="D788" s="19" t="s">
        <v>376</v>
      </c>
      <c r="E788" s="19" t="s">
        <v>349</v>
      </c>
      <c r="F788">
        <v>19</v>
      </c>
      <c r="G788">
        <v>1</v>
      </c>
      <c r="H788">
        <v>0</v>
      </c>
      <c r="I788">
        <v>1</v>
      </c>
      <c r="J788">
        <v>-2</v>
      </c>
      <c r="K788">
        <v>8</v>
      </c>
      <c r="L788">
        <v>1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19</v>
      </c>
      <c r="T788">
        <v>5.3</v>
      </c>
      <c r="U788">
        <v>63</v>
      </c>
      <c r="V788" s="19" t="s">
        <v>2250</v>
      </c>
      <c r="W788" s="19" t="s">
        <v>1620</v>
      </c>
      <c r="X788">
        <v>0</v>
      </c>
      <c r="Y788">
        <v>0</v>
      </c>
      <c r="AA788">
        <v>35</v>
      </c>
      <c r="AB788">
        <v>15</v>
      </c>
      <c r="AC788">
        <v>5</v>
      </c>
      <c r="AD788">
        <v>14</v>
      </c>
      <c r="AE788" s="19" t="s">
        <v>60</v>
      </c>
    </row>
    <row r="789" spans="1:31" x14ac:dyDescent="0.2">
      <c r="A789">
        <v>742</v>
      </c>
      <c r="B789" s="19" t="s">
        <v>1713</v>
      </c>
      <c r="C789">
        <v>24</v>
      </c>
      <c r="D789" s="19" t="s">
        <v>352</v>
      </c>
      <c r="E789" s="19" t="s">
        <v>335</v>
      </c>
      <c r="F789">
        <v>1</v>
      </c>
      <c r="G789">
        <v>0</v>
      </c>
      <c r="H789">
        <v>1</v>
      </c>
      <c r="I789">
        <v>1</v>
      </c>
      <c r="J789">
        <v>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1</v>
      </c>
      <c r="Q789">
        <v>0</v>
      </c>
      <c r="R789">
        <v>0</v>
      </c>
      <c r="S789">
        <v>1</v>
      </c>
      <c r="T789">
        <v>0</v>
      </c>
      <c r="U789">
        <v>1</v>
      </c>
      <c r="V789" s="19" t="s">
        <v>1625</v>
      </c>
      <c r="W789" s="19" t="s">
        <v>1625</v>
      </c>
      <c r="X789">
        <v>0</v>
      </c>
      <c r="Y789">
        <v>0</v>
      </c>
      <c r="AA789">
        <v>1</v>
      </c>
      <c r="AB789">
        <v>0</v>
      </c>
      <c r="AC789">
        <v>0</v>
      </c>
      <c r="AD789">
        <v>1</v>
      </c>
      <c r="AE789" s="19" t="s">
        <v>60</v>
      </c>
    </row>
    <row r="790" spans="1:31" x14ac:dyDescent="0.2">
      <c r="A790">
        <v>743</v>
      </c>
      <c r="B790" s="19" t="s">
        <v>1349</v>
      </c>
      <c r="C790">
        <v>34</v>
      </c>
      <c r="D790" s="19" t="s">
        <v>530</v>
      </c>
      <c r="E790" s="19" t="s">
        <v>3</v>
      </c>
      <c r="F790">
        <v>20</v>
      </c>
      <c r="G790">
        <v>0</v>
      </c>
      <c r="H790">
        <v>1</v>
      </c>
      <c r="I790">
        <v>1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1</v>
      </c>
      <c r="Q790">
        <v>0</v>
      </c>
      <c r="R790">
        <v>0</v>
      </c>
      <c r="S790">
        <v>0</v>
      </c>
      <c r="U790">
        <v>0</v>
      </c>
      <c r="V790" s="19" t="s">
        <v>2567</v>
      </c>
      <c r="W790" s="19" t="s">
        <v>1714</v>
      </c>
      <c r="X790">
        <v>0</v>
      </c>
      <c r="Y790">
        <v>0</v>
      </c>
      <c r="AA790">
        <v>0</v>
      </c>
      <c r="AB790">
        <v>0</v>
      </c>
      <c r="AC790">
        <v>0</v>
      </c>
      <c r="AD790">
        <v>9</v>
      </c>
      <c r="AE790" s="19" t="s">
        <v>60</v>
      </c>
    </row>
    <row r="791" spans="1:31" x14ac:dyDescent="0.2">
      <c r="A791">
        <v>744</v>
      </c>
      <c r="B791" s="19" t="s">
        <v>1353</v>
      </c>
      <c r="C791">
        <v>27</v>
      </c>
      <c r="D791" s="19" t="s">
        <v>357</v>
      </c>
      <c r="E791" s="19" t="s">
        <v>3</v>
      </c>
      <c r="F791">
        <v>33</v>
      </c>
      <c r="G791">
        <v>0</v>
      </c>
      <c r="H791">
        <v>1</v>
      </c>
      <c r="I791">
        <v>1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1</v>
      </c>
      <c r="R791">
        <v>0</v>
      </c>
      <c r="S791">
        <v>0</v>
      </c>
      <c r="U791">
        <v>0</v>
      </c>
      <c r="V791" s="19" t="s">
        <v>2925</v>
      </c>
      <c r="W791" s="19" t="s">
        <v>1818</v>
      </c>
      <c r="X791">
        <v>0</v>
      </c>
      <c r="Y791">
        <v>0</v>
      </c>
      <c r="AA791">
        <v>0</v>
      </c>
      <c r="AB791">
        <v>0</v>
      </c>
      <c r="AC791">
        <v>0</v>
      </c>
      <c r="AD791">
        <v>18</v>
      </c>
      <c r="AE791" s="19" t="s">
        <v>60</v>
      </c>
    </row>
    <row r="792" spans="1:31" x14ac:dyDescent="0.2">
      <c r="A792">
        <v>745</v>
      </c>
      <c r="B792" s="19" t="s">
        <v>1196</v>
      </c>
      <c r="C792">
        <v>27</v>
      </c>
      <c r="D792" s="19" t="s">
        <v>399</v>
      </c>
      <c r="E792" s="19" t="s">
        <v>325</v>
      </c>
      <c r="F792">
        <v>9</v>
      </c>
      <c r="G792">
        <v>1</v>
      </c>
      <c r="H792">
        <v>0</v>
      </c>
      <c r="I792">
        <v>1</v>
      </c>
      <c r="J792">
        <v>-1</v>
      </c>
      <c r="K792">
        <v>5</v>
      </c>
      <c r="L792">
        <v>1</v>
      </c>
      <c r="M792">
        <v>0</v>
      </c>
      <c r="N792">
        <v>0</v>
      </c>
      <c r="O792">
        <v>1</v>
      </c>
      <c r="P792">
        <v>0</v>
      </c>
      <c r="Q792">
        <v>0</v>
      </c>
      <c r="R792">
        <v>0</v>
      </c>
      <c r="S792">
        <v>4</v>
      </c>
      <c r="T792">
        <v>25</v>
      </c>
      <c r="U792">
        <v>11</v>
      </c>
      <c r="V792" s="19" t="s">
        <v>1197</v>
      </c>
      <c r="W792" s="19" t="s">
        <v>1198</v>
      </c>
      <c r="X792">
        <v>0</v>
      </c>
      <c r="Y792">
        <v>0</v>
      </c>
      <c r="AA792">
        <v>2</v>
      </c>
      <c r="AB792">
        <v>18</v>
      </c>
      <c r="AC792">
        <v>2</v>
      </c>
      <c r="AD792">
        <v>2</v>
      </c>
      <c r="AE792" s="19" t="s">
        <v>60</v>
      </c>
    </row>
    <row r="793" spans="1:31" x14ac:dyDescent="0.2">
      <c r="A793">
        <v>746</v>
      </c>
      <c r="B793" s="19" t="s">
        <v>1594</v>
      </c>
      <c r="C793">
        <v>24</v>
      </c>
      <c r="D793" s="19" t="s">
        <v>328</v>
      </c>
      <c r="E793" s="19" t="s">
        <v>325</v>
      </c>
      <c r="F793">
        <v>4</v>
      </c>
      <c r="G793">
        <v>1</v>
      </c>
      <c r="H793">
        <v>0</v>
      </c>
      <c r="I793">
        <v>1</v>
      </c>
      <c r="J793">
        <v>-1</v>
      </c>
      <c r="K793">
        <v>0</v>
      </c>
      <c r="L793">
        <v>1</v>
      </c>
      <c r="M793">
        <v>0</v>
      </c>
      <c r="N793">
        <v>0</v>
      </c>
      <c r="O793">
        <v>1</v>
      </c>
      <c r="P793">
        <v>0</v>
      </c>
      <c r="Q793">
        <v>0</v>
      </c>
      <c r="R793">
        <v>0</v>
      </c>
      <c r="S793">
        <v>3</v>
      </c>
      <c r="T793">
        <v>33.299999999999997</v>
      </c>
      <c r="U793">
        <v>6</v>
      </c>
      <c r="V793" s="19" t="s">
        <v>1817</v>
      </c>
      <c r="W793" s="19" t="s">
        <v>1766</v>
      </c>
      <c r="X793">
        <v>0</v>
      </c>
      <c r="Y793">
        <v>1</v>
      </c>
      <c r="Z793">
        <v>0</v>
      </c>
      <c r="AA793">
        <v>1</v>
      </c>
      <c r="AB793">
        <v>0</v>
      </c>
      <c r="AC793">
        <v>0</v>
      </c>
      <c r="AD793">
        <v>3</v>
      </c>
      <c r="AE793" s="19" t="s">
        <v>60</v>
      </c>
    </row>
    <row r="794" spans="1:31" x14ac:dyDescent="0.2">
      <c r="A794">
        <v>747</v>
      </c>
      <c r="B794" s="19" t="s">
        <v>1665</v>
      </c>
      <c r="C794">
        <v>28</v>
      </c>
      <c r="D794" s="19" t="s">
        <v>328</v>
      </c>
      <c r="E794" s="19" t="s">
        <v>3</v>
      </c>
      <c r="F794">
        <v>10</v>
      </c>
      <c r="G794">
        <v>0</v>
      </c>
      <c r="H794">
        <v>1</v>
      </c>
      <c r="I794">
        <v>1</v>
      </c>
      <c r="J794">
        <v>0</v>
      </c>
      <c r="K794">
        <v>2</v>
      </c>
      <c r="L794">
        <v>0</v>
      </c>
      <c r="M794">
        <v>0</v>
      </c>
      <c r="N794">
        <v>0</v>
      </c>
      <c r="O794">
        <v>0</v>
      </c>
      <c r="P794">
        <v>1</v>
      </c>
      <c r="Q794">
        <v>0</v>
      </c>
      <c r="R794">
        <v>0</v>
      </c>
      <c r="S794">
        <v>0</v>
      </c>
      <c r="U794">
        <v>0</v>
      </c>
      <c r="V794" s="19" t="s">
        <v>2926</v>
      </c>
      <c r="W794" s="19" t="s">
        <v>1904</v>
      </c>
      <c r="X794">
        <v>0</v>
      </c>
      <c r="Y794">
        <v>0</v>
      </c>
      <c r="AA794">
        <v>0</v>
      </c>
      <c r="AB794">
        <v>0</v>
      </c>
      <c r="AC794">
        <v>0</v>
      </c>
      <c r="AD794">
        <v>2</v>
      </c>
      <c r="AE794" s="19" t="s">
        <v>60</v>
      </c>
    </row>
    <row r="795" spans="1:31" x14ac:dyDescent="0.2">
      <c r="A795">
        <v>748</v>
      </c>
      <c r="B795" s="19" t="s">
        <v>1202</v>
      </c>
      <c r="C795">
        <v>23</v>
      </c>
      <c r="D795" s="19" t="s">
        <v>321</v>
      </c>
      <c r="E795" s="19" t="s">
        <v>325</v>
      </c>
      <c r="F795">
        <v>7</v>
      </c>
      <c r="G795">
        <v>0</v>
      </c>
      <c r="H795">
        <v>1</v>
      </c>
      <c r="I795">
        <v>1</v>
      </c>
      <c r="J795">
        <v>2</v>
      </c>
      <c r="K795">
        <v>2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4</v>
      </c>
      <c r="T795">
        <v>0</v>
      </c>
      <c r="U795">
        <v>6</v>
      </c>
      <c r="V795" s="19" t="s">
        <v>2193</v>
      </c>
      <c r="W795" s="19" t="s">
        <v>2194</v>
      </c>
      <c r="X795">
        <v>6</v>
      </c>
      <c r="Y795">
        <v>9</v>
      </c>
      <c r="Z795">
        <v>40</v>
      </c>
      <c r="AA795">
        <v>1</v>
      </c>
      <c r="AB795">
        <v>2</v>
      </c>
      <c r="AC795">
        <v>0</v>
      </c>
      <c r="AD795">
        <v>3</v>
      </c>
      <c r="AE795" s="19" t="s">
        <v>60</v>
      </c>
    </row>
    <row r="796" spans="1:31" x14ac:dyDescent="0.2">
      <c r="A796">
        <v>749</v>
      </c>
      <c r="B796" s="19" t="s">
        <v>1203</v>
      </c>
      <c r="C796">
        <v>28</v>
      </c>
      <c r="D796" s="19" t="s">
        <v>376</v>
      </c>
      <c r="E796" s="19" t="s">
        <v>349</v>
      </c>
      <c r="F796">
        <v>7</v>
      </c>
      <c r="G796">
        <v>0</v>
      </c>
      <c r="H796">
        <v>1</v>
      </c>
      <c r="I796">
        <v>1</v>
      </c>
      <c r="J796">
        <v>1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5</v>
      </c>
      <c r="T796">
        <v>0</v>
      </c>
      <c r="U796">
        <v>17</v>
      </c>
      <c r="V796" s="19" t="s">
        <v>1204</v>
      </c>
      <c r="W796" s="19" t="s">
        <v>1205</v>
      </c>
      <c r="X796">
        <v>0</v>
      </c>
      <c r="Y796">
        <v>0</v>
      </c>
      <c r="AA796">
        <v>15</v>
      </c>
      <c r="AB796">
        <v>10</v>
      </c>
      <c r="AC796">
        <v>1</v>
      </c>
      <c r="AD796">
        <v>4</v>
      </c>
      <c r="AE796" s="19" t="s">
        <v>60</v>
      </c>
    </row>
    <row r="797" spans="1:31" x14ac:dyDescent="0.2">
      <c r="A797">
        <v>750</v>
      </c>
      <c r="B797" s="19" t="s">
        <v>1207</v>
      </c>
      <c r="C797">
        <v>24</v>
      </c>
      <c r="D797" s="19" t="s">
        <v>416</v>
      </c>
      <c r="E797" s="19" t="s">
        <v>335</v>
      </c>
      <c r="F797">
        <v>2</v>
      </c>
      <c r="G797">
        <v>0</v>
      </c>
      <c r="H797">
        <v>1</v>
      </c>
      <c r="I797">
        <v>1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1</v>
      </c>
      <c r="R797">
        <v>0</v>
      </c>
      <c r="S797">
        <v>4</v>
      </c>
      <c r="T797">
        <v>0</v>
      </c>
      <c r="U797">
        <v>8</v>
      </c>
      <c r="V797" s="19" t="s">
        <v>848</v>
      </c>
      <c r="W797" s="19" t="s">
        <v>812</v>
      </c>
      <c r="X797">
        <v>0</v>
      </c>
      <c r="Y797">
        <v>0</v>
      </c>
      <c r="AA797">
        <v>0</v>
      </c>
      <c r="AB797">
        <v>0</v>
      </c>
      <c r="AC797">
        <v>0</v>
      </c>
      <c r="AD797">
        <v>2</v>
      </c>
      <c r="AE797" s="19" t="s">
        <v>60</v>
      </c>
    </row>
    <row r="798" spans="1:31" x14ac:dyDescent="0.2">
      <c r="A798">
        <v>751</v>
      </c>
      <c r="B798" s="19" t="s">
        <v>1611</v>
      </c>
      <c r="C798">
        <v>31</v>
      </c>
      <c r="D798" s="19" t="s">
        <v>405</v>
      </c>
      <c r="E798" s="19" t="s">
        <v>322</v>
      </c>
      <c r="F798">
        <v>9</v>
      </c>
      <c r="G798">
        <v>1</v>
      </c>
      <c r="H798">
        <v>0</v>
      </c>
      <c r="I798">
        <v>1</v>
      </c>
      <c r="J798">
        <v>-2</v>
      </c>
      <c r="K798">
        <v>8</v>
      </c>
      <c r="L798">
        <v>1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11</v>
      </c>
      <c r="T798">
        <v>9.1</v>
      </c>
      <c r="U798">
        <v>15</v>
      </c>
      <c r="V798" s="19" t="s">
        <v>1893</v>
      </c>
      <c r="W798" s="19" t="s">
        <v>1687</v>
      </c>
      <c r="X798">
        <v>18</v>
      </c>
      <c r="Y798">
        <v>24</v>
      </c>
      <c r="Z798">
        <v>42.9</v>
      </c>
      <c r="AA798">
        <v>8</v>
      </c>
      <c r="AB798">
        <v>3</v>
      </c>
      <c r="AC798">
        <v>1</v>
      </c>
      <c r="AD798">
        <v>4</v>
      </c>
      <c r="AE798" s="19" t="s">
        <v>60</v>
      </c>
    </row>
    <row r="799" spans="1:31" x14ac:dyDescent="0.2">
      <c r="A799">
        <v>752</v>
      </c>
      <c r="B799" s="19" t="s">
        <v>1391</v>
      </c>
      <c r="C799">
        <v>26</v>
      </c>
      <c r="D799" s="19" t="s">
        <v>428</v>
      </c>
      <c r="E799" s="19" t="s">
        <v>349</v>
      </c>
      <c r="F799">
        <v>19</v>
      </c>
      <c r="G799">
        <v>0</v>
      </c>
      <c r="H799">
        <v>1</v>
      </c>
      <c r="I799">
        <v>1</v>
      </c>
      <c r="J799">
        <v>-1</v>
      </c>
      <c r="K799">
        <v>23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26</v>
      </c>
      <c r="T799">
        <v>0</v>
      </c>
      <c r="U799">
        <v>63</v>
      </c>
      <c r="V799" s="19" t="s">
        <v>2927</v>
      </c>
      <c r="W799" s="19" t="s">
        <v>1103</v>
      </c>
      <c r="X799">
        <v>0</v>
      </c>
      <c r="Y799">
        <v>0</v>
      </c>
      <c r="AA799">
        <v>27</v>
      </c>
      <c r="AB799">
        <v>16</v>
      </c>
      <c r="AC799">
        <v>4</v>
      </c>
      <c r="AD799">
        <v>24</v>
      </c>
      <c r="AE799" s="19" t="s">
        <v>60</v>
      </c>
    </row>
    <row r="800" spans="1:31" x14ac:dyDescent="0.2">
      <c r="A800">
        <v>753</v>
      </c>
      <c r="B800" s="19" t="s">
        <v>1572</v>
      </c>
      <c r="C800">
        <v>27</v>
      </c>
      <c r="D800" s="19" t="s">
        <v>357</v>
      </c>
      <c r="E800" s="19" t="s">
        <v>349</v>
      </c>
      <c r="F800">
        <v>4</v>
      </c>
      <c r="G800">
        <v>0</v>
      </c>
      <c r="H800">
        <v>1</v>
      </c>
      <c r="I800">
        <v>1</v>
      </c>
      <c r="J800">
        <v>-1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1</v>
      </c>
      <c r="S800">
        <v>4</v>
      </c>
      <c r="T800">
        <v>0</v>
      </c>
      <c r="U800">
        <v>5</v>
      </c>
      <c r="V800" s="19" t="s">
        <v>1851</v>
      </c>
      <c r="W800" s="19" t="s">
        <v>1738</v>
      </c>
      <c r="X800">
        <v>0</v>
      </c>
      <c r="Y800">
        <v>0</v>
      </c>
      <c r="AA800">
        <v>5</v>
      </c>
      <c r="AB800">
        <v>0</v>
      </c>
      <c r="AC800">
        <v>0</v>
      </c>
      <c r="AD800">
        <v>5</v>
      </c>
      <c r="AE800" s="19" t="s">
        <v>60</v>
      </c>
    </row>
    <row r="801" spans="1:31" x14ac:dyDescent="0.2">
      <c r="A801">
        <v>754</v>
      </c>
      <c r="B801" s="19" t="s">
        <v>1209</v>
      </c>
      <c r="C801">
        <v>24</v>
      </c>
      <c r="D801" s="19" t="s">
        <v>330</v>
      </c>
      <c r="E801" s="19" t="s">
        <v>3</v>
      </c>
      <c r="F801">
        <v>34</v>
      </c>
      <c r="G801">
        <v>0</v>
      </c>
      <c r="H801">
        <v>1</v>
      </c>
      <c r="I801">
        <v>1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1</v>
      </c>
      <c r="Q801">
        <v>0</v>
      </c>
      <c r="R801">
        <v>0</v>
      </c>
      <c r="S801">
        <v>0</v>
      </c>
      <c r="U801">
        <v>0</v>
      </c>
      <c r="V801" s="19" t="s">
        <v>2308</v>
      </c>
      <c r="W801" s="19" t="s">
        <v>2006</v>
      </c>
      <c r="X801">
        <v>0</v>
      </c>
      <c r="Y801">
        <v>0</v>
      </c>
      <c r="AA801">
        <v>0</v>
      </c>
      <c r="AB801">
        <v>0</v>
      </c>
      <c r="AC801">
        <v>0</v>
      </c>
      <c r="AD801">
        <v>24</v>
      </c>
      <c r="AE801" s="19" t="s">
        <v>60</v>
      </c>
    </row>
    <row r="802" spans="1:31" x14ac:dyDescent="0.2">
      <c r="A802">
        <v>755</v>
      </c>
      <c r="B802" s="19" t="s">
        <v>1210</v>
      </c>
      <c r="C802">
        <v>27</v>
      </c>
      <c r="D802" s="19" t="s">
        <v>376</v>
      </c>
      <c r="E802" s="19" t="s">
        <v>340</v>
      </c>
      <c r="F802">
        <v>10</v>
      </c>
      <c r="G802">
        <v>0</v>
      </c>
      <c r="H802">
        <v>1</v>
      </c>
      <c r="I802">
        <v>1</v>
      </c>
      <c r="J802">
        <v>-1</v>
      </c>
      <c r="K802">
        <v>2</v>
      </c>
      <c r="L802">
        <v>0</v>
      </c>
      <c r="M802">
        <v>0</v>
      </c>
      <c r="N802">
        <v>0</v>
      </c>
      <c r="O802">
        <v>0</v>
      </c>
      <c r="P802">
        <v>1</v>
      </c>
      <c r="Q802">
        <v>0</v>
      </c>
      <c r="R802">
        <v>0</v>
      </c>
      <c r="S802">
        <v>6</v>
      </c>
      <c r="T802">
        <v>0</v>
      </c>
      <c r="U802">
        <v>16</v>
      </c>
      <c r="V802" s="19" t="s">
        <v>1211</v>
      </c>
      <c r="W802" s="19" t="s">
        <v>1212</v>
      </c>
      <c r="X802">
        <v>12</v>
      </c>
      <c r="Y802">
        <v>13</v>
      </c>
      <c r="Z802">
        <v>48</v>
      </c>
      <c r="AA802">
        <v>4</v>
      </c>
      <c r="AB802">
        <v>9</v>
      </c>
      <c r="AC802">
        <v>2</v>
      </c>
      <c r="AD802">
        <v>4</v>
      </c>
      <c r="AE802" s="19" t="s">
        <v>60</v>
      </c>
    </row>
    <row r="803" spans="1:31" x14ac:dyDescent="0.2">
      <c r="A803">
        <v>756</v>
      </c>
      <c r="B803" s="19" t="s">
        <v>1895</v>
      </c>
      <c r="C803">
        <v>21</v>
      </c>
      <c r="D803" s="19" t="s">
        <v>330</v>
      </c>
      <c r="E803" s="19" t="s">
        <v>349</v>
      </c>
      <c r="F803">
        <v>2</v>
      </c>
      <c r="G803">
        <v>0</v>
      </c>
      <c r="H803">
        <v>1</v>
      </c>
      <c r="I803">
        <v>1</v>
      </c>
      <c r="J803">
        <v>-2</v>
      </c>
      <c r="K803">
        <v>2</v>
      </c>
      <c r="L803">
        <v>0</v>
      </c>
      <c r="M803">
        <v>0</v>
      </c>
      <c r="N803">
        <v>0</v>
      </c>
      <c r="O803">
        <v>0</v>
      </c>
      <c r="P803">
        <v>1</v>
      </c>
      <c r="Q803">
        <v>0</v>
      </c>
      <c r="R803">
        <v>0</v>
      </c>
      <c r="S803">
        <v>2</v>
      </c>
      <c r="T803">
        <v>0</v>
      </c>
      <c r="U803">
        <v>3</v>
      </c>
      <c r="V803" s="19" t="s">
        <v>1907</v>
      </c>
      <c r="W803" s="19" t="s">
        <v>1764</v>
      </c>
      <c r="X803">
        <v>0</v>
      </c>
      <c r="Y803">
        <v>0</v>
      </c>
      <c r="AA803">
        <v>2</v>
      </c>
      <c r="AB803">
        <v>0</v>
      </c>
      <c r="AC803">
        <v>1</v>
      </c>
      <c r="AD803">
        <v>2</v>
      </c>
      <c r="AE803" s="19" t="s">
        <v>60</v>
      </c>
    </row>
    <row r="804" spans="1:31" x14ac:dyDescent="0.2">
      <c r="A804">
        <v>757</v>
      </c>
      <c r="B804" s="19" t="s">
        <v>1214</v>
      </c>
      <c r="C804">
        <v>27</v>
      </c>
      <c r="D804" s="19" t="s">
        <v>363</v>
      </c>
      <c r="E804" s="19" t="s">
        <v>335</v>
      </c>
      <c r="F804">
        <v>5</v>
      </c>
      <c r="G804">
        <v>0</v>
      </c>
      <c r="H804">
        <v>1</v>
      </c>
      <c r="I804">
        <v>1</v>
      </c>
      <c r="J804">
        <v>-3</v>
      </c>
      <c r="K804">
        <v>2</v>
      </c>
      <c r="L804">
        <v>0</v>
      </c>
      <c r="M804">
        <v>0</v>
      </c>
      <c r="N804">
        <v>0</v>
      </c>
      <c r="O804">
        <v>0</v>
      </c>
      <c r="P804">
        <v>1</v>
      </c>
      <c r="Q804">
        <v>0</v>
      </c>
      <c r="R804">
        <v>0</v>
      </c>
      <c r="S804">
        <v>6</v>
      </c>
      <c r="T804">
        <v>0</v>
      </c>
      <c r="U804">
        <v>20</v>
      </c>
      <c r="V804" s="19" t="s">
        <v>1215</v>
      </c>
      <c r="W804" s="19" t="s">
        <v>869</v>
      </c>
      <c r="X804">
        <v>2</v>
      </c>
      <c r="Y804">
        <v>1</v>
      </c>
      <c r="Z804">
        <v>66.7</v>
      </c>
      <c r="AA804">
        <v>0</v>
      </c>
      <c r="AB804">
        <v>2</v>
      </c>
      <c r="AC804">
        <v>0</v>
      </c>
      <c r="AD804">
        <v>2</v>
      </c>
      <c r="AE804" s="19" t="s">
        <v>60</v>
      </c>
    </row>
    <row r="805" spans="1:31" x14ac:dyDescent="0.2">
      <c r="A805">
        <v>758</v>
      </c>
      <c r="B805" s="19" t="s">
        <v>1216</v>
      </c>
      <c r="C805">
        <v>22</v>
      </c>
      <c r="D805" s="19" t="s">
        <v>346</v>
      </c>
      <c r="E805" s="19" t="s">
        <v>322</v>
      </c>
      <c r="F805">
        <v>4</v>
      </c>
      <c r="G805">
        <v>1</v>
      </c>
      <c r="H805">
        <v>0</v>
      </c>
      <c r="I805">
        <v>1</v>
      </c>
      <c r="J805">
        <v>-1</v>
      </c>
      <c r="K805">
        <v>2</v>
      </c>
      <c r="L805">
        <v>1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3</v>
      </c>
      <c r="T805">
        <v>33.299999999999997</v>
      </c>
      <c r="U805">
        <v>6</v>
      </c>
      <c r="V805" s="19" t="s">
        <v>1217</v>
      </c>
      <c r="W805" s="19" t="s">
        <v>1106</v>
      </c>
      <c r="X805">
        <v>0</v>
      </c>
      <c r="Y805">
        <v>1</v>
      </c>
      <c r="Z805">
        <v>0</v>
      </c>
      <c r="AA805">
        <v>1</v>
      </c>
      <c r="AB805">
        <v>3</v>
      </c>
      <c r="AC805">
        <v>0</v>
      </c>
      <c r="AD805">
        <v>3</v>
      </c>
      <c r="AE805" s="19" t="s">
        <v>60</v>
      </c>
    </row>
    <row r="806" spans="1:31" x14ac:dyDescent="0.2">
      <c r="A806">
        <v>759</v>
      </c>
      <c r="B806" s="19" t="s">
        <v>1218</v>
      </c>
      <c r="C806">
        <v>22</v>
      </c>
      <c r="D806" s="19" t="s">
        <v>405</v>
      </c>
      <c r="E806" s="19" t="s">
        <v>349</v>
      </c>
      <c r="F806">
        <v>5</v>
      </c>
      <c r="G806">
        <v>0</v>
      </c>
      <c r="H806">
        <v>1</v>
      </c>
      <c r="I806">
        <v>1</v>
      </c>
      <c r="J806">
        <v>4</v>
      </c>
      <c r="K806">
        <v>2</v>
      </c>
      <c r="L806">
        <v>0</v>
      </c>
      <c r="M806">
        <v>0</v>
      </c>
      <c r="N806">
        <v>0</v>
      </c>
      <c r="O806">
        <v>0</v>
      </c>
      <c r="P806">
        <v>1</v>
      </c>
      <c r="Q806">
        <v>0</v>
      </c>
      <c r="R806">
        <v>0</v>
      </c>
      <c r="S806">
        <v>4</v>
      </c>
      <c r="T806">
        <v>0</v>
      </c>
      <c r="U806">
        <v>10</v>
      </c>
      <c r="V806" s="19" t="s">
        <v>1528</v>
      </c>
      <c r="W806" s="19" t="s">
        <v>1498</v>
      </c>
      <c r="X806">
        <v>0</v>
      </c>
      <c r="Y806">
        <v>0</v>
      </c>
      <c r="AA806">
        <v>9</v>
      </c>
      <c r="AB806">
        <v>11</v>
      </c>
      <c r="AC806">
        <v>2</v>
      </c>
      <c r="AD806">
        <v>4</v>
      </c>
      <c r="AE806" s="19" t="s">
        <v>60</v>
      </c>
    </row>
    <row r="807" spans="1:31" x14ac:dyDescent="0.2">
      <c r="A807">
        <v>760</v>
      </c>
      <c r="B807" s="19" t="s">
        <v>1219</v>
      </c>
      <c r="C807">
        <v>30</v>
      </c>
      <c r="D807" s="19" t="s">
        <v>447</v>
      </c>
      <c r="E807" s="19" t="s">
        <v>3</v>
      </c>
      <c r="F807">
        <v>27</v>
      </c>
      <c r="G807">
        <v>0</v>
      </c>
      <c r="H807">
        <v>1</v>
      </c>
      <c r="I807">
        <v>1</v>
      </c>
      <c r="J807">
        <v>0</v>
      </c>
      <c r="K807">
        <v>2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1</v>
      </c>
      <c r="R807">
        <v>0</v>
      </c>
      <c r="S807">
        <v>0</v>
      </c>
      <c r="U807">
        <v>0</v>
      </c>
      <c r="V807" s="19" t="s">
        <v>2568</v>
      </c>
      <c r="W807" s="19" t="s">
        <v>2569</v>
      </c>
      <c r="X807">
        <v>0</v>
      </c>
      <c r="Y807">
        <v>0</v>
      </c>
      <c r="AA807">
        <v>0</v>
      </c>
      <c r="AB807">
        <v>0</v>
      </c>
      <c r="AC807">
        <v>0</v>
      </c>
      <c r="AD807">
        <v>6</v>
      </c>
      <c r="AE807" s="19" t="s">
        <v>60</v>
      </c>
    </row>
    <row r="808" spans="1:31" x14ac:dyDescent="0.2">
      <c r="A808">
        <v>761</v>
      </c>
      <c r="B808" s="19" t="s">
        <v>1220</v>
      </c>
      <c r="C808">
        <v>32</v>
      </c>
      <c r="D808" s="19" t="s">
        <v>366</v>
      </c>
      <c r="E808" s="19" t="s">
        <v>3</v>
      </c>
      <c r="F808">
        <v>17</v>
      </c>
      <c r="G808">
        <v>0</v>
      </c>
      <c r="H808">
        <v>1</v>
      </c>
      <c r="I808">
        <v>1</v>
      </c>
      <c r="J808">
        <v>0</v>
      </c>
      <c r="K808">
        <v>6</v>
      </c>
      <c r="L808">
        <v>0</v>
      </c>
      <c r="M808">
        <v>0</v>
      </c>
      <c r="N808">
        <v>0</v>
      </c>
      <c r="O808">
        <v>0</v>
      </c>
      <c r="P808">
        <v>1</v>
      </c>
      <c r="Q808">
        <v>0</v>
      </c>
      <c r="R808">
        <v>0</v>
      </c>
      <c r="S808">
        <v>1</v>
      </c>
      <c r="T808">
        <v>0</v>
      </c>
      <c r="U808">
        <v>1</v>
      </c>
      <c r="V808" s="19" t="s">
        <v>2928</v>
      </c>
      <c r="W808" s="19" t="s">
        <v>2920</v>
      </c>
      <c r="X808">
        <v>0</v>
      </c>
      <c r="Y808">
        <v>0</v>
      </c>
      <c r="AA808">
        <v>0</v>
      </c>
      <c r="AB808">
        <v>0</v>
      </c>
      <c r="AC808">
        <v>0</v>
      </c>
      <c r="AD808">
        <v>13</v>
      </c>
      <c r="AE808" s="19" t="s">
        <v>60</v>
      </c>
    </row>
    <row r="809" spans="1:31" x14ac:dyDescent="0.2">
      <c r="A809">
        <v>762</v>
      </c>
      <c r="B809" s="19" t="s">
        <v>1409</v>
      </c>
      <c r="C809">
        <v>28</v>
      </c>
      <c r="D809" s="19" t="s">
        <v>513</v>
      </c>
      <c r="E809" s="19" t="s">
        <v>335</v>
      </c>
      <c r="F809">
        <v>5</v>
      </c>
      <c r="G809">
        <v>1</v>
      </c>
      <c r="H809">
        <v>0</v>
      </c>
      <c r="I809">
        <v>1</v>
      </c>
      <c r="J809">
        <v>-2</v>
      </c>
      <c r="K809">
        <v>0</v>
      </c>
      <c r="L809">
        <v>1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5</v>
      </c>
      <c r="T809">
        <v>20</v>
      </c>
      <c r="U809">
        <v>7</v>
      </c>
      <c r="V809" s="19" t="s">
        <v>1604</v>
      </c>
      <c r="W809" s="19" t="s">
        <v>1499</v>
      </c>
      <c r="X809">
        <v>0</v>
      </c>
      <c r="Y809">
        <v>0</v>
      </c>
      <c r="AA809">
        <v>4</v>
      </c>
      <c r="AB809">
        <v>8</v>
      </c>
      <c r="AC809">
        <v>2</v>
      </c>
      <c r="AD809">
        <v>0</v>
      </c>
      <c r="AE809" s="19" t="s">
        <v>60</v>
      </c>
    </row>
    <row r="810" spans="1:31" x14ac:dyDescent="0.2">
      <c r="A810">
        <v>763</v>
      </c>
      <c r="B810" s="19" t="s">
        <v>1411</v>
      </c>
      <c r="C810">
        <v>33</v>
      </c>
      <c r="D810" s="19" t="s">
        <v>428</v>
      </c>
      <c r="E810" s="19" t="s">
        <v>3</v>
      </c>
      <c r="F810">
        <v>23</v>
      </c>
      <c r="G810">
        <v>0</v>
      </c>
      <c r="H810">
        <v>1</v>
      </c>
      <c r="I810">
        <v>1</v>
      </c>
      <c r="J810">
        <v>0</v>
      </c>
      <c r="K810">
        <v>2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1</v>
      </c>
      <c r="R810">
        <v>0</v>
      </c>
      <c r="S810">
        <v>0</v>
      </c>
      <c r="U810">
        <v>0</v>
      </c>
      <c r="V810" s="19" t="s">
        <v>2929</v>
      </c>
      <c r="W810" s="19" t="s">
        <v>1860</v>
      </c>
      <c r="X810">
        <v>0</v>
      </c>
      <c r="Y810">
        <v>0</v>
      </c>
      <c r="AA810">
        <v>0</v>
      </c>
      <c r="AB810">
        <v>0</v>
      </c>
      <c r="AC810">
        <v>0</v>
      </c>
      <c r="AD810">
        <v>8</v>
      </c>
      <c r="AE810" s="19" t="s">
        <v>60</v>
      </c>
    </row>
    <row r="811" spans="1:31" x14ac:dyDescent="0.2">
      <c r="A811">
        <v>764</v>
      </c>
      <c r="B811" s="19" t="s">
        <v>1223</v>
      </c>
      <c r="C811">
        <v>31</v>
      </c>
      <c r="D811" s="19" t="s">
        <v>405</v>
      </c>
      <c r="E811" s="19" t="s">
        <v>349</v>
      </c>
      <c r="F811">
        <v>19</v>
      </c>
      <c r="G811">
        <v>0</v>
      </c>
      <c r="H811">
        <v>1</v>
      </c>
      <c r="I811">
        <v>1</v>
      </c>
      <c r="J811">
        <v>-4</v>
      </c>
      <c r="K811">
        <v>2</v>
      </c>
      <c r="L811">
        <v>0</v>
      </c>
      <c r="M811">
        <v>0</v>
      </c>
      <c r="N811">
        <v>0</v>
      </c>
      <c r="O811">
        <v>0</v>
      </c>
      <c r="P811">
        <v>1</v>
      </c>
      <c r="Q811">
        <v>0</v>
      </c>
      <c r="R811">
        <v>0</v>
      </c>
      <c r="S811">
        <v>9</v>
      </c>
      <c r="T811">
        <v>0</v>
      </c>
      <c r="U811">
        <v>22</v>
      </c>
      <c r="V811" s="19" t="s">
        <v>1589</v>
      </c>
      <c r="W811" s="19" t="s">
        <v>1563</v>
      </c>
      <c r="X811">
        <v>0</v>
      </c>
      <c r="Y811">
        <v>0</v>
      </c>
      <c r="AA811">
        <v>16</v>
      </c>
      <c r="AB811">
        <v>1</v>
      </c>
      <c r="AC811">
        <v>2</v>
      </c>
      <c r="AD811">
        <v>14</v>
      </c>
      <c r="AE811" s="19" t="s">
        <v>60</v>
      </c>
    </row>
    <row r="812" spans="1:31" x14ac:dyDescent="0.2">
      <c r="A812">
        <v>765</v>
      </c>
      <c r="B812" s="19" t="s">
        <v>1412</v>
      </c>
      <c r="C812">
        <v>31</v>
      </c>
      <c r="D812" s="19" t="s">
        <v>416</v>
      </c>
      <c r="E812" s="19" t="s">
        <v>340</v>
      </c>
      <c r="F812">
        <v>16</v>
      </c>
      <c r="G812">
        <v>0</v>
      </c>
      <c r="H812">
        <v>1</v>
      </c>
      <c r="I812">
        <v>1</v>
      </c>
      <c r="J812">
        <v>-3</v>
      </c>
      <c r="K812">
        <v>33</v>
      </c>
      <c r="L812">
        <v>0</v>
      </c>
      <c r="M812">
        <v>0</v>
      </c>
      <c r="N812">
        <v>0</v>
      </c>
      <c r="O812">
        <v>0</v>
      </c>
      <c r="P812">
        <v>1</v>
      </c>
      <c r="Q812">
        <v>0</v>
      </c>
      <c r="R812">
        <v>0</v>
      </c>
      <c r="S812">
        <v>2</v>
      </c>
      <c r="T812">
        <v>0</v>
      </c>
      <c r="U812">
        <v>3</v>
      </c>
      <c r="V812" s="19" t="s">
        <v>1773</v>
      </c>
      <c r="W812" s="19" t="s">
        <v>1774</v>
      </c>
      <c r="X812">
        <v>0</v>
      </c>
      <c r="Y812">
        <v>0</v>
      </c>
      <c r="AA812">
        <v>5</v>
      </c>
      <c r="AB812">
        <v>13</v>
      </c>
      <c r="AC812">
        <v>0</v>
      </c>
      <c r="AD812">
        <v>2</v>
      </c>
      <c r="AE812" s="19" t="s">
        <v>60</v>
      </c>
    </row>
    <row r="813" spans="1:31" x14ac:dyDescent="0.2">
      <c r="A813">
        <v>766</v>
      </c>
      <c r="B813" s="19" t="s">
        <v>1225</v>
      </c>
      <c r="C813">
        <v>18</v>
      </c>
      <c r="D813" s="19" t="s">
        <v>459</v>
      </c>
      <c r="E813" s="19" t="s">
        <v>322</v>
      </c>
      <c r="F813">
        <v>3</v>
      </c>
      <c r="G813">
        <v>0</v>
      </c>
      <c r="H813">
        <v>1</v>
      </c>
      <c r="I813">
        <v>1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1</v>
      </c>
      <c r="Q813">
        <v>0</v>
      </c>
      <c r="R813">
        <v>0</v>
      </c>
      <c r="S813">
        <v>2</v>
      </c>
      <c r="T813">
        <v>0</v>
      </c>
      <c r="U813">
        <v>3</v>
      </c>
      <c r="V813" s="19" t="s">
        <v>1226</v>
      </c>
      <c r="W813" s="19" t="s">
        <v>1227</v>
      </c>
      <c r="X813">
        <v>5</v>
      </c>
      <c r="Y813">
        <v>11</v>
      </c>
      <c r="Z813">
        <v>31.3</v>
      </c>
      <c r="AA813">
        <v>2</v>
      </c>
      <c r="AB813">
        <v>0</v>
      </c>
      <c r="AC813">
        <v>0</v>
      </c>
      <c r="AD813">
        <v>4</v>
      </c>
      <c r="AE813" s="19" t="s">
        <v>60</v>
      </c>
    </row>
    <row r="814" spans="1:31" x14ac:dyDescent="0.2">
      <c r="A814">
        <v>767</v>
      </c>
      <c r="B814" s="19" t="s">
        <v>1419</v>
      </c>
      <c r="C814">
        <v>29</v>
      </c>
      <c r="D814" s="19" t="s">
        <v>381</v>
      </c>
      <c r="E814" s="19" t="s">
        <v>349</v>
      </c>
      <c r="F814">
        <v>3</v>
      </c>
      <c r="G814">
        <v>0</v>
      </c>
      <c r="H814">
        <v>1</v>
      </c>
      <c r="I814">
        <v>1</v>
      </c>
      <c r="J814">
        <v>1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1</v>
      </c>
      <c r="Q814">
        <v>0</v>
      </c>
      <c r="R814">
        <v>0</v>
      </c>
      <c r="S814">
        <v>5</v>
      </c>
      <c r="T814">
        <v>0</v>
      </c>
      <c r="U814">
        <v>7</v>
      </c>
      <c r="V814" s="19" t="s">
        <v>2004</v>
      </c>
      <c r="W814" s="19" t="s">
        <v>2005</v>
      </c>
      <c r="X814">
        <v>0</v>
      </c>
      <c r="Y814">
        <v>0</v>
      </c>
      <c r="AA814">
        <v>1</v>
      </c>
      <c r="AB814">
        <v>0</v>
      </c>
      <c r="AC814">
        <v>0</v>
      </c>
      <c r="AD814">
        <v>0</v>
      </c>
      <c r="AE814" s="19" t="s">
        <v>60</v>
      </c>
    </row>
    <row r="815" spans="1:31" x14ac:dyDescent="0.2">
      <c r="A815">
        <v>768</v>
      </c>
      <c r="B815" s="19" t="s">
        <v>1229</v>
      </c>
      <c r="C815">
        <v>32</v>
      </c>
      <c r="D815" s="19" t="s">
        <v>359</v>
      </c>
      <c r="E815" s="19" t="s">
        <v>349</v>
      </c>
      <c r="F815">
        <v>11</v>
      </c>
      <c r="G815">
        <v>1</v>
      </c>
      <c r="H815">
        <v>0</v>
      </c>
      <c r="I815">
        <v>1</v>
      </c>
      <c r="J815">
        <v>-3</v>
      </c>
      <c r="K815">
        <v>11</v>
      </c>
      <c r="L815">
        <v>1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5</v>
      </c>
      <c r="T815">
        <v>20</v>
      </c>
      <c r="U815">
        <v>15</v>
      </c>
      <c r="V815" s="19" t="s">
        <v>1504</v>
      </c>
      <c r="W815" s="19" t="s">
        <v>1505</v>
      </c>
      <c r="X815">
        <v>0</v>
      </c>
      <c r="Y815">
        <v>0</v>
      </c>
      <c r="AA815">
        <v>9</v>
      </c>
      <c r="AB815">
        <v>8</v>
      </c>
      <c r="AC815">
        <v>2</v>
      </c>
      <c r="AD815">
        <v>8</v>
      </c>
      <c r="AE815" s="19" t="s">
        <v>60</v>
      </c>
    </row>
    <row r="816" spans="1:31" x14ac:dyDescent="0.2">
      <c r="A816">
        <v>769</v>
      </c>
      <c r="B816" s="19" t="s">
        <v>1230</v>
      </c>
      <c r="C816">
        <v>31</v>
      </c>
      <c r="D816" s="19" t="s">
        <v>381</v>
      </c>
      <c r="E816" s="19" t="s">
        <v>3</v>
      </c>
      <c r="F816">
        <v>18</v>
      </c>
      <c r="G816">
        <v>0</v>
      </c>
      <c r="H816">
        <v>1</v>
      </c>
      <c r="I816">
        <v>1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1</v>
      </c>
      <c r="Q816">
        <v>0</v>
      </c>
      <c r="R816">
        <v>0</v>
      </c>
      <c r="S816">
        <v>0</v>
      </c>
      <c r="U816">
        <v>0</v>
      </c>
      <c r="V816" s="19" t="s">
        <v>2220</v>
      </c>
      <c r="W816" s="19" t="s">
        <v>2221</v>
      </c>
      <c r="X816">
        <v>0</v>
      </c>
      <c r="Y816">
        <v>0</v>
      </c>
      <c r="AA816">
        <v>0</v>
      </c>
      <c r="AB816">
        <v>0</v>
      </c>
      <c r="AC816">
        <v>0</v>
      </c>
      <c r="AD816">
        <v>7</v>
      </c>
      <c r="AE816" s="19" t="s">
        <v>60</v>
      </c>
    </row>
    <row r="817" spans="1:31" x14ac:dyDescent="0.2">
      <c r="A817">
        <v>770</v>
      </c>
      <c r="B817" s="19" t="s">
        <v>1429</v>
      </c>
      <c r="C817">
        <v>33</v>
      </c>
      <c r="D817" s="19" t="s">
        <v>346</v>
      </c>
      <c r="E817" s="19" t="s">
        <v>349</v>
      </c>
      <c r="F817">
        <v>15</v>
      </c>
      <c r="G817">
        <v>0</v>
      </c>
      <c r="H817">
        <v>1</v>
      </c>
      <c r="I817">
        <v>1</v>
      </c>
      <c r="J817">
        <v>-8</v>
      </c>
      <c r="K817">
        <v>6</v>
      </c>
      <c r="L817">
        <v>0</v>
      </c>
      <c r="M817">
        <v>0</v>
      </c>
      <c r="N817">
        <v>0</v>
      </c>
      <c r="O817">
        <v>0</v>
      </c>
      <c r="P817">
        <v>1</v>
      </c>
      <c r="Q817">
        <v>0</v>
      </c>
      <c r="R817">
        <v>0</v>
      </c>
      <c r="S817">
        <v>16</v>
      </c>
      <c r="T817">
        <v>0</v>
      </c>
      <c r="U817">
        <v>48</v>
      </c>
      <c r="V817" s="19" t="s">
        <v>1923</v>
      </c>
      <c r="W817" s="19" t="s">
        <v>658</v>
      </c>
      <c r="X817">
        <v>0</v>
      </c>
      <c r="Y817">
        <v>0</v>
      </c>
      <c r="AA817">
        <v>10</v>
      </c>
      <c r="AB817">
        <v>25</v>
      </c>
      <c r="AC817">
        <v>2</v>
      </c>
      <c r="AD817">
        <v>11</v>
      </c>
      <c r="AE817" s="19" t="s">
        <v>60</v>
      </c>
    </row>
    <row r="818" spans="1:31" x14ac:dyDescent="0.2">
      <c r="A818">
        <v>771</v>
      </c>
      <c r="B818" s="19" t="s">
        <v>1432</v>
      </c>
      <c r="C818">
        <v>26</v>
      </c>
      <c r="D818" s="19" t="s">
        <v>384</v>
      </c>
      <c r="E818" s="19" t="s">
        <v>349</v>
      </c>
      <c r="F818">
        <v>9</v>
      </c>
      <c r="G818">
        <v>1</v>
      </c>
      <c r="H818">
        <v>0</v>
      </c>
      <c r="I818">
        <v>1</v>
      </c>
      <c r="J818">
        <v>0</v>
      </c>
      <c r="K818">
        <v>6</v>
      </c>
      <c r="L818">
        <v>1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4</v>
      </c>
      <c r="T818">
        <v>25</v>
      </c>
      <c r="U818">
        <v>13</v>
      </c>
      <c r="V818" s="19" t="s">
        <v>1590</v>
      </c>
      <c r="W818" s="19" t="s">
        <v>927</v>
      </c>
      <c r="X818">
        <v>0</v>
      </c>
      <c r="Y818">
        <v>0</v>
      </c>
      <c r="AA818">
        <v>6</v>
      </c>
      <c r="AB818">
        <v>13</v>
      </c>
      <c r="AC818">
        <v>0</v>
      </c>
      <c r="AD818">
        <v>6</v>
      </c>
      <c r="AE818" s="19" t="s">
        <v>60</v>
      </c>
    </row>
    <row r="819" spans="1:31" x14ac:dyDescent="0.2">
      <c r="A819">
        <v>772</v>
      </c>
      <c r="B819" s="19" t="s">
        <v>1231</v>
      </c>
      <c r="C819">
        <v>20</v>
      </c>
      <c r="D819" s="19" t="s">
        <v>530</v>
      </c>
      <c r="E819" s="19" t="s">
        <v>322</v>
      </c>
      <c r="F819">
        <v>2</v>
      </c>
      <c r="G819">
        <v>0</v>
      </c>
      <c r="H819">
        <v>1</v>
      </c>
      <c r="I819">
        <v>1</v>
      </c>
      <c r="J819">
        <v>1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1</v>
      </c>
      <c r="Q819">
        <v>0</v>
      </c>
      <c r="R819">
        <v>0</v>
      </c>
      <c r="S819">
        <v>1</v>
      </c>
      <c r="T819">
        <v>0</v>
      </c>
      <c r="U819">
        <v>2</v>
      </c>
      <c r="V819" s="19" t="s">
        <v>1232</v>
      </c>
      <c r="W819" s="19" t="s">
        <v>1233</v>
      </c>
      <c r="X819">
        <v>5</v>
      </c>
      <c r="Y819">
        <v>2</v>
      </c>
      <c r="Z819">
        <v>71.400000000000006</v>
      </c>
      <c r="AA819">
        <v>0</v>
      </c>
      <c r="AB819">
        <v>1</v>
      </c>
      <c r="AC819">
        <v>1</v>
      </c>
      <c r="AD819">
        <v>1</v>
      </c>
      <c r="AE819" s="19" t="s">
        <v>60</v>
      </c>
    </row>
    <row r="820" spans="1:31" x14ac:dyDescent="0.2">
      <c r="A820">
        <v>773</v>
      </c>
      <c r="B820" s="19" t="s">
        <v>1237</v>
      </c>
      <c r="C820">
        <v>30</v>
      </c>
      <c r="D820" s="19" t="s">
        <v>324</v>
      </c>
      <c r="E820" s="19" t="s">
        <v>3</v>
      </c>
      <c r="F820">
        <v>23</v>
      </c>
      <c r="G820">
        <v>0</v>
      </c>
      <c r="H820">
        <v>1</v>
      </c>
      <c r="I820">
        <v>1</v>
      </c>
      <c r="J820">
        <v>0</v>
      </c>
      <c r="K820">
        <v>9</v>
      </c>
      <c r="L820">
        <v>0</v>
      </c>
      <c r="M820">
        <v>0</v>
      </c>
      <c r="N820">
        <v>0</v>
      </c>
      <c r="O820">
        <v>0</v>
      </c>
      <c r="P820">
        <v>1</v>
      </c>
      <c r="Q820">
        <v>0</v>
      </c>
      <c r="R820">
        <v>0</v>
      </c>
      <c r="S820">
        <v>0</v>
      </c>
      <c r="U820">
        <v>0</v>
      </c>
      <c r="V820" s="19" t="s">
        <v>2570</v>
      </c>
      <c r="W820" s="19" t="s">
        <v>2571</v>
      </c>
      <c r="X820">
        <v>0</v>
      </c>
      <c r="Y820">
        <v>0</v>
      </c>
      <c r="AA820">
        <v>0</v>
      </c>
      <c r="AB820">
        <v>0</v>
      </c>
      <c r="AC820">
        <v>0</v>
      </c>
      <c r="AD820">
        <v>17</v>
      </c>
      <c r="AE820" s="19" t="s">
        <v>60</v>
      </c>
    </row>
    <row r="821" spans="1:31" x14ac:dyDescent="0.2">
      <c r="A821">
        <v>774</v>
      </c>
      <c r="B821" s="19" t="s">
        <v>1238</v>
      </c>
      <c r="C821">
        <v>25</v>
      </c>
      <c r="D821" s="19" t="s">
        <v>321</v>
      </c>
      <c r="E821" s="19" t="s">
        <v>325</v>
      </c>
      <c r="F821">
        <v>4</v>
      </c>
      <c r="G821">
        <v>0</v>
      </c>
      <c r="H821">
        <v>1</v>
      </c>
      <c r="I821">
        <v>1</v>
      </c>
      <c r="J821">
        <v>1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1</v>
      </c>
      <c r="Q821">
        <v>0</v>
      </c>
      <c r="R821">
        <v>0</v>
      </c>
      <c r="S821">
        <v>3</v>
      </c>
      <c r="T821">
        <v>0</v>
      </c>
      <c r="U821">
        <v>6</v>
      </c>
      <c r="V821" s="19" t="s">
        <v>1239</v>
      </c>
      <c r="W821" s="19" t="s">
        <v>1240</v>
      </c>
      <c r="X821">
        <v>0</v>
      </c>
      <c r="Y821">
        <v>0</v>
      </c>
      <c r="AA821">
        <v>1</v>
      </c>
      <c r="AB821">
        <v>9</v>
      </c>
      <c r="AC821">
        <v>0</v>
      </c>
      <c r="AD821">
        <v>2</v>
      </c>
      <c r="AE821" s="19" t="s">
        <v>60</v>
      </c>
    </row>
    <row r="822" spans="1:31" x14ac:dyDescent="0.2">
      <c r="A822">
        <v>775</v>
      </c>
      <c r="B822" s="19" t="s">
        <v>1442</v>
      </c>
      <c r="C822">
        <v>27</v>
      </c>
      <c r="D822" s="19" t="s">
        <v>334</v>
      </c>
      <c r="E822" s="19" t="s">
        <v>3</v>
      </c>
      <c r="F822">
        <v>33</v>
      </c>
      <c r="G822">
        <v>0</v>
      </c>
      <c r="H822">
        <v>1</v>
      </c>
      <c r="I822">
        <v>1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1</v>
      </c>
      <c r="Q822">
        <v>0</v>
      </c>
      <c r="R822">
        <v>0</v>
      </c>
      <c r="S822">
        <v>0</v>
      </c>
      <c r="U822">
        <v>0</v>
      </c>
      <c r="V822" s="19" t="s">
        <v>2572</v>
      </c>
      <c r="W822" s="19" t="s">
        <v>2252</v>
      </c>
      <c r="X822">
        <v>0</v>
      </c>
      <c r="Y822">
        <v>0</v>
      </c>
      <c r="AA822">
        <v>0</v>
      </c>
      <c r="AB822">
        <v>0</v>
      </c>
      <c r="AC822">
        <v>0</v>
      </c>
      <c r="AD822">
        <v>9</v>
      </c>
      <c r="AE822" s="19" t="s">
        <v>60</v>
      </c>
    </row>
    <row r="823" spans="1:31" x14ac:dyDescent="0.2">
      <c r="A823">
        <v>776</v>
      </c>
      <c r="B823" s="19" t="s">
        <v>1445</v>
      </c>
      <c r="C823">
        <v>23</v>
      </c>
      <c r="D823" s="19" t="s">
        <v>361</v>
      </c>
      <c r="E823" s="19" t="s">
        <v>340</v>
      </c>
      <c r="F823">
        <v>12</v>
      </c>
      <c r="G823">
        <v>1</v>
      </c>
      <c r="H823">
        <v>0</v>
      </c>
      <c r="I823">
        <v>1</v>
      </c>
      <c r="J823">
        <v>-4</v>
      </c>
      <c r="K823">
        <v>9</v>
      </c>
      <c r="L823">
        <v>1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12</v>
      </c>
      <c r="T823">
        <v>8.3000000000000007</v>
      </c>
      <c r="U823">
        <v>20</v>
      </c>
      <c r="V823" s="19" t="s">
        <v>2573</v>
      </c>
      <c r="W823" s="19" t="s">
        <v>1399</v>
      </c>
      <c r="X823">
        <v>0</v>
      </c>
      <c r="Y823">
        <v>0</v>
      </c>
      <c r="AA823">
        <v>6</v>
      </c>
      <c r="AB823">
        <v>21</v>
      </c>
      <c r="AC823">
        <v>2</v>
      </c>
      <c r="AD823">
        <v>3</v>
      </c>
      <c r="AE823" s="19" t="s">
        <v>60</v>
      </c>
    </row>
    <row r="824" spans="1:31" x14ac:dyDescent="0.2">
      <c r="A824">
        <v>777</v>
      </c>
      <c r="B824" s="19" t="s">
        <v>1241</v>
      </c>
      <c r="C824">
        <v>19</v>
      </c>
      <c r="D824" s="19" t="s">
        <v>436</v>
      </c>
      <c r="E824" s="19" t="s">
        <v>349</v>
      </c>
      <c r="F824">
        <v>11</v>
      </c>
      <c r="G824">
        <v>0</v>
      </c>
      <c r="H824">
        <v>1</v>
      </c>
      <c r="I824">
        <v>1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1</v>
      </c>
      <c r="R824">
        <v>0</v>
      </c>
      <c r="S824">
        <v>11</v>
      </c>
      <c r="T824">
        <v>0</v>
      </c>
      <c r="U824">
        <v>35</v>
      </c>
      <c r="V824" s="19" t="s">
        <v>1242</v>
      </c>
      <c r="W824" s="19" t="s">
        <v>1243</v>
      </c>
      <c r="X824">
        <v>0</v>
      </c>
      <c r="Y824">
        <v>0</v>
      </c>
      <c r="AA824">
        <v>5</v>
      </c>
      <c r="AB824">
        <v>5</v>
      </c>
      <c r="AC824">
        <v>3</v>
      </c>
      <c r="AD824">
        <v>17</v>
      </c>
      <c r="AE824" s="19" t="s">
        <v>60</v>
      </c>
    </row>
    <row r="825" spans="1:31" x14ac:dyDescent="0.2">
      <c r="A825">
        <v>778</v>
      </c>
      <c r="B825" s="19" t="s">
        <v>1454</v>
      </c>
      <c r="C825">
        <v>34</v>
      </c>
      <c r="D825" s="19" t="s">
        <v>357</v>
      </c>
      <c r="E825" s="19" t="s">
        <v>322</v>
      </c>
      <c r="F825">
        <v>28</v>
      </c>
      <c r="G825">
        <v>1</v>
      </c>
      <c r="H825">
        <v>0</v>
      </c>
      <c r="I825">
        <v>1</v>
      </c>
      <c r="J825">
        <v>-5</v>
      </c>
      <c r="K825">
        <v>24</v>
      </c>
      <c r="L825">
        <v>1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25</v>
      </c>
      <c r="T825">
        <v>4</v>
      </c>
      <c r="U825">
        <v>44</v>
      </c>
      <c r="V825" s="19" t="s">
        <v>2309</v>
      </c>
      <c r="W825" s="19" t="s">
        <v>2222</v>
      </c>
      <c r="X825">
        <v>0</v>
      </c>
      <c r="Y825">
        <v>3</v>
      </c>
      <c r="Z825">
        <v>0</v>
      </c>
      <c r="AA825">
        <v>16</v>
      </c>
      <c r="AB825">
        <v>68</v>
      </c>
      <c r="AC825">
        <v>5</v>
      </c>
      <c r="AD825">
        <v>7</v>
      </c>
      <c r="AE825" s="19" t="s">
        <v>60</v>
      </c>
    </row>
    <row r="826" spans="1:31" x14ac:dyDescent="0.2">
      <c r="A826">
        <v>779</v>
      </c>
      <c r="B826" s="19" t="s">
        <v>1887</v>
      </c>
      <c r="C826">
        <v>24</v>
      </c>
      <c r="D826" s="19" t="s">
        <v>381</v>
      </c>
      <c r="E826" s="19" t="s">
        <v>340</v>
      </c>
      <c r="F826">
        <v>5</v>
      </c>
      <c r="G826">
        <v>1</v>
      </c>
      <c r="H826">
        <v>0</v>
      </c>
      <c r="I826">
        <v>1</v>
      </c>
      <c r="J826">
        <v>-1</v>
      </c>
      <c r="K826">
        <v>0</v>
      </c>
      <c r="L826">
        <v>1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6</v>
      </c>
      <c r="T826">
        <v>16.7</v>
      </c>
      <c r="U826">
        <v>15</v>
      </c>
      <c r="V826" s="19" t="s">
        <v>2064</v>
      </c>
      <c r="W826" s="19" t="s">
        <v>976</v>
      </c>
      <c r="X826">
        <v>0</v>
      </c>
      <c r="Y826">
        <v>0</v>
      </c>
      <c r="AA826">
        <v>2</v>
      </c>
      <c r="AB826">
        <v>1</v>
      </c>
      <c r="AC826">
        <v>1</v>
      </c>
      <c r="AD826">
        <v>1</v>
      </c>
      <c r="AE826" s="19" t="s">
        <v>60</v>
      </c>
    </row>
    <row r="827" spans="1:31" x14ac:dyDescent="0.2">
      <c r="A827">
        <v>780</v>
      </c>
      <c r="B827" s="19" t="s">
        <v>1245</v>
      </c>
      <c r="C827">
        <v>23</v>
      </c>
      <c r="D827" s="19" t="s">
        <v>361</v>
      </c>
      <c r="E827" s="19" t="s">
        <v>322</v>
      </c>
      <c r="F827">
        <v>21</v>
      </c>
      <c r="G827">
        <v>1</v>
      </c>
      <c r="H827">
        <v>0</v>
      </c>
      <c r="I827">
        <v>1</v>
      </c>
      <c r="J827">
        <v>-2</v>
      </c>
      <c r="K827">
        <v>7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13</v>
      </c>
      <c r="T827">
        <v>7.7</v>
      </c>
      <c r="U827">
        <v>27</v>
      </c>
      <c r="V827" s="19" t="s">
        <v>1908</v>
      </c>
      <c r="W827" s="19" t="s">
        <v>1776</v>
      </c>
      <c r="X827">
        <v>3</v>
      </c>
      <c r="Y827">
        <v>5</v>
      </c>
      <c r="Z827">
        <v>37.5</v>
      </c>
      <c r="AA827">
        <v>5</v>
      </c>
      <c r="AB827">
        <v>69</v>
      </c>
      <c r="AC827">
        <v>2</v>
      </c>
      <c r="AD827">
        <v>5</v>
      </c>
      <c r="AE827" s="19" t="s">
        <v>60</v>
      </c>
    </row>
    <row r="828" spans="1:31" x14ac:dyDescent="0.2">
      <c r="A828">
        <v>781</v>
      </c>
      <c r="B828" s="19" t="s">
        <v>1246</v>
      </c>
      <c r="C828">
        <v>22</v>
      </c>
      <c r="D828" s="19" t="s">
        <v>397</v>
      </c>
      <c r="E828" s="19" t="s">
        <v>322</v>
      </c>
      <c r="F828">
        <v>2</v>
      </c>
      <c r="G828">
        <v>0</v>
      </c>
      <c r="H828">
        <v>1</v>
      </c>
      <c r="I828">
        <v>1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1</v>
      </c>
      <c r="Q828">
        <v>0</v>
      </c>
      <c r="R828">
        <v>0</v>
      </c>
      <c r="S828">
        <v>2</v>
      </c>
      <c r="T828">
        <v>0</v>
      </c>
      <c r="U828">
        <v>3</v>
      </c>
      <c r="V828" s="19" t="s">
        <v>1247</v>
      </c>
      <c r="W828" s="19" t="s">
        <v>1248</v>
      </c>
      <c r="X828">
        <v>12</v>
      </c>
      <c r="Y828">
        <v>12</v>
      </c>
      <c r="Z828">
        <v>50</v>
      </c>
      <c r="AA828">
        <v>1</v>
      </c>
      <c r="AB828">
        <v>3</v>
      </c>
      <c r="AC828">
        <v>0</v>
      </c>
      <c r="AD828">
        <v>1</v>
      </c>
      <c r="AE828" s="19" t="s">
        <v>60</v>
      </c>
    </row>
    <row r="829" spans="1:31" x14ac:dyDescent="0.2">
      <c r="A829">
        <v>782</v>
      </c>
      <c r="B829" s="19" t="s">
        <v>1249</v>
      </c>
      <c r="C829">
        <v>26</v>
      </c>
      <c r="D829" s="19" t="s">
        <v>384</v>
      </c>
      <c r="E829" s="19" t="s">
        <v>349</v>
      </c>
      <c r="F829">
        <v>15</v>
      </c>
      <c r="G829">
        <v>0</v>
      </c>
      <c r="H829">
        <v>1</v>
      </c>
      <c r="I829">
        <v>1</v>
      </c>
      <c r="J829">
        <v>-7</v>
      </c>
      <c r="K829">
        <v>6</v>
      </c>
      <c r="L829">
        <v>0</v>
      </c>
      <c r="M829">
        <v>0</v>
      </c>
      <c r="N829">
        <v>0</v>
      </c>
      <c r="O829">
        <v>0</v>
      </c>
      <c r="P829">
        <v>1</v>
      </c>
      <c r="Q829">
        <v>0</v>
      </c>
      <c r="R829">
        <v>0</v>
      </c>
      <c r="S829">
        <v>17</v>
      </c>
      <c r="T829">
        <v>0</v>
      </c>
      <c r="U829">
        <v>38</v>
      </c>
      <c r="V829" s="19" t="s">
        <v>2137</v>
      </c>
      <c r="W829" s="19" t="s">
        <v>1250</v>
      </c>
      <c r="X829">
        <v>0</v>
      </c>
      <c r="Y829">
        <v>0</v>
      </c>
      <c r="AA829">
        <v>31</v>
      </c>
      <c r="AB829">
        <v>31</v>
      </c>
      <c r="AC829">
        <v>4</v>
      </c>
      <c r="AD829">
        <v>18</v>
      </c>
      <c r="AE829" s="19" t="s">
        <v>60</v>
      </c>
    </row>
    <row r="830" spans="1:31" x14ac:dyDescent="0.2">
      <c r="A830">
        <v>783</v>
      </c>
      <c r="B830" s="19" t="s">
        <v>1251</v>
      </c>
      <c r="C830">
        <v>32</v>
      </c>
      <c r="D830" s="19" t="s">
        <v>405</v>
      </c>
      <c r="E830" s="19" t="s">
        <v>322</v>
      </c>
      <c r="F830">
        <v>1</v>
      </c>
      <c r="G830">
        <v>1</v>
      </c>
      <c r="H830">
        <v>0</v>
      </c>
      <c r="I830">
        <v>1</v>
      </c>
      <c r="J830">
        <v>1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1</v>
      </c>
      <c r="T830">
        <v>100</v>
      </c>
      <c r="U830">
        <v>3</v>
      </c>
      <c r="V830" s="19" t="s">
        <v>1252</v>
      </c>
      <c r="W830" s="19" t="s">
        <v>1252</v>
      </c>
      <c r="X830">
        <v>2</v>
      </c>
      <c r="Y830">
        <v>6</v>
      </c>
      <c r="Z830">
        <v>25</v>
      </c>
      <c r="AA830">
        <v>0</v>
      </c>
      <c r="AB830">
        <v>0</v>
      </c>
      <c r="AC830">
        <v>0</v>
      </c>
      <c r="AD830">
        <v>1</v>
      </c>
      <c r="AE830" s="19" t="s">
        <v>60</v>
      </c>
    </row>
    <row r="831" spans="1:31" x14ac:dyDescent="0.2">
      <c r="A831">
        <v>784</v>
      </c>
      <c r="B831" s="19" t="s">
        <v>2574</v>
      </c>
      <c r="C831">
        <v>26</v>
      </c>
      <c r="D831" s="19" t="s">
        <v>344</v>
      </c>
      <c r="E831" s="19" t="s">
        <v>335</v>
      </c>
      <c r="F831">
        <v>1</v>
      </c>
      <c r="G831">
        <v>0</v>
      </c>
      <c r="H831">
        <v>1</v>
      </c>
      <c r="I831">
        <v>1</v>
      </c>
      <c r="J831">
        <v>1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1</v>
      </c>
      <c r="Q831">
        <v>0</v>
      </c>
      <c r="R831">
        <v>0</v>
      </c>
      <c r="S831">
        <v>3</v>
      </c>
      <c r="T831">
        <v>0</v>
      </c>
      <c r="U831">
        <v>4</v>
      </c>
      <c r="V831" s="19" t="s">
        <v>1934</v>
      </c>
      <c r="W831" s="19" t="s">
        <v>1934</v>
      </c>
      <c r="X831">
        <v>0</v>
      </c>
      <c r="Y831">
        <v>0</v>
      </c>
      <c r="AA831">
        <v>0</v>
      </c>
      <c r="AB831">
        <v>0</v>
      </c>
      <c r="AC831">
        <v>0</v>
      </c>
      <c r="AD831">
        <v>0</v>
      </c>
      <c r="AE831" s="19" t="s">
        <v>60</v>
      </c>
    </row>
    <row r="832" spans="1:31" x14ac:dyDescent="0.2">
      <c r="A832">
        <v>785</v>
      </c>
      <c r="B832" s="19" t="s">
        <v>1253</v>
      </c>
      <c r="C832">
        <v>30</v>
      </c>
      <c r="D832" s="19" t="s">
        <v>352</v>
      </c>
      <c r="E832" s="19" t="s">
        <v>349</v>
      </c>
      <c r="F832">
        <v>9</v>
      </c>
      <c r="G832">
        <v>0</v>
      </c>
      <c r="H832">
        <v>1</v>
      </c>
      <c r="I832">
        <v>1</v>
      </c>
      <c r="J832">
        <v>1</v>
      </c>
      <c r="K832">
        <v>2</v>
      </c>
      <c r="L832">
        <v>0</v>
      </c>
      <c r="M832">
        <v>0</v>
      </c>
      <c r="N832">
        <v>0</v>
      </c>
      <c r="O832">
        <v>0</v>
      </c>
      <c r="P832">
        <v>1</v>
      </c>
      <c r="Q832">
        <v>0</v>
      </c>
      <c r="R832">
        <v>0</v>
      </c>
      <c r="S832">
        <v>3</v>
      </c>
      <c r="T832">
        <v>0</v>
      </c>
      <c r="U832">
        <v>16</v>
      </c>
      <c r="V832" s="19" t="s">
        <v>1700</v>
      </c>
      <c r="W832" s="19" t="s">
        <v>1636</v>
      </c>
      <c r="X832">
        <v>0</v>
      </c>
      <c r="Y832">
        <v>0</v>
      </c>
      <c r="AA832">
        <v>6</v>
      </c>
      <c r="AB832">
        <v>7</v>
      </c>
      <c r="AC832">
        <v>0</v>
      </c>
      <c r="AD832">
        <v>4</v>
      </c>
      <c r="AE832" s="19" t="s">
        <v>60</v>
      </c>
    </row>
    <row r="833" spans="1:31" x14ac:dyDescent="0.2">
      <c r="A833">
        <v>786</v>
      </c>
      <c r="B833" s="19" t="s">
        <v>1473</v>
      </c>
      <c r="C833">
        <v>25</v>
      </c>
      <c r="D833" s="19" t="s">
        <v>344</v>
      </c>
      <c r="E833" s="19" t="s">
        <v>3</v>
      </c>
      <c r="F833">
        <v>26</v>
      </c>
      <c r="G833">
        <v>0</v>
      </c>
      <c r="H833">
        <v>1</v>
      </c>
      <c r="I833">
        <v>1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1</v>
      </c>
      <c r="Q833">
        <v>0</v>
      </c>
      <c r="R833">
        <v>0</v>
      </c>
      <c r="S833">
        <v>0</v>
      </c>
      <c r="U833">
        <v>0</v>
      </c>
      <c r="V833" s="19" t="s">
        <v>2310</v>
      </c>
      <c r="W833" s="19" t="s">
        <v>2311</v>
      </c>
      <c r="X833">
        <v>0</v>
      </c>
      <c r="Y833">
        <v>0</v>
      </c>
      <c r="AA833">
        <v>0</v>
      </c>
      <c r="AB833">
        <v>0</v>
      </c>
      <c r="AC833">
        <v>0</v>
      </c>
      <c r="AD833">
        <v>8</v>
      </c>
      <c r="AE833" s="19" t="s">
        <v>60</v>
      </c>
    </row>
    <row r="834" spans="1:31" x14ac:dyDescent="0.2">
      <c r="A834">
        <v>787</v>
      </c>
      <c r="B834" s="19" t="s">
        <v>1256</v>
      </c>
      <c r="C834">
        <v>20</v>
      </c>
      <c r="D834" s="19" t="s">
        <v>405</v>
      </c>
      <c r="E834" s="19" t="s">
        <v>349</v>
      </c>
      <c r="F834">
        <v>24</v>
      </c>
      <c r="G834">
        <v>0</v>
      </c>
      <c r="H834">
        <v>1</v>
      </c>
      <c r="I834">
        <v>1</v>
      </c>
      <c r="J834">
        <v>-9</v>
      </c>
      <c r="K834">
        <v>18</v>
      </c>
      <c r="L834">
        <v>0</v>
      </c>
      <c r="M834">
        <v>0</v>
      </c>
      <c r="N834">
        <v>0</v>
      </c>
      <c r="O834">
        <v>0</v>
      </c>
      <c r="P834">
        <v>1</v>
      </c>
      <c r="Q834">
        <v>0</v>
      </c>
      <c r="R834">
        <v>0</v>
      </c>
      <c r="S834">
        <v>23</v>
      </c>
      <c r="T834">
        <v>0</v>
      </c>
      <c r="U834">
        <v>42</v>
      </c>
      <c r="V834" s="19" t="s">
        <v>1257</v>
      </c>
      <c r="W834" s="19" t="s">
        <v>541</v>
      </c>
      <c r="X834">
        <v>0</v>
      </c>
      <c r="Y834">
        <v>0</v>
      </c>
      <c r="AA834">
        <v>26</v>
      </c>
      <c r="AB834">
        <v>8</v>
      </c>
      <c r="AC834">
        <v>1</v>
      </c>
      <c r="AD834">
        <v>26</v>
      </c>
      <c r="AE834" s="19" t="s">
        <v>60</v>
      </c>
    </row>
    <row r="835" spans="1:31" x14ac:dyDescent="0.2">
      <c r="A835">
        <v>788</v>
      </c>
      <c r="B835" s="19" t="s">
        <v>1480</v>
      </c>
      <c r="C835">
        <v>24</v>
      </c>
      <c r="D835" s="19" t="s">
        <v>355</v>
      </c>
      <c r="E835" s="19" t="s">
        <v>349</v>
      </c>
      <c r="F835">
        <v>8</v>
      </c>
      <c r="G835">
        <v>0</v>
      </c>
      <c r="H835">
        <v>1</v>
      </c>
      <c r="I835">
        <v>1</v>
      </c>
      <c r="J835">
        <v>3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1</v>
      </c>
      <c r="Q835">
        <v>0</v>
      </c>
      <c r="R835">
        <v>0</v>
      </c>
      <c r="S835">
        <v>8</v>
      </c>
      <c r="T835">
        <v>0</v>
      </c>
      <c r="U835">
        <v>15</v>
      </c>
      <c r="V835" s="19" t="s">
        <v>1663</v>
      </c>
      <c r="W835" s="19" t="s">
        <v>1664</v>
      </c>
      <c r="X835">
        <v>0</v>
      </c>
      <c r="Y835">
        <v>0</v>
      </c>
      <c r="AA835">
        <v>10</v>
      </c>
      <c r="AB835">
        <v>1</v>
      </c>
      <c r="AC835">
        <v>2</v>
      </c>
      <c r="AD835">
        <v>11</v>
      </c>
      <c r="AE835" s="19" t="s">
        <v>60</v>
      </c>
    </row>
    <row r="836" spans="1:31" x14ac:dyDescent="0.2">
      <c r="A836">
        <v>789</v>
      </c>
      <c r="B836" s="19" t="s">
        <v>1260</v>
      </c>
      <c r="C836">
        <v>38</v>
      </c>
      <c r="D836" s="19" t="s">
        <v>371</v>
      </c>
      <c r="E836" s="19" t="s">
        <v>3</v>
      </c>
      <c r="F836">
        <v>23</v>
      </c>
      <c r="G836">
        <v>0</v>
      </c>
      <c r="H836">
        <v>1</v>
      </c>
      <c r="I836">
        <v>1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1</v>
      </c>
      <c r="Q836">
        <v>0</v>
      </c>
      <c r="R836">
        <v>0</v>
      </c>
      <c r="S836">
        <v>0</v>
      </c>
      <c r="U836">
        <v>0</v>
      </c>
      <c r="V836" s="19" t="s">
        <v>2312</v>
      </c>
      <c r="W836" s="19" t="s">
        <v>2313</v>
      </c>
      <c r="X836">
        <v>0</v>
      </c>
      <c r="Y836">
        <v>0</v>
      </c>
      <c r="AA836">
        <v>0</v>
      </c>
      <c r="AB836">
        <v>0</v>
      </c>
      <c r="AC836">
        <v>0</v>
      </c>
      <c r="AD836">
        <v>16</v>
      </c>
      <c r="AE836" s="19" t="s">
        <v>60</v>
      </c>
    </row>
    <row r="837" spans="1:31" x14ac:dyDescent="0.2">
      <c r="A837">
        <v>790</v>
      </c>
      <c r="B837" s="19" t="s">
        <v>1262</v>
      </c>
      <c r="C837">
        <v>28</v>
      </c>
      <c r="D837" s="19" t="s">
        <v>366</v>
      </c>
      <c r="E837" s="19" t="s">
        <v>3</v>
      </c>
      <c r="F837">
        <v>37</v>
      </c>
      <c r="G837">
        <v>0</v>
      </c>
      <c r="H837">
        <v>1</v>
      </c>
      <c r="I837">
        <v>1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1</v>
      </c>
      <c r="Q837">
        <v>0</v>
      </c>
      <c r="R837">
        <v>0</v>
      </c>
      <c r="S837">
        <v>0</v>
      </c>
      <c r="U837">
        <v>1</v>
      </c>
      <c r="V837" s="19" t="s">
        <v>2575</v>
      </c>
      <c r="W837" s="19" t="s">
        <v>2259</v>
      </c>
      <c r="X837">
        <v>0</v>
      </c>
      <c r="Y837">
        <v>0</v>
      </c>
      <c r="AA837">
        <v>0</v>
      </c>
      <c r="AB837">
        <v>0</v>
      </c>
      <c r="AC837">
        <v>0</v>
      </c>
      <c r="AD837">
        <v>20</v>
      </c>
      <c r="AE837" s="19" t="s">
        <v>60</v>
      </c>
    </row>
    <row r="838" spans="1:31" x14ac:dyDescent="0.2">
      <c r="A838">
        <v>791</v>
      </c>
      <c r="B838" s="19" t="s">
        <v>1263</v>
      </c>
      <c r="C838">
        <v>24</v>
      </c>
      <c r="D838" s="19" t="s">
        <v>376</v>
      </c>
      <c r="E838" s="19" t="s">
        <v>322</v>
      </c>
      <c r="F838">
        <v>9</v>
      </c>
      <c r="G838">
        <v>0</v>
      </c>
      <c r="H838">
        <v>1</v>
      </c>
      <c r="I838">
        <v>1</v>
      </c>
      <c r="J838">
        <v>-2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1</v>
      </c>
      <c r="Q838">
        <v>0</v>
      </c>
      <c r="R838">
        <v>0</v>
      </c>
      <c r="S838">
        <v>9</v>
      </c>
      <c r="T838">
        <v>0</v>
      </c>
      <c r="U838">
        <v>21</v>
      </c>
      <c r="V838" s="19" t="s">
        <v>1264</v>
      </c>
      <c r="W838" s="19" t="s">
        <v>793</v>
      </c>
      <c r="X838">
        <v>2</v>
      </c>
      <c r="Y838">
        <v>2</v>
      </c>
      <c r="Z838">
        <v>50</v>
      </c>
      <c r="AA838">
        <v>7</v>
      </c>
      <c r="AB838">
        <v>11</v>
      </c>
      <c r="AC838">
        <v>0</v>
      </c>
      <c r="AD838">
        <v>3</v>
      </c>
      <c r="AE838" s="19" t="s">
        <v>60</v>
      </c>
    </row>
    <row r="839" spans="1:31" x14ac:dyDescent="0.2">
      <c r="A839">
        <v>792</v>
      </c>
      <c r="B839" s="19" t="s">
        <v>1576</v>
      </c>
      <c r="C839">
        <v>31</v>
      </c>
      <c r="D839" s="19" t="s">
        <v>330</v>
      </c>
      <c r="E839" s="19" t="s">
        <v>322</v>
      </c>
      <c r="F839">
        <v>5</v>
      </c>
      <c r="G839">
        <v>0</v>
      </c>
      <c r="H839">
        <v>1</v>
      </c>
      <c r="I839">
        <v>1</v>
      </c>
      <c r="J839">
        <v>1</v>
      </c>
      <c r="K839">
        <v>4</v>
      </c>
      <c r="L839">
        <v>0</v>
      </c>
      <c r="M839">
        <v>0</v>
      </c>
      <c r="N839">
        <v>0</v>
      </c>
      <c r="O839">
        <v>0</v>
      </c>
      <c r="P839">
        <v>1</v>
      </c>
      <c r="Q839">
        <v>0</v>
      </c>
      <c r="R839">
        <v>0</v>
      </c>
      <c r="S839">
        <v>6</v>
      </c>
      <c r="T839">
        <v>0</v>
      </c>
      <c r="U839">
        <v>11</v>
      </c>
      <c r="V839" s="19" t="s">
        <v>1701</v>
      </c>
      <c r="W839" s="19" t="s">
        <v>1304</v>
      </c>
      <c r="X839">
        <v>10</v>
      </c>
      <c r="Y839">
        <v>12</v>
      </c>
      <c r="Z839">
        <v>45.5</v>
      </c>
      <c r="AA839">
        <v>0</v>
      </c>
      <c r="AB839">
        <v>10</v>
      </c>
      <c r="AC839">
        <v>1</v>
      </c>
      <c r="AD839">
        <v>2</v>
      </c>
      <c r="AE839" s="19" t="s">
        <v>60</v>
      </c>
    </row>
    <row r="840" spans="1:31" x14ac:dyDescent="0.2">
      <c r="A840">
        <v>793</v>
      </c>
      <c r="B840" s="19" t="s">
        <v>1265</v>
      </c>
      <c r="C840">
        <v>27</v>
      </c>
      <c r="D840" s="19" t="s">
        <v>384</v>
      </c>
      <c r="E840" s="19" t="s">
        <v>325</v>
      </c>
      <c r="F840">
        <v>26</v>
      </c>
      <c r="G840">
        <v>1</v>
      </c>
      <c r="H840">
        <v>0</v>
      </c>
      <c r="I840">
        <v>1</v>
      </c>
      <c r="J840">
        <v>-10</v>
      </c>
      <c r="K840">
        <v>4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21</v>
      </c>
      <c r="T840">
        <v>4.8</v>
      </c>
      <c r="U840">
        <v>51</v>
      </c>
      <c r="V840" s="19" t="s">
        <v>2253</v>
      </c>
      <c r="W840" s="19" t="s">
        <v>1812</v>
      </c>
      <c r="X840">
        <v>8</v>
      </c>
      <c r="Y840">
        <v>10</v>
      </c>
      <c r="Z840">
        <v>44.4</v>
      </c>
      <c r="AA840">
        <v>4</v>
      </c>
      <c r="AB840">
        <v>44</v>
      </c>
      <c r="AC840">
        <v>3</v>
      </c>
      <c r="AD840">
        <v>16</v>
      </c>
      <c r="AE840" s="19" t="s">
        <v>60</v>
      </c>
    </row>
    <row r="841" spans="1:31" x14ac:dyDescent="0.2">
      <c r="A841">
        <v>794</v>
      </c>
      <c r="B841" s="19" t="s">
        <v>1267</v>
      </c>
      <c r="C841">
        <v>27</v>
      </c>
      <c r="D841" s="19" t="s">
        <v>355</v>
      </c>
      <c r="E841" s="19" t="s">
        <v>340</v>
      </c>
      <c r="F841">
        <v>4</v>
      </c>
      <c r="G841">
        <v>1</v>
      </c>
      <c r="H841">
        <v>0</v>
      </c>
      <c r="I841">
        <v>1</v>
      </c>
      <c r="J841">
        <v>-1</v>
      </c>
      <c r="K841">
        <v>0</v>
      </c>
      <c r="L841">
        <v>0</v>
      </c>
      <c r="M841">
        <v>1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4</v>
      </c>
      <c r="T841">
        <v>25</v>
      </c>
      <c r="U841">
        <v>8</v>
      </c>
      <c r="V841" s="19" t="s">
        <v>1268</v>
      </c>
      <c r="W841" s="19" t="s">
        <v>1269</v>
      </c>
      <c r="X841">
        <v>0</v>
      </c>
      <c r="Y841">
        <v>0</v>
      </c>
      <c r="AA841">
        <v>1</v>
      </c>
      <c r="AB841">
        <v>7</v>
      </c>
      <c r="AC841">
        <v>0</v>
      </c>
      <c r="AD841">
        <v>1</v>
      </c>
      <c r="AE841" s="19" t="s">
        <v>60</v>
      </c>
    </row>
    <row r="842" spans="1:31" x14ac:dyDescent="0.2">
      <c r="A842">
        <v>795</v>
      </c>
      <c r="B842" s="19" t="s">
        <v>1270</v>
      </c>
      <c r="C842">
        <v>30</v>
      </c>
      <c r="D842" s="19" t="s">
        <v>405</v>
      </c>
      <c r="E842" s="19" t="s">
        <v>3</v>
      </c>
      <c r="F842">
        <v>13</v>
      </c>
      <c r="G842">
        <v>0</v>
      </c>
      <c r="H842">
        <v>1</v>
      </c>
      <c r="I842">
        <v>1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1</v>
      </c>
      <c r="Q842">
        <v>0</v>
      </c>
      <c r="R842">
        <v>0</v>
      </c>
      <c r="S842">
        <v>0</v>
      </c>
      <c r="U842">
        <v>0</v>
      </c>
      <c r="V842" s="19" t="s">
        <v>1924</v>
      </c>
      <c r="W842" s="19" t="s">
        <v>1585</v>
      </c>
      <c r="X842">
        <v>0</v>
      </c>
      <c r="Y842">
        <v>0</v>
      </c>
      <c r="AA842">
        <v>0</v>
      </c>
      <c r="AB842">
        <v>0</v>
      </c>
      <c r="AC842">
        <v>0</v>
      </c>
      <c r="AD842">
        <v>7</v>
      </c>
      <c r="AE842" s="19" t="s">
        <v>60</v>
      </c>
    </row>
    <row r="843" spans="1:31" x14ac:dyDescent="0.2">
      <c r="A843">
        <v>796</v>
      </c>
      <c r="B843" s="19" t="s">
        <v>1489</v>
      </c>
      <c r="C843">
        <v>31</v>
      </c>
      <c r="D843" s="19" t="s">
        <v>352</v>
      </c>
      <c r="E843" s="19" t="s">
        <v>3</v>
      </c>
      <c r="F843">
        <v>32</v>
      </c>
      <c r="G843">
        <v>0</v>
      </c>
      <c r="H843">
        <v>1</v>
      </c>
      <c r="I843">
        <v>1</v>
      </c>
      <c r="J843">
        <v>0</v>
      </c>
      <c r="K843">
        <v>4</v>
      </c>
      <c r="L843">
        <v>0</v>
      </c>
      <c r="M843">
        <v>0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U843">
        <v>0</v>
      </c>
      <c r="V843" s="19" t="s">
        <v>2576</v>
      </c>
      <c r="W843" s="19" t="s">
        <v>2577</v>
      </c>
      <c r="X843">
        <v>0</v>
      </c>
      <c r="Y843">
        <v>0</v>
      </c>
      <c r="AA843">
        <v>0</v>
      </c>
      <c r="AB843">
        <v>0</v>
      </c>
      <c r="AC843">
        <v>0</v>
      </c>
      <c r="AD843">
        <v>14</v>
      </c>
      <c r="AE843" s="19" t="s">
        <v>60</v>
      </c>
    </row>
    <row r="844" spans="1:31" x14ac:dyDescent="0.2">
      <c r="A844">
        <v>797</v>
      </c>
      <c r="B844" s="19" t="s">
        <v>1915</v>
      </c>
      <c r="C844">
        <v>22</v>
      </c>
      <c r="D844" s="19" t="s">
        <v>373</v>
      </c>
      <c r="E844" s="19" t="s">
        <v>340</v>
      </c>
      <c r="F844">
        <v>7</v>
      </c>
      <c r="G844">
        <v>0</v>
      </c>
      <c r="H844">
        <v>1</v>
      </c>
      <c r="I844">
        <v>1</v>
      </c>
      <c r="J844">
        <v>-3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5</v>
      </c>
      <c r="T844">
        <v>0</v>
      </c>
      <c r="U844">
        <v>9</v>
      </c>
      <c r="V844" s="19" t="s">
        <v>2930</v>
      </c>
      <c r="W844" s="19" t="s">
        <v>810</v>
      </c>
      <c r="X844">
        <v>1</v>
      </c>
      <c r="Y844">
        <v>1</v>
      </c>
      <c r="Z844">
        <v>50</v>
      </c>
      <c r="AA844">
        <v>2</v>
      </c>
      <c r="AB844">
        <v>10</v>
      </c>
      <c r="AC844">
        <v>1</v>
      </c>
      <c r="AD844">
        <v>3</v>
      </c>
      <c r="AE844" s="19" t="s">
        <v>60</v>
      </c>
    </row>
    <row r="845" spans="1:31" x14ac:dyDescent="0.2">
      <c r="A845">
        <v>798</v>
      </c>
      <c r="B845" s="19" t="s">
        <v>1890</v>
      </c>
      <c r="C845">
        <v>24</v>
      </c>
      <c r="D845" s="19" t="s">
        <v>337</v>
      </c>
      <c r="E845" s="19" t="s">
        <v>325</v>
      </c>
      <c r="F845">
        <v>8</v>
      </c>
      <c r="G845">
        <v>1</v>
      </c>
      <c r="H845">
        <v>0</v>
      </c>
      <c r="I845">
        <v>1</v>
      </c>
      <c r="J845">
        <v>-1</v>
      </c>
      <c r="K845">
        <v>0</v>
      </c>
      <c r="L845">
        <v>1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2</v>
      </c>
      <c r="T845">
        <v>50</v>
      </c>
      <c r="U845">
        <v>9</v>
      </c>
      <c r="V845" s="19" t="s">
        <v>2578</v>
      </c>
      <c r="W845" s="19" t="s">
        <v>911</v>
      </c>
      <c r="X845">
        <v>46</v>
      </c>
      <c r="Y845">
        <v>31</v>
      </c>
      <c r="Z845">
        <v>59.7</v>
      </c>
      <c r="AA845">
        <v>6</v>
      </c>
      <c r="AB845">
        <v>19</v>
      </c>
      <c r="AC845">
        <v>4</v>
      </c>
      <c r="AD845">
        <v>2</v>
      </c>
      <c r="AE845" s="19" t="s">
        <v>60</v>
      </c>
    </row>
    <row r="846" spans="1:31" x14ac:dyDescent="0.2">
      <c r="A846">
        <v>799</v>
      </c>
      <c r="B846" s="19" t="s">
        <v>1273</v>
      </c>
      <c r="C846">
        <v>33</v>
      </c>
      <c r="D846" s="19" t="s">
        <v>321</v>
      </c>
      <c r="E846" s="19" t="s">
        <v>3</v>
      </c>
      <c r="F846">
        <v>30</v>
      </c>
      <c r="G846">
        <v>0</v>
      </c>
      <c r="H846">
        <v>1</v>
      </c>
      <c r="I846">
        <v>1</v>
      </c>
      <c r="J846">
        <v>0</v>
      </c>
      <c r="K846">
        <v>2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1</v>
      </c>
      <c r="R846">
        <v>0</v>
      </c>
      <c r="S846">
        <v>0</v>
      </c>
      <c r="U846">
        <v>0</v>
      </c>
      <c r="V846" s="19" t="s">
        <v>2254</v>
      </c>
      <c r="W846" s="19" t="s">
        <v>2251</v>
      </c>
      <c r="X846">
        <v>0</v>
      </c>
      <c r="Y846">
        <v>0</v>
      </c>
      <c r="AA846">
        <v>0</v>
      </c>
      <c r="AB846">
        <v>0</v>
      </c>
      <c r="AC846">
        <v>0</v>
      </c>
      <c r="AD846">
        <v>12</v>
      </c>
      <c r="AE846" s="19" t="s">
        <v>60</v>
      </c>
    </row>
    <row r="847" spans="1:31" x14ac:dyDescent="0.2">
      <c r="A847">
        <v>800</v>
      </c>
      <c r="B847" s="19" t="s">
        <v>1275</v>
      </c>
      <c r="C847">
        <v>21</v>
      </c>
      <c r="D847" s="19" t="s">
        <v>363</v>
      </c>
      <c r="E847" s="19" t="s">
        <v>340</v>
      </c>
      <c r="F847">
        <v>5</v>
      </c>
      <c r="G847">
        <v>0</v>
      </c>
      <c r="H847">
        <v>1</v>
      </c>
      <c r="I847">
        <v>1</v>
      </c>
      <c r="J847">
        <v>-1</v>
      </c>
      <c r="K847">
        <v>7</v>
      </c>
      <c r="L847">
        <v>0</v>
      </c>
      <c r="M847">
        <v>0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4</v>
      </c>
      <c r="T847">
        <v>0</v>
      </c>
      <c r="U847">
        <v>8</v>
      </c>
      <c r="V847" s="19" t="s">
        <v>1276</v>
      </c>
      <c r="W847" s="19" t="s">
        <v>1277</v>
      </c>
      <c r="X847">
        <v>0</v>
      </c>
      <c r="Y847">
        <v>0</v>
      </c>
      <c r="AA847">
        <v>4</v>
      </c>
      <c r="AB847">
        <v>9</v>
      </c>
      <c r="AC847">
        <v>0</v>
      </c>
      <c r="AD847">
        <v>4</v>
      </c>
      <c r="AE847" s="19" t="s">
        <v>60</v>
      </c>
    </row>
    <row r="848" spans="1:31" x14ac:dyDescent="0.2">
      <c r="A848">
        <v>801</v>
      </c>
      <c r="B848" s="19" t="s">
        <v>1280</v>
      </c>
      <c r="C848">
        <v>35</v>
      </c>
      <c r="D848" s="19" t="s">
        <v>405</v>
      </c>
      <c r="E848" s="19" t="s">
        <v>340</v>
      </c>
      <c r="F848">
        <v>2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U848">
        <v>1</v>
      </c>
      <c r="V848" s="19" t="s">
        <v>856</v>
      </c>
      <c r="W848" s="19" t="s">
        <v>1281</v>
      </c>
      <c r="X848">
        <v>3</v>
      </c>
      <c r="Y848">
        <v>4</v>
      </c>
      <c r="Z848">
        <v>42.9</v>
      </c>
      <c r="AA848">
        <v>1</v>
      </c>
      <c r="AB848">
        <v>4</v>
      </c>
      <c r="AC848">
        <v>1</v>
      </c>
      <c r="AD848">
        <v>1</v>
      </c>
      <c r="AE848" s="19" t="s">
        <v>60</v>
      </c>
    </row>
    <row r="849" spans="1:31" x14ac:dyDescent="0.2">
      <c r="A849">
        <v>802</v>
      </c>
      <c r="B849" s="19" t="s">
        <v>1568</v>
      </c>
      <c r="C849">
        <v>24</v>
      </c>
      <c r="D849" s="19" t="s">
        <v>359</v>
      </c>
      <c r="E849" s="19" t="s">
        <v>3</v>
      </c>
      <c r="F849">
        <v>1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U849">
        <v>0</v>
      </c>
      <c r="V849" s="19" t="s">
        <v>1418</v>
      </c>
      <c r="W849" s="19" t="s">
        <v>1418</v>
      </c>
      <c r="X849">
        <v>0</v>
      </c>
      <c r="Y849">
        <v>0</v>
      </c>
      <c r="AA849">
        <v>0</v>
      </c>
      <c r="AB849">
        <v>0</v>
      </c>
      <c r="AC849">
        <v>0</v>
      </c>
      <c r="AD849">
        <v>0</v>
      </c>
      <c r="AE849" s="19" t="s">
        <v>60</v>
      </c>
    </row>
    <row r="850" spans="1:31" x14ac:dyDescent="0.2">
      <c r="A850">
        <v>803</v>
      </c>
      <c r="B850" s="19" t="s">
        <v>1282</v>
      </c>
      <c r="C850">
        <v>35</v>
      </c>
      <c r="D850" s="19" t="s">
        <v>399</v>
      </c>
      <c r="E850" s="19" t="s">
        <v>3</v>
      </c>
      <c r="F850">
        <v>25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U850">
        <v>0</v>
      </c>
      <c r="V850" s="19" t="s">
        <v>2223</v>
      </c>
      <c r="W850" s="19" t="s">
        <v>2136</v>
      </c>
      <c r="X850">
        <v>0</v>
      </c>
      <c r="Y850">
        <v>0</v>
      </c>
      <c r="AA850">
        <v>0</v>
      </c>
      <c r="AB850">
        <v>0</v>
      </c>
      <c r="AC850">
        <v>0</v>
      </c>
      <c r="AD850">
        <v>8</v>
      </c>
      <c r="AE850" s="19" t="s">
        <v>60</v>
      </c>
    </row>
    <row r="851" spans="1:31" x14ac:dyDescent="0.2">
      <c r="A851">
        <v>804</v>
      </c>
      <c r="B851" s="19" t="s">
        <v>1283</v>
      </c>
      <c r="C851">
        <v>25</v>
      </c>
      <c r="D851" s="19" t="s">
        <v>447</v>
      </c>
      <c r="E851" s="19" t="s">
        <v>322</v>
      </c>
      <c r="F851">
        <v>2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1</v>
      </c>
      <c r="T851">
        <v>0</v>
      </c>
      <c r="U851">
        <v>3</v>
      </c>
      <c r="V851" s="19" t="s">
        <v>1284</v>
      </c>
      <c r="W851" s="19" t="s">
        <v>1285</v>
      </c>
      <c r="X851">
        <v>1</v>
      </c>
      <c r="Y851">
        <v>1</v>
      </c>
      <c r="Z851">
        <v>50</v>
      </c>
      <c r="AA851">
        <v>1</v>
      </c>
      <c r="AB851">
        <v>2</v>
      </c>
      <c r="AC851">
        <v>0</v>
      </c>
      <c r="AD851">
        <v>1</v>
      </c>
      <c r="AE851" s="19" t="s">
        <v>60</v>
      </c>
    </row>
    <row r="852" spans="1:31" x14ac:dyDescent="0.2">
      <c r="A852">
        <v>805</v>
      </c>
      <c r="B852" s="19" t="s">
        <v>1286</v>
      </c>
      <c r="C852">
        <v>36</v>
      </c>
      <c r="D852" s="19" t="s">
        <v>397</v>
      </c>
      <c r="E852" s="19" t="s">
        <v>3</v>
      </c>
      <c r="F852">
        <v>21</v>
      </c>
      <c r="G852">
        <v>0</v>
      </c>
      <c r="H852">
        <v>0</v>
      </c>
      <c r="I852">
        <v>0</v>
      </c>
      <c r="J852">
        <v>0</v>
      </c>
      <c r="K852">
        <v>4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U852">
        <v>0</v>
      </c>
      <c r="V852" s="19" t="s">
        <v>2314</v>
      </c>
      <c r="W852" s="19" t="s">
        <v>1187</v>
      </c>
      <c r="X852">
        <v>0</v>
      </c>
      <c r="Y852">
        <v>0</v>
      </c>
      <c r="AA852">
        <v>0</v>
      </c>
      <c r="AB852">
        <v>0</v>
      </c>
      <c r="AC852">
        <v>0</v>
      </c>
      <c r="AD852">
        <v>14</v>
      </c>
      <c r="AE852" s="19" t="s">
        <v>60</v>
      </c>
    </row>
    <row r="853" spans="1:31" x14ac:dyDescent="0.2">
      <c r="A853">
        <v>806</v>
      </c>
      <c r="B853" s="19" t="s">
        <v>1287</v>
      </c>
      <c r="C853">
        <v>25</v>
      </c>
      <c r="D853" s="19" t="s">
        <v>459</v>
      </c>
      <c r="E853" s="19" t="s">
        <v>3</v>
      </c>
      <c r="F853">
        <v>15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U853">
        <v>0</v>
      </c>
      <c r="V853" s="19" t="s">
        <v>2224</v>
      </c>
      <c r="W853" s="19" t="s">
        <v>2225</v>
      </c>
      <c r="X853">
        <v>0</v>
      </c>
      <c r="Y853">
        <v>0</v>
      </c>
      <c r="AA853">
        <v>0</v>
      </c>
      <c r="AB853">
        <v>0</v>
      </c>
      <c r="AC853">
        <v>0</v>
      </c>
      <c r="AD853">
        <v>2</v>
      </c>
      <c r="AE853" s="19" t="s">
        <v>60</v>
      </c>
    </row>
    <row r="854" spans="1:31" x14ac:dyDescent="0.2">
      <c r="A854">
        <v>807</v>
      </c>
      <c r="B854" s="19" t="s">
        <v>1288</v>
      </c>
      <c r="C854">
        <v>23</v>
      </c>
      <c r="D854" s="19" t="s">
        <v>324</v>
      </c>
      <c r="E854" s="19" t="s">
        <v>3</v>
      </c>
      <c r="F854">
        <v>31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U854">
        <v>0</v>
      </c>
      <c r="V854" s="19" t="s">
        <v>2226</v>
      </c>
      <c r="W854" s="19" t="s">
        <v>2227</v>
      </c>
      <c r="X854">
        <v>0</v>
      </c>
      <c r="Y854">
        <v>0</v>
      </c>
      <c r="AA854">
        <v>0</v>
      </c>
      <c r="AB854">
        <v>0</v>
      </c>
      <c r="AC854">
        <v>0</v>
      </c>
      <c r="AD854">
        <v>12</v>
      </c>
      <c r="AE854" s="19" t="s">
        <v>60</v>
      </c>
    </row>
    <row r="855" spans="1:31" x14ac:dyDescent="0.2">
      <c r="A855">
        <v>808</v>
      </c>
      <c r="B855" s="19" t="s">
        <v>1821</v>
      </c>
      <c r="C855">
        <v>31</v>
      </c>
      <c r="D855" s="19" t="s">
        <v>359</v>
      </c>
      <c r="E855" s="19" t="s">
        <v>349</v>
      </c>
      <c r="F855">
        <v>1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U855">
        <v>1</v>
      </c>
      <c r="V855" s="19" t="s">
        <v>1540</v>
      </c>
      <c r="W855" s="19" t="s">
        <v>1540</v>
      </c>
      <c r="X855">
        <v>0</v>
      </c>
      <c r="Y855">
        <v>0</v>
      </c>
      <c r="AA855">
        <v>3</v>
      </c>
      <c r="AB855">
        <v>0</v>
      </c>
      <c r="AC855">
        <v>0</v>
      </c>
      <c r="AD855">
        <v>1</v>
      </c>
      <c r="AE855" s="19" t="s">
        <v>60</v>
      </c>
    </row>
    <row r="856" spans="1:31" x14ac:dyDescent="0.2">
      <c r="A856">
        <v>809</v>
      </c>
      <c r="B856" s="19" t="s">
        <v>1290</v>
      </c>
      <c r="C856">
        <v>23</v>
      </c>
      <c r="D856" s="19" t="s">
        <v>361</v>
      </c>
      <c r="E856" s="19" t="s">
        <v>340</v>
      </c>
      <c r="F856">
        <v>12</v>
      </c>
      <c r="G856">
        <v>0</v>
      </c>
      <c r="H856">
        <v>0</v>
      </c>
      <c r="I856">
        <v>0</v>
      </c>
      <c r="J856">
        <v>-1</v>
      </c>
      <c r="K856">
        <v>6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10</v>
      </c>
      <c r="T856">
        <v>0</v>
      </c>
      <c r="U856">
        <v>34</v>
      </c>
      <c r="V856" s="19" t="s">
        <v>1789</v>
      </c>
      <c r="W856" s="19" t="s">
        <v>1586</v>
      </c>
      <c r="X856">
        <v>0</v>
      </c>
      <c r="Y856">
        <v>0</v>
      </c>
      <c r="AA856">
        <v>9</v>
      </c>
      <c r="AB856">
        <v>15</v>
      </c>
      <c r="AC856">
        <v>1</v>
      </c>
      <c r="AD856">
        <v>9</v>
      </c>
      <c r="AE856" s="19" t="s">
        <v>60</v>
      </c>
    </row>
    <row r="857" spans="1:31" x14ac:dyDescent="0.2">
      <c r="A857">
        <v>810</v>
      </c>
      <c r="B857" s="19" t="s">
        <v>2138</v>
      </c>
      <c r="C857">
        <v>24</v>
      </c>
      <c r="D857" s="19" t="s">
        <v>373</v>
      </c>
      <c r="E857" s="19" t="s">
        <v>349</v>
      </c>
      <c r="F857">
        <v>4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5</v>
      </c>
      <c r="T857">
        <v>0</v>
      </c>
      <c r="U857">
        <v>9</v>
      </c>
      <c r="V857" s="19" t="s">
        <v>2931</v>
      </c>
      <c r="W857" s="19" t="s">
        <v>927</v>
      </c>
      <c r="X857">
        <v>0</v>
      </c>
      <c r="Y857">
        <v>0</v>
      </c>
      <c r="AA857">
        <v>5</v>
      </c>
      <c r="AB857">
        <v>4</v>
      </c>
      <c r="AC857">
        <v>0</v>
      </c>
      <c r="AD857">
        <v>3</v>
      </c>
      <c r="AE857" s="19" t="s">
        <v>60</v>
      </c>
    </row>
    <row r="858" spans="1:31" x14ac:dyDescent="0.2">
      <c r="A858">
        <v>811</v>
      </c>
      <c r="B858" s="19" t="s">
        <v>1291</v>
      </c>
      <c r="C858">
        <v>29</v>
      </c>
      <c r="D858" s="19" t="s">
        <v>321</v>
      </c>
      <c r="E858" s="19" t="s">
        <v>3</v>
      </c>
      <c r="F858">
        <v>18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U858">
        <v>0</v>
      </c>
      <c r="V858" s="19" t="s">
        <v>2579</v>
      </c>
      <c r="W858" s="19" t="s">
        <v>2580</v>
      </c>
      <c r="X858">
        <v>0</v>
      </c>
      <c r="Y858">
        <v>0</v>
      </c>
      <c r="AA858">
        <v>0</v>
      </c>
      <c r="AB858">
        <v>0</v>
      </c>
      <c r="AC858">
        <v>0</v>
      </c>
      <c r="AD858">
        <v>1</v>
      </c>
      <c r="AE858" s="19" t="s">
        <v>60</v>
      </c>
    </row>
    <row r="859" spans="1:31" x14ac:dyDescent="0.2">
      <c r="A859">
        <v>812</v>
      </c>
      <c r="B859" s="19" t="s">
        <v>1292</v>
      </c>
      <c r="C859">
        <v>25</v>
      </c>
      <c r="D859" s="19" t="s">
        <v>355</v>
      </c>
      <c r="E859" s="19" t="s">
        <v>335</v>
      </c>
      <c r="F859">
        <v>4</v>
      </c>
      <c r="G859">
        <v>0</v>
      </c>
      <c r="H859">
        <v>0</v>
      </c>
      <c r="I859">
        <v>0</v>
      </c>
      <c r="J859">
        <v>-3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4</v>
      </c>
      <c r="T859">
        <v>0</v>
      </c>
      <c r="U859">
        <v>10</v>
      </c>
      <c r="V859" s="19" t="s">
        <v>1293</v>
      </c>
      <c r="W859" s="19" t="s">
        <v>836</v>
      </c>
      <c r="X859">
        <v>0</v>
      </c>
      <c r="Y859">
        <v>1</v>
      </c>
      <c r="Z859">
        <v>0</v>
      </c>
      <c r="AA859">
        <v>2</v>
      </c>
      <c r="AB859">
        <v>2</v>
      </c>
      <c r="AC859">
        <v>0</v>
      </c>
      <c r="AD859">
        <v>3</v>
      </c>
      <c r="AE859" s="19" t="s">
        <v>60</v>
      </c>
    </row>
    <row r="860" spans="1:31" x14ac:dyDescent="0.2">
      <c r="A860">
        <v>813</v>
      </c>
      <c r="B860" s="19" t="s">
        <v>1702</v>
      </c>
      <c r="C860">
        <v>23</v>
      </c>
      <c r="D860" s="19" t="s">
        <v>416</v>
      </c>
      <c r="E860" s="19" t="s">
        <v>322</v>
      </c>
      <c r="F860">
        <v>1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3</v>
      </c>
      <c r="T860">
        <v>0</v>
      </c>
      <c r="U860">
        <v>5</v>
      </c>
      <c r="V860" s="19" t="s">
        <v>1603</v>
      </c>
      <c r="W860" s="19" t="s">
        <v>1603</v>
      </c>
      <c r="X860">
        <v>0</v>
      </c>
      <c r="Y860">
        <v>0</v>
      </c>
      <c r="AA860">
        <v>0</v>
      </c>
      <c r="AB860">
        <v>0</v>
      </c>
      <c r="AC860">
        <v>0</v>
      </c>
      <c r="AD860">
        <v>0</v>
      </c>
      <c r="AE860" s="19" t="s">
        <v>60</v>
      </c>
    </row>
    <row r="861" spans="1:31" x14ac:dyDescent="0.2">
      <c r="A861">
        <v>814</v>
      </c>
      <c r="B861" s="19" t="s">
        <v>1294</v>
      </c>
      <c r="C861">
        <v>23</v>
      </c>
      <c r="D861" s="19" t="s">
        <v>376</v>
      </c>
      <c r="E861" s="19" t="s">
        <v>322</v>
      </c>
      <c r="F861">
        <v>1</v>
      </c>
      <c r="G861">
        <v>0</v>
      </c>
      <c r="H861">
        <v>0</v>
      </c>
      <c r="I861">
        <v>0</v>
      </c>
      <c r="J861">
        <v>-1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2</v>
      </c>
      <c r="T861">
        <v>0</v>
      </c>
      <c r="U861">
        <v>2</v>
      </c>
      <c r="V861" s="19" t="s">
        <v>1149</v>
      </c>
      <c r="W861" s="19" t="s">
        <v>1149</v>
      </c>
      <c r="X861">
        <v>3</v>
      </c>
      <c r="Y861">
        <v>3</v>
      </c>
      <c r="Z861">
        <v>50</v>
      </c>
      <c r="AA861">
        <v>0</v>
      </c>
      <c r="AB861">
        <v>0</v>
      </c>
      <c r="AC861">
        <v>0</v>
      </c>
      <c r="AD861">
        <v>1</v>
      </c>
      <c r="AE861" s="19" t="s">
        <v>60</v>
      </c>
    </row>
    <row r="862" spans="1:31" x14ac:dyDescent="0.2">
      <c r="A862">
        <v>815</v>
      </c>
      <c r="B862" s="19" t="s">
        <v>1520</v>
      </c>
      <c r="C862">
        <v>23</v>
      </c>
      <c r="D862" s="19" t="s">
        <v>337</v>
      </c>
      <c r="E862" s="19" t="s">
        <v>3</v>
      </c>
      <c r="F862">
        <v>1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U862">
        <v>0</v>
      </c>
      <c r="V862" s="19" t="s">
        <v>341</v>
      </c>
      <c r="W862" s="19" t="s">
        <v>341</v>
      </c>
      <c r="X862">
        <v>0</v>
      </c>
      <c r="Y862">
        <v>0</v>
      </c>
      <c r="AA862">
        <v>0</v>
      </c>
      <c r="AB862">
        <v>0</v>
      </c>
      <c r="AC862">
        <v>0</v>
      </c>
      <c r="AD862">
        <v>0</v>
      </c>
      <c r="AE862" s="19" t="s">
        <v>60</v>
      </c>
    </row>
    <row r="863" spans="1:31" x14ac:dyDescent="0.2">
      <c r="A863">
        <v>816</v>
      </c>
      <c r="B863" s="19" t="s">
        <v>1296</v>
      </c>
      <c r="C863">
        <v>26</v>
      </c>
      <c r="D863" s="19" t="s">
        <v>355</v>
      </c>
      <c r="E863" s="19" t="s">
        <v>349</v>
      </c>
      <c r="F863">
        <v>5</v>
      </c>
      <c r="G863">
        <v>0</v>
      </c>
      <c r="H863">
        <v>0</v>
      </c>
      <c r="I863">
        <v>0</v>
      </c>
      <c r="J863">
        <v>-1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3</v>
      </c>
      <c r="T863">
        <v>0</v>
      </c>
      <c r="U863">
        <v>4</v>
      </c>
      <c r="V863" s="19" t="s">
        <v>1297</v>
      </c>
      <c r="W863" s="19" t="s">
        <v>841</v>
      </c>
      <c r="X863">
        <v>0</v>
      </c>
      <c r="Y863">
        <v>0</v>
      </c>
      <c r="AA863">
        <v>9</v>
      </c>
      <c r="AB863">
        <v>3</v>
      </c>
      <c r="AC863">
        <v>2</v>
      </c>
      <c r="AD863">
        <v>3</v>
      </c>
      <c r="AE863" s="19" t="s">
        <v>60</v>
      </c>
    </row>
    <row r="864" spans="1:31" x14ac:dyDescent="0.2">
      <c r="A864">
        <v>817</v>
      </c>
      <c r="B864" s="19" t="s">
        <v>1298</v>
      </c>
      <c r="C864">
        <v>22</v>
      </c>
      <c r="D864" s="19" t="s">
        <v>399</v>
      </c>
      <c r="E864" s="19" t="s">
        <v>349</v>
      </c>
      <c r="F864">
        <v>2</v>
      </c>
      <c r="G864">
        <v>0</v>
      </c>
      <c r="H864">
        <v>0</v>
      </c>
      <c r="I864">
        <v>0</v>
      </c>
      <c r="J864">
        <v>-3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4</v>
      </c>
      <c r="T864">
        <v>0</v>
      </c>
      <c r="U864">
        <v>8</v>
      </c>
      <c r="V864" s="19" t="s">
        <v>1299</v>
      </c>
      <c r="W864" s="19" t="s">
        <v>555</v>
      </c>
      <c r="X864">
        <v>0</v>
      </c>
      <c r="Y864">
        <v>0</v>
      </c>
      <c r="AA864">
        <v>1</v>
      </c>
      <c r="AB864">
        <v>0</v>
      </c>
      <c r="AC864">
        <v>2</v>
      </c>
      <c r="AD864">
        <v>3</v>
      </c>
      <c r="AE864" s="19" t="s">
        <v>60</v>
      </c>
    </row>
    <row r="865" spans="1:31" x14ac:dyDescent="0.2">
      <c r="A865">
        <v>818</v>
      </c>
      <c r="B865" s="19" t="s">
        <v>1300</v>
      </c>
      <c r="C865">
        <v>28</v>
      </c>
      <c r="D865" s="19" t="s">
        <v>352</v>
      </c>
      <c r="E865" s="19" t="s">
        <v>325</v>
      </c>
      <c r="F865">
        <v>7</v>
      </c>
      <c r="G865">
        <v>0</v>
      </c>
      <c r="H865">
        <v>0</v>
      </c>
      <c r="I865">
        <v>0</v>
      </c>
      <c r="J865">
        <v>0</v>
      </c>
      <c r="K865">
        <v>4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8</v>
      </c>
      <c r="T865">
        <v>0</v>
      </c>
      <c r="U865">
        <v>10</v>
      </c>
      <c r="V865" s="19" t="s">
        <v>1301</v>
      </c>
      <c r="W865" s="19" t="s">
        <v>1266</v>
      </c>
      <c r="X865">
        <v>1</v>
      </c>
      <c r="Y865">
        <v>2</v>
      </c>
      <c r="Z865">
        <v>33.299999999999997</v>
      </c>
      <c r="AA865">
        <v>2</v>
      </c>
      <c r="AB865">
        <v>19</v>
      </c>
      <c r="AC865">
        <v>0</v>
      </c>
      <c r="AD865">
        <v>5</v>
      </c>
      <c r="AE865" s="19" t="s">
        <v>60</v>
      </c>
    </row>
    <row r="866" spans="1:31" x14ac:dyDescent="0.2">
      <c r="A866">
        <v>819</v>
      </c>
      <c r="B866" s="19" t="s">
        <v>1302</v>
      </c>
      <c r="C866">
        <v>22</v>
      </c>
      <c r="D866" s="19" t="s">
        <v>346</v>
      </c>
      <c r="E866" s="19" t="s">
        <v>335</v>
      </c>
      <c r="F866">
        <v>8</v>
      </c>
      <c r="G866">
        <v>0</v>
      </c>
      <c r="H866">
        <v>0</v>
      </c>
      <c r="I866">
        <v>0</v>
      </c>
      <c r="J866">
        <v>0</v>
      </c>
      <c r="K866">
        <v>12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5</v>
      </c>
      <c r="T866">
        <v>0</v>
      </c>
      <c r="U866">
        <v>16</v>
      </c>
      <c r="V866" s="19" t="s">
        <v>1303</v>
      </c>
      <c r="W866" s="19" t="s">
        <v>1304</v>
      </c>
      <c r="X866">
        <v>0</v>
      </c>
      <c r="Y866">
        <v>0</v>
      </c>
      <c r="AA866">
        <v>5</v>
      </c>
      <c r="AB866">
        <v>10</v>
      </c>
      <c r="AC866">
        <v>2</v>
      </c>
      <c r="AD866">
        <v>6</v>
      </c>
      <c r="AE866" s="19" t="s">
        <v>60</v>
      </c>
    </row>
    <row r="867" spans="1:31" x14ac:dyDescent="0.2">
      <c r="A867">
        <v>820</v>
      </c>
      <c r="B867" s="19" t="s">
        <v>1305</v>
      </c>
      <c r="C867">
        <v>22</v>
      </c>
      <c r="D867" s="19" t="s">
        <v>361</v>
      </c>
      <c r="E867" s="19" t="s">
        <v>335</v>
      </c>
      <c r="F867">
        <v>6</v>
      </c>
      <c r="G867">
        <v>0</v>
      </c>
      <c r="H867">
        <v>0</v>
      </c>
      <c r="I867">
        <v>0</v>
      </c>
      <c r="J867">
        <v>-2</v>
      </c>
      <c r="K867">
        <v>7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3</v>
      </c>
      <c r="T867">
        <v>0</v>
      </c>
      <c r="U867">
        <v>6</v>
      </c>
      <c r="V867" s="19" t="s">
        <v>1591</v>
      </c>
      <c r="W867" s="19" t="s">
        <v>1592</v>
      </c>
      <c r="X867">
        <v>0</v>
      </c>
      <c r="Y867">
        <v>0</v>
      </c>
      <c r="AA867">
        <v>3</v>
      </c>
      <c r="AB867">
        <v>13</v>
      </c>
      <c r="AC867">
        <v>0</v>
      </c>
      <c r="AD867">
        <v>1</v>
      </c>
      <c r="AE867" s="19" t="s">
        <v>60</v>
      </c>
    </row>
    <row r="868" spans="1:31" x14ac:dyDescent="0.2">
      <c r="A868">
        <v>821</v>
      </c>
      <c r="B868" s="19" t="s">
        <v>1881</v>
      </c>
      <c r="C868">
        <v>27</v>
      </c>
      <c r="D868" s="19" t="s">
        <v>344</v>
      </c>
      <c r="E868" s="19" t="s">
        <v>349</v>
      </c>
      <c r="F868">
        <v>2</v>
      </c>
      <c r="G868">
        <v>0</v>
      </c>
      <c r="H868">
        <v>0</v>
      </c>
      <c r="I868">
        <v>0</v>
      </c>
      <c r="J868">
        <v>-1</v>
      </c>
      <c r="K868">
        <v>2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1</v>
      </c>
      <c r="T868">
        <v>0</v>
      </c>
      <c r="U868">
        <v>4</v>
      </c>
      <c r="V868" s="19" t="s">
        <v>2315</v>
      </c>
      <c r="W868" s="19" t="s">
        <v>2097</v>
      </c>
      <c r="X868">
        <v>0</v>
      </c>
      <c r="Y868">
        <v>0</v>
      </c>
      <c r="AA868">
        <v>4</v>
      </c>
      <c r="AB868">
        <v>4</v>
      </c>
      <c r="AC868">
        <v>0</v>
      </c>
      <c r="AD868">
        <v>2</v>
      </c>
      <c r="AE868" s="19" t="s">
        <v>60</v>
      </c>
    </row>
    <row r="869" spans="1:31" x14ac:dyDescent="0.2">
      <c r="A869">
        <v>822</v>
      </c>
      <c r="B869" s="19" t="s">
        <v>1894</v>
      </c>
      <c r="C869">
        <v>23</v>
      </c>
      <c r="D869" s="19" t="s">
        <v>330</v>
      </c>
      <c r="E869" s="19" t="s">
        <v>3</v>
      </c>
      <c r="F869">
        <v>2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U869">
        <v>0</v>
      </c>
      <c r="V869" s="19" t="s">
        <v>1910</v>
      </c>
      <c r="W869" s="19" t="s">
        <v>1316</v>
      </c>
      <c r="X869">
        <v>0</v>
      </c>
      <c r="Y869">
        <v>0</v>
      </c>
      <c r="AA869">
        <v>0</v>
      </c>
      <c r="AB869">
        <v>0</v>
      </c>
      <c r="AC869">
        <v>0</v>
      </c>
      <c r="AD869">
        <v>0</v>
      </c>
      <c r="AE869" s="19" t="s">
        <v>60</v>
      </c>
    </row>
    <row r="870" spans="1:31" x14ac:dyDescent="0.2">
      <c r="A870">
        <v>823</v>
      </c>
      <c r="B870" s="19" t="s">
        <v>1307</v>
      </c>
      <c r="C870">
        <v>30</v>
      </c>
      <c r="D870" s="19" t="s">
        <v>346</v>
      </c>
      <c r="E870" s="19" t="s">
        <v>3</v>
      </c>
      <c r="F870">
        <v>18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U870">
        <v>0</v>
      </c>
      <c r="V870" s="19" t="s">
        <v>2228</v>
      </c>
      <c r="W870" s="19" t="s">
        <v>2229</v>
      </c>
      <c r="X870">
        <v>0</v>
      </c>
      <c r="Y870">
        <v>0</v>
      </c>
      <c r="AA870">
        <v>0</v>
      </c>
      <c r="AB870">
        <v>0</v>
      </c>
      <c r="AC870">
        <v>0</v>
      </c>
      <c r="AD870">
        <v>7</v>
      </c>
      <c r="AE870" s="19" t="s">
        <v>60</v>
      </c>
    </row>
    <row r="871" spans="1:31" x14ac:dyDescent="0.2">
      <c r="A871">
        <v>824</v>
      </c>
      <c r="B871" s="19" t="s">
        <v>1308</v>
      </c>
      <c r="C871">
        <v>28</v>
      </c>
      <c r="D871" s="19" t="s">
        <v>436</v>
      </c>
      <c r="E871" s="19" t="s">
        <v>3</v>
      </c>
      <c r="F871">
        <v>17</v>
      </c>
      <c r="G871">
        <v>0</v>
      </c>
      <c r="H871">
        <v>0</v>
      </c>
      <c r="I871">
        <v>0</v>
      </c>
      <c r="J871">
        <v>0</v>
      </c>
      <c r="K871">
        <v>2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0</v>
      </c>
      <c r="V871" s="19" t="s">
        <v>2581</v>
      </c>
      <c r="W871" s="19" t="s">
        <v>2582</v>
      </c>
      <c r="X871">
        <v>0</v>
      </c>
      <c r="Y871">
        <v>0</v>
      </c>
      <c r="AA871">
        <v>0</v>
      </c>
      <c r="AB871">
        <v>0</v>
      </c>
      <c r="AC871">
        <v>0</v>
      </c>
      <c r="AD871">
        <v>6</v>
      </c>
      <c r="AE871" s="19" t="s">
        <v>60</v>
      </c>
    </row>
    <row r="872" spans="1:31" x14ac:dyDescent="0.2">
      <c r="A872">
        <v>825</v>
      </c>
      <c r="B872" s="19" t="s">
        <v>1309</v>
      </c>
      <c r="C872">
        <v>18</v>
      </c>
      <c r="D872" s="19" t="s">
        <v>447</v>
      </c>
      <c r="E872" s="19" t="s">
        <v>322</v>
      </c>
      <c r="F872">
        <v>3</v>
      </c>
      <c r="G872">
        <v>0</v>
      </c>
      <c r="H872">
        <v>0</v>
      </c>
      <c r="I872">
        <v>0</v>
      </c>
      <c r="J872">
        <v>-2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U872">
        <v>0</v>
      </c>
      <c r="V872" s="19" t="s">
        <v>1310</v>
      </c>
      <c r="W872" s="19" t="s">
        <v>642</v>
      </c>
      <c r="X872">
        <v>5</v>
      </c>
      <c r="Y872">
        <v>8</v>
      </c>
      <c r="Z872">
        <v>38.5</v>
      </c>
      <c r="AA872">
        <v>1</v>
      </c>
      <c r="AB872">
        <v>3</v>
      </c>
      <c r="AC872">
        <v>0</v>
      </c>
      <c r="AD872">
        <v>4</v>
      </c>
      <c r="AE872" s="19" t="s">
        <v>60</v>
      </c>
    </row>
    <row r="873" spans="1:31" x14ac:dyDescent="0.2">
      <c r="A873">
        <v>826</v>
      </c>
      <c r="B873" s="19" t="s">
        <v>1683</v>
      </c>
      <c r="C873">
        <v>34</v>
      </c>
      <c r="D873" s="19" t="s">
        <v>419</v>
      </c>
      <c r="E873" s="19" t="s">
        <v>3</v>
      </c>
      <c r="F873">
        <v>1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U873">
        <v>0</v>
      </c>
      <c r="V873" s="19" t="s">
        <v>1684</v>
      </c>
      <c r="W873" s="19" t="s">
        <v>1684</v>
      </c>
      <c r="X873">
        <v>0</v>
      </c>
      <c r="Y873">
        <v>0</v>
      </c>
      <c r="AA873">
        <v>0</v>
      </c>
      <c r="AB873">
        <v>0</v>
      </c>
      <c r="AC873">
        <v>0</v>
      </c>
      <c r="AD873">
        <v>0</v>
      </c>
      <c r="AE873" s="19" t="s">
        <v>60</v>
      </c>
    </row>
    <row r="874" spans="1:31" x14ac:dyDescent="0.2">
      <c r="A874">
        <v>827</v>
      </c>
      <c r="B874" s="19" t="s">
        <v>1312</v>
      </c>
      <c r="C874">
        <v>36</v>
      </c>
      <c r="D874" s="19" t="s">
        <v>399</v>
      </c>
      <c r="E874" s="19" t="s">
        <v>335</v>
      </c>
      <c r="F874">
        <v>12</v>
      </c>
      <c r="G874">
        <v>0</v>
      </c>
      <c r="H874">
        <v>0</v>
      </c>
      <c r="I874">
        <v>0</v>
      </c>
      <c r="J874">
        <v>-4</v>
      </c>
      <c r="K874">
        <v>2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10</v>
      </c>
      <c r="T874">
        <v>0</v>
      </c>
      <c r="U874">
        <v>23</v>
      </c>
      <c r="V874" s="19" t="s">
        <v>2583</v>
      </c>
      <c r="W874" s="19" t="s">
        <v>1998</v>
      </c>
      <c r="X874">
        <v>0</v>
      </c>
      <c r="Y874">
        <v>0</v>
      </c>
      <c r="AA874">
        <v>6</v>
      </c>
      <c r="AB874">
        <v>6</v>
      </c>
      <c r="AC874">
        <v>2</v>
      </c>
      <c r="AD874">
        <v>9</v>
      </c>
      <c r="AE874" s="19" t="s">
        <v>60</v>
      </c>
    </row>
    <row r="875" spans="1:31" x14ac:dyDescent="0.2">
      <c r="A875">
        <v>828</v>
      </c>
      <c r="B875" s="19" t="s">
        <v>1313</v>
      </c>
      <c r="C875">
        <v>32</v>
      </c>
      <c r="D875" s="19" t="s">
        <v>428</v>
      </c>
      <c r="E875" s="19" t="s">
        <v>335</v>
      </c>
      <c r="F875">
        <v>4</v>
      </c>
      <c r="G875">
        <v>0</v>
      </c>
      <c r="H875">
        <v>0</v>
      </c>
      <c r="I875">
        <v>0</v>
      </c>
      <c r="J875">
        <v>-2</v>
      </c>
      <c r="K875">
        <v>2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2</v>
      </c>
      <c r="T875">
        <v>0</v>
      </c>
      <c r="U875">
        <v>6</v>
      </c>
      <c r="V875" s="19" t="s">
        <v>1314</v>
      </c>
      <c r="W875" s="19" t="s">
        <v>845</v>
      </c>
      <c r="X875">
        <v>17</v>
      </c>
      <c r="Y875">
        <v>14</v>
      </c>
      <c r="Z875">
        <v>54.8</v>
      </c>
      <c r="AA875">
        <v>4</v>
      </c>
      <c r="AB875">
        <v>3</v>
      </c>
      <c r="AC875">
        <v>0</v>
      </c>
      <c r="AD875">
        <v>3</v>
      </c>
      <c r="AE875" s="19" t="s">
        <v>60</v>
      </c>
    </row>
    <row r="876" spans="1:31" x14ac:dyDescent="0.2">
      <c r="A876">
        <v>829</v>
      </c>
      <c r="B876" s="19" t="s">
        <v>1315</v>
      </c>
      <c r="C876">
        <v>25</v>
      </c>
      <c r="D876" s="19" t="s">
        <v>399</v>
      </c>
      <c r="E876" s="19" t="s">
        <v>3</v>
      </c>
      <c r="F876">
        <v>1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U876">
        <v>0</v>
      </c>
      <c r="V876" s="19" t="s">
        <v>1316</v>
      </c>
      <c r="W876" s="19" t="s">
        <v>1316</v>
      </c>
      <c r="X876">
        <v>0</v>
      </c>
      <c r="Y876">
        <v>0</v>
      </c>
      <c r="AA876">
        <v>0</v>
      </c>
      <c r="AB876">
        <v>0</v>
      </c>
      <c r="AC876">
        <v>0</v>
      </c>
      <c r="AD876">
        <v>2</v>
      </c>
      <c r="AE876" s="19" t="s">
        <v>60</v>
      </c>
    </row>
    <row r="877" spans="1:31" x14ac:dyDescent="0.2">
      <c r="A877">
        <v>830</v>
      </c>
      <c r="B877" s="19" t="s">
        <v>1317</v>
      </c>
      <c r="C877">
        <v>23</v>
      </c>
      <c r="D877" s="19" t="s">
        <v>330</v>
      </c>
      <c r="E877" s="19" t="s">
        <v>349</v>
      </c>
      <c r="F877">
        <v>2</v>
      </c>
      <c r="G877">
        <v>0</v>
      </c>
      <c r="H877">
        <v>0</v>
      </c>
      <c r="I877">
        <v>0</v>
      </c>
      <c r="J877">
        <v>-1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3</v>
      </c>
      <c r="T877">
        <v>0</v>
      </c>
      <c r="U877">
        <v>5</v>
      </c>
      <c r="V877" s="19" t="s">
        <v>1593</v>
      </c>
      <c r="W877" s="19" t="s">
        <v>1578</v>
      </c>
      <c r="X877">
        <v>0</v>
      </c>
      <c r="Y877">
        <v>0</v>
      </c>
      <c r="AA877">
        <v>3</v>
      </c>
      <c r="AB877">
        <v>6</v>
      </c>
      <c r="AC877">
        <v>0</v>
      </c>
      <c r="AD877">
        <v>3</v>
      </c>
      <c r="AE877" s="19" t="s">
        <v>60</v>
      </c>
    </row>
    <row r="878" spans="1:31" x14ac:dyDescent="0.2">
      <c r="A878">
        <v>831</v>
      </c>
      <c r="B878" s="19" t="s">
        <v>1319</v>
      </c>
      <c r="C878">
        <v>34</v>
      </c>
      <c r="D878" s="19" t="s">
        <v>407</v>
      </c>
      <c r="E878" s="19" t="s">
        <v>340</v>
      </c>
      <c r="F878">
        <v>18</v>
      </c>
      <c r="G878">
        <v>0</v>
      </c>
      <c r="H878">
        <v>0</v>
      </c>
      <c r="I878">
        <v>0</v>
      </c>
      <c r="J878">
        <v>-2</v>
      </c>
      <c r="K878">
        <v>24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9</v>
      </c>
      <c r="T878">
        <v>0</v>
      </c>
      <c r="U878">
        <v>18</v>
      </c>
      <c r="V878" s="19" t="s">
        <v>2024</v>
      </c>
      <c r="W878" s="19" t="s">
        <v>2025</v>
      </c>
      <c r="X878">
        <v>1</v>
      </c>
      <c r="Y878">
        <v>0</v>
      </c>
      <c r="Z878">
        <v>100</v>
      </c>
      <c r="AA878">
        <v>5</v>
      </c>
      <c r="AB878">
        <v>60</v>
      </c>
      <c r="AC878">
        <v>2</v>
      </c>
      <c r="AD878">
        <v>7</v>
      </c>
      <c r="AE878" s="19" t="s">
        <v>60</v>
      </c>
    </row>
    <row r="879" spans="1:31" x14ac:dyDescent="0.2">
      <c r="A879">
        <v>832</v>
      </c>
      <c r="B879" s="19" t="s">
        <v>1320</v>
      </c>
      <c r="C879">
        <v>34</v>
      </c>
      <c r="D879" s="19" t="s">
        <v>334</v>
      </c>
      <c r="E879" s="19" t="s">
        <v>3</v>
      </c>
      <c r="F879">
        <v>20</v>
      </c>
      <c r="G879">
        <v>0</v>
      </c>
      <c r="H879">
        <v>0</v>
      </c>
      <c r="I879">
        <v>0</v>
      </c>
      <c r="J879">
        <v>0</v>
      </c>
      <c r="K879">
        <v>2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U879">
        <v>0</v>
      </c>
      <c r="V879" s="19" t="s">
        <v>2316</v>
      </c>
      <c r="W879" s="19" t="s">
        <v>2160</v>
      </c>
      <c r="X879">
        <v>0</v>
      </c>
      <c r="Y879">
        <v>0</v>
      </c>
      <c r="AA879">
        <v>0</v>
      </c>
      <c r="AB879">
        <v>0</v>
      </c>
      <c r="AC879">
        <v>0</v>
      </c>
      <c r="AD879">
        <v>6</v>
      </c>
      <c r="AE879" s="19" t="s">
        <v>60</v>
      </c>
    </row>
    <row r="880" spans="1:31" x14ac:dyDescent="0.2">
      <c r="A880">
        <v>833</v>
      </c>
      <c r="B880" s="19" t="s">
        <v>1321</v>
      </c>
      <c r="C880">
        <v>22</v>
      </c>
      <c r="D880" s="19" t="s">
        <v>373</v>
      </c>
      <c r="E880" s="19" t="s">
        <v>335</v>
      </c>
      <c r="F880">
        <v>6</v>
      </c>
      <c r="G880">
        <v>0</v>
      </c>
      <c r="H880">
        <v>0</v>
      </c>
      <c r="I880">
        <v>0</v>
      </c>
      <c r="J880">
        <v>-3</v>
      </c>
      <c r="K880">
        <v>2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6</v>
      </c>
      <c r="T880">
        <v>0</v>
      </c>
      <c r="U880">
        <v>14</v>
      </c>
      <c r="V880" s="19" t="s">
        <v>1322</v>
      </c>
      <c r="W880" s="19" t="s">
        <v>1323</v>
      </c>
      <c r="X880">
        <v>0</v>
      </c>
      <c r="Y880">
        <v>0</v>
      </c>
      <c r="AA880">
        <v>0</v>
      </c>
      <c r="AB880">
        <v>4</v>
      </c>
      <c r="AC880">
        <v>0</v>
      </c>
      <c r="AD880">
        <v>2</v>
      </c>
      <c r="AE880" s="19" t="s">
        <v>60</v>
      </c>
    </row>
    <row r="881" spans="1:31" x14ac:dyDescent="0.2">
      <c r="A881">
        <v>834</v>
      </c>
      <c r="B881" s="19" t="s">
        <v>1324</v>
      </c>
      <c r="C881">
        <v>24</v>
      </c>
      <c r="D881" s="19" t="s">
        <v>363</v>
      </c>
      <c r="E881" s="19" t="s">
        <v>3</v>
      </c>
      <c r="F881">
        <v>23</v>
      </c>
      <c r="G881">
        <v>0</v>
      </c>
      <c r="H881">
        <v>0</v>
      </c>
      <c r="I881">
        <v>0</v>
      </c>
      <c r="J881">
        <v>0</v>
      </c>
      <c r="K881">
        <v>2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U881">
        <v>0</v>
      </c>
      <c r="V881" s="19" t="s">
        <v>2230</v>
      </c>
      <c r="W881" s="19" t="s">
        <v>2231</v>
      </c>
      <c r="X881">
        <v>0</v>
      </c>
      <c r="Y881">
        <v>0</v>
      </c>
      <c r="AA881">
        <v>0</v>
      </c>
      <c r="AB881">
        <v>0</v>
      </c>
      <c r="AC881">
        <v>0</v>
      </c>
      <c r="AD881">
        <v>10</v>
      </c>
      <c r="AE881" s="19" t="s">
        <v>60</v>
      </c>
    </row>
    <row r="882" spans="1:31" x14ac:dyDescent="0.2">
      <c r="A882">
        <v>835</v>
      </c>
      <c r="B882" s="19" t="s">
        <v>1325</v>
      </c>
      <c r="C882">
        <v>25</v>
      </c>
      <c r="D882" s="19" t="s">
        <v>337</v>
      </c>
      <c r="E882" s="19" t="s">
        <v>3</v>
      </c>
      <c r="F882">
        <v>34</v>
      </c>
      <c r="G882">
        <v>0</v>
      </c>
      <c r="H882">
        <v>0</v>
      </c>
      <c r="I882">
        <v>0</v>
      </c>
      <c r="J882">
        <v>0</v>
      </c>
      <c r="K882">
        <v>4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U882">
        <v>1</v>
      </c>
      <c r="V882" s="19" t="s">
        <v>2584</v>
      </c>
      <c r="W882" s="19" t="s">
        <v>2063</v>
      </c>
      <c r="X882">
        <v>0</v>
      </c>
      <c r="Y882">
        <v>0</v>
      </c>
      <c r="AA882">
        <v>0</v>
      </c>
      <c r="AB882">
        <v>0</v>
      </c>
      <c r="AC882">
        <v>0</v>
      </c>
      <c r="AD882">
        <v>14</v>
      </c>
      <c r="AE882" s="19" t="s">
        <v>60</v>
      </c>
    </row>
    <row r="883" spans="1:31" x14ac:dyDescent="0.2">
      <c r="A883">
        <v>836</v>
      </c>
      <c r="B883" s="19" t="s">
        <v>1790</v>
      </c>
      <c r="C883">
        <v>35</v>
      </c>
      <c r="D883" s="19" t="s">
        <v>361</v>
      </c>
      <c r="E883" s="19" t="s">
        <v>322</v>
      </c>
      <c r="F883">
        <v>2</v>
      </c>
      <c r="G883">
        <v>0</v>
      </c>
      <c r="H883">
        <v>0</v>
      </c>
      <c r="I883">
        <v>0</v>
      </c>
      <c r="J883">
        <v>-1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1</v>
      </c>
      <c r="T883">
        <v>0</v>
      </c>
      <c r="U883">
        <v>3</v>
      </c>
      <c r="V883" s="19" t="s">
        <v>1801</v>
      </c>
      <c r="W883" s="19" t="s">
        <v>1175</v>
      </c>
      <c r="X883">
        <v>1</v>
      </c>
      <c r="Y883">
        <v>2</v>
      </c>
      <c r="Z883">
        <v>33.299999999999997</v>
      </c>
      <c r="AA883">
        <v>1</v>
      </c>
      <c r="AB883">
        <v>3</v>
      </c>
      <c r="AC883">
        <v>0</v>
      </c>
      <c r="AD883">
        <v>0</v>
      </c>
      <c r="AE883" s="19" t="s">
        <v>60</v>
      </c>
    </row>
    <row r="884" spans="1:31" x14ac:dyDescent="0.2">
      <c r="A884">
        <v>837</v>
      </c>
      <c r="B884" s="19" t="s">
        <v>1326</v>
      </c>
      <c r="C884">
        <v>27</v>
      </c>
      <c r="D884" s="19" t="s">
        <v>366</v>
      </c>
      <c r="E884" s="19" t="s">
        <v>322</v>
      </c>
      <c r="F884">
        <v>6</v>
      </c>
      <c r="G884">
        <v>0</v>
      </c>
      <c r="H884">
        <v>0</v>
      </c>
      <c r="I884">
        <v>0</v>
      </c>
      <c r="J884">
        <v>0</v>
      </c>
      <c r="K884">
        <v>2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9</v>
      </c>
      <c r="T884">
        <v>0</v>
      </c>
      <c r="U884">
        <v>19</v>
      </c>
      <c r="V884" s="19" t="s">
        <v>1327</v>
      </c>
      <c r="W884" s="19" t="s">
        <v>481</v>
      </c>
      <c r="X884">
        <v>33</v>
      </c>
      <c r="Y884">
        <v>45</v>
      </c>
      <c r="Z884">
        <v>42.3</v>
      </c>
      <c r="AA884">
        <v>3</v>
      </c>
      <c r="AB884">
        <v>6</v>
      </c>
      <c r="AC884">
        <v>1</v>
      </c>
      <c r="AD884">
        <v>2</v>
      </c>
      <c r="AE884" s="19" t="s">
        <v>60</v>
      </c>
    </row>
    <row r="885" spans="1:31" x14ac:dyDescent="0.2">
      <c r="A885">
        <v>838</v>
      </c>
      <c r="B885" s="19" t="s">
        <v>1328</v>
      </c>
      <c r="C885">
        <v>22</v>
      </c>
      <c r="D885" s="19" t="s">
        <v>363</v>
      </c>
      <c r="E885" s="19" t="s">
        <v>349</v>
      </c>
      <c r="F885">
        <v>11</v>
      </c>
      <c r="G885">
        <v>0</v>
      </c>
      <c r="H885">
        <v>0</v>
      </c>
      <c r="I885">
        <v>0</v>
      </c>
      <c r="J885">
        <v>3</v>
      </c>
      <c r="K885">
        <v>6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7</v>
      </c>
      <c r="T885">
        <v>0</v>
      </c>
      <c r="U885">
        <v>19</v>
      </c>
      <c r="V885" s="19" t="s">
        <v>1777</v>
      </c>
      <c r="W885" s="19" t="s">
        <v>1662</v>
      </c>
      <c r="X885">
        <v>0</v>
      </c>
      <c r="Y885">
        <v>0</v>
      </c>
      <c r="AA885">
        <v>5</v>
      </c>
      <c r="AB885">
        <v>4</v>
      </c>
      <c r="AC885">
        <v>2</v>
      </c>
      <c r="AD885">
        <v>6</v>
      </c>
      <c r="AE885" s="19" t="s">
        <v>60</v>
      </c>
    </row>
    <row r="886" spans="1:31" x14ac:dyDescent="0.2">
      <c r="A886">
        <v>839</v>
      </c>
      <c r="B886" s="19" t="s">
        <v>1330</v>
      </c>
      <c r="C886">
        <v>26</v>
      </c>
      <c r="D886" s="19" t="s">
        <v>407</v>
      </c>
      <c r="E886" s="19" t="s">
        <v>3</v>
      </c>
      <c r="F886">
        <v>22</v>
      </c>
      <c r="G886">
        <v>0</v>
      </c>
      <c r="H886">
        <v>0</v>
      </c>
      <c r="I886">
        <v>0</v>
      </c>
      <c r="J886">
        <v>0</v>
      </c>
      <c r="K886">
        <v>2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0</v>
      </c>
      <c r="V886" s="19" t="s">
        <v>2585</v>
      </c>
      <c r="W886" s="19" t="s">
        <v>2065</v>
      </c>
      <c r="X886">
        <v>0</v>
      </c>
      <c r="Y886">
        <v>0</v>
      </c>
      <c r="AA886">
        <v>0</v>
      </c>
      <c r="AB886">
        <v>0</v>
      </c>
      <c r="AC886">
        <v>0</v>
      </c>
      <c r="AD886">
        <v>4</v>
      </c>
      <c r="AE886" s="19" t="s">
        <v>60</v>
      </c>
    </row>
    <row r="887" spans="1:31" x14ac:dyDescent="0.2">
      <c r="A887">
        <v>840</v>
      </c>
      <c r="B887" s="19" t="s">
        <v>1331</v>
      </c>
      <c r="C887">
        <v>24</v>
      </c>
      <c r="D887" s="19" t="s">
        <v>397</v>
      </c>
      <c r="E887" s="19" t="s">
        <v>349</v>
      </c>
      <c r="F887">
        <v>1</v>
      </c>
      <c r="G887">
        <v>0</v>
      </c>
      <c r="H887">
        <v>0</v>
      </c>
      <c r="I887">
        <v>0</v>
      </c>
      <c r="J887">
        <v>-2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2</v>
      </c>
      <c r="T887">
        <v>0</v>
      </c>
      <c r="U887">
        <v>5</v>
      </c>
      <c r="V887" s="19" t="s">
        <v>871</v>
      </c>
      <c r="W887" s="19" t="s">
        <v>871</v>
      </c>
      <c r="X887">
        <v>0</v>
      </c>
      <c r="Y887">
        <v>0</v>
      </c>
      <c r="AA887">
        <v>3</v>
      </c>
      <c r="AB887">
        <v>1</v>
      </c>
      <c r="AC887">
        <v>0</v>
      </c>
      <c r="AD887">
        <v>0</v>
      </c>
      <c r="AE887" s="19" t="s">
        <v>60</v>
      </c>
    </row>
    <row r="888" spans="1:31" x14ac:dyDescent="0.2">
      <c r="A888">
        <v>841</v>
      </c>
      <c r="B888" s="19" t="s">
        <v>1332</v>
      </c>
      <c r="C888">
        <v>29</v>
      </c>
      <c r="D888" s="19" t="s">
        <v>346</v>
      </c>
      <c r="E888" s="19" t="s">
        <v>349</v>
      </c>
      <c r="F888">
        <v>17</v>
      </c>
      <c r="G888">
        <v>0</v>
      </c>
      <c r="H888">
        <v>0</v>
      </c>
      <c r="I888">
        <v>0</v>
      </c>
      <c r="J888">
        <v>-7</v>
      </c>
      <c r="K888">
        <v>6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11</v>
      </c>
      <c r="T888">
        <v>0</v>
      </c>
      <c r="U888">
        <v>28</v>
      </c>
      <c r="V888" s="19" t="s">
        <v>1853</v>
      </c>
      <c r="W888" s="19" t="s">
        <v>1336</v>
      </c>
      <c r="X888">
        <v>0</v>
      </c>
      <c r="Y888">
        <v>0</v>
      </c>
      <c r="AA888">
        <v>26</v>
      </c>
      <c r="AB888">
        <v>23</v>
      </c>
      <c r="AC888">
        <v>5</v>
      </c>
      <c r="AD888">
        <v>11</v>
      </c>
      <c r="AE888" s="19" t="s">
        <v>60</v>
      </c>
    </row>
    <row r="889" spans="1:31" x14ac:dyDescent="0.2">
      <c r="A889">
        <v>842</v>
      </c>
      <c r="B889" s="19" t="s">
        <v>1334</v>
      </c>
      <c r="C889">
        <v>33</v>
      </c>
      <c r="D889" s="19" t="s">
        <v>447</v>
      </c>
      <c r="E889" s="19" t="s">
        <v>349</v>
      </c>
      <c r="F889">
        <v>2</v>
      </c>
      <c r="G889">
        <v>0</v>
      </c>
      <c r="H889">
        <v>0</v>
      </c>
      <c r="I889">
        <v>0</v>
      </c>
      <c r="J889">
        <v>0</v>
      </c>
      <c r="K889">
        <v>2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1</v>
      </c>
      <c r="T889">
        <v>0</v>
      </c>
      <c r="U889">
        <v>1</v>
      </c>
      <c r="V889" s="19" t="s">
        <v>1335</v>
      </c>
      <c r="W889" s="19" t="s">
        <v>1336</v>
      </c>
      <c r="X889">
        <v>0</v>
      </c>
      <c r="Y889">
        <v>0</v>
      </c>
      <c r="AA889">
        <v>4</v>
      </c>
      <c r="AB889">
        <v>2</v>
      </c>
      <c r="AC889">
        <v>0</v>
      </c>
      <c r="AD889">
        <v>5</v>
      </c>
      <c r="AE889" s="19" t="s">
        <v>60</v>
      </c>
    </row>
    <row r="890" spans="1:31" x14ac:dyDescent="0.2">
      <c r="A890">
        <v>843</v>
      </c>
      <c r="B890" s="19" t="s">
        <v>1337</v>
      </c>
      <c r="C890">
        <v>33</v>
      </c>
      <c r="D890" s="19" t="s">
        <v>419</v>
      </c>
      <c r="E890" s="19" t="s">
        <v>3</v>
      </c>
      <c r="F890">
        <v>19</v>
      </c>
      <c r="G890">
        <v>0</v>
      </c>
      <c r="H890">
        <v>0</v>
      </c>
      <c r="I890">
        <v>0</v>
      </c>
      <c r="J890">
        <v>0</v>
      </c>
      <c r="K890">
        <v>4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U890">
        <v>0</v>
      </c>
      <c r="V890" s="19" t="s">
        <v>2232</v>
      </c>
      <c r="W890" s="19" t="s">
        <v>2233</v>
      </c>
      <c r="X890">
        <v>0</v>
      </c>
      <c r="Y890">
        <v>0</v>
      </c>
      <c r="AA890">
        <v>0</v>
      </c>
      <c r="AB890">
        <v>0</v>
      </c>
      <c r="AC890">
        <v>0</v>
      </c>
      <c r="AD890">
        <v>6</v>
      </c>
      <c r="AE890" s="19" t="s">
        <v>60</v>
      </c>
    </row>
    <row r="891" spans="1:31" x14ac:dyDescent="0.2">
      <c r="A891">
        <v>844</v>
      </c>
      <c r="B891" s="19" t="s">
        <v>1550</v>
      </c>
      <c r="C891">
        <v>21</v>
      </c>
      <c r="D891" s="19" t="s">
        <v>363</v>
      </c>
      <c r="E891" s="19" t="s">
        <v>3</v>
      </c>
      <c r="F891">
        <v>10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U891">
        <v>0</v>
      </c>
      <c r="V891" s="19" t="s">
        <v>2066</v>
      </c>
      <c r="W891" s="19" t="s">
        <v>2067</v>
      </c>
      <c r="X891">
        <v>0</v>
      </c>
      <c r="Y891">
        <v>0</v>
      </c>
      <c r="AA891">
        <v>0</v>
      </c>
      <c r="AB891">
        <v>0</v>
      </c>
      <c r="AC891">
        <v>0</v>
      </c>
      <c r="AD891">
        <v>3</v>
      </c>
      <c r="AE891" s="19" t="s">
        <v>60</v>
      </c>
    </row>
    <row r="892" spans="1:31" x14ac:dyDescent="0.2">
      <c r="A892">
        <v>845</v>
      </c>
      <c r="B892" s="19" t="s">
        <v>1338</v>
      </c>
      <c r="C892">
        <v>24</v>
      </c>
      <c r="D892" s="19" t="s">
        <v>407</v>
      </c>
      <c r="E892" s="19" t="s">
        <v>325</v>
      </c>
      <c r="F892">
        <v>3</v>
      </c>
      <c r="G892">
        <v>0</v>
      </c>
      <c r="H892">
        <v>0</v>
      </c>
      <c r="I892">
        <v>0</v>
      </c>
      <c r="J892">
        <v>-1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3</v>
      </c>
      <c r="T892">
        <v>0</v>
      </c>
      <c r="U892">
        <v>4</v>
      </c>
      <c r="V892" s="19" t="s">
        <v>1339</v>
      </c>
      <c r="W892" s="19" t="s">
        <v>1340</v>
      </c>
      <c r="X892">
        <v>9</v>
      </c>
      <c r="Y892">
        <v>10</v>
      </c>
      <c r="Z892">
        <v>47.4</v>
      </c>
      <c r="AA892">
        <v>1</v>
      </c>
      <c r="AB892">
        <v>2</v>
      </c>
      <c r="AC892">
        <v>0</v>
      </c>
      <c r="AD892">
        <v>2</v>
      </c>
      <c r="AE892" s="19" t="s">
        <v>60</v>
      </c>
    </row>
    <row r="893" spans="1:31" x14ac:dyDescent="0.2">
      <c r="A893">
        <v>846</v>
      </c>
      <c r="B893" s="19" t="s">
        <v>1341</v>
      </c>
      <c r="C893">
        <v>30</v>
      </c>
      <c r="D893" s="19" t="s">
        <v>428</v>
      </c>
      <c r="E893" s="19" t="s">
        <v>349</v>
      </c>
      <c r="F893">
        <v>5</v>
      </c>
      <c r="G893">
        <v>0</v>
      </c>
      <c r="H893">
        <v>0</v>
      </c>
      <c r="I893">
        <v>0</v>
      </c>
      <c r="J893">
        <v>-1</v>
      </c>
      <c r="K893">
        <v>12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1</v>
      </c>
      <c r="T893">
        <v>0</v>
      </c>
      <c r="U893">
        <v>2</v>
      </c>
      <c r="V893" s="19" t="s">
        <v>364</v>
      </c>
      <c r="W893" s="19" t="s">
        <v>1342</v>
      </c>
      <c r="X893">
        <v>0</v>
      </c>
      <c r="Y893">
        <v>0</v>
      </c>
      <c r="AA893">
        <v>0</v>
      </c>
      <c r="AB893">
        <v>8</v>
      </c>
      <c r="AC893">
        <v>0</v>
      </c>
      <c r="AD893">
        <v>0</v>
      </c>
      <c r="AE893" s="19" t="s">
        <v>60</v>
      </c>
    </row>
    <row r="894" spans="1:31" x14ac:dyDescent="0.2">
      <c r="A894">
        <v>847</v>
      </c>
      <c r="B894" s="19" t="s">
        <v>2932</v>
      </c>
      <c r="C894">
        <v>21</v>
      </c>
      <c r="D894" s="19" t="s">
        <v>384</v>
      </c>
      <c r="E894" s="19" t="s">
        <v>349</v>
      </c>
      <c r="F894">
        <v>1</v>
      </c>
      <c r="G894">
        <v>0</v>
      </c>
      <c r="H894">
        <v>0</v>
      </c>
      <c r="I894">
        <v>0</v>
      </c>
      <c r="J894">
        <v>-1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U894">
        <v>0</v>
      </c>
      <c r="V894" s="19" t="s">
        <v>1336</v>
      </c>
      <c r="W894" s="19" t="s">
        <v>1336</v>
      </c>
      <c r="X894">
        <v>0</v>
      </c>
      <c r="Y894">
        <v>0</v>
      </c>
      <c r="AA894">
        <v>1</v>
      </c>
      <c r="AB894">
        <v>0</v>
      </c>
      <c r="AC894">
        <v>0</v>
      </c>
      <c r="AD894">
        <v>1</v>
      </c>
      <c r="AE894" s="19" t="s">
        <v>60</v>
      </c>
    </row>
    <row r="895" spans="1:31" x14ac:dyDescent="0.2">
      <c r="A895">
        <v>848</v>
      </c>
      <c r="B895" s="19" t="s">
        <v>1343</v>
      </c>
      <c r="C895">
        <v>29</v>
      </c>
      <c r="D895" s="19" t="s">
        <v>416</v>
      </c>
      <c r="E895" s="19" t="s">
        <v>349</v>
      </c>
      <c r="F895">
        <v>1</v>
      </c>
      <c r="G895">
        <v>0</v>
      </c>
      <c r="H895">
        <v>0</v>
      </c>
      <c r="I895">
        <v>0</v>
      </c>
      <c r="J895">
        <v>-1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U895">
        <v>2</v>
      </c>
      <c r="V895" s="19" t="s">
        <v>1344</v>
      </c>
      <c r="W895" s="19" t="s">
        <v>1344</v>
      </c>
      <c r="X895">
        <v>0</v>
      </c>
      <c r="Y895">
        <v>0</v>
      </c>
      <c r="AA895">
        <v>1</v>
      </c>
      <c r="AB895">
        <v>0</v>
      </c>
      <c r="AC895">
        <v>0</v>
      </c>
      <c r="AD895">
        <v>3</v>
      </c>
      <c r="AE895" s="19" t="s">
        <v>60</v>
      </c>
    </row>
    <row r="896" spans="1:31" x14ac:dyDescent="0.2">
      <c r="A896">
        <v>849</v>
      </c>
      <c r="B896" s="19" t="s">
        <v>1345</v>
      </c>
      <c r="C896">
        <v>26</v>
      </c>
      <c r="D896" s="19" t="s">
        <v>407</v>
      </c>
      <c r="E896" s="19" t="s">
        <v>349</v>
      </c>
      <c r="F896">
        <v>5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2</v>
      </c>
      <c r="T896">
        <v>0</v>
      </c>
      <c r="U896">
        <v>9</v>
      </c>
      <c r="V896" s="19" t="s">
        <v>1346</v>
      </c>
      <c r="W896" s="19" t="s">
        <v>1347</v>
      </c>
      <c r="X896">
        <v>0</v>
      </c>
      <c r="Y896">
        <v>0</v>
      </c>
      <c r="AA896">
        <v>5</v>
      </c>
      <c r="AB896">
        <v>4</v>
      </c>
      <c r="AC896">
        <v>0</v>
      </c>
      <c r="AD896">
        <v>5</v>
      </c>
      <c r="AE896" s="19" t="s">
        <v>60</v>
      </c>
    </row>
    <row r="897" spans="1:31" x14ac:dyDescent="0.2">
      <c r="A897">
        <v>850</v>
      </c>
      <c r="B897" s="19" t="s">
        <v>1348</v>
      </c>
      <c r="C897">
        <v>24</v>
      </c>
      <c r="D897" s="19" t="s">
        <v>381</v>
      </c>
      <c r="E897" s="19" t="s">
        <v>3</v>
      </c>
      <c r="F897">
        <v>35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1</v>
      </c>
      <c r="T897">
        <v>0</v>
      </c>
      <c r="U897">
        <v>1</v>
      </c>
      <c r="V897" s="19" t="s">
        <v>2933</v>
      </c>
      <c r="W897" s="19" t="s">
        <v>2934</v>
      </c>
      <c r="X897">
        <v>0</v>
      </c>
      <c r="Y897">
        <v>0</v>
      </c>
      <c r="AA897">
        <v>0</v>
      </c>
      <c r="AB897">
        <v>0</v>
      </c>
      <c r="AC897">
        <v>0</v>
      </c>
      <c r="AD897">
        <v>11</v>
      </c>
      <c r="AE897" s="19" t="s">
        <v>60</v>
      </c>
    </row>
    <row r="898" spans="1:31" x14ac:dyDescent="0.2">
      <c r="A898">
        <v>851</v>
      </c>
      <c r="B898" s="19" t="s">
        <v>1352</v>
      </c>
      <c r="C898">
        <v>33</v>
      </c>
      <c r="D898" s="19" t="s">
        <v>371</v>
      </c>
      <c r="E898" s="19" t="s">
        <v>349</v>
      </c>
      <c r="F898">
        <v>1</v>
      </c>
      <c r="G898">
        <v>0</v>
      </c>
      <c r="H898">
        <v>0</v>
      </c>
      <c r="I898">
        <v>0</v>
      </c>
      <c r="J898">
        <v>-1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2</v>
      </c>
      <c r="T898">
        <v>0</v>
      </c>
      <c r="U898">
        <v>2</v>
      </c>
      <c r="V898" s="19" t="s">
        <v>875</v>
      </c>
      <c r="W898" s="19" t="s">
        <v>875</v>
      </c>
      <c r="X898">
        <v>0</v>
      </c>
      <c r="Y898">
        <v>0</v>
      </c>
      <c r="AA898">
        <v>1</v>
      </c>
      <c r="AB898">
        <v>1</v>
      </c>
      <c r="AC898">
        <v>1</v>
      </c>
      <c r="AD898">
        <v>1</v>
      </c>
      <c r="AE898" s="19" t="s">
        <v>60</v>
      </c>
    </row>
    <row r="899" spans="1:31" x14ac:dyDescent="0.2">
      <c r="A899">
        <v>852</v>
      </c>
      <c r="B899" s="19" t="s">
        <v>1354</v>
      </c>
      <c r="C899">
        <v>21</v>
      </c>
      <c r="D899" s="19" t="s">
        <v>357</v>
      </c>
      <c r="E899" s="19" t="s">
        <v>322</v>
      </c>
      <c r="F899">
        <v>5</v>
      </c>
      <c r="G899">
        <v>0</v>
      </c>
      <c r="H899">
        <v>0</v>
      </c>
      <c r="I899">
        <v>0</v>
      </c>
      <c r="J899">
        <v>-4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4</v>
      </c>
      <c r="T899">
        <v>0</v>
      </c>
      <c r="U899">
        <v>6</v>
      </c>
      <c r="V899" s="19" t="s">
        <v>1451</v>
      </c>
      <c r="W899" s="19" t="s">
        <v>2127</v>
      </c>
      <c r="X899">
        <v>18</v>
      </c>
      <c r="Y899">
        <v>19</v>
      </c>
      <c r="Z899">
        <v>48.6</v>
      </c>
      <c r="AA899">
        <v>1</v>
      </c>
      <c r="AB899">
        <v>6</v>
      </c>
      <c r="AC899">
        <v>1</v>
      </c>
      <c r="AD899">
        <v>3</v>
      </c>
      <c r="AE899" s="19" t="s">
        <v>60</v>
      </c>
    </row>
    <row r="900" spans="1:31" x14ac:dyDescent="0.2">
      <c r="A900">
        <v>853</v>
      </c>
      <c r="B900" s="19" t="s">
        <v>1570</v>
      </c>
      <c r="C900">
        <v>29</v>
      </c>
      <c r="D900" s="19" t="s">
        <v>352</v>
      </c>
      <c r="E900" s="19" t="s">
        <v>3</v>
      </c>
      <c r="F900">
        <v>1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U900">
        <v>0</v>
      </c>
      <c r="V900" s="19" t="s">
        <v>1571</v>
      </c>
      <c r="W900" s="19" t="s">
        <v>1571</v>
      </c>
      <c r="X900">
        <v>0</v>
      </c>
      <c r="Y900">
        <v>0</v>
      </c>
      <c r="AA900">
        <v>0</v>
      </c>
      <c r="AB900">
        <v>0</v>
      </c>
      <c r="AC900">
        <v>0</v>
      </c>
      <c r="AD900">
        <v>0</v>
      </c>
      <c r="AE900" s="19" t="s">
        <v>60</v>
      </c>
    </row>
    <row r="901" spans="1:31" x14ac:dyDescent="0.2">
      <c r="A901">
        <v>854</v>
      </c>
      <c r="B901" s="19" t="s">
        <v>1355</v>
      </c>
      <c r="C901">
        <v>27</v>
      </c>
      <c r="D901" s="19" t="s">
        <v>344</v>
      </c>
      <c r="E901" s="19" t="s">
        <v>3</v>
      </c>
      <c r="F901">
        <v>12</v>
      </c>
      <c r="G901">
        <v>0</v>
      </c>
      <c r="H901">
        <v>0</v>
      </c>
      <c r="I901">
        <v>0</v>
      </c>
      <c r="J901">
        <v>0</v>
      </c>
      <c r="K901">
        <v>2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U901">
        <v>0</v>
      </c>
      <c r="V901" s="19" t="s">
        <v>1882</v>
      </c>
      <c r="W901" s="19" t="s">
        <v>1883</v>
      </c>
      <c r="X901">
        <v>0</v>
      </c>
      <c r="Y901">
        <v>0</v>
      </c>
      <c r="AA901">
        <v>0</v>
      </c>
      <c r="AB901">
        <v>0</v>
      </c>
      <c r="AC901">
        <v>0</v>
      </c>
      <c r="AD901">
        <v>5</v>
      </c>
      <c r="AE901" s="19" t="s">
        <v>60</v>
      </c>
    </row>
    <row r="902" spans="1:31" x14ac:dyDescent="0.2">
      <c r="A902">
        <v>855</v>
      </c>
      <c r="B902" s="19" t="s">
        <v>1358</v>
      </c>
      <c r="C902">
        <v>30</v>
      </c>
      <c r="D902" s="19" t="s">
        <v>530</v>
      </c>
      <c r="E902" s="19" t="s">
        <v>322</v>
      </c>
      <c r="F902">
        <v>3</v>
      </c>
      <c r="G902">
        <v>0</v>
      </c>
      <c r="H902">
        <v>0</v>
      </c>
      <c r="I902">
        <v>0</v>
      </c>
      <c r="J902">
        <v>-1</v>
      </c>
      <c r="K902">
        <v>2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2</v>
      </c>
      <c r="T902">
        <v>0</v>
      </c>
      <c r="U902">
        <v>5</v>
      </c>
      <c r="V902" s="19" t="s">
        <v>1359</v>
      </c>
      <c r="W902" s="19" t="s">
        <v>1360</v>
      </c>
      <c r="X902">
        <v>6</v>
      </c>
      <c r="Y902">
        <v>9</v>
      </c>
      <c r="Z902">
        <v>40</v>
      </c>
      <c r="AA902">
        <v>2</v>
      </c>
      <c r="AB902">
        <v>7</v>
      </c>
      <c r="AC902">
        <v>1</v>
      </c>
      <c r="AD902">
        <v>2</v>
      </c>
      <c r="AE902" s="19" t="s">
        <v>60</v>
      </c>
    </row>
    <row r="903" spans="1:31" x14ac:dyDescent="0.2">
      <c r="A903">
        <v>856</v>
      </c>
      <c r="B903" s="19" t="s">
        <v>1362</v>
      </c>
      <c r="C903">
        <v>32</v>
      </c>
      <c r="D903" s="19" t="s">
        <v>346</v>
      </c>
      <c r="E903" s="19" t="s">
        <v>3</v>
      </c>
      <c r="F903">
        <v>32</v>
      </c>
      <c r="G903">
        <v>0</v>
      </c>
      <c r="H903">
        <v>0</v>
      </c>
      <c r="I903">
        <v>0</v>
      </c>
      <c r="J903">
        <v>0</v>
      </c>
      <c r="K903">
        <v>2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U903">
        <v>0</v>
      </c>
      <c r="V903" s="19" t="s">
        <v>2935</v>
      </c>
      <c r="W903" s="19" t="s">
        <v>2936</v>
      </c>
      <c r="X903">
        <v>0</v>
      </c>
      <c r="Y903">
        <v>0</v>
      </c>
      <c r="AA903">
        <v>0</v>
      </c>
      <c r="AB903">
        <v>0</v>
      </c>
      <c r="AC903">
        <v>0</v>
      </c>
      <c r="AD903">
        <v>11</v>
      </c>
      <c r="AE903" s="19" t="s">
        <v>60</v>
      </c>
    </row>
    <row r="904" spans="1:31" x14ac:dyDescent="0.2">
      <c r="A904">
        <v>857</v>
      </c>
      <c r="B904" s="19" t="s">
        <v>1363</v>
      </c>
      <c r="C904">
        <v>24</v>
      </c>
      <c r="D904" s="19" t="s">
        <v>359</v>
      </c>
      <c r="E904" s="19" t="s">
        <v>3</v>
      </c>
      <c r="F904">
        <v>19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U904">
        <v>0</v>
      </c>
      <c r="V904" s="19" t="s">
        <v>2199</v>
      </c>
      <c r="W904" s="19" t="s">
        <v>2200</v>
      </c>
      <c r="X904">
        <v>0</v>
      </c>
      <c r="Y904">
        <v>0</v>
      </c>
      <c r="AA904">
        <v>0</v>
      </c>
      <c r="AB904">
        <v>0</v>
      </c>
      <c r="AC904">
        <v>0</v>
      </c>
      <c r="AD904">
        <v>6</v>
      </c>
      <c r="AE904" s="19" t="s">
        <v>60</v>
      </c>
    </row>
    <row r="905" spans="1:31" x14ac:dyDescent="0.2">
      <c r="A905">
        <v>858</v>
      </c>
      <c r="B905" s="19" t="s">
        <v>1364</v>
      </c>
      <c r="C905">
        <v>29</v>
      </c>
      <c r="D905" s="19" t="s">
        <v>344</v>
      </c>
      <c r="E905" s="19" t="s">
        <v>3</v>
      </c>
      <c r="F905">
        <v>8</v>
      </c>
      <c r="G905">
        <v>0</v>
      </c>
      <c r="H905">
        <v>0</v>
      </c>
      <c r="I905">
        <v>0</v>
      </c>
      <c r="J905">
        <v>0</v>
      </c>
      <c r="K905">
        <v>2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U905">
        <v>0</v>
      </c>
      <c r="V905" s="19" t="s">
        <v>2586</v>
      </c>
      <c r="W905" s="19" t="s">
        <v>2587</v>
      </c>
      <c r="X905">
        <v>0</v>
      </c>
      <c r="Y905">
        <v>0</v>
      </c>
      <c r="AA905">
        <v>0</v>
      </c>
      <c r="AB905">
        <v>0</v>
      </c>
      <c r="AC905">
        <v>0</v>
      </c>
      <c r="AD905">
        <v>0</v>
      </c>
      <c r="AE905" s="19" t="s">
        <v>60</v>
      </c>
    </row>
    <row r="906" spans="1:31" x14ac:dyDescent="0.2">
      <c r="A906">
        <v>859</v>
      </c>
      <c r="B906" s="19" t="s">
        <v>1365</v>
      </c>
      <c r="C906">
        <v>29</v>
      </c>
      <c r="D906" s="19" t="s">
        <v>416</v>
      </c>
      <c r="E906" s="19" t="s">
        <v>335</v>
      </c>
      <c r="F906">
        <v>9</v>
      </c>
      <c r="G906">
        <v>0</v>
      </c>
      <c r="H906">
        <v>0</v>
      </c>
      <c r="I906">
        <v>0</v>
      </c>
      <c r="J906">
        <v>-1</v>
      </c>
      <c r="K906">
        <v>11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3</v>
      </c>
      <c r="T906">
        <v>0</v>
      </c>
      <c r="U906">
        <v>10</v>
      </c>
      <c r="V906" s="19" t="s">
        <v>1366</v>
      </c>
      <c r="W906" s="19" t="s">
        <v>1367</v>
      </c>
      <c r="X906">
        <v>0</v>
      </c>
      <c r="Y906">
        <v>0</v>
      </c>
      <c r="AA906">
        <v>0</v>
      </c>
      <c r="AB906">
        <v>23</v>
      </c>
      <c r="AC906">
        <v>0</v>
      </c>
      <c r="AD906">
        <v>3</v>
      </c>
      <c r="AE906" s="19" t="s">
        <v>60</v>
      </c>
    </row>
    <row r="907" spans="1:31" x14ac:dyDescent="0.2">
      <c r="A907">
        <v>860</v>
      </c>
      <c r="B907" s="19" t="s">
        <v>1368</v>
      </c>
      <c r="C907">
        <v>25</v>
      </c>
      <c r="D907" s="19" t="s">
        <v>513</v>
      </c>
      <c r="E907" s="19" t="s">
        <v>3</v>
      </c>
      <c r="F907">
        <v>28</v>
      </c>
      <c r="G907">
        <v>0</v>
      </c>
      <c r="H907">
        <v>0</v>
      </c>
      <c r="I907">
        <v>0</v>
      </c>
      <c r="J907">
        <v>0</v>
      </c>
      <c r="K907">
        <v>2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U907">
        <v>4</v>
      </c>
      <c r="V907" s="19" t="s">
        <v>2937</v>
      </c>
      <c r="W907" s="19" t="s">
        <v>2938</v>
      </c>
      <c r="X907">
        <v>0</v>
      </c>
      <c r="Y907">
        <v>0</v>
      </c>
      <c r="AA907">
        <v>0</v>
      </c>
      <c r="AB907">
        <v>0</v>
      </c>
      <c r="AC907">
        <v>0</v>
      </c>
      <c r="AD907">
        <v>24</v>
      </c>
      <c r="AE907" s="19" t="s">
        <v>60</v>
      </c>
    </row>
    <row r="908" spans="1:31" x14ac:dyDescent="0.2">
      <c r="A908">
        <v>861</v>
      </c>
      <c r="B908" s="19" t="s">
        <v>1778</v>
      </c>
      <c r="C908">
        <v>31</v>
      </c>
      <c r="D908" s="19" t="s">
        <v>384</v>
      </c>
      <c r="E908" s="19" t="s">
        <v>3</v>
      </c>
      <c r="F908">
        <v>1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0</v>
      </c>
      <c r="V908" s="19" t="s">
        <v>1627</v>
      </c>
      <c r="W908" s="19" t="s">
        <v>1627</v>
      </c>
      <c r="X908">
        <v>0</v>
      </c>
      <c r="Y908">
        <v>0</v>
      </c>
      <c r="AA908">
        <v>0</v>
      </c>
      <c r="AB908">
        <v>0</v>
      </c>
      <c r="AC908">
        <v>0</v>
      </c>
      <c r="AD908">
        <v>0</v>
      </c>
      <c r="AE908" s="19" t="s">
        <v>60</v>
      </c>
    </row>
    <row r="909" spans="1:31" x14ac:dyDescent="0.2">
      <c r="A909">
        <v>862</v>
      </c>
      <c r="B909" s="19" t="s">
        <v>1370</v>
      </c>
      <c r="C909">
        <v>30</v>
      </c>
      <c r="D909" s="19" t="s">
        <v>436</v>
      </c>
      <c r="E909" s="19" t="s">
        <v>340</v>
      </c>
      <c r="F909">
        <v>3</v>
      </c>
      <c r="G909">
        <v>0</v>
      </c>
      <c r="H909">
        <v>0</v>
      </c>
      <c r="I909">
        <v>0</v>
      </c>
      <c r="J909">
        <v>-3</v>
      </c>
      <c r="K909">
        <v>2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4</v>
      </c>
      <c r="T909">
        <v>0</v>
      </c>
      <c r="U909">
        <v>5</v>
      </c>
      <c r="V909" s="19" t="s">
        <v>2068</v>
      </c>
      <c r="W909" s="19" t="s">
        <v>1077</v>
      </c>
      <c r="X909">
        <v>0</v>
      </c>
      <c r="Y909">
        <v>0</v>
      </c>
      <c r="AA909">
        <v>4</v>
      </c>
      <c r="AB909">
        <v>9</v>
      </c>
      <c r="AC909">
        <v>0</v>
      </c>
      <c r="AD909">
        <v>3</v>
      </c>
      <c r="AE909" s="19" t="s">
        <v>60</v>
      </c>
    </row>
    <row r="910" spans="1:31" x14ac:dyDescent="0.2">
      <c r="A910">
        <v>863</v>
      </c>
      <c r="B910" s="19" t="s">
        <v>1371</v>
      </c>
      <c r="C910">
        <v>30</v>
      </c>
      <c r="D910" s="19" t="s">
        <v>337</v>
      </c>
      <c r="E910" s="19" t="s">
        <v>3</v>
      </c>
      <c r="F910">
        <v>11</v>
      </c>
      <c r="G910">
        <v>0</v>
      </c>
      <c r="H910">
        <v>0</v>
      </c>
      <c r="I910">
        <v>0</v>
      </c>
      <c r="J910">
        <v>0</v>
      </c>
      <c r="K910">
        <v>2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U910">
        <v>0</v>
      </c>
      <c r="V910" s="19" t="s">
        <v>2140</v>
      </c>
      <c r="W910" s="19" t="s">
        <v>1883</v>
      </c>
      <c r="X910">
        <v>0</v>
      </c>
      <c r="Y910">
        <v>0</v>
      </c>
      <c r="AA910">
        <v>0</v>
      </c>
      <c r="AB910">
        <v>0</v>
      </c>
      <c r="AC910">
        <v>0</v>
      </c>
      <c r="AD910">
        <v>6</v>
      </c>
      <c r="AE910" s="19" t="s">
        <v>60</v>
      </c>
    </row>
    <row r="911" spans="1:31" x14ac:dyDescent="0.2">
      <c r="A911">
        <v>864</v>
      </c>
      <c r="B911" s="19" t="s">
        <v>1372</v>
      </c>
      <c r="C911">
        <v>29</v>
      </c>
      <c r="D911" s="19" t="s">
        <v>376</v>
      </c>
      <c r="E911" s="19" t="s">
        <v>340</v>
      </c>
      <c r="F911">
        <v>2</v>
      </c>
      <c r="G911">
        <v>0</v>
      </c>
      <c r="H911">
        <v>0</v>
      </c>
      <c r="I911">
        <v>0</v>
      </c>
      <c r="J911">
        <v>0</v>
      </c>
      <c r="K911">
        <v>5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2</v>
      </c>
      <c r="T911">
        <v>0</v>
      </c>
      <c r="U911">
        <v>4</v>
      </c>
      <c r="V911" s="19" t="s">
        <v>662</v>
      </c>
      <c r="W911" s="19" t="s">
        <v>1373</v>
      </c>
      <c r="X911">
        <v>0</v>
      </c>
      <c r="Y911">
        <v>0</v>
      </c>
      <c r="AA911">
        <v>0</v>
      </c>
      <c r="AB911">
        <v>3</v>
      </c>
      <c r="AC911">
        <v>0</v>
      </c>
      <c r="AD911">
        <v>2</v>
      </c>
      <c r="AE911" s="19" t="s">
        <v>60</v>
      </c>
    </row>
    <row r="912" spans="1:31" x14ac:dyDescent="0.2">
      <c r="A912">
        <v>865</v>
      </c>
      <c r="B912" s="19" t="s">
        <v>1375</v>
      </c>
      <c r="C912">
        <v>30</v>
      </c>
      <c r="D912" s="19" t="s">
        <v>950</v>
      </c>
      <c r="E912" s="19" t="s">
        <v>3</v>
      </c>
      <c r="F912">
        <v>22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U912">
        <v>0</v>
      </c>
      <c r="V912" s="19" t="s">
        <v>2939</v>
      </c>
      <c r="W912" s="19" t="s">
        <v>2940</v>
      </c>
      <c r="X912">
        <v>0</v>
      </c>
      <c r="Y912">
        <v>0</v>
      </c>
      <c r="AA912">
        <v>0</v>
      </c>
      <c r="AB912">
        <v>0</v>
      </c>
      <c r="AC912">
        <v>0</v>
      </c>
      <c r="AD912">
        <v>12</v>
      </c>
      <c r="AE912" s="19" t="s">
        <v>60</v>
      </c>
    </row>
    <row r="913" spans="1:31" x14ac:dyDescent="0.2">
      <c r="A913">
        <v>865</v>
      </c>
      <c r="B913" s="19" t="s">
        <v>1375</v>
      </c>
      <c r="C913">
        <v>30</v>
      </c>
      <c r="D913" s="19" t="s">
        <v>376</v>
      </c>
      <c r="E913" s="19" t="s">
        <v>3</v>
      </c>
      <c r="F913">
        <v>14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U913">
        <v>0</v>
      </c>
      <c r="V913" s="19" t="s">
        <v>1551</v>
      </c>
      <c r="W913" s="19" t="s">
        <v>1552</v>
      </c>
      <c r="X913">
        <v>0</v>
      </c>
      <c r="Y913">
        <v>0</v>
      </c>
      <c r="AA913">
        <v>0</v>
      </c>
      <c r="AB913">
        <v>0</v>
      </c>
      <c r="AC913">
        <v>0</v>
      </c>
      <c r="AD913">
        <v>4</v>
      </c>
      <c r="AE913" s="19" t="s">
        <v>60</v>
      </c>
    </row>
    <row r="914" spans="1:31" x14ac:dyDescent="0.2">
      <c r="A914">
        <v>865</v>
      </c>
      <c r="B914" s="19" t="s">
        <v>1375</v>
      </c>
      <c r="C914">
        <v>30</v>
      </c>
      <c r="D914" s="19" t="s">
        <v>328</v>
      </c>
      <c r="E914" s="19" t="s">
        <v>3</v>
      </c>
      <c r="F914">
        <v>8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U914">
        <v>0</v>
      </c>
      <c r="V914" s="19" t="s">
        <v>2941</v>
      </c>
      <c r="W914" s="19" t="s">
        <v>2942</v>
      </c>
      <c r="X914">
        <v>0</v>
      </c>
      <c r="Y914">
        <v>0</v>
      </c>
      <c r="AA914">
        <v>0</v>
      </c>
      <c r="AB914">
        <v>0</v>
      </c>
      <c r="AC914">
        <v>0</v>
      </c>
      <c r="AD914">
        <v>8</v>
      </c>
      <c r="AE914" s="19" t="s">
        <v>60</v>
      </c>
    </row>
    <row r="915" spans="1:31" x14ac:dyDescent="0.2">
      <c r="A915">
        <v>866</v>
      </c>
      <c r="B915" s="19" t="s">
        <v>1376</v>
      </c>
      <c r="C915">
        <v>22</v>
      </c>
      <c r="D915" s="19" t="s">
        <v>357</v>
      </c>
      <c r="E915" s="19" t="s">
        <v>349</v>
      </c>
      <c r="F915">
        <v>22</v>
      </c>
      <c r="G915">
        <v>0</v>
      </c>
      <c r="H915">
        <v>0</v>
      </c>
      <c r="I915">
        <v>0</v>
      </c>
      <c r="J915">
        <v>-1</v>
      </c>
      <c r="K915">
        <v>14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12</v>
      </c>
      <c r="T915">
        <v>0</v>
      </c>
      <c r="U915">
        <v>36</v>
      </c>
      <c r="V915" s="19" t="s">
        <v>2943</v>
      </c>
      <c r="W915" s="19" t="s">
        <v>1990</v>
      </c>
      <c r="X915">
        <v>0</v>
      </c>
      <c r="Y915">
        <v>0</v>
      </c>
      <c r="AA915">
        <v>17</v>
      </c>
      <c r="AB915">
        <v>6</v>
      </c>
      <c r="AC915">
        <v>3</v>
      </c>
      <c r="AD915">
        <v>20</v>
      </c>
      <c r="AE915" s="19" t="s">
        <v>60</v>
      </c>
    </row>
    <row r="916" spans="1:31" x14ac:dyDescent="0.2">
      <c r="A916">
        <v>867</v>
      </c>
      <c r="B916" s="19" t="s">
        <v>1377</v>
      </c>
      <c r="C916">
        <v>30</v>
      </c>
      <c r="D916" s="19" t="s">
        <v>352</v>
      </c>
      <c r="E916" s="19" t="s">
        <v>3</v>
      </c>
      <c r="F916">
        <v>19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U916">
        <v>0</v>
      </c>
      <c r="V916" s="19" t="s">
        <v>2944</v>
      </c>
      <c r="W916" s="19" t="s">
        <v>2945</v>
      </c>
      <c r="X916">
        <v>0</v>
      </c>
      <c r="Y916">
        <v>0</v>
      </c>
      <c r="AA916">
        <v>0</v>
      </c>
      <c r="AB916">
        <v>0</v>
      </c>
      <c r="AC916">
        <v>0</v>
      </c>
      <c r="AD916">
        <v>2</v>
      </c>
      <c r="AE916" s="19" t="s">
        <v>60</v>
      </c>
    </row>
    <row r="917" spans="1:31" x14ac:dyDescent="0.2">
      <c r="A917">
        <v>868</v>
      </c>
      <c r="B917" s="19" t="s">
        <v>1378</v>
      </c>
      <c r="C917">
        <v>24</v>
      </c>
      <c r="D917" s="19" t="s">
        <v>428</v>
      </c>
      <c r="E917" s="19" t="s">
        <v>349</v>
      </c>
      <c r="F917">
        <v>3</v>
      </c>
      <c r="G917">
        <v>0</v>
      </c>
      <c r="H917">
        <v>0</v>
      </c>
      <c r="I917">
        <v>0</v>
      </c>
      <c r="J917">
        <v>0</v>
      </c>
      <c r="K917">
        <v>2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U917">
        <v>4</v>
      </c>
      <c r="V917" s="19" t="s">
        <v>1379</v>
      </c>
      <c r="W917" s="19" t="s">
        <v>1380</v>
      </c>
      <c r="X917">
        <v>0</v>
      </c>
      <c r="Y917">
        <v>0</v>
      </c>
      <c r="AA917">
        <v>3</v>
      </c>
      <c r="AB917">
        <v>2</v>
      </c>
      <c r="AC917">
        <v>2</v>
      </c>
      <c r="AD917">
        <v>2</v>
      </c>
      <c r="AE917" s="19" t="s">
        <v>60</v>
      </c>
    </row>
    <row r="918" spans="1:31" x14ac:dyDescent="0.2">
      <c r="A918">
        <v>869</v>
      </c>
      <c r="B918" s="19" t="s">
        <v>1383</v>
      </c>
      <c r="C918">
        <v>21</v>
      </c>
      <c r="D918" s="19" t="s">
        <v>513</v>
      </c>
      <c r="E918" s="19" t="s">
        <v>322</v>
      </c>
      <c r="F918">
        <v>5</v>
      </c>
      <c r="G918">
        <v>0</v>
      </c>
      <c r="H918">
        <v>0</v>
      </c>
      <c r="I918">
        <v>0</v>
      </c>
      <c r="J918">
        <v>-6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6</v>
      </c>
      <c r="T918">
        <v>0</v>
      </c>
      <c r="U918">
        <v>8</v>
      </c>
      <c r="V918" s="19" t="s">
        <v>1553</v>
      </c>
      <c r="W918" s="19" t="s">
        <v>1154</v>
      </c>
      <c r="X918">
        <v>1</v>
      </c>
      <c r="Y918">
        <v>1</v>
      </c>
      <c r="Z918">
        <v>50</v>
      </c>
      <c r="AA918">
        <v>3</v>
      </c>
      <c r="AB918">
        <v>2</v>
      </c>
      <c r="AC918">
        <v>0</v>
      </c>
      <c r="AD918">
        <v>2</v>
      </c>
      <c r="AE918" s="19" t="s">
        <v>60</v>
      </c>
    </row>
    <row r="919" spans="1:31" x14ac:dyDescent="0.2">
      <c r="A919">
        <v>870</v>
      </c>
      <c r="B919" s="19" t="s">
        <v>1384</v>
      </c>
      <c r="C919">
        <v>27</v>
      </c>
      <c r="D919" s="19" t="s">
        <v>352</v>
      </c>
      <c r="E919" s="19" t="s">
        <v>340</v>
      </c>
      <c r="F919">
        <v>3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U919">
        <v>1</v>
      </c>
      <c r="V919" s="19" t="s">
        <v>1385</v>
      </c>
      <c r="W919" s="19" t="s">
        <v>1386</v>
      </c>
      <c r="X919">
        <v>7</v>
      </c>
      <c r="Y919">
        <v>12</v>
      </c>
      <c r="Z919">
        <v>36.799999999999997</v>
      </c>
      <c r="AA919">
        <v>2</v>
      </c>
      <c r="AB919">
        <v>5</v>
      </c>
      <c r="AC919">
        <v>0</v>
      </c>
      <c r="AD919">
        <v>0</v>
      </c>
      <c r="AE919" s="19" t="s">
        <v>60</v>
      </c>
    </row>
    <row r="920" spans="1:31" x14ac:dyDescent="0.2">
      <c r="A920">
        <v>871</v>
      </c>
      <c r="B920" s="19" t="s">
        <v>1387</v>
      </c>
      <c r="C920">
        <v>21</v>
      </c>
      <c r="D920" s="19" t="s">
        <v>459</v>
      </c>
      <c r="E920" s="19" t="s">
        <v>335</v>
      </c>
      <c r="F920">
        <v>2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1</v>
      </c>
      <c r="T920">
        <v>0</v>
      </c>
      <c r="U920">
        <v>5</v>
      </c>
      <c r="V920" s="19" t="s">
        <v>717</v>
      </c>
      <c r="W920" s="19" t="s">
        <v>936</v>
      </c>
      <c r="X920">
        <v>0</v>
      </c>
      <c r="Y920">
        <v>1</v>
      </c>
      <c r="Z920">
        <v>0</v>
      </c>
      <c r="AA920">
        <v>1</v>
      </c>
      <c r="AB920">
        <v>4</v>
      </c>
      <c r="AC920">
        <v>0</v>
      </c>
      <c r="AD920">
        <v>0</v>
      </c>
      <c r="AE920" s="19" t="s">
        <v>60</v>
      </c>
    </row>
    <row r="921" spans="1:31" x14ac:dyDescent="0.2">
      <c r="A921">
        <v>872</v>
      </c>
      <c r="B921" s="19" t="s">
        <v>1388</v>
      </c>
      <c r="C921">
        <v>23</v>
      </c>
      <c r="D921" s="19" t="s">
        <v>436</v>
      </c>
      <c r="E921" s="19" t="s">
        <v>322</v>
      </c>
      <c r="F921">
        <v>2</v>
      </c>
      <c r="G921">
        <v>0</v>
      </c>
      <c r="H921">
        <v>0</v>
      </c>
      <c r="I921">
        <v>0</v>
      </c>
      <c r="J921">
        <v>-1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1</v>
      </c>
      <c r="T921">
        <v>0</v>
      </c>
      <c r="U921">
        <v>6</v>
      </c>
      <c r="V921" s="19" t="s">
        <v>1389</v>
      </c>
      <c r="W921" s="19" t="s">
        <v>1390</v>
      </c>
      <c r="X921">
        <v>0</v>
      </c>
      <c r="Y921">
        <v>3</v>
      </c>
      <c r="Z921">
        <v>0</v>
      </c>
      <c r="AA921">
        <v>3</v>
      </c>
      <c r="AB921">
        <v>1</v>
      </c>
      <c r="AC921">
        <v>0</v>
      </c>
      <c r="AD921">
        <v>1</v>
      </c>
      <c r="AE921" s="19" t="s">
        <v>60</v>
      </c>
    </row>
    <row r="922" spans="1:31" x14ac:dyDescent="0.2">
      <c r="A922">
        <v>873</v>
      </c>
      <c r="B922" s="19" t="s">
        <v>1392</v>
      </c>
      <c r="C922">
        <v>26</v>
      </c>
      <c r="D922" s="19" t="s">
        <v>397</v>
      </c>
      <c r="E922" s="19" t="s">
        <v>3</v>
      </c>
      <c r="F922">
        <v>9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U922">
        <v>1</v>
      </c>
      <c r="V922" s="19" t="s">
        <v>1642</v>
      </c>
      <c r="W922" s="19" t="s">
        <v>1643</v>
      </c>
      <c r="X922">
        <v>0</v>
      </c>
      <c r="Y922">
        <v>0</v>
      </c>
      <c r="AA922">
        <v>0</v>
      </c>
      <c r="AB922">
        <v>0</v>
      </c>
      <c r="AC922">
        <v>0</v>
      </c>
      <c r="AD922">
        <v>7</v>
      </c>
      <c r="AE922" s="19" t="s">
        <v>60</v>
      </c>
    </row>
    <row r="923" spans="1:31" x14ac:dyDescent="0.2">
      <c r="A923">
        <v>874</v>
      </c>
      <c r="B923" s="19" t="s">
        <v>1393</v>
      </c>
      <c r="C923">
        <v>24</v>
      </c>
      <c r="D923" s="19" t="s">
        <v>407</v>
      </c>
      <c r="E923" s="19" t="s">
        <v>3</v>
      </c>
      <c r="F923">
        <v>4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U923">
        <v>0</v>
      </c>
      <c r="V923" s="19" t="s">
        <v>2141</v>
      </c>
      <c r="W923" s="19" t="s">
        <v>2142</v>
      </c>
      <c r="X923">
        <v>0</v>
      </c>
      <c r="Y923">
        <v>0</v>
      </c>
      <c r="AA923">
        <v>0</v>
      </c>
      <c r="AB923">
        <v>0</v>
      </c>
      <c r="AC923">
        <v>0</v>
      </c>
      <c r="AD923">
        <v>1</v>
      </c>
      <c r="AE923" s="19" t="s">
        <v>60</v>
      </c>
    </row>
    <row r="924" spans="1:31" x14ac:dyDescent="0.2">
      <c r="A924">
        <v>875</v>
      </c>
      <c r="B924" s="19" t="s">
        <v>1394</v>
      </c>
      <c r="C924">
        <v>31</v>
      </c>
      <c r="D924" s="19" t="s">
        <v>355</v>
      </c>
      <c r="E924" s="19" t="s">
        <v>3</v>
      </c>
      <c r="F924">
        <v>20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U924">
        <v>0</v>
      </c>
      <c r="V924" s="19" t="s">
        <v>2317</v>
      </c>
      <c r="W924" s="19" t="s">
        <v>2318</v>
      </c>
      <c r="X924">
        <v>0</v>
      </c>
      <c r="Y924">
        <v>0</v>
      </c>
      <c r="AA924">
        <v>0</v>
      </c>
      <c r="AB924">
        <v>0</v>
      </c>
      <c r="AC924">
        <v>0</v>
      </c>
      <c r="AD924">
        <v>10</v>
      </c>
      <c r="AE924" s="19" t="s">
        <v>60</v>
      </c>
    </row>
    <row r="925" spans="1:31" x14ac:dyDescent="0.2">
      <c r="A925">
        <v>876</v>
      </c>
      <c r="B925" s="19" t="s">
        <v>1395</v>
      </c>
      <c r="C925">
        <v>35</v>
      </c>
      <c r="D925" s="19" t="s">
        <v>419</v>
      </c>
      <c r="E925" s="19" t="s">
        <v>3</v>
      </c>
      <c r="F925">
        <v>33</v>
      </c>
      <c r="G925">
        <v>0</v>
      </c>
      <c r="H925">
        <v>0</v>
      </c>
      <c r="I925">
        <v>0</v>
      </c>
      <c r="J925">
        <v>0</v>
      </c>
      <c r="K925">
        <v>6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U925">
        <v>0</v>
      </c>
      <c r="V925" s="19" t="s">
        <v>2946</v>
      </c>
      <c r="W925" s="19" t="s">
        <v>1819</v>
      </c>
      <c r="X925">
        <v>0</v>
      </c>
      <c r="Y925">
        <v>0</v>
      </c>
      <c r="AA925">
        <v>0</v>
      </c>
      <c r="AB925">
        <v>0</v>
      </c>
      <c r="AC925">
        <v>0</v>
      </c>
      <c r="AD925">
        <v>12</v>
      </c>
      <c r="AE925" s="19" t="s">
        <v>60</v>
      </c>
    </row>
    <row r="926" spans="1:31" x14ac:dyDescent="0.2">
      <c r="A926">
        <v>877</v>
      </c>
      <c r="B926" s="19" t="s">
        <v>1396</v>
      </c>
      <c r="C926">
        <v>35</v>
      </c>
      <c r="D926" s="19" t="s">
        <v>373</v>
      </c>
      <c r="E926" s="19" t="s">
        <v>349</v>
      </c>
      <c r="F926">
        <v>2</v>
      </c>
      <c r="G926">
        <v>0</v>
      </c>
      <c r="H926">
        <v>0</v>
      </c>
      <c r="I926">
        <v>0</v>
      </c>
      <c r="J926">
        <v>-1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1</v>
      </c>
      <c r="T926">
        <v>0</v>
      </c>
      <c r="U926">
        <v>1</v>
      </c>
      <c r="V926" s="19" t="s">
        <v>1397</v>
      </c>
      <c r="W926" s="19" t="s">
        <v>642</v>
      </c>
      <c r="X926">
        <v>0</v>
      </c>
      <c r="Y926">
        <v>0</v>
      </c>
      <c r="AA926">
        <v>0</v>
      </c>
      <c r="AB926">
        <v>1</v>
      </c>
      <c r="AC926">
        <v>0</v>
      </c>
      <c r="AD926">
        <v>2</v>
      </c>
      <c r="AE926" s="19" t="s">
        <v>60</v>
      </c>
    </row>
    <row r="927" spans="1:31" x14ac:dyDescent="0.2">
      <c r="A927">
        <v>878</v>
      </c>
      <c r="B927" s="19" t="s">
        <v>1554</v>
      </c>
      <c r="C927">
        <v>24</v>
      </c>
      <c r="D927" s="19" t="s">
        <v>428</v>
      </c>
      <c r="E927" s="19" t="s">
        <v>322</v>
      </c>
      <c r="F927">
        <v>1</v>
      </c>
      <c r="G927">
        <v>0</v>
      </c>
      <c r="H927">
        <v>0</v>
      </c>
      <c r="I927">
        <v>0</v>
      </c>
      <c r="J927">
        <v>-1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U927">
        <v>1</v>
      </c>
      <c r="V927" s="19" t="s">
        <v>1555</v>
      </c>
      <c r="W927" s="19" t="s">
        <v>1555</v>
      </c>
      <c r="X927">
        <v>0</v>
      </c>
      <c r="Y927">
        <v>0</v>
      </c>
      <c r="AA927">
        <v>0</v>
      </c>
      <c r="AB927">
        <v>1</v>
      </c>
      <c r="AC927">
        <v>0</v>
      </c>
      <c r="AD927">
        <v>0</v>
      </c>
      <c r="AE927" s="19" t="s">
        <v>60</v>
      </c>
    </row>
    <row r="928" spans="1:31" x14ac:dyDescent="0.2">
      <c r="A928">
        <v>879</v>
      </c>
      <c r="B928" s="19" t="s">
        <v>1398</v>
      </c>
      <c r="C928">
        <v>32</v>
      </c>
      <c r="D928" s="19" t="s">
        <v>447</v>
      </c>
      <c r="E928" s="19" t="s">
        <v>322</v>
      </c>
      <c r="F928">
        <v>1</v>
      </c>
      <c r="G928">
        <v>0</v>
      </c>
      <c r="H928">
        <v>0</v>
      </c>
      <c r="I928">
        <v>0</v>
      </c>
      <c r="J928">
        <v>-1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2</v>
      </c>
      <c r="T928">
        <v>0</v>
      </c>
      <c r="U928">
        <v>3</v>
      </c>
      <c r="V928" s="19" t="s">
        <v>1399</v>
      </c>
      <c r="W928" s="19" t="s">
        <v>1399</v>
      </c>
      <c r="X928">
        <v>1</v>
      </c>
      <c r="Y928">
        <v>1</v>
      </c>
      <c r="Z928">
        <v>50</v>
      </c>
      <c r="AA928">
        <v>2</v>
      </c>
      <c r="AB928">
        <v>6</v>
      </c>
      <c r="AC928">
        <v>0</v>
      </c>
      <c r="AD928">
        <v>0</v>
      </c>
      <c r="AE928" s="19" t="s">
        <v>60</v>
      </c>
    </row>
    <row r="929" spans="1:31" x14ac:dyDescent="0.2">
      <c r="A929">
        <v>880</v>
      </c>
      <c r="B929" s="19" t="s">
        <v>1400</v>
      </c>
      <c r="C929">
        <v>22</v>
      </c>
      <c r="D929" s="19" t="s">
        <v>399</v>
      </c>
      <c r="E929" s="19" t="s">
        <v>340</v>
      </c>
      <c r="F929">
        <v>1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U929">
        <v>0</v>
      </c>
      <c r="V929" s="19" t="s">
        <v>1401</v>
      </c>
      <c r="W929" s="19" t="s">
        <v>1401</v>
      </c>
      <c r="X929">
        <v>1</v>
      </c>
      <c r="Y929">
        <v>0</v>
      </c>
      <c r="Z929">
        <v>100</v>
      </c>
      <c r="AA929">
        <v>0</v>
      </c>
      <c r="AB929">
        <v>1</v>
      </c>
      <c r="AC929">
        <v>0</v>
      </c>
      <c r="AD929">
        <v>0</v>
      </c>
      <c r="AE929" s="19" t="s">
        <v>60</v>
      </c>
    </row>
    <row r="930" spans="1:31" x14ac:dyDescent="0.2">
      <c r="A930">
        <v>881</v>
      </c>
      <c r="B930" s="19" t="s">
        <v>1605</v>
      </c>
      <c r="C930">
        <v>23</v>
      </c>
      <c r="D930" s="19" t="s">
        <v>357</v>
      </c>
      <c r="E930" s="19" t="s">
        <v>349</v>
      </c>
      <c r="F930">
        <v>1</v>
      </c>
      <c r="G930">
        <v>0</v>
      </c>
      <c r="H930">
        <v>0</v>
      </c>
      <c r="I930">
        <v>0</v>
      </c>
      <c r="J930">
        <v>1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1</v>
      </c>
      <c r="T930">
        <v>0</v>
      </c>
      <c r="U930">
        <v>2</v>
      </c>
      <c r="V930" s="19" t="s">
        <v>976</v>
      </c>
      <c r="W930" s="19" t="s">
        <v>976</v>
      </c>
      <c r="X930">
        <v>0</v>
      </c>
      <c r="Y930">
        <v>0</v>
      </c>
      <c r="AA930">
        <v>1</v>
      </c>
      <c r="AB930">
        <v>0</v>
      </c>
      <c r="AC930">
        <v>0</v>
      </c>
      <c r="AD930">
        <v>2</v>
      </c>
      <c r="AE930" s="19" t="s">
        <v>60</v>
      </c>
    </row>
    <row r="931" spans="1:31" x14ac:dyDescent="0.2">
      <c r="A931">
        <v>882</v>
      </c>
      <c r="B931" s="19" t="s">
        <v>1863</v>
      </c>
      <c r="C931">
        <v>26</v>
      </c>
      <c r="D931" s="19" t="s">
        <v>366</v>
      </c>
      <c r="E931" s="19" t="s">
        <v>335</v>
      </c>
      <c r="F931">
        <v>6</v>
      </c>
      <c r="G931">
        <v>0</v>
      </c>
      <c r="H931">
        <v>0</v>
      </c>
      <c r="I931">
        <v>0</v>
      </c>
      <c r="J931">
        <v>-2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1</v>
      </c>
      <c r="T931">
        <v>0</v>
      </c>
      <c r="U931">
        <v>4</v>
      </c>
      <c r="V931" s="19" t="s">
        <v>2143</v>
      </c>
      <c r="W931" s="19" t="s">
        <v>1775</v>
      </c>
      <c r="X931">
        <v>2</v>
      </c>
      <c r="Y931">
        <v>3</v>
      </c>
      <c r="Z931">
        <v>40</v>
      </c>
      <c r="AA931">
        <v>0</v>
      </c>
      <c r="AB931">
        <v>10</v>
      </c>
      <c r="AC931">
        <v>0</v>
      </c>
      <c r="AD931">
        <v>1</v>
      </c>
      <c r="AE931" s="19" t="s">
        <v>60</v>
      </c>
    </row>
    <row r="932" spans="1:31" x14ac:dyDescent="0.2">
      <c r="A932">
        <v>883</v>
      </c>
      <c r="B932" s="19" t="s">
        <v>1404</v>
      </c>
      <c r="C932">
        <v>25</v>
      </c>
      <c r="D932" s="19" t="s">
        <v>399</v>
      </c>
      <c r="E932" s="19" t="s">
        <v>335</v>
      </c>
      <c r="F932">
        <v>1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U932">
        <v>0</v>
      </c>
      <c r="V932" s="19" t="s">
        <v>1025</v>
      </c>
      <c r="W932" s="19" t="s">
        <v>1025</v>
      </c>
      <c r="X932">
        <v>0</v>
      </c>
      <c r="Y932">
        <v>1</v>
      </c>
      <c r="Z932">
        <v>0</v>
      </c>
      <c r="AA932">
        <v>1</v>
      </c>
      <c r="AB932">
        <v>2</v>
      </c>
      <c r="AC932">
        <v>0</v>
      </c>
      <c r="AD932">
        <v>0</v>
      </c>
      <c r="AE932" s="19" t="s">
        <v>60</v>
      </c>
    </row>
    <row r="933" spans="1:31" x14ac:dyDescent="0.2">
      <c r="A933">
        <v>884</v>
      </c>
      <c r="B933" s="19" t="s">
        <v>1405</v>
      </c>
      <c r="C933">
        <v>22</v>
      </c>
      <c r="D933" s="19" t="s">
        <v>344</v>
      </c>
      <c r="E933" s="19" t="s">
        <v>3</v>
      </c>
      <c r="F933">
        <v>8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U933">
        <v>0</v>
      </c>
      <c r="V933" s="19" t="s">
        <v>1869</v>
      </c>
      <c r="W933" s="19" t="s">
        <v>1828</v>
      </c>
      <c r="X933">
        <v>0</v>
      </c>
      <c r="Y933">
        <v>0</v>
      </c>
      <c r="AA933">
        <v>0</v>
      </c>
      <c r="AB933">
        <v>0</v>
      </c>
      <c r="AC933">
        <v>0</v>
      </c>
      <c r="AD933">
        <v>2</v>
      </c>
      <c r="AE933" s="19" t="s">
        <v>60</v>
      </c>
    </row>
    <row r="934" spans="1:31" x14ac:dyDescent="0.2">
      <c r="A934">
        <v>885</v>
      </c>
      <c r="B934" s="19" t="s">
        <v>1406</v>
      </c>
      <c r="C934">
        <v>19</v>
      </c>
      <c r="D934" s="19" t="s">
        <v>407</v>
      </c>
      <c r="E934" s="19" t="s">
        <v>325</v>
      </c>
      <c r="F934">
        <v>4</v>
      </c>
      <c r="G934">
        <v>0</v>
      </c>
      <c r="H934">
        <v>0</v>
      </c>
      <c r="I934">
        <v>0</v>
      </c>
      <c r="J934">
        <v>-3</v>
      </c>
      <c r="K934">
        <v>2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1</v>
      </c>
      <c r="T934">
        <v>0</v>
      </c>
      <c r="U934">
        <v>2</v>
      </c>
      <c r="V934" s="19" t="s">
        <v>1407</v>
      </c>
      <c r="W934" s="19" t="s">
        <v>1408</v>
      </c>
      <c r="X934">
        <v>11</v>
      </c>
      <c r="Y934">
        <v>10</v>
      </c>
      <c r="Z934">
        <v>52.4</v>
      </c>
      <c r="AA934">
        <v>3</v>
      </c>
      <c r="AB934">
        <v>2</v>
      </c>
      <c r="AC934">
        <v>0</v>
      </c>
      <c r="AD934">
        <v>1</v>
      </c>
      <c r="AE934" s="19" t="s">
        <v>60</v>
      </c>
    </row>
    <row r="935" spans="1:31" x14ac:dyDescent="0.2">
      <c r="A935">
        <v>886</v>
      </c>
      <c r="B935" s="19" t="s">
        <v>2947</v>
      </c>
      <c r="C935">
        <v>25</v>
      </c>
      <c r="D935" s="19" t="s">
        <v>352</v>
      </c>
      <c r="E935" s="19" t="s">
        <v>349</v>
      </c>
      <c r="F935">
        <v>1</v>
      </c>
      <c r="G935">
        <v>0</v>
      </c>
      <c r="H935">
        <v>0</v>
      </c>
      <c r="I935">
        <v>0</v>
      </c>
      <c r="J935">
        <v>1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1</v>
      </c>
      <c r="T935">
        <v>0</v>
      </c>
      <c r="U935">
        <v>1</v>
      </c>
      <c r="V935" s="19" t="s">
        <v>1951</v>
      </c>
      <c r="W935" s="19" t="s">
        <v>1951</v>
      </c>
      <c r="X935">
        <v>0</v>
      </c>
      <c r="Y935">
        <v>0</v>
      </c>
      <c r="AA935">
        <v>2</v>
      </c>
      <c r="AB935">
        <v>2</v>
      </c>
      <c r="AC935">
        <v>0</v>
      </c>
      <c r="AD935">
        <v>0</v>
      </c>
      <c r="AE935" s="19" t="s">
        <v>60</v>
      </c>
    </row>
    <row r="936" spans="1:31" x14ac:dyDescent="0.2">
      <c r="A936">
        <v>887</v>
      </c>
      <c r="B936" s="19" t="s">
        <v>1410</v>
      </c>
      <c r="C936">
        <v>26</v>
      </c>
      <c r="D936" s="19" t="s">
        <v>428</v>
      </c>
      <c r="E936" s="19" t="s">
        <v>3</v>
      </c>
      <c r="F936">
        <v>20</v>
      </c>
      <c r="G936">
        <v>0</v>
      </c>
      <c r="H936">
        <v>0</v>
      </c>
      <c r="I936">
        <v>0</v>
      </c>
      <c r="J936">
        <v>0</v>
      </c>
      <c r="K936">
        <v>4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0</v>
      </c>
      <c r="V936" s="19" t="s">
        <v>2319</v>
      </c>
      <c r="W936" s="19" t="s">
        <v>2320</v>
      </c>
      <c r="X936">
        <v>0</v>
      </c>
      <c r="Y936">
        <v>0</v>
      </c>
      <c r="AA936">
        <v>0</v>
      </c>
      <c r="AB936">
        <v>0</v>
      </c>
      <c r="AC936">
        <v>0</v>
      </c>
      <c r="AD936">
        <v>9</v>
      </c>
      <c r="AE936" s="19" t="s">
        <v>60</v>
      </c>
    </row>
    <row r="937" spans="1:31" x14ac:dyDescent="0.2">
      <c r="A937">
        <v>888</v>
      </c>
      <c r="B937" s="19" t="s">
        <v>1413</v>
      </c>
      <c r="C937">
        <v>29</v>
      </c>
      <c r="D937" s="19" t="s">
        <v>399</v>
      </c>
      <c r="E937" s="19" t="s">
        <v>322</v>
      </c>
      <c r="F937">
        <v>3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4</v>
      </c>
      <c r="T937">
        <v>0</v>
      </c>
      <c r="U937">
        <v>7</v>
      </c>
      <c r="V937" s="19" t="s">
        <v>1414</v>
      </c>
      <c r="W937" s="19" t="s">
        <v>1415</v>
      </c>
      <c r="X937">
        <v>0</v>
      </c>
      <c r="Y937">
        <v>2</v>
      </c>
      <c r="Z937">
        <v>0</v>
      </c>
      <c r="AA937">
        <v>1</v>
      </c>
      <c r="AB937">
        <v>6</v>
      </c>
      <c r="AC937">
        <v>1</v>
      </c>
      <c r="AD937">
        <v>2</v>
      </c>
      <c r="AE937" s="19" t="s">
        <v>60</v>
      </c>
    </row>
    <row r="938" spans="1:31" x14ac:dyDescent="0.2">
      <c r="A938">
        <v>889</v>
      </c>
      <c r="B938" s="19" t="s">
        <v>1416</v>
      </c>
      <c r="C938">
        <v>24</v>
      </c>
      <c r="D938" s="19" t="s">
        <v>321</v>
      </c>
      <c r="E938" s="19" t="s">
        <v>340</v>
      </c>
      <c r="F938">
        <v>7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6</v>
      </c>
      <c r="T938">
        <v>0</v>
      </c>
      <c r="U938">
        <v>10</v>
      </c>
      <c r="V938" s="19" t="s">
        <v>2588</v>
      </c>
      <c r="W938" s="19" t="s">
        <v>1457</v>
      </c>
      <c r="X938">
        <v>0</v>
      </c>
      <c r="Y938">
        <v>0</v>
      </c>
      <c r="AA938">
        <v>1</v>
      </c>
      <c r="AB938">
        <v>12</v>
      </c>
      <c r="AC938">
        <v>1</v>
      </c>
      <c r="AD938">
        <v>0</v>
      </c>
      <c r="AE938" s="19" t="s">
        <v>60</v>
      </c>
    </row>
    <row r="939" spans="1:31" x14ac:dyDescent="0.2">
      <c r="A939">
        <v>890</v>
      </c>
      <c r="B939" s="19" t="s">
        <v>1417</v>
      </c>
      <c r="C939">
        <v>23</v>
      </c>
      <c r="D939" s="19" t="s">
        <v>447</v>
      </c>
      <c r="E939" s="19" t="s">
        <v>349</v>
      </c>
      <c r="F939">
        <v>9</v>
      </c>
      <c r="G939">
        <v>0</v>
      </c>
      <c r="H939">
        <v>0</v>
      </c>
      <c r="I939">
        <v>0</v>
      </c>
      <c r="J939">
        <v>-5</v>
      </c>
      <c r="K939">
        <v>5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5</v>
      </c>
      <c r="T939">
        <v>0</v>
      </c>
      <c r="U939">
        <v>15</v>
      </c>
      <c r="V939" s="19" t="s">
        <v>2144</v>
      </c>
      <c r="W939" s="19" t="s">
        <v>1983</v>
      </c>
      <c r="X939">
        <v>0</v>
      </c>
      <c r="Y939">
        <v>0</v>
      </c>
      <c r="AA939">
        <v>12</v>
      </c>
      <c r="AB939">
        <v>7</v>
      </c>
      <c r="AC939">
        <v>0</v>
      </c>
      <c r="AD939">
        <v>4</v>
      </c>
      <c r="AE939" s="19" t="s">
        <v>60</v>
      </c>
    </row>
    <row r="940" spans="1:31" x14ac:dyDescent="0.2">
      <c r="A940">
        <v>891</v>
      </c>
      <c r="B940" s="19" t="s">
        <v>1912</v>
      </c>
      <c r="C940">
        <v>30</v>
      </c>
      <c r="D940" s="19" t="s">
        <v>361</v>
      </c>
      <c r="E940" s="19" t="s">
        <v>3</v>
      </c>
      <c r="F940">
        <v>5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0</v>
      </c>
      <c r="V940" s="19" t="s">
        <v>2589</v>
      </c>
      <c r="W940" s="19" t="s">
        <v>2590</v>
      </c>
      <c r="X940">
        <v>0</v>
      </c>
      <c r="Y940">
        <v>0</v>
      </c>
      <c r="AA940">
        <v>0</v>
      </c>
      <c r="AB940">
        <v>0</v>
      </c>
      <c r="AC940">
        <v>0</v>
      </c>
      <c r="AD940">
        <v>0</v>
      </c>
      <c r="AE940" s="19" t="s">
        <v>60</v>
      </c>
    </row>
    <row r="941" spans="1:31" x14ac:dyDescent="0.2">
      <c r="A941">
        <v>892</v>
      </c>
      <c r="B941" s="19" t="s">
        <v>1421</v>
      </c>
      <c r="C941">
        <v>33</v>
      </c>
      <c r="D941" s="19" t="s">
        <v>366</v>
      </c>
      <c r="E941" s="19" t="s">
        <v>349</v>
      </c>
      <c r="F941">
        <v>9</v>
      </c>
      <c r="G941">
        <v>0</v>
      </c>
      <c r="H941">
        <v>0</v>
      </c>
      <c r="I941">
        <v>0</v>
      </c>
      <c r="J941">
        <v>0</v>
      </c>
      <c r="K941">
        <v>10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2</v>
      </c>
      <c r="T941">
        <v>0</v>
      </c>
      <c r="U941">
        <v>9</v>
      </c>
      <c r="V941" s="19" t="s">
        <v>2070</v>
      </c>
      <c r="W941" s="19" t="s">
        <v>2071</v>
      </c>
      <c r="X941">
        <v>0</v>
      </c>
      <c r="Y941">
        <v>0</v>
      </c>
      <c r="AA941">
        <v>5</v>
      </c>
      <c r="AB941">
        <v>17</v>
      </c>
      <c r="AC941">
        <v>0</v>
      </c>
      <c r="AD941">
        <v>6</v>
      </c>
      <c r="AE941" s="19" t="s">
        <v>60</v>
      </c>
    </row>
    <row r="942" spans="1:31" x14ac:dyDescent="0.2">
      <c r="A942">
        <v>893</v>
      </c>
      <c r="B942" s="19" t="s">
        <v>1822</v>
      </c>
      <c r="C942">
        <v>24</v>
      </c>
      <c r="D942" s="19" t="s">
        <v>384</v>
      </c>
      <c r="E942" s="19" t="s">
        <v>349</v>
      </c>
      <c r="F942">
        <v>3</v>
      </c>
      <c r="G942">
        <v>0</v>
      </c>
      <c r="H942">
        <v>0</v>
      </c>
      <c r="I942">
        <v>0</v>
      </c>
      <c r="J942">
        <v>1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1</v>
      </c>
      <c r="T942">
        <v>0</v>
      </c>
      <c r="U942">
        <v>1</v>
      </c>
      <c r="V942" s="19" t="s">
        <v>1884</v>
      </c>
      <c r="W942" s="19" t="s">
        <v>1565</v>
      </c>
      <c r="X942">
        <v>0</v>
      </c>
      <c r="Y942">
        <v>0</v>
      </c>
      <c r="AA942">
        <v>5</v>
      </c>
      <c r="AB942">
        <v>4</v>
      </c>
      <c r="AC942">
        <v>2</v>
      </c>
      <c r="AD942">
        <v>3</v>
      </c>
      <c r="AE942" s="19" t="s">
        <v>60</v>
      </c>
    </row>
    <row r="943" spans="1:31" x14ac:dyDescent="0.2">
      <c r="A943">
        <v>894</v>
      </c>
      <c r="B943" s="19" t="s">
        <v>1791</v>
      </c>
      <c r="C943">
        <v>33</v>
      </c>
      <c r="D943" s="19" t="s">
        <v>344</v>
      </c>
      <c r="E943" s="19" t="s">
        <v>349</v>
      </c>
      <c r="F943">
        <v>4</v>
      </c>
      <c r="G943">
        <v>0</v>
      </c>
      <c r="H943">
        <v>0</v>
      </c>
      <c r="I943">
        <v>0</v>
      </c>
      <c r="J943">
        <v>-5</v>
      </c>
      <c r="K943">
        <v>2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1</v>
      </c>
      <c r="T943">
        <v>0</v>
      </c>
      <c r="U943">
        <v>1</v>
      </c>
      <c r="V943" s="19" t="s">
        <v>2201</v>
      </c>
      <c r="W943" s="19" t="s">
        <v>812</v>
      </c>
      <c r="X943">
        <v>0</v>
      </c>
      <c r="Y943">
        <v>0</v>
      </c>
      <c r="AA943">
        <v>1</v>
      </c>
      <c r="AB943">
        <v>6</v>
      </c>
      <c r="AC943">
        <v>0</v>
      </c>
      <c r="AD943">
        <v>2</v>
      </c>
      <c r="AE943" s="19" t="s">
        <v>60</v>
      </c>
    </row>
    <row r="944" spans="1:31" x14ac:dyDescent="0.2">
      <c r="A944">
        <v>895</v>
      </c>
      <c r="B944" s="19" t="s">
        <v>1422</v>
      </c>
      <c r="C944">
        <v>23</v>
      </c>
      <c r="D944" s="19" t="s">
        <v>416</v>
      </c>
      <c r="E944" s="19" t="s">
        <v>3</v>
      </c>
      <c r="F944">
        <v>20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U944">
        <v>0</v>
      </c>
      <c r="V944" s="19" t="s">
        <v>2145</v>
      </c>
      <c r="W944" s="19" t="s">
        <v>2146</v>
      </c>
      <c r="X944">
        <v>0</v>
      </c>
      <c r="Y944">
        <v>0</v>
      </c>
      <c r="AA944">
        <v>0</v>
      </c>
      <c r="AB944">
        <v>0</v>
      </c>
      <c r="AC944">
        <v>0</v>
      </c>
      <c r="AD944">
        <v>5</v>
      </c>
      <c r="AE944" s="19" t="s">
        <v>60</v>
      </c>
    </row>
    <row r="945" spans="1:31" x14ac:dyDescent="0.2">
      <c r="A945">
        <v>896</v>
      </c>
      <c r="B945" s="19" t="s">
        <v>1423</v>
      </c>
      <c r="C945">
        <v>25</v>
      </c>
      <c r="D945" s="19" t="s">
        <v>355</v>
      </c>
      <c r="E945" s="19" t="s">
        <v>325</v>
      </c>
      <c r="F945">
        <v>1</v>
      </c>
      <c r="G945">
        <v>0</v>
      </c>
      <c r="H945">
        <v>0</v>
      </c>
      <c r="I945">
        <v>0</v>
      </c>
      <c r="J945">
        <v>-1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U945">
        <v>1</v>
      </c>
      <c r="V945" s="19" t="s">
        <v>1424</v>
      </c>
      <c r="W945" s="19" t="s">
        <v>1424</v>
      </c>
      <c r="X945">
        <v>0</v>
      </c>
      <c r="Y945">
        <v>0</v>
      </c>
      <c r="AA945">
        <v>0</v>
      </c>
      <c r="AB945">
        <v>0</v>
      </c>
      <c r="AC945">
        <v>0</v>
      </c>
      <c r="AD945">
        <v>0</v>
      </c>
      <c r="AE945" s="19" t="s">
        <v>60</v>
      </c>
    </row>
    <row r="946" spans="1:31" x14ac:dyDescent="0.2">
      <c r="A946">
        <v>897</v>
      </c>
      <c r="B946" s="19" t="s">
        <v>1426</v>
      </c>
      <c r="C946">
        <v>22</v>
      </c>
      <c r="D946" s="19" t="s">
        <v>346</v>
      </c>
      <c r="E946" s="19" t="s">
        <v>3</v>
      </c>
      <c r="F946">
        <v>3</v>
      </c>
      <c r="G946">
        <v>0</v>
      </c>
      <c r="H946">
        <v>0</v>
      </c>
      <c r="I946">
        <v>0</v>
      </c>
      <c r="J946">
        <v>0</v>
      </c>
      <c r="K946">
        <v>2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U946">
        <v>0</v>
      </c>
      <c r="V946" s="19" t="s">
        <v>1427</v>
      </c>
      <c r="W946" s="19" t="s">
        <v>1428</v>
      </c>
      <c r="X946">
        <v>0</v>
      </c>
      <c r="Y946">
        <v>0</v>
      </c>
      <c r="AA946">
        <v>0</v>
      </c>
      <c r="AB946">
        <v>0</v>
      </c>
      <c r="AC946">
        <v>0</v>
      </c>
      <c r="AD946">
        <v>0</v>
      </c>
      <c r="AE946" s="19" t="s">
        <v>60</v>
      </c>
    </row>
    <row r="947" spans="1:31" x14ac:dyDescent="0.2">
      <c r="A947">
        <v>898</v>
      </c>
      <c r="B947" s="19" t="s">
        <v>1430</v>
      </c>
      <c r="C947">
        <v>24</v>
      </c>
      <c r="D947" s="19" t="s">
        <v>321</v>
      </c>
      <c r="E947" s="19" t="s">
        <v>3</v>
      </c>
      <c r="F947">
        <v>4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U947">
        <v>0</v>
      </c>
      <c r="V947" s="19" t="s">
        <v>1941</v>
      </c>
      <c r="W947" s="19" t="s">
        <v>1909</v>
      </c>
      <c r="X947">
        <v>0</v>
      </c>
      <c r="Y947">
        <v>0</v>
      </c>
      <c r="AA947">
        <v>0</v>
      </c>
      <c r="AB947">
        <v>0</v>
      </c>
      <c r="AC947">
        <v>0</v>
      </c>
      <c r="AD947">
        <v>1</v>
      </c>
      <c r="AE947" s="19" t="s">
        <v>60</v>
      </c>
    </row>
    <row r="948" spans="1:31" x14ac:dyDescent="0.2">
      <c r="A948">
        <v>899</v>
      </c>
      <c r="B948" s="19" t="s">
        <v>1431</v>
      </c>
      <c r="C948">
        <v>28</v>
      </c>
      <c r="D948" s="19" t="s">
        <v>436</v>
      </c>
      <c r="E948" s="19" t="s">
        <v>349</v>
      </c>
      <c r="F948">
        <v>1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U948">
        <v>2</v>
      </c>
      <c r="V948" s="19" t="s">
        <v>434</v>
      </c>
      <c r="W948" s="19" t="s">
        <v>434</v>
      </c>
      <c r="X948">
        <v>0</v>
      </c>
      <c r="Y948">
        <v>0</v>
      </c>
      <c r="AA948">
        <v>2</v>
      </c>
      <c r="AB948">
        <v>0</v>
      </c>
      <c r="AC948">
        <v>0</v>
      </c>
      <c r="AD948">
        <v>1</v>
      </c>
      <c r="AE948" s="19" t="s">
        <v>60</v>
      </c>
    </row>
    <row r="949" spans="1:31" x14ac:dyDescent="0.2">
      <c r="A949">
        <v>900</v>
      </c>
      <c r="B949" s="19" t="s">
        <v>1644</v>
      </c>
      <c r="C949">
        <v>21</v>
      </c>
      <c r="D949" s="19" t="s">
        <v>366</v>
      </c>
      <c r="E949" s="19" t="s">
        <v>340</v>
      </c>
      <c r="F949">
        <v>4</v>
      </c>
      <c r="G949">
        <v>0</v>
      </c>
      <c r="H949">
        <v>0</v>
      </c>
      <c r="I949">
        <v>0</v>
      </c>
      <c r="J949">
        <v>1</v>
      </c>
      <c r="K949">
        <v>2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5</v>
      </c>
      <c r="T949">
        <v>0</v>
      </c>
      <c r="U949">
        <v>15</v>
      </c>
      <c r="V949" s="19" t="s">
        <v>2202</v>
      </c>
      <c r="W949" s="19" t="s">
        <v>1998</v>
      </c>
      <c r="X949">
        <v>0</v>
      </c>
      <c r="Y949">
        <v>0</v>
      </c>
      <c r="AA949">
        <v>3</v>
      </c>
      <c r="AB949">
        <v>7</v>
      </c>
      <c r="AC949">
        <v>0</v>
      </c>
      <c r="AD949">
        <v>1</v>
      </c>
      <c r="AE949" s="19" t="s">
        <v>60</v>
      </c>
    </row>
    <row r="950" spans="1:31" x14ac:dyDescent="0.2">
      <c r="A950">
        <v>901</v>
      </c>
      <c r="B950" s="19" t="s">
        <v>1433</v>
      </c>
      <c r="C950">
        <v>29</v>
      </c>
      <c r="D950" s="19" t="s">
        <v>363</v>
      </c>
      <c r="E950" s="19" t="s">
        <v>3</v>
      </c>
      <c r="F950">
        <v>22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U950">
        <v>0</v>
      </c>
      <c r="V950" s="19" t="s">
        <v>2948</v>
      </c>
      <c r="W950" s="19" t="s">
        <v>2949</v>
      </c>
      <c r="X950">
        <v>0</v>
      </c>
      <c r="Y950">
        <v>0</v>
      </c>
      <c r="AA950">
        <v>0</v>
      </c>
      <c r="AB950">
        <v>0</v>
      </c>
      <c r="AC950">
        <v>0</v>
      </c>
      <c r="AD950">
        <v>3</v>
      </c>
      <c r="AE950" s="19" t="s">
        <v>60</v>
      </c>
    </row>
    <row r="951" spans="1:31" x14ac:dyDescent="0.2">
      <c r="A951">
        <v>902</v>
      </c>
      <c r="B951" s="19" t="s">
        <v>1434</v>
      </c>
      <c r="C951">
        <v>26</v>
      </c>
      <c r="D951" s="19" t="s">
        <v>436</v>
      </c>
      <c r="E951" s="19" t="s">
        <v>325</v>
      </c>
      <c r="F951">
        <v>3</v>
      </c>
      <c r="G951">
        <v>0</v>
      </c>
      <c r="H951">
        <v>0</v>
      </c>
      <c r="I951">
        <v>0</v>
      </c>
      <c r="J951">
        <v>-1</v>
      </c>
      <c r="K951">
        <v>10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3</v>
      </c>
      <c r="T951">
        <v>0</v>
      </c>
      <c r="U951">
        <v>7</v>
      </c>
      <c r="V951" s="19" t="s">
        <v>1435</v>
      </c>
      <c r="W951" s="19" t="s">
        <v>1121</v>
      </c>
      <c r="X951">
        <v>16</v>
      </c>
      <c r="Y951">
        <v>8</v>
      </c>
      <c r="Z951">
        <v>66.7</v>
      </c>
      <c r="AA951">
        <v>1</v>
      </c>
      <c r="AB951">
        <v>9</v>
      </c>
      <c r="AC951">
        <v>1</v>
      </c>
      <c r="AD951">
        <v>2</v>
      </c>
      <c r="AE951" s="19" t="s">
        <v>60</v>
      </c>
    </row>
    <row r="952" spans="1:31" x14ac:dyDescent="0.2">
      <c r="A952">
        <v>903</v>
      </c>
      <c r="B952" s="19" t="s">
        <v>1436</v>
      </c>
      <c r="C952">
        <v>27</v>
      </c>
      <c r="D952" s="19" t="s">
        <v>419</v>
      </c>
      <c r="E952" s="19" t="s">
        <v>349</v>
      </c>
      <c r="F952">
        <v>12</v>
      </c>
      <c r="G952">
        <v>0</v>
      </c>
      <c r="H952">
        <v>0</v>
      </c>
      <c r="I952">
        <v>0</v>
      </c>
      <c r="J952">
        <v>-4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4</v>
      </c>
      <c r="T952">
        <v>0</v>
      </c>
      <c r="U952">
        <v>16</v>
      </c>
      <c r="V952" s="19" t="s">
        <v>2234</v>
      </c>
      <c r="W952" s="19" t="s">
        <v>1323</v>
      </c>
      <c r="X952">
        <v>0</v>
      </c>
      <c r="Y952">
        <v>0</v>
      </c>
      <c r="AA952">
        <v>7</v>
      </c>
      <c r="AB952">
        <v>3</v>
      </c>
      <c r="AC952">
        <v>1</v>
      </c>
      <c r="AD952">
        <v>3</v>
      </c>
      <c r="AE952" s="19" t="s">
        <v>60</v>
      </c>
    </row>
    <row r="953" spans="1:31" x14ac:dyDescent="0.2">
      <c r="A953">
        <v>904</v>
      </c>
      <c r="B953" s="19" t="s">
        <v>1437</v>
      </c>
      <c r="C953">
        <v>33</v>
      </c>
      <c r="D953" s="19" t="s">
        <v>337</v>
      </c>
      <c r="E953" s="19" t="s">
        <v>3</v>
      </c>
      <c r="F953">
        <v>10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U953">
        <v>0</v>
      </c>
      <c r="V953" s="19" t="s">
        <v>1855</v>
      </c>
      <c r="W953" s="19" t="s">
        <v>1856</v>
      </c>
      <c r="X953">
        <v>0</v>
      </c>
      <c r="Y953">
        <v>0</v>
      </c>
      <c r="AA953">
        <v>0</v>
      </c>
      <c r="AB953">
        <v>0</v>
      </c>
      <c r="AC953">
        <v>0</v>
      </c>
      <c r="AD953">
        <v>5</v>
      </c>
      <c r="AE953" s="19" t="s">
        <v>60</v>
      </c>
    </row>
    <row r="954" spans="1:31" x14ac:dyDescent="0.2">
      <c r="A954">
        <v>905</v>
      </c>
      <c r="B954" s="19" t="s">
        <v>1438</v>
      </c>
      <c r="C954">
        <v>21</v>
      </c>
      <c r="D954" s="19" t="s">
        <v>376</v>
      </c>
      <c r="E954" s="19" t="s">
        <v>3</v>
      </c>
      <c r="F954">
        <v>5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U954">
        <v>0</v>
      </c>
      <c r="V954" s="19" t="s">
        <v>1582</v>
      </c>
      <c r="W954" s="19" t="s">
        <v>1583</v>
      </c>
      <c r="X954">
        <v>0</v>
      </c>
      <c r="Y954">
        <v>0</v>
      </c>
      <c r="AA954">
        <v>0</v>
      </c>
      <c r="AB954">
        <v>0</v>
      </c>
      <c r="AC954">
        <v>0</v>
      </c>
      <c r="AD954">
        <v>3</v>
      </c>
      <c r="AE954" s="19" t="s">
        <v>60</v>
      </c>
    </row>
    <row r="955" spans="1:31" x14ac:dyDescent="0.2">
      <c r="A955">
        <v>906</v>
      </c>
      <c r="B955" s="19" t="s">
        <v>1521</v>
      </c>
      <c r="C955">
        <v>22</v>
      </c>
      <c r="D955" s="19" t="s">
        <v>407</v>
      </c>
      <c r="E955" s="19" t="s">
        <v>349</v>
      </c>
      <c r="F955">
        <v>3</v>
      </c>
      <c r="G955">
        <v>0</v>
      </c>
      <c r="H955">
        <v>0</v>
      </c>
      <c r="I955">
        <v>0</v>
      </c>
      <c r="J955">
        <v>1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1</v>
      </c>
      <c r="T955">
        <v>0</v>
      </c>
      <c r="U955">
        <v>2</v>
      </c>
      <c r="V955" s="19" t="s">
        <v>1574</v>
      </c>
      <c r="W955" s="19" t="s">
        <v>1575</v>
      </c>
      <c r="X955">
        <v>0</v>
      </c>
      <c r="Y955">
        <v>0</v>
      </c>
      <c r="AA955">
        <v>2</v>
      </c>
      <c r="AB955">
        <v>5</v>
      </c>
      <c r="AC955">
        <v>0</v>
      </c>
      <c r="AD955">
        <v>3</v>
      </c>
      <c r="AE955" s="19" t="s">
        <v>60</v>
      </c>
    </row>
    <row r="956" spans="1:31" x14ac:dyDescent="0.2">
      <c r="A956">
        <v>907</v>
      </c>
      <c r="B956" s="19" t="s">
        <v>1439</v>
      </c>
      <c r="C956">
        <v>31</v>
      </c>
      <c r="D956" s="19" t="s">
        <v>530</v>
      </c>
      <c r="E956" s="19" t="s">
        <v>3</v>
      </c>
      <c r="F956">
        <v>5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U956">
        <v>0</v>
      </c>
      <c r="V956" s="19" t="s">
        <v>1440</v>
      </c>
      <c r="W956" s="19" t="s">
        <v>1441</v>
      </c>
      <c r="X956">
        <v>0</v>
      </c>
      <c r="Y956">
        <v>0</v>
      </c>
      <c r="AA956">
        <v>0</v>
      </c>
      <c r="AB956">
        <v>0</v>
      </c>
      <c r="AC956">
        <v>0</v>
      </c>
      <c r="AD956">
        <v>2</v>
      </c>
      <c r="AE956" s="19" t="s">
        <v>60</v>
      </c>
    </row>
    <row r="957" spans="1:31" x14ac:dyDescent="0.2">
      <c r="A957">
        <v>908</v>
      </c>
      <c r="B957" s="19" t="s">
        <v>1557</v>
      </c>
      <c r="C957">
        <v>24</v>
      </c>
      <c r="D957" s="19" t="s">
        <v>399</v>
      </c>
      <c r="E957" s="19" t="s">
        <v>325</v>
      </c>
      <c r="F957">
        <v>5</v>
      </c>
      <c r="G957">
        <v>0</v>
      </c>
      <c r="H957">
        <v>0</v>
      </c>
      <c r="I957">
        <v>0</v>
      </c>
      <c r="J957">
        <v>-1</v>
      </c>
      <c r="K957">
        <v>2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2</v>
      </c>
      <c r="T957">
        <v>0</v>
      </c>
      <c r="U957">
        <v>6</v>
      </c>
      <c r="V957" s="19" t="s">
        <v>1612</v>
      </c>
      <c r="W957" s="19" t="s">
        <v>1613</v>
      </c>
      <c r="X957">
        <v>0</v>
      </c>
      <c r="Y957">
        <v>0</v>
      </c>
      <c r="AA957">
        <v>1</v>
      </c>
      <c r="AB957">
        <v>7</v>
      </c>
      <c r="AC957">
        <v>1</v>
      </c>
      <c r="AD957">
        <v>1</v>
      </c>
      <c r="AE957" s="19" t="s">
        <v>60</v>
      </c>
    </row>
    <row r="958" spans="1:31" x14ac:dyDescent="0.2">
      <c r="A958">
        <v>909</v>
      </c>
      <c r="B958" s="19" t="s">
        <v>1446</v>
      </c>
      <c r="C958">
        <v>26</v>
      </c>
      <c r="D958" s="19" t="s">
        <v>447</v>
      </c>
      <c r="E958" s="19" t="s">
        <v>3</v>
      </c>
      <c r="F958">
        <v>1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U958">
        <v>0</v>
      </c>
      <c r="V958" s="19" t="s">
        <v>1447</v>
      </c>
      <c r="W958" s="19" t="s">
        <v>1447</v>
      </c>
      <c r="X958">
        <v>0</v>
      </c>
      <c r="Y958">
        <v>0</v>
      </c>
      <c r="AA958">
        <v>0</v>
      </c>
      <c r="AB958">
        <v>0</v>
      </c>
      <c r="AC958">
        <v>0</v>
      </c>
      <c r="AD958">
        <v>0</v>
      </c>
      <c r="AE958" s="19" t="s">
        <v>60</v>
      </c>
    </row>
    <row r="959" spans="1:31" x14ac:dyDescent="0.2">
      <c r="A959">
        <v>910</v>
      </c>
      <c r="B959" s="19" t="s">
        <v>2203</v>
      </c>
      <c r="C959">
        <v>28</v>
      </c>
      <c r="D959" s="19" t="s">
        <v>407</v>
      </c>
      <c r="E959" s="19" t="s">
        <v>325</v>
      </c>
      <c r="F959">
        <v>3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U959">
        <v>4</v>
      </c>
      <c r="V959" s="19" t="s">
        <v>2139</v>
      </c>
      <c r="W959" s="19" t="s">
        <v>1638</v>
      </c>
      <c r="X959">
        <v>8</v>
      </c>
      <c r="Y959">
        <v>6</v>
      </c>
      <c r="Z959">
        <v>57.1</v>
      </c>
      <c r="AA959">
        <v>2</v>
      </c>
      <c r="AB959">
        <v>10</v>
      </c>
      <c r="AC959">
        <v>0</v>
      </c>
      <c r="AD959">
        <v>4</v>
      </c>
      <c r="AE959" s="19" t="s">
        <v>60</v>
      </c>
    </row>
    <row r="960" spans="1:31" x14ac:dyDescent="0.2">
      <c r="A960">
        <v>911</v>
      </c>
      <c r="B960" s="19" t="s">
        <v>1448</v>
      </c>
      <c r="C960">
        <v>24</v>
      </c>
      <c r="D960" s="19" t="s">
        <v>352</v>
      </c>
      <c r="E960" s="19" t="s">
        <v>340</v>
      </c>
      <c r="F960">
        <v>2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U960">
        <v>3</v>
      </c>
      <c r="V960" s="19" t="s">
        <v>2095</v>
      </c>
      <c r="W960" s="19" t="s">
        <v>1814</v>
      </c>
      <c r="X960">
        <v>1</v>
      </c>
      <c r="Y960">
        <v>0</v>
      </c>
      <c r="Z960">
        <v>100</v>
      </c>
      <c r="AA960">
        <v>2</v>
      </c>
      <c r="AB960">
        <v>3</v>
      </c>
      <c r="AC960">
        <v>0</v>
      </c>
      <c r="AD960">
        <v>1</v>
      </c>
      <c r="AE960" s="19" t="s">
        <v>60</v>
      </c>
    </row>
    <row r="961" spans="1:31" x14ac:dyDescent="0.2">
      <c r="A961">
        <v>912</v>
      </c>
      <c r="B961" s="19" t="s">
        <v>2204</v>
      </c>
      <c r="C961">
        <v>24</v>
      </c>
      <c r="D961" s="19" t="s">
        <v>346</v>
      </c>
      <c r="E961" s="19" t="s">
        <v>349</v>
      </c>
      <c r="F961">
        <v>2</v>
      </c>
      <c r="G961">
        <v>0</v>
      </c>
      <c r="H961">
        <v>0</v>
      </c>
      <c r="I961">
        <v>0</v>
      </c>
      <c r="J961">
        <v>0</v>
      </c>
      <c r="K961">
        <v>2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3</v>
      </c>
      <c r="T961">
        <v>0</v>
      </c>
      <c r="U961">
        <v>4</v>
      </c>
      <c r="V961" s="19" t="s">
        <v>1630</v>
      </c>
      <c r="W961" s="19" t="s">
        <v>1645</v>
      </c>
      <c r="X961">
        <v>0</v>
      </c>
      <c r="Y961">
        <v>0</v>
      </c>
      <c r="AA961">
        <v>1</v>
      </c>
      <c r="AB961">
        <v>1</v>
      </c>
      <c r="AC961">
        <v>0</v>
      </c>
      <c r="AD961">
        <v>2</v>
      </c>
      <c r="AE961" s="19" t="s">
        <v>60</v>
      </c>
    </row>
    <row r="962" spans="1:31" x14ac:dyDescent="0.2">
      <c r="A962">
        <v>913</v>
      </c>
      <c r="B962" s="19" t="s">
        <v>1449</v>
      </c>
      <c r="C962">
        <v>33</v>
      </c>
      <c r="D962" s="19" t="s">
        <v>328</v>
      </c>
      <c r="E962" s="19" t="s">
        <v>3</v>
      </c>
      <c r="F962">
        <v>16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U962">
        <v>0</v>
      </c>
      <c r="V962" s="19" t="s">
        <v>1885</v>
      </c>
      <c r="W962" s="19" t="s">
        <v>1886</v>
      </c>
      <c r="X962">
        <v>0</v>
      </c>
      <c r="Y962">
        <v>0</v>
      </c>
      <c r="AA962">
        <v>0</v>
      </c>
      <c r="AB962">
        <v>0</v>
      </c>
      <c r="AC962">
        <v>0</v>
      </c>
      <c r="AD962">
        <v>12</v>
      </c>
      <c r="AE962" s="19" t="s">
        <v>60</v>
      </c>
    </row>
    <row r="963" spans="1:31" x14ac:dyDescent="0.2">
      <c r="A963">
        <v>914</v>
      </c>
      <c r="B963" s="19" t="s">
        <v>1450</v>
      </c>
      <c r="C963">
        <v>22</v>
      </c>
      <c r="D963" s="19" t="s">
        <v>376</v>
      </c>
      <c r="E963" s="19" t="s">
        <v>349</v>
      </c>
      <c r="F963">
        <v>4</v>
      </c>
      <c r="G963">
        <v>0</v>
      </c>
      <c r="H963">
        <v>0</v>
      </c>
      <c r="I963">
        <v>0</v>
      </c>
      <c r="J963">
        <v>-3</v>
      </c>
      <c r="K963">
        <v>2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1</v>
      </c>
      <c r="T963">
        <v>0</v>
      </c>
      <c r="U963">
        <v>6</v>
      </c>
      <c r="V963" s="19" t="s">
        <v>1451</v>
      </c>
      <c r="W963" s="19" t="s">
        <v>1329</v>
      </c>
      <c r="X963">
        <v>0</v>
      </c>
      <c r="Y963">
        <v>0</v>
      </c>
      <c r="AA963">
        <v>2</v>
      </c>
      <c r="AB963">
        <v>1</v>
      </c>
      <c r="AC963">
        <v>1</v>
      </c>
      <c r="AD963">
        <v>4</v>
      </c>
      <c r="AE963" s="19" t="s">
        <v>60</v>
      </c>
    </row>
    <row r="964" spans="1:31" x14ac:dyDescent="0.2">
      <c r="A964">
        <v>915</v>
      </c>
      <c r="B964" s="19" t="s">
        <v>1452</v>
      </c>
      <c r="C964">
        <v>20</v>
      </c>
      <c r="D964" s="19" t="s">
        <v>381</v>
      </c>
      <c r="E964" s="19" t="s">
        <v>322</v>
      </c>
      <c r="F964">
        <v>3</v>
      </c>
      <c r="G964">
        <v>0</v>
      </c>
      <c r="H964">
        <v>0</v>
      </c>
      <c r="I964">
        <v>0</v>
      </c>
      <c r="J964">
        <v>-1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6</v>
      </c>
      <c r="T964">
        <v>0</v>
      </c>
      <c r="U964">
        <v>10</v>
      </c>
      <c r="V964" s="19" t="s">
        <v>1453</v>
      </c>
      <c r="W964" s="19" t="s">
        <v>645</v>
      </c>
      <c r="X964">
        <v>0</v>
      </c>
      <c r="Y964">
        <v>0</v>
      </c>
      <c r="AA964">
        <v>1</v>
      </c>
      <c r="AB964">
        <v>2</v>
      </c>
      <c r="AC964">
        <v>0</v>
      </c>
      <c r="AD964">
        <v>3</v>
      </c>
      <c r="AE964" s="19" t="s">
        <v>60</v>
      </c>
    </row>
    <row r="965" spans="1:31" x14ac:dyDescent="0.2">
      <c r="A965">
        <v>916</v>
      </c>
      <c r="B965" s="19" t="s">
        <v>1455</v>
      </c>
      <c r="C965">
        <v>26</v>
      </c>
      <c r="D965" s="19" t="s">
        <v>321</v>
      </c>
      <c r="E965" s="19" t="s">
        <v>325</v>
      </c>
      <c r="F965">
        <v>2</v>
      </c>
      <c r="G965">
        <v>0</v>
      </c>
      <c r="H965">
        <v>0</v>
      </c>
      <c r="I965">
        <v>0</v>
      </c>
      <c r="J965">
        <v>1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U965">
        <v>0</v>
      </c>
      <c r="V965" s="19" t="s">
        <v>1456</v>
      </c>
      <c r="W965" s="19" t="s">
        <v>1457</v>
      </c>
      <c r="X965">
        <v>0</v>
      </c>
      <c r="Y965">
        <v>0</v>
      </c>
      <c r="AA965">
        <v>2</v>
      </c>
      <c r="AB965">
        <v>7</v>
      </c>
      <c r="AC965">
        <v>0</v>
      </c>
      <c r="AD965">
        <v>0</v>
      </c>
      <c r="AE965" s="19" t="s">
        <v>60</v>
      </c>
    </row>
    <row r="966" spans="1:31" x14ac:dyDescent="0.2">
      <c r="A966">
        <v>917</v>
      </c>
      <c r="B966" s="19" t="s">
        <v>2255</v>
      </c>
      <c r="C966">
        <v>26</v>
      </c>
      <c r="D966" s="19" t="s">
        <v>436</v>
      </c>
      <c r="E966" s="19" t="s">
        <v>322</v>
      </c>
      <c r="F966">
        <v>2</v>
      </c>
      <c r="G966">
        <v>0</v>
      </c>
      <c r="H966">
        <v>0</v>
      </c>
      <c r="I966">
        <v>0</v>
      </c>
      <c r="J966">
        <v>-2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4</v>
      </c>
      <c r="T966">
        <v>0</v>
      </c>
      <c r="U966">
        <v>8</v>
      </c>
      <c r="V966" s="19" t="s">
        <v>2591</v>
      </c>
      <c r="W966" s="19" t="s">
        <v>841</v>
      </c>
      <c r="X966">
        <v>1</v>
      </c>
      <c r="Y966">
        <v>1</v>
      </c>
      <c r="Z966">
        <v>50</v>
      </c>
      <c r="AA966">
        <v>1</v>
      </c>
      <c r="AB966">
        <v>8</v>
      </c>
      <c r="AC966">
        <v>1</v>
      </c>
      <c r="AD966">
        <v>1</v>
      </c>
      <c r="AE966" s="19" t="s">
        <v>60</v>
      </c>
    </row>
    <row r="967" spans="1:31" x14ac:dyDescent="0.2">
      <c r="A967">
        <v>918</v>
      </c>
      <c r="B967" s="19" t="s">
        <v>1458</v>
      </c>
      <c r="C967">
        <v>24</v>
      </c>
      <c r="D967" s="19" t="s">
        <v>376</v>
      </c>
      <c r="E967" s="19" t="s">
        <v>335</v>
      </c>
      <c r="F967">
        <v>2</v>
      </c>
      <c r="G967">
        <v>0</v>
      </c>
      <c r="H967">
        <v>0</v>
      </c>
      <c r="I967">
        <v>0</v>
      </c>
      <c r="J967">
        <v>-2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1</v>
      </c>
      <c r="T967">
        <v>0</v>
      </c>
      <c r="U967">
        <v>6</v>
      </c>
      <c r="V967" s="19" t="s">
        <v>1459</v>
      </c>
      <c r="W967" s="19" t="s">
        <v>1460</v>
      </c>
      <c r="X967">
        <v>0</v>
      </c>
      <c r="Y967">
        <v>0</v>
      </c>
      <c r="AA967">
        <v>2</v>
      </c>
      <c r="AB967">
        <v>2</v>
      </c>
      <c r="AC967">
        <v>1</v>
      </c>
      <c r="AD967">
        <v>1</v>
      </c>
      <c r="AE967" s="19" t="s">
        <v>60</v>
      </c>
    </row>
    <row r="968" spans="1:31" x14ac:dyDescent="0.2">
      <c r="A968">
        <v>919</v>
      </c>
      <c r="B968" s="19" t="s">
        <v>1461</v>
      </c>
      <c r="C968">
        <v>26</v>
      </c>
      <c r="D968" s="19" t="s">
        <v>359</v>
      </c>
      <c r="E968" s="19" t="s">
        <v>3</v>
      </c>
      <c r="F968">
        <v>3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U968">
        <v>0</v>
      </c>
      <c r="V968" s="19" t="s">
        <v>1462</v>
      </c>
      <c r="W968" s="19" t="s">
        <v>1463</v>
      </c>
      <c r="X968">
        <v>0</v>
      </c>
      <c r="Y968">
        <v>0</v>
      </c>
      <c r="AA968">
        <v>0</v>
      </c>
      <c r="AB968">
        <v>0</v>
      </c>
      <c r="AC968">
        <v>0</v>
      </c>
      <c r="AD968">
        <v>1</v>
      </c>
      <c r="AE968" s="19" t="s">
        <v>60</v>
      </c>
    </row>
    <row r="969" spans="1:31" x14ac:dyDescent="0.2">
      <c r="A969">
        <v>920</v>
      </c>
      <c r="B969" s="19" t="s">
        <v>1464</v>
      </c>
      <c r="C969">
        <v>40</v>
      </c>
      <c r="D969" s="19" t="s">
        <v>361</v>
      </c>
      <c r="E969" s="19" t="s">
        <v>3</v>
      </c>
      <c r="F969">
        <v>16</v>
      </c>
      <c r="G969">
        <v>0</v>
      </c>
      <c r="H969">
        <v>0</v>
      </c>
      <c r="I969">
        <v>0</v>
      </c>
      <c r="J969">
        <v>0</v>
      </c>
      <c r="K969">
        <v>14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U969">
        <v>0</v>
      </c>
      <c r="V969" s="19" t="s">
        <v>2235</v>
      </c>
      <c r="W969" s="19" t="s">
        <v>2236</v>
      </c>
      <c r="X969">
        <v>0</v>
      </c>
      <c r="Y969">
        <v>0</v>
      </c>
      <c r="AA969">
        <v>0</v>
      </c>
      <c r="AB969">
        <v>0</v>
      </c>
      <c r="AC969">
        <v>0</v>
      </c>
      <c r="AD969">
        <v>6</v>
      </c>
      <c r="AE969" s="19" t="s">
        <v>60</v>
      </c>
    </row>
    <row r="970" spans="1:31" x14ac:dyDescent="0.2">
      <c r="A970">
        <v>921</v>
      </c>
      <c r="B970" s="19" t="s">
        <v>1465</v>
      </c>
      <c r="C970">
        <v>23</v>
      </c>
      <c r="D970" s="19" t="s">
        <v>359</v>
      </c>
      <c r="E970" s="19" t="s">
        <v>325</v>
      </c>
      <c r="F970">
        <v>3</v>
      </c>
      <c r="G970">
        <v>0</v>
      </c>
      <c r="H970">
        <v>0</v>
      </c>
      <c r="I970">
        <v>0</v>
      </c>
      <c r="J970">
        <v>2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1</v>
      </c>
      <c r="T970">
        <v>0</v>
      </c>
      <c r="U970">
        <v>2</v>
      </c>
      <c r="V970" s="19" t="s">
        <v>1779</v>
      </c>
      <c r="W970" s="19" t="s">
        <v>1760</v>
      </c>
      <c r="X970">
        <v>5</v>
      </c>
      <c r="Y970">
        <v>8</v>
      </c>
      <c r="Z970">
        <v>38.5</v>
      </c>
      <c r="AA970">
        <v>0</v>
      </c>
      <c r="AB970">
        <v>7</v>
      </c>
      <c r="AC970">
        <v>0</v>
      </c>
      <c r="AD970">
        <v>2</v>
      </c>
      <c r="AE970" s="19" t="s">
        <v>60</v>
      </c>
    </row>
    <row r="971" spans="1:31" x14ac:dyDescent="0.2">
      <c r="A971">
        <v>922</v>
      </c>
      <c r="B971" s="19" t="s">
        <v>2161</v>
      </c>
      <c r="C971">
        <v>37</v>
      </c>
      <c r="D971" s="19" t="s">
        <v>416</v>
      </c>
      <c r="E971" s="19" t="s">
        <v>3</v>
      </c>
      <c r="F971">
        <v>4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U971">
        <v>0</v>
      </c>
      <c r="V971" s="19" t="s">
        <v>2950</v>
      </c>
      <c r="W971" s="19" t="s">
        <v>2023</v>
      </c>
      <c r="X971">
        <v>0</v>
      </c>
      <c r="Y971">
        <v>0</v>
      </c>
      <c r="AA971">
        <v>0</v>
      </c>
      <c r="AB971">
        <v>0</v>
      </c>
      <c r="AC971">
        <v>0</v>
      </c>
      <c r="AD971">
        <v>1</v>
      </c>
      <c r="AE971" s="19" t="s">
        <v>60</v>
      </c>
    </row>
    <row r="972" spans="1:31" x14ac:dyDescent="0.2">
      <c r="A972">
        <v>923</v>
      </c>
      <c r="B972" s="19" t="s">
        <v>1468</v>
      </c>
      <c r="C972">
        <v>33</v>
      </c>
      <c r="D972" s="19" t="s">
        <v>384</v>
      </c>
      <c r="E972" s="19" t="s">
        <v>3</v>
      </c>
      <c r="F972">
        <v>21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1</v>
      </c>
      <c r="T972">
        <v>0</v>
      </c>
      <c r="U972">
        <v>1</v>
      </c>
      <c r="V972" s="19" t="s">
        <v>2951</v>
      </c>
      <c r="W972" s="19" t="s">
        <v>2159</v>
      </c>
      <c r="X972">
        <v>0</v>
      </c>
      <c r="Y972">
        <v>0</v>
      </c>
      <c r="AA972">
        <v>0</v>
      </c>
      <c r="AB972">
        <v>0</v>
      </c>
      <c r="AC972">
        <v>0</v>
      </c>
      <c r="AD972">
        <v>16</v>
      </c>
      <c r="AE972" s="19" t="s">
        <v>60</v>
      </c>
    </row>
    <row r="973" spans="1:31" x14ac:dyDescent="0.2">
      <c r="A973">
        <v>924</v>
      </c>
      <c r="B973" s="19" t="s">
        <v>1469</v>
      </c>
      <c r="C973">
        <v>22</v>
      </c>
      <c r="D973" s="19" t="s">
        <v>363</v>
      </c>
      <c r="E973" s="19" t="s">
        <v>335</v>
      </c>
      <c r="F973">
        <v>3</v>
      </c>
      <c r="G973">
        <v>0</v>
      </c>
      <c r="H973">
        <v>0</v>
      </c>
      <c r="I973">
        <v>0</v>
      </c>
      <c r="J973">
        <v>0</v>
      </c>
      <c r="K973">
        <v>2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2</v>
      </c>
      <c r="T973">
        <v>0</v>
      </c>
      <c r="U973">
        <v>6</v>
      </c>
      <c r="V973" s="19" t="s">
        <v>1470</v>
      </c>
      <c r="W973" s="19" t="s">
        <v>1123</v>
      </c>
      <c r="X973">
        <v>0</v>
      </c>
      <c r="Y973">
        <v>0</v>
      </c>
      <c r="AA973">
        <v>0</v>
      </c>
      <c r="AB973">
        <v>6</v>
      </c>
      <c r="AC973">
        <v>0</v>
      </c>
      <c r="AD973">
        <v>3</v>
      </c>
      <c r="AE973" s="19" t="s">
        <v>60</v>
      </c>
    </row>
    <row r="974" spans="1:31" x14ac:dyDescent="0.2">
      <c r="A974">
        <v>925</v>
      </c>
      <c r="B974" s="19" t="s">
        <v>1471</v>
      </c>
      <c r="C974">
        <v>21</v>
      </c>
      <c r="D974" s="19" t="s">
        <v>346</v>
      </c>
      <c r="E974" s="19" t="s">
        <v>349</v>
      </c>
      <c r="F974">
        <v>8</v>
      </c>
      <c r="G974">
        <v>0</v>
      </c>
      <c r="H974">
        <v>0</v>
      </c>
      <c r="I974">
        <v>0</v>
      </c>
      <c r="J974">
        <v>-5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7</v>
      </c>
      <c r="T974">
        <v>0</v>
      </c>
      <c r="U974">
        <v>19</v>
      </c>
      <c r="V974" s="19" t="s">
        <v>2952</v>
      </c>
      <c r="W974" s="19" t="s">
        <v>2040</v>
      </c>
      <c r="X974">
        <v>0</v>
      </c>
      <c r="Y974">
        <v>0</v>
      </c>
      <c r="AA974">
        <v>8</v>
      </c>
      <c r="AB974">
        <v>9</v>
      </c>
      <c r="AC974">
        <v>2</v>
      </c>
      <c r="AD974">
        <v>8</v>
      </c>
      <c r="AE974" s="19" t="s">
        <v>60</v>
      </c>
    </row>
    <row r="975" spans="1:31" x14ac:dyDescent="0.2">
      <c r="A975">
        <v>926</v>
      </c>
      <c r="B975" s="19" t="s">
        <v>1472</v>
      </c>
      <c r="C975">
        <v>30</v>
      </c>
      <c r="D975" s="19" t="s">
        <v>459</v>
      </c>
      <c r="E975" s="19" t="s">
        <v>3</v>
      </c>
      <c r="F975">
        <v>40</v>
      </c>
      <c r="G975">
        <v>0</v>
      </c>
      <c r="H975">
        <v>0</v>
      </c>
      <c r="I975">
        <v>0</v>
      </c>
      <c r="J975">
        <v>0</v>
      </c>
      <c r="K975">
        <v>2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U975">
        <v>0</v>
      </c>
      <c r="V975" s="19" t="s">
        <v>2953</v>
      </c>
      <c r="W975" s="19" t="s">
        <v>2321</v>
      </c>
      <c r="X975">
        <v>0</v>
      </c>
      <c r="Y975">
        <v>0</v>
      </c>
      <c r="AA975">
        <v>0</v>
      </c>
      <c r="AB975">
        <v>0</v>
      </c>
      <c r="AC975">
        <v>0</v>
      </c>
      <c r="AD975">
        <v>19</v>
      </c>
      <c r="AE975" s="19" t="s">
        <v>60</v>
      </c>
    </row>
    <row r="976" spans="1:31" x14ac:dyDescent="0.2">
      <c r="A976">
        <v>927</v>
      </c>
      <c r="B976" s="19" t="s">
        <v>1857</v>
      </c>
      <c r="C976">
        <v>30</v>
      </c>
      <c r="D976" s="19" t="s">
        <v>416</v>
      </c>
      <c r="E976" s="19" t="s">
        <v>3</v>
      </c>
      <c r="F976">
        <v>1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U976">
        <v>0</v>
      </c>
      <c r="V976" s="19" t="s">
        <v>1858</v>
      </c>
      <c r="W976" s="19" t="s">
        <v>1858</v>
      </c>
      <c r="X976">
        <v>0</v>
      </c>
      <c r="Y976">
        <v>0</v>
      </c>
      <c r="AA976">
        <v>0</v>
      </c>
      <c r="AB976">
        <v>0</v>
      </c>
      <c r="AC976">
        <v>0</v>
      </c>
      <c r="AD976">
        <v>0</v>
      </c>
      <c r="AE976" s="19" t="s">
        <v>60</v>
      </c>
    </row>
    <row r="977" spans="1:31" x14ac:dyDescent="0.2">
      <c r="A977">
        <v>928</v>
      </c>
      <c r="B977" s="19" t="s">
        <v>1474</v>
      </c>
      <c r="C977">
        <v>30</v>
      </c>
      <c r="D977" s="19" t="s">
        <v>361</v>
      </c>
      <c r="E977" s="19" t="s">
        <v>3</v>
      </c>
      <c r="F977">
        <v>34</v>
      </c>
      <c r="G977">
        <v>0</v>
      </c>
      <c r="H977">
        <v>0</v>
      </c>
      <c r="I977">
        <v>0</v>
      </c>
      <c r="J977">
        <v>0</v>
      </c>
      <c r="K977">
        <v>4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2</v>
      </c>
      <c r="T977">
        <v>0</v>
      </c>
      <c r="U977">
        <v>2</v>
      </c>
      <c r="V977" s="19" t="s">
        <v>1859</v>
      </c>
      <c r="W977" s="19" t="s">
        <v>1703</v>
      </c>
      <c r="X977">
        <v>0</v>
      </c>
      <c r="Y977">
        <v>0</v>
      </c>
      <c r="AA977">
        <v>0</v>
      </c>
      <c r="AB977">
        <v>0</v>
      </c>
      <c r="AC977">
        <v>0</v>
      </c>
      <c r="AD977">
        <v>17</v>
      </c>
      <c r="AE977" s="19" t="s">
        <v>60</v>
      </c>
    </row>
    <row r="978" spans="1:31" x14ac:dyDescent="0.2">
      <c r="A978">
        <v>929</v>
      </c>
      <c r="B978" s="19" t="s">
        <v>1475</v>
      </c>
      <c r="C978">
        <v>24</v>
      </c>
      <c r="D978" s="19" t="s">
        <v>513</v>
      </c>
      <c r="E978" s="19" t="s">
        <v>349</v>
      </c>
      <c r="F978">
        <v>1</v>
      </c>
      <c r="G978">
        <v>0</v>
      </c>
      <c r="H978">
        <v>0</v>
      </c>
      <c r="I978">
        <v>0</v>
      </c>
      <c r="J978">
        <v>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U978">
        <v>1</v>
      </c>
      <c r="V978" s="19" t="s">
        <v>992</v>
      </c>
      <c r="W978" s="19" t="s">
        <v>992</v>
      </c>
      <c r="X978">
        <v>0</v>
      </c>
      <c r="Y978">
        <v>0</v>
      </c>
      <c r="AA978">
        <v>1</v>
      </c>
      <c r="AB978">
        <v>4</v>
      </c>
      <c r="AC978">
        <v>0</v>
      </c>
      <c r="AD978">
        <v>0</v>
      </c>
      <c r="AE978" s="19" t="s">
        <v>60</v>
      </c>
    </row>
    <row r="979" spans="1:31" x14ac:dyDescent="0.2">
      <c r="A979">
        <v>930</v>
      </c>
      <c r="B979" s="19" t="s">
        <v>1476</v>
      </c>
      <c r="C979">
        <v>27</v>
      </c>
      <c r="D979" s="19" t="s">
        <v>950</v>
      </c>
      <c r="E979" s="19" t="s">
        <v>3</v>
      </c>
      <c r="F979">
        <v>33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U979">
        <v>0</v>
      </c>
      <c r="V979" s="19" t="s">
        <v>2256</v>
      </c>
      <c r="W979" s="19" t="s">
        <v>2257</v>
      </c>
      <c r="X979">
        <v>0</v>
      </c>
      <c r="Y979">
        <v>0</v>
      </c>
      <c r="AA979">
        <v>0</v>
      </c>
      <c r="AB979">
        <v>0</v>
      </c>
      <c r="AC979">
        <v>0</v>
      </c>
      <c r="AD979">
        <v>16</v>
      </c>
      <c r="AE979" s="19" t="s">
        <v>60</v>
      </c>
    </row>
    <row r="980" spans="1:31" x14ac:dyDescent="0.2">
      <c r="A980">
        <v>930</v>
      </c>
      <c r="B980" s="19" t="s">
        <v>1476</v>
      </c>
      <c r="C980">
        <v>27</v>
      </c>
      <c r="D980" s="19" t="s">
        <v>328</v>
      </c>
      <c r="E980" s="19" t="s">
        <v>3</v>
      </c>
      <c r="F980">
        <v>23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U980">
        <v>0</v>
      </c>
      <c r="V980" s="19" t="s">
        <v>1558</v>
      </c>
      <c r="W980" s="19" t="s">
        <v>1366</v>
      </c>
      <c r="X980">
        <v>0</v>
      </c>
      <c r="Y980">
        <v>0</v>
      </c>
      <c r="AA980">
        <v>0</v>
      </c>
      <c r="AB980">
        <v>0</v>
      </c>
      <c r="AC980">
        <v>0</v>
      </c>
      <c r="AD980">
        <v>10</v>
      </c>
      <c r="AE980" s="19" t="s">
        <v>60</v>
      </c>
    </row>
    <row r="981" spans="1:31" x14ac:dyDescent="0.2">
      <c r="A981">
        <v>930</v>
      </c>
      <c r="B981" s="19" t="s">
        <v>1476</v>
      </c>
      <c r="C981">
        <v>27</v>
      </c>
      <c r="D981" s="19" t="s">
        <v>376</v>
      </c>
      <c r="E981" s="19" t="s">
        <v>3</v>
      </c>
      <c r="F981">
        <v>10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U981">
        <v>0</v>
      </c>
      <c r="V981" s="19" t="s">
        <v>2258</v>
      </c>
      <c r="W981" s="19" t="s">
        <v>2259</v>
      </c>
      <c r="X981">
        <v>0</v>
      </c>
      <c r="Y981">
        <v>0</v>
      </c>
      <c r="AA981">
        <v>0</v>
      </c>
      <c r="AB981">
        <v>0</v>
      </c>
      <c r="AC981">
        <v>0</v>
      </c>
      <c r="AD981">
        <v>6</v>
      </c>
      <c r="AE981" s="19" t="s">
        <v>60</v>
      </c>
    </row>
    <row r="982" spans="1:31" x14ac:dyDescent="0.2">
      <c r="A982">
        <v>931</v>
      </c>
      <c r="B982" s="19" t="s">
        <v>1479</v>
      </c>
      <c r="C982">
        <v>26</v>
      </c>
      <c r="D982" s="19" t="s">
        <v>330</v>
      </c>
      <c r="E982" s="19" t="s">
        <v>3</v>
      </c>
      <c r="F982">
        <v>16</v>
      </c>
      <c r="G982">
        <v>0</v>
      </c>
      <c r="H982">
        <v>0</v>
      </c>
      <c r="I982">
        <v>0</v>
      </c>
      <c r="J982">
        <v>0</v>
      </c>
      <c r="K982">
        <v>4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U982">
        <v>0</v>
      </c>
      <c r="V982" s="19" t="s">
        <v>2592</v>
      </c>
      <c r="W982" s="19" t="s">
        <v>2593</v>
      </c>
      <c r="X982">
        <v>0</v>
      </c>
      <c r="Y982">
        <v>0</v>
      </c>
      <c r="AA982">
        <v>0</v>
      </c>
      <c r="AB982">
        <v>0</v>
      </c>
      <c r="AC982">
        <v>0</v>
      </c>
      <c r="AD982">
        <v>5</v>
      </c>
      <c r="AE982" s="19" t="s">
        <v>60</v>
      </c>
    </row>
    <row r="983" spans="1:31" x14ac:dyDescent="0.2">
      <c r="A983">
        <v>932</v>
      </c>
      <c r="B983" s="19" t="s">
        <v>1482</v>
      </c>
      <c r="C983">
        <v>30</v>
      </c>
      <c r="D983" s="19" t="s">
        <v>384</v>
      </c>
      <c r="E983" s="19" t="s">
        <v>3</v>
      </c>
      <c r="F983">
        <v>30</v>
      </c>
      <c r="G983">
        <v>0</v>
      </c>
      <c r="H983">
        <v>0</v>
      </c>
      <c r="I983">
        <v>0</v>
      </c>
      <c r="J983">
        <v>0</v>
      </c>
      <c r="K983">
        <v>2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U983">
        <v>0</v>
      </c>
      <c r="V983" s="19" t="s">
        <v>2260</v>
      </c>
      <c r="W983" s="19" t="s">
        <v>1820</v>
      </c>
      <c r="X983">
        <v>0</v>
      </c>
      <c r="Y983">
        <v>0</v>
      </c>
      <c r="AA983">
        <v>0</v>
      </c>
      <c r="AB983">
        <v>0</v>
      </c>
      <c r="AC983">
        <v>0</v>
      </c>
      <c r="AD983">
        <v>6</v>
      </c>
      <c r="AE983" s="19" t="s">
        <v>60</v>
      </c>
    </row>
    <row r="984" spans="1:31" x14ac:dyDescent="0.2">
      <c r="A984">
        <v>933</v>
      </c>
      <c r="B984" s="19" t="s">
        <v>2072</v>
      </c>
      <c r="C984">
        <v>22</v>
      </c>
      <c r="D984" s="19" t="s">
        <v>357</v>
      </c>
      <c r="E984" s="19" t="s">
        <v>349</v>
      </c>
      <c r="F984">
        <v>2</v>
      </c>
      <c r="G984">
        <v>0</v>
      </c>
      <c r="H984">
        <v>0</v>
      </c>
      <c r="I984">
        <v>0</v>
      </c>
      <c r="J984">
        <v>-1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U984">
        <v>0</v>
      </c>
      <c r="V984" s="19" t="s">
        <v>2195</v>
      </c>
      <c r="W984" s="19" t="s">
        <v>992</v>
      </c>
      <c r="X984">
        <v>0</v>
      </c>
      <c r="Y984">
        <v>0</v>
      </c>
      <c r="AA984">
        <v>2</v>
      </c>
      <c r="AB984">
        <v>1</v>
      </c>
      <c r="AC984">
        <v>0</v>
      </c>
      <c r="AD984">
        <v>1</v>
      </c>
      <c r="AE984" s="19" t="s">
        <v>60</v>
      </c>
    </row>
    <row r="985" spans="1:31" x14ac:dyDescent="0.2">
      <c r="A985">
        <v>934</v>
      </c>
      <c r="B985" s="19" t="s">
        <v>1606</v>
      </c>
      <c r="C985">
        <v>27</v>
      </c>
      <c r="D985" s="19" t="s">
        <v>328</v>
      </c>
      <c r="E985" s="19" t="s">
        <v>349</v>
      </c>
      <c r="F985">
        <v>4</v>
      </c>
      <c r="G985">
        <v>0</v>
      </c>
      <c r="H985">
        <v>0</v>
      </c>
      <c r="I985">
        <v>0</v>
      </c>
      <c r="J985">
        <v>1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1</v>
      </c>
      <c r="T985">
        <v>0</v>
      </c>
      <c r="U985">
        <v>4</v>
      </c>
      <c r="V985" s="19" t="s">
        <v>1888</v>
      </c>
      <c r="W985" s="19" t="s">
        <v>1745</v>
      </c>
      <c r="X985">
        <v>0</v>
      </c>
      <c r="Y985">
        <v>0</v>
      </c>
      <c r="AA985">
        <v>4</v>
      </c>
      <c r="AB985">
        <v>7</v>
      </c>
      <c r="AC985">
        <v>0</v>
      </c>
      <c r="AD985">
        <v>2</v>
      </c>
      <c r="AE985" s="19" t="s">
        <v>60</v>
      </c>
    </row>
    <row r="986" spans="1:31" x14ac:dyDescent="0.2">
      <c r="A986">
        <v>935</v>
      </c>
      <c r="B986" s="19" t="s">
        <v>1483</v>
      </c>
      <c r="C986">
        <v>32</v>
      </c>
      <c r="D986" s="19" t="s">
        <v>359</v>
      </c>
      <c r="E986" s="19" t="s">
        <v>3</v>
      </c>
      <c r="F986">
        <v>14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U986">
        <v>0</v>
      </c>
      <c r="V986" s="19" t="s">
        <v>2594</v>
      </c>
      <c r="W986" s="19" t="s">
        <v>1911</v>
      </c>
      <c r="X986">
        <v>0</v>
      </c>
      <c r="Y986">
        <v>0</v>
      </c>
      <c r="AA986">
        <v>0</v>
      </c>
      <c r="AB986">
        <v>0</v>
      </c>
      <c r="AC986">
        <v>0</v>
      </c>
      <c r="AD986">
        <v>2</v>
      </c>
      <c r="AE986" s="19" t="s">
        <v>60</v>
      </c>
    </row>
    <row r="987" spans="1:31" x14ac:dyDescent="0.2">
      <c r="A987">
        <v>936</v>
      </c>
      <c r="B987" s="19" t="s">
        <v>1865</v>
      </c>
      <c r="C987">
        <v>22</v>
      </c>
      <c r="D987" s="19" t="s">
        <v>436</v>
      </c>
      <c r="E987" s="19" t="s">
        <v>340</v>
      </c>
      <c r="F987">
        <v>3</v>
      </c>
      <c r="G987">
        <v>0</v>
      </c>
      <c r="H987">
        <v>0</v>
      </c>
      <c r="I987">
        <v>0</v>
      </c>
      <c r="J987">
        <v>-1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2</v>
      </c>
      <c r="T987">
        <v>0</v>
      </c>
      <c r="U987">
        <v>2</v>
      </c>
      <c r="V987" s="19" t="s">
        <v>1949</v>
      </c>
      <c r="W987" s="19" t="s">
        <v>1872</v>
      </c>
      <c r="X987">
        <v>0</v>
      </c>
      <c r="Y987">
        <v>0</v>
      </c>
      <c r="AA987">
        <v>0</v>
      </c>
      <c r="AB987">
        <v>0</v>
      </c>
      <c r="AC987">
        <v>0</v>
      </c>
      <c r="AD987">
        <v>0</v>
      </c>
      <c r="AE987" s="19" t="s">
        <v>60</v>
      </c>
    </row>
    <row r="988" spans="1:31" x14ac:dyDescent="0.2">
      <c r="A988">
        <v>937</v>
      </c>
      <c r="B988" s="19" t="s">
        <v>1484</v>
      </c>
      <c r="C988">
        <v>26</v>
      </c>
      <c r="D988" s="19" t="s">
        <v>373</v>
      </c>
      <c r="E988" s="19" t="s">
        <v>322</v>
      </c>
      <c r="F988">
        <v>18</v>
      </c>
      <c r="G988">
        <v>0</v>
      </c>
      <c r="H988">
        <v>0</v>
      </c>
      <c r="I988">
        <v>0</v>
      </c>
      <c r="J988">
        <v>-6</v>
      </c>
      <c r="K988">
        <v>4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16</v>
      </c>
      <c r="T988">
        <v>0</v>
      </c>
      <c r="U988">
        <v>26</v>
      </c>
      <c r="V988" s="19" t="s">
        <v>1942</v>
      </c>
      <c r="W988" s="19" t="s">
        <v>1943</v>
      </c>
      <c r="X988">
        <v>22</v>
      </c>
      <c r="Y988">
        <v>36</v>
      </c>
      <c r="Z988">
        <v>37.9</v>
      </c>
      <c r="AA988">
        <v>6</v>
      </c>
      <c r="AB988">
        <v>19</v>
      </c>
      <c r="AC988">
        <v>2</v>
      </c>
      <c r="AD988">
        <v>3</v>
      </c>
      <c r="AE988" s="19" t="s">
        <v>60</v>
      </c>
    </row>
    <row r="989" spans="1:31" x14ac:dyDescent="0.2">
      <c r="A989">
        <v>938</v>
      </c>
      <c r="B989" s="19" t="s">
        <v>1485</v>
      </c>
      <c r="C989">
        <v>27</v>
      </c>
      <c r="D989" s="19" t="s">
        <v>355</v>
      </c>
      <c r="E989" s="19" t="s">
        <v>3</v>
      </c>
      <c r="F989">
        <v>35</v>
      </c>
      <c r="G989">
        <v>0</v>
      </c>
      <c r="H989">
        <v>0</v>
      </c>
      <c r="I989">
        <v>0</v>
      </c>
      <c r="J989">
        <v>0</v>
      </c>
      <c r="K989">
        <v>2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U989">
        <v>1</v>
      </c>
      <c r="V989" s="19" t="s">
        <v>2954</v>
      </c>
      <c r="W989" s="19" t="s">
        <v>1646</v>
      </c>
      <c r="X989">
        <v>0</v>
      </c>
      <c r="Y989">
        <v>0</v>
      </c>
      <c r="AA989">
        <v>0</v>
      </c>
      <c r="AB989">
        <v>0</v>
      </c>
      <c r="AC989">
        <v>0</v>
      </c>
      <c r="AD989">
        <v>13</v>
      </c>
      <c r="AE989" s="19" t="s">
        <v>60</v>
      </c>
    </row>
    <row r="990" spans="1:31" x14ac:dyDescent="0.2">
      <c r="A990">
        <v>939</v>
      </c>
      <c r="B990" s="19" t="s">
        <v>1889</v>
      </c>
      <c r="C990">
        <v>25</v>
      </c>
      <c r="D990" s="19" t="s">
        <v>416</v>
      </c>
      <c r="E990" s="19" t="s">
        <v>3</v>
      </c>
      <c r="F990">
        <v>1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U990">
        <v>0</v>
      </c>
      <c r="V990" s="19" t="s">
        <v>479</v>
      </c>
      <c r="W990" s="19" t="s">
        <v>479</v>
      </c>
      <c r="X990">
        <v>0</v>
      </c>
      <c r="Y990">
        <v>0</v>
      </c>
      <c r="AA990">
        <v>0</v>
      </c>
      <c r="AB990">
        <v>0</v>
      </c>
      <c r="AC990">
        <v>0</v>
      </c>
      <c r="AD990">
        <v>0</v>
      </c>
      <c r="AE990" s="19" t="s">
        <v>60</v>
      </c>
    </row>
    <row r="991" spans="1:31" x14ac:dyDescent="0.2">
      <c r="A991">
        <v>940</v>
      </c>
      <c r="B991" s="19" t="s">
        <v>1486</v>
      </c>
      <c r="C991">
        <v>26</v>
      </c>
      <c r="D991" s="19" t="s">
        <v>373</v>
      </c>
      <c r="E991" s="19" t="s">
        <v>3</v>
      </c>
      <c r="F991">
        <v>16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U991">
        <v>0</v>
      </c>
      <c r="V991" s="19" t="s">
        <v>2322</v>
      </c>
      <c r="W991" s="19" t="s">
        <v>2323</v>
      </c>
      <c r="X991">
        <v>0</v>
      </c>
      <c r="Y991">
        <v>0</v>
      </c>
      <c r="AA991">
        <v>0</v>
      </c>
      <c r="AB991">
        <v>0</v>
      </c>
      <c r="AC991">
        <v>0</v>
      </c>
      <c r="AD991">
        <v>9</v>
      </c>
      <c r="AE991" s="19" t="s">
        <v>60</v>
      </c>
    </row>
    <row r="992" spans="1:31" x14ac:dyDescent="0.2">
      <c r="A992">
        <v>941</v>
      </c>
      <c r="B992" s="19" t="s">
        <v>1559</v>
      </c>
      <c r="C992">
        <v>24</v>
      </c>
      <c r="D992" s="19" t="s">
        <v>359</v>
      </c>
      <c r="E992" s="19" t="s">
        <v>349</v>
      </c>
      <c r="F992">
        <v>4</v>
      </c>
      <c r="G992">
        <v>0</v>
      </c>
      <c r="H992">
        <v>0</v>
      </c>
      <c r="I992">
        <v>0</v>
      </c>
      <c r="J992">
        <v>-1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4</v>
      </c>
      <c r="T992">
        <v>0</v>
      </c>
      <c r="U992">
        <v>5</v>
      </c>
      <c r="V992" s="19" t="s">
        <v>1607</v>
      </c>
      <c r="W992" s="19" t="s">
        <v>1333</v>
      </c>
      <c r="X992">
        <v>0</v>
      </c>
      <c r="Y992">
        <v>0</v>
      </c>
      <c r="AA992">
        <v>4</v>
      </c>
      <c r="AB992">
        <v>3</v>
      </c>
      <c r="AC992">
        <v>0</v>
      </c>
      <c r="AD992">
        <v>1</v>
      </c>
      <c r="AE992" s="19" t="s">
        <v>60</v>
      </c>
    </row>
    <row r="993" spans="1:31" x14ac:dyDescent="0.2">
      <c r="A993">
        <v>942</v>
      </c>
      <c r="B993" s="19" t="s">
        <v>1487</v>
      </c>
      <c r="C993">
        <v>25</v>
      </c>
      <c r="D993" s="19" t="s">
        <v>447</v>
      </c>
      <c r="E993" s="19" t="s">
        <v>3</v>
      </c>
      <c r="F993">
        <v>6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U993">
        <v>0</v>
      </c>
      <c r="V993" s="19" t="s">
        <v>2147</v>
      </c>
      <c r="W993" s="19" t="s">
        <v>2148</v>
      </c>
      <c r="X993">
        <v>0</v>
      </c>
      <c r="Y993">
        <v>0</v>
      </c>
      <c r="AA993">
        <v>0</v>
      </c>
      <c r="AB993">
        <v>0</v>
      </c>
      <c r="AC993">
        <v>0</v>
      </c>
      <c r="AD993">
        <v>2</v>
      </c>
      <c r="AE993" s="19" t="s">
        <v>60</v>
      </c>
    </row>
    <row r="994" spans="1:31" x14ac:dyDescent="0.2">
      <c r="A994">
        <v>943</v>
      </c>
      <c r="B994" s="19" t="s">
        <v>1577</v>
      </c>
      <c r="C994">
        <v>23</v>
      </c>
      <c r="D994" s="19" t="s">
        <v>366</v>
      </c>
      <c r="E994" s="19" t="s">
        <v>335</v>
      </c>
      <c r="F994">
        <v>2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3</v>
      </c>
      <c r="V994" s="19" t="s">
        <v>1516</v>
      </c>
      <c r="W994" s="19" t="s">
        <v>1418</v>
      </c>
      <c r="X994">
        <v>0</v>
      </c>
      <c r="Y994">
        <v>0</v>
      </c>
      <c r="AA994">
        <v>2</v>
      </c>
      <c r="AB994">
        <v>1</v>
      </c>
      <c r="AC994">
        <v>1</v>
      </c>
      <c r="AD994">
        <v>1</v>
      </c>
      <c r="AE994" s="19" t="s">
        <v>60</v>
      </c>
    </row>
    <row r="995" spans="1:31" x14ac:dyDescent="0.2">
      <c r="A995">
        <v>944</v>
      </c>
      <c r="B995" s="19" t="s">
        <v>1913</v>
      </c>
      <c r="C995">
        <v>33</v>
      </c>
      <c r="D995" s="19" t="s">
        <v>321</v>
      </c>
      <c r="E995" s="19" t="s">
        <v>322</v>
      </c>
      <c r="F995">
        <v>1</v>
      </c>
      <c r="G995">
        <v>0</v>
      </c>
      <c r="H995">
        <v>0</v>
      </c>
      <c r="I995">
        <v>0</v>
      </c>
      <c r="J995">
        <v>1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1</v>
      </c>
      <c r="V995" s="19" t="s">
        <v>1914</v>
      </c>
      <c r="W995" s="19" t="s">
        <v>1914</v>
      </c>
      <c r="X995">
        <v>4</v>
      </c>
      <c r="Y995">
        <v>6</v>
      </c>
      <c r="Z995">
        <v>40</v>
      </c>
      <c r="AA995">
        <v>0</v>
      </c>
      <c r="AB995">
        <v>0</v>
      </c>
      <c r="AC995">
        <v>0</v>
      </c>
      <c r="AD995">
        <v>0</v>
      </c>
      <c r="AE995" s="19" t="s">
        <v>60</v>
      </c>
    </row>
    <row r="996" spans="1:31" x14ac:dyDescent="0.2">
      <c r="A996">
        <v>945</v>
      </c>
      <c r="B996" s="19" t="s">
        <v>1488</v>
      </c>
      <c r="C996">
        <v>32</v>
      </c>
      <c r="D996" s="19" t="s">
        <v>416</v>
      </c>
      <c r="E996" s="19" t="s">
        <v>3</v>
      </c>
      <c r="F996">
        <v>28</v>
      </c>
      <c r="G996">
        <v>0</v>
      </c>
      <c r="H996">
        <v>0</v>
      </c>
      <c r="I996">
        <v>0</v>
      </c>
      <c r="J996">
        <v>0</v>
      </c>
      <c r="K996">
        <v>2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U996">
        <v>1</v>
      </c>
      <c r="V996" s="19" t="s">
        <v>1704</v>
      </c>
      <c r="W996" s="19" t="s">
        <v>1705</v>
      </c>
      <c r="X996">
        <v>0</v>
      </c>
      <c r="Y996">
        <v>0</v>
      </c>
      <c r="AA996">
        <v>0</v>
      </c>
      <c r="AB996">
        <v>0</v>
      </c>
      <c r="AC996">
        <v>0</v>
      </c>
      <c r="AD996">
        <v>6</v>
      </c>
      <c r="AE996" s="19" t="s">
        <v>60</v>
      </c>
    </row>
    <row r="997" spans="1:31" x14ac:dyDescent="0.2">
      <c r="A997">
        <v>946</v>
      </c>
      <c r="B997" s="19" t="s">
        <v>1491</v>
      </c>
      <c r="C997">
        <v>28</v>
      </c>
      <c r="D997" s="19" t="s">
        <v>407</v>
      </c>
      <c r="E997" s="19" t="s">
        <v>3</v>
      </c>
      <c r="F997">
        <v>28</v>
      </c>
      <c r="G997">
        <v>0</v>
      </c>
      <c r="H997">
        <v>0</v>
      </c>
      <c r="I997">
        <v>0</v>
      </c>
      <c r="J997">
        <v>0</v>
      </c>
      <c r="K997">
        <v>2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U997">
        <v>0</v>
      </c>
      <c r="V997" s="19" t="s">
        <v>2026</v>
      </c>
      <c r="W997" s="19" t="s">
        <v>2027</v>
      </c>
      <c r="X997">
        <v>0</v>
      </c>
      <c r="Y997">
        <v>0</v>
      </c>
      <c r="AA997">
        <v>0</v>
      </c>
      <c r="AB997">
        <v>0</v>
      </c>
      <c r="AC997">
        <v>0</v>
      </c>
      <c r="AD997">
        <v>7</v>
      </c>
      <c r="AE997" s="19" t="s">
        <v>60</v>
      </c>
    </row>
    <row r="998" spans="1:31" x14ac:dyDescent="0.2">
      <c r="A998">
        <v>947</v>
      </c>
      <c r="B998" s="19" t="s">
        <v>1492</v>
      </c>
      <c r="C998">
        <v>23</v>
      </c>
      <c r="D998" s="19" t="s">
        <v>357</v>
      </c>
      <c r="E998" s="19" t="s">
        <v>3</v>
      </c>
      <c r="F998">
        <v>21</v>
      </c>
      <c r="G998">
        <v>0</v>
      </c>
      <c r="H998">
        <v>0</v>
      </c>
      <c r="I998">
        <v>0</v>
      </c>
      <c r="J998">
        <v>0</v>
      </c>
      <c r="K998">
        <v>2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U998">
        <v>0</v>
      </c>
      <c r="V998" s="19" t="s">
        <v>2237</v>
      </c>
      <c r="W998" s="19" t="s">
        <v>2238</v>
      </c>
      <c r="X998">
        <v>0</v>
      </c>
      <c r="Y998">
        <v>0</v>
      </c>
      <c r="AA998">
        <v>0</v>
      </c>
      <c r="AB998">
        <v>0</v>
      </c>
      <c r="AC998">
        <v>0</v>
      </c>
      <c r="AD998">
        <v>13</v>
      </c>
      <c r="AE998" s="19" t="s">
        <v>60</v>
      </c>
    </row>
    <row r="999" spans="1:31" x14ac:dyDescent="0.2">
      <c r="A999">
        <v>948</v>
      </c>
      <c r="B999" s="19" t="s">
        <v>1494</v>
      </c>
      <c r="C999">
        <v>24</v>
      </c>
      <c r="D999" s="19" t="s">
        <v>436</v>
      </c>
      <c r="E999" s="19" t="s">
        <v>3</v>
      </c>
      <c r="F999">
        <v>38</v>
      </c>
      <c r="G999">
        <v>0</v>
      </c>
      <c r="H999">
        <v>0</v>
      </c>
      <c r="I999">
        <v>0</v>
      </c>
      <c r="J999">
        <v>0</v>
      </c>
      <c r="K999">
        <v>2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U999">
        <v>1</v>
      </c>
      <c r="V999" s="19" t="s">
        <v>2261</v>
      </c>
      <c r="W999" s="19" t="s">
        <v>2262</v>
      </c>
      <c r="X999">
        <v>0</v>
      </c>
      <c r="Y999">
        <v>0</v>
      </c>
      <c r="AA999">
        <v>0</v>
      </c>
      <c r="AB999">
        <v>0</v>
      </c>
      <c r="AC999">
        <v>0</v>
      </c>
      <c r="AD999">
        <v>20</v>
      </c>
      <c r="AE999" s="19" t="s">
        <v>60</v>
      </c>
    </row>
    <row r="1000" spans="1:31" x14ac:dyDescent="0.2">
      <c r="A1000">
        <v>949</v>
      </c>
      <c r="B1000" s="19" t="s">
        <v>1495</v>
      </c>
      <c r="C1000">
        <v>27</v>
      </c>
      <c r="D1000" s="19" t="s">
        <v>359</v>
      </c>
      <c r="E1000" s="19" t="s">
        <v>3</v>
      </c>
      <c r="F1000">
        <v>21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U1000">
        <v>0</v>
      </c>
      <c r="V1000" s="19" t="s">
        <v>2263</v>
      </c>
      <c r="W1000" s="19" t="s">
        <v>2264</v>
      </c>
      <c r="X1000">
        <v>0</v>
      </c>
      <c r="Y1000">
        <v>0</v>
      </c>
      <c r="AA1000">
        <v>0</v>
      </c>
      <c r="AB1000">
        <v>0</v>
      </c>
      <c r="AC1000">
        <v>0</v>
      </c>
      <c r="AD1000">
        <v>10</v>
      </c>
      <c r="AE1000" s="19" t="s">
        <v>60</v>
      </c>
    </row>
    <row r="1001" spans="1:31" x14ac:dyDescent="0.2">
      <c r="A1001">
        <v>950</v>
      </c>
      <c r="B1001" s="19" t="s">
        <v>1891</v>
      </c>
      <c r="C1001">
        <v>22</v>
      </c>
      <c r="D1001" s="19" t="s">
        <v>346</v>
      </c>
      <c r="E1001" s="19" t="s">
        <v>322</v>
      </c>
      <c r="F1001">
        <v>4</v>
      </c>
      <c r="G1001">
        <v>0</v>
      </c>
      <c r="H1001">
        <v>0</v>
      </c>
      <c r="I1001">
        <v>0</v>
      </c>
      <c r="J1001">
        <v>2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2</v>
      </c>
      <c r="T1001">
        <v>0</v>
      </c>
      <c r="U1001">
        <v>5</v>
      </c>
      <c r="V1001" s="19" t="s">
        <v>2007</v>
      </c>
      <c r="W1001" s="19" t="s">
        <v>2008</v>
      </c>
      <c r="X1001">
        <v>6</v>
      </c>
      <c r="Y1001">
        <v>13</v>
      </c>
      <c r="Z1001">
        <v>31.6</v>
      </c>
      <c r="AA1001">
        <v>4</v>
      </c>
      <c r="AB1001">
        <v>3</v>
      </c>
      <c r="AC1001">
        <v>0</v>
      </c>
      <c r="AD1001">
        <v>1</v>
      </c>
      <c r="AE1001" s="19" t="s">
        <v>60</v>
      </c>
    </row>
    <row r="1002" spans="1:31" x14ac:dyDescent="0.2">
      <c r="B1002" s="19" t="s">
        <v>1496</v>
      </c>
      <c r="D1002" s="19" t="s">
        <v>60</v>
      </c>
      <c r="E1002" s="19" t="s">
        <v>60</v>
      </c>
      <c r="T1002">
        <v>10.9</v>
      </c>
      <c r="V1002" s="19" t="s">
        <v>60</v>
      </c>
      <c r="W1002" s="19" t="s">
        <v>400</v>
      </c>
      <c r="Z1002">
        <v>50</v>
      </c>
      <c r="AE1002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2026-01-25T18:13:57Z</dcterms:modified>
</cp:coreProperties>
</file>