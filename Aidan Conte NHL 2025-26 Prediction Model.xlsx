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246" documentId="14_{BC0C37BD-5950-BD49-823D-87212FE79B51}" xr6:coauthVersionLast="47" xr6:coauthVersionMax="47" xr10:uidLastSave="{E3F418C7-9448-3046-9EA0-8A6A5F27B886}"/>
  <bookViews>
    <workbookView xWindow="0" yWindow="680" windowWidth="29400" windowHeight="1732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Sheet2" sheetId="9" r:id="rId6"/>
  </sheets>
  <definedNames>
    <definedName name="ExternalData_1" localSheetId="0" hidden="1">'NHL2025-26Results'!$A$1:$J$1313</definedName>
    <definedName name="ExternalData_4" localSheetId="4" hidden="1">'ML Prediction Model'!$A$1:$T$28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2" i="1" l="1"/>
  <c r="H442" i="1"/>
  <c r="I442" i="1"/>
  <c r="J442" i="1" s="1"/>
  <c r="G443" i="1"/>
  <c r="H443" i="1" s="1"/>
  <c r="I443" i="1"/>
  <c r="G444" i="1"/>
  <c r="H444" i="1"/>
  <c r="I444" i="1"/>
  <c r="J444" i="1" s="1"/>
  <c r="G445" i="1"/>
  <c r="H445" i="1" s="1"/>
  <c r="I445" i="1"/>
  <c r="G446" i="1"/>
  <c r="H446" i="1"/>
  <c r="I446" i="1"/>
  <c r="J446" i="1" s="1"/>
  <c r="E446" i="1"/>
  <c r="E442" i="1"/>
  <c r="E443" i="1"/>
  <c r="E444" i="1"/>
  <c r="E445" i="1"/>
  <c r="G432" i="1"/>
  <c r="I432" i="1"/>
  <c r="G433" i="1"/>
  <c r="I433" i="1"/>
  <c r="G434" i="1"/>
  <c r="I434" i="1"/>
  <c r="G435" i="1"/>
  <c r="H435" i="1" s="1"/>
  <c r="I435" i="1"/>
  <c r="G436" i="1"/>
  <c r="I436" i="1"/>
  <c r="G437" i="1"/>
  <c r="H437" i="1" s="1"/>
  <c r="I437" i="1"/>
  <c r="G438" i="1"/>
  <c r="H438" i="1" s="1"/>
  <c r="I438" i="1"/>
  <c r="G439" i="1"/>
  <c r="H439" i="1" s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H431" i="1" s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3" i="4"/>
  <c r="V5" i="4" s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43" i="1" l="1"/>
  <c r="J445" i="1"/>
  <c r="H441" i="1"/>
  <c r="H420" i="1"/>
  <c r="H434" i="1"/>
  <c r="H440" i="1"/>
  <c r="H436" i="1"/>
  <c r="J436" i="1" s="1"/>
  <c r="H432" i="1"/>
  <c r="J432" i="1" s="1"/>
  <c r="J439" i="1"/>
  <c r="H430" i="1"/>
  <c r="J430" i="1" s="1"/>
  <c r="J441" i="1"/>
  <c r="H433" i="1"/>
  <c r="J433" i="1" s="1"/>
  <c r="J435" i="1"/>
  <c r="H419" i="1"/>
  <c r="J419" i="1" s="1"/>
  <c r="J437" i="1"/>
  <c r="J434" i="1"/>
  <c r="J440" i="1"/>
  <c r="J438" i="1"/>
  <c r="J431" i="1"/>
  <c r="H428" i="1"/>
  <c r="H427" i="1"/>
  <c r="J427" i="1" s="1"/>
  <c r="J429" i="1"/>
  <c r="H421" i="1"/>
  <c r="J428" i="1"/>
  <c r="V6" i="4"/>
  <c r="H423" i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J423" i="1"/>
  <c r="H417" i="1"/>
  <c r="J417" i="1" s="1"/>
  <c r="H425" i="1"/>
  <c r="J425" i="1" s="1"/>
  <c r="J421" i="1"/>
  <c r="H426" i="1"/>
  <c r="J426" i="1" s="1"/>
  <c r="J420" i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J401" i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H123" i="1" s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01" i="1" l="1"/>
  <c r="H124" i="1"/>
  <c r="H116" i="1"/>
  <c r="H83" i="1"/>
  <c r="F4" i="5"/>
  <c r="H223" i="1"/>
  <c r="J223" i="1" s="1"/>
  <c r="H85" i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N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57" i="4" l="1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<sst xmlns="http://schemas.openxmlformats.org/spreadsheetml/2006/main" count="12795" uniqueCount="292">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</sst>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6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7"/>
    <tableColumn id="3" xr3:uid="{2C87C5E2-BA51-8A42-89C8-535F9675CB8F}" uniqueName="3" name="Visitor" queryTableFieldId="3" dataDxfId="66"/>
    <tableColumn id="4" xr3:uid="{CE6ABB56-546F-BB46-9A09-2A1A92669C31}" uniqueName="4" name="G" queryTableFieldId="4" dataDxfId="65"/>
    <tableColumn id="5" xr3:uid="{C1234731-C200-EA4C-B756-2CA67776A39C}" uniqueName="5" name="Home" queryTableFieldId="5" dataDxfId="64"/>
    <tableColumn id="6" xr3:uid="{339325E9-BBA1-9A48-8657-C4AC5A969A45}" uniqueName="6" name="G_1" queryTableFieldId="6" dataDxfId="63"/>
    <tableColumn id="11" xr3:uid="{D5C53254-CDEF-7A46-97BA-0F3F94C9C0F8}" uniqueName="11" name="Column1" queryTableFieldId="11" dataDxfId="62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1"/>
    <tableColumn id="10" xr3:uid="{D8B4237A-01AB-6648-9F38-4F24C83C2F02}" uniqueName="10" name="Losing_G" queryTableFieldId="10" dataDxfId="6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59" headerRowBorderDxfId="58" tableBorderDxfId="57">
  <autoFilter ref="D6:J1318" xr:uid="{082AB263-30A0-9143-A4CB-E8E85CF645DA}"/>
  <tableColumns count="7">
    <tableColumn id="1" xr3:uid="{A2DA1977-C625-F248-8922-D45BEAE345E6}" name="Visitor" dataDxfId="56"/>
    <tableColumn id="2" xr3:uid="{7F142366-1AE0-5D45-A506-465FBF578C3A}" name="G" dataDxfId="55"/>
    <tableColumn id="3" xr3:uid="{F73B07A5-94FF-C843-900F-F37684899EAA}" name="Home" dataDxfId="54"/>
    <tableColumn id="4" xr3:uid="{7D6FADB5-28D9-9449-ADC0-599788BF0B16}" name="G_1" dataDxfId="53"/>
    <tableColumn id="5" xr3:uid="{98CF2B62-3F88-D44B-AF59-BE4BB5C0604E}" name="HomeMargin" dataDxfId="52">
      <calculatedColumnFormula>Table3[[#This Row],[G_1]]-Table3[[#This Row],[G]]</calculatedColumnFormula>
    </tableColumn>
    <tableColumn id="6" xr3:uid="{FD0EC919-55F2-CA43-8B92-CA3E6283FCFD}" name="HomeForecast" dataDxfId="51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0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49" dataDxfId="48">
  <autoFilter ref="D1:R1313" xr:uid="{B940C27F-1AFD-1A45-A69A-42FED3D3591C}"/>
  <tableColumns count="15">
    <tableColumn id="1" xr3:uid="{27200A7D-FC6F-7D47-A38B-8116F873A9D8}" name="Date" dataDxfId="47"/>
    <tableColumn id="2" xr3:uid="{E6247AA5-111B-9544-9F6D-FFC524512888}" name="Time" dataDxfId="46"/>
    <tableColumn id="3" xr3:uid="{EDCD8AB3-2C72-284E-B537-7168C3C8687B}" name="Home" dataDxfId="45"/>
    <tableColumn id="4" xr3:uid="{EC6C1412-AAC2-6646-BF48-0D4526947D52}" name="Home Differential" dataDxfId="44">
      <calculatedColumnFormula>VLOOKUP(Table4[[#This Row],[Home]],'NHL Model'!$A$6:$B$38,2,FALSE)</calculatedColumnFormula>
    </tableColumn>
    <tableColumn id="5" xr3:uid="{67F5F1C4-5CC9-B648-BE7C-7E4EF3A85290}" name="Visitor" dataDxfId="43"/>
    <tableColumn id="6" xr3:uid="{84F489BE-33B4-0E4D-959D-E87A85C1D38D}" name="Away Differential" dataDxfId="42">
      <calculatedColumnFormula>VLOOKUP(Table4[[#This Row],[Visitor]],'NHL Model'!$A$6:$B$38,2,FALSE)</calculatedColumnFormula>
    </tableColumn>
    <tableColumn id="7" xr3:uid="{A6F9ABE3-1844-E54D-9016-325B538D2969}" name="HomeIce Differential" dataDxfId="41">
      <calculatedColumnFormula>($B$1+Table4[[#This Row],[Home Differential]])-Table4[[#This Row],[Away Differential]]</calculatedColumnFormula>
    </tableColumn>
    <tableColumn id="8" xr3:uid="{8FFD520F-0CF9-9D4A-93B6-B45373384612}" name="Predicted Winner" dataDxfId="40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39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8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7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6"/>
    <tableColumn id="13" xr3:uid="{F50D85A3-D772-F247-BFBE-86E765FD0BF6}" name="Locked Correct" dataDxfId="35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4">
  <autoFilter ref="A1:R33" xr:uid="{1B34B514-E1CC-0949-A7DD-8D37387465DD}"/>
  <tableColumns count="18">
    <tableColumn id="1" xr3:uid="{C9F77F0F-7B0D-CC44-9D34-395D1E3FA55B}" name="Team" dataDxfId="33"/>
    <tableColumn id="2" xr3:uid="{4080CFDD-7980-DD4D-A4DE-25DB03E50B7C}" name="GP" dataDxfId="32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1">
      <calculatedColumnFormula>COUNTIFS('NHL2025-26Results'!$H:$H,A2,'NHL2025-26Results'!$F:$F,"")</calculatedColumnFormula>
    </tableColumn>
    <tableColumn id="5" xr3:uid="{5EA2DCC3-F71A-5A40-B3F3-8F2F8CB0A7CE}" name="OTL" dataDxfId="30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29">
      <calculatedColumnFormula>(Table1[[#This Row],[W]]*2)+Table1[[#This Row],[OTL]]</calculatedColumnFormula>
    </tableColumn>
    <tableColumn id="7" xr3:uid="{40EA95E8-9958-E040-A5BE-EC17EEDC1CBD}" name="HomeWins" dataDxfId="28">
      <calculatedColumnFormula>COUNTIFS('NHL2025-26Results'!$D:$D,A2,'NHL2025-26Results'!$G:$G,A2)</calculatedColumnFormula>
    </tableColumn>
    <tableColumn id="9" xr3:uid="{F3FA5C24-502A-6446-A4B9-25DB670D2CB7}" name="HomeLoss" dataDxfId="27">
      <calculatedColumnFormula>COUNTIFS('NHL2025-26Results'!$D:$D,A2,'NHL2025-26Results'!$H:$H,A2,'NHL2025-26Results'!$F:$F,"")</calculatedColumnFormula>
    </tableColumn>
    <tableColumn id="8" xr3:uid="{999F1273-113E-7F4B-990E-AC7B23C4A496}" name="HomeOTL" dataDxfId="26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5">
      <calculatedColumnFormula>COUNTIFS('NHL2025-26Results'!$B:$B,A2,'NHL2025-26Results'!$G:$G,A2)</calculatedColumnFormula>
    </tableColumn>
    <tableColumn id="10" xr3:uid="{1A63BDD0-5CF0-0C48-B684-3675FC716427}" name="AwayLoss" dataDxfId="24">
      <calculatedColumnFormula>COUNTIFS('NHL2025-26Results'!$B:$B,A2,'NHL2025-26Results'!$H:$H,A2,'NHL2025-26Results'!$F:$F,"")</calculatedColumnFormula>
    </tableColumn>
    <tableColumn id="12" xr3:uid="{59628040-0BA7-5042-BB5A-1E9D40ABC469}" name="AwayOTL" dataDxfId="23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2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1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0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19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8" tableType="queryTable" totalsRowShown="0">
  <autoFilter ref="A1:T28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20" zoomScale="90" zoomScaleNormal="120" workbookViewId="0">
      <selection activeCell="G442" sqref="G442:H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10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10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10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10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10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10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4.8281253288651405E-2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2489.072086843531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0.17827516980235869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-0.32875924063753742</v>
      </c>
      <c r="J7">
        <f>(Table3[[#This Row],[HomeMargin]]-Table3[[#This Row],[HomeForecast]])^2</f>
        <v>1.7656011195796453</v>
      </c>
    </row>
    <row r="8" spans="1:10" x14ac:dyDescent="0.2">
      <c r="A8" s="4" t="s">
        <v>21</v>
      </c>
      <c r="B8">
        <v>2.6215642141022087E-2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-1.8041178527338029</v>
      </c>
      <c r="J8">
        <f>(Table3[[#This Row],[HomeMargin]]-Table3[[#This Row],[HomeForecast]])^2</f>
        <v>1.4301341101500105</v>
      </c>
    </row>
    <row r="9" spans="1:10" x14ac:dyDescent="0.2">
      <c r="A9" s="4" t="s">
        <v>23</v>
      </c>
      <c r="B9">
        <v>-0.40965500817719275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-3.6891954512093872E-2</v>
      </c>
      <c r="J9">
        <f>(Table3[[#This Row],[HomeMargin]]-Table3[[#This Row],[HomeForecast]])^2</f>
        <v>8.7800092892351582</v>
      </c>
    </row>
    <row r="10" spans="1:10" x14ac:dyDescent="0.2">
      <c r="A10" s="4" t="s">
        <v>16</v>
      </c>
      <c r="B10">
        <v>-0.81412334763558081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0.44569269323863769</v>
      </c>
      <c r="J10">
        <f>(Table3[[#This Row],[HomeMargin]]-Table3[[#This Row],[HomeForecast]])^2</f>
        <v>2.090027363283586</v>
      </c>
    </row>
    <row r="11" spans="1:10" x14ac:dyDescent="0.2">
      <c r="A11" s="4" t="s">
        <v>25</v>
      </c>
      <c r="B11">
        <v>0.47905090860407873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0.32879308553961978</v>
      </c>
      <c r="J11">
        <f>(Table3[[#This Row],[HomeMargin]]-Table3[[#This Row],[HomeForecast]])^2</f>
        <v>7.1353463798609438</v>
      </c>
    </row>
    <row r="12" spans="1:10" x14ac:dyDescent="0.2">
      <c r="A12" s="4" t="s">
        <v>10</v>
      </c>
      <c r="B12">
        <v>2.5996227684575345E-2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0.33512179117727287</v>
      </c>
      <c r="J12">
        <f>(Table3[[#This Row],[HomeMargin]]-Table3[[#This Row],[HomeForecast]])^2</f>
        <v>1.7825501972764093</v>
      </c>
    </row>
    <row r="13" spans="1:10" x14ac:dyDescent="0.2">
      <c r="A13" s="4" t="s">
        <v>12</v>
      </c>
      <c r="B13">
        <v>1.6584974384060074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0.87109258230134312</v>
      </c>
      <c r="J13">
        <f>(Table3[[#This Row],[HomeMargin]]-Table3[[#This Row],[HomeForecast]])^2</f>
        <v>8.2431726161457952</v>
      </c>
    </row>
    <row r="14" spans="1:10" x14ac:dyDescent="0.2">
      <c r="A14" s="4" t="s">
        <v>28</v>
      </c>
      <c r="B14">
        <v>-0.28376306754383246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4.8500667745098154E-2</v>
      </c>
      <c r="J14">
        <f>(Table3[[#This Row],[HomeMargin]]-Table3[[#This Row],[HomeForecast]])^2</f>
        <v>0.90535097928152397</v>
      </c>
    </row>
    <row r="15" spans="1:10" x14ac:dyDescent="0.2">
      <c r="A15" s="4" t="s">
        <v>39</v>
      </c>
      <c r="B15">
        <v>0.7564009584796878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-0.45155858148514622</v>
      </c>
      <c r="J15">
        <f>(Table3[[#This Row],[HomeMargin]]-Table3[[#This Row],[HomeForecast]])^2</f>
        <v>12.591436500631708</v>
      </c>
    </row>
    <row r="16" spans="1:10" x14ac:dyDescent="0.2">
      <c r="A16" s="4" t="s">
        <v>26</v>
      </c>
      <c r="B16">
        <v>-0.60099633616081094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0.52761559132848912</v>
      </c>
      <c r="J16">
        <f>(Table3[[#This Row],[HomeMargin]]-Table3[[#This Row],[HomeForecast]])^2</f>
        <v>6.1126846642419759</v>
      </c>
    </row>
    <row r="17" spans="1:10" x14ac:dyDescent="0.2">
      <c r="A17" s="4" t="s">
        <v>17</v>
      </c>
      <c r="B17">
        <v>-0.41671190768559452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1.5518418158059817</v>
      </c>
      <c r="J17">
        <f>(Table3[[#This Row],[HomeMargin]]-Table3[[#This Row],[HomeForecast]])^2</f>
        <v>0.30452938967204302</v>
      </c>
    </row>
    <row r="18" spans="1:10" x14ac:dyDescent="0.2">
      <c r="A18" s="4" t="s">
        <v>11</v>
      </c>
      <c r="B18">
        <v>-0.3510442662416135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-0.18711394525529745</v>
      </c>
      <c r="J18">
        <f>(Table3[[#This Row],[HomeMargin]]-Table3[[#This Row],[HomeForecast]])^2</f>
        <v>14.538100066466624</v>
      </c>
    </row>
    <row r="19" spans="1:10" x14ac:dyDescent="0.2">
      <c r="A19" s="4" t="s">
        <v>13</v>
      </c>
      <c r="B19">
        <v>-0.19390166761644689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-0.27381269492774463</v>
      </c>
      <c r="J19">
        <f>(Table3[[#This Row],[HomeMargin]]-Table3[[#This Row],[HomeForecast]])^2</f>
        <v>1.6225987817590835</v>
      </c>
    </row>
    <row r="20" spans="1:10" x14ac:dyDescent="0.2">
      <c r="A20" s="4" t="s">
        <v>34</v>
      </c>
      <c r="B20">
        <v>5.1566962112876508E-2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-0.56821405669913227</v>
      </c>
      <c r="J20">
        <f>(Table3[[#This Row],[HomeMargin]]-Table3[[#This Row],[HomeForecast]])^2</f>
        <v>2.4592953276287495</v>
      </c>
    </row>
    <row r="21" spans="1:10" x14ac:dyDescent="0.2">
      <c r="A21" s="4" t="s">
        <v>18</v>
      </c>
      <c r="B21">
        <v>-0.36560113761686208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-2.1974119790917707E-2</v>
      </c>
      <c r="J21">
        <f>(Table3[[#This Row],[HomeMargin]]-Table3[[#This Row],[HomeForecast]])^2</f>
        <v>1.0444311015224212</v>
      </c>
    </row>
    <row r="22" spans="1:10" x14ac:dyDescent="0.2">
      <c r="A22" s="4" t="s">
        <v>29</v>
      </c>
      <c r="B22">
        <v>-0.90025837753161619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-0.69615919638636325</v>
      </c>
      <c r="J22">
        <f>(Table3[[#This Row],[HomeMargin]]-Table3[[#This Row],[HomeForecast]])^2</f>
        <v>7.2692744122587607</v>
      </c>
    </row>
    <row r="23" spans="1:10" x14ac:dyDescent="0.2">
      <c r="A23" s="4" t="s">
        <v>24</v>
      </c>
      <c r="B23">
        <v>-2.8342943575894393E-4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-0.5168401398112028</v>
      </c>
      <c r="J23">
        <f>(Table3[[#This Row],[HomeMargin]]-Table3[[#This Row],[HomeForecast]])^2</f>
        <v>0.23344345049765805</v>
      </c>
    </row>
    <row r="24" spans="1:10" x14ac:dyDescent="0.2">
      <c r="A24" s="4" t="s">
        <v>30</v>
      </c>
      <c r="B24">
        <v>0.24561340747691926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-1.1787177490412786</v>
      </c>
      <c r="J24">
        <f>(Table3[[#This Row],[HomeMargin]]-Table3[[#This Row],[HomeForecast]])^2</f>
        <v>14.602198041492153</v>
      </c>
    </row>
    <row r="25" spans="1:10" x14ac:dyDescent="0.2">
      <c r="A25" s="4" t="s">
        <v>15</v>
      </c>
      <c r="B25">
        <v>9.0184826596604858E-2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0.94924767999717952</v>
      </c>
      <c r="J25">
        <f>(Table3[[#This Row],[HomeMargin]]-Table3[[#This Row],[HomeForecast]])^2</f>
        <v>3.7995665179743874</v>
      </c>
    </row>
    <row r="26" spans="1:10" x14ac:dyDescent="0.2">
      <c r="A26" s="4" t="s">
        <v>36</v>
      </c>
      <c r="B26">
        <v>-0.23108682001987857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9.1327473246232471E-2</v>
      </c>
      <c r="J26">
        <f>(Table3[[#This Row],[HomeMargin]]-Table3[[#This Row],[HomeForecast]])^2</f>
        <v>15.277720921399681</v>
      </c>
    </row>
    <row r="27" spans="1:10" x14ac:dyDescent="0.2">
      <c r="A27" s="4" t="s">
        <v>27</v>
      </c>
      <c r="B27">
        <v>-2.8950318025217449E-2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-0.74190536001907836</v>
      </c>
      <c r="J27">
        <f>(Table3[[#This Row],[HomeMargin]]-Table3[[#This Row],[HomeForecast]])^2</f>
        <v>6.6612843186881557E-2</v>
      </c>
    </row>
    <row r="28" spans="1:10" x14ac:dyDescent="0.2">
      <c r="A28" s="4" t="s">
        <v>14</v>
      </c>
      <c r="B28">
        <v>0.17535803439735015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0.48415190360686622</v>
      </c>
      <c r="J28">
        <f>(Table3[[#This Row],[HomeMargin]]-Table3[[#This Row],[HomeForecast]])^2</f>
        <v>2.2977954513386876</v>
      </c>
    </row>
    <row r="29" spans="1:10" x14ac:dyDescent="0.2">
      <c r="A29" s="4" t="s">
        <v>33</v>
      </c>
      <c r="B29">
        <v>-0.47218252282767964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0.55628247991794755</v>
      </c>
      <c r="J29">
        <f>(Table3[[#This Row],[HomeMargin]]-Table3[[#This Row],[HomeForecast]])^2</f>
        <v>0.19688523762776663</v>
      </c>
    </row>
    <row r="30" spans="1:10" x14ac:dyDescent="0.2">
      <c r="A30" s="4" t="s">
        <v>32</v>
      </c>
      <c r="B30">
        <v>-0.56616527987265597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0.40958994587012409</v>
      </c>
      <c r="J30">
        <f>(Table3[[#This Row],[HomeMargin]]-Table3[[#This Row],[HomeForecast]])^2</f>
        <v>5.8061237072383873</v>
      </c>
    </row>
    <row r="31" spans="1:10" x14ac:dyDescent="0.2">
      <c r="A31" s="4" t="s">
        <v>35</v>
      </c>
      <c r="B31">
        <v>-1.1754320402170535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0.43987861859008881</v>
      </c>
      <c r="J31">
        <f>(Table3[[#This Row],[HomeMargin]]-Table3[[#This Row],[HomeForecast]])^2</f>
        <v>2.0732504362729021</v>
      </c>
    </row>
    <row r="32" spans="1:10" x14ac:dyDescent="0.2">
      <c r="A32" s="4" t="s">
        <v>37</v>
      </c>
      <c r="B32">
        <v>0.66987960668864954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0.95037773321497099</v>
      </c>
      <c r="J32">
        <f>(Table3[[#This Row],[HomeMargin]]-Table3[[#This Row],[HomeForecast]])^2</f>
        <v>3.8039733022207685</v>
      </c>
    </row>
    <row r="33" spans="1:10" x14ac:dyDescent="0.2">
      <c r="A33" s="4" t="s">
        <v>19</v>
      </c>
      <c r="B33">
        <v>-8.5089305365893694E-2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-0.46762577750626583</v>
      </c>
      <c r="J33">
        <f>(Table3[[#This Row],[HomeMargin]]-Table3[[#This Row],[HomeForecast]])^2</f>
        <v>12.024428532825937</v>
      </c>
    </row>
    <row r="34" spans="1:10" x14ac:dyDescent="0.2">
      <c r="A34" t="s">
        <v>55</v>
      </c>
      <c r="B34">
        <v>0.15493687588867713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0.40264647328105663</v>
      </c>
      <c r="J34">
        <f>(Table3[[#This Row],[HomeMargin]]-Table3[[#This Row],[HomeForecast]])^2</f>
        <v>2.5515382893214462</v>
      </c>
    </row>
    <row r="35" spans="1:10" x14ac:dyDescent="0.2">
      <c r="A35" s="4" t="s">
        <v>38</v>
      </c>
      <c r="B35">
        <v>-0.77107712767799974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-7.1676192933083527E-2</v>
      </c>
      <c r="J35">
        <f>(Table3[[#This Row],[HomeMargin]]-Table3[[#This Row],[HomeForecast]])^2</f>
        <v>16.57854702009805</v>
      </c>
    </row>
    <row r="36" spans="1:10" x14ac:dyDescent="0.2">
      <c r="A36" s="4" t="s">
        <v>20</v>
      </c>
      <c r="B36">
        <v>9.2938870272174581E-2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0.3836112829453604</v>
      </c>
      <c r="J36">
        <f>(Table3[[#This Row],[HomeMargin]]-Table3[[#This Row],[HomeForecast]])^2</f>
        <v>11.448825314075149</v>
      </c>
    </row>
    <row r="37" spans="1:10" x14ac:dyDescent="0.2">
      <c r="A37" s="4" t="s">
        <v>22</v>
      </c>
      <c r="B37">
        <v>0.84902697115371384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-1.0069140001316419</v>
      </c>
      <c r="J37">
        <f>(Table3[[#This Row],[HomeMargin]]-Table3[[#This Row],[HomeForecast]])^2</f>
        <v>4.7803397820344148E-5</v>
      </c>
    </row>
    <row r="38" spans="1:10" x14ac:dyDescent="0.2">
      <c r="A38" s="4" t="s">
        <v>40</v>
      </c>
      <c r="B38">
        <v>-3.3785654828041967E-2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-0.55513231038814315</v>
      </c>
      <c r="J38">
        <f>(Table3[[#This Row],[HomeMargin]]-Table3[[#This Row],[HomeForecast]])^2</f>
        <v>2.0876426404843049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0.13345446108939668</v>
      </c>
      <c r="J39">
        <f>(Table3[[#This Row],[HomeMargin]]-Table3[[#This Row],[HomeForecast]])^2</f>
        <v>26.352354704078625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-0.61082289685617919</v>
      </c>
      <c r="J40">
        <f>(Table3[[#This Row],[HomeMargin]]-Table3[[#This Row],[HomeForecast]])^2</f>
        <v>2.5947504050361334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-0.60217643934138687</v>
      </c>
      <c r="J41">
        <f>(Table3[[#This Row],[HomeMargin]]-Table3[[#This Row],[HomeForecast]])^2</f>
        <v>0.15826358541509725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0.71844428941305993</v>
      </c>
      <c r="J42">
        <f>(Table3[[#This Row],[HomeMargin]]-Table3[[#This Row],[HomeForecast]])^2</f>
        <v>7.3899393546424772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0.20839726607705633</v>
      </c>
      <c r="J43">
        <f>(Table3[[#This Row],[HomeMargin]]-Table3[[#This Row],[HomeForecast]])^2</f>
        <v>0.62663488835427872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-0.71056089126845756</v>
      </c>
      <c r="J44">
        <f>(Table3[[#This Row],[HomeMargin]]-Table3[[#This Row],[HomeForecast]])^2</f>
        <v>8.3774997663309647E-2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-0.59538271125897602</v>
      </c>
      <c r="J45">
        <f>(Table3[[#This Row],[HomeMargin]]-Table3[[#This Row],[HomeForecast]])^2</f>
        <v>0.16371515034813716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-2.0198711932945486</v>
      </c>
      <c r="J46">
        <f>(Table3[[#This Row],[HomeMargin]]-Table3[[#This Row],[HomeForecast]])^2</f>
        <v>3.9486432294931169E-4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-0.23519838481942212</v>
      </c>
      <c r="J47">
        <f>(Table3[[#This Row],[HomeMargin]]-Table3[[#This Row],[HomeForecast]])^2</f>
        <v>0.58492151058282071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-8.0659394915450378E-2</v>
      </c>
      <c r="J48">
        <f>(Table3[[#This Row],[HomeMargin]]-Table3[[#This Row],[HomeForecast]])^2</f>
        <v>4.3291435176499284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0.29374988301797478</v>
      </c>
      <c r="J49">
        <f>(Table3[[#This Row],[HomeMargin]]-Table3[[#This Row],[HomeForecast]])^2</f>
        <v>0.49878922773712431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0.32768031559361266</v>
      </c>
      <c r="J50">
        <f>(Table3[[#This Row],[HomeMargin]]-Table3[[#This Row],[HomeForecast]])^2</f>
        <v>11.073456282789206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0.71745281080038903</v>
      </c>
      <c r="J51">
        <f>(Table3[[#This Row],[HomeMargin]]-Table3[[#This Row],[HomeForecast]])^2</f>
        <v>13.819455400527715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0.37037520150504744</v>
      </c>
      <c r="J52">
        <f>(Table3[[#This Row],[HomeMargin]]-Table3[[#This Row],[HomeForecast]])^2</f>
        <v>6.9149265808596203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0.56418828408356869</v>
      </c>
      <c r="J53">
        <f>(Table3[[#This Row],[HomeMargin]]-Table3[[#This Row],[HomeForecast]])^2</f>
        <v>2.4466849880642991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0.45263616582770516</v>
      </c>
      <c r="J54">
        <f>(Table3[[#This Row],[HomeMargin]]-Table3[[#This Row],[HomeForecast]])^2</f>
        <v>11.920696493581438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5.1198388693659946E-2</v>
      </c>
      <c r="J55">
        <f>(Table3[[#This Row],[HomeMargin]]-Table3[[#This Row],[HomeForecast]])^2</f>
        <v>0.90022449761750711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-0.85878096461910403</v>
      </c>
      <c r="J56">
        <f>(Table3[[#This Row],[HomeMargin]]-Table3[[#This Row],[HomeForecast]])^2</f>
        <v>1.3023808867157027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0.75311524965546273</v>
      </c>
      <c r="J57">
        <f>(Table3[[#This Row],[HomeMargin]]-Table3[[#This Row],[HomeForecast]])^2</f>
        <v>5.0484910813308339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0.24884539554444529</v>
      </c>
      <c r="J58">
        <f>(Table3[[#This Row],[HomeMargin]]-Table3[[#This Row],[HomeForecast]])^2</f>
        <v>0.56423323979478079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0.55517798757085079</v>
      </c>
      <c r="J59">
        <f>(Table3[[#This Row],[HomeMargin]]-Table3[[#This Row],[HomeForecast]])^2</f>
        <v>6.5289345481666237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-0.90295217814310691</v>
      </c>
      <c r="J60">
        <f>(Table3[[#This Row],[HomeMargin]]-Table3[[#This Row],[HomeForecast]])^2</f>
        <v>9.5917052108685255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0.86345032545437395</v>
      </c>
      <c r="J61">
        <f>(Table3[[#This Row],[HomeMargin]]-Table3[[#This Row],[HomeForecast]])^2</f>
        <v>4.564844511801021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0.2274286177537157</v>
      </c>
      <c r="J62">
        <f>(Table3[[#This Row],[HomeMargin]]-Table3[[#This Row],[HomeForecast]])^2</f>
        <v>0.59686654066593436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-0.13028693486866277</v>
      </c>
      <c r="J63">
        <f>(Table3[[#This Row],[HomeMargin]]-Table3[[#This Row],[HomeForecast]])^2</f>
        <v>17.059270164346771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-0.20167081663054603</v>
      </c>
      <c r="J64">
        <f>(Table3[[#This Row],[HomeMargin]]-Table3[[#This Row],[HomeForecast]])^2</f>
        <v>10.250696018063707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-1.1531470146129774</v>
      </c>
      <c r="J65">
        <f>(Table3[[#This Row],[HomeMargin]]-Table3[[#This Row],[HomeForecast]])^2</f>
        <v>14.79827789118105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1.0173414768129094</v>
      </c>
      <c r="J66">
        <f>(Table3[[#This Row],[HomeMargin]]-Table3[[#This Row],[HomeForecast]])^2</f>
        <v>0.96561777319223385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-0.25249448551306863</v>
      </c>
      <c r="J67">
        <f>(Table3[[#This Row],[HomeMargin]]-Table3[[#This Row],[HomeForecast]])^2</f>
        <v>7.5487865521360984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-1.8939792526611885</v>
      </c>
      <c r="J68">
        <f>(Table3[[#This Row],[HomeMargin]]-Table3[[#This Row],[HomeForecast]])^2</f>
        <v>1.2232818935439032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1.5757593394463389</v>
      </c>
      <c r="J69">
        <f>(Table3[[#This Row],[HomeMargin]]-Table3[[#This Row],[HomeForecast]])^2</f>
        <v>12.786054853637721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-0.32097844872514564</v>
      </c>
      <c r="J70">
        <f>(Table3[[#This Row],[HomeMargin]]-Table3[[#This Row],[HomeForecast]])^2</f>
        <v>2.819113369645418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0.58293849320340552</v>
      </c>
      <c r="J71">
        <f>(Table3[[#This Row],[HomeMargin]]-Table3[[#This Row],[HomeForecast]])^2</f>
        <v>0.17394030045144582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0.39904209009450597</v>
      </c>
      <c r="J72">
        <f>(Table3[[#This Row],[HomeMargin]]-Table3[[#This Row],[HomeForecast]])^2</f>
        <v>2.5630662292889679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0.71060656845116521</v>
      </c>
      <c r="J73">
        <f>(Table3[[#This Row],[HomeMargin]]-Table3[[#This Row],[HomeForecast]])^2</f>
        <v>1.66253542132128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0.3833597131414288</v>
      </c>
      <c r="J74">
        <f>(Table3[[#This Row],[HomeMargin]]-Table3[[#This Row],[HomeForecast]])^2</f>
        <v>0.38024524337702098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5.3116590091475922E-2</v>
      </c>
      <c r="J75">
        <f>(Table3[[#This Row],[HomeMargin]]-Table3[[#This Row],[HomeForecast]])^2</f>
        <v>9.3215209126918008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-0.12699287867384715</v>
      </c>
      <c r="J76">
        <f>(Table3[[#This Row],[HomeMargin]]-Table3[[#This Row],[HomeForecast]])^2</f>
        <v>1.270112948581565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0.11500448141980388</v>
      </c>
      <c r="J77">
        <f>(Table3[[#This Row],[HomeMargin]]-Table3[[#This Row],[HomeForecast]])^2</f>
        <v>0.78321706790703016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0.84535460865122647</v>
      </c>
      <c r="J78">
        <f>(Table3[[#This Row],[HomeMargin]]-Table3[[#This Row],[HomeForecast]])^2</f>
        <v>3.4053336316703211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-1.2225946895608091</v>
      </c>
      <c r="J79">
        <f>(Table3[[#This Row],[HomeMargin]]-Table3[[#This Row],[HomeForecast]])^2</f>
        <v>4.93992715406391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0.67540065200500821</v>
      </c>
      <c r="J80">
        <f>(Table3[[#This Row],[HomeMargin]]-Table3[[#This Row],[HomeForecast]])^2</f>
        <v>5.4037621286987418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0.84574126232948876</v>
      </c>
      <c r="J81">
        <f>(Table3[[#This Row],[HomeMargin]]-Table3[[#This Row],[HomeForecast]])^2</f>
        <v>9.9493481841707681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-1.0329488646927842E-2</v>
      </c>
      <c r="J82">
        <f>(Table3[[#This Row],[HomeMargin]]-Table3[[#This Row],[HomeForecast]])^2</f>
        <v>9.0620836302172734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-0.90536142094383054</v>
      </c>
      <c r="J83">
        <f>(Table3[[#This Row],[HomeMargin]]-Table3[[#This Row],[HomeForecast]])^2</f>
        <v>3.630402144421093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1.6805630495536368</v>
      </c>
      <c r="J84">
        <f>(Table3[[#This Row],[HomeMargin]]-Table3[[#This Row],[HomeForecast]])^2</f>
        <v>1.7409138662031987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-0.62467132293187422</v>
      </c>
      <c r="J85">
        <f>(Table3[[#This Row],[HomeMargin]]-Table3[[#This Row],[HomeForecast]])^2</f>
        <v>0.14087161582970945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-0.40750471092481555</v>
      </c>
      <c r="J86">
        <f>(Table3[[#This Row],[HomeMargin]]-Table3[[#This Row],[HomeForecast]])^2</f>
        <v>0.35105066757628639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0.46470973153848699</v>
      </c>
      <c r="J87">
        <f>(Table3[[#This Row],[HomeMargin]]-Table3[[#This Row],[HomeForecast]])^2</f>
        <v>2.3571162084326249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-0.42841897420814645</v>
      </c>
      <c r="J88">
        <f>(Table3[[#This Row],[HomeMargin]]-Table3[[#This Row],[HomeForecast]])^2</f>
        <v>0.32670486904526758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-3.2236026849442552E-2</v>
      </c>
      <c r="J89">
        <f>(Table3[[#This Row],[HomeMargin]]-Table3[[#This Row],[HomeForecast]])^2</f>
        <v>1.0655112151259232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-0.59925930393637838</v>
      </c>
      <c r="J90">
        <f>(Table3[[#This Row],[HomeMargin]]-Table3[[#This Row],[HomeForecast]])^2</f>
        <v>5.7635558897360433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-1.8835517454080899</v>
      </c>
      <c r="J91">
        <f>(Table3[[#This Row],[HomeMargin]]-Table3[[#This Row],[HomeForecast]])^2</f>
        <v>15.08197415926222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0.52935722779541372</v>
      </c>
      <c r="J92">
        <f>(Table3[[#This Row],[HomeMargin]]-Table3[[#This Row],[HomeForecast]])^2</f>
        <v>2.3389335302100731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0.95534347119640683</v>
      </c>
      <c r="J93">
        <f>(Table3[[#This Row],[HomeMargin]]-Table3[[#This Row],[HomeForecast]])^2</f>
        <v>16.359246435993526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0.91475397599222563</v>
      </c>
      <c r="J94">
        <f>(Table3[[#This Row],[HomeMargin]]-Table3[[#This Row],[HomeForecast]])^2</f>
        <v>4.3482509806402305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-0.10399768882913193</v>
      </c>
      <c r="J95">
        <f>(Table3[[#This Row],[HomeMargin]]-Table3[[#This Row],[HomeForecast]])^2</f>
        <v>1.2188108969400646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-0.13600317518656502</v>
      </c>
      <c r="J96">
        <f>(Table3[[#This Row],[HomeMargin]]-Table3[[#This Row],[HomeForecast]])^2</f>
        <v>4.5625095644070868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0.17700248703630644</v>
      </c>
      <c r="J97">
        <f>(Table3[[#This Row],[HomeMargin]]-Table3[[#This Row],[HomeForecast]])^2</f>
        <v>0.67732490634442488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1.6683853521203651</v>
      </c>
      <c r="J98">
        <f>(Table3[[#This Row],[HomeMargin]]-Table3[[#This Row],[HomeForecast]])^2</f>
        <v>7.1202803874105252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-0.73205643951888744</v>
      </c>
      <c r="J99">
        <f>(Table3[[#This Row],[HomeMargin]]-Table3[[#This Row],[HomeForecast]])^2</f>
        <v>7.1793751603295625E-2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9.233512384898207E-2</v>
      </c>
      <c r="J100">
        <f>(Table3[[#This Row],[HomeMargin]]-Table3[[#This Row],[HomeForecast]])^2</f>
        <v>3.6391852797002788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8.6899117772379769E-2</v>
      </c>
      <c r="J101">
        <f>(Table3[[#This Row],[HomeMargin]]-Table3[[#This Row],[HomeForecast]])^2</f>
        <v>4.3551479277591367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0.58549621513608996</v>
      </c>
      <c r="J102">
        <f>(Table3[[#This Row],[HomeMargin]]-Table3[[#This Row],[HomeForecast]])^2</f>
        <v>5.8298285271221477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-0.33783078504325276</v>
      </c>
      <c r="J103">
        <f>(Table3[[#This Row],[HomeMargin]]-Table3[[#This Row],[HomeForecast]])^2</f>
        <v>11.141114349582459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0.42554116167128697</v>
      </c>
      <c r="J104">
        <f>(Table3[[#This Row],[HomeMargin]]-Table3[[#This Row],[HomeForecast]])^2</f>
        <v>2.0321676036191225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1.0884452793121717</v>
      </c>
      <c r="J105">
        <f>(Table3[[#This Row],[HomeMargin]]-Table3[[#This Row],[HomeForecast]])^2</f>
        <v>25.892275360554326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-1.0302522940453236</v>
      </c>
      <c r="J106">
        <f>(Table3[[#This Row],[HomeMargin]]-Table3[[#This Row],[HomeForecast]])^2</f>
        <v>3.8799060251137103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0.76607718359325028</v>
      </c>
      <c r="J107">
        <f>(Table3[[#This Row],[HomeMargin]]-Table3[[#This Row],[HomeForecast]])^2</f>
        <v>5.4719884035665939E-2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0.23390634095436735</v>
      </c>
      <c r="J108">
        <f>(Table3[[#This Row],[HomeMargin]]-Table3[[#This Row],[HomeForecast]])^2</f>
        <v>1.5225248582473954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0.99471641536400135</v>
      </c>
      <c r="J109">
        <f>(Table3[[#This Row],[HomeMargin]]-Table3[[#This Row],[HomeForecast]])^2</f>
        <v>9.0317294240825969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-0.9332491193119552</v>
      </c>
      <c r="J110">
        <f>(Table3[[#This Row],[HomeMargin]]-Table3[[#This Row],[HomeForecast]])^2</f>
        <v>4.4556800726295925E-3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-3.6524622641483345E-2</v>
      </c>
      <c r="J111">
        <f>(Table3[[#This Row],[HomeMargin]]-Table3[[#This Row],[HomeForecast]])^2</f>
        <v>8.7821863122102037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-1.4552793092286789</v>
      </c>
      <c r="J112">
        <f>(Table3[[#This Row],[HomeMargin]]-Table3[[#This Row],[HomeForecast]])^2</f>
        <v>6.0283964863264599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1.4634735043150213</v>
      </c>
      <c r="J113">
        <f>(Table3[[#This Row],[HomeMargin]]-Table3[[#This Row],[HomeForecast]])^2</f>
        <v>2.3609136719419608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0.2396225812722696</v>
      </c>
      <c r="J114">
        <f>(Table3[[#This Row],[HomeMargin]]-Table3[[#This Row],[HomeForecast]])^2</f>
        <v>3.0989286563665068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-0.40024095673006732</v>
      </c>
      <c r="J115">
        <f>(Table3[[#This Row],[HomeMargin]]-Table3[[#This Row],[HomeForecast]])^2</f>
        <v>0.35971090998406496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-3.5691382599840477E-3</v>
      </c>
      <c r="J116">
        <f>(Table3[[#This Row],[HomeMargin]]-Table3[[#This Row],[HomeForecast]])^2</f>
        <v>9.0214275683078231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-0.10377827437268519</v>
      </c>
      <c r="J117">
        <f>(Table3[[#This Row],[HomeMargin]]-Table3[[#This Row],[HomeForecast]])^2</f>
        <v>3.5956568327410316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1.2277277830905802</v>
      </c>
      <c r="J118">
        <f>(Table3[[#This Row],[HomeMargin]]-Table3[[#This Row],[HomeForecast]])^2</f>
        <v>4.9627710755536709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0.9985838793847861</v>
      </c>
      <c r="J119">
        <f>(Table3[[#This Row],[HomeMargin]]-Table3[[#This Row],[HomeForecast]])^2</f>
        <v>3.9943375229367413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-2.8295167800810317E-3</v>
      </c>
      <c r="J120">
        <f>(Table3[[#This Row],[HomeMargin]]-Table3[[#This Row],[HomeForecast]])^2</f>
        <v>1.0056670397253711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-0.47812104735031224</v>
      </c>
      <c r="J121">
        <f>(Table3[[#This Row],[HomeMargin]]-Table3[[#This Row],[HomeForecast]])^2</f>
        <v>2.3161155465181102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-8.0899996564965049E-2</v>
      </c>
      <c r="J122">
        <f>(Table3[[#This Row],[HomeMargin]]-Table3[[#This Row],[HomeForecast]])^2</f>
        <v>1.1683448025741414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0.89489099692638163</v>
      </c>
      <c r="J123">
        <f>(Table3[[#This Row],[HomeMargin]]-Table3[[#This Row],[HomeForecast]])^2</f>
        <v>16.851919927116075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0.61064860271293586</v>
      </c>
      <c r="J124">
        <f>(Table3[[#This Row],[HomeMargin]]-Table3[[#This Row],[HomeForecast]])^2</f>
        <v>2.5941889214211327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-0.15385524870600972</v>
      </c>
      <c r="J125">
        <f>(Table3[[#This Row],[HomeMargin]]-Table3[[#This Row],[HomeForecast]])^2</f>
        <v>1.3313819349664073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-1.2820876628170792</v>
      </c>
      <c r="J126">
        <f>(Table3[[#This Row],[HomeMargin]]-Table3[[#This Row],[HomeForecast]])^2</f>
        <v>2.9512227982452854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0.69216463229272562</v>
      </c>
      <c r="J127">
        <f>(Table3[[#This Row],[HomeMargin]]-Table3[[#This Row],[HomeForecast]])^2</f>
        <v>2.8634211427823755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0.58066087833326541</v>
      </c>
      <c r="J128">
        <f>(Table3[[#This Row],[HomeMargin]]-Table3[[#This Row],[HomeForecast]])^2</f>
        <v>12.821132325626353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-0.27628444952264763</v>
      </c>
      <c r="J129">
        <f>(Table3[[#This Row],[HomeMargin]]-Table3[[#This Row],[HomeForecast]])^2</f>
        <v>5.1814708951386228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-1.0845087854088948</v>
      </c>
      <c r="J130">
        <f>(Table3[[#This Row],[HomeMargin]]-Table3[[#This Row],[HomeForecast]])^2</f>
        <v>8.5000890223579173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0.52018034668057211</v>
      </c>
      <c r="J131">
        <f>(Table3[[#This Row],[HomeMargin]]-Table3[[#This Row],[HomeForecast]])^2</f>
        <v>2.1898662063504317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0.82861894609619025</v>
      </c>
      <c r="J132">
        <f>(Table3[[#This Row],[HomeMargin]]-Table3[[#This Row],[HomeForecast]])^2</f>
        <v>1.3721335734447997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-1.584000542976334</v>
      </c>
      <c r="J133">
        <f>(Table3[[#This Row],[HomeMargin]]-Table3[[#This Row],[HomeForecast]])^2</f>
        <v>6.6770588061019875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0.32563130316426048</v>
      </c>
      <c r="J134">
        <f>(Table3[[#This Row],[HomeMargin]]-Table3[[#This Row],[HomeForecast]])^2</f>
        <v>0.45477313927193358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0.62271695734489396</v>
      </c>
      <c r="J135">
        <f>(Table3[[#This Row],[HomeMargin]]-Table3[[#This Row],[HomeForecast]])^2</f>
        <v>1.8969085795853062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-0.39570188322513666</v>
      </c>
      <c r="J136">
        <f>(Table3[[#This Row],[HomeMargin]]-Table3[[#This Row],[HomeForecast]])^2</f>
        <v>11.530791279738738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-5.5088660487149221E-2</v>
      </c>
      <c r="J137">
        <f>(Table3[[#This Row],[HomeMargin]]-Table3[[#This Row],[HomeForecast]])^2</f>
        <v>15.562325476617076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-0.6580754566265179</v>
      </c>
      <c r="J138">
        <f>(Table3[[#This Row],[HomeMargin]]-Table3[[#This Row],[HomeForecast]])^2</f>
        <v>2.7492142198672358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-0.2262824722134853</v>
      </c>
      <c r="J139">
        <f>(Table3[[#This Row],[HomeMargin]]-Table3[[#This Row],[HomeForecast]])^2</f>
        <v>1.5037687016580172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0.50740235522983401</v>
      </c>
      <c r="J140">
        <f>(Table3[[#This Row],[HomeMargin]]-Table3[[#This Row],[HomeForecast]])^2</f>
        <v>2.2722618605524505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-0.10117211889841005</v>
      </c>
      <c r="J141">
        <f>(Table3[[#This Row],[HomeMargin]]-Table3[[#This Row],[HomeForecast]])^2</f>
        <v>1.2125800354392142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0.53988569017494226</v>
      </c>
      <c r="J142">
        <f>(Table3[[#This Row],[HomeMargin]]-Table3[[#This Row],[HomeForecast]])^2</f>
        <v>0.21170517810578923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0.37284695609995044</v>
      </c>
      <c r="J143">
        <f>(Table3[[#This Row],[HomeMargin]]-Table3[[#This Row],[HomeForecast]])^2</f>
        <v>0.39332094047309751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-0.35719473677248625</v>
      </c>
      <c r="J144">
        <f>(Table3[[#This Row],[HomeMargin]]-Table3[[#This Row],[HomeForecast]])^2</f>
        <v>0.41319860643299322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1.1283950444622439</v>
      </c>
      <c r="J145">
        <f>(Table3[[#This Row],[HomeMargin]]-Table3[[#This Row],[HomeForecast]])^2</f>
        <v>50.814015909913877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-0.85602692094353428</v>
      </c>
      <c r="J146">
        <f>(Table3[[#This Row],[HomeMargin]]-Table3[[#This Row],[HomeForecast]])^2</f>
        <v>23.580997456928348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0.26817914858967362</v>
      </c>
      <c r="J147">
        <f>(Table3[[#This Row],[HomeMargin]]-Table3[[#This Row],[HomeForecast]])^2</f>
        <v>5.1446366500969773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0.57203073822920758</v>
      </c>
      <c r="J148">
        <f>(Table3[[#This Row],[HomeMargin]]-Table3[[#This Row],[HomeForecast]])^2</f>
        <v>2.4712806419374673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-1.610499614553115</v>
      </c>
      <c r="J149">
        <f>(Table3[[#This Row],[HomeMargin]]-Table3[[#This Row],[HomeForecast]])^2</f>
        <v>6.8147082375819616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-1.6083780827226526</v>
      </c>
      <c r="J150">
        <f>(Table3[[#This Row],[HomeMargin]]-Table3[[#This Row],[HomeForecast]])^2</f>
        <v>0.37012389153729069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0.62522198970512632</v>
      </c>
      <c r="J151">
        <f>(Table3[[#This Row],[HomeMargin]]-Table3[[#This Row],[HomeForecast]])^2</f>
        <v>0.14045855700058443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-0.30608396670375382</v>
      </c>
      <c r="J152">
        <f>(Table3[[#This Row],[HomeMargin]]-Table3[[#This Row],[HomeForecast]])^2</f>
        <v>1.7058553280806124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-0.1404412774280677</v>
      </c>
      <c r="J153">
        <f>(Table3[[#This Row],[HomeMargin]]-Table3[[#This Row],[HomeForecast]])^2</f>
        <v>0.73884119754949218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-0.20902120887224926</v>
      </c>
      <c r="J154">
        <f>(Table3[[#This Row],[HomeMargin]]-Table3[[#This Row],[HomeForecast]])^2</f>
        <v>27.133901954480908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1.3990713279030551</v>
      </c>
      <c r="J155">
        <f>(Table3[[#This Row],[HomeMargin]]-Table3[[#This Row],[HomeForecast]])^2</f>
        <v>2.5629726131420871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-0.17111651204724576</v>
      </c>
      <c r="J156">
        <f>(Table3[[#This Row],[HomeMargin]]-Table3[[#This Row],[HomeForecast]])^2</f>
        <v>10.055979932978691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-7.7610687344708884E-2</v>
      </c>
      <c r="J157">
        <f>(Table3[[#This Row],[HomeMargin]]-Table3[[#This Row],[HomeForecast]])^2</f>
        <v>0.85080204410070037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0.43439329162055557</v>
      </c>
      <c r="J158">
        <f>(Table3[[#This Row],[HomeMargin]]-Table3[[#This Row],[HomeForecast]])^2</f>
        <v>11.795057281528276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0.3053643009931053</v>
      </c>
      <c r="J159">
        <f>(Table3[[#This Row],[HomeMargin]]-Table3[[#This Row],[HomeForecast]])^2</f>
        <v>13.650332948376168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1.7070621211304178</v>
      </c>
      <c r="J160">
        <f>(Table3[[#This Row],[HomeMargin]]-Table3[[#This Row],[HomeForecast]])^2</f>
        <v>5.2575641163549394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-4.4344759385374632E-2</v>
      </c>
      <c r="J161">
        <f>(Table3[[#This Row],[HomeMargin]]-Table3[[#This Row],[HomeForecast]])^2</f>
        <v>1.0906559764556962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-0.52336753028562022</v>
      </c>
      <c r="J162">
        <f>(Table3[[#This Row],[HomeMargin]]-Table3[[#This Row],[HomeForecast]])^2</f>
        <v>12.414118753470991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-0.48103818275532079</v>
      </c>
      <c r="J163">
        <f>(Table3[[#This Row],[HomeMargin]]-Table3[[#This Row],[HomeForecast]])^2</f>
        <v>0.26932136775789989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0.13363387022956988</v>
      </c>
      <c r="J164">
        <f>(Table3[[#This Row],[HomeMargin]]-Table3[[#This Row],[HomeForecast]])^2</f>
        <v>1.2851257517316732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-1.5218567309316144</v>
      </c>
      <c r="J165">
        <f>(Table3[[#This Row],[HomeMargin]]-Table3[[#This Row],[HomeForecast]])^2</f>
        <v>2.1849075238921736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-0.15602709913391619</v>
      </c>
      <c r="J166">
        <f>(Table3[[#This Row],[HomeMargin]]-Table3[[#This Row],[HomeForecast]])^2</f>
        <v>1.336398653931977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-0.15228288896714248</v>
      </c>
      <c r="J167">
        <f>(Table3[[#This Row],[HomeMargin]]-Table3[[#This Row],[HomeForecast]])^2</f>
        <v>0.71862430033789404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-0.22999960192258134</v>
      </c>
      <c r="J168">
        <f>(Table3[[#This Row],[HomeMargin]]-Table3[[#This Row],[HomeForecast]])^2</f>
        <v>0.59290061303938313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-0.52615445076759115</v>
      </c>
      <c r="J169">
        <f>(Table3[[#This Row],[HomeMargin]]-Table3[[#This Row],[HomeForecast]])^2</f>
        <v>6.1199118014569978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0.77731529555833856</v>
      </c>
      <c r="J170">
        <f>(Table3[[#This Row],[HomeMargin]]-Table3[[#This Row],[HomeForecast]])^2</f>
        <v>4.9588477592270114E-2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-0.81298070098595321</v>
      </c>
      <c r="J171">
        <f>(Table3[[#This Row],[HomeMargin]]-Table3[[#This Row],[HomeForecast]])^2</f>
        <v>1.4090148162317988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-0.15039250888928735</v>
      </c>
      <c r="J172">
        <f>(Table3[[#This Row],[HomeMargin]]-Table3[[#This Row],[HomeForecast]])^2</f>
        <v>9.9249729600657375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0.48415190360686622</v>
      </c>
      <c r="J173">
        <f>(Table3[[#This Row],[HomeMargin]]-Table3[[#This Row],[HomeForecast]])^2</f>
        <v>0.26609925855241984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0.28171875441581085</v>
      </c>
      <c r="J174">
        <f>(Table3[[#This Row],[HomeMargin]]-Table3[[#This Row],[HomeForecast]])^2</f>
        <v>13.825615421263109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-0.45861548099354799</v>
      </c>
      <c r="J175">
        <f>(Table3[[#This Row],[HomeMargin]]-Table3[[#This Row],[HomeForecast]])^2</f>
        <v>0.29309719741984741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0.45537592183301545</v>
      </c>
      <c r="J176">
        <f>(Table3[[#This Row],[HomeMargin]]-Table3[[#This Row],[HomeForecast]])^2</f>
        <v>2.1181190738512994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-7.5509818995822237E-2</v>
      </c>
      <c r="J177">
        <f>(Table3[[#This Row],[HomeMargin]]-Table3[[#This Row],[HomeForecast]])^2</f>
        <v>8.5526428187898489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0.63131778090435364</v>
      </c>
      <c r="J178">
        <f>(Table3[[#This Row],[HomeMargin]]-Table3[[#This Row],[HomeForecast]])^2</f>
        <v>0.13592657867729019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0.91958931279505018</v>
      </c>
      <c r="J179">
        <f>(Table3[[#This Row],[HomeMargin]]-Table3[[#This Row],[HomeForecast]])^2</f>
        <v>4.3281086274365723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-0.42361784010326931</v>
      </c>
      <c r="J180">
        <f>(Table3[[#This Row],[HomeMargin]]-Table3[[#This Row],[HomeForecast]])^2</f>
        <v>11.721159115073375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-0.35607365925040235</v>
      </c>
      <c r="J181">
        <f>(Table3[[#This Row],[HomeMargin]]-Table3[[#This Row],[HomeForecast]])^2</f>
        <v>0.41464113231116695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-3.8240098502386854E-2</v>
      </c>
      <c r="J182">
        <f>(Table3[[#This Row],[HomeMargin]]-Table3[[#This Row],[HomeForecast]])^2</f>
        <v>1.0779425021382458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-1.1500629223965907E-2</v>
      </c>
      <c r="J183">
        <f>(Table3[[#This Row],[HomeMargin]]-Table3[[#This Row],[HomeForecast]])^2</f>
        <v>9.0691360398163443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0.82755275925182104</v>
      </c>
      <c r="J184">
        <f>(Table3[[#This Row],[HomeMargin]]-Table3[[#This Row],[HomeForecast]])^2</f>
        <v>4.7195270138343757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-1.5172773148451815</v>
      </c>
      <c r="J185">
        <f>(Table3[[#This Row],[HomeMargin]]-Table3[[#This Row],[HomeForecast]])^2</f>
        <v>0.23302119076307806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0.65169481696544596</v>
      </c>
      <c r="J186">
        <f>(Table3[[#This Row],[HomeMargin]]-Table3[[#This Row],[HomeForecast]])^2</f>
        <v>7.0314854023214099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-0.4045540131744052</v>
      </c>
      <c r="J187">
        <f>(Table3[[#This Row],[HomeMargin]]-Table3[[#This Row],[HomeForecast]])^2</f>
        <v>1.9727719759243272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-1.2104007260422551</v>
      </c>
      <c r="J188">
        <f>(Table3[[#This Row],[HomeMargin]]-Table3[[#This Row],[HomeForecast]])^2</f>
        <v>4.8858713696881289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0.93995022596187239</v>
      </c>
      <c r="J189">
        <f>(Table3[[#This Row],[HomeMargin]]-Table3[[#This Row],[HomeForecast]])^2</f>
        <v>3.6059753620301849E-3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-0.39442688208151844</v>
      </c>
      <c r="J190">
        <f>(Table3[[#This Row],[HomeMargin]]-Table3[[#This Row],[HomeForecast]])^2</f>
        <v>1.9444263294715849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-1.05916397143265</v>
      </c>
      <c r="J191">
        <f>(Table3[[#This Row],[HomeMargin]]-Table3[[#This Row],[HomeForecast]])^2</f>
        <v>4.2401562612462822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-0.14533698489203656</v>
      </c>
      <c r="J192">
        <f>(Table3[[#This Row],[HomeMargin]]-Table3[[#This Row],[HomeForecast]])^2</f>
        <v>8.1491009298252877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0.87092534307952763</v>
      </c>
      <c r="J193">
        <f>(Table3[[#This Row],[HomeMargin]]-Table3[[#This Row],[HomeForecast]])^2</f>
        <v>4.5329588947410269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-8.6233064308332108E-2</v>
      </c>
      <c r="J194">
        <f>(Table3[[#This Row],[HomeMargin]]-Table3[[#This Row],[HomeForecast]])^2</f>
        <v>1.1799022699966688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-3.7853776607383982E-2</v>
      </c>
      <c r="J195">
        <f>(Table3[[#This Row],[HomeMargin]]-Table3[[#This Row],[HomeForecast]])^2</f>
        <v>4.1528480148329772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0.10442024062932764</v>
      </c>
      <c r="J196">
        <f>(Table3[[#This Row],[HomeMargin]]-Table3[[#This Row],[HomeForecast]])^2</f>
        <v>9.6374250304290534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-0.60806885318060944</v>
      </c>
      <c r="J197">
        <f>(Table3[[#This Row],[HomeMargin]]-Table3[[#This Row],[HomeForecast]])^2</f>
        <v>0.15361002384716269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-2.0823987079450355</v>
      </c>
      <c r="J198">
        <f>(Table3[[#This Row],[HomeMargin]]-Table3[[#This Row],[HomeForecast]])^2</f>
        <v>9.5011817947412247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-0.16086243593674071</v>
      </c>
      <c r="J199">
        <f>(Table3[[#This Row],[HomeMargin]]-Table3[[#This Row],[HomeForecast]])^2</f>
        <v>9.9910513389159465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0.22683985252676903</v>
      </c>
      <c r="J200">
        <f>(Table3[[#This Row],[HomeMargin]]-Table3[[#This Row],[HomeForecast]])^2</f>
        <v>7.6904172035337508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0.5776577283094031</v>
      </c>
      <c r="J201">
        <f>(Table3[[#This Row],[HomeMargin]]-Table3[[#This Row],[HomeForecast]])^2</f>
        <v>0.17837299445677396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0.8334542828990148</v>
      </c>
      <c r="J202">
        <f>(Table3[[#This Row],[HomeMargin]]-Table3[[#This Row],[HomeForecast]])^2</f>
        <v>3.3615546074807408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0.1770950666217827</v>
      </c>
      <c r="J203">
        <f>(Table3[[#This Row],[HomeMargin]]-Table3[[#This Row],[HomeForecast]])^2</f>
        <v>1.3855527958653393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-0.46666147751132103</v>
      </c>
      <c r="J204">
        <f>(Table3[[#This Row],[HomeMargin]]-Table3[[#This Row],[HomeForecast]])^2</f>
        <v>2.3511270245477656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-8.0899996564965049E-2</v>
      </c>
      <c r="J205">
        <f>(Table3[[#This Row],[HomeMargin]]-Table3[[#This Row],[HomeForecast]])^2</f>
        <v>0.84474481631428122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-0.54388025426857989</v>
      </c>
      <c r="J206">
        <f>(Table3[[#This Row],[HomeMargin]]-Table3[[#This Row],[HomeForecast]])^2</f>
        <v>6.4713267480575754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-0.71043887924280757</v>
      </c>
      <c r="J207">
        <f>(Table3[[#This Row],[HomeMargin]]-Table3[[#This Row],[HomeForecast]])^2</f>
        <v>2.9256011596253915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-0.21216608647459245</v>
      </c>
      <c r="J208">
        <f>(Table3[[#This Row],[HomeMargin]]-Table3[[#This Row],[HomeForecast]])^2</f>
        <v>1.4693466211991291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0.57760068933262354</v>
      </c>
      <c r="J209">
        <f>(Table3[[#This Row],[HomeMargin]]-Table3[[#This Row],[HomeForecast]])^2</f>
        <v>11.712817041656535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-0.5163106307772185</v>
      </c>
      <c r="J210">
        <f>(Table3[[#This Row],[HomeMargin]]-Table3[[#This Row],[HomeForecast]])^2</f>
        <v>0.23395540589913225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1.0368990850060094</v>
      </c>
      <c r="J211">
        <f>(Table3[[#This Row],[HomeMargin]]-Table3[[#This Row],[HomeForecast]])^2</f>
        <v>1.3615424742807046E-3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1.2213941194539337</v>
      </c>
      <c r="J212">
        <f>(Table3[[#This Row],[HomeMargin]]-Table3[[#This Row],[HomeForecast]])^2</f>
        <v>4.9015356128782675E-2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-0.11183475949975352</v>
      </c>
      <c r="J213">
        <f>(Table3[[#This Row],[HomeMargin]]-Table3[[#This Row],[HomeForecast]])^2</f>
        <v>9.68351557043089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1.0001065929331441</v>
      </c>
      <c r="J214">
        <f>(Table3[[#This Row],[HomeMargin]]-Table3[[#This Row],[HomeForecast]])^2</f>
        <v>1.1362053396257982E-8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-0.28836956630299321</v>
      </c>
      <c r="J215">
        <f>(Table3[[#This Row],[HomeMargin]]-Table3[[#This Row],[HomeForecast]])^2</f>
        <v>0.50641787416378992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0.26767901862454863</v>
      </c>
      <c r="J216">
        <f>(Table3[[#This Row],[HomeMargin]]-Table3[[#This Row],[HomeForecast]])^2</f>
        <v>1.6070100942608985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-0.34058482871882245</v>
      </c>
      <c r="J217">
        <f>(Table3[[#This Row],[HomeMargin]]-Table3[[#This Row],[HomeForecast]])^2</f>
        <v>7.0724890532404965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0.74221645972163697</v>
      </c>
      <c r="J218">
        <f>(Table3[[#This Row],[HomeMargin]]-Table3[[#This Row],[HomeForecast]])^2</f>
        <v>6.6452353638446413E-2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-0.48207902680309694</v>
      </c>
      <c r="J219">
        <f>(Table3[[#This Row],[HomeMargin]]-Table3[[#This Row],[HomeForecast]])^2</f>
        <v>20.089032402508199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-4.5701503756324924E-2</v>
      </c>
      <c r="J220">
        <f>(Table3[[#This Row],[HomeMargin]]-Table3[[#This Row],[HomeForecast]])^2</f>
        <v>24.545073589882342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-0.19174492796591941</v>
      </c>
      <c r="J221">
        <f>(Table3[[#This Row],[HomeMargin]]-Table3[[#This Row],[HomeForecast]])^2</f>
        <v>4.8037458292643338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-0.74879210207392366</v>
      </c>
      <c r="J222">
        <f>(Table3[[#This Row],[HomeMargin]]-Table3[[#This Row],[HomeForecast]])^2</f>
        <v>5.0679369996847443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2.0727402646594189</v>
      </c>
      <c r="J223">
        <f>(Table3[[#This Row],[HomeMargin]]-Table3[[#This Row],[HomeForecast]])^2</f>
        <v>8.5688495581462085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0.3055837154495521</v>
      </c>
      <c r="J224">
        <f>(Table3[[#This Row],[HomeMargin]]-Table3[[#This Row],[HomeForecast]])^2</f>
        <v>0.48221397624884865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0.8140582853285121</v>
      </c>
      <c r="J225">
        <f>(Table3[[#This Row],[HomeMargin]]-Table3[[#This Row],[HomeForecast]])^2</f>
        <v>14.547040603883071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0.47576519977985365</v>
      </c>
      <c r="J226">
        <f>(Table3[[#This Row],[HomeMargin]]-Table3[[#This Row],[HomeForecast]])^2</f>
        <v>0.27482212576185677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0.62640704196598052</v>
      </c>
      <c r="J227">
        <f>(Table3[[#This Row],[HomeMargin]]-Table3[[#This Row],[HomeForecast]])^2</f>
        <v>6.8980139500884912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0.20542385191381801</v>
      </c>
      <c r="J228">
        <f>(Table3[[#This Row],[HomeMargin]]-Table3[[#This Row],[HomeForecast]])^2</f>
        <v>10.274742070418018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0.41359896146975456</v>
      </c>
      <c r="J229">
        <f>(Table3[[#This Row],[HomeMargin]]-Table3[[#This Row],[HomeForecast]])^2</f>
        <v>0.34386617798935032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-0.82302680621774738</v>
      </c>
      <c r="J230">
        <f>(Table3[[#This Row],[HomeMargin]]-Table3[[#This Row],[HomeForecast]])^2</f>
        <v>1.3852658988819964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-0.62538768346771234</v>
      </c>
      <c r="J231">
        <f>(Table3[[#This Row],[HomeMargin]]-Table3[[#This Row],[HomeForecast]])^2</f>
        <v>6.892660488503962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-0.52865948312782352</v>
      </c>
      <c r="J232">
        <f>(Table3[[#This Row],[HomeMargin]]-Table3[[#This Row],[HomeForecast]])^2</f>
        <v>6.1075239503340377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-0.79183832203150473</v>
      </c>
      <c r="J233">
        <f>(Table3[[#This Row],[HomeMargin]]-Table3[[#This Row],[HomeForecast]])^2</f>
        <v>10.29230135198563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-0.64289990946876441</v>
      </c>
      <c r="J234">
        <f>(Table3[[#This Row],[HomeMargin]]-Table3[[#This Row],[HomeForecast]])^2</f>
        <v>5.5559208367823603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0.24232769865269418</v>
      </c>
      <c r="J235">
        <f>(Table3[[#This Row],[HomeMargin]]-Table3[[#This Row],[HomeForecast]])^2</f>
        <v>10.512688905450476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-0.39011561471098627</v>
      </c>
      <c r="J236">
        <f>(Table3[[#This Row],[HomeMargin]]-Table3[[#This Row],[HomeForecast]])^2</f>
        <v>1.9324214222633034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0.93698717006992283</v>
      </c>
      <c r="J237">
        <f>(Table3[[#This Row],[HomeMargin]]-Table3[[#This Row],[HomeForecast]])^2</f>
        <v>4.2560219364561052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-2.0269280928029505</v>
      </c>
      <c r="J238">
        <f>(Table3[[#This Row],[HomeMargin]]-Table3[[#This Row],[HomeForecast]])^2</f>
        <v>35.677588008546593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-0.47225676021688778</v>
      </c>
      <c r="J239">
        <f>(Table3[[#This Row],[HomeMargin]]-Table3[[#This Row],[HomeForecast]])^2</f>
        <v>20.00108052930565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-0.12736021054445767</v>
      </c>
      <c r="J240">
        <f>(Table3[[#This Row],[HomeMargin]]-Table3[[#This Row],[HomeForecast]])^2</f>
        <v>1.2709410443188442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-1.6083780827226526</v>
      </c>
      <c r="J241">
        <f>(Table3[[#This Row],[HomeMargin]]-Table3[[#This Row],[HomeForecast]])^2</f>
        <v>0.37012389153729069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-0.10714732759166298</v>
      </c>
      <c r="J242">
        <f>(Table3[[#This Row],[HomeMargin]]-Table3[[#This Row],[HomeForecast]])^2</f>
        <v>23.940007273893411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0.2504177552833125</v>
      </c>
      <c r="J243">
        <f>(Table3[[#This Row],[HomeMargin]]-Table3[[#This Row],[HomeForecast]])^2</f>
        <v>1.5635445627277578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-7.2857003297414735E-2</v>
      </c>
      <c r="J244">
        <f>(Table3[[#This Row],[HomeMargin]]-Table3[[#This Row],[HomeForecast]])^2</f>
        <v>4.2967361561191382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-0.56098550705574612</v>
      </c>
      <c r="J245">
        <f>(Table3[[#This Row],[HomeMargin]]-Table3[[#This Row],[HomeForecast]])^2</f>
        <v>0.19273372501510033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-0.13086611117641289</v>
      </c>
      <c r="J246">
        <f>(Table3[[#This Row],[HomeMargin]]-Table3[[#This Row],[HomeForecast]])^2</f>
        <v>1.2788581614072629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-6.302369421826437E-2</v>
      </c>
      <c r="J247">
        <f>(Table3[[#This Row],[HomeMargin]]-Table3[[#This Row],[HomeForecast]])^2</f>
        <v>3.7518772091598596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-0.43903280684551588</v>
      </c>
      <c r="J248">
        <f>(Table3[[#This Row],[HomeMargin]]-Table3[[#This Row],[HomeForecast]])^2</f>
        <v>2.0708154191776837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-3.7055046241532719E-2</v>
      </c>
      <c r="J249">
        <f>(Table3[[#This Row],[HomeMargin]]-Table3[[#This Row],[HomeForecast]])^2</f>
        <v>0.92726298396889684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0.26034207791905206</v>
      </c>
      <c r="J250">
        <f>(Table3[[#This Row],[HomeMargin]]-Table3[[#This Row],[HomeForecast]])^2</f>
        <v>7.5057255300208965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1.3708474916409952</v>
      </c>
      <c r="J251">
        <f>(Table3[[#This Row],[HomeMargin]]-Table3[[#This Row],[HomeForecast]])^2</f>
        <v>0.13752786205641798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-0.57871131055673486</v>
      </c>
      <c r="J252">
        <f>(Table3[[#This Row],[HomeMargin]]-Table3[[#This Row],[HomeForecast]])^2</f>
        <v>11.705216296512415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0.91397156303710869</v>
      </c>
      <c r="J253">
        <f>(Table3[[#This Row],[HomeMargin]]-Table3[[#This Row],[HomeForecast]])^2</f>
        <v>1.1794577658920611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-0.33774244261990427</v>
      </c>
      <c r="J254">
        <f>(Table3[[#This Row],[HomeMargin]]-Table3[[#This Row],[HomeForecast]])^2</f>
        <v>5.4650397280264764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0.41754095530244845</v>
      </c>
      <c r="J255">
        <f>(Table3[[#This Row],[HomeMargin]]-Table3[[#This Row],[HomeForecast]])^2</f>
        <v>2.0094223599597782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-0.51585896068132098</v>
      </c>
      <c r="J256">
        <f>(Table3[[#This Row],[HomeMargin]]-Table3[[#This Row],[HomeForecast]])^2</f>
        <v>0.2343925459525707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-2.3812933127953557</v>
      </c>
      <c r="J257">
        <f>(Table3[[#This Row],[HomeMargin]]-Table3[[#This Row],[HomeForecast]])^2</f>
        <v>1.9079712159731683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-8.4667586853110655E-2</v>
      </c>
      <c r="J258">
        <f>(Table3[[#This Row],[HomeMargin]]-Table3[[#This Row],[HomeForecast]])^2</f>
        <v>1.1765037739697501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-0.19761558362402681</v>
      </c>
      <c r="J259">
        <f>(Table3[[#This Row],[HomeMargin]]-Table3[[#This Row],[HomeForecast]])^2</f>
        <v>0.64382075164301122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1.0387244574168726</v>
      </c>
      <c r="J260">
        <f>(Table3[[#This Row],[HomeMargin]]-Table3[[#This Row],[HomeForecast]])^2</f>
        <v>3.846601753934741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0.49226438980243947</v>
      </c>
      <c r="J261">
        <f>(Table3[[#This Row],[HomeMargin]]-Table3[[#This Row],[HomeForecast]])^2</f>
        <v>2.226853009072447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0.15958620079556718</v>
      </c>
      <c r="J262">
        <f>(Table3[[#This Row],[HomeMargin]]-Table3[[#This Row],[HomeForecast]])^2</f>
        <v>3.3871229523020938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-0.32169480926098371</v>
      </c>
      <c r="J263">
        <f>(Table3[[#This Row],[HomeMargin]]-Table3[[#This Row],[HomeForecast]])^2</f>
        <v>7.1733186947395593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1.5285035218923002</v>
      </c>
      <c r="J264">
        <f>(Table3[[#This Row],[HomeMargin]]-Table3[[#This Row],[HomeForecast]])^2</f>
        <v>2.1653018850833643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0.57203073822920758</v>
      </c>
      <c r="J265">
        <f>(Table3[[#This Row],[HomeMargin]]-Table3[[#This Row],[HomeForecast]])^2</f>
        <v>2.4712806419374673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-0.12341821671176378</v>
      </c>
      <c r="J266">
        <f>(Table3[[#This Row],[HomeMargin]]-Table3[[#This Row],[HomeForecast]])^2</f>
        <v>15.027886322522203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-0.93920652521091497</v>
      </c>
      <c r="J267">
        <f>(Table3[[#This Row],[HomeMargin]]-Table3[[#This Row],[HomeForecast]])^2</f>
        <v>3.6958465769311175E-3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-0.23412095904017211</v>
      </c>
      <c r="J268">
        <f>(Table3[[#This Row],[HomeMargin]]-Table3[[#This Row],[HomeForecast]])^2</f>
        <v>0.58657070538154577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-0.31302743929282129</v>
      </c>
      <c r="J269">
        <f>(Table3[[#This Row],[HomeMargin]]-Table3[[#This Row],[HomeForecast]])^2</f>
        <v>1.7240410563358632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-0.68901021956130637</v>
      </c>
      <c r="J270">
        <f>(Table3[[#This Row],[HomeMargin]]-Table3[[#This Row],[HomeForecast]])^2</f>
        <v>1.7186942044146942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7.4560910408985701E-2</v>
      </c>
      <c r="J271">
        <f>(Table3[[#This Row],[HomeMargin]]-Table3[[#This Row],[HomeForecast]])^2</f>
        <v>1.1546811501789882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0.43604284294902845</v>
      </c>
      <c r="J272">
        <f>(Table3[[#This Row],[HomeMargin]]-Table3[[#This Row],[HomeForecast]])^2</f>
        <v>2.062219046785128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0.62797603338069607</v>
      </c>
      <c r="J273">
        <f>(Table3[[#This Row],[HomeMargin]]-Table3[[#This Row],[HomeForecast]])^2</f>
        <v>21.418162165546121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0.61287313735452131</v>
      </c>
      <c r="J274">
        <f>(Table3[[#This Row],[HomeMargin]]-Table3[[#This Row],[HomeForecast]])^2</f>
        <v>5.6983746583636474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0.18123009343041346</v>
      </c>
      <c r="J275">
        <f>(Table3[[#This Row],[HomeMargin]]-Table3[[#This Row],[HomeForecast]])^2</f>
        <v>0.6703841599039696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-0.29365957151924976</v>
      </c>
      <c r="J276">
        <f>(Table3[[#This Row],[HomeMargin]]-Table3[[#This Row],[HomeForecast]])^2</f>
        <v>5.2608742300218676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2.1164336998718514</v>
      </c>
      <c r="J277">
        <f>(Table3[[#This Row],[HomeMargin]]-Table3[[#This Row],[HomeForecast]])^2</f>
        <v>0.7806894067221456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-0.73099025267451823</v>
      </c>
      <c r="J278">
        <f>(Table3[[#This Row],[HomeMargin]]-Table3[[#This Row],[HomeForecast]])^2</f>
        <v>13.920288265552264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-1.1517899841066759</v>
      </c>
      <c r="J279">
        <f>(Table3[[#This Row],[HomeMargin]]-Table3[[#This Row],[HomeForecast]])^2</f>
        <v>17.237360072128514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-1.0737208428078984</v>
      </c>
      <c r="J280">
        <f>(Table3[[#This Row],[HomeMargin]]-Table3[[#This Row],[HomeForecast]])^2</f>
        <v>35.120784648969533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-0.20902120887224926</v>
      </c>
      <c r="J281">
        <f>(Table3[[#This Row],[HomeMargin]]-Table3[[#This Row],[HomeForecast]])^2</f>
        <v>4.8797747012474133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-0.4840983717559626</v>
      </c>
      <c r="J282">
        <f>(Table3[[#This Row],[HomeMargin]]-Table3[[#This Row],[HomeForecast]])^2</f>
        <v>6.1707447205606236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0.15709361553920459</v>
      </c>
      <c r="J283">
        <f>(Table3[[#This Row],[HomeMargin]]-Table3[[#This Row],[HomeForecast]])^2</f>
        <v>1.3388656351215886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-0.10439328391609329</v>
      </c>
      <c r="J284">
        <f>(Table3[[#This Row],[HomeMargin]]-Table3[[#This Row],[HomeForecast]])^2</f>
        <v>0.80211138989459951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1.29840928957073</v>
      </c>
      <c r="J285">
        <f>(Table3[[#This Row],[HomeMargin]]-Table3[[#This Row],[HomeForecast]])^2</f>
        <v>8.9048104102107783E-2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-1.027335158640315</v>
      </c>
      <c r="J286">
        <f>(Table3[[#This Row],[HomeMargin]]-Table3[[#This Row],[HomeForecast]])^2</f>
        <v>4.1100878454591507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-1.0982004689031846</v>
      </c>
      <c r="J287">
        <f>(Table3[[#This Row],[HomeMargin]]-Table3[[#This Row],[HomeForecast]])^2</f>
        <v>9.64333209280532E-3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-4.2395278299590722E-2</v>
      </c>
      <c r="J288">
        <f>(Table3[[#This Row],[HomeMargin]]-Table3[[#This Row],[HomeForecast]])^2</f>
        <v>0.91700680302291837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0.94404406957832465</v>
      </c>
      <c r="J289">
        <f>(Table3[[#This Row],[HomeMargin]]-Table3[[#This Row],[HomeForecast]])^2</f>
        <v>3.7793073444626546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-0.32566664085178593</v>
      </c>
      <c r="J290">
        <f>(Table3[[#This Row],[HomeMargin]]-Table3[[#This Row],[HomeForecast]])^2</f>
        <v>0.45472547926011436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-0.73205643951888744</v>
      </c>
      <c r="J291">
        <f>(Table3[[#This Row],[HomeMargin]]-Table3[[#This Row],[HomeForecast]])^2</f>
        <v>7.1793751603295625E-2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0.15936678633912044</v>
      </c>
      <c r="J292">
        <f>(Table3[[#This Row],[HomeMargin]]-Table3[[#This Row],[HomeForecast]])^2</f>
        <v>0.7066641999098181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0.83363252979355662</v>
      </c>
      <c r="J293">
        <f>(Table3[[#This Row],[HomeMargin]]-Table3[[#This Row],[HomeForecast]])^2</f>
        <v>10.025882956381551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-0.14306007469496679</v>
      </c>
      <c r="J294">
        <f>(Table3[[#This Row],[HomeMargin]]-Table3[[#This Row],[HomeForecast]])^2</f>
        <v>0.73434603558179579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-0.97264261964161158</v>
      </c>
      <c r="J295">
        <f>(Table3[[#This Row],[HomeMargin]]-Table3[[#This Row],[HomeForecast]])^2</f>
        <v>1.0554631869768503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-7.8426954400830778E-2</v>
      </c>
      <c r="J296">
        <f>(Table3[[#This Row],[HomeMargin]]-Table3[[#This Row],[HomeForecast]])^2</f>
        <v>4.3198586047799123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-0.34353552646923274</v>
      </c>
      <c r="J297">
        <f>(Table3[[#This Row],[HomeMargin]]-Table3[[#This Row],[HomeForecast]])^2</f>
        <v>0.43094560500802737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1.1096100885219728E-2</v>
      </c>
      <c r="J298">
        <f>(Table3[[#This Row],[HomeMargin]]-Table3[[#This Row],[HomeForecast]])^2</f>
        <v>1.0223153252252943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-4.5701503756324924E-2</v>
      </c>
      <c r="J299">
        <f>(Table3[[#This Row],[HomeMargin]]-Table3[[#This Row],[HomeForecast]])^2</f>
        <v>9.2762976499835386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-1.2200896572005766</v>
      </c>
      <c r="J300">
        <f>(Table3[[#This Row],[HomeMargin]]-Table3[[#This Row],[HomeForecast]])^2</f>
        <v>3.1680808284043609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0.89759165387812423</v>
      </c>
      <c r="J301">
        <f>(Table3[[#This Row],[HomeMargin]]-Table3[[#This Row],[HomeForecast]])^2</f>
        <v>3.6008540848679154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1.4611652842177396</v>
      </c>
      <c r="J302">
        <f>(Table3[[#This Row],[HomeMargin]]-Table3[[#This Row],[HomeForecast]])^2</f>
        <v>2.3680122824966703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6.9093451293533309E-3</v>
      </c>
      <c r="J303">
        <f>(Table3[[#This Row],[HomeMargin]]-Table3[[#This Row],[HomeForecast]])^2</f>
        <v>0.98622904879140982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0.73946241604606722</v>
      </c>
      <c r="J304">
        <f>(Table3[[#This Row],[HomeMargin]]-Table3[[#This Row],[HomeForecast]])^2</f>
        <v>3.0257294968368216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1.1238976652176178</v>
      </c>
      <c r="J305">
        <f>(Table3[[#This Row],[HomeMargin]]-Table3[[#This Row],[HomeForecast]])^2</f>
        <v>8.2719646401406699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1.4892379876553008</v>
      </c>
      <c r="J306">
        <f>(Table3[[#This Row],[HomeMargin]]-Table3[[#This Row],[HomeForecast]])^2</f>
        <v>30.131733685118018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7.1619547202332962E-2</v>
      </c>
      <c r="J307">
        <f>(Table3[[#This Row],[HomeMargin]]-Table3[[#This Row],[HomeForecast]])^2</f>
        <v>0.86189026513680123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-0.4045540131744052</v>
      </c>
      <c r="J308">
        <f>(Table3[[#This Row],[HomeMargin]]-Table3[[#This Row],[HomeForecast]])^2</f>
        <v>2.5454478968778962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5.5338152797053175E-2</v>
      </c>
      <c r="J309">
        <f>(Table3[[#This Row],[HomeMargin]]-Table3[[#This Row],[HomeForecast]])^2</f>
        <v>15.560357088778565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0.13011932336168103</v>
      </c>
      <c r="J310">
        <f>(Table3[[#This Row],[HomeMargin]]-Table3[[#This Row],[HomeForecast]])^2</f>
        <v>0.75669239158873958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0.46831411472503764</v>
      </c>
      <c r="J311">
        <f>(Table3[[#This Row],[HomeMargin]]-Table3[[#This Row],[HomeForecast]])^2</f>
        <v>6.4094334217004691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1.0912098920588122</v>
      </c>
      <c r="J312">
        <f>(Table3[[#This Row],[HomeMargin]]-Table3[[#This Row],[HomeForecast]])^2</f>
        <v>8.3192444093801807E-3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0.88840082860880754</v>
      </c>
      <c r="J313">
        <f>(Table3[[#This Row],[HomeMargin]]-Table3[[#This Row],[HomeForecast]])^2</f>
        <v>4.4588510606199705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0.55906880429141992</v>
      </c>
      <c r="J314">
        <f>(Table3[[#This Row],[HomeMargin]]-Table3[[#This Row],[HomeForecast]])^2</f>
        <v>2.4306955365146781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1.3450197000496433E-2</v>
      </c>
      <c r="J315">
        <f>(Table3[[#This Row],[HomeMargin]]-Table3[[#This Row],[HomeForecast]])^2</f>
        <v>3.9463801197973658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-0.5788381454277054</v>
      </c>
      <c r="J316">
        <f>(Table3[[#This Row],[HomeMargin]]-Table3[[#This Row],[HomeForecast]])^2</f>
        <v>2.4927298894575962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0.71844428941305993</v>
      </c>
      <c r="J317">
        <f>(Table3[[#This Row],[HomeMargin]]-Table3[[#This Row],[HomeForecast]])^2</f>
        <v>10.768607881685757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1.1386239881398112</v>
      </c>
      <c r="J318">
        <f>(Table3[[#This Row],[HomeMargin]]-Table3[[#This Row],[HomeForecast]])^2</f>
        <v>1.921661008778653E-2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5.1035296964221114E-2</v>
      </c>
      <c r="J319">
        <f>(Table3[[#This Row],[HomeMargin]]-Table3[[#This Row],[HomeForecast]])^2</f>
        <v>0.9005340076077839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0.2982586660044419</v>
      </c>
      <c r="J320">
        <f>(Table3[[#This Row],[HomeMargin]]-Table3[[#This Row],[HomeForecast]])^2</f>
        <v>7.299406235820098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0.200340780949988</v>
      </c>
      <c r="J321">
        <f>(Table3[[#This Row],[HomeMargin]]-Table3[[#This Row],[HomeForecast]])^2</f>
        <v>0.63945486661167517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0.45274959274703946</v>
      </c>
      <c r="J322">
        <f>(Table3[[#This Row],[HomeMargin]]-Table3[[#This Row],[HomeForecast]])^2</f>
        <v>19.826978935708929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-0.37920269320255084</v>
      </c>
      <c r="J323">
        <f>(Table3[[#This Row],[HomeMargin]]-Table3[[#This Row],[HomeForecast]])^2</f>
        <v>1.9022000689371692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1.3140201321279599</v>
      </c>
      <c r="J324">
        <f>(Table3[[#This Row],[HomeMargin]]-Table3[[#This Row],[HomeForecast]])^2</f>
        <v>2.8425281148698218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0.45764324311088866</v>
      </c>
      <c r="J325">
        <f>(Table3[[#This Row],[HomeMargin]]-Table3[[#This Row],[HomeForecast]])^2</f>
        <v>2.1247238241868298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0.6404427608458827</v>
      </c>
      <c r="J326">
        <f>(Table3[[#This Row],[HomeMargin]]-Table3[[#This Row],[HomeForecast]])^2</f>
        <v>2.6910524516116618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1.616593865098054</v>
      </c>
      <c r="J327">
        <f>(Table3[[#This Row],[HomeMargin]]-Table3[[#This Row],[HomeForecast]])^2</f>
        <v>1.913812534084341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-0.79832849034907882</v>
      </c>
      <c r="J328">
        <f>(Table3[[#This Row],[HomeMargin]]-Table3[[#This Row],[HomeForecast]])^2</f>
        <v>17.654043475012255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-0.30247958351720317</v>
      </c>
      <c r="J329">
        <f>(Table3[[#This Row],[HomeMargin]]-Table3[[#This Row],[HomeForecast]])^2</f>
        <v>1.696453065479147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-1.1663468554819245</v>
      </c>
      <c r="J330">
        <f>(Table3[[#This Row],[HomeMargin]]-Table3[[#This Row],[HomeForecast]])^2</f>
        <v>8.0295901434371793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1.1947629754804874</v>
      </c>
      <c r="J331">
        <f>(Table3[[#This Row],[HomeMargin]]-Table3[[#This Row],[HomeForecast]])^2</f>
        <v>3.7932616618012928E-2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-0.22999960192258134</v>
      </c>
      <c r="J332">
        <f>(Table3[[#This Row],[HomeMargin]]-Table3[[#This Row],[HomeForecast]])^2</f>
        <v>1.5128990207297086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1.1348727676628956</v>
      </c>
      <c r="J333">
        <f>(Table3[[#This Row],[HomeMargin]]-Table3[[#This Row],[HomeForecast]])^2</f>
        <v>1.8190663457049411E-2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0.24695501546659016</v>
      </c>
      <c r="J334">
        <f>(Table3[[#This Row],[HomeMargin]]-Table3[[#This Row],[HomeForecast]])^2</f>
        <v>1.5548968105972838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0.11027925890515396</v>
      </c>
      <c r="J335">
        <f>(Table3[[#This Row],[HomeMargin]]-Table3[[#This Row],[HomeForecast]])^2</f>
        <v>9.6738370683755939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-1.4791968328690361</v>
      </c>
      <c r="J336">
        <f>(Table3[[#This Row],[HomeMargin]]-Table3[[#This Row],[HomeForecast]])^2</f>
        <v>0.27123593889364267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-0.38736998257311667</v>
      </c>
      <c r="J337">
        <f>(Table3[[#This Row],[HomeMargin]]-Table3[[#This Row],[HomeForecast]])^2</f>
        <v>40.798495294276094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-0.17183605646881758</v>
      </c>
      <c r="J338">
        <f>(Table3[[#This Row],[HomeMargin]]-Table3[[#This Row],[HomeForecast]])^2</f>
        <v>0.6858555173651194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0.17207232557312505</v>
      </c>
      <c r="J339">
        <f>(Table3[[#This Row],[HomeMargin]]-Table3[[#This Row],[HomeForecast]])^2</f>
        <v>26.750332140959394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-0.46455531014346929</v>
      </c>
      <c r="J340">
        <f>(Table3[[#This Row],[HomeMargin]]-Table3[[#This Row],[HomeForecast]])^2</f>
        <v>0.28670101589555635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0.13361755281883553</v>
      </c>
      <c r="J341">
        <f>(Table3[[#This Row],[HomeMargin]]-Table3[[#This Row],[HomeForecast]])^2</f>
        <v>0.75061854478362333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-1.5222430528266173</v>
      </c>
      <c r="J342">
        <f>(Table3[[#This Row],[HomeMargin]]-Table3[[#This Row],[HomeForecast]])^2</f>
        <v>6.3617100175321344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-0.26895201532832708</v>
      </c>
      <c r="J343">
        <f>(Table3[[#This Row],[HomeMargin]]-Table3[[#This Row],[HomeForecast]])^2</f>
        <v>1.6102392172058231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0.11394889473263242</v>
      </c>
      <c r="J344">
        <f>(Table3[[#This Row],[HomeMargin]]-Table3[[#This Row],[HomeForecast]])^2</f>
        <v>9.6966777190065834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-0.23223057896231697</v>
      </c>
      <c r="J345">
        <f>(Table3[[#This Row],[HomeMargin]]-Table3[[#This Row],[HomeForecast]])^2</f>
        <v>10.447314515579075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-2.5104745626489722</v>
      </c>
      <c r="J346">
        <f>(Table3[[#This Row],[HomeMargin]]-Table3[[#This Row],[HomeForecast]])^2</f>
        <v>0.23963515381371506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1.4693267009826241</v>
      </c>
      <c r="J347">
        <f>(Table3[[#This Row],[HomeMargin]]-Table3[[#This Row],[HomeForecast]])^2</f>
        <v>6.0975743561857296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1.96143646991929E-2</v>
      </c>
      <c r="J348">
        <f>(Table3[[#This Row],[HomeMargin]]-Table3[[#This Row],[HomeForecast]])^2</f>
        <v>8.8826985351073962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0.78980456755865758</v>
      </c>
      <c r="J349">
        <f>(Table3[[#This Row],[HomeMargin]]-Table3[[#This Row],[HomeForecast]])^2</f>
        <v>3.203400390053833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-0.19281444951914967</v>
      </c>
      <c r="J350">
        <f>(Table3[[#This Row],[HomeMargin]]-Table3[[#This Row],[HomeForecast]])^2</f>
        <v>0.65154851290507332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0.11303330258072368</v>
      </c>
      <c r="J351">
        <f>(Table3[[#This Row],[HomeMargin]]-Table3[[#This Row],[HomeForecast]])^2</f>
        <v>0.78670992233085812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0.2274286177537157</v>
      </c>
      <c r="J352">
        <f>(Table3[[#This Row],[HomeMargin]]-Table3[[#This Row],[HomeForecast]])^2</f>
        <v>4.9614382471882275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-0.84042466349262002</v>
      </c>
      <c r="J353">
        <f>(Table3[[#This Row],[HomeMargin]]-Table3[[#This Row],[HomeForecast]])^2</f>
        <v>14.748861595962405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-1.5842199574327807</v>
      </c>
      <c r="J354">
        <f>(Table3[[#This Row],[HomeMargin]]-Table3[[#This Row],[HomeForecast]])^2</f>
        <v>0.34131295866276007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0.86005994063822666</v>
      </c>
      <c r="J355">
        <f>(Table3[[#This Row],[HomeMargin]]-Table3[[#This Row],[HomeForecast]])^2</f>
        <v>1.9583220214176647E-2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-0.4501169116800503</v>
      </c>
      <c r="J356">
        <f>(Table3[[#This Row],[HomeMargin]]-Table3[[#This Row],[HomeForecast]])^2</f>
        <v>6.0030728809005867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9.1327473246232471E-2</v>
      </c>
      <c r="J357">
        <f>(Table3[[#This Row],[HomeMargin]]-Table3[[#This Row],[HomeForecast]])^2</f>
        <v>9.5563055468469376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-3.707136365226707E-2</v>
      </c>
      <c r="J358">
        <f>(Table3[[#This Row],[HomeMargin]]-Table3[[#This Row],[HomeForecast]])^2</f>
        <v>8.778946104089437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8.5466405692083081E-2</v>
      </c>
      <c r="J359">
        <f>(Table3[[#This Row],[HomeMargin]]-Table3[[#This Row],[HomeForecast]])^2</f>
        <v>0.83637169511775755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0.64899416001370336</v>
      </c>
      <c r="J360">
        <f>(Table3[[#This Row],[HomeMargin]]-Table3[[#This Row],[HomeForecast]])^2</f>
        <v>0.12320509970448568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-0.50093285800135123</v>
      </c>
      <c r="J361">
        <f>(Table3[[#This Row],[HomeMargin]]-Table3[[#This Row],[HomeForecast]])^2</f>
        <v>20.241605148211889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1.3138981201023099</v>
      </c>
      <c r="J362">
        <f>(Table3[[#This Row],[HomeMargin]]-Table3[[#This Row],[HomeForecast]])^2</f>
        <v>9.853202980376416E-2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0.74711117800251836</v>
      </c>
      <c r="J363">
        <f>(Table3[[#This Row],[HomeMargin]]-Table3[[#This Row],[HomeForecast]])^2</f>
        <v>5.0755080442812002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0.11027925890515396</v>
      </c>
      <c r="J364">
        <f>(Table3[[#This Row],[HomeMargin]]-Table3[[#This Row],[HomeForecast]])^2</f>
        <v>15.129927443703439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1.1810712919861976</v>
      </c>
      <c r="J365">
        <f>(Table3[[#This Row],[HomeMargin]]-Table3[[#This Row],[HomeForecast]])^2</f>
        <v>7.9463590608643653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-1.1248316128766309</v>
      </c>
      <c r="J366">
        <f>(Table3[[#This Row],[HomeMargin]]-Table3[[#This Row],[HomeForecast]])^2</f>
        <v>15.016930028560335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0.99763355076900984</v>
      </c>
      <c r="J367">
        <f>(Table3[[#This Row],[HomeMargin]]-Table3[[#This Row],[HomeForecast]])^2</f>
        <v>3.9905398031580028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0.43714733529612526</v>
      </c>
      <c r="J368">
        <f>(Table3[[#This Row],[HomeMargin]]-Table3[[#This Row],[HomeForecast]])^2</f>
        <v>5.9396871339410051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-0.15039250888928735</v>
      </c>
      <c r="J369">
        <f>(Table3[[#This Row],[HomeMargin]]-Table3[[#This Row],[HomeForecast]])^2</f>
        <v>0.72183288895143971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2.2710518860350248E-2</v>
      </c>
      <c r="J370">
        <f>(Table3[[#This Row],[HomeMargin]]-Table3[[#This Row],[HomeForecast]])^2</f>
        <v>1.0459368053876068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2.1789612145223383</v>
      </c>
      <c r="J371">
        <f>(Table3[[#This Row],[HomeMargin]]-Table3[[#This Row],[HomeForecast]])^2</f>
        <v>14.600337400124605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0.34754329465945666</v>
      </c>
      <c r="J372">
        <f>(Table3[[#This Row],[HomeMargin]]-Table3[[#This Row],[HomeForecast]])^2</f>
        <v>11.206046109619491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-0.27381269492774463</v>
      </c>
      <c r="J373">
        <f>(Table3[[#This Row],[HomeMargin]]-Table3[[#This Row],[HomeForecast]])^2</f>
        <v>2.9797226121926155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1.2234298640699459</v>
      </c>
      <c r="J374">
        <f>(Table3[[#This Row],[HomeMargin]]-Table3[[#This Row],[HomeForecast]])^2</f>
        <v>4.9920904158314509E-2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0.26767901862454863</v>
      </c>
      <c r="J375">
        <f>(Table3[[#This Row],[HomeMargin]]-Table3[[#This Row],[HomeForecast]])^2</f>
        <v>5.1423681315099969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0.6332942958631943</v>
      </c>
      <c r="J376">
        <f>(Table3[[#This Row],[HomeMargin]]-Table3[[#This Row],[HomeForecast]])^2</f>
        <v>1.8678844817200821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-1.2742849850636924</v>
      </c>
      <c r="J377">
        <f>(Table3[[#This Row],[HomeMargin]]-Table3[[#This Row],[HomeForecast]])^2</f>
        <v>7.5232253031389945E-2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1.5322842076128818</v>
      </c>
      <c r="J378">
        <f>(Table3[[#This Row],[HomeMargin]]-Table3[[#This Row],[HomeForecast]])^2</f>
        <v>6.0896212319967828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0.56881926679419059</v>
      </c>
      <c r="J379">
        <f>(Table3[[#This Row],[HomeMargin]]-Table3[[#This Row],[HomeForecast]])^2</f>
        <v>2.4611938918646623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0.37230694358070454</v>
      </c>
      <c r="J380">
        <f>(Table3[[#This Row],[HomeMargin]]-Table3[[#This Row],[HomeForecast]])^2</f>
        <v>1.8832263473998148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0.93109387927040721</v>
      </c>
      <c r="J381">
        <f>(Table3[[#This Row],[HomeMargin]]-Table3[[#This Row],[HomeForecast]])^2</f>
        <v>4.7480534740012171E-3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0.42045809070745699</v>
      </c>
      <c r="J382">
        <f>(Table3[[#This Row],[HomeMargin]]-Table3[[#This Row],[HomeForecast]])^2</f>
        <v>0.33586882462644613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-1.568793116693136E-2</v>
      </c>
      <c r="J383">
        <f>(Table3[[#This Row],[HomeMargin]]-Table3[[#This Row],[HomeForecast]])^2</f>
        <v>15.874742661848847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-0.36109032545278241</v>
      </c>
      <c r="J384">
        <f>(Table3[[#This Row],[HomeMargin]]-Table3[[#This Row],[HomeForecast]])^2</f>
        <v>21.519482968607775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0.5611178167207721</v>
      </c>
      <c r="J385">
        <f>(Table3[[#This Row],[HomeMargin]]-Table3[[#This Row],[HomeForecast]])^2</f>
        <v>11.825910670475308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-0.4108398486525312</v>
      </c>
      <c r="J386">
        <f>(Table3[[#This Row],[HomeMargin]]-Table3[[#This Row],[HomeForecast]])^2</f>
        <v>0.34710968393577235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0.97453585850484292</v>
      </c>
      <c r="J387">
        <f>(Table3[[#This Row],[HomeMargin]]-Table3[[#This Row],[HomeForecast]])^2</f>
        <v>3.898791856521457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0.6497453358796621</v>
      </c>
      <c r="J388">
        <f>(Table3[[#This Row],[HomeMargin]]-Table3[[#This Row],[HomeForecast]])^2</f>
        <v>0.12267832973805072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-1.2225946895608091</v>
      </c>
      <c r="J389">
        <f>(Table3[[#This Row],[HomeMargin]]-Table3[[#This Row],[HomeForecast]])^2</f>
        <v>3.1591696375774365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0.51136033468261877</v>
      </c>
      <c r="J390">
        <f>(Table3[[#This Row],[HomeMargin]]-Table3[[#This Row],[HomeForecast]])^2</f>
        <v>6.3069307306171947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-1.5586492230044795</v>
      </c>
      <c r="J391">
        <f>(Table3[[#This Row],[HomeMargin]]-Table3[[#This Row],[HomeForecast]])^2</f>
        <v>6.5466858463814281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0.32284497879078816</v>
      </c>
      <c r="J392">
        <f>(Table3[[#This Row],[HomeMargin]]-Table3[[#This Row],[HomeForecast]])^2</f>
        <v>1.7499188379120005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0.3471758581389715</v>
      </c>
      <c r="J393">
        <f>(Table3[[#This Row],[HomeMargin]]-Table3[[#This Row],[HomeForecast]])^2</f>
        <v>0.42617936019658831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-0.89606396690852352</v>
      </c>
      <c r="J394">
        <f>(Table3[[#This Row],[HomeMargin]]-Table3[[#This Row],[HomeForecast]])^2</f>
        <v>3.5950585666088868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0.50682126117768811</v>
      </c>
      <c r="J395">
        <f>(Table3[[#This Row],[HomeMargin]]-Table3[[#This Row],[HomeForecast]])^2</f>
        <v>12.297795357847869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0.9823975298082589</v>
      </c>
      <c r="J396">
        <f>(Table3[[#This Row],[HomeMargin]]-Table3[[#This Row],[HomeForecast]])^2</f>
        <v>1.0355147873403336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0.67549323159048447</v>
      </c>
      <c r="J397">
        <f>(Table3[[#This Row],[HomeMargin]]-Table3[[#This Row],[HomeForecast]])^2</f>
        <v>0.10530464274358695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2.072379829311521</v>
      </c>
      <c r="J398">
        <f>(Table3[[#This Row],[HomeMargin]]-Table3[[#This Row],[HomeForecast]])^2</f>
        <v>8.5709598638220399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0.62545671335020425</v>
      </c>
      <c r="J399">
        <f>(Table3[[#This Row],[HomeMargin]]-Table3[[#This Row],[HomeForecast]])^2</f>
        <v>0.14028267357443105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0.50950322357872069</v>
      </c>
      <c r="J400">
        <f>(Table3[[#This Row],[HomeMargin]]-Table3[[#This Row],[HomeForecast]])^2</f>
        <v>2.2785999819945491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7.6948141878109916E-2</v>
      </c>
      <c r="J401">
        <f>(Table3[[#This Row],[HomeMargin]]-Table3[[#This Row],[HomeForecast]])^2</f>
        <v>4.3137135840509337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-0.81819146941492282</v>
      </c>
      <c r="J402">
        <f>(Table3[[#This Row],[HomeMargin]]-Table3[[#This Row],[HomeForecast]])^2</f>
        <v>4.760288464133815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-0.53141352680339327</v>
      </c>
      <c r="J403">
        <f>(Table3[[#This Row],[HomeMargin]]-Table3[[#This Row],[HomeForecast]])^2</f>
        <v>6.0939191756492601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0.30872859305189526</v>
      </c>
      <c r="J404">
        <f>(Table3[[#This Row],[HomeMargin]]-Table3[[#This Row],[HomeForecast]])^2</f>
        <v>28.182599274686751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-0.10117211889841005</v>
      </c>
      <c r="J405">
        <f>(Table3[[#This Row],[HomeMargin]]-Table3[[#This Row],[HomeForecast]])^2</f>
        <v>15.200858846455112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-1.2820876628170792</v>
      </c>
      <c r="J406">
        <f>(Table3[[#This Row],[HomeMargin]]-Table3[[#This Row],[HomeForecast]])^2</f>
        <v>5.207924100781919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0.61340264638850561</v>
      </c>
      <c r="J407">
        <f>(Table3[[#This Row],[HomeMargin]]-Table3[[#This Row],[HomeForecast]])^2</f>
        <v>0.14945751381941083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1.3414555095283109</v>
      </c>
      <c r="J408">
        <f>(Table3[[#This Row],[HomeMargin]]-Table3[[#This Row],[HomeForecast]])^2</f>
        <v>0.11659186498723845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-0.10399768882913193</v>
      </c>
      <c r="J409">
        <f>(Table3[[#This Row],[HomeMargin]]-Table3[[#This Row],[HomeForecast]])^2</f>
        <v>4.426806274598329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1.0357690317882178</v>
      </c>
      <c r="J410">
        <f>(Table3[[#This Row],[HomeMargin]]-Table3[[#This Row],[HomeForecast]])^2</f>
        <v>15.715127169329326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-0.55513231038814315</v>
      </c>
      <c r="J411">
        <f>(Table3[[#This Row],[HomeMargin]]-Table3[[#This Row],[HomeForecast]])^2</f>
        <v>5.9773780197080191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-0.32758810006049938</v>
      </c>
      <c r="J412">
        <f>(Table3[[#This Row],[HomeMargin]]-Table3[[#This Row],[HomeForecast]])^2</f>
        <v>18.72801876378524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0.33176089139672493</v>
      </c>
      <c r="J413">
        <f>(Table3[[#This Row],[HomeMargin]]-Table3[[#This Row],[HomeForecast]])^2</f>
        <v>5.4371088546472492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-0.15602709913391619</v>
      </c>
      <c r="J414">
        <f>(Table3[[#This Row],[HomeMargin]]-Table3[[#This Row],[HomeForecast]])^2</f>
        <v>14.776127662592817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-0.5788381454277054</v>
      </c>
      <c r="J415">
        <f>(Table3[[#This Row],[HomeMargin]]-Table3[[#This Row],[HomeForecast]])^2</f>
        <v>12.808082471168419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-1.3054259567307609</v>
      </c>
      <c r="J416">
        <f>(Table3[[#This Row],[HomeMargin]]-Table3[[#This Row],[HomeForecast]])^2</f>
        <v>2.8715811881218571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2.4778558193726585</v>
      </c>
      <c r="J417">
        <f>(Table3[[#This Row],[HomeMargin]]-Table3[[#This Row],[HomeForecast]])^2</f>
        <v>0.22834618410831486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-0.57893072501318166</v>
      </c>
      <c r="J418">
        <f>(Table3[[#This Row],[HomeMargin]]-Table3[[#This Row],[HomeForecast]])^2</f>
        <v>2.4930222343906516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-0.41999761650981959</v>
      </c>
      <c r="J419">
        <f>(Table3[[#This Row],[HomeMargin]]-Table3[[#This Row],[HomeForecast]])^2</f>
        <v>0.33640276485429027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-0.21767370758706839</v>
      </c>
      <c r="J420">
        <f>(Table3[[#This Row],[HomeMargin]]-Table3[[#This Row],[HomeForecast]])^2</f>
        <v>7.7413395974522894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-0.99464738548150933</v>
      </c>
      <c r="J421">
        <f>(Table3[[#This Row],[HomeMargin]]-Table3[[#This Row],[HomeForecast]])^2</f>
        <v>1.0107338795191647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-8.6233064308332108E-2</v>
      </c>
      <c r="J422">
        <f>(Table3[[#This Row],[HomeMargin]]-Table3[[#This Row],[HomeForecast]])^2</f>
        <v>8.4900377555300128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-3.7853776607383982E-2</v>
      </c>
      <c r="J423">
        <f>(Table3[[#This Row],[HomeMargin]]-Table3[[#This Row],[HomeForecast]])^2</f>
        <v>16.304263121262512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-0.37598494592307885</v>
      </c>
      <c r="J424">
        <f>(Table3[[#This Row],[HomeMargin]]-Table3[[#This Row],[HomeForecast]])^2</f>
        <v>1.8933345714069383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-0.61793487859443152</v>
      </c>
      <c r="J425">
        <f>(Table3[[#This Row],[HomeMargin]]-Table3[[#This Row],[HomeForecast]])^2</f>
        <v>2.6177132713723776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0.11522389587625062</v>
      </c>
      <c r="J426">
        <f>(Table3[[#This Row],[HomeMargin]]-Table3[[#This Row],[HomeForecast]])^2</f>
        <v>0.78282875442839983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7.1619547202332962E-2</v>
      </c>
      <c r="J427">
        <f>(Table3[[#This Row],[HomeMargin]]-Table3[[#This Row],[HomeForecast]])^2</f>
        <v>50.007803020374133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-0.28353422950016871</v>
      </c>
      <c r="J428">
        <f>(Table3[[#This Row],[HomeMargin]]-Table3[[#This Row],[HomeForecast]])^2</f>
        <v>1.6474601182985915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-0.70840313462679538</v>
      </c>
      <c r="J429">
        <f>(Table3[[#This Row],[HomeMargin]]-Table3[[#This Row],[HomeForecast]])^2</f>
        <v>5.2514161933882963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0.42898594344062668</v>
      </c>
      <c r="J430">
        <f>(Table3[[#This Row],[HomeMargin]]-Table3[[#This Row],[HomeForecast]])^2</f>
        <v>6.6101132790258834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-1.272928240692742</v>
      </c>
      <c r="J431">
        <f>(Table3[[#This Row],[HomeMargin]]-Table3[[#This Row],[HomeForecast]])^2</f>
        <v>22.345207417640211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1.2499289356467269</v>
      </c>
      <c r="J432">
        <f>(Table3[[#This Row],[HomeMargin]]-Table3[[#This Row],[HomeForecast]])^2</f>
        <v>3.0627487302865983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0.61242146725862379</v>
      </c>
      <c r="J433">
        <f>(Table3[[#This Row],[HomeMargin]]-Table3[[#This Row],[HomeForecast]])^2</f>
        <v>21.274431791628199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0.36551452190562989</v>
      </c>
      <c r="J434">
        <f>(Table3[[#This Row],[HomeMargin]]-Table3[[#This Row],[HomeForecast]])^2</f>
        <v>0.40257182191264135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-0.81740905645980588</v>
      </c>
      <c r="J435">
        <f>(Table3[[#This Row],[HomeMargin]]-Table3[[#This Row],[HomeForecast]])^2</f>
        <v>14.572611904341345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0.19773462547571286</v>
      </c>
      <c r="J436">
        <f>(Table3[[#This Row],[HomeMargin]]-Table3[[#This Row],[HomeForecast]])^2</f>
        <v>23.061752727354893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0.59749536457865404</v>
      </c>
      <c r="J437">
        <f>(Table3[[#This Row],[HomeMargin]]-Table3[[#This Row],[HomeForecast]])^2</f>
        <v>2.551991439850287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-0.17161664201237084</v>
      </c>
      <c r="J438">
        <f>(Table3[[#This Row],[HomeMargin]]-Table3[[#This Row],[HomeForecast]])^2</f>
        <v>0.68621898779086066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-1.3646027776404366</v>
      </c>
      <c r="J439">
        <f>(Table3[[#This Row],[HomeMargin]]-Table3[[#This Row],[HomeForecast]])^2</f>
        <v>19.049757406586618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-0.27299039332783204</v>
      </c>
      <c r="J440">
        <f>(Table3[[#This Row],[HomeMargin]]-Table3[[#This Row],[HomeForecast]])^2</f>
        <v>2.9825621815379559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0.54280282557995085</v>
      </c>
      <c r="J441">
        <f>(Table3[[#This Row],[HomeMargin]]-Table3[[#This Row],[HomeForecast]])^2</f>
        <v>2.3802405586174804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-0.62247054806270374</v>
      </c>
      <c r="J442">
        <f>(Table3[[#This Row],[HomeMargin]]-Table3[[#This Row],[HomeForecast]])^2</f>
        <v>2.6324106793308903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1.2768647345960189</v>
      </c>
      <c r="J443">
        <f>(Table3[[#This Row],[HomeMargin]]-Table3[[#This Row],[HomeForecast]])^2</f>
        <v>2.9691951428788483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-4.4941046419282121E-2</v>
      </c>
      <c r="J444">
        <f>(Table3[[#This Row],[HomeMargin]]-Table3[[#This Row],[HomeForecast]])^2</f>
        <v>8.7323734191375664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-0.87773275027802544</v>
      </c>
      <c r="J445">
        <f>(Table3[[#This Row],[HomeMargin]]-Table3[[#This Row],[HomeForecast]])^2</f>
        <v>4.5040182792424739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0.42415060663780219</v>
      </c>
      <c r="J446">
        <f>(Table3[[#This Row],[HomeMargin]]-Table3[[#This Row],[HomeForecast]])^2</f>
        <v>6.6350000972844025</v>
      </c>
    </row>
    <row r="447" spans="4:10" x14ac:dyDescent="0.2">
      <c r="D447" t="s">
        <v>24</v>
      </c>
      <c r="F447" t="s">
        <v>21</v>
      </c>
    </row>
    <row r="448" spans="4:10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422" activePane="bottomLeft" state="frozen"/>
      <selection activeCell="I1" sqref="I1"/>
      <selection pane="bottomLeft" activeCell="O442" sqref="O442:O453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4.8281253288651405E-2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-0.3510442662416135</v>
      </c>
      <c r="H2" t="s">
        <v>10</v>
      </c>
      <c r="I2">
        <f>VLOOKUP(Table4[[#This Row],[Visitor]],'NHL Model'!$A$6:$B$38,2,FALSE)</f>
        <v>2.5996227684575345E-2</v>
      </c>
      <c r="J2">
        <f>($B$1+Table4[[#This Row],[Home Differential]])-Table4[[#This Row],[Away Differential]]</f>
        <v>-0.32875924063753742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0.49826310623155701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0.24826612303151988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-0.19390166761644689</v>
      </c>
      <c r="H3" t="s">
        <v>12</v>
      </c>
      <c r="I3">
        <f>VLOOKUP(Table4[[#This Row],[Visitor]],'NHL Model'!$A$6:$B$38,2,FALSE)</f>
        <v>1.6584974384060074</v>
      </c>
      <c r="J3">
        <f>($B$1+Table4[[#This Row],[Home Differential]])-Table4[[#This Row],[Away Differential]]</f>
        <v>-1.8041178527338029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0.71956163581566746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7.864567610638433E-2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252</v>
      </c>
      <c r="V3">
        <f>COUNTIF(Table4[Locked Correct],"YES")</f>
        <v>259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9.0184826596604858E-2</v>
      </c>
      <c r="H4" t="s">
        <v>14</v>
      </c>
      <c r="I4">
        <f>VLOOKUP(Table4[[#This Row],[Visitor]],'NHL Model'!$A$6:$B$38,2,FALSE)</f>
        <v>0.17535803439735015</v>
      </c>
      <c r="J4">
        <f>($B$1+Table4[[#This Row],[Home Differential]])-Table4[[#This Row],[Away Differential]]</f>
        <v>-3.6891954512093872E-2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0.51833945728829955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0.23199687840532981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188</v>
      </c>
      <c r="V4">
        <f>COUNTIF(Table4[Locked Correct],"NO")</f>
        <v>181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-0.41671190768559452</v>
      </c>
      <c r="H5" t="s">
        <v>16</v>
      </c>
      <c r="I5">
        <f>VLOOKUP(Table4[[#This Row],[Visitor]],'NHL Model'!$A$6:$B$38,2,FALSE)</f>
        <v>-0.81412334763558081</v>
      </c>
      <c r="J5">
        <f>($B$1+Table4[[#This Row],[Home Differential]])-Table4[[#This Row],[Away Differential]]</f>
        <v>0.44569269323863769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0.59324352153297111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0.35193787584084074</v>
      </c>
      <c r="O5">
        <v>-4.1674767740132361E-3</v>
      </c>
      <c r="P5" s="11"/>
      <c r="Q5" t="s">
        <v>16</v>
      </c>
      <c r="R5" t="s">
        <v>248</v>
      </c>
      <c r="T5">
        <f>SUM(T3:T4)</f>
        <v>440</v>
      </c>
      <c r="V5">
        <f>SUM(V3:V4)</f>
        <v>440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-8.5089305365893694E-2</v>
      </c>
      <c r="H6" t="s">
        <v>18</v>
      </c>
      <c r="I6">
        <f>VLOOKUP(Table4[[#This Row],[Visitor]],'NHL Model'!$A$6:$B$38,2,FALSE)</f>
        <v>-0.36560113761686208</v>
      </c>
      <c r="J6">
        <f>($B$1+Table4[[#This Row],[Home Differential]])-Table4[[#This Row],[Away Differential]]</f>
        <v>0.32879308553961978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0.51814963300845873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0.232179776169883</v>
      </c>
      <c r="O6">
        <v>-4.4363714293103977E-3</v>
      </c>
      <c r="P6" s="11"/>
      <c r="Q6" t="s">
        <v>18</v>
      </c>
      <c r="R6" t="s">
        <v>249</v>
      </c>
      <c r="T6" s="13">
        <f>T3/T5</f>
        <v>0.57272727272727275</v>
      </c>
      <c r="V6" s="13">
        <f>V3/V5</f>
        <v>0.58863636363636362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9.2938870272174581E-2</v>
      </c>
      <c r="H7" t="s">
        <v>13</v>
      </c>
      <c r="I7">
        <f>VLOOKUP(Table4[[#This Row],[Visitor]],'NHL Model'!$A$6:$B$38,2,FALSE)</f>
        <v>-0.19390166761644689</v>
      </c>
      <c r="J7">
        <f>($B$1+Table4[[#This Row],[Home Differential]])-Table4[[#This Row],[Away Differential]]</f>
        <v>0.33512179117727287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0.51184228469246551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0.26198252439920289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0.84902697115371384</v>
      </c>
      <c r="H8" t="s">
        <v>21</v>
      </c>
      <c r="I8">
        <f>VLOOKUP(Table4[[#This Row],[Visitor]],'NHL Model'!$A$6:$B$38,2,FALSE)</f>
        <v>2.6215642141022087E-2</v>
      </c>
      <c r="J8">
        <f>($B$1+Table4[[#This Row],[Home Differential]])-Table4[[#This Row],[Away Differential]]</f>
        <v>0.87109258230134312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0.66522321478872548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0.44252192549384678</v>
      </c>
      <c r="O8">
        <v>-4.9858230986448791E-3</v>
      </c>
      <c r="P8" s="11"/>
      <c r="Q8" t="s">
        <v>21</v>
      </c>
      <c r="R8" t="s">
        <v>248</v>
      </c>
      <c r="T8">
        <f>SUM(Table4[Error])</f>
        <v>101.82270142036091</v>
      </c>
      <c r="V8">
        <f>COUNTIF(Table4[Locked Correct],"")</f>
        <v>872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2.6215642141022087E-2</v>
      </c>
      <c r="H9" t="s">
        <v>10</v>
      </c>
      <c r="I9">
        <f>VLOOKUP(Table4[[#This Row],[Visitor]],'NHL Model'!$A$6:$B$38,2,FALSE)</f>
        <v>2.5996227684575345E-2</v>
      </c>
      <c r="J9">
        <f>($B$1+Table4[[#This Row],[Home Differential]])-Table4[[#This Row],[Away Differential]]</f>
        <v>4.8500667745098154E-2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0.59643153715295882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0.16286750420472365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-0.40965500817719275</v>
      </c>
      <c r="H10" t="s">
        <v>15</v>
      </c>
      <c r="I10">
        <f>VLOOKUP(Table4[[#This Row],[Visitor]],'NHL Model'!$A$6:$B$38,2,FALSE)</f>
        <v>9.0184826596604858E-2</v>
      </c>
      <c r="J10">
        <f>($B$1+Table4[[#This Row],[Home Differential]])-Table4[[#This Row],[Away Differential]]</f>
        <v>-0.45155858148514622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0.60793769087186278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0.15371285423888703</v>
      </c>
      <c r="O10">
        <v>2.893763878885032E-2</v>
      </c>
      <c r="P10" s="11"/>
      <c r="Q10" t="s">
        <v>23</v>
      </c>
      <c r="R10" t="s">
        <v>249</v>
      </c>
      <c r="T10">
        <v>0.11386330334443943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0.47905090860407873</v>
      </c>
      <c r="H11" t="s">
        <v>24</v>
      </c>
      <c r="I11">
        <f>VLOOKUP(Table4[[#This Row],[Visitor]],'NHL Model'!$A$6:$B$38,2,FALSE)</f>
        <v>-2.8342943575894393E-4</v>
      </c>
      <c r="J11">
        <f>($B$1+Table4[[#This Row],[Home Differential]])-Table4[[#This Row],[Away Differential]]</f>
        <v>0.52761559132848912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0.611800192055726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0.15069909088797123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1.6584974384060074</v>
      </c>
      <c r="H12" t="s">
        <v>55</v>
      </c>
      <c r="I12">
        <f>VLOOKUP(Table4[[#This Row],[Visitor]],'NHL Model'!$A$6:$B$38,2,FALSE)</f>
        <v>0.15493687588867713</v>
      </c>
      <c r="J12">
        <f>($B$1+Table4[[#This Row],[Home Differential]])-Table4[[#This Row],[Away Differential]]</f>
        <v>1.5518418158059817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0.82451880125786936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3.0793651111975153E-2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-0.60099633616081094</v>
      </c>
      <c r="H13" t="s">
        <v>18</v>
      </c>
      <c r="I13">
        <f>VLOOKUP(Table4[[#This Row],[Visitor]],'NHL Model'!$A$6:$B$38,2,FALSE)</f>
        <v>-0.36560113761686208</v>
      </c>
      <c r="J13">
        <f>($B$1+Table4[[#This Row],[Home Differential]])-Table4[[#This Row],[Away Differential]]</f>
        <v>-0.18711394525529745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0.53039632099948786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0.22052761533081605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-0.3510442662416135</v>
      </c>
      <c r="H14" t="s">
        <v>27</v>
      </c>
      <c r="I14">
        <f>VLOOKUP(Table4[[#This Row],[Visitor]],'NHL Model'!$A$6:$B$38,2,FALSE)</f>
        <v>-2.8950318025217449E-2</v>
      </c>
      <c r="J14">
        <f>($B$1+Table4[[#This Row],[Home Differential]])-Table4[[#This Row],[Away Differential]]</f>
        <v>-0.27381269492774463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0.53368978075618656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0.28482478208358647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-0.90025837753161619</v>
      </c>
      <c r="H15" t="s">
        <v>28</v>
      </c>
      <c r="I15">
        <f>VLOOKUP(Table4[[#This Row],[Visitor]],'NHL Model'!$A$6:$B$38,2,FALSE)</f>
        <v>-0.28376306754383246</v>
      </c>
      <c r="J15">
        <f>($B$1+Table4[[#This Row],[Home Differential]])-Table4[[#This Row],[Away Differential]]</f>
        <v>-0.56821405669913227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0.52827488844290504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0.27907435775936379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0.17535803439735015</v>
      </c>
      <c r="H16" t="s">
        <v>30</v>
      </c>
      <c r="I16">
        <f>VLOOKUP(Table4[[#This Row],[Visitor]],'NHL Model'!$A$6:$B$38,2,FALSE)</f>
        <v>0.24561340747691926</v>
      </c>
      <c r="J16">
        <f>($B$1+Table4[[#This Row],[Home Differential]])-Table4[[#This Row],[Away Differential]]</f>
        <v>-2.1974119790917707E-2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0.53512521497533649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0.28635899570240009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-0.56616527987265597</v>
      </c>
      <c r="H17" t="s">
        <v>31</v>
      </c>
      <c r="I17">
        <f>VLOOKUP(Table4[[#This Row],[Visitor]],'NHL Model'!$A$6:$B$38,2,FALSE)</f>
        <v>0.17827516980235869</v>
      </c>
      <c r="J17">
        <f>($B$1+Table4[[#This Row],[Home Differential]])-Table4[[#This Row],[Away Differential]]</f>
        <v>-0.69615919638636325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0.56003621652339242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0.31364056381783606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-0.47218252282767964</v>
      </c>
      <c r="H18" t="s">
        <v>20</v>
      </c>
      <c r="I18">
        <f>VLOOKUP(Table4[[#This Row],[Visitor]],'NHL Model'!$A$6:$B$38,2,FALSE)</f>
        <v>9.2938870272174581E-2</v>
      </c>
      <c r="J18">
        <f>($B$1+Table4[[#This Row],[Home Differential]])-Table4[[#This Row],[Away Differential]]</f>
        <v>-0.5168401398112028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0.53961835638913624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0.21195125777384036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-1.1754320402170535</v>
      </c>
      <c r="H19" t="s">
        <v>34</v>
      </c>
      <c r="I19">
        <f>VLOOKUP(Table4[[#This Row],[Visitor]],'NHL Model'!$A$6:$B$38,2,FALSE)</f>
        <v>5.1566962112876508E-2</v>
      </c>
      <c r="J19">
        <f>($B$1+Table4[[#This Row],[Home Differential]])-Table4[[#This Row],[Away Differential]]</f>
        <v>-1.1787177490412786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0.63349942985479313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0.1343226679167617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0.66987960668864954</v>
      </c>
      <c r="H20" t="s">
        <v>36</v>
      </c>
      <c r="I20">
        <f>VLOOKUP(Table4[[#This Row],[Visitor]],'NHL Model'!$A$6:$B$38,2,FALSE)</f>
        <v>-0.23108682001987857</v>
      </c>
      <c r="J20">
        <f>($B$1+Table4[[#This Row],[Home Differential]])-Table4[[#This Row],[Away Differential]]</f>
        <v>0.94924767999717952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0.6585431921328545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0.43367913590452972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-0.77107712767799974</v>
      </c>
      <c r="H21" t="s">
        <v>16</v>
      </c>
      <c r="I21">
        <f>VLOOKUP(Table4[[#This Row],[Visitor]],'NHL Model'!$A$6:$B$38,2,FALSE)</f>
        <v>-0.81412334763558081</v>
      </c>
      <c r="J21">
        <f>($B$1+Table4[[#This Row],[Home Differential]])-Table4[[#This Row],[Away Differential]]</f>
        <v>9.1327473246232471E-2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0.55039884778991699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0.20214119606863423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-3.3785654828041967E-2</v>
      </c>
      <c r="H22" t="s">
        <v>39</v>
      </c>
      <c r="I22">
        <f>VLOOKUP(Table4[[#This Row],[Visitor]],'NHL Model'!$A$6:$B$38,2,FALSE)</f>
        <v>0.7564009584796878</v>
      </c>
      <c r="J22">
        <f>($B$1+Table4[[#This Row],[Home Differential]])-Table4[[#This Row],[Away Differential]]</f>
        <v>-0.74190536001907836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0.61780912839405122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0.14606986233891484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2.6215642141022087E-2</v>
      </c>
      <c r="H23" t="s">
        <v>23</v>
      </c>
      <c r="I23">
        <f>VLOOKUP(Table4[[#This Row],[Visitor]],'NHL Model'!$A$6:$B$38,2,FALSE)</f>
        <v>-0.40965500817719275</v>
      </c>
      <c r="J23">
        <f>($B$1+Table4[[#This Row],[Home Differential]])-Table4[[#This Row],[Away Differential]]</f>
        <v>0.48415190360686622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0.64684311139653727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0.12471978796807859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0.47905090860407873</v>
      </c>
      <c r="H24" t="s">
        <v>27</v>
      </c>
      <c r="I24">
        <f>VLOOKUP(Table4[[#This Row],[Visitor]],'NHL Model'!$A$6:$B$38,2,FALSE)</f>
        <v>-2.8950318025217449E-2</v>
      </c>
      <c r="J24">
        <f>($B$1+Table4[[#This Row],[Home Differential]])-Table4[[#This Row],[Away Differential]]</f>
        <v>0.55628247991794755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0.59346064268380516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0.16527424904706475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-0.81412334763558081</v>
      </c>
      <c r="H25" t="s">
        <v>35</v>
      </c>
      <c r="I25">
        <f>VLOOKUP(Table4[[#This Row],[Visitor]],'NHL Model'!$A$6:$B$38,2,FALSE)</f>
        <v>-1.1754320402170535</v>
      </c>
      <c r="J25">
        <f>($B$1+Table4[[#This Row],[Home Differential]])-Table4[[#This Row],[Away Differential]]</f>
        <v>0.40958994587012409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0.58663726425344254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0.34414327981076337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2.5996227684575345E-2</v>
      </c>
      <c r="H26" t="s">
        <v>18</v>
      </c>
      <c r="I26">
        <f>VLOOKUP(Table4[[#This Row],[Visitor]],'NHL Model'!$A$6:$B$38,2,FALSE)</f>
        <v>-0.36560113761686208</v>
      </c>
      <c r="J26">
        <f>($B$1+Table4[[#This Row],[Home Differential]])-Table4[[#This Row],[Away Differential]]</f>
        <v>0.43987861859008881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0.53079819875536305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0.28174672780193788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1.6584974384060074</v>
      </c>
      <c r="H27" t="s">
        <v>39</v>
      </c>
      <c r="I27">
        <f>VLOOKUP(Table4[[#This Row],[Visitor]],'NHL Model'!$A$6:$B$38,2,FALSE)</f>
        <v>0.7564009584796878</v>
      </c>
      <c r="J27">
        <f>($B$1+Table4[[#This Row],[Home Differential]])-Table4[[#This Row],[Away Differential]]</f>
        <v>0.95037773321497099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0.66753518202716211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0.44560321924403645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-0.60099633616081094</v>
      </c>
      <c r="H28" t="s">
        <v>19</v>
      </c>
      <c r="I28">
        <f>VLOOKUP(Table4[[#This Row],[Visitor]],'NHL Model'!$A$6:$B$38,2,FALSE)</f>
        <v>-8.5089305365893694E-2</v>
      </c>
      <c r="J28">
        <f>($B$1+Table4[[#This Row],[Home Differential]])-Table4[[#This Row],[Away Differential]]</f>
        <v>-0.46762577750626583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0.50312316636712229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0.25313292053527903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-0.41671190768559452</v>
      </c>
      <c r="H29" t="s">
        <v>38</v>
      </c>
      <c r="I29">
        <f>VLOOKUP(Table4[[#This Row],[Visitor]],'NHL Model'!$A$6:$B$38,2,FALSE)</f>
        <v>-0.77107712767799974</v>
      </c>
      <c r="J29">
        <f>($B$1+Table4[[#This Row],[Home Differential]])-Table4[[#This Row],[Away Differential]]</f>
        <v>0.40264647328105663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0.58834213673210967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0.16946219639028509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-0.3510442662416135</v>
      </c>
      <c r="H30" t="s">
        <v>36</v>
      </c>
      <c r="I30">
        <f>VLOOKUP(Table4[[#This Row],[Visitor]],'NHL Model'!$A$6:$B$38,2,FALSE)</f>
        <v>-0.23108682001987857</v>
      </c>
      <c r="J30">
        <f>($B$1+Table4[[#This Row],[Home Differential]])-Table4[[#This Row],[Away Differential]]</f>
        <v>-7.1676192933083527E-2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0.47173744703891152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0.22253621893878986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5.1566962112876508E-2</v>
      </c>
      <c r="H31" t="s">
        <v>28</v>
      </c>
      <c r="I31">
        <f>VLOOKUP(Table4[[#This Row],[Visitor]],'NHL Model'!$A$6:$B$38,2,FALSE)</f>
        <v>-0.28376306754383246</v>
      </c>
      <c r="J31">
        <f>($B$1+Table4[[#This Row],[Home Differential]])-Table4[[#This Row],[Away Differential]]</f>
        <v>0.3836112829453604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0.58010308893595974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0.33651959379304203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-0.90025837753161619</v>
      </c>
      <c r="H32" t="s">
        <v>55</v>
      </c>
      <c r="I32">
        <f>VLOOKUP(Table4[[#This Row],[Visitor]],'NHL Model'!$A$6:$B$38,2,FALSE)</f>
        <v>0.15493687588867713</v>
      </c>
      <c r="J32">
        <f>($B$1+Table4[[#This Row],[Home Differential]])-Table4[[#This Row],[Away Differential]]</f>
        <v>-1.0069140001316419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0.57465055423875211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0.18092215100940076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0.24561340747691926</v>
      </c>
      <c r="H33" t="s">
        <v>22</v>
      </c>
      <c r="I33">
        <f>VLOOKUP(Table4[[#This Row],[Visitor]],'NHL Model'!$A$6:$B$38,2,FALSE)</f>
        <v>0.84902697115371384</v>
      </c>
      <c r="J33">
        <f>($B$1+Table4[[#This Row],[Home Differential]])-Table4[[#This Row],[Away Differential]]</f>
        <v>-0.55513231038814315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0.5773480161347444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0.17863469946523627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0.17535803439735015</v>
      </c>
      <c r="H34" t="s">
        <v>15</v>
      </c>
      <c r="I34">
        <f>VLOOKUP(Table4[[#This Row],[Visitor]],'NHL Model'!$A$6:$B$38,2,FALSE)</f>
        <v>9.0184826596604858E-2</v>
      </c>
      <c r="J34">
        <f>($B$1+Table4[[#This Row],[Home Differential]])-Table4[[#This Row],[Away Differential]]</f>
        <v>0.13345446108939668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0.44862332782535064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0.20126289026909203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-0.56616527987265597</v>
      </c>
      <c r="H35" t="s">
        <v>20</v>
      </c>
      <c r="I35">
        <f>VLOOKUP(Table4[[#This Row],[Visitor]],'NHL Model'!$A$6:$B$38,2,FALSE)</f>
        <v>9.2938870272174581E-2</v>
      </c>
      <c r="J35">
        <f>($B$1+Table4[[#This Row],[Home Differential]])-Table4[[#This Row],[Away Differential]]</f>
        <v>-0.61082289685617919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0.55031954356369506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0.30285160002815364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-0.47218252282767964</v>
      </c>
      <c r="H36" t="s">
        <v>31</v>
      </c>
      <c r="I36">
        <f>VLOOKUP(Table4[[#This Row],[Visitor]],'NHL Model'!$A$6:$B$38,2,FALSE)</f>
        <v>0.17827516980235869</v>
      </c>
      <c r="J36">
        <f>($B$1+Table4[[#This Row],[Home Differential]])-Table4[[#This Row],[Away Differential]]</f>
        <v>-0.60217643934138687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0.54933502934883349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0.20309891577201677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0.66987960668864954</v>
      </c>
      <c r="H37" t="s">
        <v>24</v>
      </c>
      <c r="I37">
        <f>VLOOKUP(Table4[[#This Row],[Visitor]],'NHL Model'!$A$6:$B$38,2,FALSE)</f>
        <v>-2.8342943575894393E-4</v>
      </c>
      <c r="J37">
        <f>($B$1+Table4[[#This Row],[Home Differential]])-Table4[[#This Row],[Away Differential]]</f>
        <v>0.71844428941305993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0.61513777339485276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0.3783944802571772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-3.3785654828041967E-2</v>
      </c>
      <c r="H38" t="s">
        <v>13</v>
      </c>
      <c r="I38">
        <f>VLOOKUP(Table4[[#This Row],[Visitor]],'NHL Model'!$A$6:$B$38,2,FALSE)</f>
        <v>-0.19390166761644689</v>
      </c>
      <c r="J38">
        <f>($B$1+Table4[[#This Row],[Home Differential]])-Table4[[#This Row],[Away Differential]]</f>
        <v>0.20839726607705633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0.51668654760235699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0.23359189326852872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9.0184826596604858E-2</v>
      </c>
      <c r="H39" t="s">
        <v>22</v>
      </c>
      <c r="I39">
        <f>VLOOKUP(Table4[[#This Row],[Visitor]],'NHL Model'!$A$6:$B$38,2,FALSE)</f>
        <v>0.84902697115371384</v>
      </c>
      <c r="J39">
        <f>($B$1+Table4[[#This Row],[Home Differential]])-Table4[[#This Row],[Away Differential]]</f>
        <v>-0.71056089126845756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0.59504562778791537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0.16398804357368357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2.6215642141022087E-2</v>
      </c>
      <c r="H40" t="s">
        <v>37</v>
      </c>
      <c r="I40">
        <f>VLOOKUP(Table4[[#This Row],[Visitor]],'NHL Model'!$A$6:$B$38,2,FALSE)</f>
        <v>0.66987960668864954</v>
      </c>
      <c r="J40">
        <f>($B$1+Table4[[#This Row],[Home Differential]])-Table4[[#This Row],[Away Differential]]</f>
        <v>-0.59538271125897602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0.54779224225811562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0.20449185616194279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-0.40965500817719275</v>
      </c>
      <c r="H41" t="s">
        <v>12</v>
      </c>
      <c r="I41">
        <f>VLOOKUP(Table4[[#This Row],[Visitor]],'NHL Model'!$A$6:$B$38,2,FALSE)</f>
        <v>1.6584974384060074</v>
      </c>
      <c r="J41">
        <f>($B$1+Table4[[#This Row],[Home Differential]])-Table4[[#This Row],[Away Differential]]</f>
        <v>-2.0198711932945486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0.7339262142728078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7.0795259451199785E-2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-0.28376306754383246</v>
      </c>
      <c r="H42" t="s">
        <v>24</v>
      </c>
      <c r="I42">
        <f>VLOOKUP(Table4[[#This Row],[Visitor]],'NHL Model'!$A$6:$B$38,2,FALSE)</f>
        <v>-2.8342943575894393E-4</v>
      </c>
      <c r="J42">
        <f>($B$1+Table4[[#This Row],[Home Differential]])-Table4[[#This Row],[Away Differential]]</f>
        <v>-0.23519838481942212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0.50754969580604681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0.24250730210071703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2.5996227684575345E-2</v>
      </c>
      <c r="H43" t="s">
        <v>55</v>
      </c>
      <c r="I43">
        <f>VLOOKUP(Table4[[#This Row],[Visitor]],'NHL Model'!$A$6:$B$38,2,FALSE)</f>
        <v>0.15493687588867713</v>
      </c>
      <c r="J43">
        <f>($B$1+Table4[[#This Row],[Home Differential]])-Table4[[#This Row],[Away Differential]]</f>
        <v>-8.0659394915450378E-2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0.4691841451508369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0.22013376206092158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5.1566962112876508E-2</v>
      </c>
      <c r="H44" t="s">
        <v>13</v>
      </c>
      <c r="I44">
        <f>VLOOKUP(Table4[[#This Row],[Visitor]],'NHL Model'!$A$6:$B$38,2,FALSE)</f>
        <v>-0.19390166761644689</v>
      </c>
      <c r="J44">
        <f>($B$1+Table4[[#This Row],[Home Differential]])-Table4[[#This Row],[Away Differential]]</f>
        <v>0.29374988301797478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0.50713154256378501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0.24291931633555408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0.24561340747691926</v>
      </c>
      <c r="H45" t="s">
        <v>40</v>
      </c>
      <c r="I45">
        <f>VLOOKUP(Table4[[#This Row],[Visitor]],'NHL Model'!$A$6:$B$38,2,FALSE)</f>
        <v>-3.3785654828041967E-2</v>
      </c>
      <c r="J45">
        <f>($B$1+Table4[[#This Row],[Home Differential]])-Table4[[#This Row],[Away Differential]]</f>
        <v>0.32768031559361266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0.57373460423403977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0.32917139609559026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-0.23108682001987857</v>
      </c>
      <c r="H46" t="s">
        <v>29</v>
      </c>
      <c r="I46">
        <f>VLOOKUP(Table4[[#This Row],[Visitor]],'NHL Model'!$A$6:$B$38,2,FALSE)</f>
        <v>-0.90025837753161619</v>
      </c>
      <c r="J46">
        <f>($B$1+Table4[[#This Row],[Home Differential]])-Table4[[#This Row],[Away Differential]]</f>
        <v>0.71745281080038903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0.62169154703148544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0.38650037965040168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-2.8950318025217449E-2</v>
      </c>
      <c r="H47" t="s">
        <v>11</v>
      </c>
      <c r="I47">
        <f>VLOOKUP(Table4[[#This Row],[Visitor]],'NHL Model'!$A$6:$B$38,2,FALSE)</f>
        <v>-0.3510442662416135</v>
      </c>
      <c r="J47">
        <f>($B$1+Table4[[#This Row],[Home Differential]])-Table4[[#This Row],[Away Differential]]</f>
        <v>0.37037520150504744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0.60820987976928365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0.15349949831039916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-8.5089305365893694E-2</v>
      </c>
      <c r="H48" t="s">
        <v>26</v>
      </c>
      <c r="I48">
        <f>VLOOKUP(Table4[[#This Row],[Visitor]],'NHL Model'!$A$6:$B$38,2,FALSE)</f>
        <v>-0.60099633616081094</v>
      </c>
      <c r="J48">
        <f>($B$1+Table4[[#This Row],[Home Differential]])-Table4[[#This Row],[Away Differential]]</f>
        <v>0.56418828408356869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0.60424034173398622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0.36510639057880445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-0.77107712767799974</v>
      </c>
      <c r="H49" t="s">
        <v>35</v>
      </c>
      <c r="I49">
        <f>VLOOKUP(Table4[[#This Row],[Visitor]],'NHL Model'!$A$6:$B$38,2,FALSE)</f>
        <v>-1.1754320402170535</v>
      </c>
      <c r="J49">
        <f>($B$1+Table4[[#This Row],[Home Differential]])-Table4[[#This Row],[Away Differential]]</f>
        <v>0.45263616582770516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0.59153864905430398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0.34991797332499103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0.17827516980235869</v>
      </c>
      <c r="H50" t="s">
        <v>14</v>
      </c>
      <c r="I50">
        <f>VLOOKUP(Table4[[#This Row],[Visitor]],'NHL Model'!$A$6:$B$38,2,FALSE)</f>
        <v>0.17535803439735015</v>
      </c>
      <c r="J50">
        <f>($B$1+Table4[[#This Row],[Home Differential]])-Table4[[#This Row],[Away Differential]]</f>
        <v>5.1198388693659946E-2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0.56138517321812831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0.19238296627289131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-0.81412334763558081</v>
      </c>
      <c r="H51" t="s">
        <v>20</v>
      </c>
      <c r="I51">
        <f>VLOOKUP(Table4[[#This Row],[Visitor]],'NHL Model'!$A$6:$B$38,2,FALSE)</f>
        <v>9.2938870272174581E-2</v>
      </c>
      <c r="J51">
        <f>($B$1+Table4[[#This Row],[Home Differential]])-Table4[[#This Row],[Away Differential]]</f>
        <v>-0.85878096461910403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0.57855286825008612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0.17761768486022927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0.7564009584796878</v>
      </c>
      <c r="H52" t="s">
        <v>34</v>
      </c>
      <c r="I52">
        <f>VLOOKUP(Table4[[#This Row],[Visitor]],'NHL Model'!$A$6:$B$38,2,FALSE)</f>
        <v>5.1566962112876508E-2</v>
      </c>
      <c r="J52">
        <f>($B$1+Table4[[#This Row],[Home Differential]])-Table4[[#This Row],[Away Differential]]</f>
        <v>0.75311524965546273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0.62993823663647108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0.13694570870372447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-0.36560113761686208</v>
      </c>
      <c r="H53" t="s">
        <v>32</v>
      </c>
      <c r="I53">
        <f>VLOOKUP(Table4[[#This Row],[Visitor]],'NHL Model'!$A$6:$B$38,2,FALSE)</f>
        <v>-0.56616527987265597</v>
      </c>
      <c r="J53">
        <f>($B$1+Table4[[#This Row],[Home Differential]])-Table4[[#This Row],[Away Differential]]</f>
        <v>0.24884539554444529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0.56833435875874427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0.18633522582822451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9.0184826596604858E-2</v>
      </c>
      <c r="H54" t="s">
        <v>17</v>
      </c>
      <c r="I54">
        <f>VLOOKUP(Table4[[#This Row],[Visitor]],'NHL Model'!$A$6:$B$38,2,FALSE)</f>
        <v>-0.41671190768559452</v>
      </c>
      <c r="J54">
        <f>($B$1+Table4[[#This Row],[Home Differential]])-Table4[[#This Row],[Away Differential]]</f>
        <v>0.55517798757085079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0.60321439960893519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0.36386761189556815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-0.47218252282767964</v>
      </c>
      <c r="H55" t="s">
        <v>25</v>
      </c>
      <c r="I55">
        <f>VLOOKUP(Table4[[#This Row],[Visitor]],'NHL Model'!$A$6:$B$38,2,FALSE)</f>
        <v>0.47905090860407873</v>
      </c>
      <c r="J55">
        <f>($B$1+Table4[[#This Row],[Home Differential]])-Table4[[#This Row],[Away Differential]]</f>
        <v>-0.90295217814310691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0.63543628687328713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0.13290670092873619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-8.5089305365893694E-2</v>
      </c>
      <c r="H56" t="s">
        <v>29</v>
      </c>
      <c r="I56">
        <f>VLOOKUP(Table4[[#This Row],[Visitor]],'NHL Model'!$A$6:$B$38,2,FALSE)</f>
        <v>-0.90025837753161619</v>
      </c>
      <c r="J56">
        <f>($B$1+Table4[[#This Row],[Home Differential]])-Table4[[#This Row],[Away Differential]]</f>
        <v>0.86345032545437395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0.63831530633006639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0.13081581763511371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0.84902697115371384</v>
      </c>
      <c r="H57" t="s">
        <v>37</v>
      </c>
      <c r="I57">
        <f>VLOOKUP(Table4[[#This Row],[Visitor]],'NHL Model'!$A$6:$B$38,2,FALSE)</f>
        <v>0.66987960668864954</v>
      </c>
      <c r="J57">
        <f>($B$1+Table4[[#This Row],[Home Differential]])-Table4[[#This Row],[Away Differential]]</f>
        <v>0.2274286177537157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0.51956665976844718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0.23081619440604698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-0.40965500817719275</v>
      </c>
      <c r="H58" t="s">
        <v>36</v>
      </c>
      <c r="I58">
        <f>VLOOKUP(Table4[[#This Row],[Visitor]],'NHL Model'!$A$6:$B$38,2,FALSE)</f>
        <v>-0.23108682001987857</v>
      </c>
      <c r="J58">
        <f>($B$1+Table4[[#This Row],[Home Differential]])-Table4[[#This Row],[Away Differential]]</f>
        <v>-0.13028693486866277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0.4682761963333264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0.21928259605240805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-0.60099633616081094</v>
      </c>
      <c r="H59" t="s">
        <v>11</v>
      </c>
      <c r="I59">
        <f>VLOOKUP(Table4[[#This Row],[Visitor]],'NHL Model'!$A$6:$B$38,2,FALSE)</f>
        <v>-0.3510442662416135</v>
      </c>
      <c r="J59">
        <f>($B$1+Table4[[#This Row],[Home Differential]])-Table4[[#This Row],[Away Differential]]</f>
        <v>-0.20167081663054603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0.47284065598097164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0.22357828594851556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-1.1754320402170535</v>
      </c>
      <c r="H60" t="s">
        <v>10</v>
      </c>
      <c r="I60">
        <f>VLOOKUP(Table4[[#This Row],[Visitor]],'NHL Model'!$A$6:$B$38,2,FALSE)</f>
        <v>2.5996227684575345E-2</v>
      </c>
      <c r="J60">
        <f>($B$1+Table4[[#This Row],[Home Differential]])-Table4[[#This Row],[Away Differential]]</f>
        <v>-1.1531470146129774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0.59213062141316974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0.16635742998880707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0.15493687588867713</v>
      </c>
      <c r="H61" t="s">
        <v>16</v>
      </c>
      <c r="I61">
        <f>VLOOKUP(Table4[[#This Row],[Visitor]],'NHL Model'!$A$6:$B$38,2,FALSE)</f>
        <v>-0.81412334763558081</v>
      </c>
      <c r="J61">
        <f>($B$1+Table4[[#This Row],[Home Differential]])-Table4[[#This Row],[Away Differential]]</f>
        <v>1.0173414768129094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0.69626903862533107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9.2252496897580624E-2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0.17827516980235869</v>
      </c>
      <c r="H62" t="s">
        <v>25</v>
      </c>
      <c r="I62">
        <f>VLOOKUP(Table4[[#This Row],[Visitor]],'NHL Model'!$A$6:$B$38,2,FALSE)</f>
        <v>0.47905090860407873</v>
      </c>
      <c r="J62">
        <f>($B$1+Table4[[#This Row],[Home Differential]])-Table4[[#This Row],[Away Differential]]</f>
        <v>-0.25249448551306863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0.49155977355214459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0.25851146387034646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-0.28376306754383246</v>
      </c>
      <c r="H63" t="s">
        <v>12</v>
      </c>
      <c r="I63">
        <f>VLOOKUP(Table4[[#This Row],[Visitor]],'NHL Model'!$A$6:$B$38,2,FALSE)</f>
        <v>1.6584974384060074</v>
      </c>
      <c r="J63">
        <f>($B$1+Table4[[#This Row],[Home Differential]])-Table4[[#This Row],[Away Differential]]</f>
        <v>-1.8939792526611885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0.72979355165455539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7.301152472745942E-2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0.7564009584796878</v>
      </c>
      <c r="H64" t="s">
        <v>38</v>
      </c>
      <c r="I64">
        <f>VLOOKUP(Table4[[#This Row],[Visitor]],'NHL Model'!$A$6:$B$38,2,FALSE)</f>
        <v>-0.77107712767799974</v>
      </c>
      <c r="J64">
        <f>($B$1+Table4[[#This Row],[Home Differential]])-Table4[[#This Row],[Away Differential]]</f>
        <v>1.5757593394463389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0.76232271806935703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0.5811359264846524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-0.19390166761644689</v>
      </c>
      <c r="H65" t="s">
        <v>14</v>
      </c>
      <c r="I65">
        <f>VLOOKUP(Table4[[#This Row],[Visitor]],'NHL Model'!$A$6:$B$38,2,FALSE)</f>
        <v>0.17535803439735015</v>
      </c>
      <c r="J65">
        <f>($B$1+Table4[[#This Row],[Home Differential]])-Table4[[#This Row],[Away Differential]]</f>
        <v>-0.32097844872514564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0.55068648395493858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0.20188263570077566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-0.36560113761686208</v>
      </c>
      <c r="H66" t="s">
        <v>29</v>
      </c>
      <c r="I66">
        <f>VLOOKUP(Table4[[#This Row],[Visitor]],'NHL Model'!$A$6:$B$38,2,FALSE)</f>
        <v>-0.90025837753161619</v>
      </c>
      <c r="J66">
        <f>($B$1+Table4[[#This Row],[Home Differential]])-Table4[[#This Row],[Away Differential]]</f>
        <v>0.58293849320340552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0.60637530248276983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0.15494040249553095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-2.8342943575894393E-4</v>
      </c>
      <c r="H67" t="s">
        <v>11</v>
      </c>
      <c r="I67">
        <f>VLOOKUP(Table4[[#This Row],[Visitor]],'NHL Model'!$A$6:$B$38,2,FALSE)</f>
        <v>-0.3510442662416135</v>
      </c>
      <c r="J67">
        <f>($B$1+Table4[[#This Row],[Home Differential]])-Table4[[#This Row],[Away Differential]]</f>
        <v>0.39904209009450597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0.62833780495577485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0.13813278722509165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0.24561340747691926</v>
      </c>
      <c r="H68" t="s">
        <v>17</v>
      </c>
      <c r="I68">
        <f>VLOOKUP(Table4[[#This Row],[Visitor]],'NHL Model'!$A$6:$B$38,2,FALSE)</f>
        <v>-0.41671190768559452</v>
      </c>
      <c r="J68">
        <f>($B$1+Table4[[#This Row],[Home Differential]])-Table4[[#This Row],[Away Differential]]</f>
        <v>0.71060656845116521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0.62091201126210627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0.14370770320534146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-0.23108682001987857</v>
      </c>
      <c r="H69" t="s">
        <v>32</v>
      </c>
      <c r="I69">
        <f>VLOOKUP(Table4[[#This Row],[Visitor]],'NHL Model'!$A$6:$B$38,2,FALSE)</f>
        <v>-0.56616527987265597</v>
      </c>
      <c r="J69">
        <f>($B$1+Table4[[#This Row],[Home Differential]])-Table4[[#This Row],[Away Differential]]</f>
        <v>0.3833597131414288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0.58365060330745977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0.17334682012624222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-2.8950318025217449E-2</v>
      </c>
      <c r="H70" t="s">
        <v>40</v>
      </c>
      <c r="I70">
        <f>VLOOKUP(Table4[[#This Row],[Visitor]],'NHL Model'!$A$6:$B$38,2,FALSE)</f>
        <v>-3.3785654828041967E-2</v>
      </c>
      <c r="J70">
        <f>($B$1+Table4[[#This Row],[Home Differential]])-Table4[[#This Row],[Away Differential]]</f>
        <v>5.3116590091475922E-2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0.56854803041020796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0.32324686288332677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-8.5089305365893694E-2</v>
      </c>
      <c r="H71" t="s">
        <v>15</v>
      </c>
      <c r="I71">
        <f>VLOOKUP(Table4[[#This Row],[Visitor]],'NHL Model'!$A$6:$B$38,2,FALSE)</f>
        <v>9.0184826596604858E-2</v>
      </c>
      <c r="J71">
        <f>($B$1+Table4[[#This Row],[Home Differential]])-Table4[[#This Row],[Away Differential]]</f>
        <v>-0.12699287867384715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0.58103206662736373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0.33759826244926522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9.2938870272174581E-2</v>
      </c>
      <c r="H72" t="s">
        <v>21</v>
      </c>
      <c r="I72">
        <f>VLOOKUP(Table4[[#This Row],[Visitor]],'NHL Model'!$A$6:$B$38,2,FALSE)</f>
        <v>2.6215642141022087E-2</v>
      </c>
      <c r="J72">
        <f>($B$1+Table4[[#This Row],[Home Differential]])-Table4[[#This Row],[Away Differential]]</f>
        <v>0.11500448141980388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0.55309479015387308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0.19972426658761072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2.5996227684575345E-2</v>
      </c>
      <c r="H73" t="s">
        <v>38</v>
      </c>
      <c r="I73">
        <f>VLOOKUP(Table4[[#This Row],[Visitor]],'NHL Model'!$A$6:$B$38,2,FALSE)</f>
        <v>-0.77107712767799974</v>
      </c>
      <c r="J73">
        <f>($B$1+Table4[[#This Row],[Home Differential]])-Table4[[#This Row],[Away Differential]]</f>
        <v>0.84535460865122647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0.63625486823847455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0.4048202573571586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-0.60099633616081094</v>
      </c>
      <c r="H74" t="s">
        <v>37</v>
      </c>
      <c r="I74">
        <f>VLOOKUP(Table4[[#This Row],[Visitor]],'NHL Model'!$A$6:$B$38,2,FALSE)</f>
        <v>0.66987960668864954</v>
      </c>
      <c r="J74">
        <f>($B$1+Table4[[#This Row],[Home Differential]])-Table4[[#This Row],[Away Differential]]</f>
        <v>-1.2225946895608091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0.66165764959660001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0.43779084526969714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0.15493687588867713</v>
      </c>
      <c r="H75" t="s">
        <v>33</v>
      </c>
      <c r="I75">
        <f>VLOOKUP(Table4[[#This Row],[Visitor]],'NHL Model'!$A$6:$B$38,2,FALSE)</f>
        <v>-0.47218252282767964</v>
      </c>
      <c r="J75">
        <f>($B$1+Table4[[#This Row],[Home Differential]])-Table4[[#This Row],[Away Differential]]</f>
        <v>0.67540065200500821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0.6573345267643812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0.11741962654779059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0.84902697115371384</v>
      </c>
      <c r="H76" t="s">
        <v>34</v>
      </c>
      <c r="I76">
        <f>VLOOKUP(Table4[[#This Row],[Visitor]],'NHL Model'!$A$6:$B$38,2,FALSE)</f>
        <v>5.1566962112876508E-2</v>
      </c>
      <c r="J76">
        <f>($B$1+Table4[[#This Row],[Home Differential]])-Table4[[#This Row],[Away Differential]]</f>
        <v>0.84574126232948876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0.62332592093055883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0.14188336184281161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-0.40965500817719275</v>
      </c>
      <c r="H77" t="s">
        <v>11</v>
      </c>
      <c r="I77">
        <f>VLOOKUP(Table4[[#This Row],[Visitor]],'NHL Model'!$A$6:$B$38,2,FALSE)</f>
        <v>-0.3510442662416135</v>
      </c>
      <c r="J77">
        <f>($B$1+Table4[[#This Row],[Home Differential]])-Table4[[#This Row],[Away Differential]]</f>
        <v>-1.0329488646927842E-2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0.45105390031044507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0.20344962098526492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-0.28376306754383246</v>
      </c>
      <c r="H78" t="s">
        <v>37</v>
      </c>
      <c r="I78">
        <f>VLOOKUP(Table4[[#This Row],[Visitor]],'NHL Model'!$A$6:$B$38,2,FALSE)</f>
        <v>0.66987960668864954</v>
      </c>
      <c r="J78">
        <f>($B$1+Table4[[#This Row],[Home Differential]])-Table4[[#This Row],[Away Differential]]</f>
        <v>-0.90536142094383054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0.63571061121713635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0.40412798121406507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1.6584974384060074</v>
      </c>
      <c r="H79" t="s">
        <v>21</v>
      </c>
      <c r="I79">
        <f>VLOOKUP(Table4[[#This Row],[Visitor]],'NHL Model'!$A$6:$B$38,2,FALSE)</f>
        <v>2.6215642141022087E-2</v>
      </c>
      <c r="J79">
        <f>($B$1+Table4[[#This Row],[Home Differential]])-Table4[[#This Row],[Away Differential]]</f>
        <v>1.6805630495536368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0.83917542614294915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2.5864543556302001E-2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-0.19390166761644689</v>
      </c>
      <c r="H80" t="s">
        <v>25</v>
      </c>
      <c r="I80">
        <f>VLOOKUP(Table4[[#This Row],[Visitor]],'NHL Model'!$A$6:$B$38,2,FALSE)</f>
        <v>0.47905090860407873</v>
      </c>
      <c r="J80">
        <f>($B$1+Table4[[#This Row],[Home Differential]])-Table4[[#This Row],[Away Differential]]</f>
        <v>-0.62467132293187422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0.6037503094414205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0.15701381726777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-0.36560113761686208</v>
      </c>
      <c r="H81" t="s">
        <v>15</v>
      </c>
      <c r="I81">
        <f>VLOOKUP(Table4[[#This Row],[Visitor]],'NHL Model'!$A$6:$B$38,2,FALSE)</f>
        <v>9.0184826596604858E-2</v>
      </c>
      <c r="J81">
        <f>($B$1+Table4[[#This Row],[Home Differential]])-Table4[[#This Row],[Away Differential]]</f>
        <v>-0.40750471092481555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0.61297207047466018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0.1497906182326714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-2.8342943575894393E-4</v>
      </c>
      <c r="H82" t="s">
        <v>17</v>
      </c>
      <c r="I82">
        <f>VLOOKUP(Table4[[#This Row],[Visitor]],'NHL Model'!$A$6:$B$38,2,FALSE)</f>
        <v>-0.41671190768559452</v>
      </c>
      <c r="J82">
        <f>($B$1+Table4[[#This Row],[Home Differential]])-Table4[[#This Row],[Away Differential]]</f>
        <v>0.46470973153848699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0.63581493953342483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0.13263075826704301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-0.23108682001987857</v>
      </c>
      <c r="H83" t="s">
        <v>30</v>
      </c>
      <c r="I83">
        <f>VLOOKUP(Table4[[#This Row],[Visitor]],'NHL Model'!$A$6:$B$38,2,FALSE)</f>
        <v>0.24561340747691926</v>
      </c>
      <c r="J83">
        <f>($B$1+Table4[[#This Row],[Home Differential]])-Table4[[#This Row],[Away Differential]]</f>
        <v>-0.42841897420814645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0.58140436872663204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0.17522230252114943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-2.8950318025217449E-2</v>
      </c>
      <c r="H84" t="s">
        <v>34</v>
      </c>
      <c r="I84">
        <f>VLOOKUP(Table4[[#This Row],[Visitor]],'NHL Model'!$A$6:$B$38,2,FALSE)</f>
        <v>5.1566962112876508E-2</v>
      </c>
      <c r="J84">
        <f>($B$1+Table4[[#This Row],[Home Differential]])-Table4[[#This Row],[Away Differential]]</f>
        <v>-3.2236026849442552E-2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0.47664347347675057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0.22718900080798182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-0.47218252282767964</v>
      </c>
      <c r="H85" t="s">
        <v>14</v>
      </c>
      <c r="I85">
        <f>VLOOKUP(Table4[[#This Row],[Visitor]],'NHL Model'!$A$6:$B$38,2,FALSE)</f>
        <v>0.17535803439735015</v>
      </c>
      <c r="J85">
        <f>($B$1+Table4[[#This Row],[Home Differential]])-Table4[[#This Row],[Away Differential]]</f>
        <v>-0.59925930393637838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0.58237246138680521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0.17441276100811551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-1.1754320402170535</v>
      </c>
      <c r="H86" t="s">
        <v>39</v>
      </c>
      <c r="I86">
        <f>VLOOKUP(Table4[[#This Row],[Visitor]],'NHL Model'!$A$6:$B$38,2,FALSE)</f>
        <v>0.7564009584796878</v>
      </c>
      <c r="J86">
        <f>($B$1+Table4[[#This Row],[Home Differential]])-Table4[[#This Row],[Away Differential]]</f>
        <v>-1.8835517454080899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0.76695361159765363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0.58821784234268448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-8.5089305365893694E-2</v>
      </c>
      <c r="H87" t="s">
        <v>32</v>
      </c>
      <c r="I87">
        <f>VLOOKUP(Table4[[#This Row],[Visitor]],'NHL Model'!$A$6:$B$38,2,FALSE)</f>
        <v>-0.56616527987265597</v>
      </c>
      <c r="J87">
        <f>($B$1+Table4[[#This Row],[Home Differential]])-Table4[[#This Row],[Away Differential]]</f>
        <v>0.52935722779541372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0.60027436260604072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0.36032931040208849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9.2938870272174581E-2</v>
      </c>
      <c r="H88" t="s">
        <v>16</v>
      </c>
      <c r="I88">
        <f>VLOOKUP(Table4[[#This Row],[Visitor]],'NHL Model'!$A$6:$B$38,2,FALSE)</f>
        <v>-0.81412334763558081</v>
      </c>
      <c r="J88">
        <f>($B$1+Table4[[#This Row],[Home Differential]])-Table4[[#This Row],[Away Differential]]</f>
        <v>0.95534347119640683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0.64877856345896623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0.12335649748594742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-3.3785654828041967E-2</v>
      </c>
      <c r="H89" t="s">
        <v>29</v>
      </c>
      <c r="I89">
        <f>VLOOKUP(Table4[[#This Row],[Visitor]],'NHL Model'!$A$6:$B$38,2,FALSE)</f>
        <v>-0.90025837753161619</v>
      </c>
      <c r="J89">
        <f>($B$1+Table4[[#This Row],[Home Differential]])-Table4[[#This Row],[Away Differential]]</f>
        <v>0.91475397599222563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0.66326234076383894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0.11339225114784893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2.5996227684575345E-2</v>
      </c>
      <c r="H90" t="s">
        <v>31</v>
      </c>
      <c r="I90">
        <f>VLOOKUP(Table4[[#This Row],[Visitor]],'NHL Model'!$A$6:$B$38,2,FALSE)</f>
        <v>0.17827516980235869</v>
      </c>
      <c r="J90">
        <f>($B$1+Table4[[#This Row],[Home Differential]])-Table4[[#This Row],[Away Differential]]</f>
        <v>-0.10399768882913193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0.49261075115950281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0.24266535215792961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-0.60099633616081094</v>
      </c>
      <c r="H91" t="s">
        <v>17</v>
      </c>
      <c r="I91">
        <f>VLOOKUP(Table4[[#This Row],[Visitor]],'NHL Model'!$A$6:$B$38,2,FALSE)</f>
        <v>-0.41671190768559452</v>
      </c>
      <c r="J91">
        <f>($B$1+Table4[[#This Row],[Home Differential]])-Table4[[#This Row],[Away Differential]]</f>
        <v>-0.13600317518656502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0.46536352140332177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0.21656320705289991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0.15493687588867713</v>
      </c>
      <c r="H92" t="s">
        <v>21</v>
      </c>
      <c r="I92">
        <f>VLOOKUP(Table4[[#This Row],[Visitor]],'NHL Model'!$A$6:$B$38,2,FALSE)</f>
        <v>2.6215642141022087E-2</v>
      </c>
      <c r="J92">
        <f>($B$1+Table4[[#This Row],[Home Differential]])-Table4[[#This Row],[Away Differential]]</f>
        <v>0.17700248703630644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0.60058526532023793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0.15953213027930474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0.84902697115371384</v>
      </c>
      <c r="H93" t="s">
        <v>38</v>
      </c>
      <c r="I93">
        <f>VLOOKUP(Table4[[#This Row],[Visitor]],'NHL Model'!$A$6:$B$38,2,FALSE)</f>
        <v>-0.77107712767799974</v>
      </c>
      <c r="J93">
        <f>($B$1+Table4[[#This Row],[Home Differential]])-Table4[[#This Row],[Away Differential]]</f>
        <v>1.6683853521203651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0.75600560329295718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0.57154447221034821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-0.81412334763558081</v>
      </c>
      <c r="H94" t="s">
        <v>40</v>
      </c>
      <c r="I94">
        <f>VLOOKUP(Table4[[#This Row],[Visitor]],'NHL Model'!$A$6:$B$38,2,FALSE)</f>
        <v>-3.3785654828041967E-2</v>
      </c>
      <c r="J94">
        <f>($B$1+Table4[[#This Row],[Home Differential]])-Table4[[#This Row],[Away Differential]]</f>
        <v>-0.73205643951888744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0.54693052337858661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0.20527195064600146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-0.36560113761686208</v>
      </c>
      <c r="H95" t="s">
        <v>23</v>
      </c>
      <c r="I95">
        <f>VLOOKUP(Table4[[#This Row],[Visitor]],'NHL Model'!$A$6:$B$38,2,FALSE)</f>
        <v>-0.40965500817719275</v>
      </c>
      <c r="J95">
        <f>($B$1+Table4[[#This Row],[Home Differential]])-Table4[[#This Row],[Away Differential]]</f>
        <v>9.233512384898207E-2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0.55051358221616309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0.20203803977214599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9.0184826596604858E-2</v>
      </c>
      <c r="H96" t="s">
        <v>34</v>
      </c>
      <c r="I96">
        <f>VLOOKUP(Table4[[#This Row],[Visitor]],'NHL Model'!$A$6:$B$38,2,FALSE)</f>
        <v>5.1566962112876508E-2</v>
      </c>
      <c r="J96">
        <f>($B$1+Table4[[#This Row],[Home Differential]])-Table4[[#This Row],[Away Differential]]</f>
        <v>8.6899117772379769E-2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0.51060788736904961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0.26072041464348406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-2.8950318025217449E-2</v>
      </c>
      <c r="H97" t="s">
        <v>32</v>
      </c>
      <c r="I97">
        <f>VLOOKUP(Table4[[#This Row],[Visitor]],'NHL Model'!$A$6:$B$38,2,FALSE)</f>
        <v>-0.56616527987265597</v>
      </c>
      <c r="J97">
        <f>($B$1+Table4[[#This Row],[Home Differential]])-Table4[[#This Row],[Away Differential]]</f>
        <v>0.58549621513608996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0.63270426900011834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0.13490615401073744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9.2938870272174581E-2</v>
      </c>
      <c r="H98" t="s">
        <v>25</v>
      </c>
      <c r="I98">
        <f>VLOOKUP(Table4[[#This Row],[Visitor]],'NHL Model'!$A$6:$B$38,2,FALSE)</f>
        <v>0.47905090860407873</v>
      </c>
      <c r="J98">
        <f>($B$1+Table4[[#This Row],[Home Differential]])-Table4[[#This Row],[Away Differential]]</f>
        <v>-0.33783078504325276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0.57108969826432621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0.32614344346363916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2.6215642141022087E-2</v>
      </c>
      <c r="H99" t="s">
        <v>11</v>
      </c>
      <c r="I99">
        <f>VLOOKUP(Table4[[#This Row],[Visitor]],'NHL Model'!$A$6:$B$38,2,FALSE)</f>
        <v>-0.3510442662416135</v>
      </c>
      <c r="J99">
        <f>($B$1+Table4[[#This Row],[Home Differential]])-Table4[[#This Row],[Away Differential]]</f>
        <v>0.42554116167128697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0.64016949870828377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0.40981698707641534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0.7564009584796878</v>
      </c>
      <c r="H100" t="s">
        <v>28</v>
      </c>
      <c r="I100">
        <f>VLOOKUP(Table4[[#This Row],[Visitor]],'NHL Model'!$A$6:$B$38,2,FALSE)</f>
        <v>-0.28376306754383246</v>
      </c>
      <c r="J100">
        <f>($B$1+Table4[[#This Row],[Home Differential]])-Table4[[#This Row],[Away Differential]]</f>
        <v>1.0884452793121717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0.70333311664304621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0.49467747296682085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-0.90025837753161619</v>
      </c>
      <c r="H101" t="s">
        <v>31</v>
      </c>
      <c r="I101">
        <f>VLOOKUP(Table4[[#This Row],[Visitor]],'NHL Model'!$A$6:$B$38,2,FALSE)</f>
        <v>0.17827516980235869</v>
      </c>
      <c r="J101">
        <f>($B$1+Table4[[#This Row],[Home Differential]])-Table4[[#This Row],[Away Differential]]</f>
        <v>-1.0302522940453236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0.59807716024741797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0.16154196911477972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0.24561340747691926</v>
      </c>
      <c r="H102" t="s">
        <v>33</v>
      </c>
      <c r="I102">
        <f>VLOOKUP(Table4[[#This Row],[Visitor]],'NHL Model'!$A$6:$B$38,2,FALSE)</f>
        <v>-0.47218252282767964</v>
      </c>
      <c r="J102">
        <f>($B$1+Table4[[#This Row],[Home Differential]])-Table4[[#This Row],[Away Differential]]</f>
        <v>0.76607718359325028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0.62722807874073205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0.13895890527932586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-0.23108682001987857</v>
      </c>
      <c r="H103" t="s">
        <v>17</v>
      </c>
      <c r="I103">
        <f>VLOOKUP(Table4[[#This Row],[Visitor]],'NHL Model'!$A$6:$B$38,2,FALSE)</f>
        <v>-0.41671190768559452</v>
      </c>
      <c r="J103">
        <f>($B$1+Table4[[#This Row],[Home Differential]])-Table4[[#This Row],[Away Differential]]</f>
        <v>0.23390634095436735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0.56663334865427506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0.32107335180715724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0.17535803439735015</v>
      </c>
      <c r="H104" t="s">
        <v>38</v>
      </c>
      <c r="I104">
        <f>VLOOKUP(Table4[[#This Row],[Visitor]],'NHL Model'!$A$6:$B$38,2,FALSE)</f>
        <v>-0.77107712767799974</v>
      </c>
      <c r="J104">
        <f>($B$1+Table4[[#This Row],[Home Differential]])-Table4[[#This Row],[Away Differential]]</f>
        <v>0.99471641536400135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0.65326169694428471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0.12022745080595706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-1.1754320402170535</v>
      </c>
      <c r="H105" t="s">
        <v>13</v>
      </c>
      <c r="I105">
        <f>VLOOKUP(Table4[[#This Row],[Visitor]],'NHL Model'!$A$6:$B$38,2,FALSE)</f>
        <v>-0.19390166761644689</v>
      </c>
      <c r="J105">
        <f>($B$1+Table4[[#This Row],[Home Differential]])-Table4[[#This Row],[Away Differential]]</f>
        <v>-0.9332491193119552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0.63257861704183227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0.13499847265489254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-8.5089305365893694E-2</v>
      </c>
      <c r="H106" t="s">
        <v>24</v>
      </c>
      <c r="I106">
        <f>VLOOKUP(Table4[[#This Row],[Visitor]],'NHL Model'!$A$6:$B$38,2,FALSE)</f>
        <v>-2.8342943575894393E-4</v>
      </c>
      <c r="J106">
        <f>($B$1+Table4[[#This Row],[Home Differential]])-Table4[[#This Row],[Away Differential]]</f>
        <v>-3.6524622641483345E-2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0.48492804495659914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0.26529911887223118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0.15493687588867713</v>
      </c>
      <c r="H107" t="s">
        <v>12</v>
      </c>
      <c r="I107">
        <f>VLOOKUP(Table4[[#This Row],[Visitor]],'NHL Model'!$A$6:$B$38,2,FALSE)</f>
        <v>1.6584974384060074</v>
      </c>
      <c r="J107">
        <f>($B$1+Table4[[#This Row],[Home Differential]])-Table4[[#This Row],[Away Differential]]</f>
        <v>-1.4552793092286789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0.63882118900748375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0.40809251152493525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0.84902697115371384</v>
      </c>
      <c r="H108" t="s">
        <v>32</v>
      </c>
      <c r="I108">
        <f>VLOOKUP(Table4[[#This Row],[Visitor]],'NHL Model'!$A$6:$B$38,2,FALSE)</f>
        <v>-0.56616527987265597</v>
      </c>
      <c r="J108">
        <f>($B$1+Table4[[#This Row],[Home Differential]])-Table4[[#This Row],[Away Differential]]</f>
        <v>1.4634735043150213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0.73267366340742768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7.1463370236005269E-2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-0.40965500817719275</v>
      </c>
      <c r="H109" t="s">
        <v>26</v>
      </c>
      <c r="I109">
        <f>VLOOKUP(Table4[[#This Row],[Visitor]],'NHL Model'!$A$6:$B$38,2,FALSE)</f>
        <v>-0.60099633616081094</v>
      </c>
      <c r="J109">
        <f>($B$1+Table4[[#This Row],[Home Differential]])-Table4[[#This Row],[Away Differential]]</f>
        <v>0.2396225812722696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0.57740646804833506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0.17858529324738284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-0.81412334763558081</v>
      </c>
      <c r="H110" t="s">
        <v>18</v>
      </c>
      <c r="I110">
        <f>VLOOKUP(Table4[[#This Row],[Visitor]],'NHL Model'!$A$6:$B$38,2,FALSE)</f>
        <v>-0.36560113761686208</v>
      </c>
      <c r="J110">
        <f>($B$1+Table4[[#This Row],[Home Differential]])-Table4[[#This Row],[Away Differential]]</f>
        <v>-0.40024095673006732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0.56486059129491739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0.18934630500820893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-2.8342943575894393E-4</v>
      </c>
      <c r="H111" t="s">
        <v>34</v>
      </c>
      <c r="I111">
        <f>VLOOKUP(Table4[[#This Row],[Visitor]],'NHL Model'!$A$6:$B$38,2,FALSE)</f>
        <v>5.1566962112876508E-2</v>
      </c>
      <c r="J111">
        <f>($B$1+Table4[[#This Row],[Home Differential]])-Table4[[#This Row],[Away Differential]]</f>
        <v>-3.5691382599840477E-3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0.45622034736074685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0.20813700534596052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2.6215642141022087E-2</v>
      </c>
      <c r="H112" t="s">
        <v>31</v>
      </c>
      <c r="I112">
        <f>VLOOKUP(Table4[[#This Row],[Visitor]],'NHL Model'!$A$6:$B$38,2,FALSE)</f>
        <v>0.17827516980235869</v>
      </c>
      <c r="J112">
        <f>($B$1+Table4[[#This Row],[Home Differential]])-Table4[[#This Row],[Away Differential]]</f>
        <v>-0.10377827437268519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0.4403879657068881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0.31316562892567507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1.6584974384060074</v>
      </c>
      <c r="H113" t="s">
        <v>25</v>
      </c>
      <c r="I113">
        <f>VLOOKUP(Table4[[#This Row],[Visitor]],'NHL Model'!$A$6:$B$38,2,FALSE)</f>
        <v>0.47905090860407873</v>
      </c>
      <c r="J113">
        <f>($B$1+Table4[[#This Row],[Home Differential]])-Table4[[#This Row],[Away Differential]]</f>
        <v>1.2277277830905802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0.71874050941149137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0.51658791986909014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0.7564009584796878</v>
      </c>
      <c r="H114" t="s">
        <v>13</v>
      </c>
      <c r="I114">
        <f>VLOOKUP(Table4[[#This Row],[Visitor]],'NHL Model'!$A$6:$B$38,2,FALSE)</f>
        <v>-0.19390166761644689</v>
      </c>
      <c r="J114">
        <f>($B$1+Table4[[#This Row],[Home Differential]])-Table4[[#This Row],[Away Differential]]</f>
        <v>0.9985838793847861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0.6309434384836019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0.39808962256551073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-0.41671190768559452</v>
      </c>
      <c r="H115" t="s">
        <v>18</v>
      </c>
      <c r="I115">
        <f>VLOOKUP(Table4[[#This Row],[Visitor]],'NHL Model'!$A$6:$B$38,2,FALSE)</f>
        <v>-0.36560113761686208</v>
      </c>
      <c r="J115">
        <f>($B$1+Table4[[#This Row],[Home Differential]])-Table4[[#This Row],[Away Differential]]</f>
        <v>-2.8295167800810317E-3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0.51710070161738142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0.26739313561318812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-0.3510442662416135</v>
      </c>
      <c r="H116" t="s">
        <v>14</v>
      </c>
      <c r="I116">
        <f>VLOOKUP(Table4[[#This Row],[Visitor]],'NHL Model'!$A$6:$B$38,2,FALSE)</f>
        <v>0.17535803439735015</v>
      </c>
      <c r="J116">
        <f>($B$1+Table4[[#This Row],[Home Differential]])-Table4[[#This Row],[Away Differential]]</f>
        <v>-0.47812104735031224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0.56857925933052944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0.18612385547979457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-0.90025837753161619</v>
      </c>
      <c r="H117" t="s">
        <v>38</v>
      </c>
      <c r="I117">
        <f>VLOOKUP(Table4[[#This Row],[Visitor]],'NHL Model'!$A$6:$B$38,2,FALSE)</f>
        <v>-0.77107712767799974</v>
      </c>
      <c r="J117">
        <f>($B$1+Table4[[#This Row],[Home Differential]])-Table4[[#This Row],[Away Differential]]</f>
        <v>-8.0899996564965049E-2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0.46921154084944072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0.22015947006630637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0.24561340747691926</v>
      </c>
      <c r="H118" t="s">
        <v>26</v>
      </c>
      <c r="I118">
        <f>VLOOKUP(Table4[[#This Row],[Visitor]],'NHL Model'!$A$6:$B$38,2,FALSE)</f>
        <v>-0.60099633616081094</v>
      </c>
      <c r="J118">
        <f>($B$1+Table4[[#This Row],[Home Differential]])-Table4[[#This Row],[Away Differential]]</f>
        <v>0.89489099692638163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0.64189524504323647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0.12823901552264366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9.0184826596604858E-2</v>
      </c>
      <c r="H119" t="s">
        <v>33</v>
      </c>
      <c r="I119">
        <f>VLOOKUP(Table4[[#This Row],[Visitor]],'NHL Model'!$A$6:$B$38,2,FALSE)</f>
        <v>-0.47218252282767964</v>
      </c>
      <c r="J119">
        <f>($B$1+Table4[[#This Row],[Home Differential]])-Table4[[#This Row],[Away Differential]]</f>
        <v>0.61064860271293586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0.60953046708756109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0.37152739030798038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-0.23108682001987857</v>
      </c>
      <c r="H120" t="s">
        <v>27</v>
      </c>
      <c r="I120">
        <f>VLOOKUP(Table4[[#This Row],[Visitor]],'NHL Model'!$A$6:$B$38,2,FALSE)</f>
        <v>-2.8950318025217449E-2</v>
      </c>
      <c r="J120">
        <f>($B$1+Table4[[#This Row],[Home Differential]])-Table4[[#This Row],[Away Differential]]</f>
        <v>-0.15385524870600972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0.52003102966861692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0.27043227181820195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-1.1754320402170535</v>
      </c>
      <c r="H121" t="s">
        <v>55</v>
      </c>
      <c r="I121">
        <f>VLOOKUP(Table4[[#This Row],[Visitor]],'NHL Model'!$A$6:$B$38,2,FALSE)</f>
        <v>0.15493687588867713</v>
      </c>
      <c r="J121">
        <f>($B$1+Table4[[#This Row],[Home Differential]])-Table4[[#This Row],[Away Differential]]</f>
        <v>-1.2820876628170792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0.60598273646550449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0.15524960396321208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0.66987960668864954</v>
      </c>
      <c r="H122" t="s">
        <v>10</v>
      </c>
      <c r="I122">
        <f>VLOOKUP(Table4[[#This Row],[Visitor]],'NHL Model'!$A$6:$B$38,2,FALSE)</f>
        <v>2.5996227684575345E-2</v>
      </c>
      <c r="J122">
        <f>($B$1+Table4[[#This Row],[Home Differential]])-Table4[[#This Row],[Away Differential]]</f>
        <v>0.69216463229272562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0.63200364085274119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0.39942860205112068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-3.3785654828041967E-2</v>
      </c>
      <c r="H123" t="s">
        <v>32</v>
      </c>
      <c r="I123">
        <f>VLOOKUP(Table4[[#This Row],[Visitor]],'NHL Model'!$A$6:$B$38,2,FALSE)</f>
        <v>-0.56616527987265597</v>
      </c>
      <c r="J123">
        <f>($B$1+Table4[[#This Row],[Home Differential]])-Table4[[#This Row],[Away Differential]]</f>
        <v>0.58066087833326541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0.62522139703981328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0.39090179531641583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-0.40965500817719275</v>
      </c>
      <c r="H124" t="s">
        <v>19</v>
      </c>
      <c r="I124">
        <f>VLOOKUP(Table4[[#This Row],[Visitor]],'NHL Model'!$A$6:$B$38,2,FALSE)</f>
        <v>-8.5089305365893694E-2</v>
      </c>
      <c r="J124">
        <f>($B$1+Table4[[#This Row],[Home Differential]])-Table4[[#This Row],[Away Differential]]</f>
        <v>-0.27628444952264763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0.48133641069659566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0.23168474026228181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-0.28376306754383246</v>
      </c>
      <c r="H125" t="s">
        <v>22</v>
      </c>
      <c r="I125">
        <f>VLOOKUP(Table4[[#This Row],[Visitor]],'NHL Model'!$A$6:$B$38,2,FALSE)</f>
        <v>0.84902697115371384</v>
      </c>
      <c r="J125">
        <f>($B$1+Table4[[#This Row],[Home Differential]])-Table4[[#This Row],[Away Differential]]</f>
        <v>-1.0845087854088948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0.63762457029344233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0.13131595205501231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-2.8342943575894393E-4</v>
      </c>
      <c r="H126" t="s">
        <v>33</v>
      </c>
      <c r="I126">
        <f>VLOOKUP(Table4[[#This Row],[Visitor]],'NHL Model'!$A$6:$B$38,2,FALSE)</f>
        <v>-0.47218252282767964</v>
      </c>
      <c r="J126">
        <f>($B$1+Table4[[#This Row],[Home Differential]])-Table4[[#This Row],[Away Differential]]</f>
        <v>0.52018034668057211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0.64213100701205073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0.1280702161422089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-3.3785654828041967E-2</v>
      </c>
      <c r="H127" t="s">
        <v>16</v>
      </c>
      <c r="I127">
        <f>VLOOKUP(Table4[[#This Row],[Visitor]],'NHL Model'!$A$6:$B$38,2,FALSE)</f>
        <v>-0.81412334763558081</v>
      </c>
      <c r="J127">
        <f>($B$1+Table4[[#This Row],[Home Differential]])-Table4[[#This Row],[Away Differential]]</f>
        <v>0.82861894609619025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0.65345472172620434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0.12009362989386248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2.6215642141022087E-2</v>
      </c>
      <c r="H128" t="s">
        <v>12</v>
      </c>
      <c r="I128">
        <f>VLOOKUP(Table4[[#This Row],[Visitor]],'NHL Model'!$A$6:$B$38,2,FALSE)</f>
        <v>1.6584974384060074</v>
      </c>
      <c r="J128">
        <f>($B$1+Table4[[#This Row],[Home Differential]])-Table4[[#This Row],[Away Differential]]</f>
        <v>-1.584000542976334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0.64189799586113261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0.41203303709053862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0.7564009584796878</v>
      </c>
      <c r="H129" t="s">
        <v>25</v>
      </c>
      <c r="I129">
        <f>VLOOKUP(Table4[[#This Row],[Visitor]],'NHL Model'!$A$6:$B$38,2,FALSE)</f>
        <v>0.47905090860407873</v>
      </c>
      <c r="J129">
        <f>($B$1+Table4[[#This Row],[Home Differential]])-Table4[[#This Row],[Away Differential]]</f>
        <v>0.32563130316426048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0.54799448641832293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0.20430898430823566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-0.60099633616081094</v>
      </c>
      <c r="H130" t="s">
        <v>35</v>
      </c>
      <c r="I130">
        <f>VLOOKUP(Table4[[#This Row],[Visitor]],'NHL Model'!$A$6:$B$38,2,FALSE)</f>
        <v>-1.1754320402170535</v>
      </c>
      <c r="J130">
        <f>($B$1+Table4[[#This Row],[Home Differential]])-Table4[[#This Row],[Away Differential]]</f>
        <v>0.62271695734489396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0.62102685920064116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0.14362064144733067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-0.3510442662416135</v>
      </c>
      <c r="H131" t="s">
        <v>20</v>
      </c>
      <c r="I131">
        <f>VLOOKUP(Table4[[#This Row],[Visitor]],'NHL Model'!$A$6:$B$38,2,FALSE)</f>
        <v>9.2938870272174581E-2</v>
      </c>
      <c r="J131">
        <f>($B$1+Table4[[#This Row],[Home Differential]])-Table4[[#This Row],[Away Differential]]</f>
        <v>-0.39570188322513666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0.52582515433286037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0.27649209292917643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5.1566962112876508E-2</v>
      </c>
      <c r="H132" t="s">
        <v>55</v>
      </c>
      <c r="I132">
        <f>VLOOKUP(Table4[[#This Row],[Visitor]],'NHL Model'!$A$6:$B$38,2,FALSE)</f>
        <v>0.15493687588867713</v>
      </c>
      <c r="J132">
        <f>($B$1+Table4[[#This Row],[Home Differential]])-Table4[[#This Row],[Away Differential]]</f>
        <v>-5.5088660487149221E-2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0.4662725768598871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0.28486496221178514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-0.90025837753161619</v>
      </c>
      <c r="H133" t="s">
        <v>13</v>
      </c>
      <c r="I133">
        <f>VLOOKUP(Table4[[#This Row],[Visitor]],'NHL Model'!$A$6:$B$38,2,FALSE)</f>
        <v>-0.19390166761644689</v>
      </c>
      <c r="J133">
        <f>($B$1+Table4[[#This Row],[Home Differential]])-Table4[[#This Row],[Away Differential]]</f>
        <v>-0.6580754566265179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0.60124643481507989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0.3614972753778441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-2.8950318025217449E-2</v>
      </c>
      <c r="H134" t="s">
        <v>30</v>
      </c>
      <c r="I134">
        <f>VLOOKUP(Table4[[#This Row],[Visitor]],'NHL Model'!$A$6:$B$38,2,FALSE)</f>
        <v>0.24561340747691926</v>
      </c>
      <c r="J134">
        <f>($B$1+Table4[[#This Row],[Home Differential]])-Table4[[#This Row],[Away Differential]]</f>
        <v>-0.2262824722134853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0.53209438369922435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0.28312443316425739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0.17535803439735015</v>
      </c>
      <c r="H135" t="s">
        <v>28</v>
      </c>
      <c r="I135">
        <f>VLOOKUP(Table4[[#This Row],[Visitor]],'NHL Model'!$A$6:$B$38,2,FALSE)</f>
        <v>-0.28376306754383246</v>
      </c>
      <c r="J135">
        <f>($B$1+Table4[[#This Row],[Home Differential]])-Table4[[#This Row],[Away Differential]]</f>
        <v>0.50740235522983401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0.59419834935082028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0.35307167837123948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-0.56616527987265597</v>
      </c>
      <c r="H136" t="s">
        <v>17</v>
      </c>
      <c r="I136">
        <f>VLOOKUP(Table4[[#This Row],[Visitor]],'NHL Model'!$A$6:$B$38,2,FALSE)</f>
        <v>-0.41671190768559452</v>
      </c>
      <c r="J136">
        <f>($B$1+Table4[[#This Row],[Home Differential]])-Table4[[#This Row],[Away Differential]]</f>
        <v>-0.10117211889841005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0.47151979166412938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0.22233091393098398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0.66987960668864954</v>
      </c>
      <c r="H137" t="s">
        <v>31</v>
      </c>
      <c r="I137">
        <f>VLOOKUP(Table4[[#This Row],[Visitor]],'NHL Model'!$A$6:$B$38,2,FALSE)</f>
        <v>0.17827516980235869</v>
      </c>
      <c r="J137">
        <f>($B$1+Table4[[#This Row],[Home Differential]])-Table4[[#This Row],[Away Differential]]</f>
        <v>0.53988569017494226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0.59480650144504477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0.16418177127120451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-8.5089305365893694E-2</v>
      </c>
      <c r="H138" t="s">
        <v>23</v>
      </c>
      <c r="I138">
        <f>VLOOKUP(Table4[[#This Row],[Visitor]],'NHL Model'!$A$6:$B$38,2,FALSE)</f>
        <v>-0.40965500817719275</v>
      </c>
      <c r="J138">
        <f>($B$1+Table4[[#This Row],[Home Differential]])-Table4[[#This Row],[Away Differential]]</f>
        <v>0.37284695609995044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0.58245358606345954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0.1743450077912648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-0.77107712767799974</v>
      </c>
      <c r="H139" t="s">
        <v>18</v>
      </c>
      <c r="I139">
        <f>VLOOKUP(Table4[[#This Row],[Visitor]],'NHL Model'!$A$6:$B$38,2,FALSE)</f>
        <v>-0.36560113761686208</v>
      </c>
      <c r="J139">
        <f>($B$1+Table4[[#This Row],[Home Differential]])-Table4[[#This Row],[Away Differential]]</f>
        <v>-0.35719473677248625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0.55995920649405595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0.19363589994934088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0.84902697115371384</v>
      </c>
      <c r="H140" t="s">
        <v>36</v>
      </c>
      <c r="I140">
        <f>VLOOKUP(Table4[[#This Row],[Visitor]],'NHL Model'!$A$6:$B$38,2,FALSE)</f>
        <v>-0.23108682001987857</v>
      </c>
      <c r="J140">
        <f>($B$1+Table4[[#This Row],[Home Differential]])-Table4[[#This Row],[Away Differential]]</f>
        <v>1.1283950444622439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0.69098278723996676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0.47745721226191318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-0.81412334763558081</v>
      </c>
      <c r="H141" t="s">
        <v>15</v>
      </c>
      <c r="I141">
        <f>VLOOKUP(Table4[[#This Row],[Visitor]],'NHL Model'!$A$6:$B$38,2,FALSE)</f>
        <v>9.0184826596604858E-2</v>
      </c>
      <c r="J141">
        <f>($B$1+Table4[[#This Row],[Home Differential]])-Table4[[#This Row],[Away Differential]]</f>
        <v>-0.85602692094353428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0.66404229093073996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0.44095216414454552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2.5996227684575345E-2</v>
      </c>
      <c r="H142" t="s">
        <v>13</v>
      </c>
      <c r="I142">
        <f>VLOOKUP(Table4[[#This Row],[Visitor]],'NHL Model'!$A$6:$B$38,2,FALSE)</f>
        <v>-0.19390166761644689</v>
      </c>
      <c r="J142">
        <f>($B$1+Table4[[#This Row],[Home Differential]])-Table4[[#This Row],[Away Differential]]</f>
        <v>0.26817914858967362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0.50421997427283527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0.25423778245569867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5.1566962112876508E-2</v>
      </c>
      <c r="H143" t="s">
        <v>33</v>
      </c>
      <c r="I143">
        <f>VLOOKUP(Table4[[#This Row],[Visitor]],'NHL Model'!$A$6:$B$38,2,FALSE)</f>
        <v>-0.47218252282767964</v>
      </c>
      <c r="J143">
        <f>($B$1+Table4[[#This Row],[Home Differential]])-Table4[[#This Row],[Away Differential]]</f>
        <v>0.57203073822920758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0.60513330946933597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0.36618632222931113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-2.8342943575894393E-4</v>
      </c>
      <c r="H144" t="s">
        <v>12</v>
      </c>
      <c r="I144">
        <f>VLOOKUP(Table4[[#This Row],[Visitor]],'NHL Model'!$A$6:$B$38,2,FALSE)</f>
        <v>1.6584974384060074</v>
      </c>
      <c r="J144">
        <f>($B$1+Table4[[#This Row],[Home Differential]])-Table4[[#This Row],[Away Differential]]</f>
        <v>-1.610499614553115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0.65396504144208167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0.42767027542834363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-0.90025837753161619</v>
      </c>
      <c r="H145" t="s">
        <v>39</v>
      </c>
      <c r="I145">
        <f>VLOOKUP(Table4[[#This Row],[Visitor]],'NHL Model'!$A$6:$B$38,2,FALSE)</f>
        <v>0.7564009584796878</v>
      </c>
      <c r="J145">
        <f>($B$1+Table4[[#This Row],[Home Differential]])-Table4[[#This Row],[Away Differential]]</f>
        <v>-1.6083780827226526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0.73562142937090114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6.9896028607885421E-2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0.66987960668864954</v>
      </c>
      <c r="H146" t="s">
        <v>20</v>
      </c>
      <c r="I146">
        <f>VLOOKUP(Table4[[#This Row],[Visitor]],'NHL Model'!$A$6:$B$38,2,FALSE)</f>
        <v>9.2938870272174581E-2</v>
      </c>
      <c r="J146">
        <f>($B$1+Table4[[#This Row],[Home Differential]])-Table4[[#This Row],[Away Differential]]</f>
        <v>0.62522198970512632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0.60452317440474213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0.156401919582902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-0.77107712767799974</v>
      </c>
      <c r="H147" t="s">
        <v>17</v>
      </c>
      <c r="I147">
        <f>VLOOKUP(Table4[[#This Row],[Visitor]],'NHL Model'!$A$6:$B$38,2,FALSE)</f>
        <v>-0.41671190768559452</v>
      </c>
      <c r="J147">
        <f>($B$1+Table4[[#This Row],[Home Differential]])-Table4[[#This Row],[Away Differential]]</f>
        <v>-0.30608396670375382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0.49485173154965884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0.24487823621769561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-3.3785654828041967E-2</v>
      </c>
      <c r="H148" t="s">
        <v>55</v>
      </c>
      <c r="I148">
        <f>VLOOKUP(Table4[[#This Row],[Visitor]],'NHL Model'!$A$6:$B$38,2,FALSE)</f>
        <v>0.15493687588867713</v>
      </c>
      <c r="J148">
        <f>($B$1+Table4[[#This Row],[Home Differential]])-Table4[[#This Row],[Away Differential]]</f>
        <v>-0.1404412774280677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0.45688567646396844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0.29497316843000121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-0.23108682001987857</v>
      </c>
      <c r="H149" t="s">
        <v>21</v>
      </c>
      <c r="I149">
        <f>VLOOKUP(Table4[[#This Row],[Visitor]],'NHL Model'!$A$6:$B$38,2,FALSE)</f>
        <v>2.6215642141022087E-2</v>
      </c>
      <c r="J149">
        <f>($B$1+Table4[[#This Row],[Home Differential]])-Table4[[#This Row],[Away Differential]]</f>
        <v>-0.20902120887224926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0.48379984531124237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0.23406229032318204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0.17535803439735015</v>
      </c>
      <c r="H150" t="s">
        <v>35</v>
      </c>
      <c r="I150">
        <f>VLOOKUP(Table4[[#This Row],[Visitor]],'NHL Model'!$A$6:$B$38,2,FALSE)</f>
        <v>-1.1754320402170535</v>
      </c>
      <c r="J150">
        <f>($B$1+Table4[[#This Row],[Home Differential]])-Table4[[#This Row],[Away Differential]]</f>
        <v>1.3990713279030551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0.69930288300953325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9.0418756166378442E-2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2.6215642141022087E-2</v>
      </c>
      <c r="H151" t="s">
        <v>30</v>
      </c>
      <c r="I151">
        <f>VLOOKUP(Table4[[#This Row],[Visitor]],'NHL Model'!$A$6:$B$38,2,FALSE)</f>
        <v>0.24561340747691926</v>
      </c>
      <c r="J151">
        <f>($B$1+Table4[[#This Row],[Home Differential]])-Table4[[#This Row],[Away Differential]]</f>
        <v>-0.17111651204724576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0.49948389131847803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0.24948415768664917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-0.40965500817719275</v>
      </c>
      <c r="H152" t="s">
        <v>28</v>
      </c>
      <c r="I152">
        <f>VLOOKUP(Table4[[#This Row],[Visitor]],'NHL Model'!$A$6:$B$38,2,FALSE)</f>
        <v>-0.28376306754383246</v>
      </c>
      <c r="J152">
        <f>($B$1+Table4[[#This Row],[Home Differential]])-Table4[[#This Row],[Away Differential]]</f>
        <v>-7.7610687344708884E-2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0.46227830478245968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0.28914462150762532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0.47905090860407873</v>
      </c>
      <c r="H153" t="s">
        <v>20</v>
      </c>
      <c r="I153">
        <f>VLOOKUP(Table4[[#This Row],[Visitor]],'NHL Model'!$A$6:$B$38,2,FALSE)</f>
        <v>9.2938870272174581E-2</v>
      </c>
      <c r="J153">
        <f>($B$1+Table4[[#This Row],[Home Differential]])-Table4[[#This Row],[Away Differential]]</f>
        <v>0.43439329162055557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0.60118559306561536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0.36142411730965568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2.5996227684575345E-2</v>
      </c>
      <c r="H154" t="s">
        <v>36</v>
      </c>
      <c r="I154">
        <f>VLOOKUP(Table4[[#This Row],[Visitor]],'NHL Model'!$A$6:$B$38,2,FALSE)</f>
        <v>-0.23108682001987857</v>
      </c>
      <c r="J154">
        <f>($B$1+Table4[[#This Row],[Home Differential]])-Table4[[#This Row],[Away Differential]]</f>
        <v>0.3053643009931053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0.57119362909414328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0.18387490372945117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1.6584974384060074</v>
      </c>
      <c r="H155" t="s">
        <v>24</v>
      </c>
      <c r="I155">
        <f>VLOOKUP(Table4[[#This Row],[Visitor]],'NHL Model'!$A$6:$B$38,2,FALSE)</f>
        <v>-2.8342943575894393E-4</v>
      </c>
      <c r="J155">
        <f>($B$1+Table4[[#This Row],[Home Differential]])-Table4[[#This Row],[Away Differential]]</f>
        <v>1.7070621211304178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0.82294316069750351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3.1349124343790065E-2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0.7564009584796878</v>
      </c>
      <c r="H156" t="s">
        <v>22</v>
      </c>
      <c r="I156">
        <f>VLOOKUP(Table4[[#This Row],[Visitor]],'NHL Model'!$A$6:$B$38,2,FALSE)</f>
        <v>0.84902697115371384</v>
      </c>
      <c r="J156">
        <f>($B$1+Table4[[#This Row],[Home Differential]])-Table4[[#This Row],[Away Differential]]</f>
        <v>-4.4344759385374632E-2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0.47563747608375068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0.2262310086553205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-0.41671190768559452</v>
      </c>
      <c r="H157" t="s">
        <v>55</v>
      </c>
      <c r="I157">
        <f>VLOOKUP(Table4[[#This Row],[Visitor]],'NHL Model'!$A$6:$B$38,2,FALSE)</f>
        <v>0.15493687588867713</v>
      </c>
      <c r="J157">
        <f>($B$1+Table4[[#This Row],[Home Differential]])-Table4[[#This Row],[Away Differential]]</f>
        <v>-0.52336753028562022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0.51709687665720172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0.26738917984863331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-0.3510442662416135</v>
      </c>
      <c r="H158" t="s">
        <v>31</v>
      </c>
      <c r="I158">
        <f>VLOOKUP(Table4[[#This Row],[Visitor]],'NHL Model'!$A$6:$B$38,2,FALSE)</f>
        <v>0.17827516980235869</v>
      </c>
      <c r="J158">
        <f>($B$1+Table4[[#This Row],[Home Differential]])-Table4[[#This Row],[Away Differential]]</f>
        <v>-0.48103818275532079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0.53554182729255773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0.21572139419473627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5.1566962112876508E-2</v>
      </c>
      <c r="H159" t="s">
        <v>40</v>
      </c>
      <c r="I159">
        <f>VLOOKUP(Table4[[#This Row],[Visitor]],'NHL Model'!$A$6:$B$38,2,FALSE)</f>
        <v>-3.3785654828041967E-2</v>
      </c>
      <c r="J159">
        <f>($B$1+Table4[[#This Row],[Home Differential]])-Table4[[#This Row],[Away Differential]]</f>
        <v>0.13363387022956988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0.55163983496264357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0.30430650751761262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-0.90025837753161619</v>
      </c>
      <c r="H160" t="s">
        <v>37</v>
      </c>
      <c r="I160">
        <f>VLOOKUP(Table4[[#This Row],[Visitor]],'NHL Model'!$A$6:$B$38,2,FALSE)</f>
        <v>0.66987960668864954</v>
      </c>
      <c r="J160">
        <f>($B$1+Table4[[#This Row],[Home Differential]])-Table4[[#This Row],[Away Differential]]</f>
        <v>-1.5218567309316144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0.70590680370869963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8.6490808104833339E-2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-2.8950318025217449E-2</v>
      </c>
      <c r="H161" t="s">
        <v>14</v>
      </c>
      <c r="I161">
        <f>VLOOKUP(Table4[[#This Row],[Visitor]],'NHL Model'!$A$6:$B$38,2,FALSE)</f>
        <v>0.17535803439735015</v>
      </c>
      <c r="J161">
        <f>($B$1+Table4[[#This Row],[Home Differential]])-Table4[[#This Row],[Away Differential]]</f>
        <v>-0.15602709913391619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0.50557063896741861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0.25560167098592396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-0.56616527987265597</v>
      </c>
      <c r="H162" t="s">
        <v>18</v>
      </c>
      <c r="I162">
        <f>VLOOKUP(Table4[[#This Row],[Visitor]],'NHL Model'!$A$6:$B$38,2,FALSE)</f>
        <v>-0.36560113761686208</v>
      </c>
      <c r="J162">
        <f>($B$1+Table4[[#This Row],[Home Differential]])-Table4[[#This Row],[Away Differential]]</f>
        <v>-0.15228288896714248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0.53662726660852644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0.21471429005068562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-0.47218252282767964</v>
      </c>
      <c r="H163" t="s">
        <v>13</v>
      </c>
      <c r="I163">
        <f>VLOOKUP(Table4[[#This Row],[Visitor]],'NHL Model'!$A$6:$B$38,2,FALSE)</f>
        <v>-0.19390166761644689</v>
      </c>
      <c r="J163">
        <f>($B$1+Table4[[#This Row],[Home Differential]])-Table4[[#This Row],[Away Differential]]</f>
        <v>-0.22999960192258134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0.55250430391649541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0.20025239801326031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-1.1754320402170535</v>
      </c>
      <c r="H164" t="s">
        <v>26</v>
      </c>
      <c r="I164">
        <f>VLOOKUP(Table4[[#This Row],[Visitor]],'NHL Model'!$A$6:$B$38,2,FALSE)</f>
        <v>-0.60099633616081094</v>
      </c>
      <c r="J164">
        <f>($B$1+Table4[[#This Row],[Home Differential]])-Table4[[#This Row],[Away Differential]]</f>
        <v>-0.52615445076759115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0.51990968383377723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0.23048671167658374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-8.5089305365893694E-2</v>
      </c>
      <c r="H165" t="s">
        <v>16</v>
      </c>
      <c r="I165">
        <f>VLOOKUP(Table4[[#This Row],[Visitor]],'NHL Model'!$A$6:$B$38,2,FALSE)</f>
        <v>-0.81412334763558081</v>
      </c>
      <c r="J165">
        <f>($B$1+Table4[[#This Row],[Home Differential]])-Table4[[#This Row],[Away Differential]]</f>
        <v>0.77731529555833856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0.62850768729243178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0.13800653840081764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-0.77107712767799974</v>
      </c>
      <c r="H166" t="s">
        <v>15</v>
      </c>
      <c r="I166">
        <f>VLOOKUP(Table4[[#This Row],[Visitor]],'NHL Model'!$A$6:$B$38,2,FALSE)</f>
        <v>9.0184826596604858E-2</v>
      </c>
      <c r="J166">
        <f>($B$1+Table4[[#This Row],[Home Differential]])-Table4[[#This Row],[Away Differential]]</f>
        <v>-0.81298070098595321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0.65914090612987841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0.11618492187396036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-0.28376306754383246</v>
      </c>
      <c r="H167" t="s">
        <v>19</v>
      </c>
      <c r="I167">
        <f>VLOOKUP(Table4[[#This Row],[Visitor]],'NHL Model'!$A$6:$B$38,2,FALSE)</f>
        <v>-8.5089305365893694E-2</v>
      </c>
      <c r="J167">
        <f>($B$1+Table4[[#This Row],[Home Differential]])-Table4[[#This Row],[Away Differential]]</f>
        <v>-0.15039250888928735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0.47712418786039223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0.22764749064143885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2.6215642141022087E-2</v>
      </c>
      <c r="H168" t="s">
        <v>23</v>
      </c>
      <c r="I168">
        <f>VLOOKUP(Table4[[#This Row],[Visitor]],'NHL Model'!$A$6:$B$38,2,FALSE)</f>
        <v>-0.40965500817719275</v>
      </c>
      <c r="J168">
        <f>($B$1+Table4[[#This Row],[Home Differential]])-Table4[[#This Row],[Away Differential]]</f>
        <v>0.48415190360686622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0.64684311139653727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0.12471978796807859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0.47905090860407873</v>
      </c>
      <c r="H169" t="s">
        <v>30</v>
      </c>
      <c r="I169">
        <f>VLOOKUP(Table4[[#This Row],[Visitor]],'NHL Model'!$A$6:$B$38,2,FALSE)</f>
        <v>0.24561340747691926</v>
      </c>
      <c r="J169">
        <f>($B$1+Table4[[#This Row],[Home Differential]])-Table4[[#This Row],[Away Differential]]</f>
        <v>0.28171875441581085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0.53207742799186508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0.21895153339470821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-0.41671190768559452</v>
      </c>
      <c r="H170" t="s">
        <v>15</v>
      </c>
      <c r="I170">
        <f>VLOOKUP(Table4[[#This Row],[Visitor]],'NHL Model'!$A$6:$B$38,2,FALSE)</f>
        <v>9.0184826596604858E-2</v>
      </c>
      <c r="J170">
        <f>($B$1+Table4[[#This Row],[Home Differential]])-Table4[[#This Row],[Away Differential]]</f>
        <v>-0.45861548099354799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0.61632203773338845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0.14720877872905941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-0.19390166761644689</v>
      </c>
      <c r="H171" t="s">
        <v>26</v>
      </c>
      <c r="I171">
        <f>VLOOKUP(Table4[[#This Row],[Visitor]],'NHL Model'!$A$6:$B$38,2,FALSE)</f>
        <v>-0.60099633616081094</v>
      </c>
      <c r="J171">
        <f>($B$1+Table4[[#This Row],[Home Differential]])-Table4[[#This Row],[Away Differential]]</f>
        <v>0.45537592183301545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0.59185060672342638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0.35028714067888789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5.1566962112876508E-2</v>
      </c>
      <c r="H172" t="s">
        <v>14</v>
      </c>
      <c r="I172">
        <f>VLOOKUP(Table4[[#This Row],[Visitor]],'NHL Model'!$A$6:$B$38,2,FALSE)</f>
        <v>0.17535803439735015</v>
      </c>
      <c r="J172">
        <f>($B$1+Table4[[#This Row],[Home Differential]])-Table4[[#This Row],[Away Differential]]</f>
        <v>-7.5509818995822237E-2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0.52273661490652479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0.22778033875088283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-0.23108682001987857</v>
      </c>
      <c r="H173" t="s">
        <v>16</v>
      </c>
      <c r="I173">
        <f>VLOOKUP(Table4[[#This Row],[Visitor]],'NHL Model'!$A$6:$B$38,2,FALSE)</f>
        <v>-0.81412334763558081</v>
      </c>
      <c r="J173">
        <f>($B$1+Table4[[#This Row],[Home Differential]])-Table4[[#This Row],[Away Differential]]</f>
        <v>0.63131778090435364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0.61188392799385083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0.15063408534948236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-2.8950318025217449E-2</v>
      </c>
      <c r="H174" t="s">
        <v>29</v>
      </c>
      <c r="I174">
        <f>VLOOKUP(Table4[[#This Row],[Visitor]],'NHL Model'!$A$6:$B$38,2,FALSE)</f>
        <v>-0.90025837753161619</v>
      </c>
      <c r="J174">
        <f>($B$1+Table4[[#This Row],[Home Differential]])-Table4[[#This Row],[Away Differential]]</f>
        <v>0.91958931279505018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0.670745212724144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0.10840871494406919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-0.47218252282767964</v>
      </c>
      <c r="H175" t="s">
        <v>24</v>
      </c>
      <c r="I175">
        <f>VLOOKUP(Table4[[#This Row],[Visitor]],'NHL Model'!$A$6:$B$38,2,FALSE)</f>
        <v>-2.8342943575894393E-4</v>
      </c>
      <c r="J175">
        <f>($B$1+Table4[[#This Row],[Home Differential]])-Table4[[#This Row],[Away Differential]]</f>
        <v>-0.42361784010326931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0.5290037573990255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0.27984497534228703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-1.1754320402170535</v>
      </c>
      <c r="H176" t="s">
        <v>38</v>
      </c>
      <c r="I176">
        <f>VLOOKUP(Table4[[#This Row],[Visitor]],'NHL Model'!$A$6:$B$38,2,FALSE)</f>
        <v>-0.77107712767799974</v>
      </c>
      <c r="J176">
        <f>($B$1+Table4[[#This Row],[Home Differential]])-Table4[[#This Row],[Away Differential]]</f>
        <v>-0.35607365925040235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0.5005437230761931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0.24945657255859049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0.66987960668864954</v>
      </c>
      <c r="H177" t="s">
        <v>39</v>
      </c>
      <c r="I177">
        <f>VLOOKUP(Table4[[#This Row],[Visitor]],'NHL Model'!$A$6:$B$38,2,FALSE)</f>
        <v>0.7564009584796878</v>
      </c>
      <c r="J177">
        <f>($B$1+Table4[[#This Row],[Home Differential]])-Table4[[#This Row],[Away Differential]]</f>
        <v>-3.8240098502386854E-2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0.54281568239723699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0.29464886505637805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-3.3785654828041967E-2</v>
      </c>
      <c r="H178" t="s">
        <v>10</v>
      </c>
      <c r="I178">
        <f>VLOOKUP(Table4[[#This Row],[Visitor]],'NHL Model'!$A$6:$B$38,2,FALSE)</f>
        <v>2.5996227684575345E-2</v>
      </c>
      <c r="J178">
        <f>($B$1+Table4[[#This Row],[Home Differential]])-Table4[[#This Row],[Away Differential]]</f>
        <v>-1.1500629223965907E-2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0.44302729104502331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0.19627318061069179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0.17827516980235869</v>
      </c>
      <c r="H179" t="s">
        <v>26</v>
      </c>
      <c r="I179">
        <f>VLOOKUP(Table4[[#This Row],[Visitor]],'NHL Model'!$A$6:$B$38,2,FALSE)</f>
        <v>-0.60099633616081094</v>
      </c>
      <c r="J179">
        <f>($B$1+Table4[[#This Row],[Home Differential]])-Table4[[#This Row],[Away Differential]]</f>
        <v>0.82755275925182104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0.70250039694294297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8.8506013819106499E-2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9.2938870272174581E-2</v>
      </c>
      <c r="H180" t="s">
        <v>12</v>
      </c>
      <c r="I180">
        <f>VLOOKUP(Table4[[#This Row],[Visitor]],'NHL Model'!$A$6:$B$38,2,FALSE)</f>
        <v>1.6584974384060074</v>
      </c>
      <c r="J180">
        <f>($B$1+Table4[[#This Row],[Home Differential]])-Table4[[#This Row],[Away Differential]]</f>
        <v>-1.5172773148451815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0.68690102463857317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9.8030968372375363E-2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0.84902697115371384</v>
      </c>
      <c r="H181" t="s">
        <v>30</v>
      </c>
      <c r="I181">
        <f>VLOOKUP(Table4[[#This Row],[Visitor]],'NHL Model'!$A$6:$B$38,2,FALSE)</f>
        <v>0.24561340747691926</v>
      </c>
      <c r="J181">
        <f>($B$1+Table4[[#This Row],[Home Differential]])-Table4[[#This Row],[Away Differential]]</f>
        <v>0.65169481696544596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0.56787501070808477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0.32248202778670737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2.6215642141022087E-2</v>
      </c>
      <c r="H182" t="s">
        <v>25</v>
      </c>
      <c r="I182">
        <f>VLOOKUP(Table4[[#This Row],[Visitor]],'NHL Model'!$A$6:$B$38,2,FALSE)</f>
        <v>0.47905090860407873</v>
      </c>
      <c r="J182">
        <f>($B$1+Table4[[#This Row],[Home Differential]])-Table4[[#This Row],[Away Differential]]</f>
        <v>-0.4045540131744052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0.52606385632128772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0.27674318092762445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-0.40965500817719275</v>
      </c>
      <c r="H183" t="s">
        <v>22</v>
      </c>
      <c r="I183">
        <f>VLOOKUP(Table4[[#This Row],[Visitor]],'NHL Model'!$A$6:$B$38,2,FALSE)</f>
        <v>0.84902697115371384</v>
      </c>
      <c r="J183">
        <f>($B$1+Table4[[#This Row],[Home Differential]])-Table4[[#This Row],[Away Differential]]</f>
        <v>-1.2104007260422551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0.64175723291169473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0.41185234599447518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-0.28376306754383246</v>
      </c>
      <c r="H184" t="s">
        <v>35</v>
      </c>
      <c r="I184">
        <f>VLOOKUP(Table4[[#This Row],[Visitor]],'NHL Model'!$A$6:$B$38,2,FALSE)</f>
        <v>-1.1754320402170535</v>
      </c>
      <c r="J184">
        <f>($B$1+Table4[[#This Row],[Home Differential]])-Table4[[#This Row],[Away Differential]]</f>
        <v>0.93995022596187239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0.6470258377073711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0.12459075924618312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-0.41671190768559452</v>
      </c>
      <c r="H185" t="s">
        <v>10</v>
      </c>
      <c r="I185">
        <f>VLOOKUP(Table4[[#This Row],[Visitor]],'NHL Model'!$A$6:$B$38,2,FALSE)</f>
        <v>2.5996227684575345E-2</v>
      </c>
      <c r="J185">
        <f>($B$1+Table4[[#This Row],[Home Differential]])-Table4[[#This Row],[Away Differential]]</f>
        <v>-0.39442688208151844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0.50324408105498275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0.25325460511687403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-0.3510442662416135</v>
      </c>
      <c r="H186" t="s">
        <v>39</v>
      </c>
      <c r="I186">
        <f>VLOOKUP(Table4[[#This Row],[Visitor]],'NHL Model'!$A$6:$B$38,2,FALSE)</f>
        <v>0.7564009584796878</v>
      </c>
      <c r="J186">
        <f>($B$1+Table4[[#This Row],[Home Differential]])-Table4[[#This Row],[Away Differential]]</f>
        <v>-1.05916397143265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0.67308609641604089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0.45304489318858387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-0.19390166761644689</v>
      </c>
      <c r="H187" t="s">
        <v>24</v>
      </c>
      <c r="I187">
        <f>VLOOKUP(Table4[[#This Row],[Visitor]],'NHL Model'!$A$6:$B$38,2,FALSE)</f>
        <v>-2.8342943575894393E-4</v>
      </c>
      <c r="J187">
        <f>($B$1+Table4[[#This Row],[Home Differential]])-Table4[[#This Row],[Away Differential]]</f>
        <v>-0.14533698489203656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0.49731777996715887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0.2526894143371457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5.1566962112876508E-2</v>
      </c>
      <c r="H188" t="s">
        <v>38</v>
      </c>
      <c r="I188">
        <f>VLOOKUP(Table4[[#This Row],[Visitor]],'NHL Model'!$A$6:$B$38,2,FALSE)</f>
        <v>-0.77107712767799974</v>
      </c>
      <c r="J188">
        <f>($B$1+Table4[[#This Row],[Home Differential]])-Table4[[#This Row],[Away Differential]]</f>
        <v>0.87092534307952763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0.63916643652942429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0.13020086052687399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-0.36560113761686208</v>
      </c>
      <c r="H189" t="s">
        <v>36</v>
      </c>
      <c r="I189">
        <f>VLOOKUP(Table4[[#This Row],[Visitor]],'NHL Model'!$A$6:$B$38,2,FALSE)</f>
        <v>-0.23108682001987857</v>
      </c>
      <c r="J189">
        <f>($B$1+Table4[[#This Row],[Home Differential]])-Table4[[#This Row],[Away Differential]]</f>
        <v>-8.6233064308332108E-2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0.47339494050005743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0.22410276969105292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-0.90025837753161619</v>
      </c>
      <c r="H190" t="s">
        <v>16</v>
      </c>
      <c r="I190">
        <f>VLOOKUP(Table4[[#This Row],[Visitor]],'NHL Model'!$A$6:$B$38,2,FALSE)</f>
        <v>-0.81412334763558081</v>
      </c>
      <c r="J190">
        <f>($B$1+Table4[[#This Row],[Home Differential]])-Table4[[#This Row],[Away Differential]]</f>
        <v>-3.7853776607383982E-2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0.46431015604857923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0.21558392100985599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-2.8950318025217449E-2</v>
      </c>
      <c r="H191" t="s">
        <v>19</v>
      </c>
      <c r="I191">
        <f>VLOOKUP(Table4[[#This Row],[Visitor]],'NHL Model'!$A$6:$B$38,2,FALSE)</f>
        <v>-8.5089305365893694E-2</v>
      </c>
      <c r="J191">
        <f>($B$1+Table4[[#This Row],[Home Differential]])-Table4[[#This Row],[Away Differential]]</f>
        <v>0.10442024062932764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0.57792736938313305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0.33400004428210833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-0.56616527987265597</v>
      </c>
      <c r="H192" t="s">
        <v>15</v>
      </c>
      <c r="I192">
        <f>VLOOKUP(Table4[[#This Row],[Visitor]],'NHL Model'!$A$6:$B$38,2,FALSE)</f>
        <v>9.0184826596604858E-2</v>
      </c>
      <c r="J192">
        <f>($B$1+Table4[[#This Row],[Home Differential]])-Table4[[#This Row],[Away Differential]]</f>
        <v>-0.60806885318060944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0.63580896624434902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0.13263510906800971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-0.47218252282767964</v>
      </c>
      <c r="H193" t="s">
        <v>12</v>
      </c>
      <c r="I193">
        <f>VLOOKUP(Table4[[#This Row],[Visitor]],'NHL Model'!$A$6:$B$38,2,FALSE)</f>
        <v>1.6584974384060074</v>
      </c>
      <c r="J193">
        <f>($B$1+Table4[[#This Row],[Home Differential]])-Table4[[#This Row],[Away Differential]]</f>
        <v>-2.0823987079450355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0.75124761324753409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0.56437297641011652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-3.3785654828041967E-2</v>
      </c>
      <c r="H194" t="s">
        <v>14</v>
      </c>
      <c r="I194">
        <f>VLOOKUP(Table4[[#This Row],[Visitor]],'NHL Model'!$A$6:$B$38,2,FALSE)</f>
        <v>0.17535803439735015</v>
      </c>
      <c r="J194">
        <f>($B$1+Table4[[#This Row],[Home Differential]])-Table4[[#This Row],[Away Differential]]</f>
        <v>-0.16086243593674071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0.51316168916453286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0.26333491922619667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0.17827516980235869</v>
      </c>
      <c r="H195" t="s">
        <v>24</v>
      </c>
      <c r="I195">
        <f>VLOOKUP(Table4[[#This Row],[Visitor]],'NHL Model'!$A$6:$B$38,2,FALSE)</f>
        <v>-2.8342943575894393E-4</v>
      </c>
      <c r="J195">
        <f>($B$1+Table4[[#This Row],[Home Differential]])-Table4[[#This Row],[Away Differential]]</f>
        <v>0.22683985252676903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0.61406402905651036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0.14894657366809408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0.24561340747691926</v>
      </c>
      <c r="H196" t="s">
        <v>28</v>
      </c>
      <c r="I196">
        <f>VLOOKUP(Table4[[#This Row],[Visitor]],'NHL Model'!$A$6:$B$38,2,FALSE)</f>
        <v>-0.28376306754383246</v>
      </c>
      <c r="J196">
        <f>($B$1+Table4[[#This Row],[Home Differential]])-Table4[[#This Row],[Away Differential]]</f>
        <v>0.5776577283094031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0.60219785820735594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0.15824654401481489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-2.8950318025217449E-2</v>
      </c>
      <c r="H197" t="s">
        <v>16</v>
      </c>
      <c r="I197">
        <f>VLOOKUP(Table4[[#This Row],[Visitor]],'NHL Model'!$A$6:$B$38,2,FALSE)</f>
        <v>-0.81412334763558081</v>
      </c>
      <c r="J197">
        <f>($B$1+Table4[[#This Row],[Home Differential]])-Table4[[#This Row],[Away Differential]]</f>
        <v>0.8334542828990148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0.66093759368650939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0.43683850274811337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-0.47218252282767964</v>
      </c>
      <c r="H198" t="s">
        <v>26</v>
      </c>
      <c r="I198">
        <f>VLOOKUP(Table4[[#This Row],[Visitor]],'NHL Model'!$A$6:$B$38,2,FALSE)</f>
        <v>-0.60099633616081094</v>
      </c>
      <c r="J198">
        <f>($B$1+Table4[[#This Row],[Home Differential]])-Table4[[#This Row],[Away Differential]]</f>
        <v>0.1770950666217827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0.56016462929155975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0.31378441190935058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0.15493687588867713</v>
      </c>
      <c r="H199" t="s">
        <v>37</v>
      </c>
      <c r="I199">
        <f>VLOOKUP(Table4[[#This Row],[Visitor]],'NHL Model'!$A$6:$B$38,2,FALSE)</f>
        <v>0.66987960668864954</v>
      </c>
      <c r="J199">
        <f>($B$1+Table4[[#This Row],[Home Differential]])-Table4[[#This Row],[Away Differential]]</f>
        <v>-0.46666147751132103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0.54475572910487946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0.20724734618282989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-0.90025837753161619</v>
      </c>
      <c r="H200" t="s">
        <v>38</v>
      </c>
      <c r="I200">
        <f>VLOOKUP(Table4[[#This Row],[Visitor]],'NHL Model'!$A$6:$B$38,2,FALSE)</f>
        <v>-0.77107712767799974</v>
      </c>
      <c r="J200">
        <f>($B$1+Table4[[#This Row],[Home Differential]])-Table4[[#This Row],[Away Differential]]</f>
        <v>-8.0899996564965049E-2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0.46921154084944072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0.28173638836742493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-0.56616527987265597</v>
      </c>
      <c r="H201" t="s">
        <v>10</v>
      </c>
      <c r="I201">
        <f>VLOOKUP(Table4[[#This Row],[Visitor]],'NHL Model'!$A$6:$B$38,2,FALSE)</f>
        <v>2.5996227684575345E-2</v>
      </c>
      <c r="J201">
        <f>($B$1+Table4[[#This Row],[Home Differential]])-Table4[[#This Row],[Away Differential]]</f>
        <v>-0.54388025426857989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0.5227574954623917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0.27327539906211246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-1.1754320402170535</v>
      </c>
      <c r="H202" t="s">
        <v>17</v>
      </c>
      <c r="I202">
        <f>VLOOKUP(Table4[[#This Row],[Visitor]],'NHL Model'!$A$6:$B$38,2,FALSE)</f>
        <v>-0.41671190768559452</v>
      </c>
      <c r="J202">
        <f>($B$1+Table4[[#This Row],[Home Differential]])-Table4[[#This Row],[Away Differential]]</f>
        <v>-0.71043887924280757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0.54089291761490743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0.29256514832596703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-8.5089305365893694E-2</v>
      </c>
      <c r="H203" t="s">
        <v>14</v>
      </c>
      <c r="I203">
        <f>VLOOKUP(Table4[[#This Row],[Visitor]],'NHL Model'!$A$6:$B$38,2,FALSE)</f>
        <v>0.17535803439735015</v>
      </c>
      <c r="J203">
        <f>($B$1+Table4[[#This Row],[Home Differential]])-Table4[[#This Row],[Away Differential]]</f>
        <v>-0.21216608647459245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0.53829674894437884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0.28976338992408762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0.17827516980235869</v>
      </c>
      <c r="H204" t="s">
        <v>11</v>
      </c>
      <c r="I204">
        <f>VLOOKUP(Table4[[#This Row],[Visitor]],'NHL Model'!$A$6:$B$38,2,FALSE)</f>
        <v>-0.3510442662416135</v>
      </c>
      <c r="J204">
        <f>($B$1+Table4[[#This Row],[Home Differential]])-Table4[[#This Row],[Away Differential]]</f>
        <v>0.57760068933262354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0.67404002858416279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0.10624990296541341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-0.40965500817719275</v>
      </c>
      <c r="H205" t="s">
        <v>55</v>
      </c>
      <c r="I205">
        <f>VLOOKUP(Table4[[#This Row],[Visitor]],'NHL Model'!$A$6:$B$38,2,FALSE)</f>
        <v>0.15493687588867713</v>
      </c>
      <c r="J205">
        <f>($B$1+Table4[[#This Row],[Home Differential]])-Table4[[#This Row],[Away Differential]]</f>
        <v>-0.5163106307772185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0.50866658458339231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0.24140852510494878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1.6584974384060074</v>
      </c>
      <c r="H206" t="s">
        <v>37</v>
      </c>
      <c r="I206">
        <f>VLOOKUP(Table4[[#This Row],[Visitor]],'NHL Model'!$A$6:$B$38,2,FALSE)</f>
        <v>0.66987960668864954</v>
      </c>
      <c r="J206">
        <f>($B$1+Table4[[#This Row],[Home Differential]])-Table4[[#This Row],[Away Differential]]</f>
        <v>1.0368990850060094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0.69701212347466346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9.1801653321332582E-2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0.7564009584796878</v>
      </c>
      <c r="H207" t="s">
        <v>17</v>
      </c>
      <c r="I207">
        <f>VLOOKUP(Table4[[#This Row],[Visitor]],'NHL Model'!$A$6:$B$38,2,FALSE)</f>
        <v>-0.41671190768559452</v>
      </c>
      <c r="J207">
        <f>($B$1+Table4[[#This Row],[Home Differential]])-Table4[[#This Row],[Away Differential]]</f>
        <v>1.2213941194539337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0.72197352353064281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7.7298721617966026E-2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-0.19390166761644689</v>
      </c>
      <c r="H208" t="s">
        <v>40</v>
      </c>
      <c r="I208">
        <f>VLOOKUP(Table4[[#This Row],[Visitor]],'NHL Model'!$A$6:$B$38,2,FALSE)</f>
        <v>-3.3785654828041967E-2</v>
      </c>
      <c r="J208">
        <f>($B$1+Table4[[#This Row],[Home Differential]])-Table4[[#This Row],[Away Differential]]</f>
        <v>-0.11183475949975352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0.47631003408577016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0.22687124857078753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5.1566962112876508E-2</v>
      </c>
      <c r="H209" t="s">
        <v>29</v>
      </c>
      <c r="I209">
        <f>VLOOKUP(Table4[[#This Row],[Visitor]],'NHL Model'!$A$6:$B$38,2,FALSE)</f>
        <v>-0.90025837753161619</v>
      </c>
      <c r="J209">
        <f>($B$1+Table4[[#This Row],[Home Differential]])-Table4[[#This Row],[Away Differential]]</f>
        <v>1.0001065929331441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0.65387544036792045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0.11980221078050099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-0.36560113761686208</v>
      </c>
      <c r="H210" t="s">
        <v>27</v>
      </c>
      <c r="I210">
        <f>VLOOKUP(Table4[[#This Row],[Visitor]],'NHL Model'!$A$6:$B$38,2,FALSE)</f>
        <v>-2.8950318025217449E-2</v>
      </c>
      <c r="J210">
        <f>($B$1+Table4[[#This Row],[Home Differential]])-Table4[[#This Row],[Away Differential]]</f>
        <v>-0.28836956630299321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0.53534727421733241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0.21590215557726289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0.24561340747691926</v>
      </c>
      <c r="H211" t="s">
        <v>21</v>
      </c>
      <c r="I211">
        <f>VLOOKUP(Table4[[#This Row],[Visitor]],'NHL Model'!$A$6:$B$38,2,FALSE)</f>
        <v>2.6215642141022087E-2</v>
      </c>
      <c r="J211">
        <f>($B$1+Table4[[#This Row],[Home Differential]])-Table4[[#This Row],[Away Differential]]</f>
        <v>0.26767901862454863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0.57047881729658889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0.32544608098411487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9.0184826596604858E-2</v>
      </c>
      <c r="H212" t="s">
        <v>25</v>
      </c>
      <c r="I212">
        <f>VLOOKUP(Table4[[#This Row],[Visitor]],'NHL Model'!$A$6:$B$38,2,FALSE)</f>
        <v>0.47905090860407873</v>
      </c>
      <c r="J212">
        <f>($B$1+Table4[[#This Row],[Home Differential]])-Table4[[#This Row],[Away Differential]]</f>
        <v>-0.34058482871882245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0.57140328277478147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0.18369514601623393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9.2938870272174581E-2</v>
      </c>
      <c r="H213" t="s">
        <v>26</v>
      </c>
      <c r="I213">
        <f>VLOOKUP(Table4[[#This Row],[Visitor]],'NHL Model'!$A$6:$B$38,2,FALSE)</f>
        <v>-0.60099633616081094</v>
      </c>
      <c r="J213">
        <f>($B$1+Table4[[#This Row],[Home Differential]])-Table4[[#This Row],[Away Differential]]</f>
        <v>0.74221645972163697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0.62451121790052067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0.14099182548255026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-0.81412334763558081</v>
      </c>
      <c r="H214" t="s">
        <v>28</v>
      </c>
      <c r="I214">
        <f>VLOOKUP(Table4[[#This Row],[Visitor]],'NHL Model'!$A$6:$B$38,2,FALSE)</f>
        <v>-0.28376306754383246</v>
      </c>
      <c r="J214">
        <f>($B$1+Table4[[#This Row],[Home Differential]])-Table4[[#This Row],[Away Differential]]</f>
        <v>-0.48207902680309694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0.51846726940527044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0.26880830944455725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-0.56616527987265597</v>
      </c>
      <c r="H215" t="s">
        <v>33</v>
      </c>
      <c r="I215">
        <f>VLOOKUP(Table4[[#This Row],[Visitor]],'NHL Model'!$A$6:$B$38,2,FALSE)</f>
        <v>-0.47218252282767964</v>
      </c>
      <c r="J215">
        <f>($B$1+Table4[[#This Row],[Home Differential]])-Table4[[#This Row],[Away Differential]]</f>
        <v>-4.5701503756324924E-2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0.46520372418550349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0.28600705662505505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-8.5089305365893694E-2</v>
      </c>
      <c r="H216" t="s">
        <v>55</v>
      </c>
      <c r="I216">
        <f>VLOOKUP(Table4[[#This Row],[Visitor]],'NHL Model'!$A$6:$B$38,2,FALSE)</f>
        <v>0.15493687588867713</v>
      </c>
      <c r="J216">
        <f>($B$1+Table4[[#This Row],[Home Differential]])-Table4[[#This Row],[Away Differential]]</f>
        <v>-0.19174492796591941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0.48183271089774121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0.23216276129106625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-0.77107712767799974</v>
      </c>
      <c r="H217" t="s">
        <v>10</v>
      </c>
      <c r="I217">
        <f>VLOOKUP(Table4[[#This Row],[Visitor]],'NHL Model'!$A$6:$B$38,2,FALSE)</f>
        <v>2.5996227684575345E-2</v>
      </c>
      <c r="J217">
        <f>($B$1+Table4[[#This Row],[Home Differential]])-Table4[[#This Row],[Away Differential]]</f>
        <v>-0.74879210207392366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0.5460894353479212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0.206034800702769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0.84902697115371384</v>
      </c>
      <c r="H218" t="s">
        <v>35</v>
      </c>
      <c r="I218">
        <f>VLOOKUP(Table4[[#This Row],[Visitor]],'NHL Model'!$A$6:$B$38,2,FALSE)</f>
        <v>-1.1754320402170535</v>
      </c>
      <c r="J218">
        <f>($B$1+Table4[[#This Row],[Home Differential]])-Table4[[#This Row],[Away Differential]]</f>
        <v>2.0727402646594189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0.80204678935820573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3.9185473603394576E-2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2.6215642141022087E-2</v>
      </c>
      <c r="H219" t="s">
        <v>36</v>
      </c>
      <c r="I219">
        <f>VLOOKUP(Table4[[#This Row],[Visitor]],'NHL Model'!$A$6:$B$38,2,FALSE)</f>
        <v>-0.23108682001987857</v>
      </c>
      <c r="J219">
        <f>($B$1+Table4[[#This Row],[Home Differential]])-Table4[[#This Row],[Away Differential]]</f>
        <v>0.3055837154495521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0.62303006540700023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0.14210633158705052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-0.40965500817719275</v>
      </c>
      <c r="H220" t="s">
        <v>35</v>
      </c>
      <c r="I220">
        <f>VLOOKUP(Table4[[#This Row],[Visitor]],'NHL Model'!$A$6:$B$38,2,FALSE)</f>
        <v>-1.1754320402170535</v>
      </c>
      <c r="J220">
        <f>($B$1+Table4[[#This Row],[Home Differential]])-Table4[[#This Row],[Away Differential]]</f>
        <v>0.8140582853285121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0.64281361487116773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0.41320934346373794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0.47905090860407873</v>
      </c>
      <c r="H221" t="s">
        <v>34</v>
      </c>
      <c r="I221">
        <f>VLOOKUP(Table4[[#This Row],[Visitor]],'NHL Model'!$A$6:$B$38,2,FALSE)</f>
        <v>5.1566962112876508E-2</v>
      </c>
      <c r="J221">
        <f>($B$1+Table4[[#This Row],[Home Differential]])-Table4[[#This Row],[Away Differential]]</f>
        <v>0.47576519977985365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0.58750553059659472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0.17015168728839686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0.7564009584796878</v>
      </c>
      <c r="H222" t="s">
        <v>31</v>
      </c>
      <c r="I222">
        <f>VLOOKUP(Table4[[#This Row],[Visitor]],'NHL Model'!$A$6:$B$38,2,FALSE)</f>
        <v>0.17827516980235869</v>
      </c>
      <c r="J222">
        <f>($B$1+Table4[[#This Row],[Home Differential]])-Table4[[#This Row],[Away Differential]]</f>
        <v>0.62640704196598052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0.63382477503646562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0.40173384545002627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-0.19390166761644689</v>
      </c>
      <c r="H223" t="s">
        <v>11</v>
      </c>
      <c r="I223">
        <f>VLOOKUP(Table4[[#This Row],[Visitor]],'NHL Model'!$A$6:$B$38,2,FALSE)</f>
        <v>-0.3510442662416135</v>
      </c>
      <c r="J223">
        <f>($B$1+Table4[[#This Row],[Home Differential]])-Table4[[#This Row],[Away Differential]]</f>
        <v>0.20542385191381801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0.5633902383646463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0.31740856068457296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-2.8342943575894393E-4</v>
      </c>
      <c r="H224" t="s">
        <v>18</v>
      </c>
      <c r="I224">
        <f>VLOOKUP(Table4[[#This Row],[Visitor]],'NHL Model'!$A$6:$B$38,2,FALSE)</f>
        <v>-0.36560113761686208</v>
      </c>
      <c r="J224">
        <f>($B$1+Table4[[#This Row],[Home Differential]])-Table4[[#This Row],[Away Differential]]</f>
        <v>0.41359896146975456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0.57136558867296994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0.18372745857366959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-0.90025837753161619</v>
      </c>
      <c r="H225" t="s">
        <v>27</v>
      </c>
      <c r="I225">
        <f>VLOOKUP(Table4[[#This Row],[Visitor]],'NHL Model'!$A$6:$B$38,2,FALSE)</f>
        <v>-2.8950318025217449E-2</v>
      </c>
      <c r="J225">
        <f>($B$1+Table4[[#This Row],[Home Differential]])-Table4[[#This Row],[Away Differential]]</f>
        <v>-0.82302680621774738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0.59622511371104681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0.16303415879765709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0.17535803439735015</v>
      </c>
      <c r="H226" t="s">
        <v>22</v>
      </c>
      <c r="I226">
        <f>VLOOKUP(Table4[[#This Row],[Visitor]],'NHL Model'!$A$6:$B$38,2,FALSE)</f>
        <v>0.84902697115371384</v>
      </c>
      <c r="J226">
        <f>($B$1+Table4[[#This Row],[Home Differential]])-Table4[[#This Row],[Away Differential]]</f>
        <v>-0.62538768346771234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0.58534752499128018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0.34263172501341738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9.2938870272174581E-2</v>
      </c>
      <c r="H227" t="s">
        <v>37</v>
      </c>
      <c r="I227">
        <f>VLOOKUP(Table4[[#This Row],[Visitor]],'NHL Model'!$A$6:$B$38,2,FALSE)</f>
        <v>0.66987960668864954</v>
      </c>
      <c r="J227">
        <f>($B$1+Table4[[#This Row],[Home Differential]])-Table4[[#This Row],[Away Differential]]</f>
        <v>-0.52865948312782352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0.59281808420115412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0.16579711255361843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-0.81412334763558081</v>
      </c>
      <c r="H228" t="s">
        <v>10</v>
      </c>
      <c r="I228">
        <f>VLOOKUP(Table4[[#This Row],[Visitor]],'NHL Model'!$A$6:$B$38,2,FALSE)</f>
        <v>2.5996227684575345E-2</v>
      </c>
      <c r="J228">
        <f>($B$1+Table4[[#This Row],[Home Differential]])-Table4[[#This Row],[Away Differential]]</f>
        <v>-0.79183832203150473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0.55099082014878265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0.20160924359066285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-0.60099633616081094</v>
      </c>
      <c r="H229" t="s">
        <v>15</v>
      </c>
      <c r="I229">
        <f>VLOOKUP(Table4[[#This Row],[Visitor]],'NHL Model'!$A$6:$B$38,2,FALSE)</f>
        <v>9.0184826596604858E-2</v>
      </c>
      <c r="J229">
        <f>($B$1+Table4[[#This Row],[Home Differential]])-Table4[[#This Row],[Away Differential]]</f>
        <v>-0.64289990946876441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0.62972444654238935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0.13710398548833988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0.24561340747691926</v>
      </c>
      <c r="H230" t="s">
        <v>34</v>
      </c>
      <c r="I230">
        <f>VLOOKUP(Table4[[#This Row],[Visitor]],'NHL Model'!$A$6:$B$38,2,FALSE)</f>
        <v>5.1566962112876508E-2</v>
      </c>
      <c r="J230">
        <f>($B$1+Table4[[#This Row],[Home Differential]])-Table4[[#This Row],[Away Differential]]</f>
        <v>0.24232769865269418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0.52830549902222057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0.27910670029711748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-0.47218252282767964</v>
      </c>
      <c r="H231" t="s">
        <v>40</v>
      </c>
      <c r="I231">
        <f>VLOOKUP(Table4[[#This Row],[Visitor]],'NHL Model'!$A$6:$B$38,2,FALSE)</f>
        <v>-3.3785654828041967E-2</v>
      </c>
      <c r="J231">
        <f>($B$1+Table4[[#This Row],[Home Differential]])-Table4[[#This Row],[Away Differential]]</f>
        <v>-0.39011561471098627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0.50799601151763674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0.25805994771782692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0.47905090860407873</v>
      </c>
      <c r="H232" t="s">
        <v>23</v>
      </c>
      <c r="I232">
        <f>VLOOKUP(Table4[[#This Row],[Visitor]],'NHL Model'!$A$6:$B$38,2,FALSE)</f>
        <v>-0.40965500817719275</v>
      </c>
      <c r="J232">
        <f>($B$1+Table4[[#This Row],[Home Differential]])-Table4[[#This Row],[Away Differential]]</f>
        <v>0.93698717006992283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0.67893452018381706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0.10308304232959578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-0.41671190768559452</v>
      </c>
      <c r="H233" t="s">
        <v>12</v>
      </c>
      <c r="I233">
        <f>VLOOKUP(Table4[[#This Row],[Visitor]],'NHL Model'!$A$6:$B$38,2,FALSE)</f>
        <v>1.6584974384060074</v>
      </c>
      <c r="J233">
        <f>($B$1+Table4[[#This Row],[Home Differential]])-Table4[[#This Row],[Away Differential]]</f>
        <v>-2.0269280928029505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0.74242063526493263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6.6347129137320868E-2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-0.36560113761686208</v>
      </c>
      <c r="H234" t="s">
        <v>55</v>
      </c>
      <c r="I234">
        <f>VLOOKUP(Table4[[#This Row],[Visitor]],'NHL Model'!$A$6:$B$38,2,FALSE)</f>
        <v>0.15493687588867713</v>
      </c>
      <c r="J234">
        <f>($B$1+Table4[[#This Row],[Home Differential]])-Table4[[#This Row],[Away Differential]]</f>
        <v>-0.47225676021688778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0.51377271474503772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0.26396240241648589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-2.8342943575894393E-4</v>
      </c>
      <c r="H235" t="s">
        <v>14</v>
      </c>
      <c r="I235">
        <f>VLOOKUP(Table4[[#This Row],[Visitor]],'NHL Model'!$A$6:$B$38,2,FALSE)</f>
        <v>0.17535803439735015</v>
      </c>
      <c r="J235">
        <f>($B$1+Table4[[#This Row],[Home Differential]])-Table4[[#This Row],[Away Differential]]</f>
        <v>-0.12736021054445767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0.48508988958135285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0.23531220097404909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-0.90025837753161619</v>
      </c>
      <c r="H236" t="s">
        <v>39</v>
      </c>
      <c r="I236">
        <f>VLOOKUP(Table4[[#This Row],[Visitor]],'NHL Model'!$A$6:$B$38,2,FALSE)</f>
        <v>0.7564009584796878</v>
      </c>
      <c r="J236">
        <f>($B$1+Table4[[#This Row],[Home Differential]])-Table4[[#This Row],[Away Differential]]</f>
        <v>-1.6083780827226526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0.73562142937090114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6.9896028607885421E-2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9.0184826596604858E-2</v>
      </c>
      <c r="H237" t="s">
        <v>30</v>
      </c>
      <c r="I237">
        <f>VLOOKUP(Table4[[#This Row],[Visitor]],'NHL Model'!$A$6:$B$38,2,FALSE)</f>
        <v>0.24561340747691926</v>
      </c>
      <c r="J237">
        <f>($B$1+Table4[[#This Row],[Home Differential]])-Table4[[#This Row],[Away Differential]]</f>
        <v>-0.10714732759166298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0.54482331777197179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0.20718581204411537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-2.8950318025217449E-2</v>
      </c>
      <c r="H238" t="s">
        <v>36</v>
      </c>
      <c r="I238">
        <f>VLOOKUP(Table4[[#This Row],[Visitor]],'NHL Model'!$A$6:$B$38,2,FALSE)</f>
        <v>-0.23108682001987857</v>
      </c>
      <c r="J238">
        <f>($B$1+Table4[[#This Row],[Home Differential]])-Table4[[#This Row],[Away Differential]]</f>
        <v>0.2504177552833125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0.59101339283265741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0.34929683050756904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-0.47218252282767964</v>
      </c>
      <c r="H239" t="s">
        <v>11</v>
      </c>
      <c r="I239">
        <f>VLOOKUP(Table4[[#This Row],[Visitor]],'NHL Model'!$A$6:$B$38,2,FALSE)</f>
        <v>-0.3510442662416135</v>
      </c>
      <c r="J239">
        <f>($B$1+Table4[[#This Row],[Home Differential]])-Table4[[#This Row],[Away Differential]]</f>
        <v>-7.2857003297414735E-2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0.46829573906722038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0.21930089922851417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-1.1754320402170535</v>
      </c>
      <c r="H240" t="s">
        <v>32</v>
      </c>
      <c r="I240">
        <f>VLOOKUP(Table4[[#This Row],[Visitor]],'NHL Model'!$A$6:$B$38,2,FALSE)</f>
        <v>-0.56616527987265597</v>
      </c>
      <c r="J240">
        <f>($B$1+Table4[[#This Row],[Home Differential]])-Table4[[#This Row],[Away Differential]]</f>
        <v>-0.56098550705574612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0.52387566296172261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0.22669438432013916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0.66987960668864954</v>
      </c>
      <c r="H241" t="s">
        <v>22</v>
      </c>
      <c r="I241">
        <f>VLOOKUP(Table4[[#This Row],[Visitor]],'NHL Model'!$A$6:$B$38,2,FALSE)</f>
        <v>0.84902697115371384</v>
      </c>
      <c r="J241">
        <f>($B$1+Table4[[#This Row],[Home Differential]])-Table4[[#This Row],[Away Differential]]</f>
        <v>-0.13086611117641289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0.51490084771438704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0.26512288297699438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-8.5089305365893694E-2</v>
      </c>
      <c r="H242" t="s">
        <v>21</v>
      </c>
      <c r="I242">
        <f>VLOOKUP(Table4[[#This Row],[Visitor]],'NHL Model'!$A$6:$B$38,2,FALSE)</f>
        <v>2.6215642141022087E-2</v>
      </c>
      <c r="J242">
        <f>($B$1+Table4[[#This Row],[Home Differential]])-Table4[[#This Row],[Away Differential]]</f>
        <v>-6.302369421826437E-2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0.46717608601266147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0.28390132331678675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-0.77107712767799974</v>
      </c>
      <c r="H243" t="s">
        <v>28</v>
      </c>
      <c r="I243">
        <f>VLOOKUP(Table4[[#This Row],[Visitor]],'NHL Model'!$A$6:$B$38,2,FALSE)</f>
        <v>-0.28376306754383246</v>
      </c>
      <c r="J243">
        <f>($B$1+Table4[[#This Row],[Home Differential]])-Table4[[#This Row],[Away Differential]]</f>
        <v>-0.43903280684551588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0.51356588460440888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0.26374991782950902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9.2938870272174581E-2</v>
      </c>
      <c r="H244" t="s">
        <v>31</v>
      </c>
      <c r="I244">
        <f>VLOOKUP(Table4[[#This Row],[Visitor]],'NHL Model'!$A$6:$B$38,2,FALSE)</f>
        <v>0.17827516980235869</v>
      </c>
      <c r="J244">
        <f>($B$1+Table4[[#This Row],[Home Differential]])-Table4[[#This Row],[Away Differential]]</f>
        <v>-3.7055046241532719E-2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0.48498844073987257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0.26523690617154777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0.17827516980235869</v>
      </c>
      <c r="H245" t="s">
        <v>40</v>
      </c>
      <c r="I245">
        <f>VLOOKUP(Table4[[#This Row],[Visitor]],'NHL Model'!$A$6:$B$38,2,FALSE)</f>
        <v>-3.3785654828041967E-2</v>
      </c>
      <c r="J245">
        <f>($B$1+Table4[[#This Row],[Home Differential]])-Table4[[#This Row],[Away Differential]]</f>
        <v>0.26034207791905206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0.63448211866883808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0.13360332157282137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0.7564009584796878</v>
      </c>
      <c r="H246" t="s">
        <v>32</v>
      </c>
      <c r="I246">
        <f>VLOOKUP(Table4[[#This Row],[Visitor]],'NHL Model'!$A$6:$B$38,2,FALSE)</f>
        <v>-0.56616527987265597</v>
      </c>
      <c r="J246">
        <f>($B$1+Table4[[#This Row],[Home Differential]])-Table4[[#This Row],[Away Differential]]</f>
        <v>1.3708474916409952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0.73899077818382763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6.8125813873083862E-2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-0.60099633616081094</v>
      </c>
      <c r="H247" t="s">
        <v>10</v>
      </c>
      <c r="I247">
        <f>VLOOKUP(Table4[[#This Row],[Visitor]],'NHL Model'!$A$6:$B$38,2,FALSE)</f>
        <v>2.5996227684575345E-2</v>
      </c>
      <c r="J247">
        <f>($B$1+Table4[[#This Row],[Home Differential]])-Table4[[#This Row],[Away Differential]]</f>
        <v>-0.57871131055673486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0.51659820685489222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0.23367729361590558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5.1566962112876508E-2</v>
      </c>
      <c r="H248" t="s">
        <v>16</v>
      </c>
      <c r="I248">
        <f>VLOOKUP(Table4[[#This Row],[Visitor]],'NHL Model'!$A$6:$B$38,2,FALSE)</f>
        <v>-0.81412334763558081</v>
      </c>
      <c r="J248">
        <f>($B$1+Table4[[#This Row],[Home Differential]])-Table4[[#This Row],[Away Differential]]</f>
        <v>0.91397156303710869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0.64406782133028584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0.12668771581256932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-0.23108682001987857</v>
      </c>
      <c r="H249" t="s">
        <v>55</v>
      </c>
      <c r="I249">
        <f>VLOOKUP(Table4[[#This Row],[Visitor]],'NHL Model'!$A$6:$B$38,2,FALSE)</f>
        <v>0.15493687588867713</v>
      </c>
      <c r="J249">
        <f>($B$1+Table4[[#This Row],[Home Differential]])-Table4[[#This Row],[Away Differential]]</f>
        <v>-0.33774244261990427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0.49845647019632211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0.24845885268057696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0.17535803439735015</v>
      </c>
      <c r="H250" t="s">
        <v>13</v>
      </c>
      <c r="I250">
        <f>VLOOKUP(Table4[[#This Row],[Visitor]],'NHL Model'!$A$6:$B$38,2,FALSE)</f>
        <v>-0.19390166761644689</v>
      </c>
      <c r="J250">
        <f>($B$1+Table4[[#This Row],[Home Differential]])-Table4[[#This Row],[Away Differential]]</f>
        <v>0.41754095530244845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0.52122680297864543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0.27167738014333964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-8.5089305365893694E-2</v>
      </c>
      <c r="H251" t="s">
        <v>25</v>
      </c>
      <c r="I251">
        <f>VLOOKUP(Table4[[#This Row],[Visitor]],'NHL Model'!$A$6:$B$38,2,FALSE)</f>
        <v>0.47905090860407873</v>
      </c>
      <c r="J251">
        <f>($B$1+Table4[[#This Row],[Home Differential]])-Table4[[#This Row],[Away Differential]]</f>
        <v>-0.51585896068132098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0.59136057443086076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0.16698618012947608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-0.77107712767799974</v>
      </c>
      <c r="H252" t="s">
        <v>12</v>
      </c>
      <c r="I252">
        <f>VLOOKUP(Table4[[#This Row],[Visitor]],'NHL Model'!$A$6:$B$38,2,FALSE)</f>
        <v>1.6584974384060074</v>
      </c>
      <c r="J252">
        <f>($B$1+Table4[[#This Row],[Home Differential]])-Table4[[#This Row],[Away Differential]]</f>
        <v>-2.3812933127953557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0.78528074030762252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4.6104360482842645E-2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-0.41671190768559452</v>
      </c>
      <c r="H253" t="s">
        <v>28</v>
      </c>
      <c r="I253">
        <f>VLOOKUP(Table4[[#This Row],[Visitor]],'NHL Model'!$A$6:$B$38,2,FALSE)</f>
        <v>-0.28376306754383246</v>
      </c>
      <c r="J253">
        <f>($B$1+Table4[[#This Row],[Home Differential]])-Table4[[#This Row],[Away Differential]]</f>
        <v>-8.4667586853110655E-2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0.47071837543667461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0.22157578897374214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-2.8342943575894393E-4</v>
      </c>
      <c r="H254" t="s">
        <v>30</v>
      </c>
      <c r="I254">
        <f>VLOOKUP(Table4[[#This Row],[Visitor]],'NHL Model'!$A$6:$B$38,2,FALSE)</f>
        <v>0.24561340747691926</v>
      </c>
      <c r="J254">
        <f>($B$1+Table4[[#This Row],[Home Differential]])-Table4[[#This Row],[Away Differential]]</f>
        <v>-0.19761558362402681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0.51158413257608548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0.23855005955145483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9.0184826596604858E-2</v>
      </c>
      <c r="H255" t="s">
        <v>29</v>
      </c>
      <c r="I255">
        <f>VLOOKUP(Table4[[#This Row],[Visitor]],'NHL Model'!$A$6:$B$38,2,FALSE)</f>
        <v>-0.90025837753161619</v>
      </c>
      <c r="J255">
        <f>($B$1+Table4[[#This Row],[Home Differential]])-Table4[[#This Row],[Away Differential]]</f>
        <v>1.0387244574168726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0.65827259798614568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0.11677761728713841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9.2938870272174581E-2</v>
      </c>
      <c r="H256" t="s">
        <v>11</v>
      </c>
      <c r="I256">
        <f>VLOOKUP(Table4[[#This Row],[Visitor]],'NHL Model'!$A$6:$B$38,2,FALSE)</f>
        <v>-0.3510442662416135</v>
      </c>
      <c r="J256">
        <f>($B$1+Table4[[#This Row],[Home Differential]])-Table4[[#This Row],[Away Differential]]</f>
        <v>0.49226438980243947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0.59605084954174059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0.35527661523943066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2.6215642141022087E-2</v>
      </c>
      <c r="H257" t="s">
        <v>19</v>
      </c>
      <c r="I257">
        <f>VLOOKUP(Table4[[#This Row],[Visitor]],'NHL Model'!$A$6:$B$38,2,FALSE)</f>
        <v>-8.5089305365893694E-2</v>
      </c>
      <c r="J257">
        <f>($B$1+Table4[[#This Row],[Home Differential]])-Table4[[#This Row],[Away Differential]]</f>
        <v>0.15958620079556718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0.60988698832213317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0.15218816188037546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0.47905090860407873</v>
      </c>
      <c r="H258" t="s">
        <v>22</v>
      </c>
      <c r="I258">
        <f>VLOOKUP(Table4[[#This Row],[Visitor]],'NHL Model'!$A$6:$B$38,2,FALSE)</f>
        <v>0.84902697115371384</v>
      </c>
      <c r="J258">
        <f>($B$1+Table4[[#This Row],[Home Differential]])-Table4[[#This Row],[Away Differential]]</f>
        <v>-0.32169480926098371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0.51811071513269646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0.23221728286992122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1.6584974384060074</v>
      </c>
      <c r="H259" t="s">
        <v>31</v>
      </c>
      <c r="I259">
        <f>VLOOKUP(Table4[[#This Row],[Visitor]],'NHL Model'!$A$6:$B$38,2,FALSE)</f>
        <v>0.17827516980235869</v>
      </c>
      <c r="J259">
        <f>($B$1+Table4[[#This Row],[Home Differential]])-Table4[[#This Row],[Away Differential]]</f>
        <v>1.5285035218923002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0.80261188874769562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3.8962066463752089E-2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5.1566962112876508E-2</v>
      </c>
      <c r="H260" t="s">
        <v>33</v>
      </c>
      <c r="I260">
        <f>VLOOKUP(Table4[[#This Row],[Visitor]],'NHL Model'!$A$6:$B$38,2,FALSE)</f>
        <v>-0.47218252282767964</v>
      </c>
      <c r="J260">
        <f>($B$1+Table4[[#This Row],[Home Differential]])-Table4[[#This Row],[Away Differential]]</f>
        <v>0.57203073822920758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0.60513330946933597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0.36618632222931113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-0.36560113761686208</v>
      </c>
      <c r="H261" t="s">
        <v>13</v>
      </c>
      <c r="I261">
        <f>VLOOKUP(Table4[[#This Row],[Visitor]],'NHL Model'!$A$6:$B$38,2,FALSE)</f>
        <v>-0.19390166761644689</v>
      </c>
      <c r="J261">
        <f>($B$1+Table4[[#This Row],[Home Differential]])-Table4[[#This Row],[Away Differential]]</f>
        <v>-0.12341821671176378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0.5403685953213655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0.21126102816685469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-0.23108682001987857</v>
      </c>
      <c r="H262" t="s">
        <v>39</v>
      </c>
      <c r="I262">
        <f>VLOOKUP(Table4[[#This Row],[Visitor]],'NHL Model'!$A$6:$B$38,2,FALSE)</f>
        <v>0.7564009584796878</v>
      </c>
      <c r="J262">
        <f>($B$1+Table4[[#This Row],[Home Differential]])-Table4[[#This Row],[Away Differential]]</f>
        <v>-0.93920652521091497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0.65942734532847125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0.11598973311001237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-0.56616527987265597</v>
      </c>
      <c r="H263" t="s">
        <v>28</v>
      </c>
      <c r="I263">
        <f>VLOOKUP(Table4[[#This Row],[Visitor]],'NHL Model'!$A$6:$B$38,2,FALSE)</f>
        <v>-0.28376306754383246</v>
      </c>
      <c r="J263">
        <f>($B$1+Table4[[#This Row],[Home Differential]])-Table4[[#This Row],[Away Differential]]</f>
        <v>-0.23412095904017211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0.49023394471887949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0.25986143111687443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-1.1754320402170535</v>
      </c>
      <c r="H264" t="s">
        <v>16</v>
      </c>
      <c r="I264">
        <f>VLOOKUP(Table4[[#This Row],[Visitor]],'NHL Model'!$A$6:$B$38,2,FALSE)</f>
        <v>-0.81412334763558081</v>
      </c>
      <c r="J264">
        <f>($B$1+Table4[[#This Row],[Home Differential]])-Table4[[#This Row],[Away Differential]]</f>
        <v>-0.31302743929282129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0.49564233827533161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0.24566132749103825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-0.77107712767799974</v>
      </c>
      <c r="H265" t="s">
        <v>40</v>
      </c>
      <c r="I265">
        <f>VLOOKUP(Table4[[#This Row],[Visitor]],'NHL Model'!$A$6:$B$38,2,FALSE)</f>
        <v>-3.3785654828041967E-2</v>
      </c>
      <c r="J265">
        <f>($B$1+Table4[[#This Row],[Home Differential]])-Table4[[#This Row],[Away Differential]]</f>
        <v>-0.68901021956130637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0.54202913857772517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0.20973730991186046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2.5996227684575345E-2</v>
      </c>
      <c r="H266" t="s">
        <v>24</v>
      </c>
      <c r="I266">
        <f>VLOOKUP(Table4[[#This Row],[Visitor]],'NHL Model'!$A$6:$B$38,2,FALSE)</f>
        <v>-2.8342943575894393E-4</v>
      </c>
      <c r="J266">
        <f>($B$1+Table4[[#This Row],[Home Differential]])-Table4[[#This Row],[Away Differential]]</f>
        <v>7.4560910408985701E-2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0.52772052079030518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0.27848894806319091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-2.8950318025217449E-2</v>
      </c>
      <c r="H267" t="s">
        <v>17</v>
      </c>
      <c r="I267">
        <f>VLOOKUP(Table4[[#This Row],[Visitor]],'NHL Model'!$A$6:$B$38,2,FALSE)</f>
        <v>-0.41671190768559452</v>
      </c>
      <c r="J267">
        <f>($B$1+Table4[[#This Row],[Home Differential]])-Table4[[#This Row],[Away Differential]]</f>
        <v>0.43604284294902845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0.61568701434693363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0.37907049963544126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0.66987960668864954</v>
      </c>
      <c r="H268" t="s">
        <v>15</v>
      </c>
      <c r="I268">
        <f>VLOOKUP(Table4[[#This Row],[Visitor]],'NHL Model'!$A$6:$B$38,2,FALSE)</f>
        <v>9.0184826596604858E-2</v>
      </c>
      <c r="J268">
        <f>($B$1+Table4[[#This Row],[Home Differential]])-Table4[[#This Row],[Away Differential]]</f>
        <v>0.62797603338069607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0.51887184663449559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0.26922799322989149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0.15493687588867713</v>
      </c>
      <c r="H269" t="s">
        <v>23</v>
      </c>
      <c r="I269">
        <f>VLOOKUP(Table4[[#This Row],[Visitor]],'NHL Model'!$A$6:$B$38,2,FALSE)</f>
        <v>-0.40965500817719275</v>
      </c>
      <c r="J269">
        <f>($B$1+Table4[[#This Row],[Home Differential]])-Table4[[#This Row],[Away Differential]]</f>
        <v>0.61287313735452131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0.65021493739635883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0.12234959002063317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-0.28376306754383246</v>
      </c>
      <c r="H270" t="s">
        <v>17</v>
      </c>
      <c r="I270">
        <f>VLOOKUP(Table4[[#This Row],[Visitor]],'NHL Model'!$A$6:$B$38,2,FALSE)</f>
        <v>-0.41671190768559452</v>
      </c>
      <c r="J270">
        <f>($B$1+Table4[[#This Row],[Home Differential]])-Table4[[#This Row],[Away Differential]]</f>
        <v>0.18123009343041346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0.56063545710340834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0.19304120155473092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-0.81412334763558081</v>
      </c>
      <c r="H271" t="s">
        <v>33</v>
      </c>
      <c r="I271">
        <f>VLOOKUP(Table4[[#This Row],[Visitor]],'NHL Model'!$A$6:$B$38,2,FALSE)</f>
        <v>-0.47218252282767964</v>
      </c>
      <c r="J271">
        <f>($B$1+Table4[[#This Row],[Home Differential]])-Table4[[#This Row],[Away Differential]]</f>
        <v>-0.29365957151924976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0.49343704887189443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0.24348012119940435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1.6584974384060074</v>
      </c>
      <c r="H272" t="s">
        <v>23</v>
      </c>
      <c r="I272">
        <f>VLOOKUP(Table4[[#This Row],[Visitor]],'NHL Model'!$A$6:$B$38,2,FALSE)</f>
        <v>-0.40965500817719275</v>
      </c>
      <c r="J272">
        <f>($B$1+Table4[[#This Row],[Home Differential]])-Table4[[#This Row],[Away Differential]]</f>
        <v>2.1164336998718514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0.88880509821907006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1.2364306182070657E-2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-0.60099633616081094</v>
      </c>
      <c r="H273" t="s">
        <v>31</v>
      </c>
      <c r="I273">
        <f>VLOOKUP(Table4[[#This Row],[Visitor]],'NHL Model'!$A$6:$B$38,2,FALSE)</f>
        <v>0.17827516980235869</v>
      </c>
      <c r="J273">
        <f>($B$1+Table4[[#This Row],[Home Differential]])-Table4[[#This Row],[Away Differential]]</f>
        <v>-0.73099025267451823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0.55382120017622471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0.30671792176463397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-0.3510442662416135</v>
      </c>
      <c r="H274" t="s">
        <v>22</v>
      </c>
      <c r="I274">
        <f>VLOOKUP(Table4[[#This Row],[Visitor]],'NHL Model'!$A$6:$B$38,2,FALSE)</f>
        <v>0.84902697115371384</v>
      </c>
      <c r="J274">
        <f>($B$1+Table4[[#This Row],[Home Differential]])-Table4[[#This Row],[Away Differential]]</f>
        <v>-1.1517899841066759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0.64528542983014525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0.41639328595107533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-0.36560113761686208</v>
      </c>
      <c r="H275" t="s">
        <v>39</v>
      </c>
      <c r="I275">
        <f>VLOOKUP(Table4[[#This Row],[Visitor]],'NHL Model'!$A$6:$B$38,2,FALSE)</f>
        <v>0.7564009584796878</v>
      </c>
      <c r="J275">
        <f>($B$1+Table4[[#This Row],[Home Differential]])-Table4[[#This Row],[Away Differential]]</f>
        <v>-1.0737208428078984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0.67474358987718674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0.1057917323259797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-0.23108682001987857</v>
      </c>
      <c r="H276" t="s">
        <v>21</v>
      </c>
      <c r="I276">
        <f>VLOOKUP(Table4[[#This Row],[Visitor]],'NHL Model'!$A$6:$B$38,2,FALSE)</f>
        <v>2.6215642141022087E-2</v>
      </c>
      <c r="J276">
        <f>($B$1+Table4[[#This Row],[Home Differential]])-Table4[[#This Row],[Away Differential]]</f>
        <v>-0.20902120887224926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0.48379984531124237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0.23406229032318204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-0.56616527987265597</v>
      </c>
      <c r="H277" t="s">
        <v>40</v>
      </c>
      <c r="I277">
        <f>VLOOKUP(Table4[[#This Row],[Visitor]],'NHL Model'!$A$6:$B$38,2,FALSE)</f>
        <v>-3.3785654828041967E-2</v>
      </c>
      <c r="J277">
        <f>($B$1+Table4[[#This Row],[Home Differential]])-Table4[[#This Row],[Away Differential]]</f>
        <v>-0.4840983717559626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0.51869719869219566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0.26904678393113113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-8.5089305365893694E-2</v>
      </c>
      <c r="H278" t="s">
        <v>13</v>
      </c>
      <c r="I278">
        <f>VLOOKUP(Table4[[#This Row],[Visitor]],'NHL Model'!$A$6:$B$38,2,FALSE)</f>
        <v>-0.19390166761644689</v>
      </c>
      <c r="J278">
        <f>($B$1+Table4[[#This Row],[Home Differential]])-Table4[[#This Row],[Away Differential]]</f>
        <v>0.15709361553920459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0.49157140852593095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0.24164244968016771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9.2938870272174581E-2</v>
      </c>
      <c r="H279" t="s">
        <v>30</v>
      </c>
      <c r="I279">
        <f>VLOOKUP(Table4[[#This Row],[Visitor]],'NHL Model'!$A$6:$B$38,2,FALSE)</f>
        <v>0.24561340747691926</v>
      </c>
      <c r="J279">
        <f>($B$1+Table4[[#This Row],[Home Differential]])-Table4[[#This Row],[Away Differential]]</f>
        <v>-0.10439328391609329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0.54450973326151653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0.20747138309349483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0.47905090860407873</v>
      </c>
      <c r="H280" t="s">
        <v>38</v>
      </c>
      <c r="I280">
        <f>VLOOKUP(Table4[[#This Row],[Visitor]],'NHL Model'!$A$6:$B$38,2,FALSE)</f>
        <v>-0.77107712767799974</v>
      </c>
      <c r="J280">
        <f>($B$1+Table4[[#This Row],[Home Differential]])-Table4[[#This Row],[Away Differential]]</f>
        <v>1.29840928957073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0.72008723661192775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7.8351155107546921E-2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-0.90025837753161619</v>
      </c>
      <c r="H281" t="s">
        <v>14</v>
      </c>
      <c r="I281">
        <f>VLOOKUP(Table4[[#This Row],[Visitor]],'NHL Model'!$A$6:$B$38,2,FALSE)</f>
        <v>0.17535803439735015</v>
      </c>
      <c r="J281">
        <f>($B$1+Table4[[#This Row],[Home Differential]])-Table4[[#This Row],[Away Differential]]</f>
        <v>-1.027335158640315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0.6311145922853898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0.3983056285955538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-1.1754320402170535</v>
      </c>
      <c r="H282" t="s">
        <v>27</v>
      </c>
      <c r="I282">
        <f>VLOOKUP(Table4[[#This Row],[Visitor]],'NHL Model'!$A$6:$B$38,2,FALSE)</f>
        <v>-2.8950318025217449E-2</v>
      </c>
      <c r="J282">
        <f>($B$1+Table4[[#This Row],[Home Differential]])-Table4[[#This Row],[Away Differential]]</f>
        <v>-1.0982004689031846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0.6275572959377993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0.13871356780916402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0.15493687588867713</v>
      </c>
      <c r="H283" t="s">
        <v>30</v>
      </c>
      <c r="I283">
        <f>VLOOKUP(Table4[[#This Row],[Visitor]],'NHL Model'!$A$6:$B$38,2,FALSE)</f>
        <v>0.24561340747691926</v>
      </c>
      <c r="J283">
        <f>($B$1+Table4[[#This Row],[Home Differential]])-Table4[[#This Row],[Away Differential]]</f>
        <v>-4.2395278299590722E-2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0.49644737816524181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0.25356524295665894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0.47905090860407873</v>
      </c>
      <c r="H284" t="s">
        <v>17</v>
      </c>
      <c r="I284">
        <f>VLOOKUP(Table4[[#This Row],[Visitor]],'NHL Model'!$A$6:$B$38,2,FALSE)</f>
        <v>-0.41671190768559452</v>
      </c>
      <c r="J284">
        <f>($B$1+Table4[[#This Row],[Home Differential]])-Table4[[#This Row],[Away Differential]]</f>
        <v>0.94404406957832465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0.67973804207321353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0.46204380584152582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-0.28376306754383246</v>
      </c>
      <c r="H285" t="s">
        <v>15</v>
      </c>
      <c r="I285">
        <f>VLOOKUP(Table4[[#This Row],[Visitor]],'NHL Model'!$A$6:$B$38,2,FALSE)</f>
        <v>9.0184826596604858E-2</v>
      </c>
      <c r="J285">
        <f>($B$1+Table4[[#This Row],[Home Differential]])-Table4[[#This Row],[Away Differential]]</f>
        <v>-0.32566664085178593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0.6036537174768114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0.15709037566995124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-0.81412334763558081</v>
      </c>
      <c r="H286" t="s">
        <v>40</v>
      </c>
      <c r="I286">
        <f>VLOOKUP(Table4[[#This Row],[Visitor]],'NHL Model'!$A$6:$B$38,2,FALSE)</f>
        <v>-3.3785654828041967E-2</v>
      </c>
      <c r="J286">
        <f>($B$1+Table4[[#This Row],[Home Differential]])-Table4[[#This Row],[Away Differential]]</f>
        <v>-0.73205643951888744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0.54693052337858661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0.20527195064600146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2.5996227684575345E-2</v>
      </c>
      <c r="H287" t="s">
        <v>19</v>
      </c>
      <c r="I287">
        <f>VLOOKUP(Table4[[#This Row],[Visitor]],'NHL Model'!$A$6:$B$38,2,FALSE)</f>
        <v>-8.5089305365893694E-2</v>
      </c>
      <c r="J287">
        <f>($B$1+Table4[[#This Row],[Home Differential]])-Table4[[#This Row],[Away Differential]]</f>
        <v>0.15936678633912044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0.55814602873595975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0.1952349319218033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0.7564009584796878</v>
      </c>
      <c r="H288" t="s">
        <v>27</v>
      </c>
      <c r="I288">
        <f>VLOOKUP(Table4[[#This Row],[Visitor]],'NHL Model'!$A$6:$B$38,2,FALSE)</f>
        <v>-2.8950318025217449E-2</v>
      </c>
      <c r="J288">
        <f>($B$1+Table4[[#This Row],[Home Differential]])-Table4[[#This Row],[Away Differential]]</f>
        <v>0.83363252979355662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0.63590376017505323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0.13256607185466515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-0.60099633616081094</v>
      </c>
      <c r="H289" t="s">
        <v>23</v>
      </c>
      <c r="I289">
        <f>VLOOKUP(Table4[[#This Row],[Visitor]],'NHL Model'!$A$6:$B$38,2,FALSE)</f>
        <v>-0.40965500817719275</v>
      </c>
      <c r="J289">
        <f>($B$1+Table4[[#This Row],[Home Differential]])-Table4[[#This Row],[Away Differential]]</f>
        <v>-0.14306007469496679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0.46616704329271813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0.28497762566683876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-0.3510442662416135</v>
      </c>
      <c r="H290" t="s">
        <v>37</v>
      </c>
      <c r="I290">
        <f>VLOOKUP(Table4[[#This Row],[Visitor]],'NHL Model'!$A$6:$B$38,2,FALSE)</f>
        <v>0.66987960668864954</v>
      </c>
      <c r="J290">
        <f>($B$1+Table4[[#This Row],[Home Differential]])-Table4[[#This Row],[Away Differential]]</f>
        <v>-0.97264261964161158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0.64337147075383927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0.12718390787227971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5.1566962112876508E-2</v>
      </c>
      <c r="H291" t="s">
        <v>31</v>
      </c>
      <c r="I291">
        <f>VLOOKUP(Table4[[#This Row],[Visitor]],'NHL Model'!$A$6:$B$38,2,FALSE)</f>
        <v>0.17827516980235869</v>
      </c>
      <c r="J291">
        <f>($B$1+Table4[[#This Row],[Home Differential]])-Table4[[#This Row],[Away Differential]]</f>
        <v>-7.8426954400830778E-2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0.48969918286855302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0.23980528970212853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-0.36560113761686208</v>
      </c>
      <c r="H292" t="s">
        <v>21</v>
      </c>
      <c r="I292">
        <f>VLOOKUP(Table4[[#This Row],[Visitor]],'NHL Model'!$A$6:$B$38,2,FALSE)</f>
        <v>2.6215642141022087E-2</v>
      </c>
      <c r="J292">
        <f>($B$1+Table4[[#This Row],[Home Differential]])-Table4[[#This Row],[Away Differential]]</f>
        <v>-0.34353552646923274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0.49911608985995798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0.25088469143717762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-0.23108682001987857</v>
      </c>
      <c r="H293" t="s">
        <v>13</v>
      </c>
      <c r="I293">
        <f>VLOOKUP(Table4[[#This Row],[Visitor]],'NHL Model'!$A$6:$B$38,2,FALSE)</f>
        <v>-0.19390166761644689</v>
      </c>
      <c r="J293">
        <f>($B$1+Table4[[#This Row],[Home Differential]])-Table4[[#This Row],[Away Differential]]</f>
        <v>1.1096100885219728E-2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0.47494764922735005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0.22557526950658596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-0.56616527987265597</v>
      </c>
      <c r="H294" t="s">
        <v>33</v>
      </c>
      <c r="I294">
        <f>VLOOKUP(Table4[[#This Row],[Visitor]],'NHL Model'!$A$6:$B$38,2,FALSE)</f>
        <v>-0.47218252282767964</v>
      </c>
      <c r="J294">
        <f>($B$1+Table4[[#This Row],[Home Differential]])-Table4[[#This Row],[Away Differential]]</f>
        <v>-4.5701503756324924E-2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0.46520372418550349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0.21641450499606199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-1.1754320402170535</v>
      </c>
      <c r="H295" t="s">
        <v>20</v>
      </c>
      <c r="I295">
        <f>VLOOKUP(Table4[[#This Row],[Visitor]],'NHL Model'!$A$6:$B$38,2,FALSE)</f>
        <v>9.2938870272174581E-2</v>
      </c>
      <c r="J295">
        <f>($B$1+Table4[[#This Row],[Home Differential]])-Table4[[#This Row],[Away Differential]]</f>
        <v>-1.2200896572005766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0.6196926695144731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0.14463366562102778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0.84902697115371384</v>
      </c>
      <c r="H296" t="s">
        <v>24</v>
      </c>
      <c r="I296">
        <f>VLOOKUP(Table4[[#This Row],[Visitor]],'NHL Model'!$A$6:$B$38,2,FALSE)</f>
        <v>-2.8342943575894393E-4</v>
      </c>
      <c r="J296">
        <f>($B$1+Table4[[#This Row],[Home Differential]])-Table4[[#This Row],[Away Differential]]</f>
        <v>0.89759165387812423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0.64765729621950741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0.41945997334636276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1.6584974384060074</v>
      </c>
      <c r="H297" t="s">
        <v>30</v>
      </c>
      <c r="I297">
        <f>VLOOKUP(Table4[[#This Row],[Visitor]],'NHL Model'!$A$6:$B$38,2,FALSE)</f>
        <v>0.24561340747691926</v>
      </c>
      <c r="J297">
        <f>($B$1+Table4[[#This Row],[Home Differential]])-Table4[[#This Row],[Away Differential]]</f>
        <v>1.4611652842177396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0.74532047441430116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6.486166075255663E-2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5.1566962112876508E-2</v>
      </c>
      <c r="H298" t="s">
        <v>20</v>
      </c>
      <c r="I298">
        <f>VLOOKUP(Table4[[#This Row],[Visitor]],'NHL Model'!$A$6:$B$38,2,FALSE)</f>
        <v>9.2938870272174581E-2</v>
      </c>
      <c r="J298">
        <f>($B$1+Table4[[#This Row],[Home Differential]])-Table4[[#This Row],[Away Differential]]</f>
        <v>6.9093451293533309E-3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0.52001749009114429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0.23038320981840477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9.0184826596604858E-2</v>
      </c>
      <c r="H299" t="s">
        <v>26</v>
      </c>
      <c r="I299">
        <f>VLOOKUP(Table4[[#This Row],[Visitor]],'NHL Model'!$A$6:$B$38,2,FALSE)</f>
        <v>-0.60099633616081094</v>
      </c>
      <c r="J299">
        <f>($B$1+Table4[[#This Row],[Home Differential]])-Table4[[#This Row],[Away Differential]]</f>
        <v>0.73946241604606722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0.62419763339006551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0.38962268552975865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0.17535803439735015</v>
      </c>
      <c r="H300" t="s">
        <v>29</v>
      </c>
      <c r="I300">
        <f>VLOOKUP(Table4[[#This Row],[Visitor]],'NHL Model'!$A$6:$B$38,2,FALSE)</f>
        <v>-0.90025837753161619</v>
      </c>
      <c r="J300">
        <f>($B$1+Table4[[#This Row],[Home Differential]])-Table4[[#This Row],[Away Differential]]</f>
        <v>1.1238976652176178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0.66797070078278087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0.11024345553867763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0.66987960668864954</v>
      </c>
      <c r="H301" t="s">
        <v>38</v>
      </c>
      <c r="I301">
        <f>VLOOKUP(Table4[[#This Row],[Visitor]],'NHL Model'!$A$6:$B$38,2,FALSE)</f>
        <v>-0.77107712767799974</v>
      </c>
      <c r="J301">
        <f>($B$1+Table4[[#This Row],[Home Differential]])-Table4[[#This Row],[Away Differential]]</f>
        <v>1.4892379876553008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0.72358617723907304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0.52357695589145525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0.17827516980235869</v>
      </c>
      <c r="H302" t="s">
        <v>55</v>
      </c>
      <c r="I302">
        <f>VLOOKUP(Table4[[#This Row],[Visitor]],'NHL Model'!$A$6:$B$38,2,FALSE)</f>
        <v>0.15493687588867713</v>
      </c>
      <c r="J302">
        <f>($B$1+Table4[[#This Row],[Home Differential]])-Table4[[#This Row],[Away Differential]]</f>
        <v>7.1619547202332962E-2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0.6164273443112156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0.14712798219214676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2.6215642141022087E-2</v>
      </c>
      <c r="H303" t="s">
        <v>25</v>
      </c>
      <c r="I303">
        <f>VLOOKUP(Table4[[#This Row],[Visitor]],'NHL Model'!$A$6:$B$38,2,FALSE)</f>
        <v>0.47905090860407873</v>
      </c>
      <c r="J303">
        <f>($B$1+Table4[[#This Row],[Home Differential]])-Table4[[#This Row],[Away Differential]]</f>
        <v>-0.4045540131744052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0.52606385632128772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0.22461546828504902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-0.40965500817719275</v>
      </c>
      <c r="H304" t="s">
        <v>17</v>
      </c>
      <c r="I304">
        <f>VLOOKUP(Table4[[#This Row],[Visitor]],'NHL Model'!$A$6:$B$38,2,FALSE)</f>
        <v>-0.41671190768559452</v>
      </c>
      <c r="J304">
        <f>($B$1+Table4[[#This Row],[Home Differential]])-Table4[[#This Row],[Away Differential]]</f>
        <v>5.5338152797053175E-2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0.55642323426720486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0.19676034709796703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-0.28376306754383246</v>
      </c>
      <c r="H305" t="s">
        <v>18</v>
      </c>
      <c r="I305">
        <f>VLOOKUP(Table4[[#This Row],[Visitor]],'NHL Model'!$A$6:$B$38,2,FALSE)</f>
        <v>-0.36560113761686208</v>
      </c>
      <c r="J305">
        <f>($B$1+Table4[[#This Row],[Home Differential]])-Table4[[#This Row],[Away Differential]]</f>
        <v>0.13011932336168103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0.49552798215901106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0.25449201678455907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-0.3510442662416135</v>
      </c>
      <c r="H306" t="s">
        <v>38</v>
      </c>
      <c r="I306">
        <f>VLOOKUP(Table4[[#This Row],[Visitor]],'NHL Model'!$A$6:$B$38,2,FALSE)</f>
        <v>-0.77107712767799974</v>
      </c>
      <c r="J306">
        <f>($B$1+Table4[[#This Row],[Home Differential]])-Table4[[#This Row],[Away Differential]]</f>
        <v>0.46831411472503764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0.59332379210541963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0.16538553806751596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0.84902697115371384</v>
      </c>
      <c r="H307" t="s">
        <v>13</v>
      </c>
      <c r="I307">
        <f>VLOOKUP(Table4[[#This Row],[Visitor]],'NHL Model'!$A$6:$B$38,2,FALSE)</f>
        <v>-0.19390166761644689</v>
      </c>
      <c r="J307">
        <f>($B$1+Table4[[#This Row],[Home Differential]])-Table4[[#This Row],[Away Differential]]</f>
        <v>1.0912098920588122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0.62424876295194553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0.1411889921431432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2.5996227684575345E-2</v>
      </c>
      <c r="H308" t="s">
        <v>16</v>
      </c>
      <c r="I308">
        <f>VLOOKUP(Table4[[#This Row],[Visitor]],'NHL Model'!$A$6:$B$38,2,FALSE)</f>
        <v>-0.81412334763558081</v>
      </c>
      <c r="J308">
        <f>($B$1+Table4[[#This Row],[Home Differential]])-Table4[[#This Row],[Away Differential]]</f>
        <v>0.88840082860880754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0.64115625303933599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0.12876883473276907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0.7564009584796878</v>
      </c>
      <c r="H309" t="s">
        <v>30</v>
      </c>
      <c r="I309">
        <f>VLOOKUP(Table4[[#This Row],[Visitor]],'NHL Model'!$A$6:$B$38,2,FALSE)</f>
        <v>0.24561340747691926</v>
      </c>
      <c r="J309">
        <f>($B$1+Table4[[#This Row],[Home Differential]])-Table4[[#This Row],[Away Differential]]</f>
        <v>0.55906880429141992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0.57457445142113261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0.3301358002258955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-0.60099633616081094</v>
      </c>
      <c r="H310" t="s">
        <v>32</v>
      </c>
      <c r="I310">
        <f>VLOOKUP(Table4[[#This Row],[Visitor]],'NHL Model'!$A$6:$B$38,2,FALSE)</f>
        <v>-0.56616527987265597</v>
      </c>
      <c r="J310">
        <f>($B$1+Table4[[#This Row],[Home Differential]])-Table4[[#This Row],[Away Differential]]</f>
        <v>1.3450197000496433E-2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0.55165373324986311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0.2010143749087849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-0.47218252282767964</v>
      </c>
      <c r="H311" t="s">
        <v>55</v>
      </c>
      <c r="I311">
        <f>VLOOKUP(Table4[[#This Row],[Visitor]],'NHL Model'!$A$6:$B$38,2,FALSE)</f>
        <v>0.15493687588867713</v>
      </c>
      <c r="J311">
        <f>($B$1+Table4[[#This Row],[Home Differential]])-Table4[[#This Row],[Away Differential]]</f>
        <v>-0.5788381454277054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0.52590842334016763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0.27657966974014098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0.66987960668864954</v>
      </c>
      <c r="H312" t="s">
        <v>24</v>
      </c>
      <c r="I312">
        <f>VLOOKUP(Table4[[#This Row],[Visitor]],'NHL Model'!$A$6:$B$38,2,FALSE)</f>
        <v>-2.8342943575894393E-4</v>
      </c>
      <c r="J312">
        <f>($B$1+Table4[[#This Row],[Home Differential]])-Table4[[#This Row],[Away Differential]]</f>
        <v>0.71844428941305993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0.61513777339485276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0.14811893346747171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-8.5089305365893694E-2</v>
      </c>
      <c r="H313" t="s">
        <v>35</v>
      </c>
      <c r="I313">
        <f>VLOOKUP(Table4[[#This Row],[Visitor]],'NHL Model'!$A$6:$B$38,2,FALSE)</f>
        <v>-1.1754320402170535</v>
      </c>
      <c r="J313">
        <f>($B$1+Table4[[#This Row],[Home Differential]])-Table4[[#This Row],[Away Differential]]</f>
        <v>1.1386239881398112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0.66964748855681877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0.10913278181681718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9.2938870272174581E-2</v>
      </c>
      <c r="H314" t="s">
        <v>15</v>
      </c>
      <c r="I314">
        <f>VLOOKUP(Table4[[#This Row],[Visitor]],'NHL Model'!$A$6:$B$38,2,FALSE)</f>
        <v>9.0184826596604858E-2</v>
      </c>
      <c r="J314">
        <f>($B$1+Table4[[#This Row],[Home Differential]])-Table4[[#This Row],[Away Differential]]</f>
        <v>5.1035296964221114E-2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0.43923880953917066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0.31445311272704657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-3.3785654828041967E-2</v>
      </c>
      <c r="H315" t="s">
        <v>28</v>
      </c>
      <c r="I315">
        <f>VLOOKUP(Table4[[#This Row],[Visitor]],'NHL Model'!$A$6:$B$38,2,FALSE)</f>
        <v>-0.28376306754383246</v>
      </c>
      <c r="J315">
        <f>($B$1+Table4[[#This Row],[Home Differential]])-Table4[[#This Row],[Away Differential]]</f>
        <v>0.2982586660044419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0.58951627251792715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0.16849689052757666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0.17827516980235869</v>
      </c>
      <c r="H316" t="s">
        <v>21</v>
      </c>
      <c r="I316">
        <f>VLOOKUP(Table4[[#This Row],[Visitor]],'NHL Model'!$A$6:$B$38,2,FALSE)</f>
        <v>2.6215642141022087E-2</v>
      </c>
      <c r="J316">
        <f>($B$1+Table4[[#This Row],[Home Differential]])-Table4[[#This Row],[Away Differential]]</f>
        <v>0.200340780949988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0.63108396919629539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0.13609903778395993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-0.40965500817719275</v>
      </c>
      <c r="H317" t="s">
        <v>16</v>
      </c>
      <c r="I317">
        <f>VLOOKUP(Table4[[#This Row],[Visitor]],'NHL Model'!$A$6:$B$38,2,FALSE)</f>
        <v>-0.81412334763558081</v>
      </c>
      <c r="J317">
        <f>($B$1+Table4[[#This Row],[Home Differential]])-Table4[[#This Row],[Away Differential]]</f>
        <v>0.45274959274703946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0.60167381360678063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0.362011377980127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5.1566962112876508E-2</v>
      </c>
      <c r="H318" t="s">
        <v>25</v>
      </c>
      <c r="I318">
        <f>VLOOKUP(Table4[[#This Row],[Visitor]],'NHL Model'!$A$6:$B$38,2,FALSE)</f>
        <v>0.47905090860407873</v>
      </c>
      <c r="J318">
        <f>($B$1+Table4[[#This Row],[Home Differential]])-Table4[[#This Row],[Away Differential]]</f>
        <v>-0.37920269320255084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0.57580044039300671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0.33154614715678049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0.84902697115371384</v>
      </c>
      <c r="H319" t="s">
        <v>17</v>
      </c>
      <c r="I319">
        <f>VLOOKUP(Table4[[#This Row],[Visitor]],'NHL Model'!$A$6:$B$38,2,FALSE)</f>
        <v>-0.41671190768559452</v>
      </c>
      <c r="J319">
        <f>($B$1+Table4[[#This Row],[Home Differential]])-Table4[[#This Row],[Away Differential]]</f>
        <v>1.3140201321279599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0.71565640875424286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8.0851277882534212E-2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0.17827516980235869</v>
      </c>
      <c r="H320" t="s">
        <v>36</v>
      </c>
      <c r="I320">
        <f>VLOOKUP(Table4[[#This Row],[Visitor]],'NHL Model'!$A$6:$B$38,2,FALSE)</f>
        <v>-0.23108682001987857</v>
      </c>
      <c r="J320">
        <f>($B$1+Table4[[#This Row],[Home Differential]])-Table4[[#This Row],[Away Differential]]</f>
        <v>0.45764324311088866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0.65694748109128753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0.43157999291218757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2.5996227684575345E-2</v>
      </c>
      <c r="H321" t="s">
        <v>32</v>
      </c>
      <c r="I321">
        <f>VLOOKUP(Table4[[#This Row],[Visitor]],'NHL Model'!$A$6:$B$38,2,FALSE)</f>
        <v>-0.56616527987265597</v>
      </c>
      <c r="J321">
        <f>($B$1+Table4[[#This Row],[Home Differential]])-Table4[[#This Row],[Away Differential]]</f>
        <v>0.6404427608458827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0.61292292835294504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0.37567451610074942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1.6584974384060074</v>
      </c>
      <c r="H322" t="s">
        <v>15</v>
      </c>
      <c r="I322">
        <f>VLOOKUP(Table4[[#This Row],[Visitor]],'NHL Model'!$A$6:$B$38,2,FALSE)</f>
        <v>9.0184826596604858E-2</v>
      </c>
      <c r="J322">
        <f>($B$1+Table4[[#This Row],[Home Differential]])-Table4[[#This Row],[Away Differential]]</f>
        <v>1.616593865098054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0.72926022201959739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7.3300027380877694E-2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-0.60099633616081094</v>
      </c>
      <c r="H323" t="s">
        <v>30</v>
      </c>
      <c r="I323">
        <f>VLOOKUP(Table4[[#This Row],[Visitor]],'NHL Model'!$A$6:$B$38,2,FALSE)</f>
        <v>0.24561340747691926</v>
      </c>
      <c r="J323">
        <f>($B$1+Table4[[#This Row],[Home Differential]])-Table4[[#This Row],[Away Differential]]</f>
        <v>-0.79832849034907882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0.61334929865696231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0.14949876484906294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-0.3510442662416135</v>
      </c>
      <c r="H324" t="s">
        <v>24</v>
      </c>
      <c r="I324">
        <f>VLOOKUP(Table4[[#This Row],[Visitor]],'NHL Model'!$A$6:$B$38,2,FALSE)</f>
        <v>-2.8342943575894393E-4</v>
      </c>
      <c r="J324">
        <f>($B$1+Table4[[#This Row],[Home Differential]])-Table4[[#This Row],[Away Differential]]</f>
        <v>-0.30247958351720317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0.51521055534274973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0.26544191633658459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-0.36560113761686208</v>
      </c>
      <c r="H325" t="s">
        <v>22</v>
      </c>
      <c r="I325">
        <f>VLOOKUP(Table4[[#This Row],[Visitor]],'NHL Model'!$A$6:$B$38,2,FALSE)</f>
        <v>0.84902697115371384</v>
      </c>
      <c r="J325">
        <f>($B$1+Table4[[#This Row],[Home Differential]])-Table4[[#This Row],[Away Differential]]</f>
        <v>-1.1663468554819245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0.64694292329129122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0.12464929941409908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-2.8950318025217449E-2</v>
      </c>
      <c r="H326" t="s">
        <v>35</v>
      </c>
      <c r="I326">
        <f>VLOOKUP(Table4[[#This Row],[Visitor]],'NHL Model'!$A$6:$B$38,2,FALSE)</f>
        <v>-1.1754320402170535</v>
      </c>
      <c r="J326">
        <f>($B$1+Table4[[#This Row],[Home Differential]])-Table4[[#This Row],[Away Differential]]</f>
        <v>1.1947629754804874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0.70207739495089638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8.875787859924418E-2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-0.47218252282767964</v>
      </c>
      <c r="H327" t="s">
        <v>13</v>
      </c>
      <c r="I327">
        <f>VLOOKUP(Table4[[#This Row],[Visitor]],'NHL Model'!$A$6:$B$38,2,FALSE)</f>
        <v>-0.19390166761644689</v>
      </c>
      <c r="J327">
        <f>($B$1+Table4[[#This Row],[Home Differential]])-Table4[[#This Row],[Away Differential]]</f>
        <v>-0.22999960192258134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0.55250430391649541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0.3052610058462511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0.66987960668864954</v>
      </c>
      <c r="H328" t="s">
        <v>17</v>
      </c>
      <c r="I328">
        <f>VLOOKUP(Table4[[#This Row],[Visitor]],'NHL Model'!$A$6:$B$38,2,FALSE)</f>
        <v>-0.41671190768559452</v>
      </c>
      <c r="J328">
        <f>($B$1+Table4[[#This Row],[Home Differential]])-Table4[[#This Row],[Away Differential]]</f>
        <v>1.1348727676628956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0.68323698270035882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0.10033880912877277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-8.5089305365893694E-2</v>
      </c>
      <c r="H329" t="s">
        <v>28</v>
      </c>
      <c r="I329">
        <f>VLOOKUP(Table4[[#This Row],[Visitor]],'NHL Model'!$A$6:$B$38,2,FALSE)</f>
        <v>-0.28376306754383246</v>
      </c>
      <c r="J329">
        <f>($B$1+Table4[[#This Row],[Home Differential]])-Table4[[#This Row],[Away Differential]]</f>
        <v>0.24695501546659016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0.56454295489810569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0.31870874792508458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0.15493687588867713</v>
      </c>
      <c r="H330" t="s">
        <v>20</v>
      </c>
      <c r="I330">
        <f>VLOOKUP(Table4[[#This Row],[Visitor]],'NHL Model'!$A$6:$B$38,2,FALSE)</f>
        <v>9.2938870272174581E-2</v>
      </c>
      <c r="J330">
        <f>($B$1+Table4[[#This Row],[Home Differential]])-Table4[[#This Row],[Away Differential]]</f>
        <v>0.11027925890515396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0.5725567607093176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0.32782124423394676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-0.77107712767799974</v>
      </c>
      <c r="H331" t="s">
        <v>39</v>
      </c>
      <c r="I331">
        <f>VLOOKUP(Table4[[#This Row],[Visitor]],'NHL Model'!$A$6:$B$38,2,FALSE)</f>
        <v>0.7564009584796878</v>
      </c>
      <c r="J331">
        <f>($B$1+Table4[[#This Row],[Home Differential]])-Table4[[#This Row],[Away Differential]]</f>
        <v>-1.4791968328690361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0.72091242553240509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7.7889874222205335E-2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-0.40965500817719275</v>
      </c>
      <c r="H332" t="s">
        <v>10</v>
      </c>
      <c r="I332">
        <f>VLOOKUP(Table4[[#This Row],[Visitor]],'NHL Model'!$A$6:$B$38,2,FALSE)</f>
        <v>2.5996227684575345E-2</v>
      </c>
      <c r="J332">
        <f>($B$1+Table4[[#This Row],[Home Differential]])-Table4[[#This Row],[Away Differential]]</f>
        <v>-0.38736998257311667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0.49481145118436565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0.24483837222317786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-0.19390166761644689</v>
      </c>
      <c r="H333" t="s">
        <v>21</v>
      </c>
      <c r="I333">
        <f>VLOOKUP(Table4[[#This Row],[Visitor]],'NHL Model'!$A$6:$B$38,2,FALSE)</f>
        <v>2.6215642141022087E-2</v>
      </c>
      <c r="J333">
        <f>($B$1+Table4[[#This Row],[Home Differential]])-Table4[[#This Row],[Away Differential]]</f>
        <v>-0.17183605646881758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0.47956582102322121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0.27085173464723383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0.17535803439735015</v>
      </c>
      <c r="H334" t="s">
        <v>34</v>
      </c>
      <c r="I334">
        <f>VLOOKUP(Table4[[#This Row],[Visitor]],'NHL Model'!$A$6:$B$38,2,FALSE)</f>
        <v>5.1566962112876508E-2</v>
      </c>
      <c r="J334">
        <f>($B$1+Table4[[#This Row],[Home Differential]])-Table4[[#This Row],[Away Differential]]</f>
        <v>0.17207232557312505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0.5203059901656848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0.27071832340229368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-3.3785654828041967E-2</v>
      </c>
      <c r="H335" t="s">
        <v>25</v>
      </c>
      <c r="I335">
        <f>VLOOKUP(Table4[[#This Row],[Visitor]],'NHL Model'!$A$6:$B$38,2,FALSE)</f>
        <v>0.47905090860407873</v>
      </c>
      <c r="J335">
        <f>($B$1+Table4[[#This Row],[Home Differential]])-Table4[[#This Row],[Away Differential]]</f>
        <v>-0.46455531014346929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0.56626478615635523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0.18812623572799225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0.17827516980235869</v>
      </c>
      <c r="H336" t="s">
        <v>20</v>
      </c>
      <c r="I336">
        <f>VLOOKUP(Table4[[#This Row],[Visitor]],'NHL Model'!$A$6:$B$38,2,FALSE)</f>
        <v>9.2938870272174581E-2</v>
      </c>
      <c r="J336">
        <f>($B$1+Table4[[#This Row],[Home Differential]])-Table4[[#This Row],[Away Differential]]</f>
        <v>0.13361755281883553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0.60344943006639973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0.15725235451466321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-0.81412334763558081</v>
      </c>
      <c r="H337" t="s">
        <v>39</v>
      </c>
      <c r="I337">
        <f>VLOOKUP(Table4[[#This Row],[Visitor]],'NHL Model'!$A$6:$B$38,2,FALSE)</f>
        <v>0.7564009584796878</v>
      </c>
      <c r="J337">
        <f>($B$1+Table4[[#This Row],[Home Differential]])-Table4[[#This Row],[Away Differential]]</f>
        <v>-1.5222430528266173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0.72581381033326653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0.52680568727049504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-0.60099633616081094</v>
      </c>
      <c r="H338" t="s">
        <v>28</v>
      </c>
      <c r="I338">
        <f>VLOOKUP(Table4[[#This Row],[Visitor]],'NHL Model'!$A$6:$B$38,2,FALSE)</f>
        <v>-0.28376306754383246</v>
      </c>
      <c r="J338">
        <f>($B$1+Table4[[#This Row],[Home Differential]])-Table4[[#This Row],[Away Differential]]</f>
        <v>-0.26895201532832708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0.48406506045298631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0.23431898275135329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-0.3510442662416135</v>
      </c>
      <c r="H339" t="s">
        <v>17</v>
      </c>
      <c r="I339">
        <f>VLOOKUP(Table4[[#This Row],[Visitor]],'NHL Model'!$A$6:$B$38,2,FALSE)</f>
        <v>-0.41671190768559452</v>
      </c>
      <c r="J339">
        <f>($B$1+Table4[[#This Row],[Home Differential]])-Table4[[#This Row],[Away Differential]]</f>
        <v>0.11394889473263242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0.55297459756670531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0.30578090555405968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-0.36560113761686208</v>
      </c>
      <c r="H340" t="s">
        <v>19</v>
      </c>
      <c r="I340">
        <f>VLOOKUP(Table4[[#This Row],[Visitor]],'NHL Model'!$A$6:$B$38,2,FALSE)</f>
        <v>-8.5089305365893694E-2</v>
      </c>
      <c r="J340">
        <f>($B$1+Table4[[#This Row],[Home Differential]])-Table4[[#This Row],[Away Differential]]</f>
        <v>-0.23223057896231697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0.48644254085824112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0.2366263455566216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-0.90025837753161619</v>
      </c>
      <c r="H341" t="s">
        <v>12</v>
      </c>
      <c r="I341">
        <f>VLOOKUP(Table4[[#This Row],[Visitor]],'NHL Model'!$A$6:$B$38,2,FALSE)</f>
        <v>1.6584974384060074</v>
      </c>
      <c r="J341">
        <f>($B$1+Table4[[#This Row],[Home Differential]])-Table4[[#This Row],[Away Differential]]</f>
        <v>-2.5104745626489722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0.79998974414611856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4.0004102446735114E-2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0.24561340747691926</v>
      </c>
      <c r="H342" t="s">
        <v>35</v>
      </c>
      <c r="I342">
        <f>VLOOKUP(Table4[[#This Row],[Visitor]],'NHL Model'!$A$6:$B$38,2,FALSE)</f>
        <v>-1.1754320402170535</v>
      </c>
      <c r="J342">
        <f>($B$1+Table4[[#This Row],[Home Differential]])-Table4[[#This Row],[Away Differential]]</f>
        <v>1.4693267009826241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0.70730239186606902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0.50027667353946226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-2.8950318025217449E-2</v>
      </c>
      <c r="H343" t="s">
        <v>24</v>
      </c>
      <c r="I343">
        <f>VLOOKUP(Table4[[#This Row],[Visitor]],'NHL Model'!$A$6:$B$38,2,FALSE)</f>
        <v>-2.8342943575894393E-4</v>
      </c>
      <c r="J343">
        <f>($B$1+Table4[[#This Row],[Home Differential]])-Table4[[#This Row],[Away Differential]]</f>
        <v>1.96143646991929E-2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0.54768790181219806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0.20458623416705177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0.17535803439735015</v>
      </c>
      <c r="H344" t="s">
        <v>32</v>
      </c>
      <c r="I344">
        <f>VLOOKUP(Table4[[#This Row],[Visitor]],'NHL Model'!$A$6:$B$38,2,FALSE)</f>
        <v>-0.56616527987265597</v>
      </c>
      <c r="J344">
        <f>($B$1+Table4[[#This Row],[Home Differential]])-Table4[[#This Row],[Away Differential]]</f>
        <v>0.78980456755865758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0.62992975705875531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0.39681149882810252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-0.47218252282767964</v>
      </c>
      <c r="H345" t="s">
        <v>36</v>
      </c>
      <c r="I345">
        <f>VLOOKUP(Table4[[#This Row],[Visitor]],'NHL Model'!$A$6:$B$38,2,FALSE)</f>
        <v>-0.23108682001987857</v>
      </c>
      <c r="J345">
        <f>($B$1+Table4[[#This Row],[Home Differential]])-Table4[[#This Row],[Away Differential]]</f>
        <v>-0.19281444951914967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0.48553064909518734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0.26467871302041923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0.15493687588867713</v>
      </c>
      <c r="H346" t="s">
        <v>15</v>
      </c>
      <c r="I346">
        <f>VLOOKUP(Table4[[#This Row],[Visitor]],'NHL Model'!$A$6:$B$38,2,FALSE)</f>
        <v>9.0184826596604858E-2</v>
      </c>
      <c r="J346">
        <f>($B$1+Table4[[#This Row],[Home Differential]])-Table4[[#This Row],[Away Differential]]</f>
        <v>0.11303330258072368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0.48697393087714325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0.2631957475996502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0.84902697115371384</v>
      </c>
      <c r="H347" t="s">
        <v>37</v>
      </c>
      <c r="I347">
        <f>VLOOKUP(Table4[[#This Row],[Visitor]],'NHL Model'!$A$6:$B$38,2,FALSE)</f>
        <v>0.66987960668864954</v>
      </c>
      <c r="J347">
        <f>($B$1+Table4[[#This Row],[Home Differential]])-Table4[[#This Row],[Away Differential]]</f>
        <v>0.2274286177537157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0.51956665976844718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0.26994951394294137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-0.40965500817719275</v>
      </c>
      <c r="H348" t="s">
        <v>25</v>
      </c>
      <c r="I348">
        <f>VLOOKUP(Table4[[#This Row],[Visitor]],'NHL Model'!$A$6:$B$38,2,FALSE)</f>
        <v>0.47905090860407873</v>
      </c>
      <c r="J348">
        <f>($B$1+Table4[[#This Row],[Home Differential]])-Table4[[#This Row],[Away Differential]]</f>
        <v>-0.84042466349262002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0.61814250798924542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0.38210016018323434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2.5996227684575345E-2</v>
      </c>
      <c r="H349" t="s">
        <v>12</v>
      </c>
      <c r="I349">
        <f>VLOOKUP(Table4[[#This Row],[Visitor]],'NHL Model'!$A$6:$B$38,2,FALSE)</f>
        <v>1.6584974384060074</v>
      </c>
      <c r="J349">
        <f>($B$1+Table4[[#This Row],[Home Differential]])-Table4[[#This Row],[Away Differential]]</f>
        <v>-1.5842199574327807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0.69452333505820341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9.3315992823962662E-2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0.24561340747691926</v>
      </c>
      <c r="H350" t="s">
        <v>32</v>
      </c>
      <c r="I350">
        <f>VLOOKUP(Table4[[#This Row],[Visitor]],'NHL Model'!$A$6:$B$38,2,FALSE)</f>
        <v>-0.56616527987265597</v>
      </c>
      <c r="J350">
        <f>($B$1+Table4[[#This Row],[Home Differential]])-Table4[[#This Row],[Away Differential]]</f>
        <v>0.86005994063822666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0.63792926591529098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0.13109521648064007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-0.47218252282767964</v>
      </c>
      <c r="H351" t="s">
        <v>21</v>
      </c>
      <c r="I351">
        <f>VLOOKUP(Table4[[#This Row],[Visitor]],'NHL Model'!$A$6:$B$38,2,FALSE)</f>
        <v>2.6215642141022087E-2</v>
      </c>
      <c r="J351">
        <f>($B$1+Table4[[#This Row],[Home Differential]])-Table4[[#This Row],[Away Differential]]</f>
        <v>-0.4501169116800503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0.51125179845508784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0.26137840142356178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-0.77107712767799974</v>
      </c>
      <c r="H352" t="s">
        <v>16</v>
      </c>
      <c r="I352">
        <f>VLOOKUP(Table4[[#This Row],[Visitor]],'NHL Model'!$A$6:$B$38,2,FALSE)</f>
        <v>-0.81412334763558081</v>
      </c>
      <c r="J352">
        <f>($B$1+Table4[[#This Row],[Home Differential]])-Table4[[#This Row],[Away Differential]]</f>
        <v>9.1327473246232471E-2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0.55039884778991699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0.30293889164846821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-3.3785654828041967E-2</v>
      </c>
      <c r="H353" t="s">
        <v>34</v>
      </c>
      <c r="I353">
        <f>VLOOKUP(Table4[[#This Row],[Visitor]],'NHL Model'!$A$6:$B$38,2,FALSE)</f>
        <v>5.1566962112876508E-2</v>
      </c>
      <c r="J353">
        <f>($B$1+Table4[[#This Row],[Home Differential]])-Table4[[#This Row],[Away Differential]]</f>
        <v>-3.707136365226707E-2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0.48422106792493008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0.26602790677249954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-0.19390166761644689</v>
      </c>
      <c r="H354" t="s">
        <v>36</v>
      </c>
      <c r="I354">
        <f>VLOOKUP(Table4[[#This Row],[Visitor]],'NHL Model'!$A$6:$B$38,2,FALSE)</f>
        <v>-0.23108682001987857</v>
      </c>
      <c r="J354">
        <f>($B$1+Table4[[#This Row],[Home Differential]])-Table4[[#This Row],[Away Differential]]</f>
        <v>8.5466405692083081E-2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0.54615532833667924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0.20597498599718744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-2.8342943575894393E-4</v>
      </c>
      <c r="H355" t="s">
        <v>26</v>
      </c>
      <c r="I355">
        <f>VLOOKUP(Table4[[#This Row],[Visitor]],'NHL Model'!$A$6:$B$38,2,FALSE)</f>
        <v>-0.60099633616081094</v>
      </c>
      <c r="J355">
        <f>($B$1+Table4[[#This Row],[Home Differential]])-Table4[[#This Row],[Away Differential]]</f>
        <v>0.64899416001370336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0.65679817331455503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0.1177874938402262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-0.90025837753161619</v>
      </c>
      <c r="H356" t="s">
        <v>11</v>
      </c>
      <c r="I356">
        <f>VLOOKUP(Table4[[#This Row],[Visitor]],'NHL Model'!$A$6:$B$38,2,FALSE)</f>
        <v>-0.3510442662416135</v>
      </c>
      <c r="J356">
        <f>($B$1+Table4[[#This Row],[Home Differential]])-Table4[[#This Row],[Away Differential]]</f>
        <v>-0.50093285800135123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0.51703786996580492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0.23325241904716676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9.0184826596604858E-2</v>
      </c>
      <c r="H357" t="s">
        <v>35</v>
      </c>
      <c r="I357">
        <f>VLOOKUP(Table4[[#This Row],[Visitor]],'NHL Model'!$A$6:$B$38,2,FALSE)</f>
        <v>-1.1754320402170535</v>
      </c>
      <c r="J357">
        <f>($B$1+Table4[[#This Row],[Home Differential]])-Table4[[#This Row],[Away Differential]]</f>
        <v>1.3138981201023099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0.68960478021289806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9.6345192466683313E-2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0.66987960668864954</v>
      </c>
      <c r="H358" t="s">
        <v>27</v>
      </c>
      <c r="I358">
        <f>VLOOKUP(Table4[[#This Row],[Visitor]],'NHL Model'!$A$6:$B$38,2,FALSE)</f>
        <v>-2.8950318025217449E-2</v>
      </c>
      <c r="J358">
        <f>($B$1+Table4[[#This Row],[Home Differential]])-Table4[[#This Row],[Away Differential]]</f>
        <v>0.74711117800251836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0.59669645366966639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0.16265375048262354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0.15493687588867713</v>
      </c>
      <c r="H359" t="s">
        <v>20</v>
      </c>
      <c r="I359">
        <f>VLOOKUP(Table4[[#This Row],[Visitor]],'NHL Model'!$A$6:$B$38,2,FALSE)</f>
        <v>9.2938870272174581E-2</v>
      </c>
      <c r="J359">
        <f>($B$1+Table4[[#This Row],[Home Differential]])-Table4[[#This Row],[Away Differential]]</f>
        <v>0.11027925890515396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0.5725567607093176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0.18270772281531159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0.84902697115371384</v>
      </c>
      <c r="H360" t="s">
        <v>28</v>
      </c>
      <c r="I360">
        <f>VLOOKUP(Table4[[#This Row],[Visitor]],'NHL Model'!$A$6:$B$38,2,FALSE)</f>
        <v>-0.28376306754383246</v>
      </c>
      <c r="J360">
        <f>($B$1+Table4[[#This Row],[Home Differential]])-Table4[[#This Row],[Away Differential]]</f>
        <v>1.1810712919861976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0.69698067879083347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9.182070902606404E-2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-0.41671190768559452</v>
      </c>
      <c r="H361" t="s">
        <v>39</v>
      </c>
      <c r="I361">
        <f>VLOOKUP(Table4[[#This Row],[Visitor]],'NHL Model'!$A$6:$B$38,2,FALSE)</f>
        <v>0.7564009584796878</v>
      </c>
      <c r="J361">
        <f>($B$1+Table4[[#This Row],[Home Differential]])-Table4[[#This Row],[Away Differential]]</f>
        <v>-1.1248316128766309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0.6780770431483869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0.10363439014808555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0.17827516980235869</v>
      </c>
      <c r="H362" t="s">
        <v>38</v>
      </c>
      <c r="I362">
        <f>VLOOKUP(Table4[[#This Row],[Visitor]],'NHL Model'!$A$6:$B$38,2,FALSE)</f>
        <v>-0.77107712767799974</v>
      </c>
      <c r="J362">
        <f>($B$1+Table4[[#This Row],[Home Differential]])-Table4[[#This Row],[Away Differential]]</f>
        <v>0.99763355076900984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0.72186635770052698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0.52109103837982518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0.47905090860407873</v>
      </c>
      <c r="H363" t="s">
        <v>15</v>
      </c>
      <c r="I363">
        <f>VLOOKUP(Table4[[#This Row],[Visitor]],'NHL Model'!$A$6:$B$38,2,FALSE)</f>
        <v>9.0184826596604858E-2</v>
      </c>
      <c r="J363">
        <f>($B$1+Table4[[#This Row],[Home Differential]])-Table4[[#This Row],[Away Differential]]</f>
        <v>0.43714733529612526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0.51552846430257027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0.26576959750616647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-0.28376306754383246</v>
      </c>
      <c r="H364" t="s">
        <v>19</v>
      </c>
      <c r="I364">
        <f>VLOOKUP(Table4[[#This Row],[Visitor]],'NHL Model'!$A$6:$B$38,2,FALSE)</f>
        <v>-8.5089305365893694E-2</v>
      </c>
      <c r="J364">
        <f>($B$1+Table4[[#This Row],[Home Differential]])-Table4[[#This Row],[Away Differential]]</f>
        <v>-0.15039250888928735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0.47712418786039223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0.27339911492065438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2.5996227684575345E-2</v>
      </c>
      <c r="H365" t="s">
        <v>34</v>
      </c>
      <c r="I365">
        <f>VLOOKUP(Table4[[#This Row],[Visitor]],'NHL Model'!$A$6:$B$38,2,FALSE)</f>
        <v>5.1566962112876508E-2</v>
      </c>
      <c r="J365">
        <f>($B$1+Table4[[#This Row],[Home Differential]])-Table4[[#This Row],[Away Differential]]</f>
        <v>2.2710518860350248E-2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0.50329916145987463</v>
      </c>
      <c r="M365" t="str">
        <f>IF(OR((NHL2025_26Results[[#This Row],[Winning Team]]="")),"-",IF(Table4[[#This Row],[Predicted Winner]]=NHL2025_26Results[[#This Row],[Winning Team]],"YES","NO"))</f>
        <v>NO</v>
      </c>
      <c r="N365">
        <f>IF(Table4[[#This Row],[Adjusted Correct]]="-", "",IF(Table4[[#This Row],[Adjusted Correct]]="YES",(Table4[[#This Row],[Strength of Win]]-1)^2,(Table4[[#This Row],[Strength of Win]]-0)^2))</f>
        <v>0.25331004592621298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1.6584974384060074</v>
      </c>
      <c r="H366" t="s">
        <v>33</v>
      </c>
      <c r="I366">
        <f>VLOOKUP(Table4[[#This Row],[Visitor]],'NHL Model'!$A$6:$B$38,2,FALSE)</f>
        <v>-0.47218252282767964</v>
      </c>
      <c r="J366">
        <f>($B$1+Table4[[#This Row],[Home Differential]])-Table4[[#This Row],[Away Differential]]</f>
        <v>2.1789612145223383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0.89592468758709232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1.0831670653844336E-2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-0.60099633616081094</v>
      </c>
      <c r="H367" t="s">
        <v>29</v>
      </c>
      <c r="I367">
        <f>VLOOKUP(Table4[[#This Row],[Visitor]],'NHL Model'!$A$6:$B$38,2,FALSE)</f>
        <v>-0.90025837753161619</v>
      </c>
      <c r="J367">
        <f>($B$1+Table4[[#This Row],[Home Differential]])-Table4[[#This Row],[Away Differential]]</f>
        <v>0.34754329465945666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0.58969467697388867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0.34773981205133891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-0.3510442662416135</v>
      </c>
      <c r="H368" t="s">
        <v>27</v>
      </c>
      <c r="I368">
        <f>VLOOKUP(Table4[[#This Row],[Visitor]],'NHL Model'!$A$6:$B$38,2,FALSE)</f>
        <v>-2.8950318025217449E-2</v>
      </c>
      <c r="J368">
        <f>($B$1+Table4[[#This Row],[Home Differential]])-Table4[[#This Row],[Away Differential]]</f>
        <v>-0.27381269492774463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0.53368978075618656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0.21744522057121335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-2.8342943575894393E-4</v>
      </c>
      <c r="H369" t="s">
        <v>35</v>
      </c>
      <c r="I369">
        <f>VLOOKUP(Table4[[#This Row],[Visitor]],'NHL Model'!$A$6:$B$38,2,FALSE)</f>
        <v>-1.1754320402170535</v>
      </c>
      <c r="J369">
        <f>($B$1+Table4[[#This Row],[Home Differential]])-Table4[[#This Row],[Away Differential]]</f>
        <v>1.2234298640699459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0.72220532013738759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7.7169884159971322E-2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0.24561340747691926</v>
      </c>
      <c r="H370" t="s">
        <v>21</v>
      </c>
      <c r="I370">
        <f>VLOOKUP(Table4[[#This Row],[Visitor]],'NHL Model'!$A$6:$B$38,2,FALSE)</f>
        <v>2.6215642141022087E-2</v>
      </c>
      <c r="J370">
        <f>($B$1+Table4[[#This Row],[Home Differential]])-Table4[[#This Row],[Away Differential]]</f>
        <v>0.26767901862454863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0.57047881729658889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0.32544608098411487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0.17535803439735015</v>
      </c>
      <c r="H371" t="s">
        <v>23</v>
      </c>
      <c r="I371">
        <f>VLOOKUP(Table4[[#This Row],[Visitor]],'NHL Model'!$A$6:$B$38,2,FALSE)</f>
        <v>-0.40965500817719275</v>
      </c>
      <c r="J371">
        <f>($B$1+Table4[[#This Row],[Home Differential]])-Table4[[#This Row],[Away Differential]]</f>
        <v>0.6332942958631943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0.61210898051617413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0.15045944299620179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-0.56616527987265597</v>
      </c>
      <c r="H372" t="s">
        <v>39</v>
      </c>
      <c r="I372">
        <f>VLOOKUP(Table4[[#This Row],[Visitor]],'NHL Model'!$A$6:$B$38,2,FALSE)</f>
        <v>0.7564009584796878</v>
      </c>
      <c r="J372">
        <f>($B$1+Table4[[#This Row],[Home Differential]])-Table4[[#This Row],[Away Differential]]</f>
        <v>-1.2742849850636924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0.69758048564687558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9.1457562661579631E-2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0.66987960668864954</v>
      </c>
      <c r="H373" t="s">
        <v>16</v>
      </c>
      <c r="I373">
        <f>VLOOKUP(Table4[[#This Row],[Visitor]],'NHL Model'!$A$6:$B$38,2,FALSE)</f>
        <v>-0.81412334763558081</v>
      </c>
      <c r="J373">
        <f>($B$1+Table4[[#This Row],[Home Differential]])-Table4[[#This Row],[Away Differential]]</f>
        <v>1.5322842076128818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0.72848756203993459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7.3719003967018373E-2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0.15493687588867713</v>
      </c>
      <c r="H374" t="s">
        <v>18</v>
      </c>
      <c r="I374">
        <f>VLOOKUP(Table4[[#This Row],[Visitor]],'NHL Model'!$A$6:$B$38,2,FALSE)</f>
        <v>-0.36560113761686208</v>
      </c>
      <c r="J374">
        <f>($B$1+Table4[[#This Row],[Home Differential]])-Table4[[#This Row],[Away Differential]]</f>
        <v>0.56881926679419059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0.58650677115793115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0.3439901926141018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9.2938870272174581E-2</v>
      </c>
      <c r="H375" t="s">
        <v>36</v>
      </c>
      <c r="I375">
        <f>VLOOKUP(Table4[[#This Row],[Visitor]],'NHL Model'!$A$6:$B$38,2,FALSE)</f>
        <v>-0.23108682001987857</v>
      </c>
      <c r="J375">
        <f>($B$1+Table4[[#This Row],[Home Differential]])-Table4[[#This Row],[Away Differential]]</f>
        <v>0.37230694358070454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0.57881593951377353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0.33502789183521231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0.84902697115371384</v>
      </c>
      <c r="H376" t="s">
        <v>40</v>
      </c>
      <c r="I376">
        <f>VLOOKUP(Table4[[#This Row],[Visitor]],'NHL Model'!$A$6:$B$38,2,FALSE)</f>
        <v>-3.3785654828041967E-2</v>
      </c>
      <c r="J376">
        <f>($B$1+Table4[[#This Row],[Home Differential]])-Table4[[#This Row],[Away Differential]]</f>
        <v>0.93109387927040721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0.66851742481751719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0.10988069764961036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0.17827516980235869</v>
      </c>
      <c r="H377" t="s">
        <v>13</v>
      </c>
      <c r="I377">
        <f>VLOOKUP(Table4[[#This Row],[Visitor]],'NHL Model'!$A$6:$B$38,2,FALSE)</f>
        <v>-0.19390166761644689</v>
      </c>
      <c r="J377">
        <f>($B$1+Table4[[#This Row],[Home Differential]])-Table4[[#This Row],[Away Differential]]</f>
        <v>0.42045809070745699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0.59135300799541224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0.1669923640743976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2.6215642141022087E-2</v>
      </c>
      <c r="H378" t="s">
        <v>15</v>
      </c>
      <c r="I378">
        <f>VLOOKUP(Table4[[#This Row],[Visitor]],'NHL Model'!$A$6:$B$38,2,FALSE)</f>
        <v>9.0184826596604858E-2</v>
      </c>
      <c r="J378">
        <f>($B$1+Table4[[#This Row],[Home Differential]])-Table4[[#This Row],[Away Differential]]</f>
        <v>-1.568793116693136E-2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0.51607199395102132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0.23418631503854034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-0.40965500817719275</v>
      </c>
      <c r="H379" t="s">
        <v>24</v>
      </c>
      <c r="I379">
        <f>VLOOKUP(Table4[[#This Row],[Visitor]],'NHL Model'!$A$6:$B$38,2,FALSE)</f>
        <v>-2.8342943575894393E-4</v>
      </c>
      <c r="J379">
        <f>($B$1+Table4[[#This Row],[Home Differential]])-Table4[[#This Row],[Away Differential]]</f>
        <v>-0.36109032545278241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0.51170317255589015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0.23843379169198278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0.47905090860407873</v>
      </c>
      <c r="H380" t="s">
        <v>40</v>
      </c>
      <c r="I380">
        <f>VLOOKUP(Table4[[#This Row],[Visitor]],'NHL Model'!$A$6:$B$38,2,FALSE)</f>
        <v>-3.3785654828041967E-2</v>
      </c>
      <c r="J380">
        <f>($B$1+Table4[[#This Row],[Home Differential]])-Table4[[#This Row],[Away Differential]]</f>
        <v>0.5611178167207721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0.63261110732416626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0.13497459846157528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-0.28376306754383246</v>
      </c>
      <c r="H381" t="s">
        <v>14</v>
      </c>
      <c r="I381">
        <f>VLOOKUP(Table4[[#This Row],[Visitor]],'NHL Model'!$A$6:$B$38,2,FALSE)</f>
        <v>0.17535803439735015</v>
      </c>
      <c r="J381">
        <f>($B$1+Table4[[#This Row],[Home Differential]])-Table4[[#This Row],[Away Differential]]</f>
        <v>-0.4108398486525312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0.56091839979382652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0.19279265163961395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2.5996227684575345E-2</v>
      </c>
      <c r="H382" t="s">
        <v>29</v>
      </c>
      <c r="I382">
        <f>VLOOKUP(Table4[[#This Row],[Visitor]],'NHL Model'!$A$6:$B$38,2,FALSE)</f>
        <v>-0.90025837753161619</v>
      </c>
      <c r="J382">
        <f>($B$1+Table4[[#This Row],[Home Differential]])-Table4[[#This Row],[Away Differential]]</f>
        <v>0.97453585850484292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0.65096387207697071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0.42375396274944266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0.7564009584796878</v>
      </c>
      <c r="H383" t="s">
        <v>55</v>
      </c>
      <c r="I383">
        <f>VLOOKUP(Table4[[#This Row],[Visitor]],'NHL Model'!$A$6:$B$38,2,FALSE)</f>
        <v>0.15493687588867713</v>
      </c>
      <c r="J383">
        <f>($B$1+Table4[[#This Row],[Home Differential]])-Table4[[#This Row],[Away Differential]]</f>
        <v>0.6497453358796621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0.65688370468004575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0.11772879211409006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-0.60099633616081094</v>
      </c>
      <c r="H384" t="s">
        <v>37</v>
      </c>
      <c r="I384">
        <f>VLOOKUP(Table4[[#This Row],[Visitor]],'NHL Model'!$A$6:$B$38,2,FALSE)</f>
        <v>0.66987960668864954</v>
      </c>
      <c r="J384">
        <f>($B$1+Table4[[#This Row],[Home Differential]])-Table4[[#This Row],[Away Differential]]</f>
        <v>-1.2225946895608091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0.66165764959660001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0.1144755460764971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-0.3510442662416135</v>
      </c>
      <c r="H385" t="s">
        <v>16</v>
      </c>
      <c r="I385">
        <f>VLOOKUP(Table4[[#This Row],[Visitor]],'NHL Model'!$A$6:$B$38,2,FALSE)</f>
        <v>-0.81412334763558081</v>
      </c>
      <c r="J385">
        <f>($B$1+Table4[[#This Row],[Home Differential]])-Table4[[#This Row],[Away Differential]]</f>
        <v>0.51136033468261877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0.59822517690628119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0.35787336228455141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5.1566962112876508E-2</v>
      </c>
      <c r="H386" t="s">
        <v>12</v>
      </c>
      <c r="I386">
        <f>VLOOKUP(Table4[[#This Row],[Visitor]],'NHL Model'!$A$6:$B$38,2,FALSE)</f>
        <v>1.6584974384060074</v>
      </c>
      <c r="J386">
        <f>($B$1+Table4[[#This Row],[Home Differential]])-Table4[[#This Row],[Away Differential]]</f>
        <v>-1.5586492230044795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0.69161176676725367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0.47832683593092207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0.24561340747691926</v>
      </c>
      <c r="H387" t="s">
        <v>27</v>
      </c>
      <c r="I387">
        <f>VLOOKUP(Table4[[#This Row],[Visitor]],'NHL Model'!$A$6:$B$38,2,FALSE)</f>
        <v>-2.8950318025217449E-2</v>
      </c>
      <c r="J387">
        <f>($B$1+Table4[[#This Row],[Home Differential]])-Table4[[#This Row],[Away Differential]]</f>
        <v>0.32284497879078816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0.53424763293921429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0.28542053330115347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-0.47218252282767964</v>
      </c>
      <c r="H388" t="s">
        <v>38</v>
      </c>
      <c r="I388">
        <f>VLOOKUP(Table4[[#This Row],[Visitor]],'NHL Model'!$A$6:$B$38,2,FALSE)</f>
        <v>-0.77107712767799974</v>
      </c>
      <c r="J388">
        <f>($B$1+Table4[[#This Row],[Home Differential]])-Table4[[#This Row],[Away Differential]]</f>
        <v>0.3471758581389715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0.57953059004914387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0.17679452470442111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-1.1754320402170535</v>
      </c>
      <c r="H389" t="s">
        <v>36</v>
      </c>
      <c r="I389">
        <f>VLOOKUP(Table4[[#This Row],[Visitor]],'NHL Model'!$A$6:$B$38,2,FALSE)</f>
        <v>-0.23108682001987857</v>
      </c>
      <c r="J389">
        <f>($B$1+Table4[[#This Row],[Home Differential]])-Table4[[#This Row],[Away Differential]]</f>
        <v>-0.89606396690852352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0.56560496222052425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0.31990897328848067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9.2938870272174581E-2</v>
      </c>
      <c r="H390" t="s">
        <v>18</v>
      </c>
      <c r="I390">
        <f>VLOOKUP(Table4[[#This Row],[Visitor]],'NHL Model'!$A$6:$B$38,2,FALSE)</f>
        <v>-0.36560113761686208</v>
      </c>
      <c r="J390">
        <f>($B$1+Table4[[#This Row],[Home Differential]])-Table4[[#This Row],[Away Differential]]</f>
        <v>0.50682126117768811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0.53842050917499318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0.28989664470025889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0.84902697115371384</v>
      </c>
      <c r="H391" t="s">
        <v>19</v>
      </c>
      <c r="I391">
        <f>VLOOKUP(Table4[[#This Row],[Visitor]],'NHL Model'!$A$6:$B$38,2,FALSE)</f>
        <v>-8.5089305365893694E-2</v>
      </c>
      <c r="J391">
        <f>($B$1+Table4[[#This Row],[Home Differential]])-Table4[[#This Row],[Away Differential]]</f>
        <v>0.9823975298082589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0.67789676379044239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0.10375049477667006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2.6215642141022087E-2</v>
      </c>
      <c r="H392" t="s">
        <v>26</v>
      </c>
      <c r="I392">
        <f>VLOOKUP(Table4[[#This Row],[Visitor]],'NHL Model'!$A$6:$B$38,2,FALSE)</f>
        <v>-0.60099633616081094</v>
      </c>
      <c r="J392">
        <f>($B$1+Table4[[#This Row],[Home Differential]])-Table4[[#This Row],[Away Differential]]</f>
        <v>0.67549323159048447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0.66862986706706384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0.10980616499999178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1.6584974384060074</v>
      </c>
      <c r="H393" t="s">
        <v>18</v>
      </c>
      <c r="I393">
        <f>VLOOKUP(Table4[[#This Row],[Visitor]],'NHL Model'!$A$6:$B$38,2,FALSE)</f>
        <v>-0.36560113761686208</v>
      </c>
      <c r="J393">
        <f>($B$1+Table4[[#This Row],[Home Differential]])-Table4[[#This Row],[Away Differential]]</f>
        <v>2.072379829311521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0.82789626427087148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2.9619695851921708E-2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-0.19390166761644689</v>
      </c>
      <c r="H394" t="s">
        <v>38</v>
      </c>
      <c r="I394">
        <f>VLOOKUP(Table4[[#This Row],[Visitor]],'NHL Model'!$A$6:$B$38,2,FALSE)</f>
        <v>-0.77107712767799974</v>
      </c>
      <c r="J394">
        <f>($B$1+Table4[[#This Row],[Home Differential]])-Table4[[#This Row],[Away Differential]]</f>
        <v>0.62545671335020425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0.61121656748101039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0.15115255740124775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5.1566962112876508E-2</v>
      </c>
      <c r="H395" t="s">
        <v>23</v>
      </c>
      <c r="I395">
        <f>VLOOKUP(Table4[[#This Row],[Visitor]],'NHL Model'!$A$6:$B$38,2,FALSE)</f>
        <v>-0.40965500817719275</v>
      </c>
      <c r="J395">
        <f>($B$1+Table4[[#This Row],[Home Differential]])-Table4[[#This Row],[Away Differential]]</f>
        <v>0.50950322357872069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0.59801372010131371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0.35762040942941237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-2.8342943575894393E-4</v>
      </c>
      <c r="H396" t="s">
        <v>27</v>
      </c>
      <c r="I396">
        <f>VLOOKUP(Table4[[#This Row],[Visitor]],'NHL Model'!$A$6:$B$38,2,FALSE)</f>
        <v>-2.8950318025217449E-2</v>
      </c>
      <c r="J396">
        <f>($B$1+Table4[[#This Row],[Home Differential]])-Table4[[#This Row],[Away Differential]]</f>
        <v>7.6948141878109916E-2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0.54974517617783525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0.30221975873079909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-0.90025837753161619</v>
      </c>
      <c r="H397" t="s">
        <v>40</v>
      </c>
      <c r="I397">
        <f>VLOOKUP(Table4[[#This Row],[Visitor]],'NHL Model'!$A$6:$B$38,2,FALSE)</f>
        <v>-3.3785654828041967E-2</v>
      </c>
      <c r="J397">
        <f>($B$1+Table4[[#This Row],[Home Differential]])-Table4[[#This Row],[Away Differential]]</f>
        <v>-0.81819146941492282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0.55673814241622122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0.1964810743886222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9.0184826596604858E-2</v>
      </c>
      <c r="H398" t="s">
        <v>37</v>
      </c>
      <c r="I398">
        <f>VLOOKUP(Table4[[#This Row],[Visitor]],'NHL Model'!$A$6:$B$38,2,FALSE)</f>
        <v>0.66987960668864954</v>
      </c>
      <c r="J398">
        <f>($B$1+Table4[[#This Row],[Home Differential]])-Table4[[#This Row],[Away Differential]]</f>
        <v>-0.53141352680339327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0.59313166871160938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0.16554183900539957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0.17535803439735015</v>
      </c>
      <c r="H399" t="s">
        <v>19</v>
      </c>
      <c r="I399">
        <f>VLOOKUP(Table4[[#This Row],[Visitor]],'NHL Model'!$A$6:$B$38,2,FALSE)</f>
        <v>-8.5089305365893694E-2</v>
      </c>
      <c r="J399">
        <f>($B$1+Table4[[#This Row],[Home Differential]])-Table4[[#This Row],[Away Differential]]</f>
        <v>0.30872859305189526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0.57515285744177003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0.33080080942343304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-0.56616527987265597</v>
      </c>
      <c r="H400" t="s">
        <v>17</v>
      </c>
      <c r="I400">
        <f>VLOOKUP(Table4[[#This Row],[Visitor]],'NHL Model'!$A$6:$B$38,2,FALSE)</f>
        <v>-0.41671190768559452</v>
      </c>
      <c r="J400">
        <f>($B$1+Table4[[#This Row],[Home Differential]])-Table4[[#This Row],[Away Differential]]</f>
        <v>-0.10117211889841005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0.47151979166412938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0.27929133060272521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-1.1754320402170535</v>
      </c>
      <c r="H401" t="s">
        <v>55</v>
      </c>
      <c r="I401">
        <f>VLOOKUP(Table4[[#This Row],[Visitor]],'NHL Model'!$A$6:$B$38,2,FALSE)</f>
        <v>0.15493687588867713</v>
      </c>
      <c r="J401">
        <f>($B$1+Table4[[#This Row],[Home Differential]])-Table4[[#This Row],[Away Differential]]</f>
        <v>-1.2820876628170792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0.60598273646550449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0.36721507689422106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9.2938870272174581E-2</v>
      </c>
      <c r="H402" t="s">
        <v>33</v>
      </c>
      <c r="I402">
        <f>VLOOKUP(Table4[[#This Row],[Visitor]],'NHL Model'!$A$6:$B$38,2,FALSE)</f>
        <v>-0.47218252282767964</v>
      </c>
      <c r="J402">
        <f>($B$1+Table4[[#This Row],[Home Differential]])-Table4[[#This Row],[Away Differential]]</f>
        <v>0.61340264638850561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0.60984405159801636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0.15222166407345133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0.47905090860407873</v>
      </c>
      <c r="H403" t="s">
        <v>16</v>
      </c>
      <c r="I403">
        <f>VLOOKUP(Table4[[#This Row],[Visitor]],'NHL Model'!$A$6:$B$38,2,FALSE)</f>
        <v>-0.81412334763558081</v>
      </c>
      <c r="J403">
        <f>($B$1+Table4[[#This Row],[Home Differential]])-Table4[[#This Row],[Away Differential]]</f>
        <v>1.3414555095283109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0.72498862141278919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7.5631258352438197E-2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2.5996227684575345E-2</v>
      </c>
      <c r="H404" t="s">
        <v>31</v>
      </c>
      <c r="I404">
        <f>VLOOKUP(Table4[[#This Row],[Visitor]],'NHL Model'!$A$6:$B$38,2,FALSE)</f>
        <v>0.17827516980235869</v>
      </c>
      <c r="J404">
        <f>($B$1+Table4[[#This Row],[Home Differential]])-Table4[[#This Row],[Away Differential]]</f>
        <v>-0.10399768882913193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0.49261075115950281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0.24266535215792961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0.7564009584796878</v>
      </c>
      <c r="H405" t="s">
        <v>36</v>
      </c>
      <c r="I405">
        <f>VLOOKUP(Table4[[#This Row],[Visitor]],'NHL Model'!$A$6:$B$38,2,FALSE)</f>
        <v>-0.23108682001987857</v>
      </c>
      <c r="J405">
        <f>($B$1+Table4[[#This Row],[Home Differential]])-Table4[[#This Row],[Away Differential]]</f>
        <v>1.0357690317882178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0.69733522509217949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9.160596597000166E-2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0.24561340747691926</v>
      </c>
      <c r="H406" t="s">
        <v>22</v>
      </c>
      <c r="I406">
        <f>VLOOKUP(Table4[[#This Row],[Visitor]],'NHL Model'!$A$6:$B$38,2,FALSE)</f>
        <v>0.84902697115371384</v>
      </c>
      <c r="J406">
        <f>($B$1+Table4[[#This Row],[Home Differential]])-Table4[[#This Row],[Away Differential]]</f>
        <v>-0.55513231038814315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0.5773480161347444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0.17863469946523627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-0.40965500817719275</v>
      </c>
      <c r="H407" t="s">
        <v>40</v>
      </c>
      <c r="I407">
        <f>VLOOKUP(Table4[[#This Row],[Visitor]],'NHL Model'!$A$6:$B$38,2,FALSE)</f>
        <v>-3.3785654828041967E-2</v>
      </c>
      <c r="J407">
        <f>($B$1+Table4[[#This Row],[Home Differential]])-Table4[[#This Row],[Away Differential]]</f>
        <v>-0.32758810006049938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0.49074155875577585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0.24082727749004859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-2.8342943575894393E-4</v>
      </c>
      <c r="H408" t="s">
        <v>28</v>
      </c>
      <c r="I408">
        <f>VLOOKUP(Table4[[#This Row],[Visitor]],'NHL Model'!$A$6:$B$38,2,FALSE)</f>
        <v>-0.28376306754383246</v>
      </c>
      <c r="J408">
        <f>($B$1+Table4[[#This Row],[Home Differential]])-Table4[[#This Row],[Away Differential]]</f>
        <v>0.33176089139672493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0.61717453264582822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0.38090440374659651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-2.8950318025217449E-2</v>
      </c>
      <c r="H409" t="s">
        <v>14</v>
      </c>
      <c r="I409">
        <f>VLOOKUP(Table4[[#This Row],[Visitor]],'NHL Model'!$A$6:$B$38,2,FALSE)</f>
        <v>0.17535803439735015</v>
      </c>
      <c r="J409">
        <f>($B$1+Table4[[#This Row],[Home Differential]])-Table4[[#This Row],[Away Differential]]</f>
        <v>-0.15602709913391619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0.50557063896741861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0.24446039305108672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-0.47218252282767964</v>
      </c>
      <c r="H410" t="s">
        <v>55</v>
      </c>
      <c r="I410">
        <f>VLOOKUP(Table4[[#This Row],[Visitor]],'NHL Model'!$A$6:$B$38,2,FALSE)</f>
        <v>0.15493687588867713</v>
      </c>
      <c r="J410">
        <f>($B$1+Table4[[#This Row],[Home Differential]])-Table4[[#This Row],[Away Differential]]</f>
        <v>-0.5788381454277054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0.52590842334016763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0.27657966974014098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-1.1754320402170535</v>
      </c>
      <c r="H411" t="s">
        <v>31</v>
      </c>
      <c r="I411">
        <f>VLOOKUP(Table4[[#This Row],[Visitor]],'NHL Model'!$A$6:$B$38,2,FALSE)</f>
        <v>0.17827516980235869</v>
      </c>
      <c r="J411">
        <f>($B$1+Table4[[#This Row],[Home Differential]])-Table4[[#This Row],[Away Differential]]</f>
        <v>-1.3054259567307609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0.62940934247417046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0.13733743544542668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1.6584974384060074</v>
      </c>
      <c r="H412" t="s">
        <v>38</v>
      </c>
      <c r="I412">
        <f>VLOOKUP(Table4[[#This Row],[Visitor]],'NHL Model'!$A$6:$B$38,2,FALSE)</f>
        <v>-0.77107712767799974</v>
      </c>
      <c r="J412">
        <f>($B$1+Table4[[#This Row],[Home Differential]])-Table4[[#This Row],[Away Differential]]</f>
        <v>2.4778558193726585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0.92995781464718075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4.905907728998688E-3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-0.60099633616081094</v>
      </c>
      <c r="H413" t="s">
        <v>21</v>
      </c>
      <c r="I413">
        <f>VLOOKUP(Table4[[#This Row],[Visitor]],'NHL Model'!$A$6:$B$38,2,FALSE)</f>
        <v>2.6215642141022087E-2</v>
      </c>
      <c r="J413">
        <f>($B$1+Table4[[#This Row],[Home Differential]])-Table4[[#This Row],[Away Differential]]</f>
        <v>-0.57893072501318166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0.51579671536883909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0.26604625158528322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-0.41671190768559452</v>
      </c>
      <c r="H414" t="s">
        <v>34</v>
      </c>
      <c r="I414">
        <f>VLOOKUP(Table4[[#This Row],[Visitor]],'NHL Model'!$A$6:$B$38,2,FALSE)</f>
        <v>5.1566962112876508E-2</v>
      </c>
      <c r="J414">
        <f>($B$1+Table4[[#This Row],[Home Differential]])-Table4[[#This Row],[Away Differential]]</f>
        <v>-0.41999761650981959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0.54459650956098626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0.20739233910403687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-0.3510442662416135</v>
      </c>
      <c r="H415" t="s">
        <v>19</v>
      </c>
      <c r="I415">
        <f>VLOOKUP(Table4[[#This Row],[Visitor]],'NHL Model'!$A$6:$B$38,2,FALSE)</f>
        <v>-8.5089305365893694E-2</v>
      </c>
      <c r="J415">
        <f>($B$1+Table4[[#This Row],[Home Differential]])-Table4[[#This Row],[Away Differential]]</f>
        <v>-0.21767370758706839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0.48478504739709521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0.26544644738561346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-0.19390166761644689</v>
      </c>
      <c r="H416" t="s">
        <v>22</v>
      </c>
      <c r="I416">
        <f>VLOOKUP(Table4[[#This Row],[Visitor]],'NHL Model'!$A$6:$B$38,2,FALSE)</f>
        <v>0.84902697115371384</v>
      </c>
      <c r="J416">
        <f>($B$1+Table4[[#This Row],[Home Differential]])-Table4[[#This Row],[Away Differential]]</f>
        <v>-0.99464738548150933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0.6273926544545545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0.13883623395442302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-0.36560113761686208</v>
      </c>
      <c r="H417" t="s">
        <v>36</v>
      </c>
      <c r="I417">
        <f>VLOOKUP(Table4[[#This Row],[Visitor]],'NHL Model'!$A$6:$B$38,2,FALSE)</f>
        <v>-0.23108682001987857</v>
      </c>
      <c r="J417">
        <f>($B$1+Table4[[#This Row],[Home Differential]])-Table4[[#This Row],[Away Differential]]</f>
        <v>-8.6233064308332108E-2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0.47339494050005743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0.27731288869093801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-0.90025837753161619</v>
      </c>
      <c r="H418" t="s">
        <v>16</v>
      </c>
      <c r="I418">
        <f>VLOOKUP(Table4[[#This Row],[Visitor]],'NHL Model'!$A$6:$B$38,2,FALSE)</f>
        <v>-0.81412334763558081</v>
      </c>
      <c r="J418">
        <f>($B$1+Table4[[#This Row],[Home Differential]])-Table4[[#This Row],[Away Differential]]</f>
        <v>-3.7853776607383982E-2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0.46431015604857923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0.21558392100985599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0.24561340747691926</v>
      </c>
      <c r="H419" t="s">
        <v>37</v>
      </c>
      <c r="I419">
        <f>VLOOKUP(Table4[[#This Row],[Visitor]],'NHL Model'!$A$6:$B$38,2,FALSE)</f>
        <v>0.66987960668864954</v>
      </c>
      <c r="J419">
        <f>($B$1+Table4[[#This Row],[Home Differential]])-Table4[[#This Row],[Away Differential]]</f>
        <v>-0.37598494592307885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0.57543405705843842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0.33112435402273416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9.0184826596604858E-2</v>
      </c>
      <c r="H420" t="s">
        <v>39</v>
      </c>
      <c r="I420">
        <f>VLOOKUP(Table4[[#This Row],[Visitor]],'NHL Model'!$A$6:$B$38,2,FALSE)</f>
        <v>0.7564009584796878</v>
      </c>
      <c r="J420">
        <f>($B$1+Table4[[#This Row],[Home Differential]])-Table4[[#This Row],[Away Differential]]</f>
        <v>-0.61793487859443152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0.622846294373811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0.38793750641518804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9.2938870272174581E-2</v>
      </c>
      <c r="H421" t="s">
        <v>10</v>
      </c>
      <c r="I421">
        <f>VLOOKUP(Table4[[#This Row],[Visitor]],'NHL Model'!$A$6:$B$38,2,FALSE)</f>
        <v>2.5996227684575345E-2</v>
      </c>
      <c r="J421">
        <f>($B$1+Table4[[#This Row],[Home Differential]])-Table4[[#This Row],[Away Differential]]</f>
        <v>0.11522389587625062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0.55229028032112804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0.2004439930949341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0.17827516980235869</v>
      </c>
      <c r="H422" t="s">
        <v>55</v>
      </c>
      <c r="I422">
        <f>VLOOKUP(Table4[[#This Row],[Visitor]],'NHL Model'!$A$6:$B$38,2,FALSE)</f>
        <v>0.15493687588867713</v>
      </c>
      <c r="J422">
        <f>($B$1+Table4[[#This Row],[Home Differential]])-Table4[[#This Row],[Away Differential]]</f>
        <v>7.1619547202332962E-2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0.6164273443112156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0.37998267081457793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-0.36560113761686208</v>
      </c>
      <c r="H423" t="s">
        <v>40</v>
      </c>
      <c r="I423">
        <f>VLOOKUP(Table4[[#This Row],[Visitor]],'NHL Model'!$A$6:$B$38,2,FALSE)</f>
        <v>-3.3785654828041967E-2</v>
      </c>
      <c r="J423">
        <f>($B$1+Table4[[#This Row],[Home Differential]])-Table4[[#This Row],[Away Differential]]</f>
        <v>-0.28353422950016871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0.49586030292250688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0.24587744001440029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-2.8342943575894393E-4</v>
      </c>
      <c r="H424" t="s">
        <v>39</v>
      </c>
      <c r="I424">
        <f>VLOOKUP(Table4[[#This Row],[Visitor]],'NHL Model'!$A$6:$B$38,2,FALSE)</f>
        <v>0.7564009584796878</v>
      </c>
      <c r="J424">
        <f>($B$1+Table4[[#This Row],[Home Differential]])-Table4[[#This Row],[Away Differential]]</f>
        <v>-0.70840313462679538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0.58975203009907162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0.16830339680783304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-2.8950318025217449E-2</v>
      </c>
      <c r="H425" t="s">
        <v>23</v>
      </c>
      <c r="I425">
        <f>VLOOKUP(Table4[[#This Row],[Visitor]],'NHL Model'!$A$6:$B$38,2,FALSE)</f>
        <v>-0.40965500817719275</v>
      </c>
      <c r="J425">
        <f>($B$1+Table4[[#This Row],[Home Differential]])-Table4[[#This Row],[Away Differential]]</f>
        <v>0.42898594344062668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0.61488349245753726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0.14831472438170376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-0.47218252282767964</v>
      </c>
      <c r="H426" t="s">
        <v>22</v>
      </c>
      <c r="I426">
        <f>VLOOKUP(Table4[[#This Row],[Visitor]],'NHL Model'!$A$6:$B$38,2,FALSE)</f>
        <v>0.84902697115371384</v>
      </c>
      <c r="J426">
        <f>($B$1+Table4[[#This Row],[Home Differential]])-Table4[[#This Row],[Away Differential]]</f>
        <v>-1.272928240692742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0.65907863188642102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0.11622737923643443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2.6215642141022087E-2</v>
      </c>
      <c r="H427" t="s">
        <v>35</v>
      </c>
      <c r="I427">
        <f>VLOOKUP(Table4[[#This Row],[Visitor]],'NHL Model'!$A$6:$B$38,2,FALSE)</f>
        <v>-1.1754320402170535</v>
      </c>
      <c r="J427">
        <f>($B$1+Table4[[#This Row],[Home Differential]])-Table4[[#This Row],[Away Differential]]</f>
        <v>1.2499289356467269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0.73403701388989639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7.0736309980603165E-2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0.47905090860407873</v>
      </c>
      <c r="H428" t="s">
        <v>19</v>
      </c>
      <c r="I428">
        <f>VLOOKUP(Table4[[#This Row],[Visitor]],'NHL Model'!$A$6:$B$38,2,FALSE)</f>
        <v>-8.5089305365893694E-2</v>
      </c>
      <c r="J428">
        <f>($B$1+Table4[[#This Row],[Home Differential]])-Table4[[#This Row],[Away Differential]]</f>
        <v>0.61242146725862379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0.64197839710941296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0.41213626235517115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-0.28376306754383246</v>
      </c>
      <c r="H429" t="s">
        <v>26</v>
      </c>
      <c r="I429">
        <f>VLOOKUP(Table4[[#This Row],[Visitor]],'NHL Model'!$A$6:$B$38,2,FALSE)</f>
        <v>-0.60099633616081094</v>
      </c>
      <c r="J429">
        <f>($B$1+Table4[[#This Row],[Home Differential]])-Table4[[#This Row],[Away Differential]]</f>
        <v>0.36551452190562989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0.58161869088453855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0.1750429198171673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-0.81412334763558081</v>
      </c>
      <c r="H430" t="s">
        <v>34</v>
      </c>
      <c r="I430">
        <f>VLOOKUP(Table4[[#This Row],[Visitor]],'NHL Model'!$A$6:$B$38,2,FALSE)</f>
        <v>5.1566962112876508E-2</v>
      </c>
      <c r="J430">
        <f>($B$1+Table4[[#This Row],[Home Differential]])-Table4[[#This Row],[Away Differential]]</f>
        <v>-0.81740905645980588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0.59235962859040603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0.35088992958376375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-0.41671190768559452</v>
      </c>
      <c r="H431" t="s">
        <v>32</v>
      </c>
      <c r="I431">
        <f>VLOOKUP(Table4[[#This Row],[Visitor]],'NHL Model'!$A$6:$B$38,2,FALSE)</f>
        <v>-0.56616527987265597</v>
      </c>
      <c r="J431">
        <f>($B$1+Table4[[#This Row],[Home Differential]])-Table4[[#This Row],[Away Differential]]</f>
        <v>0.19773462547571286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0.56501019684658016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0.18921612884745095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-0.3510442662416135</v>
      </c>
      <c r="H432" t="s">
        <v>29</v>
      </c>
      <c r="I432">
        <f>VLOOKUP(Table4[[#This Row],[Visitor]],'NHL Model'!$A$6:$B$38,2,FALSE)</f>
        <v>-0.90025837753161619</v>
      </c>
      <c r="J432">
        <f>($B$1+Table4[[#This Row],[Home Differential]])-Table4[[#This Row],[Away Differential]]</f>
        <v>0.59749536457865404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0.60803279594391579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0.36970388094337553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-0.19390166761644689</v>
      </c>
      <c r="H433" t="s">
        <v>10</v>
      </c>
      <c r="I433">
        <f>VLOOKUP(Table4[[#This Row],[Visitor]],'NHL Model'!$A$6:$B$38,2,FALSE)</f>
        <v>2.5996227684575345E-2</v>
      </c>
      <c r="J433">
        <f>($B$1+Table4[[#This Row],[Home Differential]])-Table4[[#This Row],[Away Differential]]</f>
        <v>-0.17161664201237084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0.4803703308559662</v>
      </c>
      <c r="M433" t="str">
        <f>IF(OR((NHL2025_26Results[[#This Row],[Winning Team]]="")),"-",IF(Table4[[#This Row],[Predicted Winner]]=NHL2025_26Results[[#This Row],[Winning Team]],"YES","NO"))</f>
        <v>YES</v>
      </c>
      <c r="N433">
        <f>IF(Table4[[#This Row],[Adjusted Correct]]="-", "",IF(Table4[[#This Row],[Adjusted Correct]]="YES",(Table4[[#This Row],[Strength of Win]]-1)^2,(Table4[[#This Row],[Strength of Win]]-0)^2))</f>
        <v>0.27001499305473808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0.24561340747691926</v>
      </c>
      <c r="H434" t="s">
        <v>12</v>
      </c>
      <c r="I434">
        <f>VLOOKUP(Table4[[#This Row],[Visitor]],'NHL Model'!$A$6:$B$38,2,FALSE)</f>
        <v>1.6584974384060074</v>
      </c>
      <c r="J434">
        <f>($B$1+Table4[[#This Row],[Home Differential]])-Table4[[#This Row],[Away Differential]]</f>
        <v>-1.3646027776404366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0.66951699749585747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0.44825300993586803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-0.23108682001987857</v>
      </c>
      <c r="H435" t="s">
        <v>15</v>
      </c>
      <c r="I435">
        <f>VLOOKUP(Table4[[#This Row],[Visitor]],'NHL Model'!$A$6:$B$38,2,FALSE)</f>
        <v>9.0184826596604858E-2</v>
      </c>
      <c r="J435">
        <f>($B$1+Table4[[#This Row],[Home Differential]])-Table4[[#This Row],[Away Differential]]</f>
        <v>-0.27299039332783204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0.59765582592594457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0.16188083441133383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0.66987960668864954</v>
      </c>
      <c r="H436" t="s">
        <v>14</v>
      </c>
      <c r="I436">
        <f>VLOOKUP(Table4[[#This Row],[Visitor]],'NHL Model'!$A$6:$B$38,2,FALSE)</f>
        <v>0.17535803439735015</v>
      </c>
      <c r="J436">
        <f>($B$1+Table4[[#This Row],[Home Differential]])-Table4[[#This Row],[Away Differential]]</f>
        <v>0.54280282557995085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0.56180532278522877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0.31562522070981508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0.17827516980235869</v>
      </c>
      <c r="H437" t="s">
        <v>22</v>
      </c>
      <c r="I437">
        <f>VLOOKUP(Table4[[#This Row],[Visitor]],'NHL Model'!$A$6:$B$38,2,FALSE)</f>
        <v>0.84902697115371384</v>
      </c>
      <c r="J437">
        <f>($B$1+Table4[[#This Row],[Home Differential]])-Table4[[#This Row],[Away Differential]]</f>
        <v>-0.62247054806270374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0.51532099728148761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0.26555573023918694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0.7564009584796878</v>
      </c>
      <c r="H438" t="s">
        <v>33</v>
      </c>
      <c r="I438">
        <f>VLOOKUP(Table4[[#This Row],[Visitor]],'NHL Model'!$A$6:$B$38,2,FALSE)</f>
        <v>-0.47218252282767964</v>
      </c>
      <c r="J438">
        <f>($B$1+Table4[[#This Row],[Home Differential]])-Table4[[#This Row],[Away Differential]]</f>
        <v>1.2768647345960189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0.72828959100926871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7.3826546353910477E-2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-2.8342943575894393E-4</v>
      </c>
      <c r="H439" t="s">
        <v>20</v>
      </c>
      <c r="I439">
        <f>VLOOKUP(Table4[[#This Row],[Visitor]],'NHL Model'!$A$6:$B$38,2,FALSE)</f>
        <v>9.2938870272174581E-2</v>
      </c>
      <c r="J439">
        <f>($B$1+Table4[[#This Row],[Home Differential]])-Table4[[#This Row],[Away Differential]]</f>
        <v>-4.4941046419282121E-2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0.44261713600105523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0.31067565707966616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-0.77107712767799974</v>
      </c>
      <c r="H440" t="s">
        <v>55</v>
      </c>
      <c r="I440">
        <f>VLOOKUP(Table4[[#This Row],[Visitor]],'NHL Model'!$A$6:$B$38,2,FALSE)</f>
        <v>0.15493687588867713</v>
      </c>
      <c r="J440">
        <f>($B$1+Table4[[#This Row],[Home Differential]])-Table4[[#This Row],[Away Differential]]</f>
        <v>-0.87773275027802544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0.55994155040025595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0.19365143906413049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-3.3785654828041967E-2</v>
      </c>
      <c r="H441" t="s">
        <v>23</v>
      </c>
      <c r="I441">
        <f>VLOOKUP(Table4[[#This Row],[Visitor]],'NHL Model'!$A$6:$B$38,2,FALSE)</f>
        <v>-0.40965500817719275</v>
      </c>
      <c r="J441">
        <f>($B$1+Table4[[#This Row],[Home Differential]])-Table4[[#This Row],[Away Differential]]</f>
        <v>0.42415060663780219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0.6074006204972322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0.15413427278595829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2.6215642141022087E-2</v>
      </c>
      <c r="H442" t="s">
        <v>24</v>
      </c>
      <c r="I442">
        <f>VLOOKUP(Table4[[#This Row],[Visitor]],'NHL Model'!$A$6:$B$38,2,FALSE)</f>
        <v>-2.8342943575894393E-4</v>
      </c>
      <c r="J442">
        <f>($B$1+Table4[[#This Row],[Home Differential]])-Table4[[#This Row],[Away Differential]]</f>
        <v>7.4780324865432443E-2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0.57994330624292001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O442">
        <v>7.4780324865432443E-2</v>
      </c>
      <c r="P442" s="11">
        <v>0.57994330624292001</v>
      </c>
      <c r="Q442" t="s">
        <v>21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0.47905090860407873</v>
      </c>
      <c r="H443" t="s">
        <v>29</v>
      </c>
      <c r="I443">
        <f>VLOOKUP(Table4[[#This Row],[Visitor]],'NHL Model'!$A$6:$B$38,2,FALSE)</f>
        <v>-0.90025837753161619</v>
      </c>
      <c r="J443">
        <f>($B$1+Table4[[#This Row],[Home Differential]])-Table4[[#This Row],[Away Differential]]</f>
        <v>1.4275905394243464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0.73479624045042391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O443">
        <v>1.4275905394243464</v>
      </c>
      <c r="P443" s="11">
        <v>0.73479624045042391</v>
      </c>
      <c r="Q443" t="s">
        <v>25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-0.81412334763558081</v>
      </c>
      <c r="H444" t="s">
        <v>55</v>
      </c>
      <c r="I444">
        <f>VLOOKUP(Table4[[#This Row],[Visitor]],'NHL Model'!$A$6:$B$38,2,FALSE)</f>
        <v>0.15493687588867713</v>
      </c>
      <c r="J444">
        <f>($B$1+Table4[[#This Row],[Home Differential]])-Table4[[#This Row],[Away Differential]]</f>
        <v>-0.92077897023560651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0.5648429352011175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O444">
        <v>-0.92077897023560651</v>
      </c>
      <c r="P444" s="11">
        <v>0.5648429352011175</v>
      </c>
      <c r="Q444" t="s">
        <v>55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-0.41671190768559452</v>
      </c>
      <c r="H445" t="s">
        <v>40</v>
      </c>
      <c r="I445">
        <f>VLOOKUP(Table4[[#This Row],[Visitor]],'NHL Model'!$A$6:$B$38,2,FALSE)</f>
        <v>-3.3785654828041967E-2</v>
      </c>
      <c r="J445">
        <f>($B$1+Table4[[#This Row],[Home Differential]])-Table4[[#This Row],[Away Differential]]</f>
        <v>-0.33464499956890115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0.49918162940999083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O445">
        <v>-0.33464499956890115</v>
      </c>
      <c r="P445" s="11">
        <v>0.49918162940999083</v>
      </c>
      <c r="Q445" t="s">
        <v>40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-0.3510442662416135</v>
      </c>
      <c r="H446" t="s">
        <v>28</v>
      </c>
      <c r="I446">
        <f>VLOOKUP(Table4[[#This Row],[Visitor]],'NHL Model'!$A$6:$B$38,2,FALSE)</f>
        <v>-0.28376306754383246</v>
      </c>
      <c r="J446">
        <f>($B$1+Table4[[#This Row],[Home Differential]])-Table4[[#This Row],[Away Differential]]</f>
        <v>-1.8999945409129637E-2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0.4657395554880448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O446">
        <v>-1.8999945409129637E-2</v>
      </c>
      <c r="P446" s="11">
        <v>0.4657395554880448</v>
      </c>
      <c r="Q446" t="s">
        <v>28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-0.19390166761644689</v>
      </c>
      <c r="H447" t="s">
        <v>10</v>
      </c>
      <c r="I447">
        <f>VLOOKUP(Table4[[#This Row],[Visitor]],'NHL Model'!$A$6:$B$38,2,FALSE)</f>
        <v>2.5996227684575345E-2</v>
      </c>
      <c r="J447">
        <f>($B$1+Table4[[#This Row],[Home Differential]])-Table4[[#This Row],[Away Differential]]</f>
        <v>-0.17161664201237084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0.4803703308559662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O447">
        <v>-0.17161664201237084</v>
      </c>
      <c r="P447" s="11">
        <v>0.4803703308559662</v>
      </c>
      <c r="Q447" t="s">
        <v>10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9.0184826596604858E-2</v>
      </c>
      <c r="H448" t="s">
        <v>12</v>
      </c>
      <c r="I448">
        <f>VLOOKUP(Table4[[#This Row],[Visitor]],'NHL Model'!$A$6:$B$38,2,FALSE)</f>
        <v>1.6584974384060074</v>
      </c>
      <c r="J448">
        <f>($B$1+Table4[[#This Row],[Home Differential]])-Table4[[#This Row],[Away Differential]]</f>
        <v>-1.5200313585207512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0.68721460914902843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O448">
        <v>-1.5200313585207512</v>
      </c>
      <c r="P448" s="11">
        <v>0.68721460914902843</v>
      </c>
      <c r="Q448" t="s">
        <v>12</v>
      </c>
    </row>
    <row r="449" spans="4:17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-0.23108682001987857</v>
      </c>
      <c r="H449" t="s">
        <v>35</v>
      </c>
      <c r="I449">
        <f>VLOOKUP(Table4[[#This Row],[Visitor]],'NHL Model'!$A$6:$B$38,2,FALSE)</f>
        <v>-1.1754320402170535</v>
      </c>
      <c r="J449">
        <f>($B$1+Table4[[#This Row],[Home Differential]])-Table4[[#This Row],[Away Differential]]</f>
        <v>0.99262647348582633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0.65302372925823782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O449">
        <v>0.99262647348582633</v>
      </c>
      <c r="P449" s="11">
        <v>0.65302372925823782</v>
      </c>
      <c r="Q449" t="s">
        <v>36</v>
      </c>
    </row>
    <row r="450" spans="4:17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-0.56616527987265597</v>
      </c>
      <c r="H450" t="s">
        <v>26</v>
      </c>
      <c r="I450">
        <f>VLOOKUP(Table4[[#This Row],[Visitor]],'NHL Model'!$A$6:$B$38,2,FALSE)</f>
        <v>-0.60099633616081094</v>
      </c>
      <c r="J450">
        <f>($B$1+Table4[[#This Row],[Home Differential]])-Table4[[#This Row],[Away Differential]]</f>
        <v>8.3112309576806376E-2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0.54946344211700093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O450">
        <v>8.3112309576806376E-2</v>
      </c>
      <c r="P450" s="11">
        <v>0.54946344211700093</v>
      </c>
      <c r="Q450" t="s">
        <v>32</v>
      </c>
    </row>
    <row r="451" spans="4:17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0.66987960668864954</v>
      </c>
      <c r="H451" t="s">
        <v>30</v>
      </c>
      <c r="I451">
        <f>VLOOKUP(Table4[[#This Row],[Visitor]],'NHL Model'!$A$6:$B$38,2,FALSE)</f>
        <v>0.24561340747691926</v>
      </c>
      <c r="J451">
        <f>($B$1+Table4[[#This Row],[Home Differential]])-Table4[[#This Row],[Away Differential]]</f>
        <v>0.47254745250038166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0.5352872954101745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O451">
        <v>0.47254745250038166</v>
      </c>
      <c r="P451" s="11">
        <v>0.5352872954101745</v>
      </c>
      <c r="Q451" t="s">
        <v>37</v>
      </c>
    </row>
    <row r="452" spans="4:17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-8.5089305365893694E-2</v>
      </c>
      <c r="H452" t="s">
        <v>18</v>
      </c>
      <c r="I452">
        <f>VLOOKUP(Table4[[#This Row],[Visitor]],'NHL Model'!$A$6:$B$38,2,FALSE)</f>
        <v>-0.36560113761686208</v>
      </c>
      <c r="J452">
        <f>($B$1+Table4[[#This Row],[Home Differential]])-Table4[[#This Row],[Away Differential]]</f>
        <v>0.32879308553961978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0.51814963300845873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O452">
        <v>0.32879308553961978</v>
      </c>
      <c r="P452" s="11">
        <v>0.51814963300845873</v>
      </c>
      <c r="Q452" t="s">
        <v>19</v>
      </c>
    </row>
    <row r="453" spans="4:17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-0.77107712767799974</v>
      </c>
      <c r="H453" t="s">
        <v>34</v>
      </c>
      <c r="I453">
        <f>VLOOKUP(Table4[[#This Row],[Visitor]],'NHL Model'!$A$6:$B$38,2,FALSE)</f>
        <v>5.1566962112876508E-2</v>
      </c>
      <c r="J453">
        <f>($B$1+Table4[[#This Row],[Home Differential]])-Table4[[#This Row],[Away Differential]]</f>
        <v>-0.77436283650222482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0.58745824378954448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O453">
        <v>-0.77436283650222482</v>
      </c>
      <c r="P453" s="11">
        <v>0.58745824378954448</v>
      </c>
      <c r="Q453" t="s">
        <v>34</v>
      </c>
    </row>
    <row r="454" spans="4:17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0.17827516980235869</v>
      </c>
      <c r="H454" t="s">
        <v>10</v>
      </c>
      <c r="I454">
        <f>VLOOKUP(Table4[[#This Row],[Visitor]],'NHL Model'!$A$6:$B$38,2,FALSE)</f>
        <v>2.5996227684575345E-2</v>
      </c>
      <c r="J454">
        <f>($B$1+Table4[[#This Row],[Home Differential]])-Table4[[#This Row],[Away Differential]]</f>
        <v>0.20056019540643474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0.63031308188240154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7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0.47905090860407873</v>
      </c>
      <c r="H455" t="s">
        <v>33</v>
      </c>
      <c r="I455">
        <f>VLOOKUP(Table4[[#This Row],[Visitor]],'NHL Model'!$A$6:$B$38,2,FALSE)</f>
        <v>-0.47218252282767964</v>
      </c>
      <c r="J455">
        <f>($B$1+Table4[[#This Row],[Home Differential]])-Table4[[#This Row],[Away Differential]]</f>
        <v>0.99951468472040972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0.68605410955183932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7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0.7564009584796878</v>
      </c>
      <c r="H456" t="s">
        <v>14</v>
      </c>
      <c r="I456">
        <f>VLOOKUP(Table4[[#This Row],[Visitor]],'NHL Model'!$A$6:$B$38,2,FALSE)</f>
        <v>0.17535803439735015</v>
      </c>
      <c r="J456">
        <f>($B$1+Table4[[#This Row],[Home Differential]])-Table4[[#This Row],[Away Differential]]</f>
        <v>0.629324177370989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0.60106869441586508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7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-0.3510442662416135</v>
      </c>
      <c r="H457" t="s">
        <v>30</v>
      </c>
      <c r="I457">
        <f>VLOOKUP(Table4[[#This Row],[Visitor]],'NHL Model'!$A$6:$B$38,2,FALSE)</f>
        <v>0.24561340747691926</v>
      </c>
      <c r="J457">
        <f>($B$1+Table4[[#This Row],[Home Differential]])-Table4[[#This Row],[Away Differential]]</f>
        <v>-0.54837642042988133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0.59506311981420168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7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-0.36560113761686208</v>
      </c>
      <c r="H458" t="s">
        <v>35</v>
      </c>
      <c r="I458">
        <f>VLOOKUP(Table4[[#This Row],[Visitor]],'NHL Model'!$A$6:$B$38,2,FALSE)</f>
        <v>-1.1754320402170535</v>
      </c>
      <c r="J458">
        <f>($B$1+Table4[[#This Row],[Home Differential]])-Table4[[#This Row],[Away Differential]]</f>
        <v>0.85811215588884282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0.63770748470952221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7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9.0184826596604858E-2</v>
      </c>
      <c r="H459" t="s">
        <v>20</v>
      </c>
      <c r="I459">
        <f>VLOOKUP(Table4[[#This Row],[Visitor]],'NHL Model'!$A$6:$B$38,2,FALSE)</f>
        <v>9.2938870272174581E-2</v>
      </c>
      <c r="J459">
        <f>($B$1+Table4[[#This Row],[Home Differential]])-Table4[[#This Row],[Away Differential]]</f>
        <v>4.5527209613081696E-2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0.52441464770936952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7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-2.8950318025217449E-2</v>
      </c>
      <c r="H460" t="s">
        <v>12</v>
      </c>
      <c r="I460">
        <f>VLOOKUP(Table4[[#This Row],[Visitor]],'NHL Model'!$A$6:$B$38,2,FALSE)</f>
        <v>1.6584974384060074</v>
      </c>
      <c r="J460">
        <f>($B$1+Table4[[#This Row],[Home Differential]])-Table4[[#This Row],[Away Differential]]</f>
        <v>-1.6391665031425735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0.67444579082814737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7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0.84902697115371384</v>
      </c>
      <c r="H461" t="s">
        <v>28</v>
      </c>
      <c r="I461">
        <f>VLOOKUP(Table4[[#This Row],[Visitor]],'NHL Model'!$A$6:$B$38,2,FALSE)</f>
        <v>-0.28376306754383246</v>
      </c>
      <c r="J461">
        <f>($B$1+Table4[[#This Row],[Home Differential]])-Table4[[#This Row],[Away Differential]]</f>
        <v>1.1810712919861976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0.69698067879083347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7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-0.81412334763558081</v>
      </c>
      <c r="H462" t="s">
        <v>23</v>
      </c>
      <c r="I462">
        <f>VLOOKUP(Table4[[#This Row],[Visitor]],'NHL Model'!$A$6:$B$38,2,FALSE)</f>
        <v>-0.40965500817719275</v>
      </c>
      <c r="J462">
        <f>($B$1+Table4[[#This Row],[Home Differential]])-Table4[[#This Row],[Away Differential]]</f>
        <v>-0.35618708616973666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0.5005566382399167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7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-0.56616527987265597</v>
      </c>
      <c r="H463" t="s">
        <v>34</v>
      </c>
      <c r="I463">
        <f>VLOOKUP(Table4[[#This Row],[Visitor]],'NHL Model'!$A$6:$B$38,2,FALSE)</f>
        <v>5.1566962112876508E-2</v>
      </c>
      <c r="J463">
        <f>($B$1+Table4[[#This Row],[Home Differential]])-Table4[[#This Row],[Away Differential]]</f>
        <v>-0.56945098869688104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0.56412630390401508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7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-8.5089305365893694E-2</v>
      </c>
      <c r="H464" t="s">
        <v>37</v>
      </c>
      <c r="I464">
        <f>VLOOKUP(Table4[[#This Row],[Visitor]],'NHL Model'!$A$6:$B$38,2,FALSE)</f>
        <v>0.66987960668864954</v>
      </c>
      <c r="J464">
        <f>($B$1+Table4[[#This Row],[Home Differential]])-Table4[[#This Row],[Away Differential]]</f>
        <v>-0.70668765876589179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0.61308896036768867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0.15493687588867713</v>
      </c>
      <c r="H465" t="s">
        <v>13</v>
      </c>
      <c r="I465">
        <f>VLOOKUP(Table4[[#This Row],[Visitor]],'NHL Model'!$A$6:$B$38,2,FALSE)</f>
        <v>-0.19390166761644689</v>
      </c>
      <c r="J465">
        <f>($B$1+Table4[[#This Row],[Home Differential]])-Table4[[#This Row],[Away Differential]]</f>
        <v>0.3971197967937754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0.55992325423935307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-0.77107712767799974</v>
      </c>
      <c r="H466" t="s">
        <v>26</v>
      </c>
      <c r="I466">
        <f>VLOOKUP(Table4[[#This Row],[Visitor]],'NHL Model'!$A$6:$B$38,2,FALSE)</f>
        <v>-0.60099633616081094</v>
      </c>
      <c r="J466">
        <f>($B$1+Table4[[#This Row],[Home Differential]])-Table4[[#This Row],[Away Differential]]</f>
        <v>-0.1217995382285374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0.47386849776852863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0.47905090860407873</v>
      </c>
      <c r="H467" t="s">
        <v>28</v>
      </c>
      <c r="I467">
        <f>VLOOKUP(Table4[[#This Row],[Visitor]],'NHL Model'!$A$6:$B$38,2,FALSE)</f>
        <v>-0.28376306754383246</v>
      </c>
      <c r="J467">
        <f>($B$1+Table4[[#This Row],[Home Differential]])-Table4[[#This Row],[Away Differential]]</f>
        <v>0.81109522943656254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0.66107436129748243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-0.41671190768559452</v>
      </c>
      <c r="H468" t="s">
        <v>23</v>
      </c>
      <c r="I468">
        <f>VLOOKUP(Table4[[#This Row],[Visitor]],'NHL Model'!$A$6:$B$38,2,FALSE)</f>
        <v>-0.40965500817719275</v>
      </c>
      <c r="J468">
        <f>($B$1+Table4[[#This Row],[Home Differential]])-Table4[[#This Row],[Away Differential]]</f>
        <v>4.1224353780249634E-2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0.54718942030399897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-0.36560113761686208</v>
      </c>
      <c r="H469" t="s">
        <v>37</v>
      </c>
      <c r="I469">
        <f>VLOOKUP(Table4[[#This Row],[Visitor]],'NHL Model'!$A$6:$B$38,2,FALSE)</f>
        <v>0.66987960668864954</v>
      </c>
      <c r="J469">
        <f>($B$1+Table4[[#This Row],[Home Differential]])-Table4[[#This Row],[Away Differential]]</f>
        <v>-0.98719949101686022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0.64502896421498523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-0.90025837753161619</v>
      </c>
      <c r="H470" t="s">
        <v>12</v>
      </c>
      <c r="I470">
        <f>VLOOKUP(Table4[[#This Row],[Visitor]],'NHL Model'!$A$6:$B$38,2,FALSE)</f>
        <v>1.6584974384060074</v>
      </c>
      <c r="J470">
        <f>($B$1+Table4[[#This Row],[Home Differential]])-Table4[[#This Row],[Away Differential]]</f>
        <v>-2.5104745626489722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0.79998974414611856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0.24561340747691926</v>
      </c>
      <c r="H471" t="s">
        <v>20</v>
      </c>
      <c r="I471">
        <f>VLOOKUP(Table4[[#This Row],[Visitor]],'NHL Model'!$A$6:$B$38,2,FALSE)</f>
        <v>9.2938870272174581E-2</v>
      </c>
      <c r="J471">
        <f>($B$1+Table4[[#This Row],[Home Differential]])-Table4[[#This Row],[Away Differential]]</f>
        <v>0.20095579049339612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0.54211225936254048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-0.23108682001987857</v>
      </c>
      <c r="H472" t="s">
        <v>24</v>
      </c>
      <c r="I472">
        <f>VLOOKUP(Table4[[#This Row],[Visitor]],'NHL Model'!$A$6:$B$38,2,FALSE)</f>
        <v>-2.8342943575894393E-4</v>
      </c>
      <c r="J472">
        <f>($B$1+Table4[[#This Row],[Home Differential]])-Table4[[#This Row],[Away Differential]]</f>
        <v>-0.18252213729546823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0.50155180425518009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-2.8950318025217449E-2</v>
      </c>
      <c r="H473" t="s">
        <v>33</v>
      </c>
      <c r="I473">
        <f>VLOOKUP(Table4[[#This Row],[Visitor]],'NHL Model'!$A$6:$B$38,2,FALSE)</f>
        <v>-0.47218252282767964</v>
      </c>
      <c r="J473">
        <f>($B$1+Table4[[#This Row],[Home Differential]])-Table4[[#This Row],[Away Differential]]</f>
        <v>0.49151345809111358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0.62200308182555952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0.17535803439735015</v>
      </c>
      <c r="H474" t="s">
        <v>31</v>
      </c>
      <c r="I474">
        <f>VLOOKUP(Table4[[#This Row],[Visitor]],'NHL Model'!$A$6:$B$38,2,FALSE)</f>
        <v>0.17827516980235869</v>
      </c>
      <c r="J474">
        <f>($B$1+Table4[[#This Row],[Home Differential]])-Table4[[#This Row],[Away Differential]]</f>
        <v>4.5364117883642863E-2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0.52439607754630746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-1.1754320402170535</v>
      </c>
      <c r="H475" t="s">
        <v>21</v>
      </c>
      <c r="I475">
        <f>VLOOKUP(Table4[[#This Row],[Visitor]],'NHL Model'!$A$6:$B$38,2,FALSE)</f>
        <v>2.6215642141022087E-2</v>
      </c>
      <c r="J475">
        <f>($B$1+Table4[[#This Row],[Home Differential]])-Table4[[#This Row],[Away Differential]]</f>
        <v>-1.1533664290694241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0.5913261115804247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-3.3785654828041967E-2</v>
      </c>
      <c r="H476" t="s">
        <v>39</v>
      </c>
      <c r="I476">
        <f>VLOOKUP(Table4[[#This Row],[Visitor]],'NHL Model'!$A$6:$B$38,2,FALSE)</f>
        <v>0.7564009584796878</v>
      </c>
      <c r="J476">
        <f>($B$1+Table4[[#This Row],[Home Differential]])-Table4[[#This Row],[Away Differential]]</f>
        <v>-0.74190536001907836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0.61780912839405122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-0.81412334763558081</v>
      </c>
      <c r="H477" t="s">
        <v>26</v>
      </c>
      <c r="I477">
        <f>VLOOKUP(Table4[[#This Row],[Visitor]],'NHL Model'!$A$6:$B$38,2,FALSE)</f>
        <v>-0.60099633616081094</v>
      </c>
      <c r="J477">
        <f>($B$1+Table4[[#This Row],[Home Differential]])-Table4[[#This Row],[Away Differential]]</f>
        <v>-0.16484575818611846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0.47876988256939013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2.5996227684575345E-2</v>
      </c>
      <c r="H478" t="s">
        <v>15</v>
      </c>
      <c r="I478">
        <f>VLOOKUP(Table4[[#This Row],[Visitor]],'NHL Model'!$A$6:$B$38,2,FALSE)</f>
        <v>9.0184826596604858E-2</v>
      </c>
      <c r="J478">
        <f>($B$1+Table4[[#This Row],[Home Differential]])-Table4[[#This Row],[Away Differential]]</f>
        <v>-1.5907345623378102E-2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0.56838350088045941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-0.56616527987265597</v>
      </c>
      <c r="H479" t="s">
        <v>13</v>
      </c>
      <c r="I479">
        <f>VLOOKUP(Table4[[#This Row],[Visitor]],'NHL Model'!$A$6:$B$38,2,FALSE)</f>
        <v>-0.19390166761644689</v>
      </c>
      <c r="J479">
        <f>($B$1+Table4[[#This Row],[Home Differential]])-Table4[[#This Row],[Away Differential]]</f>
        <v>-0.32398235896755767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0.56320549109105422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0.15493687588867713</v>
      </c>
      <c r="H480" t="s">
        <v>11</v>
      </c>
      <c r="I480">
        <f>VLOOKUP(Table4[[#This Row],[Visitor]],'NHL Model'!$A$6:$B$38,2,FALSE)</f>
        <v>-0.3510442662416135</v>
      </c>
      <c r="J480">
        <f>($B$1+Table4[[#This Row],[Home Differential]])-Table4[[#This Row],[Away Differential]]</f>
        <v>0.55426239541894207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0.64354132470810532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-0.28376306754383246</v>
      </c>
      <c r="H481" t="s">
        <v>36</v>
      </c>
      <c r="I481">
        <f>VLOOKUP(Table4[[#This Row],[Visitor]],'NHL Model'!$A$6:$B$38,2,FALSE)</f>
        <v>-0.23108682001987857</v>
      </c>
      <c r="J481">
        <f>($B$1+Table4[[#This Row],[Home Differential]])-Table4[[#This Row],[Away Differential]]</f>
        <v>-4.3949942353024851E-3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0.46407658750220859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1.6584974384060074</v>
      </c>
      <c r="H482" t="s">
        <v>11</v>
      </c>
      <c r="I482">
        <f>VLOOKUP(Table4[[#This Row],[Visitor]],'NHL Model'!$A$6:$B$38,2,FALSE)</f>
        <v>-0.3510442662416135</v>
      </c>
      <c r="J482">
        <f>($B$1+Table4[[#This Row],[Home Differential]])-Table4[[#This Row],[Away Differential]]</f>
        <v>2.0578229579362723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0.88213148553081666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-0.41671190768559452</v>
      </c>
      <c r="H483" t="s">
        <v>26</v>
      </c>
      <c r="I483">
        <f>VLOOKUP(Table4[[#This Row],[Visitor]],'NHL Model'!$A$6:$B$38,2,FALSE)</f>
        <v>-0.60099633616081094</v>
      </c>
      <c r="J483">
        <f>($B$1+Table4[[#This Row],[Home Differential]])-Table4[[#This Row],[Away Differential]]</f>
        <v>0.23256568176386783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0.56897617597452554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5.1566962112876508E-2</v>
      </c>
      <c r="H484" t="s">
        <v>39</v>
      </c>
      <c r="I484">
        <f>VLOOKUP(Table4[[#This Row],[Visitor]],'NHL Model'!$A$6:$B$38,2,FALSE)</f>
        <v>0.7564009584796878</v>
      </c>
      <c r="J484">
        <f>($B$1+Table4[[#This Row],[Home Differential]])-Table4[[#This Row],[Away Differential]]</f>
        <v>-0.65655274307815992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0.62724345199203624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-2.8342943575894393E-4</v>
      </c>
      <c r="H485" t="s">
        <v>37</v>
      </c>
      <c r="I485">
        <f>VLOOKUP(Table4[[#This Row],[Visitor]],'NHL Model'!$A$6:$B$38,2,FALSE)</f>
        <v>0.66987960668864954</v>
      </c>
      <c r="J485">
        <f>($B$1+Table4[[#This Row],[Home Differential]])-Table4[[#This Row],[Away Differential]]</f>
        <v>-0.62188178283575712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0.55989248351572307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-0.90025837753161619</v>
      </c>
      <c r="H486" t="s">
        <v>35</v>
      </c>
      <c r="I486">
        <f>VLOOKUP(Table4[[#This Row],[Visitor]],'NHL Model'!$A$6:$B$38,2,FALSE)</f>
        <v>-1.1754320402170535</v>
      </c>
      <c r="J486">
        <f>($B$1+Table4[[#This Row],[Home Differential]])-Table4[[#This Row],[Away Differential]]</f>
        <v>0.32345491597408871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0.57682964521580782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0.24561340747691926</v>
      </c>
      <c r="H487" t="s">
        <v>31</v>
      </c>
      <c r="I487">
        <f>VLOOKUP(Table4[[#This Row],[Visitor]],'NHL Model'!$A$6:$B$38,2,FALSE)</f>
        <v>0.17827516980235869</v>
      </c>
      <c r="J487">
        <f>($B$1+Table4[[#This Row],[Home Differential]])-Table4[[#This Row],[Away Differential]]</f>
        <v>0.115619490963212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0.53239558640284312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-2.8950318025217449E-2</v>
      </c>
      <c r="H488" t="s">
        <v>20</v>
      </c>
      <c r="I488">
        <f>VLOOKUP(Table4[[#This Row],[Visitor]],'NHL Model'!$A$6:$B$38,2,FALSE)</f>
        <v>9.2938870272174581E-2</v>
      </c>
      <c r="J488">
        <f>($B$1+Table4[[#This Row],[Home Differential]])-Table4[[#This Row],[Away Differential]]</f>
        <v>-7.3607935008740633E-2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0.46292669717791257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0.17535803439735015</v>
      </c>
      <c r="H489" t="s">
        <v>18</v>
      </c>
      <c r="I489">
        <f>VLOOKUP(Table4[[#This Row],[Visitor]],'NHL Model'!$A$6:$B$38,2,FALSE)</f>
        <v>-0.36560113761686208</v>
      </c>
      <c r="J489">
        <f>($B$1+Table4[[#This Row],[Home Differential]])-Table4[[#This Row],[Away Differential]]</f>
        <v>0.58924042530286358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0.54780502746117321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-8.5089305365893694E-2</v>
      </c>
      <c r="H490" t="s">
        <v>33</v>
      </c>
      <c r="I490">
        <f>VLOOKUP(Table4[[#This Row],[Visitor]],'NHL Model'!$A$6:$B$38,2,FALSE)</f>
        <v>-0.47218252282767964</v>
      </c>
      <c r="J490">
        <f>($B$1+Table4[[#This Row],[Home Differential]])-Table4[[#This Row],[Away Differential]]</f>
        <v>0.43537447075043734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0.58957317543148191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-0.77107712767799974</v>
      </c>
      <c r="H491" t="s">
        <v>23</v>
      </c>
      <c r="I491">
        <f>VLOOKUP(Table4[[#This Row],[Visitor]],'NHL Model'!$A$6:$B$38,2,FALSE)</f>
        <v>-0.40965500817719275</v>
      </c>
      <c r="J491">
        <f>($B$1+Table4[[#This Row],[Home Differential]])-Table4[[#This Row],[Away Differential]]</f>
        <v>-0.31314086621215559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0.4956552534390552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-3.3785654828041967E-2</v>
      </c>
      <c r="H492" t="s">
        <v>21</v>
      </c>
      <c r="I492">
        <f>VLOOKUP(Table4[[#This Row],[Visitor]],'NHL Model'!$A$6:$B$38,2,FALSE)</f>
        <v>2.6215642141022087E-2</v>
      </c>
      <c r="J492">
        <f>($B$1+Table4[[#This Row],[Home Differential]])-Table4[[#This Row],[Away Differential]]</f>
        <v>-1.1720043680412649E-2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0.4422290515788887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0.84902697115371384</v>
      </c>
      <c r="H493" t="s">
        <v>25</v>
      </c>
      <c r="I493">
        <f>VLOOKUP(Table4[[#This Row],[Visitor]],'NHL Model'!$A$6:$B$38,2,FALSE)</f>
        <v>0.47905090860407873</v>
      </c>
      <c r="J493">
        <f>($B$1+Table4[[#This Row],[Home Differential]])-Table4[[#This Row],[Away Differential]]</f>
        <v>0.41825731583828651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0.54129504570527509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-1.1754320402170535</v>
      </c>
      <c r="H494" t="s">
        <v>10</v>
      </c>
      <c r="I494">
        <f>VLOOKUP(Table4[[#This Row],[Visitor]],'NHL Model'!$A$6:$B$38,2,FALSE)</f>
        <v>2.5996227684575345E-2</v>
      </c>
      <c r="J494">
        <f>($B$1+Table4[[#This Row],[Home Differential]])-Table4[[#This Row],[Away Differential]]</f>
        <v>-1.1531470146129774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0.59213062141316974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0.15493687588867713</v>
      </c>
      <c r="H495" t="s">
        <v>32</v>
      </c>
      <c r="I495">
        <f>VLOOKUP(Table4[[#This Row],[Visitor]],'NHL Model'!$A$6:$B$38,2,FALSE)</f>
        <v>-0.56616527987265597</v>
      </c>
      <c r="J495">
        <f>($B$1+Table4[[#This Row],[Home Differential]])-Table4[[#This Row],[Away Differential]]</f>
        <v>0.76938340904998448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0.66803571393894001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-0.28376306754383246</v>
      </c>
      <c r="H496" t="s">
        <v>20</v>
      </c>
      <c r="I496">
        <f>VLOOKUP(Table4[[#This Row],[Visitor]],'NHL Model'!$A$6:$B$38,2,FALSE)</f>
        <v>9.2938870272174581E-2</v>
      </c>
      <c r="J496">
        <f>($B$1+Table4[[#This Row],[Home Differential]])-Table4[[#This Row],[Away Differential]]</f>
        <v>-0.32842068452735562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0.51816429479615744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2.5996227684575345E-2</v>
      </c>
      <c r="H497" t="s">
        <v>26</v>
      </c>
      <c r="I497">
        <f>VLOOKUP(Table4[[#This Row],[Visitor]],'NHL Model'!$A$6:$B$38,2,FALSE)</f>
        <v>-0.60099633616081094</v>
      </c>
      <c r="J497">
        <f>($B$1+Table4[[#This Row],[Home Differential]])-Table4[[#This Row],[Away Differential]]</f>
        <v>0.67527381713403767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0.61688890748089054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1.6584974384060074</v>
      </c>
      <c r="H498" t="s">
        <v>29</v>
      </c>
      <c r="I498">
        <f>VLOOKUP(Table4[[#This Row],[Visitor]],'NHL Model'!$A$6:$B$38,2,FALSE)</f>
        <v>-0.90025837753161619</v>
      </c>
      <c r="J498">
        <f>($B$1+Table4[[#This Row],[Home Differential]])-Table4[[#This Row],[Away Differential]]</f>
        <v>2.607037069226275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0.94466681848567691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0.7564009584796878</v>
      </c>
      <c r="H499" t="s">
        <v>11</v>
      </c>
      <c r="I499">
        <f>VLOOKUP(Table4[[#This Row],[Visitor]],'NHL Model'!$A$6:$B$38,2,FALSE)</f>
        <v>-0.3510442662416135</v>
      </c>
      <c r="J499">
        <f>($B$1+Table4[[#This Row],[Home Differential]])-Table4[[#This Row],[Away Differential]]</f>
        <v>1.1557264780099528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0.71449638895299294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-0.19390166761644689</v>
      </c>
      <c r="H500" t="s">
        <v>16</v>
      </c>
      <c r="I500">
        <f>VLOOKUP(Table4[[#This Row],[Visitor]],'NHL Model'!$A$6:$B$38,2,FALSE)</f>
        <v>-0.81412334763558081</v>
      </c>
      <c r="J500">
        <f>($B$1+Table4[[#This Row],[Home Differential]])-Table4[[#This Row],[Away Differential]]</f>
        <v>0.66850293330778532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0.61611795228187194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5.1566962112876508E-2</v>
      </c>
      <c r="H501" t="s">
        <v>36</v>
      </c>
      <c r="I501">
        <f>VLOOKUP(Table4[[#This Row],[Visitor]],'NHL Model'!$A$6:$B$38,2,FALSE)</f>
        <v>-0.23108682001987857</v>
      </c>
      <c r="J501">
        <f>($B$1+Table4[[#This Row],[Home Differential]])-Table4[[#This Row],[Away Differential]]</f>
        <v>0.33093503542140645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0.57410519738509302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-2.8342943575894393E-4</v>
      </c>
      <c r="H502" t="s">
        <v>31</v>
      </c>
      <c r="I502">
        <f>VLOOKUP(Table4[[#This Row],[Visitor]],'NHL Model'!$A$6:$B$38,2,FALSE)</f>
        <v>0.17827516980235869</v>
      </c>
      <c r="J502">
        <f>($B$1+Table4[[#This Row],[Home Differential]])-Table4[[#This Row],[Away Differential]]</f>
        <v>-0.13027734594946622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0.45233380896075254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0.24561340747691926</v>
      </c>
      <c r="H503" t="s">
        <v>37</v>
      </c>
      <c r="I503">
        <f>VLOOKUP(Table4[[#This Row],[Visitor]],'NHL Model'!$A$6:$B$38,2,FALSE)</f>
        <v>0.66987960668864954</v>
      </c>
      <c r="J503">
        <f>($B$1+Table4[[#This Row],[Home Differential]])-Table4[[#This Row],[Away Differential]]</f>
        <v>-0.37598494592307885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0.57543405705843842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9.0184826596604858E-2</v>
      </c>
      <c r="H504" t="s">
        <v>18</v>
      </c>
      <c r="I504">
        <f>VLOOKUP(Table4[[#This Row],[Visitor]],'NHL Model'!$A$6:$B$38,2,FALSE)</f>
        <v>-0.36560113761686208</v>
      </c>
      <c r="J504">
        <f>($B$1+Table4[[#This Row],[Home Differential]])-Table4[[#This Row],[Away Differential]]</f>
        <v>0.50406721750211836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0.53810692466453802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-2.8950318025217449E-2</v>
      </c>
      <c r="H505" t="s">
        <v>25</v>
      </c>
      <c r="I505">
        <f>VLOOKUP(Table4[[#This Row],[Visitor]],'NHL Model'!$A$6:$B$38,2,FALSE)</f>
        <v>0.47905090860407873</v>
      </c>
      <c r="J505">
        <f>($B$1+Table4[[#This Row],[Home Differential]])-Table4[[#This Row],[Away Differential]]</f>
        <v>-0.45971997334064479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0.55867434870203403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0.17535803439735015</v>
      </c>
      <c r="H506" t="s">
        <v>33</v>
      </c>
      <c r="I506">
        <f>VLOOKUP(Table4[[#This Row],[Visitor]],'NHL Model'!$A$6:$B$38,2,FALSE)</f>
        <v>-0.47218252282767964</v>
      </c>
      <c r="J506">
        <f>($B$1+Table4[[#This Row],[Home Differential]])-Table4[[#This Row],[Away Differential]]</f>
        <v>0.69582181051368119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0.61922856988419639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-8.5089305365893694E-2</v>
      </c>
      <c r="H507" t="s">
        <v>17</v>
      </c>
      <c r="I507">
        <f>VLOOKUP(Table4[[#This Row],[Visitor]],'NHL Model'!$A$6:$B$38,2,FALSE)</f>
        <v>-0.41671190768559452</v>
      </c>
      <c r="J507">
        <f>($B$1+Table4[[#This Row],[Home Differential]])-Table4[[#This Row],[Away Differential]]</f>
        <v>0.37990385560835221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0.58325710795285601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-3.3785654828041967E-2</v>
      </c>
      <c r="H508" t="s">
        <v>22</v>
      </c>
      <c r="I508">
        <f>VLOOKUP(Table4[[#This Row],[Visitor]],'NHL Model'!$A$6:$B$38,2,FALSE)</f>
        <v>0.84902697115371384</v>
      </c>
      <c r="J508">
        <f>($B$1+Table4[[#This Row],[Home Differential]])-Table4[[#This Row],[Away Differential]]</f>
        <v>-0.8345313726931044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0.58986785966414867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0.47905090860407873</v>
      </c>
      <c r="H509" t="s">
        <v>27</v>
      </c>
      <c r="I509">
        <f>VLOOKUP(Table4[[#This Row],[Visitor]],'NHL Model'!$A$6:$B$38,2,FALSE)</f>
        <v>-2.8950318025217449E-2</v>
      </c>
      <c r="J509">
        <f>($B$1+Table4[[#This Row],[Home Differential]])-Table4[[#This Row],[Away Differential]]</f>
        <v>0.55628247991794755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0.59346064268380516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5.1566962112876508E-2</v>
      </c>
      <c r="H510" t="s">
        <v>21</v>
      </c>
      <c r="I510">
        <f>VLOOKUP(Table4[[#This Row],[Visitor]],'NHL Model'!$A$6:$B$38,2,FALSE)</f>
        <v>2.6215642141022087E-2</v>
      </c>
      <c r="J510">
        <f>($B$1+Table4[[#This Row],[Home Differential]])-Table4[[#This Row],[Away Differential]]</f>
        <v>7.3632573260505818E-2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0.54838404802519269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-0.36560113761686208</v>
      </c>
      <c r="H511" t="s">
        <v>17</v>
      </c>
      <c r="I511">
        <f>VLOOKUP(Table4[[#This Row],[Visitor]],'NHL Model'!$A$6:$B$38,2,FALSE)</f>
        <v>-0.41671190768559452</v>
      </c>
      <c r="J511">
        <f>($B$1+Table4[[#This Row],[Home Differential]])-Table4[[#This Row],[Away Differential]]</f>
        <v>9.9392023357383841E-2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0.55131710410555945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-2.8342943575894393E-4</v>
      </c>
      <c r="H512" t="s">
        <v>38</v>
      </c>
      <c r="I512">
        <f>VLOOKUP(Table4[[#This Row],[Visitor]],'NHL Model'!$A$6:$B$38,2,FALSE)</f>
        <v>-0.77107712767799974</v>
      </c>
      <c r="J512">
        <f>($B$1+Table4[[#This Row],[Home Differential]])-Table4[[#This Row],[Away Differential]]</f>
        <v>0.81907495153089216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0.67616413407213904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0.17535803439735015</v>
      </c>
      <c r="H513" t="s">
        <v>55</v>
      </c>
      <c r="I513">
        <f>VLOOKUP(Table4[[#This Row],[Visitor]],'NHL Model'!$A$6:$B$38,2,FALSE)</f>
        <v>0.15493687588867713</v>
      </c>
      <c r="J513">
        <f>($B$1+Table4[[#This Row],[Home Differential]])-Table4[[#This Row],[Away Differential]]</f>
        <v>6.870241179732442E-2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0.54782268355497343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-0.56616527987265597</v>
      </c>
      <c r="H514" t="s">
        <v>23</v>
      </c>
      <c r="I514">
        <f>VLOOKUP(Table4[[#This Row],[Visitor]],'NHL Model'!$A$6:$B$38,2,FALSE)</f>
        <v>-0.40965500817719275</v>
      </c>
      <c r="J514">
        <f>($B$1+Table4[[#This Row],[Home Differential]])-Table4[[#This Row],[Away Differential]]</f>
        <v>-0.10822901840681182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0.47232331355352575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0.7564009584796878</v>
      </c>
      <c r="H515" t="s">
        <v>13</v>
      </c>
      <c r="I515">
        <f>VLOOKUP(Table4[[#This Row],[Visitor]],'NHL Model'!$A$6:$B$38,2,FALSE)</f>
        <v>-0.19390166761644689</v>
      </c>
      <c r="J515">
        <f>($B$1+Table4[[#This Row],[Home Differential]])-Table4[[#This Row],[Away Differential]]</f>
        <v>0.9985838793847861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0.6309434384836019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9.0184826596604858E-2</v>
      </c>
      <c r="H516" t="s">
        <v>31</v>
      </c>
      <c r="I516">
        <f>VLOOKUP(Table4[[#This Row],[Visitor]],'NHL Model'!$A$6:$B$38,2,FALSE)</f>
        <v>0.17827516980235869</v>
      </c>
      <c r="J516">
        <f>($B$1+Table4[[#This Row],[Home Differential]])-Table4[[#This Row],[Away Differential]]</f>
        <v>-3.9809089917102414E-2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0.48530202525032784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-1.1754320402170535</v>
      </c>
      <c r="H517" t="s">
        <v>29</v>
      </c>
      <c r="I517">
        <f>VLOOKUP(Table4[[#This Row],[Visitor]],'NHL Model'!$A$6:$B$38,2,FALSE)</f>
        <v>-0.90025837753161619</v>
      </c>
      <c r="J517">
        <f>($B$1+Table4[[#This Row],[Home Differential]])-Table4[[#This Row],[Away Differential]]</f>
        <v>-0.2268924093967859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0.485834719237697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0.66987960668864954</v>
      </c>
      <c r="H518" t="s">
        <v>11</v>
      </c>
      <c r="I518">
        <f>VLOOKUP(Table4[[#This Row],[Visitor]],'NHL Model'!$A$6:$B$38,2,FALSE)</f>
        <v>-0.3510442662416135</v>
      </c>
      <c r="J518">
        <f>($B$1+Table4[[#This Row],[Home Differential]])-Table4[[#This Row],[Away Differential]]</f>
        <v>1.0692051262189144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0.67575984812270895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-3.3785654828041967E-2</v>
      </c>
      <c r="H519" t="s">
        <v>36</v>
      </c>
      <c r="I519">
        <f>VLOOKUP(Table4[[#This Row],[Visitor]],'NHL Model'!$A$6:$B$38,2,FALSE)</f>
        <v>-0.23108682001987857</v>
      </c>
      <c r="J519">
        <f>($B$1+Table4[[#This Row],[Home Differential]])-Table4[[#This Row],[Away Differential]]</f>
        <v>0.24558241848048801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0.58351838096706043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2.6215642141022087E-2</v>
      </c>
      <c r="H520" t="s">
        <v>55</v>
      </c>
      <c r="I520">
        <f>VLOOKUP(Table4[[#This Row],[Visitor]],'NHL Model'!$A$6:$B$38,2,FALSE)</f>
        <v>0.15493687588867713</v>
      </c>
      <c r="J520">
        <f>($B$1+Table4[[#This Row],[Home Differential]])-Table4[[#This Row],[Away Differential]]</f>
        <v>-8.0439980459003635E-2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0.41744318556466342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-0.28376306754383246</v>
      </c>
      <c r="H521" t="s">
        <v>31</v>
      </c>
      <c r="I521">
        <f>VLOOKUP(Table4[[#This Row],[Visitor]],'NHL Model'!$A$6:$B$38,2,FALSE)</f>
        <v>0.17827516980235869</v>
      </c>
      <c r="J521">
        <f>($B$1+Table4[[#This Row],[Home Differential]])-Table4[[#This Row],[Away Differential]]</f>
        <v>-0.41375698405753975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0.5278809677558548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-0.60099633616081094</v>
      </c>
      <c r="H522" t="s">
        <v>30</v>
      </c>
      <c r="I522">
        <f>VLOOKUP(Table4[[#This Row],[Visitor]],'NHL Model'!$A$6:$B$38,2,FALSE)</f>
        <v>0.24561340747691926</v>
      </c>
      <c r="J522">
        <f>($B$1+Table4[[#This Row],[Home Differential]])-Table4[[#This Row],[Away Differential]]</f>
        <v>-0.79832849034907882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0.61334929865696231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5.1566962112876508E-2</v>
      </c>
      <c r="H523" t="s">
        <v>22</v>
      </c>
      <c r="I523">
        <f>VLOOKUP(Table4[[#This Row],[Visitor]],'NHL Model'!$A$6:$B$38,2,FALSE)</f>
        <v>0.84902697115371384</v>
      </c>
      <c r="J523">
        <f>($B$1+Table4[[#This Row],[Home Differential]])-Table4[[#This Row],[Away Differential]]</f>
        <v>-0.74917875575218595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0.5994427854061406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-0.36560113761686208</v>
      </c>
      <c r="H524" t="s">
        <v>27</v>
      </c>
      <c r="I524">
        <f>VLOOKUP(Table4[[#This Row],[Visitor]],'NHL Model'!$A$6:$B$38,2,FALSE)</f>
        <v>-2.8950318025217449E-2</v>
      </c>
      <c r="J524">
        <f>($B$1+Table4[[#This Row],[Home Differential]])-Table4[[#This Row],[Away Differential]]</f>
        <v>-0.28836956630299321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0.53534727421733241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9.0184826596604858E-2</v>
      </c>
      <c r="H525" t="s">
        <v>38</v>
      </c>
      <c r="I525">
        <f>VLOOKUP(Table4[[#This Row],[Visitor]],'NHL Model'!$A$6:$B$38,2,FALSE)</f>
        <v>-0.77107712767799974</v>
      </c>
      <c r="J525">
        <f>($B$1+Table4[[#This Row],[Home Differential]])-Table4[[#This Row],[Away Differential]]</f>
        <v>0.90954320756325602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0.64356359414764952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0.17535803439735015</v>
      </c>
      <c r="H526" t="s">
        <v>17</v>
      </c>
      <c r="I526">
        <f>VLOOKUP(Table4[[#This Row],[Visitor]],'NHL Model'!$A$6:$B$38,2,FALSE)</f>
        <v>-0.41671190768559452</v>
      </c>
      <c r="J526">
        <f>($B$1+Table4[[#This Row],[Home Differential]])-Table4[[#This Row],[Away Differential]]</f>
        <v>0.64035119537159613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0.61291250240557049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-0.56616527987265597</v>
      </c>
      <c r="H527" t="s">
        <v>12</v>
      </c>
      <c r="I527">
        <f>VLOOKUP(Table4[[#This Row],[Visitor]],'NHL Model'!$A$6:$B$38,2,FALSE)</f>
        <v>1.6584974384060074</v>
      </c>
      <c r="J527">
        <f>($B$1+Table4[[#This Row],[Home Differential]])-Table4[[#This Row],[Away Differential]]</f>
        <v>-2.1763814649900119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0.76194880042209301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-0.47218252282767964</v>
      </c>
      <c r="H528" t="s">
        <v>16</v>
      </c>
      <c r="I528">
        <f>VLOOKUP(Table4[[#This Row],[Visitor]],'NHL Model'!$A$6:$B$38,2,FALSE)</f>
        <v>-0.81412334763558081</v>
      </c>
      <c r="J528">
        <f>($B$1+Table4[[#This Row],[Home Differential]])-Table4[[#This Row],[Away Differential]]</f>
        <v>0.39022207809655257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0.58443197485000531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-8.5089305365893694E-2</v>
      </c>
      <c r="H529" t="s">
        <v>10</v>
      </c>
      <c r="I529">
        <f>VLOOKUP(Table4[[#This Row],[Visitor]],'NHL Model'!$A$6:$B$38,2,FALSE)</f>
        <v>2.5996227684575345E-2</v>
      </c>
      <c r="J529">
        <f>($B$1+Table4[[#This Row],[Home Differential]])-Table4[[#This Row],[Away Differential]]</f>
        <v>-6.2804279761817627E-2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0.46798059584540641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-0.60099633616081094</v>
      </c>
      <c r="H530" t="s">
        <v>55</v>
      </c>
      <c r="I530">
        <f>VLOOKUP(Table4[[#This Row],[Visitor]],'NHL Model'!$A$6:$B$38,2,FALSE)</f>
        <v>0.15493687588867713</v>
      </c>
      <c r="J530">
        <f>($B$1+Table4[[#This Row],[Home Differential]])-Table4[[#This Row],[Away Differential]]</f>
        <v>-0.70765195876083664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0.53045334025391888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-0.3510442662416135</v>
      </c>
      <c r="H531" t="s">
        <v>13</v>
      </c>
      <c r="I531">
        <f>VLOOKUP(Table4[[#This Row],[Visitor]],'NHL Model'!$A$6:$B$38,2,FALSE)</f>
        <v>-0.19390166761644689</v>
      </c>
      <c r="J531">
        <f>($B$1+Table4[[#This Row],[Home Differential]])-Table4[[#This Row],[Away Differential]]</f>
        <v>-0.1088613453365152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0.53871110186021964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-0.90025837753161619</v>
      </c>
      <c r="H532" t="s">
        <v>25</v>
      </c>
      <c r="I532">
        <f>VLOOKUP(Table4[[#This Row],[Visitor]],'NHL Model'!$A$6:$B$38,2,FALSE)</f>
        <v>0.47905090860407873</v>
      </c>
      <c r="J532">
        <f>($B$1+Table4[[#This Row],[Home Differential]])-Table4[[#This Row],[Away Differential]]</f>
        <v>-1.3310280328470436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0.68417841777187172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-1.1754320402170535</v>
      </c>
      <c r="H533" t="s">
        <v>40</v>
      </c>
      <c r="I533">
        <f>VLOOKUP(Table4[[#This Row],[Visitor]],'NHL Model'!$A$6:$B$38,2,FALSE)</f>
        <v>-3.3785654828041967E-2</v>
      </c>
      <c r="J533">
        <f>($B$1+Table4[[#This Row],[Home Differential]])-Table4[[#This Row],[Away Differential]]</f>
        <v>-1.0933651321003601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0.58807032464297371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9.2938870272174581E-2</v>
      </c>
      <c r="H534" t="s">
        <v>24</v>
      </c>
      <c r="I534">
        <f>VLOOKUP(Table4[[#This Row],[Visitor]],'NHL Model'!$A$6:$B$38,2,FALSE)</f>
        <v>-2.8342943575894393E-4</v>
      </c>
      <c r="J534">
        <f>($B$1+Table4[[#This Row],[Home Differential]])-Table4[[#This Row],[Away Differential]]</f>
        <v>0.1415035529965849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0.53534283120993542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2.6215642141022087E-2</v>
      </c>
      <c r="H535" t="s">
        <v>17</v>
      </c>
      <c r="I535">
        <f>VLOOKUP(Table4[[#This Row],[Visitor]],'NHL Model'!$A$6:$B$38,2,FALSE)</f>
        <v>-0.41671190768559452</v>
      </c>
      <c r="J535">
        <f>($B$1+Table4[[#This Row],[Home Differential]])-Table4[[#This Row],[Away Differential]]</f>
        <v>0.49120880311526804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0.64764663328593364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-0.40965500817719275</v>
      </c>
      <c r="H536" t="s">
        <v>27</v>
      </c>
      <c r="I536">
        <f>VLOOKUP(Table4[[#This Row],[Visitor]],'NHL Model'!$A$6:$B$38,2,FALSE)</f>
        <v>-2.8950318025217449E-2</v>
      </c>
      <c r="J536">
        <f>($B$1+Table4[[#This Row],[Home Differential]])-Table4[[#This Row],[Away Differential]]</f>
        <v>-0.33242343686332387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0.53015852293806209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-0.28376306754383246</v>
      </c>
      <c r="H537" t="s">
        <v>34</v>
      </c>
      <c r="I537">
        <f>VLOOKUP(Table4[[#This Row],[Visitor]],'NHL Model'!$A$6:$B$38,2,FALSE)</f>
        <v>5.1566962112876508E-2</v>
      </c>
      <c r="J537">
        <f>($B$1+Table4[[#This Row],[Home Differential]])-Table4[[#This Row],[Away Differential]]</f>
        <v>-0.28704877636805759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0.53197105513647747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-0.81412334763558081</v>
      </c>
      <c r="H538" t="s">
        <v>32</v>
      </c>
      <c r="I538">
        <f>VLOOKUP(Table4[[#This Row],[Visitor]],'NHL Model'!$A$6:$B$38,2,FALSE)</f>
        <v>-0.56616527987265597</v>
      </c>
      <c r="J538">
        <f>($B$1+Table4[[#This Row],[Home Differential]])-Table4[[#This Row],[Away Differential]]</f>
        <v>-0.19967681447427343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0.48273586169733557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-0.36560113761686208</v>
      </c>
      <c r="H539" t="s">
        <v>10</v>
      </c>
      <c r="I539">
        <f>VLOOKUP(Table4[[#This Row],[Visitor]],'NHL Model'!$A$6:$B$38,2,FALSE)</f>
        <v>2.5996227684575345E-2</v>
      </c>
      <c r="J539">
        <f>($B$1+Table4[[#This Row],[Home Differential]])-Table4[[#This Row],[Away Differential]]</f>
        <v>-0.343316112012786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0.49992059969270297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-0.23108682001987857</v>
      </c>
      <c r="H540" t="s">
        <v>14</v>
      </c>
      <c r="I540">
        <f>VLOOKUP(Table4[[#This Row],[Visitor]],'NHL Model'!$A$6:$B$38,2,FALSE)</f>
        <v>0.17535803439735015</v>
      </c>
      <c r="J540">
        <f>($B$1+Table4[[#This Row],[Home Differential]])-Table4[[#This Row],[Away Differential]]</f>
        <v>-0.35816360112857731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0.5549205082429598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-0.47218252282767964</v>
      </c>
      <c r="H541" t="s">
        <v>39</v>
      </c>
      <c r="I541">
        <f>VLOOKUP(Table4[[#This Row],[Visitor]],'NHL Model'!$A$6:$B$38,2,FALSE)</f>
        <v>0.7564009584796878</v>
      </c>
      <c r="J541">
        <f>($B$1+Table4[[#This Row],[Home Differential]])-Table4[[#This Row],[Away Differential]]</f>
        <v>-1.1803022280187161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0.68687929847231666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-1.1754320402170535</v>
      </c>
      <c r="H542" t="s">
        <v>15</v>
      </c>
      <c r="I542">
        <f>VLOOKUP(Table4[[#This Row],[Visitor]],'NHL Model'!$A$6:$B$38,2,FALSE)</f>
        <v>9.0184826596604858E-2</v>
      </c>
      <c r="J542">
        <f>($B$1+Table4[[#This Row],[Home Differential]])-Table4[[#This Row],[Away Differential]]</f>
        <v>-1.2173356135250069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0.70518209219512695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0.66987960668864954</v>
      </c>
      <c r="H543" t="s">
        <v>13</v>
      </c>
      <c r="I543">
        <f>VLOOKUP(Table4[[#This Row],[Visitor]],'NHL Model'!$A$6:$B$38,2,FALSE)</f>
        <v>-0.19390166761644689</v>
      </c>
      <c r="J543">
        <f>($B$1+Table4[[#This Row],[Home Differential]])-Table4[[#This Row],[Away Differential]]</f>
        <v>0.91206252759374784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0.59165533029728357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0.84902697115371384</v>
      </c>
      <c r="H544" t="s">
        <v>19</v>
      </c>
      <c r="I544">
        <f>VLOOKUP(Table4[[#This Row],[Visitor]],'NHL Model'!$A$6:$B$38,2,FALSE)</f>
        <v>-8.5089305365893694E-2</v>
      </c>
      <c r="J544">
        <f>($B$1+Table4[[#This Row],[Home Differential]])-Table4[[#This Row],[Away Differential]]</f>
        <v>0.9823975298082589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0.67789676379044239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0.17827516980235869</v>
      </c>
      <c r="H545" t="s">
        <v>39</v>
      </c>
      <c r="I545">
        <f>VLOOKUP(Table4[[#This Row],[Visitor]],'NHL Model'!$A$6:$B$38,2,FALSE)</f>
        <v>0.7564009584796878</v>
      </c>
      <c r="J545">
        <f>($B$1+Table4[[#This Row],[Home Differential]])-Table4[[#This Row],[Away Differential]]</f>
        <v>-0.52984453538867771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0.54308846974800973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1.6584974384060074</v>
      </c>
      <c r="H546" t="s">
        <v>40</v>
      </c>
      <c r="I546">
        <f>VLOOKUP(Table4[[#This Row],[Visitor]],'NHL Model'!$A$6:$B$38,2,FALSE)</f>
        <v>-3.3785654828041967E-2</v>
      </c>
      <c r="J546">
        <f>($B$1+Table4[[#This Row],[Home Differential]])-Table4[[#This Row],[Away Differential]]</f>
        <v>1.7405643465227008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0.84271765617863026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-0.3510442662416135</v>
      </c>
      <c r="H547" t="s">
        <v>25</v>
      </c>
      <c r="I547">
        <f>VLOOKUP(Table4[[#This Row],[Visitor]],'NHL Model'!$A$6:$B$38,2,FALSE)</f>
        <v>0.47905090860407873</v>
      </c>
      <c r="J547">
        <f>($B$1+Table4[[#This Row],[Home Differential]])-Table4[[#This Row],[Away Differential]]</f>
        <v>-0.78181392155704077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0.62164308481701136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0.24561340747691926</v>
      </c>
      <c r="H548" t="s">
        <v>38</v>
      </c>
      <c r="I548">
        <f>VLOOKUP(Table4[[#This Row],[Visitor]],'NHL Model'!$A$6:$B$38,2,FALSE)</f>
        <v>-0.77107712767799974</v>
      </c>
      <c r="J548">
        <f>($B$1+Table4[[#This Row],[Home Differential]])-Table4[[#This Row],[Away Differential]]</f>
        <v>1.0649717884435703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0.66126120580082048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0.15493687588867713</v>
      </c>
      <c r="H549" t="s">
        <v>24</v>
      </c>
      <c r="I549">
        <f>VLOOKUP(Table4[[#This Row],[Visitor]],'NHL Model'!$A$6:$B$38,2,FALSE)</f>
        <v>-2.8342943575894393E-4</v>
      </c>
      <c r="J549">
        <f>($B$1+Table4[[#This Row],[Home Differential]])-Table4[[#This Row],[Away Differential]]</f>
        <v>0.20350155861308747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0.58317135969942824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0.17827516980235869</v>
      </c>
      <c r="H550" t="s">
        <v>28</v>
      </c>
      <c r="I550">
        <f>VLOOKUP(Table4[[#This Row],[Visitor]],'NHL Model'!$A$6:$B$38,2,FALSE)</f>
        <v>-0.28376306754383246</v>
      </c>
      <c r="J550">
        <f>($B$1+Table4[[#This Row],[Home Differential]])-Table4[[#This Row],[Away Differential]]</f>
        <v>0.5103194906348425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0.66294537264215425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2.6215642141022087E-2</v>
      </c>
      <c r="H551" t="s">
        <v>38</v>
      </c>
      <c r="I551">
        <f>VLOOKUP(Table4[[#This Row],[Visitor]],'NHL Model'!$A$6:$B$38,2,FALSE)</f>
        <v>-0.77107712767799974</v>
      </c>
      <c r="J551">
        <f>($B$1+Table4[[#This Row],[Home Differential]])-Table4[[#This Row],[Away Differential]]</f>
        <v>0.84557402310767327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0.68799582782464785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-0.40965500817719275</v>
      </c>
      <c r="H552" t="s">
        <v>30</v>
      </c>
      <c r="I552">
        <f>VLOOKUP(Table4[[#This Row],[Visitor]],'NHL Model'!$A$6:$B$38,2,FALSE)</f>
        <v>0.24561340747691926</v>
      </c>
      <c r="J552">
        <f>($B$1+Table4[[#This Row],[Home Differential]])-Table4[[#This Row],[Away Differential]]</f>
        <v>-0.60698716236546058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0.59156254298643574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-0.81412334763558081</v>
      </c>
      <c r="H553" t="s">
        <v>20</v>
      </c>
      <c r="I553">
        <f>VLOOKUP(Table4[[#This Row],[Visitor]],'NHL Model'!$A$6:$B$38,2,FALSE)</f>
        <v>9.2938870272174581E-2</v>
      </c>
      <c r="J553">
        <f>($B$1+Table4[[#This Row],[Home Differential]])-Table4[[#This Row],[Away Differential]]</f>
        <v>-0.85878096461910403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0.57855286825008612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-0.3510442662416135</v>
      </c>
      <c r="H554" t="s">
        <v>35</v>
      </c>
      <c r="I554">
        <f>VLOOKUP(Table4[[#This Row],[Visitor]],'NHL Model'!$A$6:$B$38,2,FALSE)</f>
        <v>-1.1754320402170535</v>
      </c>
      <c r="J554">
        <f>($B$1+Table4[[#This Row],[Home Differential]])-Table4[[#This Row],[Away Differential]]</f>
        <v>0.87266902726409135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0.63936497817066817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5.1566962112876508E-2</v>
      </c>
      <c r="H555" t="s">
        <v>17</v>
      </c>
      <c r="I555">
        <f>VLOOKUP(Table4[[#This Row],[Visitor]],'NHL Model'!$A$6:$B$38,2,FALSE)</f>
        <v>-0.41671190768559452</v>
      </c>
      <c r="J555">
        <f>($B$1+Table4[[#This Row],[Home Differential]])-Table4[[#This Row],[Away Differential]]</f>
        <v>0.5165601230871224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0.59881724199071007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-0.36560113761686208</v>
      </c>
      <c r="H556" t="s">
        <v>14</v>
      </c>
      <c r="I556">
        <f>VLOOKUP(Table4[[#This Row],[Visitor]],'NHL Model'!$A$6:$B$38,2,FALSE)</f>
        <v>0.17535803439735015</v>
      </c>
      <c r="J556">
        <f>($B$1+Table4[[#This Row],[Home Differential]])-Table4[[#This Row],[Away Differential]]</f>
        <v>-0.49267791872556083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0.57023675279167541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-0.90025837753161619</v>
      </c>
      <c r="H557" t="s">
        <v>19</v>
      </c>
      <c r="I557">
        <f>VLOOKUP(Table4[[#This Row],[Visitor]],'NHL Model'!$A$6:$B$38,2,FALSE)</f>
        <v>-8.5089305365893694E-2</v>
      </c>
      <c r="J557">
        <f>($B$1+Table4[[#This Row],[Home Differential]])-Table4[[#This Row],[Away Differential]]</f>
        <v>-0.76688781887707114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0.54732038035195552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9.0184826596604858E-2</v>
      </c>
      <c r="H558" t="s">
        <v>27</v>
      </c>
      <c r="I558">
        <f>VLOOKUP(Table4[[#This Row],[Visitor]],'NHL Model'!$A$6:$B$38,2,FALSE)</f>
        <v>-2.8950318025217449E-2</v>
      </c>
      <c r="J558">
        <f>($B$1+Table4[[#This Row],[Home Differential]])-Table4[[#This Row],[Away Differential]]</f>
        <v>0.16741639791047372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0.51655002128604333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-0.23108682001987857</v>
      </c>
      <c r="H559" t="s">
        <v>10</v>
      </c>
      <c r="I559">
        <f>VLOOKUP(Table4[[#This Row],[Visitor]],'NHL Model'!$A$6:$B$38,2,FALSE)</f>
        <v>2.5996227684575345E-2</v>
      </c>
      <c r="J559">
        <f>($B$1+Table4[[#This Row],[Home Differential]])-Table4[[#This Row],[Away Differential]]</f>
        <v>-0.20880179441580252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0.48460435514398736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-0.47218252282767964</v>
      </c>
      <c r="H560" t="s">
        <v>32</v>
      </c>
      <c r="I560">
        <f>VLOOKUP(Table4[[#This Row],[Visitor]],'NHL Model'!$A$6:$B$38,2,FALSE)</f>
        <v>-0.56616527987265597</v>
      </c>
      <c r="J560">
        <f>($B$1+Table4[[#This Row],[Home Differential]])-Table4[[#This Row],[Away Differential]]</f>
        <v>0.14226401033362773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0.55619865016361436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0.66987960668864954</v>
      </c>
      <c r="H561" t="s">
        <v>25</v>
      </c>
      <c r="I561">
        <f>VLOOKUP(Table4[[#This Row],[Visitor]],'NHL Model'!$A$6:$B$38,2,FALSE)</f>
        <v>0.47905090860407873</v>
      </c>
      <c r="J561">
        <f>($B$1+Table4[[#This Row],[Home Differential]])-Table4[[#This Row],[Away Differential]]</f>
        <v>0.23910995137322222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0.50870733040736482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0.84902697115371384</v>
      </c>
      <c r="H562" t="s">
        <v>26</v>
      </c>
      <c r="I562">
        <f>VLOOKUP(Table4[[#This Row],[Visitor]],'NHL Model'!$A$6:$B$38,2,FALSE)</f>
        <v>-0.60099633616081094</v>
      </c>
      <c r="J562">
        <f>($B$1+Table4[[#This Row],[Home Differential]])-Table4[[#This Row],[Away Differential]]</f>
        <v>1.4983045606031762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0.73663964253537306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2.6215642141022087E-2</v>
      </c>
      <c r="H563" t="s">
        <v>36</v>
      </c>
      <c r="I563">
        <f>VLOOKUP(Table4[[#This Row],[Visitor]],'NHL Model'!$A$6:$B$38,2,FALSE)</f>
        <v>-0.23108682001987857</v>
      </c>
      <c r="J563">
        <f>($B$1+Table4[[#This Row],[Home Differential]])-Table4[[#This Row],[Away Differential]]</f>
        <v>0.3055837154495521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0.62303006540700023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0.7564009584796878</v>
      </c>
      <c r="H564" t="s">
        <v>19</v>
      </c>
      <c r="I564">
        <f>VLOOKUP(Table4[[#This Row],[Visitor]],'NHL Model'!$A$6:$B$38,2,FALSE)</f>
        <v>-8.5089305365893694E-2</v>
      </c>
      <c r="J564">
        <f>($B$1+Table4[[#This Row],[Home Differential]])-Table4[[#This Row],[Away Differential]]</f>
        <v>0.88977151713423286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0.68421387856684224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-0.60099633616081094</v>
      </c>
      <c r="H565" t="s">
        <v>22</v>
      </c>
      <c r="I565">
        <f>VLOOKUP(Table4[[#This Row],[Visitor]],'NHL Model'!$A$6:$B$38,2,FALSE)</f>
        <v>0.84902697115371384</v>
      </c>
      <c r="J565">
        <f>($B$1+Table4[[#This Row],[Home Differential]])-Table4[[#This Row],[Away Differential]]</f>
        <v>-1.4017420540258734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0.66354398858222141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-0.41671190768559452</v>
      </c>
      <c r="H566" t="s">
        <v>20</v>
      </c>
      <c r="I566">
        <f>VLOOKUP(Table4[[#This Row],[Visitor]],'NHL Model'!$A$6:$B$38,2,FALSE)</f>
        <v>9.2938870272174581E-2</v>
      </c>
      <c r="J566">
        <f>($B$1+Table4[[#This Row],[Home Differential]])-Table4[[#This Row],[Away Differential]]</f>
        <v>-0.46136952466911768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0.53079392770649703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5.1566962112876508E-2</v>
      </c>
      <c r="H567" t="s">
        <v>12</v>
      </c>
      <c r="I567">
        <f>VLOOKUP(Table4[[#This Row],[Visitor]],'NHL Model'!$A$6:$B$38,2,FALSE)</f>
        <v>1.6584974384060074</v>
      </c>
      <c r="J567">
        <f>($B$1+Table4[[#This Row],[Home Differential]])-Table4[[#This Row],[Away Differential]]</f>
        <v>-1.5586492230044795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0.69161176676725367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-2.8342943575894393E-4</v>
      </c>
      <c r="H568" t="s">
        <v>23</v>
      </c>
      <c r="I568">
        <f>VLOOKUP(Table4[[#This Row],[Visitor]],'NHL Model'!$A$6:$B$38,2,FALSE)</f>
        <v>-0.40965500817719275</v>
      </c>
      <c r="J568">
        <f>($B$1+Table4[[#This Row],[Home Differential]])-Table4[[#This Row],[Away Differential]]</f>
        <v>0.45765283203008522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0.63501141764402846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-0.90025837753161619</v>
      </c>
      <c r="H569" t="s">
        <v>15</v>
      </c>
      <c r="I569">
        <f>VLOOKUP(Table4[[#This Row],[Visitor]],'NHL Model'!$A$6:$B$38,2,FALSE)</f>
        <v>9.0184826596604858E-2</v>
      </c>
      <c r="J569">
        <f>($B$1+Table4[[#This Row],[Home Differential]])-Table4[[#This Row],[Away Differential]]</f>
        <v>-0.94216195083956966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0.67384990996837457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0.17535803439735015</v>
      </c>
      <c r="H570" t="s">
        <v>18</v>
      </c>
      <c r="I570">
        <f>VLOOKUP(Table4[[#This Row],[Visitor]],'NHL Model'!$A$6:$B$38,2,FALSE)</f>
        <v>-0.36560113761686208</v>
      </c>
      <c r="J570">
        <f>($B$1+Table4[[#This Row],[Home Differential]])-Table4[[#This Row],[Away Differential]]</f>
        <v>0.58924042530286358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0.54780502746117321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0.15493687588867713</v>
      </c>
      <c r="H571" t="s">
        <v>40</v>
      </c>
      <c r="I571">
        <f>VLOOKUP(Table4[[#This Row],[Visitor]],'NHL Model'!$A$6:$B$38,2,FALSE)</f>
        <v>-3.3785654828041967E-2</v>
      </c>
      <c r="J571">
        <f>($B$1+Table4[[#This Row],[Home Differential]])-Table4[[#This Row],[Away Differential]]</f>
        <v>0.2370037840053705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0.60390911067506037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0.17827516980235869</v>
      </c>
      <c r="H572" t="s">
        <v>32</v>
      </c>
      <c r="I572">
        <f>VLOOKUP(Table4[[#This Row],[Visitor]],'NHL Model'!$A$6:$B$38,2,FALSE)</f>
        <v>-0.56616527987265597</v>
      </c>
      <c r="J572">
        <f>($B$1+Table4[[#This Row],[Home Differential]])-Table4[[#This Row],[Away Differential]]</f>
        <v>0.79272170296366606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0.69853441781499748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-0.19390166761644689</v>
      </c>
      <c r="H573" t="s">
        <v>28</v>
      </c>
      <c r="I573">
        <f>VLOOKUP(Table4[[#This Row],[Visitor]],'NHL Model'!$A$6:$B$38,2,FALSE)</f>
        <v>-0.28376306754383246</v>
      </c>
      <c r="J573">
        <f>($B$1+Table4[[#This Row],[Home Differential]])-Table4[[#This Row],[Away Differential]]</f>
        <v>0.13814265321603697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0.55215321988754595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-2.8950318025217449E-2</v>
      </c>
      <c r="H574" t="s">
        <v>38</v>
      </c>
      <c r="I574">
        <f>VLOOKUP(Table4[[#This Row],[Visitor]],'NHL Model'!$A$6:$B$38,2,FALSE)</f>
        <v>-0.77107712767799974</v>
      </c>
      <c r="J574">
        <f>($B$1+Table4[[#This Row],[Home Differential]])-Table4[[#This Row],[Away Differential]]</f>
        <v>0.79040806294143373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0.65603620888564784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0.66987960668864954</v>
      </c>
      <c r="H575" t="s">
        <v>35</v>
      </c>
      <c r="I575">
        <f>VLOOKUP(Table4[[#This Row],[Visitor]],'NHL Model'!$A$6:$B$38,2,FALSE)</f>
        <v>-1.1754320402170535</v>
      </c>
      <c r="J575">
        <f>($B$1+Table4[[#This Row],[Home Differential]])-Table4[[#This Row],[Away Differential]]</f>
        <v>1.8935929001943546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0.76962736330432158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2.6215642141022087E-2</v>
      </c>
      <c r="H576" t="s">
        <v>18</v>
      </c>
      <c r="I576">
        <f>VLOOKUP(Table4[[#This Row],[Visitor]],'NHL Model'!$A$6:$B$38,2,FALSE)</f>
        <v>-0.36560113761686208</v>
      </c>
      <c r="J576">
        <f>($B$1+Table4[[#This Row],[Home Differential]])-Table4[[#This Row],[Away Differential]]</f>
        <v>0.44009803304653561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0.58344434917140209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0.47905090860407873</v>
      </c>
      <c r="H577" t="s">
        <v>11</v>
      </c>
      <c r="I577">
        <f>VLOOKUP(Table4[[#This Row],[Visitor]],'NHL Model'!$A$6:$B$38,2,FALSE)</f>
        <v>-0.3510442662416135</v>
      </c>
      <c r="J577">
        <f>($B$1+Table4[[#This Row],[Home Differential]])-Table4[[#This Row],[Away Differential]]</f>
        <v>0.87837642813434358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0.67226090749556355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2.5996227684575345E-2</v>
      </c>
      <c r="H578" t="s">
        <v>27</v>
      </c>
      <c r="I578">
        <f>VLOOKUP(Table4[[#This Row],[Visitor]],'NHL Model'!$A$6:$B$38,2,FALSE)</f>
        <v>-2.8950318025217449E-2</v>
      </c>
      <c r="J578">
        <f>($B$1+Table4[[#This Row],[Home Differential]])-Table4[[#This Row],[Away Differential]]</f>
        <v>0.1032277989984442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0.50924129537686835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1.6584974384060074</v>
      </c>
      <c r="H579" t="s">
        <v>55</v>
      </c>
      <c r="I579">
        <f>VLOOKUP(Table4[[#This Row],[Visitor]],'NHL Model'!$A$6:$B$38,2,FALSE)</f>
        <v>0.15493687588867713</v>
      </c>
      <c r="J579">
        <f>($B$1+Table4[[#This Row],[Home Differential]])-Table4[[#This Row],[Away Differential]]</f>
        <v>1.5518418158059817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0.82451880125786936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-0.60099633616081094</v>
      </c>
      <c r="H580" t="s">
        <v>39</v>
      </c>
      <c r="I580">
        <f>VLOOKUP(Table4[[#This Row],[Visitor]],'NHL Model'!$A$6:$B$38,2,FALSE)</f>
        <v>0.7564009584796878</v>
      </c>
      <c r="J580">
        <f>($B$1+Table4[[#This Row],[Home Differential]])-Table4[[#This Row],[Away Differential]]</f>
        <v>-1.3091160413518472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0.69143315828544927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-0.41671190768559452</v>
      </c>
      <c r="H581" t="s">
        <v>16</v>
      </c>
      <c r="I581">
        <f>VLOOKUP(Table4[[#This Row],[Visitor]],'NHL Model'!$A$6:$B$38,2,FALSE)</f>
        <v>-0.81412334763558081</v>
      </c>
      <c r="J581">
        <f>($B$1+Table4[[#This Row],[Home Differential]])-Table4[[#This Row],[Away Differential]]</f>
        <v>0.44569269323863769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0.59324352153297111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-0.19390166761644689</v>
      </c>
      <c r="H582" t="s">
        <v>32</v>
      </c>
      <c r="I582">
        <f>VLOOKUP(Table4[[#This Row],[Visitor]],'NHL Model'!$A$6:$B$38,2,FALSE)</f>
        <v>-0.56616527987265597</v>
      </c>
      <c r="J582">
        <f>($B$1+Table4[[#This Row],[Home Differential]])-Table4[[#This Row],[Away Differential]]</f>
        <v>0.42054486554486048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0.58788462759548099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5.1566962112876508E-2</v>
      </c>
      <c r="H583" t="s">
        <v>29</v>
      </c>
      <c r="I583">
        <f>VLOOKUP(Table4[[#This Row],[Visitor]],'NHL Model'!$A$6:$B$38,2,FALSE)</f>
        <v>-0.90025837753161619</v>
      </c>
      <c r="J583">
        <f>($B$1+Table4[[#This Row],[Home Differential]])-Table4[[#This Row],[Away Differential]]</f>
        <v>1.0001065929331441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0.65387544036792045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0.24561340747691926</v>
      </c>
      <c r="H584" t="s">
        <v>24</v>
      </c>
      <c r="I584">
        <f>VLOOKUP(Table4[[#This Row],[Visitor]],'NHL Model'!$A$6:$B$38,2,FALSE)</f>
        <v>-2.8342943575894393E-4</v>
      </c>
      <c r="J584">
        <f>($B$1+Table4[[#This Row],[Home Differential]])-Table4[[#This Row],[Away Differential]]</f>
        <v>0.29417809020132962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0.55272685835265112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-0.23108682001987857</v>
      </c>
      <c r="H585" t="s">
        <v>23</v>
      </c>
      <c r="I585">
        <f>VLOOKUP(Table4[[#This Row],[Visitor]],'NHL Model'!$A$6:$B$38,2,FALSE)</f>
        <v>-0.40965500817719275</v>
      </c>
      <c r="J585">
        <f>($B$1+Table4[[#This Row],[Home Differential]])-Table4[[#This Row],[Away Differential]]</f>
        <v>0.22684944144596558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0.5658298267648787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-8.5089305365893694E-2</v>
      </c>
      <c r="H586" t="s">
        <v>14</v>
      </c>
      <c r="I586">
        <f>VLOOKUP(Table4[[#This Row],[Visitor]],'NHL Model'!$A$6:$B$38,2,FALSE)</f>
        <v>0.17535803439735015</v>
      </c>
      <c r="J586">
        <f>($B$1+Table4[[#This Row],[Home Differential]])-Table4[[#This Row],[Away Differential]]</f>
        <v>-0.21216608647459245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0.53829674894437884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9.2938870272174581E-2</v>
      </c>
      <c r="H587" t="s">
        <v>33</v>
      </c>
      <c r="I587">
        <f>VLOOKUP(Table4[[#This Row],[Visitor]],'NHL Model'!$A$6:$B$38,2,FALSE)</f>
        <v>-0.47218252282767964</v>
      </c>
      <c r="J587">
        <f>($B$1+Table4[[#This Row],[Home Differential]])-Table4[[#This Row],[Away Differential]]</f>
        <v>0.61340264638850561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0.60984405159801636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0.84902697115371384</v>
      </c>
      <c r="H588" t="s">
        <v>15</v>
      </c>
      <c r="I588">
        <f>VLOOKUP(Table4[[#This Row],[Visitor]],'NHL Model'!$A$6:$B$38,2,FALSE)</f>
        <v>9.0184826596604858E-2</v>
      </c>
      <c r="J588">
        <f>($B$1+Table4[[#This Row],[Home Differential]])-Table4[[#This Row],[Away Differential]]</f>
        <v>0.80712339784576037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0.55136119574476594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-0.40965500817719275</v>
      </c>
      <c r="H589" t="s">
        <v>21</v>
      </c>
      <c r="I589">
        <f>VLOOKUP(Table4[[#This Row],[Visitor]],'NHL Model'!$A$6:$B$38,2,FALSE)</f>
        <v>2.6215642141022087E-2</v>
      </c>
      <c r="J589">
        <f>($B$1+Table4[[#This Row],[Home Differential]])-Table4[[#This Row],[Away Differential]]</f>
        <v>-0.38758939702956341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0.49400995969831252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0.47905090860407873</v>
      </c>
      <c r="H590" t="s">
        <v>26</v>
      </c>
      <c r="I590">
        <f>VLOOKUP(Table4[[#This Row],[Visitor]],'NHL Model'!$A$6:$B$38,2,FALSE)</f>
        <v>-0.60099633616081094</v>
      </c>
      <c r="J590">
        <f>($B$1+Table4[[#This Row],[Home Differential]])-Table4[[#This Row],[Away Differential]]</f>
        <v>1.1283284980535411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0.70072127585434374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-0.81412334763558081</v>
      </c>
      <c r="H591" t="s">
        <v>17</v>
      </c>
      <c r="I591">
        <f>VLOOKUP(Table4[[#This Row],[Visitor]],'NHL Model'!$A$6:$B$38,2,FALSE)</f>
        <v>-0.41671190768559452</v>
      </c>
      <c r="J591">
        <f>($B$1+Table4[[#This Row],[Home Differential]])-Table4[[#This Row],[Away Differential]]</f>
        <v>-0.34913018666133488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0.49975311635052033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0.7564009584796878</v>
      </c>
      <c r="H592" t="s">
        <v>10</v>
      </c>
      <c r="I592">
        <f>VLOOKUP(Table4[[#This Row],[Visitor]],'NHL Model'!$A$6:$B$38,2,FALSE)</f>
        <v>2.5996227684575345E-2</v>
      </c>
      <c r="J592">
        <f>($B$1+Table4[[#This Row],[Home Differential]])-Table4[[#This Row],[Away Differential]]</f>
        <v>0.77868598408376388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0.67075331065459898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-0.3510442662416135</v>
      </c>
      <c r="H593" t="s">
        <v>37</v>
      </c>
      <c r="I593">
        <f>VLOOKUP(Table4[[#This Row],[Visitor]],'NHL Model'!$A$6:$B$38,2,FALSE)</f>
        <v>0.66987960668864954</v>
      </c>
      <c r="J593">
        <f>($B$1+Table4[[#This Row],[Home Differential]])-Table4[[#This Row],[Away Differential]]</f>
        <v>-0.97264261964161158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0.64337147075383927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-0.19390166761644689</v>
      </c>
      <c r="H594" t="s">
        <v>31</v>
      </c>
      <c r="I594">
        <f>VLOOKUP(Table4[[#This Row],[Visitor]],'NHL Model'!$A$6:$B$38,2,FALSE)</f>
        <v>0.17827516980235869</v>
      </c>
      <c r="J594">
        <f>($B$1+Table4[[#This Row],[Home Differential]])-Table4[[#This Row],[Away Differential]]</f>
        <v>-0.32389558413015418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0.51764905191696686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-2.8342943575894393E-4</v>
      </c>
      <c r="H595" t="s">
        <v>22</v>
      </c>
      <c r="I595">
        <f>VLOOKUP(Table4[[#This Row],[Visitor]],'NHL Model'!$A$6:$B$38,2,FALSE)</f>
        <v>0.84902697115371384</v>
      </c>
      <c r="J595">
        <f>($B$1+Table4[[#This Row],[Home Differential]])-Table4[[#This Row],[Away Differential]]</f>
        <v>-0.80102914730082142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0.56179606008096872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0.24561340747691926</v>
      </c>
      <c r="H596" t="s">
        <v>15</v>
      </c>
      <c r="I596">
        <f>VLOOKUP(Table4[[#This Row],[Visitor]],'NHL Model'!$A$6:$B$38,2,FALSE)</f>
        <v>9.0184826596604858E-2</v>
      </c>
      <c r="J596">
        <f>($B$1+Table4[[#This Row],[Home Differential]])-Table4[[#This Row],[Away Differential]]</f>
        <v>0.20370983416896582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0.45662283668188641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-1.1754320402170535</v>
      </c>
      <c r="H597" t="s">
        <v>29</v>
      </c>
      <c r="I597">
        <f>VLOOKUP(Table4[[#This Row],[Visitor]],'NHL Model'!$A$6:$B$38,2,FALSE)</f>
        <v>-0.90025837753161619</v>
      </c>
      <c r="J597">
        <f>($B$1+Table4[[#This Row],[Home Differential]])-Table4[[#This Row],[Away Differential]]</f>
        <v>-0.2268924093967859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0.485834719237697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-8.5089305365893694E-2</v>
      </c>
      <c r="H598" t="s">
        <v>36</v>
      </c>
      <c r="I598">
        <f>VLOOKUP(Table4[[#This Row],[Visitor]],'NHL Model'!$A$6:$B$38,2,FALSE)</f>
        <v>-0.23108682001987857</v>
      </c>
      <c r="J598">
        <f>($B$1+Table4[[#This Row],[Home Differential]])-Table4[[#This Row],[Away Differential]]</f>
        <v>0.19427876794263627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0.55854506334723897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-0.77107712767799974</v>
      </c>
      <c r="H599" t="s">
        <v>33</v>
      </c>
      <c r="I599">
        <f>VLOOKUP(Table4[[#This Row],[Visitor]],'NHL Model'!$A$6:$B$38,2,FALSE)</f>
        <v>-0.47218252282767964</v>
      </c>
      <c r="J599">
        <f>($B$1+Table4[[#This Row],[Home Differential]])-Table4[[#This Row],[Away Differential]]</f>
        <v>-0.2506133515616687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0.48853566407103294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9.2938870272174581E-2</v>
      </c>
      <c r="H600" t="s">
        <v>12</v>
      </c>
      <c r="I600">
        <f>VLOOKUP(Table4[[#This Row],[Visitor]],'NHL Model'!$A$6:$B$38,2,FALSE)</f>
        <v>1.6584974384060074</v>
      </c>
      <c r="J600">
        <f>($B$1+Table4[[#This Row],[Home Differential]])-Table4[[#This Row],[Away Differential]]</f>
        <v>-1.5172773148451815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0.68690102463857317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-3.3785654828041967E-2</v>
      </c>
      <c r="H601" t="s">
        <v>34</v>
      </c>
      <c r="I601">
        <f>VLOOKUP(Table4[[#This Row],[Visitor]],'NHL Model'!$A$6:$B$38,2,FALSE)</f>
        <v>5.1566962112876508E-2</v>
      </c>
      <c r="J601">
        <f>($B$1+Table4[[#This Row],[Home Differential]])-Table4[[#This Row],[Away Differential]]</f>
        <v>-3.707136365226707E-2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0.48422106792493008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-0.28376306754383246</v>
      </c>
      <c r="H602" t="s">
        <v>30</v>
      </c>
      <c r="I602">
        <f>VLOOKUP(Table4[[#This Row],[Visitor]],'NHL Model'!$A$6:$B$38,2,FALSE)</f>
        <v>0.24561340747691926</v>
      </c>
      <c r="J602">
        <f>($B$1+Table4[[#This Row],[Home Differential]])-Table4[[#This Row],[Away Differential]]</f>
        <v>-0.48109522173210029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0.58740226027749876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2.5996227684575345E-2</v>
      </c>
      <c r="H603" t="s">
        <v>14</v>
      </c>
      <c r="I603">
        <f>VLOOKUP(Table4[[#This Row],[Visitor]],'NHL Model'!$A$6:$B$38,2,FALSE)</f>
        <v>0.17535803439735015</v>
      </c>
      <c r="J603">
        <f>($B$1+Table4[[#This Row],[Home Differential]])-Table4[[#This Row],[Away Differential]]</f>
        <v>-0.10108055342412339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0.52564818319747453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-0.60099633616081094</v>
      </c>
      <c r="H604" t="s">
        <v>19</v>
      </c>
      <c r="I604">
        <f>VLOOKUP(Table4[[#This Row],[Visitor]],'NHL Model'!$A$6:$B$38,2,FALSE)</f>
        <v>-8.5089305365893694E-2</v>
      </c>
      <c r="J604">
        <f>($B$1+Table4[[#This Row],[Home Differential]])-Table4[[#This Row],[Away Differential]]</f>
        <v>-0.46762577750626583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0.50312316636712229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-0.56616527987265597</v>
      </c>
      <c r="H605" t="s">
        <v>27</v>
      </c>
      <c r="I605">
        <f>VLOOKUP(Table4[[#This Row],[Visitor]],'NHL Model'!$A$6:$B$38,2,FALSE)</f>
        <v>-2.8950318025217449E-2</v>
      </c>
      <c r="J605">
        <f>($B$1+Table4[[#This Row],[Home Differential]])-Table4[[#This Row],[Away Differential]]</f>
        <v>-0.48893370855878709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0.55818416998702125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0.66987960668864954</v>
      </c>
      <c r="H606" t="s">
        <v>18</v>
      </c>
      <c r="I606">
        <f>VLOOKUP(Table4[[#This Row],[Visitor]],'NHL Model'!$A$6:$B$38,2,FALSE)</f>
        <v>-0.36560113761686208</v>
      </c>
      <c r="J606">
        <f>($B$1+Table4[[#This Row],[Home Differential]])-Table4[[#This Row],[Away Differential]]</f>
        <v>1.083761997594163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0.61824608190998209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0.17827516980235869</v>
      </c>
      <c r="H607" t="s">
        <v>33</v>
      </c>
      <c r="I607">
        <f>VLOOKUP(Table4[[#This Row],[Visitor]],'NHL Model'!$A$6:$B$38,2,FALSE)</f>
        <v>-0.47218252282767964</v>
      </c>
      <c r="J607">
        <f>($B$1+Table4[[#This Row],[Home Differential]])-Table4[[#This Row],[Away Differential]]</f>
        <v>0.69873894591868968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0.68783323064043866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0.47905090860407873</v>
      </c>
      <c r="H608" t="s">
        <v>15</v>
      </c>
      <c r="I608">
        <f>VLOOKUP(Table4[[#This Row],[Visitor]],'NHL Model'!$A$6:$B$38,2,FALSE)</f>
        <v>9.0184826596604858E-2</v>
      </c>
      <c r="J608">
        <f>($B$1+Table4[[#This Row],[Home Differential]])-Table4[[#This Row],[Away Differential]]</f>
        <v>0.43714733529612526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0.51552846430257027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-0.81412334763558081</v>
      </c>
      <c r="H609" t="s">
        <v>21</v>
      </c>
      <c r="I609">
        <f>VLOOKUP(Table4[[#This Row],[Visitor]],'NHL Model'!$A$6:$B$38,2,FALSE)</f>
        <v>2.6215642141022087E-2</v>
      </c>
      <c r="J609">
        <f>($B$1+Table4[[#This Row],[Home Differential]])-Table4[[#This Row],[Away Differential]]</f>
        <v>-0.79205773648795152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0.55018631031603771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1.6584974384060074</v>
      </c>
      <c r="H610" t="s">
        <v>13</v>
      </c>
      <c r="I610">
        <f>VLOOKUP(Table4[[#This Row],[Visitor]],'NHL Model'!$A$6:$B$38,2,FALSE)</f>
        <v>-0.19390166761644689</v>
      </c>
      <c r="J610">
        <f>($B$1+Table4[[#This Row],[Home Differential]])-Table4[[#This Row],[Away Differential]]</f>
        <v>1.9006803593111057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0.80152412729178202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-0.3510442662416135</v>
      </c>
      <c r="H611" t="s">
        <v>22</v>
      </c>
      <c r="I611">
        <f>VLOOKUP(Table4[[#This Row],[Visitor]],'NHL Model'!$A$6:$B$38,2,FALSE)</f>
        <v>0.84902697115371384</v>
      </c>
      <c r="J611">
        <f>($B$1+Table4[[#This Row],[Home Differential]])-Table4[[#This Row],[Away Differential]]</f>
        <v>-1.1517899841066759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0.64528542983014525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-0.23108682001987857</v>
      </c>
      <c r="H612" t="s">
        <v>28</v>
      </c>
      <c r="I612">
        <f>VLOOKUP(Table4[[#This Row],[Visitor]],'NHL Model'!$A$6:$B$38,2,FALSE)</f>
        <v>-0.28376306754383246</v>
      </c>
      <c r="J612">
        <f>($B$1+Table4[[#This Row],[Home Differential]])-Table4[[#This Row],[Away Differential]]</f>
        <v>0.10095750081260529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0.54791919559952473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-0.56616527987265597</v>
      </c>
      <c r="H613" t="s">
        <v>38</v>
      </c>
      <c r="I613">
        <f>VLOOKUP(Table4[[#This Row],[Visitor]],'NHL Model'!$A$6:$B$38,2,FALSE)</f>
        <v>-0.77107712767799974</v>
      </c>
      <c r="J613">
        <f>($B$1+Table4[[#This Row],[Home Differential]])-Table4[[#This Row],[Away Differential]]</f>
        <v>0.25319310109399518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0.56882940287458494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-1.1754320402170535</v>
      </c>
      <c r="H614" t="s">
        <v>23</v>
      </c>
      <c r="I614">
        <f>VLOOKUP(Table4[[#This Row],[Visitor]],'NHL Model'!$A$6:$B$38,2,FALSE)</f>
        <v>-0.40965500817719275</v>
      </c>
      <c r="J614">
        <f>($B$1+Table4[[#This Row],[Home Differential]])-Table4[[#This Row],[Away Differential]]</f>
        <v>-0.71749577875120929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0.54169643950430379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0.15493687588867713</v>
      </c>
      <c r="H615" t="s">
        <v>29</v>
      </c>
      <c r="I615">
        <f>VLOOKUP(Table4[[#This Row],[Visitor]],'NHL Model'!$A$6:$B$38,2,FALSE)</f>
        <v>-0.90025837753161619</v>
      </c>
      <c r="J615">
        <f>($B$1+Table4[[#This Row],[Home Differential]])-Table4[[#This Row],[Away Differential]]</f>
        <v>1.1034765067089447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0.70607665766296568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9.2938870272174581E-2</v>
      </c>
      <c r="H616" t="s">
        <v>34</v>
      </c>
      <c r="I616">
        <f>VLOOKUP(Table4[[#This Row],[Visitor]],'NHL Model'!$A$6:$B$38,2,FALSE)</f>
        <v>5.1566962112876508E-2</v>
      </c>
      <c r="J616">
        <f>($B$1+Table4[[#This Row],[Home Differential]])-Table4[[#This Row],[Away Differential]]</f>
        <v>8.9653161447949464E-2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0.51092147187950487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-3.3785654828041967E-2</v>
      </c>
      <c r="H617" t="s">
        <v>17</v>
      </c>
      <c r="I617">
        <f>VLOOKUP(Table4[[#This Row],[Visitor]],'NHL Model'!$A$6:$B$38,2,FALSE)</f>
        <v>-0.41671190768559452</v>
      </c>
      <c r="J617">
        <f>($B$1+Table4[[#This Row],[Home Differential]])-Table4[[#This Row],[Away Differential]]</f>
        <v>0.43120750614620396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0.60820414238662857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2.5996227684575345E-2</v>
      </c>
      <c r="H618" t="s">
        <v>30</v>
      </c>
      <c r="I618">
        <f>VLOOKUP(Table4[[#This Row],[Visitor]],'NHL Model'!$A$6:$B$38,2,FALSE)</f>
        <v>0.24561340747691926</v>
      </c>
      <c r="J618">
        <f>($B$1+Table4[[#This Row],[Home Differential]])-Table4[[#This Row],[Away Differential]]</f>
        <v>-0.1713359265036925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0.55213204368114677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-0.3510442662416135</v>
      </c>
      <c r="H619" t="s">
        <v>18</v>
      </c>
      <c r="I619">
        <f>VLOOKUP(Table4[[#This Row],[Visitor]],'NHL Model'!$A$6:$B$38,2,FALSE)</f>
        <v>-0.36560113761686208</v>
      </c>
      <c r="J619">
        <f>($B$1+Table4[[#This Row],[Home Differential]])-Table4[[#This Row],[Away Differential]]</f>
        <v>6.2838124663899986E-2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0.48786712262230814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0.17535803439735015</v>
      </c>
      <c r="H620" t="s">
        <v>25</v>
      </c>
      <c r="I620">
        <f>VLOOKUP(Table4[[#This Row],[Visitor]],'NHL Model'!$A$6:$B$38,2,FALSE)</f>
        <v>0.47905090860407873</v>
      </c>
      <c r="J620">
        <f>($B$1+Table4[[#This Row],[Home Differential]])-Table4[[#This Row],[Away Differential]]</f>
        <v>-0.25541162091807718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0.56170517997814617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-8.5089305365893694E-2</v>
      </c>
      <c r="H621" t="s">
        <v>24</v>
      </c>
      <c r="I621">
        <f>VLOOKUP(Table4[[#This Row],[Visitor]],'NHL Model'!$A$6:$B$38,2,FALSE)</f>
        <v>-2.8342943575894393E-4</v>
      </c>
      <c r="J621">
        <f>($B$1+Table4[[#This Row],[Home Differential]])-Table4[[#This Row],[Away Differential]]</f>
        <v>-3.6524622641483345E-2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0.48492804495659914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-0.77107712767799974</v>
      </c>
      <c r="H622" t="s">
        <v>27</v>
      </c>
      <c r="I622">
        <f>VLOOKUP(Table4[[#This Row],[Visitor]],'NHL Model'!$A$6:$B$38,2,FALSE)</f>
        <v>-2.8950318025217449E-2</v>
      </c>
      <c r="J622">
        <f>($B$1+Table4[[#This Row],[Home Differential]])-Table4[[#This Row],[Away Differential]]</f>
        <v>-0.69384555636413092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0.58151610987255076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0.17827516980235869</v>
      </c>
      <c r="H623" t="s">
        <v>37</v>
      </c>
      <c r="I623">
        <f>VLOOKUP(Table4[[#This Row],[Visitor]],'NHL Model'!$A$6:$B$38,2,FALSE)</f>
        <v>0.66987960668864954</v>
      </c>
      <c r="J623">
        <f>($B$1+Table4[[#This Row],[Home Differential]])-Table4[[#This Row],[Away Differential]]</f>
        <v>-0.44332318359763945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0.51328815948897244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-0.28376306754383246</v>
      </c>
      <c r="H624" t="s">
        <v>24</v>
      </c>
      <c r="I624">
        <f>VLOOKUP(Table4[[#This Row],[Visitor]],'NHL Model'!$A$6:$B$38,2,FALSE)</f>
        <v>-2.8342943575894393E-4</v>
      </c>
      <c r="J624">
        <f>($B$1+Table4[[#This Row],[Home Differential]])-Table4[[#This Row],[Away Differential]]</f>
        <v>-0.23519838481942212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0.50754969580604681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-0.81412334763558081</v>
      </c>
      <c r="H625" t="s">
        <v>27</v>
      </c>
      <c r="I625">
        <f>VLOOKUP(Table4[[#This Row],[Visitor]],'NHL Model'!$A$6:$B$38,2,FALSE)</f>
        <v>-2.8950318025217449E-2</v>
      </c>
      <c r="J625">
        <f>($B$1+Table4[[#This Row],[Home Differential]])-Table4[[#This Row],[Away Differential]]</f>
        <v>-0.73689177632171199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0.5864174946734122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1.6584974384060074</v>
      </c>
      <c r="H626" t="s">
        <v>35</v>
      </c>
      <c r="I626">
        <f>VLOOKUP(Table4[[#This Row],[Visitor]],'NHL Model'!$A$6:$B$38,2,FALSE)</f>
        <v>-1.1754320402170535</v>
      </c>
      <c r="J626">
        <f>($B$1+Table4[[#This Row],[Home Differential]])-Table4[[#This Row],[Away Differential]]</f>
        <v>2.8822107319117123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0.97599900071242929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0.7564009584796878</v>
      </c>
      <c r="H627" t="s">
        <v>23</v>
      </c>
      <c r="I627">
        <f>VLOOKUP(Table4[[#This Row],[Visitor]],'NHL Model'!$A$6:$B$38,2,FALSE)</f>
        <v>-0.40965500817719275</v>
      </c>
      <c r="J627">
        <f>($B$1+Table4[[#This Row],[Home Differential]])-Table4[[#This Row],[Away Differential]]</f>
        <v>1.214337219945532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0.72117000164124645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-0.60099633616081094</v>
      </c>
      <c r="H628" t="s">
        <v>40</v>
      </c>
      <c r="I628">
        <f>VLOOKUP(Table4[[#This Row],[Visitor]],'NHL Model'!$A$6:$B$38,2,FALSE)</f>
        <v>-3.3785654828041967E-2</v>
      </c>
      <c r="J628">
        <f>($B$1+Table4[[#This Row],[Home Differential]])-Table4[[#This Row],[Away Differential]]</f>
        <v>-0.51892942804411757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0.51252831442630242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-0.41671190768559452</v>
      </c>
      <c r="H629" t="s">
        <v>21</v>
      </c>
      <c r="I629">
        <f>VLOOKUP(Table4[[#This Row],[Visitor]],'NHL Model'!$A$6:$B$38,2,FALSE)</f>
        <v>2.6215642141022087E-2</v>
      </c>
      <c r="J629">
        <f>($B$1+Table4[[#This Row],[Home Differential]])-Table4[[#This Row],[Away Differential]]</f>
        <v>-0.39464629653796518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0.50244025177212204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-0.47218252282767964</v>
      </c>
      <c r="H630" t="s">
        <v>34</v>
      </c>
      <c r="I630">
        <f>VLOOKUP(Table4[[#This Row],[Visitor]],'NHL Model'!$A$6:$B$38,2,FALSE)</f>
        <v>5.1566962112876508E-2</v>
      </c>
      <c r="J630">
        <f>($B$1+Table4[[#This Row],[Home Differential]])-Table4[[#This Row],[Away Differential]]</f>
        <v>-0.47546823165190477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0.55342511672945616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9.2938870272174581E-2</v>
      </c>
      <c r="H631" t="s">
        <v>29</v>
      </c>
      <c r="I631">
        <f>VLOOKUP(Table4[[#This Row],[Visitor]],'NHL Model'!$A$6:$B$38,2,FALSE)</f>
        <v>-0.90025837753161619</v>
      </c>
      <c r="J631">
        <f>($B$1+Table4[[#This Row],[Home Differential]])-Table4[[#This Row],[Away Differential]]</f>
        <v>1.0414785010924421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0.65858618249660084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0.84902697115371384</v>
      </c>
      <c r="H632" t="s">
        <v>15</v>
      </c>
      <c r="I632">
        <f>VLOOKUP(Table4[[#This Row],[Visitor]],'NHL Model'!$A$6:$B$38,2,FALSE)</f>
        <v>9.0184826596604858E-2</v>
      </c>
      <c r="J632">
        <f>($B$1+Table4[[#This Row],[Home Differential]])-Table4[[#This Row],[Away Differential]]</f>
        <v>0.80712339784576037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0.55136119574476594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0.47905090860407873</v>
      </c>
      <c r="H633" t="s">
        <v>18</v>
      </c>
      <c r="I633">
        <f>VLOOKUP(Table4[[#This Row],[Visitor]],'NHL Model'!$A$6:$B$38,2,FALSE)</f>
        <v>-0.36560113761686208</v>
      </c>
      <c r="J633">
        <f>($B$1+Table4[[#This Row],[Home Differential]])-Table4[[#This Row],[Away Differential]]</f>
        <v>0.89293329950959222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0.61504131910563109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2.5996227684575345E-2</v>
      </c>
      <c r="H634" t="s">
        <v>39</v>
      </c>
      <c r="I634">
        <f>VLOOKUP(Table4[[#This Row],[Visitor]],'NHL Model'!$A$6:$B$38,2,FALSE)</f>
        <v>0.7564009584796878</v>
      </c>
      <c r="J634">
        <f>($B$1+Table4[[#This Row],[Home Differential]])-Table4[[#This Row],[Away Differential]]</f>
        <v>-0.68212347750646107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0.63015502028298598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-0.19390166761644689</v>
      </c>
      <c r="H635" t="s">
        <v>37</v>
      </c>
      <c r="I635">
        <f>VLOOKUP(Table4[[#This Row],[Visitor]],'NHL Model'!$A$6:$B$38,2,FALSE)</f>
        <v>0.66987960668864954</v>
      </c>
      <c r="J635">
        <f>($B$1+Table4[[#This Row],[Home Differential]])-Table4[[#This Row],[Away Differential]]</f>
        <v>-0.81550002101644503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0.62547869537824841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0.24561340747691926</v>
      </c>
      <c r="H636" t="s">
        <v>55</v>
      </c>
      <c r="I636">
        <f>VLOOKUP(Table4[[#This Row],[Visitor]],'NHL Model'!$A$6:$B$38,2,FALSE)</f>
        <v>0.15493687588867713</v>
      </c>
      <c r="J636">
        <f>($B$1+Table4[[#This Row],[Home Differential]])-Table4[[#This Row],[Away Differential]]</f>
        <v>0.13895778487689356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0.5558221924115091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-0.23108682001987857</v>
      </c>
      <c r="H637" t="s">
        <v>22</v>
      </c>
      <c r="I637">
        <f>VLOOKUP(Table4[[#This Row],[Visitor]],'NHL Model'!$A$6:$B$38,2,FALSE)</f>
        <v>0.84902697115371384</v>
      </c>
      <c r="J637">
        <f>($B$1+Table4[[#This Row],[Home Differential]])-Table4[[#This Row],[Away Differential]]</f>
        <v>-1.0318325378849411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0.63162667874257561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0.17535803439735015</v>
      </c>
      <c r="H638" t="s">
        <v>26</v>
      </c>
      <c r="I638">
        <f>VLOOKUP(Table4[[#This Row],[Visitor]],'NHL Model'!$A$6:$B$38,2,FALSE)</f>
        <v>-0.60099633616081094</v>
      </c>
      <c r="J638">
        <f>($B$1+Table4[[#This Row],[Home Differential]])-Table4[[#This Row],[Away Differential]]</f>
        <v>0.82463562384681244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0.6338957361867007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-0.56616527987265597</v>
      </c>
      <c r="H639" t="s">
        <v>29</v>
      </c>
      <c r="I639">
        <f>VLOOKUP(Table4[[#This Row],[Visitor]],'NHL Model'!$A$6:$B$38,2,FALSE)</f>
        <v>-0.90025837753161619</v>
      </c>
      <c r="J639">
        <f>($B$1+Table4[[#This Row],[Home Differential]])-Table4[[#This Row],[Away Differential]]</f>
        <v>0.38237435094761163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0.5835384067130811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-8.5089305365893694E-2</v>
      </c>
      <c r="H640" t="s">
        <v>40</v>
      </c>
      <c r="I640">
        <f>VLOOKUP(Table4[[#This Row],[Visitor]],'NHL Model'!$A$6:$B$38,2,FALSE)</f>
        <v>-3.3785654828041967E-2</v>
      </c>
      <c r="J640">
        <f>($B$1+Table4[[#This Row],[Home Differential]])-Table4[[#This Row],[Away Differential]]</f>
        <v>-3.0223972492003232E-3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0.46392029907521037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0.17827516980235869</v>
      </c>
      <c r="H641" t="s">
        <v>34</v>
      </c>
      <c r="I641">
        <f>VLOOKUP(Table4[[#This Row],[Visitor]],'NHL Model'!$A$6:$B$38,2,FALSE)</f>
        <v>5.1566962112876508E-2</v>
      </c>
      <c r="J641">
        <f>($B$1+Table4[[#This Row],[Home Differential]])-Table4[[#This Row],[Away Differential]]</f>
        <v>0.17498946097813359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0.59010031667392437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-0.3510442662416135</v>
      </c>
      <c r="H642" t="s">
        <v>15</v>
      </c>
      <c r="I642">
        <f>VLOOKUP(Table4[[#This Row],[Visitor]],'NHL Model'!$A$6:$B$38,2,FALSE)</f>
        <v>9.0184826596604858E-2</v>
      </c>
      <c r="J642">
        <f>($B$1+Table4[[#This Row],[Home Differential]])-Table4[[#This Row],[Away Differential]]</f>
        <v>-0.39294783954956697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0.61131457701351433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-1.1754320402170535</v>
      </c>
      <c r="H643" t="s">
        <v>20</v>
      </c>
      <c r="I643">
        <f>VLOOKUP(Table4[[#This Row],[Visitor]],'NHL Model'!$A$6:$B$38,2,FALSE)</f>
        <v>9.2938870272174581E-2</v>
      </c>
      <c r="J643">
        <f>($B$1+Table4[[#This Row],[Home Differential]])-Table4[[#This Row],[Away Differential]]</f>
        <v>-1.2200896572005766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0.6196926695144731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-0.77107712767799974</v>
      </c>
      <c r="H644" t="s">
        <v>32</v>
      </c>
      <c r="I644">
        <f>VLOOKUP(Table4[[#This Row],[Visitor]],'NHL Model'!$A$6:$B$38,2,FALSE)</f>
        <v>-0.56616527987265597</v>
      </c>
      <c r="J644">
        <f>($B$1+Table4[[#This Row],[Home Differential]])-Table4[[#This Row],[Away Differential]]</f>
        <v>-0.15663059451669237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0.47783447689647407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0.47905090860407873</v>
      </c>
      <c r="H645" t="s">
        <v>12</v>
      </c>
      <c r="I645">
        <f>VLOOKUP(Table4[[#This Row],[Visitor]],'NHL Model'!$A$6:$B$38,2,FALSE)</f>
        <v>1.6584974384060074</v>
      </c>
      <c r="J645">
        <f>($B$1+Table4[[#This Row],[Home Differential]])-Table4[[#This Row],[Away Differential]]</f>
        <v>-1.1311652765132774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0.61027969649380953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-0.28376306754383246</v>
      </c>
      <c r="H646" t="s">
        <v>23</v>
      </c>
      <c r="I646">
        <f>VLOOKUP(Table4[[#This Row],[Visitor]],'NHL Model'!$A$6:$B$38,2,FALSE)</f>
        <v>-0.40965500817719275</v>
      </c>
      <c r="J646">
        <f>($B$1+Table4[[#This Row],[Home Differential]])-Table4[[#This Row],[Away Differential]]</f>
        <v>0.17417319392201169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0.55983193521401198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-0.81412334763558081</v>
      </c>
      <c r="H647" t="s">
        <v>29</v>
      </c>
      <c r="I647">
        <f>VLOOKUP(Table4[[#This Row],[Visitor]],'NHL Model'!$A$6:$B$38,2,FALSE)</f>
        <v>-0.90025837753161619</v>
      </c>
      <c r="J647">
        <f>($B$1+Table4[[#This Row],[Home Differential]])-Table4[[#This Row],[Away Differential]]</f>
        <v>0.13441628318468679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0.55530508202669016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-0.60099633616081094</v>
      </c>
      <c r="H648" t="s">
        <v>14</v>
      </c>
      <c r="I648">
        <f>VLOOKUP(Table4[[#This Row],[Visitor]],'NHL Model'!$A$6:$B$38,2,FALSE)</f>
        <v>0.17535803439735015</v>
      </c>
      <c r="J648">
        <f>($B$1+Table4[[#This Row],[Home Differential]])-Table4[[#This Row],[Away Differential]]</f>
        <v>-0.72807311726950963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0.58683781808260549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-0.41671190768559452</v>
      </c>
      <c r="H649" t="s">
        <v>27</v>
      </c>
      <c r="I649">
        <f>VLOOKUP(Table4[[#This Row],[Visitor]],'NHL Model'!$A$6:$B$38,2,FALSE)</f>
        <v>-2.8950318025217449E-2</v>
      </c>
      <c r="J649">
        <f>($B$1+Table4[[#This Row],[Home Differential]])-Table4[[#This Row],[Away Differential]]</f>
        <v>-0.33948033637172564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0.53865435251976612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-0.19390166761644689</v>
      </c>
      <c r="H650" t="s">
        <v>34</v>
      </c>
      <c r="I650">
        <f>VLOOKUP(Table4[[#This Row],[Visitor]],'NHL Model'!$A$6:$B$38,2,FALSE)</f>
        <v>5.1566962112876508E-2</v>
      </c>
      <c r="J650">
        <f>($B$1+Table4[[#This Row],[Home Differential]])-Table4[[#This Row],[Away Differential]]</f>
        <v>-0.197187376440672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0.52173913929758953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-2.8342943575894393E-4</v>
      </c>
      <c r="H651" t="s">
        <v>55</v>
      </c>
      <c r="I651">
        <f>VLOOKUP(Table4[[#This Row],[Visitor]],'NHL Model'!$A$6:$B$38,2,FALSE)</f>
        <v>0.15493687588867713</v>
      </c>
      <c r="J651">
        <f>($B$1+Table4[[#This Row],[Home Differential]])-Table4[[#This Row],[Away Differential]]</f>
        <v>-0.10693905203578467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0.42927487931717223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0.24561340747691926</v>
      </c>
      <c r="H652" t="s">
        <v>19</v>
      </c>
      <c r="I652">
        <f>VLOOKUP(Table4[[#This Row],[Visitor]],'NHL Model'!$A$6:$B$38,2,FALSE)</f>
        <v>-8.5089305365893694E-2</v>
      </c>
      <c r="J652">
        <f>($B$1+Table4[[#This Row],[Home Differential]])-Table4[[#This Row],[Away Differential]]</f>
        <v>0.3789839661314644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0.58315236629830569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-0.23108682001987857</v>
      </c>
      <c r="H653" t="s">
        <v>40</v>
      </c>
      <c r="I653">
        <f>VLOOKUP(Table4[[#This Row],[Visitor]],'NHL Model'!$A$6:$B$38,2,FALSE)</f>
        <v>-3.3785654828041967E-2</v>
      </c>
      <c r="J653">
        <f>($B$1+Table4[[#This Row],[Home Differential]])-Table4[[#This Row],[Away Differential]]</f>
        <v>-0.1490199119031852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0.48054405837379127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-0.47218252282767964</v>
      </c>
      <c r="H654" t="s">
        <v>37</v>
      </c>
      <c r="I654">
        <f>VLOOKUP(Table4[[#This Row],[Visitor]],'NHL Model'!$A$6:$B$38,2,FALSE)</f>
        <v>0.66987960668864954</v>
      </c>
      <c r="J654">
        <f>($B$1+Table4[[#This Row],[Home Differential]])-Table4[[#This Row],[Away Differential]]</f>
        <v>-1.0937808762276777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0.65716467281011504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-1.1754320402170535</v>
      </c>
      <c r="H655" t="s">
        <v>18</v>
      </c>
      <c r="I655">
        <f>VLOOKUP(Table4[[#This Row],[Visitor]],'NHL Model'!$A$6:$B$38,2,FALSE)</f>
        <v>-0.36560113761686208</v>
      </c>
      <c r="J655">
        <f>($B$1+Table4[[#This Row],[Home Differential]])-Table4[[#This Row],[Away Differential]]</f>
        <v>-0.76154964931154001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0.60600039255930449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-0.77107712767799974</v>
      </c>
      <c r="H656" t="s">
        <v>21</v>
      </c>
      <c r="I656">
        <f>VLOOKUP(Table4[[#This Row],[Visitor]],'NHL Model'!$A$6:$B$38,2,FALSE)</f>
        <v>2.6215642141022087E-2</v>
      </c>
      <c r="J656">
        <f>($B$1+Table4[[#This Row],[Home Differential]])-Table4[[#This Row],[Away Differential]]</f>
        <v>-0.74901151653037046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0.54528492551517616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0.84902697115371384</v>
      </c>
      <c r="H657" t="s">
        <v>10</v>
      </c>
      <c r="I657">
        <f>VLOOKUP(Table4[[#This Row],[Visitor]],'NHL Model'!$A$6:$B$38,2,FALSE)</f>
        <v>2.5996227684575345E-2</v>
      </c>
      <c r="J657">
        <f>($B$1+Table4[[#This Row],[Home Differential]])-Table4[[#This Row],[Away Differential]]</f>
        <v>0.87131199675778992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0.66442785349882927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-0.28376306754383246</v>
      </c>
      <c r="H658" t="s">
        <v>14</v>
      </c>
      <c r="I658">
        <f>VLOOKUP(Table4[[#This Row],[Visitor]],'NHL Model'!$A$6:$B$38,2,FALSE)</f>
        <v>0.17535803439735015</v>
      </c>
      <c r="J658">
        <f>($B$1+Table4[[#This Row],[Home Differential]])-Table4[[#This Row],[Away Differential]]</f>
        <v>-0.4108398486525312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0.56091839979382652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2.5996227684575345E-2</v>
      </c>
      <c r="H659" t="s">
        <v>20</v>
      </c>
      <c r="I659">
        <f>VLOOKUP(Table4[[#This Row],[Visitor]],'NHL Model'!$A$6:$B$38,2,FALSE)</f>
        <v>9.2938870272174581E-2</v>
      </c>
      <c r="J659">
        <f>($B$1+Table4[[#This Row],[Home Differential]])-Table4[[#This Row],[Away Differential]]</f>
        <v>-1.8661389298947825E-2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0.48289407819980551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0.7564009584796878</v>
      </c>
      <c r="H660" t="s">
        <v>18</v>
      </c>
      <c r="I660">
        <f>VLOOKUP(Table4[[#This Row],[Visitor]],'NHL Model'!$A$6:$B$38,2,FALSE)</f>
        <v>-0.36560113761686208</v>
      </c>
      <c r="J660">
        <f>($B$1+Table4[[#This Row],[Home Differential]])-Table4[[#This Row],[Away Differential]]</f>
        <v>1.1702833493852012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0.65752417267018792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-0.3510442662416135</v>
      </c>
      <c r="H661" t="s">
        <v>12</v>
      </c>
      <c r="I661">
        <f>VLOOKUP(Table4[[#This Row],[Visitor]],'NHL Model'!$A$6:$B$38,2,FALSE)</f>
        <v>1.6584974384060074</v>
      </c>
      <c r="J661">
        <f>($B$1+Table4[[#This Row],[Home Differential]])-Table4[[#This Row],[Away Differential]]</f>
        <v>-1.9612604513589695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0.73745441119125832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-2.8342943575894393E-4</v>
      </c>
      <c r="H662" t="s">
        <v>25</v>
      </c>
      <c r="I662">
        <f>VLOOKUP(Table4[[#This Row],[Visitor]],'NHL Model'!$A$6:$B$38,2,FALSE)</f>
        <v>0.47905090860407873</v>
      </c>
      <c r="J662">
        <f>($B$1+Table4[[#This Row],[Home Differential]])-Table4[[#This Row],[Away Differential]]</f>
        <v>-0.43105308475118626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0.53816409757889516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-0.81412334763558081</v>
      </c>
      <c r="H663" t="s">
        <v>32</v>
      </c>
      <c r="I663">
        <f>VLOOKUP(Table4[[#This Row],[Visitor]],'NHL Model'!$A$6:$B$38,2,FALSE)</f>
        <v>-0.56616527987265597</v>
      </c>
      <c r="J663">
        <f>($B$1+Table4[[#This Row],[Home Differential]])-Table4[[#This Row],[Away Differential]]</f>
        <v>-0.19967681447427343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0.48273586169733557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-0.19390166761644689</v>
      </c>
      <c r="H664" t="s">
        <v>34</v>
      </c>
      <c r="I664">
        <f>VLOOKUP(Table4[[#This Row],[Visitor]],'NHL Model'!$A$6:$B$38,2,FALSE)</f>
        <v>5.1566962112876508E-2</v>
      </c>
      <c r="J664">
        <f>($B$1+Table4[[#This Row],[Home Differential]])-Table4[[#This Row],[Away Differential]]</f>
        <v>-0.197187376440672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0.52173913929758953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9.0184826596604858E-2</v>
      </c>
      <c r="H665" t="s">
        <v>55</v>
      </c>
      <c r="I665">
        <f>VLOOKUP(Table4[[#This Row],[Visitor]],'NHL Model'!$A$6:$B$38,2,FALSE)</f>
        <v>0.15493687588867713</v>
      </c>
      <c r="J665">
        <f>($B$1+Table4[[#This Row],[Home Differential]])-Table4[[#This Row],[Away Differential]]</f>
        <v>-1.6470796003420857E-2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0.46187541924166192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-0.23108682001987857</v>
      </c>
      <c r="H666" t="s">
        <v>26</v>
      </c>
      <c r="I666">
        <f>VLOOKUP(Table4[[#This Row],[Visitor]],'NHL Model'!$A$6:$B$38,2,FALSE)</f>
        <v>-0.60099633616081094</v>
      </c>
      <c r="J666">
        <f>($B$1+Table4[[#This Row],[Home Differential]])-Table4[[#This Row],[Away Differential]]</f>
        <v>0.41819076942958378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0.58761658243540527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0.84902697115371384</v>
      </c>
      <c r="H667" t="s">
        <v>31</v>
      </c>
      <c r="I667">
        <f>VLOOKUP(Table4[[#This Row],[Visitor]],'NHL Model'!$A$6:$B$38,2,FALSE)</f>
        <v>0.17827516980235869</v>
      </c>
      <c r="J667">
        <f>($B$1+Table4[[#This Row],[Home Differential]])-Table4[[#This Row],[Away Differential]]</f>
        <v>0.71903305464000655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0.62732602426969941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-0.40965500817719275</v>
      </c>
      <c r="H668" t="s">
        <v>38</v>
      </c>
      <c r="I668">
        <f>VLOOKUP(Table4[[#This Row],[Visitor]],'NHL Model'!$A$6:$B$38,2,FALSE)</f>
        <v>-0.77107712767799974</v>
      </c>
      <c r="J668">
        <f>($B$1+Table4[[#This Row],[Home Differential]])-Table4[[#This Row],[Away Differential]]</f>
        <v>0.4097033727894584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0.59677242880591919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0.47905090860407873</v>
      </c>
      <c r="H669" t="s">
        <v>39</v>
      </c>
      <c r="I669">
        <f>VLOOKUP(Table4[[#This Row],[Visitor]],'NHL Model'!$A$6:$B$38,2,FALSE)</f>
        <v>0.7564009584796878</v>
      </c>
      <c r="J669">
        <f>($B$1+Table4[[#This Row],[Home Differential]])-Table4[[#This Row],[Away Differential]]</f>
        <v>-0.22906879658695767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0.54608252987252648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-0.41671190768559452</v>
      </c>
      <c r="H670" t="s">
        <v>29</v>
      </c>
      <c r="I670">
        <f>VLOOKUP(Table4[[#This Row],[Visitor]],'NHL Model'!$A$6:$B$38,2,FALSE)</f>
        <v>-0.90025837753161619</v>
      </c>
      <c r="J670">
        <f>($B$1+Table4[[#This Row],[Home Differential]])-Table4[[#This Row],[Away Differential]]</f>
        <v>0.53182772313467308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0.60305114057060583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0.24561340747691926</v>
      </c>
      <c r="H671" t="s">
        <v>24</v>
      </c>
      <c r="I671">
        <f>VLOOKUP(Table4[[#This Row],[Visitor]],'NHL Model'!$A$6:$B$38,2,FALSE)</f>
        <v>-2.8342943575894393E-4</v>
      </c>
      <c r="J671">
        <f>($B$1+Table4[[#This Row],[Home Differential]])-Table4[[#This Row],[Away Differential]]</f>
        <v>0.29417809020132962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0.55272685835265112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-2.8950318025217449E-2</v>
      </c>
      <c r="H672" t="s">
        <v>31</v>
      </c>
      <c r="I672">
        <f>VLOOKUP(Table4[[#This Row],[Visitor]],'NHL Model'!$A$6:$B$38,2,FALSE)</f>
        <v>0.17827516980235869</v>
      </c>
      <c r="J672">
        <f>($B$1+Table4[[#This Row],[Home Differential]])-Table4[[#This Row],[Away Differential]]</f>
        <v>-0.15894423453892473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0.47264337013760982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-0.56616527987265597</v>
      </c>
      <c r="H673" t="s">
        <v>21</v>
      </c>
      <c r="I673">
        <f>VLOOKUP(Table4[[#This Row],[Visitor]],'NHL Model'!$A$6:$B$38,2,FALSE)</f>
        <v>2.6215642141022087E-2</v>
      </c>
      <c r="J673">
        <f>($B$1+Table4[[#This Row],[Home Differential]])-Table4[[#This Row],[Away Differential]]</f>
        <v>-0.54409966872502669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0.52195298562964676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-0.47218252282767964</v>
      </c>
      <c r="H674" t="s">
        <v>28</v>
      </c>
      <c r="I674">
        <f>VLOOKUP(Table4[[#This Row],[Visitor]],'NHL Model'!$A$6:$B$38,2,FALSE)</f>
        <v>-0.28376306754383246</v>
      </c>
      <c r="J674">
        <f>($B$1+Table4[[#This Row],[Home Differential]])-Table4[[#This Row],[Away Differential]]</f>
        <v>-0.14013820199519578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0.47953275754432056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0.66987960668864954</v>
      </c>
      <c r="H675" t="s">
        <v>12</v>
      </c>
      <c r="I675">
        <f>VLOOKUP(Table4[[#This Row],[Visitor]],'NHL Model'!$A$6:$B$38,2,FALSE)</f>
        <v>1.6584974384060074</v>
      </c>
      <c r="J675">
        <f>($B$1+Table4[[#This Row],[Home Differential]])-Table4[[#This Row],[Away Differential]]</f>
        <v>-0.94033657842870644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0.60706982907550011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-8.5089305365893694E-2</v>
      </c>
      <c r="H676" t="s">
        <v>11</v>
      </c>
      <c r="I676">
        <f>VLOOKUP(Table4[[#This Row],[Visitor]],'NHL Model'!$A$6:$B$38,2,FALSE)</f>
        <v>-0.3510442662416135</v>
      </c>
      <c r="J676">
        <f>($B$1+Table4[[#This Row],[Home Differential]])-Table4[[#This Row],[Away Differential]]</f>
        <v>0.3142362141643712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0.57577997337520603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-3.3785654828041967E-2</v>
      </c>
      <c r="H677" t="s">
        <v>20</v>
      </c>
      <c r="I677">
        <f>VLOOKUP(Table4[[#This Row],[Visitor]],'NHL Model'!$A$6:$B$38,2,FALSE)</f>
        <v>9.2938870272174581E-2</v>
      </c>
      <c r="J677">
        <f>($B$1+Table4[[#This Row],[Home Differential]])-Table4[[#This Row],[Away Differential]]</f>
        <v>-7.8443271811565143E-2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0.470470271592072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2.5996227684575345E-2</v>
      </c>
      <c r="H678" t="s">
        <v>35</v>
      </c>
      <c r="I678">
        <f>VLOOKUP(Table4[[#This Row],[Visitor]],'NHL Model'!$A$6:$B$38,2,FALSE)</f>
        <v>-1.1754320402170535</v>
      </c>
      <c r="J678">
        <f>($B$1+Table4[[#This Row],[Home Differential]])-Table4[[#This Row],[Away Differential]]</f>
        <v>1.2497095211902802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0.68229605430372309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-0.19390166761644689</v>
      </c>
      <c r="H679" t="s">
        <v>33</v>
      </c>
      <c r="I679">
        <f>VLOOKUP(Table4[[#This Row],[Visitor]],'NHL Model'!$A$6:$B$38,2,FALSE)</f>
        <v>-0.47218252282767964</v>
      </c>
      <c r="J679">
        <f>($B$1+Table4[[#This Row],[Home Differential]])-Table4[[#This Row],[Away Differential]]</f>
        <v>0.32656210849988415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0.57718344042092207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-0.36560113761686208</v>
      </c>
      <c r="H680" t="s">
        <v>16</v>
      </c>
      <c r="I680">
        <f>VLOOKUP(Table4[[#This Row],[Visitor]],'NHL Model'!$A$6:$B$38,2,FALSE)</f>
        <v>-0.81412334763558081</v>
      </c>
      <c r="J680">
        <f>($B$1+Table4[[#This Row],[Home Differential]])-Table4[[#This Row],[Away Differential]]</f>
        <v>0.49680346330737013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0.59656768344513522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0.15493687588867713</v>
      </c>
      <c r="H681" t="s">
        <v>36</v>
      </c>
      <c r="I681">
        <f>VLOOKUP(Table4[[#This Row],[Visitor]],'NHL Model'!$A$6:$B$38,2,FALSE)</f>
        <v>-0.23108682001987857</v>
      </c>
      <c r="J681">
        <f>($B$1+Table4[[#This Row],[Home Differential]])-Table4[[#This Row],[Away Differential]]</f>
        <v>0.43430494919720708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0.62637447309750982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0.84902697115371384</v>
      </c>
      <c r="H682" t="s">
        <v>39</v>
      </c>
      <c r="I682">
        <f>VLOOKUP(Table4[[#This Row],[Visitor]],'NHL Model'!$A$6:$B$38,2,FALSE)</f>
        <v>0.7564009584796878</v>
      </c>
      <c r="J682">
        <f>($B$1+Table4[[#This Row],[Home Differential]])-Table4[[#This Row],[Away Differential]]</f>
        <v>0.14090726596267744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0.48972837729405977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2.6215642141022087E-2</v>
      </c>
      <c r="H683" t="s">
        <v>16</v>
      </c>
      <c r="I683">
        <f>VLOOKUP(Table4[[#This Row],[Visitor]],'NHL Model'!$A$6:$B$38,2,FALSE)</f>
        <v>-0.81412334763558081</v>
      </c>
      <c r="J683">
        <f>($B$1+Table4[[#This Row],[Home Differential]])-Table4[[#This Row],[Away Differential]]</f>
        <v>0.88862024306525433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0.69289721262550941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0.47905090860407873</v>
      </c>
      <c r="H684" t="s">
        <v>31</v>
      </c>
      <c r="I684">
        <f>VLOOKUP(Table4[[#This Row],[Visitor]],'NHL Model'!$A$6:$B$38,2,FALSE)</f>
        <v>0.17827516980235869</v>
      </c>
      <c r="J684">
        <f>($B$1+Table4[[#This Row],[Home Differential]])-Table4[[#This Row],[Away Differential]]</f>
        <v>0.34905699209037144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0.59146892010591801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1.6584974384060074</v>
      </c>
      <c r="H685" t="s">
        <v>36</v>
      </c>
      <c r="I685">
        <f>VLOOKUP(Table4[[#This Row],[Visitor]],'NHL Model'!$A$6:$B$38,2,FALSE)</f>
        <v>-0.23108682001987857</v>
      </c>
      <c r="J685">
        <f>($B$1+Table4[[#This Row],[Home Differential]])-Table4[[#This Row],[Away Differential]]</f>
        <v>1.9378655117145374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0.86518301860107971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-0.60099633616081094</v>
      </c>
      <c r="H686" t="s">
        <v>38</v>
      </c>
      <c r="I686">
        <f>VLOOKUP(Table4[[#This Row],[Visitor]],'NHL Model'!$A$6:$B$38,2,FALSE)</f>
        <v>-0.77107712767799974</v>
      </c>
      <c r="J686">
        <f>($B$1+Table4[[#This Row],[Home Differential]])-Table4[[#This Row],[Away Differential]]</f>
        <v>0.21836204480584021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0.57498567313539251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-0.36560113761686208</v>
      </c>
      <c r="H687" t="s">
        <v>11</v>
      </c>
      <c r="I687">
        <f>VLOOKUP(Table4[[#This Row],[Visitor]],'NHL Model'!$A$6:$B$38,2,FALSE)</f>
        <v>-0.3510442662416135</v>
      </c>
      <c r="J687">
        <f>($B$1+Table4[[#This Row],[Home Differential]])-Table4[[#This Row],[Away Differential]]</f>
        <v>3.3724381913402823E-2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0.54383996952790958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-0.90025837753161619</v>
      </c>
      <c r="H688" t="s">
        <v>30</v>
      </c>
      <c r="I688">
        <f>VLOOKUP(Table4[[#This Row],[Visitor]],'NHL Model'!$A$6:$B$38,2,FALSE)</f>
        <v>0.24561340747691926</v>
      </c>
      <c r="J688">
        <f>($B$1+Table4[[#This Row],[Home Differential]])-Table4[[#This Row],[Away Differential]]</f>
        <v>-1.097590531719884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0.65759845276906193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9.0184826596604858E-2</v>
      </c>
      <c r="H689" t="s">
        <v>23</v>
      </c>
      <c r="I689">
        <f>VLOOKUP(Table4[[#This Row],[Visitor]],'NHL Model'!$A$6:$B$38,2,FALSE)</f>
        <v>-0.40965500817719275</v>
      </c>
      <c r="J689">
        <f>($B$1+Table4[[#This Row],[Home Differential]])-Table4[[#This Row],[Away Differential]]</f>
        <v>0.54812108806244897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0.60241087771953883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-2.8950318025217449E-2</v>
      </c>
      <c r="H690" t="s">
        <v>19</v>
      </c>
      <c r="I690">
        <f>VLOOKUP(Table4[[#This Row],[Visitor]],'NHL Model'!$A$6:$B$38,2,FALSE)</f>
        <v>-8.5089305365893694E-2</v>
      </c>
      <c r="J690">
        <f>($B$1+Table4[[#This Row],[Home Differential]])-Table4[[#This Row],[Away Differential]]</f>
        <v>0.10442024062932764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0.57792736938313305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0.17535803439735015</v>
      </c>
      <c r="H691" t="s">
        <v>24</v>
      </c>
      <c r="I691">
        <f>VLOOKUP(Table4[[#This Row],[Visitor]],'NHL Model'!$A$6:$B$38,2,FALSE)</f>
        <v>-2.8342943575894393E-4</v>
      </c>
      <c r="J691">
        <f>($B$1+Table4[[#This Row],[Home Differential]])-Table4[[#This Row],[Away Differential]]</f>
        <v>0.22392271712176048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0.54472734949611534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-0.56616527987265597</v>
      </c>
      <c r="H692" t="s">
        <v>34</v>
      </c>
      <c r="I692">
        <f>VLOOKUP(Table4[[#This Row],[Visitor]],'NHL Model'!$A$6:$B$38,2,FALSE)</f>
        <v>5.1566962112876508E-2</v>
      </c>
      <c r="J692">
        <f>($B$1+Table4[[#This Row],[Home Differential]])-Table4[[#This Row],[Away Differential]]</f>
        <v>-0.56945098869688104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0.56412630390401508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9.2938870272174581E-2</v>
      </c>
      <c r="H693" t="s">
        <v>28</v>
      </c>
      <c r="I693">
        <f>VLOOKUP(Table4[[#This Row],[Visitor]],'NHL Model'!$A$6:$B$38,2,FALSE)</f>
        <v>-0.28376306754383246</v>
      </c>
      <c r="J693">
        <f>($B$1+Table4[[#This Row],[Home Differential]])-Table4[[#This Row],[Away Differential]]</f>
        <v>0.42498319110465843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0.58481383106464024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-3.3785654828041967E-2</v>
      </c>
      <c r="H694" t="s">
        <v>17</v>
      </c>
      <c r="I694">
        <f>VLOOKUP(Table4[[#This Row],[Visitor]],'NHL Model'!$A$6:$B$38,2,FALSE)</f>
        <v>-0.41671190768559452</v>
      </c>
      <c r="J694">
        <f>($B$1+Table4[[#This Row],[Home Differential]])-Table4[[#This Row],[Away Differential]]</f>
        <v>0.43120750614620396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0.60820414238662857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2.5996227684575345E-2</v>
      </c>
      <c r="H695" t="s">
        <v>22</v>
      </c>
      <c r="I695">
        <f>VLOOKUP(Table4[[#This Row],[Visitor]],'NHL Model'!$A$6:$B$38,2,FALSE)</f>
        <v>0.84902697115371384</v>
      </c>
      <c r="J695">
        <f>($B$1+Table4[[#This Row],[Home Differential]])-Table4[[#This Row],[Away Differential]]</f>
        <v>-0.77474949018048711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0.60235435369709034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0.15493687588867713</v>
      </c>
      <c r="H696" t="s">
        <v>35</v>
      </c>
      <c r="I696">
        <f>VLOOKUP(Table4[[#This Row],[Visitor]],'NHL Model'!$A$6:$B$38,2,FALSE)</f>
        <v>-1.1754320402170535</v>
      </c>
      <c r="J696">
        <f>($B$1+Table4[[#This Row],[Home Differential]])-Table4[[#This Row],[Away Differential]]</f>
        <v>1.378650169394382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0.73740883988971806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-3.3785654828041967E-2</v>
      </c>
      <c r="H697" t="s">
        <v>13</v>
      </c>
      <c r="I697">
        <f>VLOOKUP(Table4[[#This Row],[Visitor]],'NHL Model'!$A$6:$B$38,2,FALSE)</f>
        <v>-0.19390166761644689</v>
      </c>
      <c r="J697">
        <f>($B$1+Table4[[#This Row],[Home Differential]])-Table4[[#This Row],[Away Differential]]</f>
        <v>0.20839726607705633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0.51668654760235699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2.6215642141022087E-2</v>
      </c>
      <c r="H698" t="s">
        <v>15</v>
      </c>
      <c r="I698">
        <f>VLOOKUP(Table4[[#This Row],[Visitor]],'NHL Model'!$A$6:$B$38,2,FALSE)</f>
        <v>9.0184826596604858E-2</v>
      </c>
      <c r="J698">
        <f>($B$1+Table4[[#This Row],[Home Differential]])-Table4[[#This Row],[Away Differential]]</f>
        <v>-1.568793116693136E-2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0.51607199395102132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-0.40965500817719275</v>
      </c>
      <c r="H699" t="s">
        <v>31</v>
      </c>
      <c r="I699">
        <f>VLOOKUP(Table4[[#This Row],[Visitor]],'NHL Model'!$A$6:$B$38,2,FALSE)</f>
        <v>0.17827516980235869</v>
      </c>
      <c r="J699">
        <f>($B$1+Table4[[#This Row],[Home Differential]])-Table4[[#This Row],[Away Differential]]</f>
        <v>-0.53964892469089998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0.53203444450569815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0.47905090860407873</v>
      </c>
      <c r="H700" t="s">
        <v>32</v>
      </c>
      <c r="I700">
        <f>VLOOKUP(Table4[[#This Row],[Visitor]],'NHL Model'!$A$6:$B$38,2,FALSE)</f>
        <v>-0.56616527987265597</v>
      </c>
      <c r="J700">
        <f>($B$1+Table4[[#This Row],[Home Differential]])-Table4[[#This Row],[Away Differential]]</f>
        <v>1.0934974417653862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0.69675529672639824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1.6584974384060074</v>
      </c>
      <c r="H701" t="s">
        <v>28</v>
      </c>
      <c r="I701">
        <f>VLOOKUP(Table4[[#This Row],[Visitor]],'NHL Model'!$A$6:$B$38,2,FALSE)</f>
        <v>-0.28376306754383246</v>
      </c>
      <c r="J701">
        <f>($B$1+Table4[[#This Row],[Home Differential]])-Table4[[#This Row],[Away Differential]]</f>
        <v>1.9905417592384913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0.87118091015194643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-0.41671190768559452</v>
      </c>
      <c r="H702" t="s">
        <v>13</v>
      </c>
      <c r="I702">
        <f>VLOOKUP(Table4[[#This Row],[Visitor]],'NHL Model'!$A$6:$B$38,2,FALSE)</f>
        <v>-0.19390166761644689</v>
      </c>
      <c r="J702">
        <f>($B$1+Table4[[#This Row],[Home Differential]])-Table4[[#This Row],[Away Differential]]</f>
        <v>-0.17452898678049622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0.54368197077370906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5.1566962112876508E-2</v>
      </c>
      <c r="H703" t="s">
        <v>30</v>
      </c>
      <c r="I703">
        <f>VLOOKUP(Table4[[#This Row],[Visitor]],'NHL Model'!$A$6:$B$38,2,FALSE)</f>
        <v>0.24561340747691926</v>
      </c>
      <c r="J703">
        <f>($B$1+Table4[[#This Row],[Home Differential]])-Table4[[#This Row],[Away Differential]]</f>
        <v>-0.14576519207539135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0.54922047539019703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-0.36560113761686208</v>
      </c>
      <c r="H704" t="s">
        <v>26</v>
      </c>
      <c r="I704">
        <f>VLOOKUP(Table4[[#This Row],[Visitor]],'NHL Model'!$A$6:$B$38,2,FALSE)</f>
        <v>-0.60099633616081094</v>
      </c>
      <c r="J704">
        <f>($B$1+Table4[[#This Row],[Home Differential]])-Table4[[#This Row],[Away Differential]]</f>
        <v>0.28367645183260026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0.57230033788668966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-0.90025837753161619</v>
      </c>
      <c r="H705" t="s">
        <v>10</v>
      </c>
      <c r="I705">
        <f>VLOOKUP(Table4[[#This Row],[Visitor]],'NHL Model'!$A$6:$B$38,2,FALSE)</f>
        <v>2.5996227684575345E-2</v>
      </c>
      <c r="J705">
        <f>($B$1+Table4[[#This Row],[Home Differential]])-Table4[[#This Row],[Away Differential]]</f>
        <v>-0.87797335192754011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0.56079843918641736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-0.23108682001987857</v>
      </c>
      <c r="H706" t="s">
        <v>11</v>
      </c>
      <c r="I706">
        <f>VLOOKUP(Table4[[#This Row],[Visitor]],'NHL Model'!$A$6:$B$38,2,FALSE)</f>
        <v>-0.3510442662416135</v>
      </c>
      <c r="J706">
        <f>($B$1+Table4[[#This Row],[Home Differential]])-Table4[[#This Row],[Away Differential]]</f>
        <v>0.16823869951038634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0.55915621407662519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-2.8950318025217449E-2</v>
      </c>
      <c r="H707" t="s">
        <v>37</v>
      </c>
      <c r="I707">
        <f>VLOOKUP(Table4[[#This Row],[Visitor]],'NHL Model'!$A$6:$B$38,2,FALSE)</f>
        <v>0.66987960668864954</v>
      </c>
      <c r="J707">
        <f>($B$1+Table4[[#This Row],[Home Differential]])-Table4[[#This Row],[Away Differential]]</f>
        <v>-0.65054867142521555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0.58040273463886194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0.17535803439735015</v>
      </c>
      <c r="H708" t="s">
        <v>16</v>
      </c>
      <c r="I708">
        <f>VLOOKUP(Table4[[#This Row],[Visitor]],'NHL Model'!$A$6:$B$38,2,FALSE)</f>
        <v>-0.81412334763558081</v>
      </c>
      <c r="J708">
        <f>($B$1+Table4[[#This Row],[Home Differential]])-Table4[[#This Row],[Away Differential]]</f>
        <v>1.0377626353215823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0.65816308174514626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-0.47218252282767964</v>
      </c>
      <c r="H709" t="s">
        <v>39</v>
      </c>
      <c r="I709">
        <f>VLOOKUP(Table4[[#This Row],[Visitor]],'NHL Model'!$A$6:$B$38,2,FALSE)</f>
        <v>0.7564009584796878</v>
      </c>
      <c r="J709">
        <f>($B$1+Table4[[#This Row],[Home Differential]])-Table4[[#This Row],[Away Differential]]</f>
        <v>-1.1803022280187161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0.68687929847231666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-8.5089305365893694E-2</v>
      </c>
      <c r="H710" t="s">
        <v>38</v>
      </c>
      <c r="I710">
        <f>VLOOKUP(Table4[[#This Row],[Visitor]],'NHL Model'!$A$6:$B$38,2,FALSE)</f>
        <v>-0.77107712767799974</v>
      </c>
      <c r="J710">
        <f>($B$1+Table4[[#This Row],[Home Differential]])-Table4[[#This Row],[Away Differential]]</f>
        <v>0.73426907560075749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0.62360630249157023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9.2938870272174581E-2</v>
      </c>
      <c r="H711" t="s">
        <v>35</v>
      </c>
      <c r="I711">
        <f>VLOOKUP(Table4[[#This Row],[Visitor]],'NHL Model'!$A$6:$B$38,2,FALSE)</f>
        <v>-1.1754320402170535</v>
      </c>
      <c r="J711">
        <f>($B$1+Table4[[#This Row],[Home Differential]])-Table4[[#This Row],[Away Differential]]</f>
        <v>1.3166521637778794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0.68991836472335333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2.6215642141022087E-2</v>
      </c>
      <c r="H712" t="s">
        <v>14</v>
      </c>
      <c r="I712">
        <f>VLOOKUP(Table4[[#This Row],[Visitor]],'NHL Model'!$A$6:$B$38,2,FALSE)</f>
        <v>0.17535803439735015</v>
      </c>
      <c r="J712">
        <f>($B$1+Table4[[#This Row],[Home Differential]])-Table4[[#This Row],[Away Differential]]</f>
        <v>-0.10086113896767665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0.47302284400040373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-0.90025837753161619</v>
      </c>
      <c r="H713" t="s">
        <v>22</v>
      </c>
      <c r="I713">
        <f>VLOOKUP(Table4[[#This Row],[Visitor]],'NHL Model'!$A$6:$B$38,2,FALSE)</f>
        <v>0.84902697115371384</v>
      </c>
      <c r="J713">
        <f>($B$1+Table4[[#This Row],[Home Differential]])-Table4[[#This Row],[Away Differential]]</f>
        <v>-1.7010040953966787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0.70782076278500561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-0.47218252282767964</v>
      </c>
      <c r="H714" t="s">
        <v>20</v>
      </c>
      <c r="I714">
        <f>VLOOKUP(Table4[[#This Row],[Visitor]],'NHL Model'!$A$6:$B$38,2,FALSE)</f>
        <v>9.2938870272174581E-2</v>
      </c>
      <c r="J714">
        <f>($B$1+Table4[[#This Row],[Home Differential]])-Table4[[#This Row],[Away Differential]]</f>
        <v>-0.5168401398112028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0.53961835638913624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0.15493687588867713</v>
      </c>
      <c r="H715" t="s">
        <v>28</v>
      </c>
      <c r="I715">
        <f>VLOOKUP(Table4[[#This Row],[Visitor]],'NHL Model'!$A$6:$B$38,2,FALSE)</f>
        <v>-0.28376306754383246</v>
      </c>
      <c r="J715">
        <f>($B$1+Table4[[#This Row],[Home Differential]])-Table4[[#This Row],[Away Differential]]</f>
        <v>0.48698119672116102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0.63237236464837654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-3.3785654828041967E-2</v>
      </c>
      <c r="H716" t="s">
        <v>24</v>
      </c>
      <c r="I716">
        <f>VLOOKUP(Table4[[#This Row],[Visitor]],'NHL Model'!$A$6:$B$38,2,FALSE)</f>
        <v>-2.8342943575894393E-4</v>
      </c>
      <c r="J716">
        <f>($B$1+Table4[[#This Row],[Home Differential]])-Table4[[#This Row],[Away Differential]]</f>
        <v>1.4779027896368382E-2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0.54014432739803853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-0.40965500817719275</v>
      </c>
      <c r="H717" t="s">
        <v>11</v>
      </c>
      <c r="I717">
        <f>VLOOKUP(Table4[[#This Row],[Visitor]],'NHL Model'!$A$6:$B$38,2,FALSE)</f>
        <v>-0.3510442662416135</v>
      </c>
      <c r="J717">
        <f>($B$1+Table4[[#This Row],[Home Differential]])-Table4[[#This Row],[Away Differential]]</f>
        <v>-1.0329488646927842E-2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0.45105390031044507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2.5996227684575345E-2</v>
      </c>
      <c r="H718" t="s">
        <v>17</v>
      </c>
      <c r="I718">
        <f>VLOOKUP(Table4[[#This Row],[Visitor]],'NHL Model'!$A$6:$B$38,2,FALSE)</f>
        <v>-0.41671190768559452</v>
      </c>
      <c r="J718">
        <f>($B$1+Table4[[#This Row],[Home Differential]])-Table4[[#This Row],[Away Differential]]</f>
        <v>0.49098938865882125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0.59590567369976022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1.6584974384060074</v>
      </c>
      <c r="H719" t="s">
        <v>19</v>
      </c>
      <c r="I719">
        <f>VLOOKUP(Table4[[#This Row],[Visitor]],'NHL Model'!$A$6:$B$38,2,FALSE)</f>
        <v>-8.5089305365893694E-2</v>
      </c>
      <c r="J719">
        <f>($B$1+Table4[[#This Row],[Home Differential]])-Table4[[#This Row],[Away Differential]]</f>
        <v>1.7918679970605524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0.85184897514466595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-0.60099633616081094</v>
      </c>
      <c r="H720" t="s">
        <v>25</v>
      </c>
      <c r="I720">
        <f>VLOOKUP(Table4[[#This Row],[Visitor]],'NHL Model'!$A$6:$B$38,2,FALSE)</f>
        <v>0.47905090860407873</v>
      </c>
      <c r="J720">
        <f>($B$1+Table4[[#This Row],[Home Differential]])-Table4[[#This Row],[Away Differential]]</f>
        <v>-1.0317659914762383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0.63992926365977199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-0.19390166761644689</v>
      </c>
      <c r="H721" t="s">
        <v>39</v>
      </c>
      <c r="I721">
        <f>VLOOKUP(Table4[[#This Row],[Visitor]],'NHL Model'!$A$6:$B$38,2,FALSE)</f>
        <v>0.7564009584796878</v>
      </c>
      <c r="J721">
        <f>($B$1+Table4[[#This Row],[Home Differential]])-Table4[[#This Row],[Away Differential]]</f>
        <v>-0.90202137280748329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0.65519332104045003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5.1566962112876508E-2</v>
      </c>
      <c r="H722" t="s">
        <v>24</v>
      </c>
      <c r="I722">
        <f>VLOOKUP(Table4[[#This Row],[Visitor]],'NHL Model'!$A$6:$B$38,2,FALSE)</f>
        <v>-2.8342943575894393E-4</v>
      </c>
      <c r="J722">
        <f>($B$1+Table4[[#This Row],[Home Differential]])-Table4[[#This Row],[Away Differential]]</f>
        <v>0.10013164483728686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0.53063208908125492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-0.36560113761686208</v>
      </c>
      <c r="H723" t="s">
        <v>38</v>
      </c>
      <c r="I723">
        <f>VLOOKUP(Table4[[#This Row],[Visitor]],'NHL Model'!$A$6:$B$38,2,FALSE)</f>
        <v>-0.77107712767799974</v>
      </c>
      <c r="J723">
        <f>($B$1+Table4[[#This Row],[Home Differential]])-Table4[[#This Row],[Away Differential]]</f>
        <v>0.45375724334978906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0.59166629864427367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9.0184826596604858E-2</v>
      </c>
      <c r="H724" t="s">
        <v>32</v>
      </c>
      <c r="I724">
        <f>VLOOKUP(Table4[[#This Row],[Visitor]],'NHL Model'!$A$6:$B$38,2,FALSE)</f>
        <v>-0.56616527987265597</v>
      </c>
      <c r="J724">
        <f>($B$1+Table4[[#This Row],[Home Differential]])-Table4[[#This Row],[Away Differential]]</f>
        <v>0.70463135975791225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0.62023165426212001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-2.8950318025217449E-2</v>
      </c>
      <c r="H725" t="s">
        <v>37</v>
      </c>
      <c r="I725">
        <f>VLOOKUP(Table4[[#This Row],[Visitor]],'NHL Model'!$A$6:$B$38,2,FALSE)</f>
        <v>0.66987960668864954</v>
      </c>
      <c r="J725">
        <f>($B$1+Table4[[#This Row],[Home Differential]])-Table4[[#This Row],[Away Differential]]</f>
        <v>-0.65054867142521555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0.58040273463886194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0.17827516980235869</v>
      </c>
      <c r="H726" t="s">
        <v>39</v>
      </c>
      <c r="I726">
        <f>VLOOKUP(Table4[[#This Row],[Visitor]],'NHL Model'!$A$6:$B$38,2,FALSE)</f>
        <v>0.7564009584796878</v>
      </c>
      <c r="J726">
        <f>($B$1+Table4[[#This Row],[Home Differential]])-Table4[[#This Row],[Away Differential]]</f>
        <v>-0.52984453538867771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0.54308846974800973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2.6215642141022087E-2</v>
      </c>
      <c r="H727" t="s">
        <v>26</v>
      </c>
      <c r="I727">
        <f>VLOOKUP(Table4[[#This Row],[Visitor]],'NHL Model'!$A$6:$B$38,2,FALSE)</f>
        <v>-0.60099633616081094</v>
      </c>
      <c r="J727">
        <f>($B$1+Table4[[#This Row],[Home Differential]])-Table4[[#This Row],[Away Differential]]</f>
        <v>0.67549323159048447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0.66862986706706384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-0.28376306754383246</v>
      </c>
      <c r="H728" t="s">
        <v>16</v>
      </c>
      <c r="I728">
        <f>VLOOKUP(Table4[[#This Row],[Visitor]],'NHL Model'!$A$6:$B$38,2,FALSE)</f>
        <v>-0.81412334763558081</v>
      </c>
      <c r="J728">
        <f>($B$1+Table4[[#This Row],[Home Differential]])-Table4[[#This Row],[Away Differential]]</f>
        <v>0.57864153338039981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0.60588603644298411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-0.90025837753161619</v>
      </c>
      <c r="H729" t="s">
        <v>17</v>
      </c>
      <c r="I729">
        <f>VLOOKUP(Table4[[#This Row],[Visitor]],'NHL Model'!$A$6:$B$38,2,FALSE)</f>
        <v>-0.41671190768559452</v>
      </c>
      <c r="J729">
        <f>($B$1+Table4[[#This Row],[Home Differential]])-Table4[[#This Row],[Away Differential]]</f>
        <v>-0.43526521655737027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0.50956073538815505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-0.23108682001987857</v>
      </c>
      <c r="H730" t="s">
        <v>38</v>
      </c>
      <c r="I730">
        <f>VLOOKUP(Table4[[#This Row],[Visitor]],'NHL Model'!$A$6:$B$38,2,FALSE)</f>
        <v>-0.77107712767799974</v>
      </c>
      <c r="J730">
        <f>($B$1+Table4[[#This Row],[Home Differential]])-Table4[[#This Row],[Away Differential]]</f>
        <v>0.58827156094677258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0.60698254319298928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0.17535803439735015</v>
      </c>
      <c r="H731" t="s">
        <v>37</v>
      </c>
      <c r="I731">
        <f>VLOOKUP(Table4[[#This Row],[Visitor]],'NHL Model'!$A$6:$B$38,2,FALSE)</f>
        <v>0.66987960668864954</v>
      </c>
      <c r="J731">
        <f>($B$1+Table4[[#This Row],[Home Differential]])-Table4[[#This Row],[Away Differential]]</f>
        <v>-0.44624031900264799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0.58343356591497419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-1.1754320402170535</v>
      </c>
      <c r="H732" t="s">
        <v>25</v>
      </c>
      <c r="I732">
        <f>VLOOKUP(Table4[[#This Row],[Visitor]],'NHL Model'!$A$6:$B$38,2,FALSE)</f>
        <v>0.47905090860407873</v>
      </c>
      <c r="J732">
        <f>($B$1+Table4[[#This Row],[Home Differential]])-Table4[[#This Row],[Away Differential]]</f>
        <v>-1.6062016955324809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0.7155105999986241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0.15493687588867713</v>
      </c>
      <c r="H733" t="s">
        <v>19</v>
      </c>
      <c r="I733">
        <f>VLOOKUP(Table4[[#This Row],[Visitor]],'NHL Model'!$A$6:$B$38,2,FALSE)</f>
        <v>-8.5089305365893694E-2</v>
      </c>
      <c r="J733">
        <f>($B$1+Table4[[#This Row],[Home Differential]])-Table4[[#This Row],[Away Differential]]</f>
        <v>0.28830743454322222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0.61325881432195473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-3.3785654828041967E-2</v>
      </c>
      <c r="H734" t="s">
        <v>30</v>
      </c>
      <c r="I734">
        <f>VLOOKUP(Table4[[#This Row],[Visitor]],'NHL Model'!$A$6:$B$38,2,FALSE)</f>
        <v>0.24561340747691926</v>
      </c>
      <c r="J734">
        <f>($B$1+Table4[[#This Row],[Home Differential]])-Table4[[#This Row],[Away Differential]]</f>
        <v>-0.23111780901630982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0.53968482115354555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0.84902697115371384</v>
      </c>
      <c r="H735" t="s">
        <v>18</v>
      </c>
      <c r="I735">
        <f>VLOOKUP(Table4[[#This Row],[Visitor]],'NHL Model'!$A$6:$B$38,2,FALSE)</f>
        <v>-0.36560113761686208</v>
      </c>
      <c r="J735">
        <f>($B$1+Table4[[#This Row],[Home Differential]])-Table4[[#This Row],[Away Differential]]</f>
        <v>1.2629093620592273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0.650841285309809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-0.40965500817719275</v>
      </c>
      <c r="H736" t="s">
        <v>27</v>
      </c>
      <c r="I736">
        <f>VLOOKUP(Table4[[#This Row],[Visitor]],'NHL Model'!$A$6:$B$38,2,FALSE)</f>
        <v>-2.8950318025217449E-2</v>
      </c>
      <c r="J736">
        <f>($B$1+Table4[[#This Row],[Home Differential]])-Table4[[#This Row],[Away Differential]]</f>
        <v>-0.33242343686332387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0.53015852293806209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-0.19390166761644689</v>
      </c>
      <c r="H737" t="s">
        <v>20</v>
      </c>
      <c r="I737">
        <f>VLOOKUP(Table4[[#This Row],[Visitor]],'NHL Model'!$A$6:$B$38,2,FALSE)</f>
        <v>9.2938870272174581E-2</v>
      </c>
      <c r="J737">
        <f>($B$1+Table4[[#This Row],[Home Differential]])-Table4[[#This Row],[Away Differential]]</f>
        <v>-0.23855928459997006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0.50793237895726961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-2.8342943575894393E-4</v>
      </c>
      <c r="H738" t="s">
        <v>32</v>
      </c>
      <c r="I738">
        <f>VLOOKUP(Table4[[#This Row],[Visitor]],'NHL Model'!$A$6:$B$38,2,FALSE)</f>
        <v>-0.56616527987265597</v>
      </c>
      <c r="J738">
        <f>($B$1+Table4[[#This Row],[Home Differential]])-Table4[[#This Row],[Away Differential]]</f>
        <v>0.61416310372554839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0.65283219418660954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9.0184826596604858E-2</v>
      </c>
      <c r="H739" t="s">
        <v>36</v>
      </c>
      <c r="I739">
        <f>VLOOKUP(Table4[[#This Row],[Visitor]],'NHL Model'!$A$6:$B$38,2,FALSE)</f>
        <v>-0.23108682001987857</v>
      </c>
      <c r="J739">
        <f>($B$1+Table4[[#This Row],[Home Differential]])-Table4[[#This Row],[Away Differential]]</f>
        <v>0.36955289990513485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0.57850235500331826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2.6215642141022087E-2</v>
      </c>
      <c r="H740" t="s">
        <v>32</v>
      </c>
      <c r="I740">
        <f>VLOOKUP(Table4[[#This Row],[Visitor]],'NHL Model'!$A$6:$B$38,2,FALSE)</f>
        <v>-0.56616527987265597</v>
      </c>
      <c r="J740">
        <f>($B$1+Table4[[#This Row],[Home Differential]])-Table4[[#This Row],[Away Differential]]</f>
        <v>0.6406621753023295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0.66466388793911846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-0.40965500817719275</v>
      </c>
      <c r="H741" t="s">
        <v>18</v>
      </c>
      <c r="I741">
        <f>VLOOKUP(Table4[[#This Row],[Visitor]],'NHL Model'!$A$6:$B$38,2,FALSE)</f>
        <v>-0.36560113761686208</v>
      </c>
      <c r="J741">
        <f>($B$1+Table4[[#This Row],[Home Differential]])-Table4[[#This Row],[Away Differential]]</f>
        <v>4.2273827283207388E-3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0.49139043467103866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-0.28376306754383246</v>
      </c>
      <c r="H742" t="s">
        <v>38</v>
      </c>
      <c r="I742">
        <f>VLOOKUP(Table4[[#This Row],[Visitor]],'NHL Model'!$A$6:$B$38,2,FALSE)</f>
        <v>-0.77107712767799974</v>
      </c>
      <c r="J742">
        <f>($B$1+Table4[[#This Row],[Home Differential]])-Table4[[#This Row],[Away Differential]]</f>
        <v>0.53559531342281863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0.60098465164212256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2.5996227684575345E-2</v>
      </c>
      <c r="H743" t="s">
        <v>16</v>
      </c>
      <c r="I743">
        <f>VLOOKUP(Table4[[#This Row],[Visitor]],'NHL Model'!$A$6:$B$38,2,FALSE)</f>
        <v>-0.81412334763558081</v>
      </c>
      <c r="J743">
        <f>($B$1+Table4[[#This Row],[Home Differential]])-Table4[[#This Row],[Away Differential]]</f>
        <v>0.88840082860880754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0.64115625303933599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-0.41671190768559452</v>
      </c>
      <c r="H744" t="s">
        <v>30</v>
      </c>
      <c r="I744">
        <f>VLOOKUP(Table4[[#This Row],[Visitor]],'NHL Model'!$A$6:$B$38,2,FALSE)</f>
        <v>0.24561340747691926</v>
      </c>
      <c r="J744">
        <f>($B$1+Table4[[#This Row],[Home Differential]])-Table4[[#This Row],[Away Differential]]</f>
        <v>-0.6140440618738624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0.6000375672117062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5.1566962112876508E-2</v>
      </c>
      <c r="H745" t="s">
        <v>40</v>
      </c>
      <c r="I745">
        <f>VLOOKUP(Table4[[#This Row],[Visitor]],'NHL Model'!$A$6:$B$38,2,FALSE)</f>
        <v>-3.3785654828041967E-2</v>
      </c>
      <c r="J745">
        <f>($B$1+Table4[[#This Row],[Home Differential]])-Table4[[#This Row],[Away Differential]]</f>
        <v>0.13363387022956988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0.55163983496264357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0.17535803439735015</v>
      </c>
      <c r="H746" t="s">
        <v>27</v>
      </c>
      <c r="I746">
        <f>VLOOKUP(Table4[[#This Row],[Visitor]],'NHL Model'!$A$6:$B$38,2,FALSE)</f>
        <v>-2.8950318025217449E-2</v>
      </c>
      <c r="J746">
        <f>($B$1+Table4[[#This Row],[Home Differential]])-Table4[[#This Row],[Away Differential]]</f>
        <v>0.25258960571121902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0.52624812408267863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0.15493687588867713</v>
      </c>
      <c r="H747" t="s">
        <v>39</v>
      </c>
      <c r="I747">
        <f>VLOOKUP(Table4[[#This Row],[Visitor]],'NHL Model'!$A$6:$B$38,2,FALSE)</f>
        <v>0.7564009584796878</v>
      </c>
      <c r="J747">
        <f>($B$1+Table4[[#This Row],[Home Differential]])-Table4[[#This Row],[Away Differential]]</f>
        <v>-0.55318282930235929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0.57461513127453401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9.2938870272174581E-2</v>
      </c>
      <c r="H748" t="s">
        <v>19</v>
      </c>
      <c r="I748">
        <f>VLOOKUP(Table4[[#This Row],[Visitor]],'NHL Model'!$A$6:$B$38,2,FALSE)</f>
        <v>-8.5089305365893694E-2</v>
      </c>
      <c r="J748">
        <f>($B$1+Table4[[#This Row],[Home Differential]])-Table4[[#This Row],[Away Differential]]</f>
        <v>0.22630942892671968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0.56576833915558999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0.84902697115371384</v>
      </c>
      <c r="H749" t="s">
        <v>33</v>
      </c>
      <c r="I749">
        <f>VLOOKUP(Table4[[#This Row],[Visitor]],'NHL Model'!$A$6:$B$38,2,FALSE)</f>
        <v>-0.47218252282767964</v>
      </c>
      <c r="J749">
        <f>($B$1+Table4[[#This Row],[Home Differential]])-Table4[[#This Row],[Away Differential]]</f>
        <v>1.3694907472700448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0.72197247623286875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0.47905090860407873</v>
      </c>
      <c r="H750" t="s">
        <v>11</v>
      </c>
      <c r="I750">
        <f>VLOOKUP(Table4[[#This Row],[Visitor]],'NHL Model'!$A$6:$B$38,2,FALSE)</f>
        <v>-0.3510442662416135</v>
      </c>
      <c r="J750">
        <f>($B$1+Table4[[#This Row],[Home Differential]])-Table4[[#This Row],[Away Differential]]</f>
        <v>0.87837642813434358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0.67226090749556355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1.6584974384060074</v>
      </c>
      <c r="H751" t="s">
        <v>29</v>
      </c>
      <c r="I751">
        <f>VLOOKUP(Table4[[#This Row],[Visitor]],'NHL Model'!$A$6:$B$38,2,FALSE)</f>
        <v>-0.90025837753161619</v>
      </c>
      <c r="J751">
        <f>($B$1+Table4[[#This Row],[Home Differential]])-Table4[[#This Row],[Away Differential]]</f>
        <v>2.607037069226275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0.94466681848567691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-0.60099633616081094</v>
      </c>
      <c r="H752" t="s">
        <v>33</v>
      </c>
      <c r="I752">
        <f>VLOOKUP(Table4[[#This Row],[Visitor]],'NHL Model'!$A$6:$B$38,2,FALSE)</f>
        <v>-0.47218252282767964</v>
      </c>
      <c r="J752">
        <f>($B$1+Table4[[#This Row],[Home Differential]])-Table4[[#This Row],[Away Differential]]</f>
        <v>-8.0532560044479895E-2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0.45904745392469587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-0.19390166761644689</v>
      </c>
      <c r="H753" t="s">
        <v>31</v>
      </c>
      <c r="I753">
        <f>VLOOKUP(Table4[[#This Row],[Visitor]],'NHL Model'!$A$6:$B$38,2,FALSE)</f>
        <v>0.17827516980235869</v>
      </c>
      <c r="J753">
        <f>($B$1+Table4[[#This Row],[Home Differential]])-Table4[[#This Row],[Away Differential]]</f>
        <v>-0.32389558413015418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0.51764905191696686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-1.1754320402170535</v>
      </c>
      <c r="H754" t="s">
        <v>37</v>
      </c>
      <c r="I754">
        <f>VLOOKUP(Table4[[#This Row],[Visitor]],'NHL Model'!$A$6:$B$38,2,FALSE)</f>
        <v>0.66987960668864954</v>
      </c>
      <c r="J754">
        <f>($B$1+Table4[[#This Row],[Home Differential]])-Table4[[#This Row],[Away Differential]]</f>
        <v>-1.7970303936170517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0.73723898593545201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0.17827516980235869</v>
      </c>
      <c r="H755" t="s">
        <v>13</v>
      </c>
      <c r="I755">
        <f>VLOOKUP(Table4[[#This Row],[Visitor]],'NHL Model'!$A$6:$B$38,2,FALSE)</f>
        <v>-0.19390166761644689</v>
      </c>
      <c r="J755">
        <f>($B$1+Table4[[#This Row],[Home Differential]])-Table4[[#This Row],[Away Differential]]</f>
        <v>0.42045809070745699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0.59135300799541224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-0.40965500817719275</v>
      </c>
      <c r="H756" t="s">
        <v>34</v>
      </c>
      <c r="I756">
        <f>VLOOKUP(Table4[[#This Row],[Visitor]],'NHL Model'!$A$6:$B$38,2,FALSE)</f>
        <v>5.1566962112876508E-2</v>
      </c>
      <c r="J756">
        <f>($B$1+Table4[[#This Row],[Home Differential]])-Table4[[#This Row],[Away Differential]]</f>
        <v>-0.41294071700141788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0.5361017635555172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-0.81412334763558081</v>
      </c>
      <c r="H757" t="s">
        <v>30</v>
      </c>
      <c r="I757">
        <f>VLOOKUP(Table4[[#This Row],[Visitor]],'NHL Model'!$A$6:$B$38,2,FALSE)</f>
        <v>0.24561340747691926</v>
      </c>
      <c r="J757">
        <f>($B$1+Table4[[#This Row],[Home Differential]])-Table4[[#This Row],[Away Differential]]</f>
        <v>-1.0114555018238487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0.64779083373142732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2.5996227684575345E-2</v>
      </c>
      <c r="H758" t="s">
        <v>21</v>
      </c>
      <c r="I758">
        <f>VLOOKUP(Table4[[#This Row],[Visitor]],'NHL Model'!$A$6:$B$38,2,FALSE)</f>
        <v>2.6215642141022087E-2</v>
      </c>
      <c r="J758">
        <f>($B$1+Table4[[#This Row],[Home Differential]])-Table4[[#This Row],[Away Differential]]</f>
        <v>4.8061838832204669E-2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0.54547247973424295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-2.8342943575894393E-4</v>
      </c>
      <c r="H759" t="s">
        <v>25</v>
      </c>
      <c r="I759">
        <f>VLOOKUP(Table4[[#This Row],[Visitor]],'NHL Model'!$A$6:$B$38,2,FALSE)</f>
        <v>0.47905090860407873</v>
      </c>
      <c r="J759">
        <f>($B$1+Table4[[#This Row],[Home Differential]])-Table4[[#This Row],[Away Differential]]</f>
        <v>-0.43105308475118626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0.53816409757889516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-0.23108682001987857</v>
      </c>
      <c r="H760" t="s">
        <v>18</v>
      </c>
      <c r="I760">
        <f>VLOOKUP(Table4[[#This Row],[Visitor]],'NHL Model'!$A$6:$B$38,2,FALSE)</f>
        <v>-0.36560113761686208</v>
      </c>
      <c r="J760">
        <f>($B$1+Table4[[#This Row],[Home Differential]])-Table4[[#This Row],[Away Differential]]</f>
        <v>0.18279557088563492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0.50152587370987778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-2.8950318025217449E-2</v>
      </c>
      <c r="H761" t="s">
        <v>15</v>
      </c>
      <c r="I761">
        <f>VLOOKUP(Table4[[#This Row],[Visitor]],'NHL Model'!$A$6:$B$38,2,FALSE)</f>
        <v>9.0184826596604858E-2</v>
      </c>
      <c r="J761">
        <f>($B$1+Table4[[#This Row],[Home Differential]])-Table4[[#This Row],[Away Differential]]</f>
        <v>-7.085389133317091E-2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0.5486081986625434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0.17535803439735015</v>
      </c>
      <c r="H762" t="s">
        <v>28</v>
      </c>
      <c r="I762">
        <f>VLOOKUP(Table4[[#This Row],[Visitor]],'NHL Model'!$A$6:$B$38,2,FALSE)</f>
        <v>-0.28376306754383246</v>
      </c>
      <c r="J762">
        <f>($B$1+Table4[[#This Row],[Home Differential]])-Table4[[#This Row],[Away Differential]]</f>
        <v>0.50740235522983401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0.59419834935082028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0.15493687588867713</v>
      </c>
      <c r="H763" t="s">
        <v>32</v>
      </c>
      <c r="I763">
        <f>VLOOKUP(Table4[[#This Row],[Visitor]],'NHL Model'!$A$6:$B$38,2,FALSE)</f>
        <v>-0.56616527987265597</v>
      </c>
      <c r="J763">
        <f>($B$1+Table4[[#This Row],[Home Differential]])-Table4[[#This Row],[Away Differential]]</f>
        <v>0.76938340904998448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0.66803571393894001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-0.77107712767799974</v>
      </c>
      <c r="H764" t="s">
        <v>17</v>
      </c>
      <c r="I764">
        <f>VLOOKUP(Table4[[#This Row],[Visitor]],'NHL Model'!$A$6:$B$38,2,FALSE)</f>
        <v>-0.41671190768559452</v>
      </c>
      <c r="J764">
        <f>($B$1+Table4[[#This Row],[Home Differential]])-Table4[[#This Row],[Away Differential]]</f>
        <v>-0.30608396670375382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0.49485173154965884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9.2938870272174581E-2</v>
      </c>
      <c r="H765" t="s">
        <v>29</v>
      </c>
      <c r="I765">
        <f>VLOOKUP(Table4[[#This Row],[Visitor]],'NHL Model'!$A$6:$B$38,2,FALSE)</f>
        <v>-0.90025837753161619</v>
      </c>
      <c r="J765">
        <f>($B$1+Table4[[#This Row],[Home Differential]])-Table4[[#This Row],[Away Differential]]</f>
        <v>1.0414785010924421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0.65858618249660084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-3.3785654828041967E-2</v>
      </c>
      <c r="H766" t="s">
        <v>19</v>
      </c>
      <c r="I766">
        <f>VLOOKUP(Table4[[#This Row],[Visitor]],'NHL Model'!$A$6:$B$38,2,FALSE)</f>
        <v>-8.5089305365893694E-2</v>
      </c>
      <c r="J766">
        <f>($B$1+Table4[[#This Row],[Home Differential]])-Table4[[#This Row],[Away Differential]]</f>
        <v>9.9584903826503132E-2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0.57044449742282799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0.84902697115371384</v>
      </c>
      <c r="H767" t="s">
        <v>11</v>
      </c>
      <c r="I767">
        <f>VLOOKUP(Table4[[#This Row],[Visitor]],'NHL Model'!$A$6:$B$38,2,FALSE)</f>
        <v>-0.3510442662416135</v>
      </c>
      <c r="J767">
        <f>($B$1+Table4[[#This Row],[Home Differential]])-Table4[[#This Row],[Away Differential]]</f>
        <v>1.2483524906839787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0.70817927417659299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0.7564009584796878</v>
      </c>
      <c r="H768" t="s">
        <v>37</v>
      </c>
      <c r="I768">
        <f>VLOOKUP(Table4[[#This Row],[Visitor]],'NHL Model'!$A$6:$B$38,2,FALSE)</f>
        <v>0.66987960668864954</v>
      </c>
      <c r="J768">
        <f>($B$1+Table4[[#This Row],[Home Differential]])-Table4[[#This Row],[Away Differential]]</f>
        <v>0.13480260507968966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0.52626610048149502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-0.60099633616081094</v>
      </c>
      <c r="H769" t="s">
        <v>36</v>
      </c>
      <c r="I769">
        <f>VLOOKUP(Table4[[#This Row],[Visitor]],'NHL Model'!$A$6:$B$38,2,FALSE)</f>
        <v>-0.23108682001987857</v>
      </c>
      <c r="J769">
        <f>($B$1+Table4[[#This Row],[Home Differential]])-Table4[[#This Row],[Away Differential]]</f>
        <v>-0.32162826285228097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0.49006295200385303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-0.41671190768559452</v>
      </c>
      <c r="H770" t="s">
        <v>35</v>
      </c>
      <c r="I770">
        <f>VLOOKUP(Table4[[#This Row],[Visitor]],'NHL Model'!$A$6:$B$38,2,FALSE)</f>
        <v>-1.1754320402170535</v>
      </c>
      <c r="J770">
        <f>($B$1+Table4[[#This Row],[Home Differential]])-Table4[[#This Row],[Away Differential]]</f>
        <v>0.80700138582011038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0.63438332279735821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0.17827516980235869</v>
      </c>
      <c r="H771" t="s">
        <v>15</v>
      </c>
      <c r="I771">
        <f>VLOOKUP(Table4[[#This Row],[Visitor]],'NHL Model'!$A$6:$B$38,2,FALSE)</f>
        <v>9.0184826596604858E-2</v>
      </c>
      <c r="J771">
        <f>($B$1+Table4[[#This Row],[Home Differential]])-Table4[[#This Row],[Away Differential]]</f>
        <v>0.13637159649440522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0.51848630034086474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0.47905090860407873</v>
      </c>
      <c r="H772" t="s">
        <v>23</v>
      </c>
      <c r="I772">
        <f>VLOOKUP(Table4[[#This Row],[Visitor]],'NHL Model'!$A$6:$B$38,2,FALSE)</f>
        <v>-0.40965500817719275</v>
      </c>
      <c r="J772">
        <f>($B$1+Table4[[#This Row],[Home Differential]])-Table4[[#This Row],[Away Differential]]</f>
        <v>0.93698717006992283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0.67893452018381706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-0.81412334763558081</v>
      </c>
      <c r="H773" t="s">
        <v>24</v>
      </c>
      <c r="I773">
        <f>VLOOKUP(Table4[[#This Row],[Visitor]],'NHL Model'!$A$6:$B$38,2,FALSE)</f>
        <v>-2.8342943575894393E-4</v>
      </c>
      <c r="J773">
        <f>($B$1+Table4[[#This Row],[Home Differential]])-Table4[[#This Row],[Away Differential]]</f>
        <v>-0.76555866491117042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0.56793826925997537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2.5996227684575345E-2</v>
      </c>
      <c r="H774" t="s">
        <v>40</v>
      </c>
      <c r="I774">
        <f>VLOOKUP(Table4[[#This Row],[Visitor]],'NHL Model'!$A$6:$B$38,2,FALSE)</f>
        <v>-3.3785654828041967E-2</v>
      </c>
      <c r="J774">
        <f>($B$1+Table4[[#This Row],[Home Differential]])-Table4[[#This Row],[Away Differential]]</f>
        <v>0.10806313580126872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0.54872826667169383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1.6584974384060074</v>
      </c>
      <c r="H775" t="s">
        <v>22</v>
      </c>
      <c r="I775">
        <f>VLOOKUP(Table4[[#This Row],[Visitor]],'NHL Model'!$A$6:$B$38,2,FALSE)</f>
        <v>0.84902697115371384</v>
      </c>
      <c r="J775">
        <f>($B$1+Table4[[#This Row],[Home Differential]])-Table4[[#This Row],[Away Differential]]</f>
        <v>0.85775172054094495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0.69456566915637008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-0.3510442662416135</v>
      </c>
      <c r="H776" t="s">
        <v>33</v>
      </c>
      <c r="I776">
        <f>VLOOKUP(Table4[[#This Row],[Visitor]],'NHL Model'!$A$6:$B$38,2,FALSE)</f>
        <v>-0.47218252282767964</v>
      </c>
      <c r="J776">
        <f>($B$1+Table4[[#This Row],[Home Differential]])-Table4[[#This Row],[Away Differential]]</f>
        <v>0.16941950987471754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0.5592906650453312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-0.56616527987265597</v>
      </c>
      <c r="H777" t="s">
        <v>14</v>
      </c>
      <c r="I777">
        <f>VLOOKUP(Table4[[#This Row],[Visitor]],'NHL Model'!$A$6:$B$38,2,FALSE)</f>
        <v>0.17535803439735015</v>
      </c>
      <c r="J777">
        <f>($B$1+Table4[[#This Row],[Home Differential]])-Table4[[#This Row],[Away Differential]]</f>
        <v>-0.69324206098135477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0.59307364856136413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-8.5089305365893694E-2</v>
      </c>
      <c r="H778" t="s">
        <v>34</v>
      </c>
      <c r="I778">
        <f>VLOOKUP(Table4[[#This Row],[Visitor]],'NHL Model'!$A$6:$B$38,2,FALSE)</f>
        <v>5.1566962112876508E-2</v>
      </c>
      <c r="J778">
        <f>($B$1+Table4[[#This Row],[Home Differential]])-Table4[[#This Row],[Away Differential]]</f>
        <v>-8.8375014190118797E-2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0.50934940428702979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-0.77107712767799974</v>
      </c>
      <c r="H779" t="s">
        <v>30</v>
      </c>
      <c r="I779">
        <f>VLOOKUP(Table4[[#This Row],[Visitor]],'NHL Model'!$A$6:$B$38,2,FALSE)</f>
        <v>0.24561340747691926</v>
      </c>
      <c r="J779">
        <f>($B$1+Table4[[#This Row],[Home Differential]])-Table4[[#This Row],[Away Differential]]</f>
        <v>-0.96840928186626762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0.64288944893056577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9.2938870272174581E-2</v>
      </c>
      <c r="H780" t="s">
        <v>27</v>
      </c>
      <c r="I780">
        <f>VLOOKUP(Table4[[#This Row],[Visitor]],'NHL Model'!$A$6:$B$38,2,FALSE)</f>
        <v>-2.8950318025217449E-2</v>
      </c>
      <c r="J780">
        <f>($B$1+Table4[[#This Row],[Home Differential]])-Table4[[#This Row],[Away Differential]]</f>
        <v>0.17017044158604341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0.51686360579649859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-0.28376306754383246</v>
      </c>
      <c r="H781" t="s">
        <v>36</v>
      </c>
      <c r="I781">
        <f>VLOOKUP(Table4[[#This Row],[Visitor]],'NHL Model'!$A$6:$B$38,2,FALSE)</f>
        <v>-0.23108682001987857</v>
      </c>
      <c r="J781">
        <f>($B$1+Table4[[#This Row],[Home Differential]])-Table4[[#This Row],[Away Differential]]</f>
        <v>-4.3949942353024851E-3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0.46407658750220859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0.7564009584796878</v>
      </c>
      <c r="H782" t="s">
        <v>21</v>
      </c>
      <c r="I782">
        <f>VLOOKUP(Table4[[#This Row],[Visitor]],'NHL Model'!$A$6:$B$38,2,FALSE)</f>
        <v>2.6215642141022087E-2</v>
      </c>
      <c r="J782">
        <f>($B$1+Table4[[#This Row],[Home Differential]])-Table4[[#This Row],[Away Differential]]</f>
        <v>0.77846656962731708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0.67154032956512544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-0.41671190768559452</v>
      </c>
      <c r="H783" t="s">
        <v>24</v>
      </c>
      <c r="I783">
        <f>VLOOKUP(Table4[[#This Row],[Visitor]],'NHL Model'!$A$6:$B$38,2,FALSE)</f>
        <v>-2.8342943575894393E-4</v>
      </c>
      <c r="J783">
        <f>($B$1+Table4[[#This Row],[Home Differential]])-Table4[[#This Row],[Away Differential]]</f>
        <v>-0.36814722496118418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0.52017932871638628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-0.19390166761644689</v>
      </c>
      <c r="H784" t="s">
        <v>15</v>
      </c>
      <c r="I784">
        <f>VLOOKUP(Table4[[#This Row],[Visitor]],'NHL Model'!$A$6:$B$38,2,FALSE)</f>
        <v>9.0184826596604858E-2</v>
      </c>
      <c r="J784">
        <f>($B$1+Table4[[#This Row],[Home Differential]])-Table4[[#This Row],[Away Differential]]</f>
        <v>-0.23580524092440036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0.59342180163792346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-0.36560113761686208</v>
      </c>
      <c r="H785" t="s">
        <v>34</v>
      </c>
      <c r="I785">
        <f>VLOOKUP(Table4[[#This Row],[Visitor]],'NHL Model'!$A$6:$B$38,2,FALSE)</f>
        <v>5.1566962112876508E-2</v>
      </c>
      <c r="J785">
        <f>($B$1+Table4[[#This Row],[Home Differential]])-Table4[[#This Row],[Away Differential]]</f>
        <v>-0.36888684644108716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0.54128940813432624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-0.90025837753161619</v>
      </c>
      <c r="H786" t="s">
        <v>23</v>
      </c>
      <c r="I786">
        <f>VLOOKUP(Table4[[#This Row],[Visitor]],'NHL Model'!$A$6:$B$38,2,FALSE)</f>
        <v>-0.40965500817719275</v>
      </c>
      <c r="J786">
        <f>($B$1+Table4[[#This Row],[Home Differential]])-Table4[[#This Row],[Away Differential]]</f>
        <v>-0.44232211606577204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0.51036425727755141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0.66987960668864954</v>
      </c>
      <c r="H787" t="s">
        <v>33</v>
      </c>
      <c r="I787">
        <f>VLOOKUP(Table4[[#This Row],[Visitor]],'NHL Model'!$A$6:$B$38,2,FALSE)</f>
        <v>-0.47218252282767964</v>
      </c>
      <c r="J787">
        <f>($B$1+Table4[[#This Row],[Home Differential]])-Table4[[#This Row],[Away Differential]]</f>
        <v>1.1903433828049805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0.68955305017898472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-3.3785654828041967E-2</v>
      </c>
      <c r="H788" t="s">
        <v>35</v>
      </c>
      <c r="I788">
        <f>VLOOKUP(Table4[[#This Row],[Visitor]],'NHL Model'!$A$6:$B$38,2,FALSE)</f>
        <v>-1.1754320402170535</v>
      </c>
      <c r="J788">
        <f>($B$1+Table4[[#This Row],[Home Differential]])-Table4[[#This Row],[Away Differential]]</f>
        <v>1.1899276386776629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0.69459452299059132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-0.81412334763558081</v>
      </c>
      <c r="H789" t="s">
        <v>14</v>
      </c>
      <c r="I789">
        <f>VLOOKUP(Table4[[#This Row],[Visitor]],'NHL Model'!$A$6:$B$38,2,FALSE)</f>
        <v>0.17535803439735015</v>
      </c>
      <c r="J789">
        <f>($B$1+Table4[[#This Row],[Home Differential]])-Table4[[#This Row],[Away Differential]]</f>
        <v>-0.9412001287442795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0.62130697324775508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1.6584974384060074</v>
      </c>
      <c r="H790" t="s">
        <v>31</v>
      </c>
      <c r="I790">
        <f>VLOOKUP(Table4[[#This Row],[Visitor]],'NHL Model'!$A$6:$B$38,2,FALSE)</f>
        <v>0.17827516980235869</v>
      </c>
      <c r="J790">
        <f>($B$1+Table4[[#This Row],[Home Differential]])-Table4[[#This Row],[Away Differential]]</f>
        <v>1.5285035218923002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0.80261188874769562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-0.56616527987265597</v>
      </c>
      <c r="H791" t="s">
        <v>30</v>
      </c>
      <c r="I791">
        <f>VLOOKUP(Table4[[#This Row],[Visitor]],'NHL Model'!$A$6:$B$38,2,FALSE)</f>
        <v>0.24561340747691926</v>
      </c>
      <c r="J791">
        <f>($B$1+Table4[[#This Row],[Home Differential]])-Table4[[#This Row],[Away Differential]]</f>
        <v>-0.76349743406092385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0.61955750904503637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-8.5089305365893694E-2</v>
      </c>
      <c r="H792" t="s">
        <v>26</v>
      </c>
      <c r="I792">
        <f>VLOOKUP(Table4[[#This Row],[Visitor]],'NHL Model'!$A$6:$B$38,2,FALSE)</f>
        <v>-0.60099633616081094</v>
      </c>
      <c r="J792">
        <f>($B$1+Table4[[#This Row],[Home Differential]])-Table4[[#This Row],[Away Differential]]</f>
        <v>0.56418828408356869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0.60424034173398622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0.15493687588867713</v>
      </c>
      <c r="H793" t="s">
        <v>27</v>
      </c>
      <c r="I793">
        <f>VLOOKUP(Table4[[#This Row],[Visitor]],'NHL Model'!$A$6:$B$38,2,FALSE)</f>
        <v>-2.8950318025217449E-2</v>
      </c>
      <c r="J793">
        <f>($B$1+Table4[[#This Row],[Home Differential]])-Table4[[#This Row],[Away Differential]]</f>
        <v>0.23216844720254598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0.56489700479236948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-0.77107712767799974</v>
      </c>
      <c r="H794" t="s">
        <v>22</v>
      </c>
      <c r="I794">
        <f>VLOOKUP(Table4[[#This Row],[Visitor]],'NHL Model'!$A$6:$B$38,2,FALSE)</f>
        <v>0.84902697115371384</v>
      </c>
      <c r="J794">
        <f>($B$1+Table4[[#This Row],[Home Differential]])-Table4[[#This Row],[Away Differential]]</f>
        <v>-1.5718228455430623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0.69311175894650945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2.6215642141022087E-2</v>
      </c>
      <c r="H795" t="s">
        <v>20</v>
      </c>
      <c r="I795">
        <f>VLOOKUP(Table4[[#This Row],[Visitor]],'NHL Model'!$A$6:$B$38,2,FALSE)</f>
        <v>9.2938870272174581E-2</v>
      </c>
      <c r="J795">
        <f>($B$1+Table4[[#This Row],[Home Differential]])-Table4[[#This Row],[Away Differential]]</f>
        <v>-1.8441974842501083E-2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0.43067129274719085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0.47905090860407873</v>
      </c>
      <c r="H796" t="s">
        <v>10</v>
      </c>
      <c r="I796">
        <f>VLOOKUP(Table4[[#This Row],[Visitor]],'NHL Model'!$A$6:$B$38,2,FALSE)</f>
        <v>2.5996227684575345E-2</v>
      </c>
      <c r="J796">
        <f>($B$1+Table4[[#This Row],[Home Differential]])-Table4[[#This Row],[Away Differential]]</f>
        <v>0.50133593420815481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0.62851233698278242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-0.28376306754383246</v>
      </c>
      <c r="H797" t="s">
        <v>39</v>
      </c>
      <c r="I797">
        <f>VLOOKUP(Table4[[#This Row],[Visitor]],'NHL Model'!$A$6:$B$38,2,FALSE)</f>
        <v>0.7564009584796878</v>
      </c>
      <c r="J797">
        <f>($B$1+Table4[[#This Row],[Home Differential]])-Table4[[#This Row],[Away Differential]]</f>
        <v>-0.99188277273486891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0.66542523687933797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-0.41671190768559452</v>
      </c>
      <c r="H798" t="s">
        <v>14</v>
      </c>
      <c r="I798">
        <f>VLOOKUP(Table4[[#This Row],[Visitor]],'NHL Model'!$A$6:$B$38,2,FALSE)</f>
        <v>0.17535803439735015</v>
      </c>
      <c r="J798">
        <f>($B$1+Table4[[#This Row],[Home Differential]])-Table4[[#This Row],[Away Differential]]</f>
        <v>-0.54378868879429332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0.57354548340420375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5.1566962112876508E-2</v>
      </c>
      <c r="H799" t="s">
        <v>26</v>
      </c>
      <c r="I799">
        <f>VLOOKUP(Table4[[#This Row],[Visitor]],'NHL Model'!$A$6:$B$38,2,FALSE)</f>
        <v>-0.60099633616081094</v>
      </c>
      <c r="J799">
        <f>($B$1+Table4[[#This Row],[Home Differential]])-Table4[[#This Row],[Away Differential]]</f>
        <v>0.70084455156233882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0.61980047577184028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-0.36560113761686208</v>
      </c>
      <c r="H800" t="s">
        <v>23</v>
      </c>
      <c r="I800">
        <f>VLOOKUP(Table4[[#This Row],[Visitor]],'NHL Model'!$A$6:$B$38,2,FALSE)</f>
        <v>-0.40965500817719275</v>
      </c>
      <c r="J800">
        <f>($B$1+Table4[[#This Row],[Home Differential]])-Table4[[#This Row],[Away Differential]]</f>
        <v>9.233512384898207E-2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0.55051358221616309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-0.90025837753161619</v>
      </c>
      <c r="H801" t="s">
        <v>36</v>
      </c>
      <c r="I801">
        <f>VLOOKUP(Table4[[#This Row],[Visitor]],'NHL Model'!$A$6:$B$38,2,FALSE)</f>
        <v>-0.23108682001987857</v>
      </c>
      <c r="J801">
        <f>($B$1+Table4[[#This Row],[Home Differential]])-Table4[[#This Row],[Away Differential]]</f>
        <v>-0.62089030422308622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0.53427277999377187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-3.3785654828041967E-2</v>
      </c>
      <c r="H802" t="s">
        <v>11</v>
      </c>
      <c r="I802">
        <f>VLOOKUP(Table4[[#This Row],[Visitor]],'NHL Model'!$A$6:$B$38,2,FALSE)</f>
        <v>-0.3510442662416135</v>
      </c>
      <c r="J802">
        <f>($B$1+Table4[[#This Row],[Home Differential]])-Table4[[#This Row],[Away Differential]]</f>
        <v>0.36553986470222294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0.6007270078089787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-0.81412334763558081</v>
      </c>
      <c r="H803" t="s">
        <v>22</v>
      </c>
      <c r="I803">
        <f>VLOOKUP(Table4[[#This Row],[Visitor]],'NHL Model'!$A$6:$B$38,2,FALSE)</f>
        <v>0.84902697115371384</v>
      </c>
      <c r="J803">
        <f>($B$1+Table4[[#This Row],[Home Differential]])-Table4[[#This Row],[Away Differential]]</f>
        <v>-1.6148690655006432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0.69801314374737089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2.5996227684575345E-2</v>
      </c>
      <c r="H804" t="s">
        <v>37</v>
      </c>
      <c r="I804">
        <f>VLOOKUP(Table4[[#This Row],[Visitor]],'NHL Model'!$A$6:$B$38,2,FALSE)</f>
        <v>0.66987960668864954</v>
      </c>
      <c r="J804">
        <f>($B$1+Table4[[#This Row],[Home Differential]])-Table4[[#This Row],[Away Differential]]</f>
        <v>-0.59560212571542281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0.60044039462078436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1.6584974384060074</v>
      </c>
      <c r="H805" t="s">
        <v>27</v>
      </c>
      <c r="I805">
        <f>VLOOKUP(Table4[[#This Row],[Visitor]],'NHL Model'!$A$6:$B$38,2,FALSE)</f>
        <v>-2.8950318025217449E-2</v>
      </c>
      <c r="J805">
        <f>($B$1+Table4[[#This Row],[Home Differential]])-Table4[[#This Row],[Away Differential]]</f>
        <v>1.7357290097198763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0.80567603976250279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0.7564009584796878</v>
      </c>
      <c r="H806" t="s">
        <v>35</v>
      </c>
      <c r="I806">
        <f>VLOOKUP(Table4[[#This Row],[Visitor]],'NHL Model'!$A$6:$B$38,2,FALSE)</f>
        <v>-1.1754320402170535</v>
      </c>
      <c r="J806">
        <f>($B$1+Table4[[#This Row],[Home Differential]])-Table4[[#This Row],[Away Differential]]</f>
        <v>1.9801142519853927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0.80836390413460557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-0.56616527987265597</v>
      </c>
      <c r="H807" t="s">
        <v>31</v>
      </c>
      <c r="I807">
        <f>VLOOKUP(Table4[[#This Row],[Visitor]],'NHL Model'!$A$6:$B$38,2,FALSE)</f>
        <v>0.17827516980235869</v>
      </c>
      <c r="J807">
        <f>($B$1+Table4[[#This Row],[Home Differential]])-Table4[[#This Row],[Away Differential]]</f>
        <v>-0.69615919638636325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0.56003621652339242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-0.47218252282767964</v>
      </c>
      <c r="H808" t="s">
        <v>15</v>
      </c>
      <c r="I808">
        <f>VLOOKUP(Table4[[#This Row],[Visitor]],'NHL Model'!$A$6:$B$38,2,FALSE)</f>
        <v>9.0184826596604858E-2</v>
      </c>
      <c r="J808">
        <f>($B$1+Table4[[#This Row],[Home Differential]])-Table4[[#This Row],[Away Differential]]</f>
        <v>-0.51408609613563305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0.62510777906979009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-8.5089305365893694E-2</v>
      </c>
      <c r="H809" t="s">
        <v>20</v>
      </c>
      <c r="I809">
        <f>VLOOKUP(Table4[[#This Row],[Visitor]],'NHL Model'!$A$6:$B$38,2,FALSE)</f>
        <v>9.2938870272174581E-2</v>
      </c>
      <c r="J809">
        <f>($B$1+Table4[[#This Row],[Home Differential]])-Table4[[#This Row],[Away Differential]]</f>
        <v>-0.12974692234941687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0.49554264394670983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-0.77107712767799974</v>
      </c>
      <c r="H810" t="s">
        <v>24</v>
      </c>
      <c r="I810">
        <f>VLOOKUP(Table4[[#This Row],[Visitor]],'NHL Model'!$A$6:$B$38,2,FALSE)</f>
        <v>-2.8342943575894393E-4</v>
      </c>
      <c r="J810">
        <f>($B$1+Table4[[#This Row],[Home Differential]])-Table4[[#This Row],[Away Differential]]</f>
        <v>-0.72251244495358935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0.56303688445911382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2.6215642141022087E-2</v>
      </c>
      <c r="H811" t="s">
        <v>18</v>
      </c>
      <c r="I811">
        <f>VLOOKUP(Table4[[#This Row],[Visitor]],'NHL Model'!$A$6:$B$38,2,FALSE)</f>
        <v>-0.36560113761686208</v>
      </c>
      <c r="J811">
        <f>($B$1+Table4[[#This Row],[Home Differential]])-Table4[[#This Row],[Away Differential]]</f>
        <v>0.44009803304653561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0.58344434917140209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-0.28376306754383246</v>
      </c>
      <c r="H812" t="s">
        <v>37</v>
      </c>
      <c r="I812">
        <f>VLOOKUP(Table4[[#This Row],[Visitor]],'NHL Model'!$A$6:$B$38,2,FALSE)</f>
        <v>0.66987960668864954</v>
      </c>
      <c r="J812">
        <f>($B$1+Table4[[#This Row],[Home Differential]])-Table4[[#This Row],[Away Differential]]</f>
        <v>-0.90536142094383054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0.63571061121713635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-0.41671190768559452</v>
      </c>
      <c r="H813" t="s">
        <v>22</v>
      </c>
      <c r="I813">
        <f>VLOOKUP(Table4[[#This Row],[Visitor]],'NHL Model'!$A$6:$B$38,2,FALSE)</f>
        <v>0.84902697115371384</v>
      </c>
      <c r="J813">
        <f>($B$1+Table4[[#This Row],[Home Differential]])-Table4[[#This Row],[Away Differential]]</f>
        <v>-1.2174576255506571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0.65025165390381967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5.1566962112876508E-2</v>
      </c>
      <c r="H814" t="s">
        <v>11</v>
      </c>
      <c r="I814">
        <f>VLOOKUP(Table4[[#This Row],[Visitor]],'NHL Model'!$A$6:$B$38,2,FALSE)</f>
        <v>-0.3510442662416135</v>
      </c>
      <c r="J814">
        <f>($B$1+Table4[[#This Row],[Home Differential]])-Table4[[#This Row],[Away Differential]]</f>
        <v>0.45089248164314144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0.59134010741306009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-0.90025837753161619</v>
      </c>
      <c r="H815" t="s">
        <v>55</v>
      </c>
      <c r="I815">
        <f>VLOOKUP(Table4[[#This Row],[Visitor]],'NHL Model'!$A$6:$B$38,2,FALSE)</f>
        <v>0.15493687588867713</v>
      </c>
      <c r="J815">
        <f>($B$1+Table4[[#This Row],[Home Differential]])-Table4[[#This Row],[Away Differential]]</f>
        <v>-1.0069140001316419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0.57465055423875211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0.24561340747691926</v>
      </c>
      <c r="H816" t="s">
        <v>23</v>
      </c>
      <c r="I816">
        <f>VLOOKUP(Table4[[#This Row],[Visitor]],'NHL Model'!$A$6:$B$38,2,FALSE)</f>
        <v>-0.40965500817719275</v>
      </c>
      <c r="J816">
        <f>($B$1+Table4[[#This Row],[Home Differential]])-Table4[[#This Row],[Away Differential]]</f>
        <v>0.70354966894276338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0.62010848937270979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-0.23108682001987857</v>
      </c>
      <c r="H817" t="s">
        <v>25</v>
      </c>
      <c r="I817">
        <f>VLOOKUP(Table4[[#This Row],[Visitor]],'NHL Model'!$A$6:$B$38,2,FALSE)</f>
        <v>0.47905090860407873</v>
      </c>
      <c r="J817">
        <f>($B$1+Table4[[#This Row],[Home Differential]])-Table4[[#This Row],[Away Differential]]</f>
        <v>-0.66185647533530589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0.60798433372944172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-1.1754320402170535</v>
      </c>
      <c r="H818" t="s">
        <v>13</v>
      </c>
      <c r="I818">
        <f>VLOOKUP(Table4[[#This Row],[Visitor]],'NHL Model'!$A$6:$B$38,2,FALSE)</f>
        <v>-0.19390166761644689</v>
      </c>
      <c r="J818">
        <f>($B$1+Table4[[#This Row],[Home Differential]])-Table4[[#This Row],[Away Differential]]</f>
        <v>-0.9332491193119552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0.63257861704183227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-3.3785654828041967E-2</v>
      </c>
      <c r="H819" t="s">
        <v>26</v>
      </c>
      <c r="I819">
        <f>VLOOKUP(Table4[[#This Row],[Visitor]],'NHL Model'!$A$6:$B$38,2,FALSE)</f>
        <v>-0.60099633616081094</v>
      </c>
      <c r="J819">
        <f>($B$1+Table4[[#This Row],[Home Differential]])-Table4[[#This Row],[Away Differential]]</f>
        <v>0.61549193462142038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0.62918737616775877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-0.81412334763558081</v>
      </c>
      <c r="H820" t="s">
        <v>31</v>
      </c>
      <c r="I820">
        <f>VLOOKUP(Table4[[#This Row],[Visitor]],'NHL Model'!$A$6:$B$38,2,FALSE)</f>
        <v>0.17827516980235869</v>
      </c>
      <c r="J820">
        <f>($B$1+Table4[[#This Row],[Home Differential]])-Table4[[#This Row],[Away Differential]]</f>
        <v>-0.94411726414928809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0.58826954120978336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2.5996227684575345E-2</v>
      </c>
      <c r="H821" t="s">
        <v>11</v>
      </c>
      <c r="I821">
        <f>VLOOKUP(Table4[[#This Row],[Visitor]],'NHL Model'!$A$6:$B$38,2,FALSE)</f>
        <v>-0.3510442662416135</v>
      </c>
      <c r="J821">
        <f>($B$1+Table4[[#This Row],[Home Differential]])-Table4[[#This Row],[Away Differential]]</f>
        <v>0.42532174721484028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0.58842853912211035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-0.23108682001987857</v>
      </c>
      <c r="H822" t="s">
        <v>20</v>
      </c>
      <c r="I822">
        <f>VLOOKUP(Table4[[#This Row],[Visitor]],'NHL Model'!$A$6:$B$38,2,FALSE)</f>
        <v>9.2938870272174581E-2</v>
      </c>
      <c r="J822">
        <f>($B$1+Table4[[#This Row],[Home Differential]])-Table4[[#This Row],[Away Differential]]</f>
        <v>-0.27574443700340173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0.51216640324529072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-0.56616527987265597</v>
      </c>
      <c r="H823" t="s">
        <v>24</v>
      </c>
      <c r="I823">
        <f>VLOOKUP(Table4[[#This Row],[Visitor]],'NHL Model'!$A$6:$B$38,2,FALSE)</f>
        <v>-2.8342943575894393E-4</v>
      </c>
      <c r="J823">
        <f>($B$1+Table4[[#This Row],[Home Differential]])-Table4[[#This Row],[Away Differential]]</f>
        <v>-0.51760059714824558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0.53970494457358442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-8.5089305365893694E-2</v>
      </c>
      <c r="H824" t="s">
        <v>12</v>
      </c>
      <c r="I824">
        <f>VLOOKUP(Table4[[#This Row],[Visitor]],'NHL Model'!$A$6:$B$38,2,FALSE)</f>
        <v>1.6584974384060074</v>
      </c>
      <c r="J824">
        <f>($B$1+Table4[[#This Row],[Home Differential]])-Table4[[#This Row],[Away Differential]]</f>
        <v>-1.6953054904832496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0.70717190080510772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-0.77107712767799974</v>
      </c>
      <c r="H825" t="s">
        <v>14</v>
      </c>
      <c r="I825">
        <f>VLOOKUP(Table4[[#This Row],[Visitor]],'NHL Model'!$A$6:$B$38,2,FALSE)</f>
        <v>0.17535803439735015</v>
      </c>
      <c r="J825">
        <f>($B$1+Table4[[#This Row],[Home Differential]])-Table4[[#This Row],[Away Differential]]</f>
        <v>-0.89815390878669854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0.61640558844689364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-0.28376306754383246</v>
      </c>
      <c r="H826" t="s">
        <v>13</v>
      </c>
      <c r="I826">
        <f>VLOOKUP(Table4[[#This Row],[Visitor]],'NHL Model'!$A$6:$B$38,2,FALSE)</f>
        <v>-0.19390166761644689</v>
      </c>
      <c r="J826">
        <f>($B$1+Table4[[#This Row],[Home Differential]])-Table4[[#This Row],[Away Differential]]</f>
        <v>-4.1580146638734161E-2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0.53105024232351661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-0.41671190768559452</v>
      </c>
      <c r="H827" t="s">
        <v>31</v>
      </c>
      <c r="I827">
        <f>VLOOKUP(Table4[[#This Row],[Visitor]],'NHL Model'!$A$6:$B$38,2,FALSE)</f>
        <v>0.17827516980235869</v>
      </c>
      <c r="J827">
        <f>($B$1+Table4[[#This Row],[Home Differential]])-Table4[[#This Row],[Away Differential]]</f>
        <v>-0.5467058241993018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0.54051060066619427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9.0184826596604858E-2</v>
      </c>
      <c r="H828" t="s">
        <v>21</v>
      </c>
      <c r="I828">
        <f>VLOOKUP(Table4[[#This Row],[Visitor]],'NHL Model'!$A$6:$B$38,2,FALSE)</f>
        <v>2.6215642141022087E-2</v>
      </c>
      <c r="J828">
        <f>($B$1+Table4[[#This Row],[Home Differential]])-Table4[[#This Row],[Away Differential]]</f>
        <v>0.11225043774423418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0.55278120564341793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-2.8950318025217449E-2</v>
      </c>
      <c r="H829" t="s">
        <v>30</v>
      </c>
      <c r="I829">
        <f>VLOOKUP(Table4[[#This Row],[Visitor]],'NHL Model'!$A$6:$B$38,2,FALSE)</f>
        <v>0.24561340747691926</v>
      </c>
      <c r="J829">
        <f>($B$1+Table4[[#This Row],[Home Differential]])-Table4[[#This Row],[Away Differential]]</f>
        <v>-0.2262824722134853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0.53209438369922435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0.66987960668864954</v>
      </c>
      <c r="H830" t="s">
        <v>55</v>
      </c>
      <c r="I830">
        <f>VLOOKUP(Table4[[#This Row],[Visitor]],'NHL Model'!$A$6:$B$38,2,FALSE)</f>
        <v>0.15493687588867713</v>
      </c>
      <c r="J830">
        <f>($B$1+Table4[[#This Row],[Home Differential]])-Table4[[#This Row],[Away Differential]]</f>
        <v>0.56322398408862384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0.61814716384976176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2.6215642141022087E-2</v>
      </c>
      <c r="H831" t="s">
        <v>29</v>
      </c>
      <c r="I831">
        <f>VLOOKUP(Table4[[#This Row],[Visitor]],'NHL Model'!$A$6:$B$38,2,FALSE)</f>
        <v>-0.90025837753161619</v>
      </c>
      <c r="J831">
        <f>($B$1+Table4[[#This Row],[Home Differential]])-Table4[[#This Row],[Away Differential]]</f>
        <v>0.97475527296128972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0.70270483166314401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-0.60099633616081094</v>
      </c>
      <c r="H832" t="s">
        <v>13</v>
      </c>
      <c r="I832">
        <f>VLOOKUP(Table4[[#This Row],[Visitor]],'NHL Model'!$A$6:$B$38,2,FALSE)</f>
        <v>-0.19390166761644689</v>
      </c>
      <c r="J832">
        <f>($B$1+Table4[[#This Row],[Home Differential]])-Table4[[#This Row],[Away Differential]]</f>
        <v>-0.35881341525571264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0.55698471300338004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-0.3510442662416135</v>
      </c>
      <c r="H833" t="s">
        <v>55</v>
      </c>
      <c r="I833">
        <f>VLOOKUP(Table4[[#This Row],[Visitor]],'NHL Model'!$A$6:$B$38,2,FALSE)</f>
        <v>0.15493687588867713</v>
      </c>
      <c r="J833">
        <f>($B$1+Table4[[#This Row],[Home Differential]])-Table4[[#This Row],[Away Differential]]</f>
        <v>-0.45769988884163926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0.51211522128389175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5.1566962112876508E-2</v>
      </c>
      <c r="H834" t="s">
        <v>10</v>
      </c>
      <c r="I834">
        <f>VLOOKUP(Table4[[#This Row],[Visitor]],'NHL Model'!$A$6:$B$38,2,FALSE)</f>
        <v>2.5996227684575345E-2</v>
      </c>
      <c r="J834">
        <f>($B$1+Table4[[#This Row],[Home Differential]])-Table4[[#This Row],[Away Differential]]</f>
        <v>7.3851987716952561E-2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0.54757953819244753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-0.36560113761686208</v>
      </c>
      <c r="H835" t="s">
        <v>20</v>
      </c>
      <c r="I835">
        <f>VLOOKUP(Table4[[#This Row],[Visitor]],'NHL Model'!$A$6:$B$38,2,FALSE)</f>
        <v>9.2938870272174581E-2</v>
      </c>
      <c r="J835">
        <f>($B$1+Table4[[#This Row],[Home Differential]])-Table4[[#This Row],[Away Differential]]</f>
        <v>-0.41025875460038524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0.52748264779400633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-2.8342943575894393E-4</v>
      </c>
      <c r="H836" t="s">
        <v>40</v>
      </c>
      <c r="I836">
        <f>VLOOKUP(Table4[[#This Row],[Visitor]],'NHL Model'!$A$6:$B$38,2,FALSE)</f>
        <v>-3.3785654828041967E-2</v>
      </c>
      <c r="J836">
        <f>($B$1+Table4[[#This Row],[Home Differential]])-Table4[[#This Row],[Away Differential]]</f>
        <v>8.1783478680934427E-2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0.58871127867251205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-0.56616527987265597</v>
      </c>
      <c r="H837" t="s">
        <v>22</v>
      </c>
      <c r="I837">
        <f>VLOOKUP(Table4[[#This Row],[Visitor]],'NHL Model'!$A$6:$B$38,2,FALSE)</f>
        <v>0.84902697115371384</v>
      </c>
      <c r="J837">
        <f>($B$1+Table4[[#This Row],[Home Differential]])-Table4[[#This Row],[Away Differential]]</f>
        <v>-1.3669109977377185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0.66977981906097994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-1.1754320402170535</v>
      </c>
      <c r="H838" t="s">
        <v>39</v>
      </c>
      <c r="I838">
        <f>VLOOKUP(Table4[[#This Row],[Visitor]],'NHL Model'!$A$6:$B$38,2,FALSE)</f>
        <v>0.7564009584796878</v>
      </c>
      <c r="J838">
        <f>($B$1+Table4[[#This Row],[Home Differential]])-Table4[[#This Row],[Away Differential]]</f>
        <v>-1.8835517454080899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0.76695361159765363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-8.5089305365893694E-2</v>
      </c>
      <c r="H839" t="s">
        <v>23</v>
      </c>
      <c r="I839">
        <f>VLOOKUP(Table4[[#This Row],[Visitor]],'NHL Model'!$A$6:$B$38,2,FALSE)</f>
        <v>-0.40965500817719275</v>
      </c>
      <c r="J839">
        <f>($B$1+Table4[[#This Row],[Home Differential]])-Table4[[#This Row],[Away Differential]]</f>
        <v>0.37284695609995044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0.58245358606345954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-0.77107712767799974</v>
      </c>
      <c r="H840" t="s">
        <v>33</v>
      </c>
      <c r="I840">
        <f>VLOOKUP(Table4[[#This Row],[Visitor]],'NHL Model'!$A$6:$B$38,2,FALSE)</f>
        <v>-0.47218252282767964</v>
      </c>
      <c r="J840">
        <f>($B$1+Table4[[#This Row],[Home Differential]])-Table4[[#This Row],[Away Differential]]</f>
        <v>-0.2506133515616687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0.48853566407103294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-0.28376306754383246</v>
      </c>
      <c r="H841" t="s">
        <v>27</v>
      </c>
      <c r="I841">
        <f>VLOOKUP(Table4[[#This Row],[Visitor]],'NHL Model'!$A$6:$B$38,2,FALSE)</f>
        <v>-2.8950318025217449E-2</v>
      </c>
      <c r="J841">
        <f>($B$1+Table4[[#This Row],[Home Differential]])-Table4[[#This Row],[Away Differential]]</f>
        <v>-0.20653149622996361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0.52602892121948364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0.24561340747691926</v>
      </c>
      <c r="H842" t="s">
        <v>15</v>
      </c>
      <c r="I842">
        <f>VLOOKUP(Table4[[#This Row],[Visitor]],'NHL Model'!$A$6:$B$38,2,FALSE)</f>
        <v>9.0184826596604858E-2</v>
      </c>
      <c r="J842">
        <f>($B$1+Table4[[#This Row],[Home Differential]])-Table4[[#This Row],[Away Differential]]</f>
        <v>0.20370983416896582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0.45662283668188641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-0.23108682001987857</v>
      </c>
      <c r="H843" t="s">
        <v>12</v>
      </c>
      <c r="I843">
        <f>VLOOKUP(Table4[[#This Row],[Visitor]],'NHL Model'!$A$6:$B$38,2,FALSE)</f>
        <v>1.6584974384060074</v>
      </c>
      <c r="J843">
        <f>($B$1+Table4[[#This Row],[Home Differential]])-Table4[[#This Row],[Away Differential]]</f>
        <v>-1.8413030051372345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0.72379566010368857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2.6215642141022087E-2</v>
      </c>
      <c r="H844" t="s">
        <v>27</v>
      </c>
      <c r="I844">
        <f>VLOOKUP(Table4[[#This Row],[Visitor]],'NHL Model'!$A$6:$B$38,2,FALSE)</f>
        <v>-2.8950318025217449E-2</v>
      </c>
      <c r="J844">
        <f>($B$1+Table4[[#This Row],[Home Differential]])-Table4[[#This Row],[Away Differential]]</f>
        <v>0.10344721345489094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0.5617788414457513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-0.40965500817719275</v>
      </c>
      <c r="H845" t="s">
        <v>13</v>
      </c>
      <c r="I845">
        <f>VLOOKUP(Table4[[#This Row],[Visitor]],'NHL Model'!$A$6:$B$38,2,FALSE)</f>
        <v>-0.19390166761644689</v>
      </c>
      <c r="J845">
        <f>($B$1+Table4[[#This Row],[Home Differential]])-Table4[[#This Row],[Away Differential]]</f>
        <v>-0.16747208727209445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0.53519795733285347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0.47905090860407873</v>
      </c>
      <c r="H846" t="s">
        <v>55</v>
      </c>
      <c r="I846">
        <f>VLOOKUP(Table4[[#This Row],[Visitor]],'NHL Model'!$A$6:$B$38,2,FALSE)</f>
        <v>0.15493687588867713</v>
      </c>
      <c r="J846">
        <f>($B$1+Table4[[#This Row],[Home Differential]])-Table4[[#This Row],[Away Differential]]</f>
        <v>0.37239528600405303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0.61464822322261636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-0.60099633616081094</v>
      </c>
      <c r="H847" t="s">
        <v>22</v>
      </c>
      <c r="I847">
        <f>VLOOKUP(Table4[[#This Row],[Visitor]],'NHL Model'!$A$6:$B$38,2,FALSE)</f>
        <v>0.84902697115371384</v>
      </c>
      <c r="J847">
        <f>($B$1+Table4[[#This Row],[Home Differential]])-Table4[[#This Row],[Away Differential]]</f>
        <v>-1.4017420540258734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0.66354398858222141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-0.41671190768559452</v>
      </c>
      <c r="H848" t="s">
        <v>33</v>
      </c>
      <c r="I848">
        <f>VLOOKUP(Table4[[#This Row],[Visitor]],'NHL Model'!$A$6:$B$38,2,FALSE)</f>
        <v>-0.47218252282767964</v>
      </c>
      <c r="J848">
        <f>($B$1+Table4[[#This Row],[Home Differential]])-Table4[[#This Row],[Away Differential]]</f>
        <v>0.10375186843073653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0.55430900967202124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5.1566962112876508E-2</v>
      </c>
      <c r="H849" t="s">
        <v>16</v>
      </c>
      <c r="I849">
        <f>VLOOKUP(Table4[[#This Row],[Visitor]],'NHL Model'!$A$6:$B$38,2,FALSE)</f>
        <v>-0.81412334763558081</v>
      </c>
      <c r="J849">
        <f>($B$1+Table4[[#This Row],[Home Differential]])-Table4[[#This Row],[Away Differential]]</f>
        <v>0.91397156303710869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0.64406782133028584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-0.36560113761686208</v>
      </c>
      <c r="H850" t="s">
        <v>12</v>
      </c>
      <c r="I850">
        <f>VLOOKUP(Table4[[#This Row],[Visitor]],'NHL Model'!$A$6:$B$38,2,FALSE)</f>
        <v>1.6584974384060074</v>
      </c>
      <c r="J850">
        <f>($B$1+Table4[[#This Row],[Home Differential]])-Table4[[#This Row],[Away Differential]]</f>
        <v>-1.9758173227342182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0.73911190465240417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-2.8342943575894393E-4</v>
      </c>
      <c r="H851" t="s">
        <v>29</v>
      </c>
      <c r="I851">
        <f>VLOOKUP(Table4[[#This Row],[Visitor]],'NHL Model'!$A$6:$B$38,2,FALSE)</f>
        <v>-0.90025837753161619</v>
      </c>
      <c r="J851">
        <f>($B$1+Table4[[#This Row],[Home Differential]])-Table4[[#This Row],[Away Differential]]</f>
        <v>0.94825620138450861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0.6908731379106352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9.0184826596604858E-2</v>
      </c>
      <c r="H852" t="s">
        <v>30</v>
      </c>
      <c r="I852">
        <f>VLOOKUP(Table4[[#This Row],[Visitor]],'NHL Model'!$A$6:$B$38,2,FALSE)</f>
        <v>0.24561340747691926</v>
      </c>
      <c r="J852">
        <f>($B$1+Table4[[#This Row],[Home Differential]])-Table4[[#This Row],[Away Differential]]</f>
        <v>-0.10714732759166298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0.54482331777197179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0.17535803439735015</v>
      </c>
      <c r="H853" t="s">
        <v>10</v>
      </c>
      <c r="I853">
        <f>VLOOKUP(Table4[[#This Row],[Visitor]],'NHL Model'!$A$6:$B$38,2,FALSE)</f>
        <v>2.5996227684575345E-2</v>
      </c>
      <c r="J853">
        <f>($B$1+Table4[[#This Row],[Home Differential]])-Table4[[#This Row],[Away Differential]]</f>
        <v>0.1976430600014262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0.56167479860730807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-0.56616527987265597</v>
      </c>
      <c r="H854" t="s">
        <v>19</v>
      </c>
      <c r="I854">
        <f>VLOOKUP(Table4[[#This Row],[Visitor]],'NHL Model'!$A$6:$B$38,2,FALSE)</f>
        <v>-8.5089305365893694E-2</v>
      </c>
      <c r="J854">
        <f>($B$1+Table4[[#This Row],[Home Differential]])-Table4[[#This Row],[Away Differential]]</f>
        <v>-0.43279472121811086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0.50927943662792985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-1.1754320402170535</v>
      </c>
      <c r="H855" t="s">
        <v>11</v>
      </c>
      <c r="I855">
        <f>VLOOKUP(Table4[[#This Row],[Visitor]],'NHL Model'!$A$6:$B$38,2,FALSE)</f>
        <v>-0.3510442662416135</v>
      </c>
      <c r="J855">
        <f>($B$1+Table4[[#This Row],[Home Differential]])-Table4[[#This Row],[Away Differential]]</f>
        <v>-0.77610652068678854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0.5483700521925573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0.66987960668864954</v>
      </c>
      <c r="H856" t="s">
        <v>40</v>
      </c>
      <c r="I856">
        <f>VLOOKUP(Table4[[#This Row],[Visitor]],'NHL Model'!$A$6:$B$38,2,FALSE)</f>
        <v>-3.3785654828041967E-2</v>
      </c>
      <c r="J856">
        <f>($B$1+Table4[[#This Row],[Home Differential]])-Table4[[#This Row],[Away Differential]]</f>
        <v>0.75194651480534291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0.63607782971040505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-0.77107712767799974</v>
      </c>
      <c r="H857" t="s">
        <v>31</v>
      </c>
      <c r="I857">
        <f>VLOOKUP(Table4[[#This Row],[Visitor]],'NHL Model'!$A$6:$B$38,2,FALSE)</f>
        <v>0.17827516980235869</v>
      </c>
      <c r="J857">
        <f>($B$1+Table4[[#This Row],[Home Differential]])-Table4[[#This Row],[Away Differential]]</f>
        <v>-0.90107104419170703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0.58336815640892181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9.2938870272174581E-2</v>
      </c>
      <c r="H858" t="s">
        <v>39</v>
      </c>
      <c r="I858">
        <f>VLOOKUP(Table4[[#This Row],[Visitor]],'NHL Model'!$A$6:$B$38,2,FALSE)</f>
        <v>0.7564009584796878</v>
      </c>
      <c r="J858">
        <f>($B$1+Table4[[#This Row],[Home Differential]])-Table4[[#This Row],[Away Differential]]</f>
        <v>-0.61518083491886189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0.62253270986335574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2.5996227684575345E-2</v>
      </c>
      <c r="H859" t="s">
        <v>28</v>
      </c>
      <c r="I859">
        <f>VLOOKUP(Table4[[#This Row],[Visitor]],'NHL Model'!$A$6:$B$38,2,FALSE)</f>
        <v>-0.28376306754383246</v>
      </c>
      <c r="J859">
        <f>($B$1+Table4[[#This Row],[Home Differential]])-Table4[[#This Row],[Away Differential]]</f>
        <v>0.35804054851705924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0.57719152064501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-0.40965500817719275</v>
      </c>
      <c r="H860" t="s">
        <v>18</v>
      </c>
      <c r="I860">
        <f>VLOOKUP(Table4[[#This Row],[Visitor]],'NHL Model'!$A$6:$B$38,2,FALSE)</f>
        <v>-0.36560113761686208</v>
      </c>
      <c r="J860">
        <f>($B$1+Table4[[#This Row],[Home Differential]])-Table4[[#This Row],[Away Differential]]</f>
        <v>4.2273827283207388E-3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0.49139043467103866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-0.81412334763558081</v>
      </c>
      <c r="H861" t="s">
        <v>33</v>
      </c>
      <c r="I861">
        <f>VLOOKUP(Table4[[#This Row],[Visitor]],'NHL Model'!$A$6:$B$38,2,FALSE)</f>
        <v>-0.47218252282767964</v>
      </c>
      <c r="J861">
        <f>($B$1+Table4[[#This Row],[Home Differential]])-Table4[[#This Row],[Away Differential]]</f>
        <v>-0.29365957151924976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0.49343704887189443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-0.60099633616081094</v>
      </c>
      <c r="H862" t="s">
        <v>12</v>
      </c>
      <c r="I862">
        <f>VLOOKUP(Table4[[#This Row],[Visitor]],'NHL Model'!$A$6:$B$38,2,FALSE)</f>
        <v>1.6584974384060074</v>
      </c>
      <c r="J862">
        <f>($B$1+Table4[[#This Row],[Home Differential]])-Table4[[#This Row],[Away Differential]]</f>
        <v>-2.211212521278167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0.75571296994333448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-0.41671190768559452</v>
      </c>
      <c r="H863" t="s">
        <v>34</v>
      </c>
      <c r="I863">
        <f>VLOOKUP(Table4[[#This Row],[Visitor]],'NHL Model'!$A$6:$B$38,2,FALSE)</f>
        <v>5.1566962112876508E-2</v>
      </c>
      <c r="J863">
        <f>($B$1+Table4[[#This Row],[Home Differential]])-Table4[[#This Row],[Away Differential]]</f>
        <v>-0.41999761650981959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0.54459650956098626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-0.3510442662416135</v>
      </c>
      <c r="H864" t="s">
        <v>40</v>
      </c>
      <c r="I864">
        <f>VLOOKUP(Table4[[#This Row],[Visitor]],'NHL Model'!$A$6:$B$38,2,FALSE)</f>
        <v>-3.3785654828041967E-2</v>
      </c>
      <c r="J864">
        <f>($B$1+Table4[[#This Row],[Home Differential]])-Table4[[#This Row],[Away Differential]]</f>
        <v>-0.26897735812492013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0.49420280946136097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0.24561340747691926</v>
      </c>
      <c r="H865" t="s">
        <v>29</v>
      </c>
      <c r="I865">
        <f>VLOOKUP(Table4[[#This Row],[Visitor]],'NHL Model'!$A$6:$B$38,2,FALSE)</f>
        <v>-0.90025837753161619</v>
      </c>
      <c r="J865">
        <f>($B$1+Table4[[#This Row],[Home Differential]])-Table4[[#This Row],[Away Differential]]</f>
        <v>1.1941530382971868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0.67597020963931664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-0.23108682001987857</v>
      </c>
      <c r="H866" t="s">
        <v>24</v>
      </c>
      <c r="I866">
        <f>VLOOKUP(Table4[[#This Row],[Visitor]],'NHL Model'!$A$6:$B$38,2,FALSE)</f>
        <v>-2.8342943575894393E-4</v>
      </c>
      <c r="J866">
        <f>($B$1+Table4[[#This Row],[Home Differential]])-Table4[[#This Row],[Away Differential]]</f>
        <v>-0.18252213729546823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0.50155180425518009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-2.8950318025217449E-2</v>
      </c>
      <c r="H867" t="s">
        <v>13</v>
      </c>
      <c r="I867">
        <f>VLOOKUP(Table4[[#This Row],[Visitor]],'NHL Model'!$A$6:$B$38,2,FALSE)</f>
        <v>-0.19390166761644689</v>
      </c>
      <c r="J867">
        <f>($B$1+Table4[[#This Row],[Home Differential]])-Table4[[#This Row],[Away Differential]]</f>
        <v>0.21323260287988086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0.5242793685446363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0.17535803439735015</v>
      </c>
      <c r="H868" t="s">
        <v>15</v>
      </c>
      <c r="I868">
        <f>VLOOKUP(Table4[[#This Row],[Visitor]],'NHL Model'!$A$6:$B$38,2,FALSE)</f>
        <v>9.0184826596604858E-2</v>
      </c>
      <c r="J868">
        <f>($B$1+Table4[[#This Row],[Home Differential]])-Table4[[#This Row],[Away Differential]]</f>
        <v>0.13345446108939668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0.44862332782535064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-1.1754320402170535</v>
      </c>
      <c r="H869" t="s">
        <v>28</v>
      </c>
      <c r="I869">
        <f>VLOOKUP(Table4[[#This Row],[Visitor]],'NHL Model'!$A$6:$B$38,2,FALSE)</f>
        <v>-0.28376306754383246</v>
      </c>
      <c r="J869">
        <f>($B$1+Table4[[#This Row],[Home Differential]])-Table4[[#This Row],[Away Differential]]</f>
        <v>-0.84338771938456958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0.55960707066965742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0.15493687588867713</v>
      </c>
      <c r="H870" t="s">
        <v>39</v>
      </c>
      <c r="I870">
        <f>VLOOKUP(Table4[[#This Row],[Visitor]],'NHL Model'!$A$6:$B$38,2,FALSE)</f>
        <v>0.7564009584796878</v>
      </c>
      <c r="J870">
        <f>($B$1+Table4[[#This Row],[Home Differential]])-Table4[[#This Row],[Away Differential]]</f>
        <v>-0.55318282930235929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0.57461513127453401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-0.77107712767799974</v>
      </c>
      <c r="H871" t="s">
        <v>19</v>
      </c>
      <c r="I871">
        <f>VLOOKUP(Table4[[#This Row],[Visitor]],'NHL Model'!$A$6:$B$38,2,FALSE)</f>
        <v>-8.5089305365893694E-2</v>
      </c>
      <c r="J871">
        <f>($B$1+Table4[[#This Row],[Home Differential]])-Table4[[#This Row],[Away Differential]]</f>
        <v>-0.63770656902345468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0.53261137651345936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9.2938870272174581E-2</v>
      </c>
      <c r="H872" t="s">
        <v>32</v>
      </c>
      <c r="I872">
        <f>VLOOKUP(Table4[[#This Row],[Visitor]],'NHL Model'!$A$6:$B$38,2,FALSE)</f>
        <v>-0.56616527987265597</v>
      </c>
      <c r="J872">
        <f>($B$1+Table4[[#This Row],[Home Differential]])-Table4[[#This Row],[Away Differential]]</f>
        <v>0.70738540343348189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0.62054523877257528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0.84902697115371384</v>
      </c>
      <c r="H873" t="s">
        <v>25</v>
      </c>
      <c r="I873">
        <f>VLOOKUP(Table4[[#This Row],[Visitor]],'NHL Model'!$A$6:$B$38,2,FALSE)</f>
        <v>0.47905090860407873</v>
      </c>
      <c r="J873">
        <f>($B$1+Table4[[#This Row],[Home Differential]])-Table4[[#This Row],[Away Differential]]</f>
        <v>0.41825731583828651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0.54129504570527509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0.17827516980235869</v>
      </c>
      <c r="H874" t="s">
        <v>20</v>
      </c>
      <c r="I874">
        <f>VLOOKUP(Table4[[#This Row],[Visitor]],'NHL Model'!$A$6:$B$38,2,FALSE)</f>
        <v>9.2938870272174581E-2</v>
      </c>
      <c r="J874">
        <f>($B$1+Table4[[#This Row],[Home Differential]])-Table4[[#This Row],[Away Differential]]</f>
        <v>0.13361755281883553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0.60344943006639973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0.47905090860407873</v>
      </c>
      <c r="H875" t="s">
        <v>13</v>
      </c>
      <c r="I875">
        <f>VLOOKUP(Table4[[#This Row],[Visitor]],'NHL Model'!$A$6:$B$38,2,FALSE)</f>
        <v>-0.19390166761644689</v>
      </c>
      <c r="J875">
        <f>($B$1+Table4[[#This Row],[Home Differential]])-Table4[[#This Row],[Away Differential]]</f>
        <v>0.72123382950917703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0.58845118023572573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0.66987960668864954</v>
      </c>
      <c r="H876" t="s">
        <v>21</v>
      </c>
      <c r="I876">
        <f>VLOOKUP(Table4[[#This Row],[Visitor]],'NHL Model'!$A$6:$B$38,2,FALSE)</f>
        <v>2.6215642141022087E-2</v>
      </c>
      <c r="J876">
        <f>($B$1+Table4[[#This Row],[Home Differential]])-Table4[[#This Row],[Away Differential]]</f>
        <v>0.69194521783627883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0.63280378873484144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-0.81412334763558081</v>
      </c>
      <c r="H877" t="s">
        <v>19</v>
      </c>
      <c r="I877">
        <f>VLOOKUP(Table4[[#This Row],[Visitor]],'NHL Model'!$A$6:$B$38,2,FALSE)</f>
        <v>-8.5089305365893694E-2</v>
      </c>
      <c r="J877">
        <f>($B$1+Table4[[#This Row],[Home Differential]])-Table4[[#This Row],[Away Differential]]</f>
        <v>-0.68075278898103575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0.53751276131432091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2.5996227684575345E-2</v>
      </c>
      <c r="H878" t="s">
        <v>33</v>
      </c>
      <c r="I878">
        <f>VLOOKUP(Table4[[#This Row],[Visitor]],'NHL Model'!$A$6:$B$38,2,FALSE)</f>
        <v>-0.47218252282767964</v>
      </c>
      <c r="J878">
        <f>($B$1+Table4[[#This Row],[Home Differential]])-Table4[[#This Row],[Away Differential]]</f>
        <v>0.54646000380090642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0.60222174117838612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1.6584974384060074</v>
      </c>
      <c r="H879" t="s">
        <v>26</v>
      </c>
      <c r="I879">
        <f>VLOOKUP(Table4[[#This Row],[Visitor]],'NHL Model'!$A$6:$B$38,2,FALSE)</f>
        <v>-0.60099633616081094</v>
      </c>
      <c r="J879">
        <f>($B$1+Table4[[#This Row],[Home Differential]])-Table4[[#This Row],[Away Differential]]</f>
        <v>2.3077750278554698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0.91059185388959674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0.7564009584796878</v>
      </c>
      <c r="H880" t="s">
        <v>40</v>
      </c>
      <c r="I880">
        <f>VLOOKUP(Table4[[#This Row],[Visitor]],'NHL Model'!$A$6:$B$38,2,FALSE)</f>
        <v>-3.3785654828041967E-2</v>
      </c>
      <c r="J880">
        <f>($B$1+Table4[[#This Row],[Home Differential]])-Table4[[#This Row],[Away Differential]]</f>
        <v>0.83846786659638117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0.67486986266973004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-0.3510442662416135</v>
      </c>
      <c r="H881" t="s">
        <v>23</v>
      </c>
      <c r="I881">
        <f>VLOOKUP(Table4[[#This Row],[Visitor]],'NHL Model'!$A$6:$B$38,2,FALSE)</f>
        <v>-0.40965500817719275</v>
      </c>
      <c r="J881">
        <f>($B$1+Table4[[#This Row],[Home Differential]])-Table4[[#This Row],[Away Differential]]</f>
        <v>0.10689199522423065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0.55217107567730894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5.1566962112876508E-2</v>
      </c>
      <c r="H882" t="s">
        <v>18</v>
      </c>
      <c r="I882">
        <f>VLOOKUP(Table4[[#This Row],[Visitor]],'NHL Model'!$A$6:$B$38,2,FALSE)</f>
        <v>-0.36560113761686208</v>
      </c>
      <c r="J882">
        <f>($B$1+Table4[[#This Row],[Home Differential]])-Table4[[#This Row],[Away Differential]]</f>
        <v>0.46544935301838997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0.53370976704631279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-0.90025837753161619</v>
      </c>
      <c r="H883" t="s">
        <v>35</v>
      </c>
      <c r="I883">
        <f>VLOOKUP(Table4[[#This Row],[Visitor]],'NHL Model'!$A$6:$B$38,2,FALSE)</f>
        <v>-1.1754320402170535</v>
      </c>
      <c r="J883">
        <f>($B$1+Table4[[#This Row],[Home Differential]])-Table4[[#This Row],[Away Differential]]</f>
        <v>0.32345491597408871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0.57682964521580782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0.17535803439735015</v>
      </c>
      <c r="H884" t="s">
        <v>36</v>
      </c>
      <c r="I884">
        <f>VLOOKUP(Table4[[#This Row],[Visitor]],'NHL Model'!$A$6:$B$38,2,FALSE)</f>
        <v>-0.23108682001987857</v>
      </c>
      <c r="J884">
        <f>($B$1+Table4[[#This Row],[Home Differential]])-Table4[[#This Row],[Away Differential]]</f>
        <v>0.45472610770588012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0.58820045779995345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0.15493687588867713</v>
      </c>
      <c r="H885" t="s">
        <v>38</v>
      </c>
      <c r="I885">
        <f>VLOOKUP(Table4[[#This Row],[Visitor]],'NHL Model'!$A$6:$B$38,2,FALSE)</f>
        <v>-0.77107712767799974</v>
      </c>
      <c r="J885">
        <f>($B$1+Table4[[#This Row],[Home Differential]])-Table4[[#This Row],[Away Differential]]</f>
        <v>0.97429525685532825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0.69136765382446952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0.84902697115371384</v>
      </c>
      <c r="H886" t="s">
        <v>30</v>
      </c>
      <c r="I886">
        <f>VLOOKUP(Table4[[#This Row],[Visitor]],'NHL Model'!$A$6:$B$38,2,FALSE)</f>
        <v>0.24561340747691926</v>
      </c>
      <c r="J886">
        <f>($B$1+Table4[[#This Row],[Home Differential]])-Table4[[#This Row],[Away Differential]]</f>
        <v>0.65169481696544596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0.56787501070808477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0.17827516980235869</v>
      </c>
      <c r="H887" t="s">
        <v>32</v>
      </c>
      <c r="I887">
        <f>VLOOKUP(Table4[[#This Row],[Visitor]],'NHL Model'!$A$6:$B$38,2,FALSE)</f>
        <v>-0.56616527987265597</v>
      </c>
      <c r="J887">
        <f>($B$1+Table4[[#This Row],[Home Differential]])-Table4[[#This Row],[Away Differential]]</f>
        <v>0.79272170296366606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0.69853441781499748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0.47905090860407873</v>
      </c>
      <c r="H888" t="s">
        <v>36</v>
      </c>
      <c r="I888">
        <f>VLOOKUP(Table4[[#This Row],[Visitor]],'NHL Model'!$A$6:$B$38,2,FALSE)</f>
        <v>-0.23108682001987857</v>
      </c>
      <c r="J888">
        <f>($B$1+Table4[[#This Row],[Home Differential]])-Table4[[#This Row],[Away Differential]]</f>
        <v>0.7584189819126087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0.65507646974661571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-0.41671190768559452</v>
      </c>
      <c r="H889" t="s">
        <v>19</v>
      </c>
      <c r="I889">
        <f>VLOOKUP(Table4[[#This Row],[Visitor]],'NHL Model'!$A$6:$B$38,2,FALSE)</f>
        <v>-8.5089305365893694E-2</v>
      </c>
      <c r="J889">
        <f>($B$1+Table4[[#This Row],[Home Differential]])-Table4[[#This Row],[Away Differential]]</f>
        <v>-0.28334134903104941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0.48976670277040513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-2.8342943575894393E-4</v>
      </c>
      <c r="H890" t="s">
        <v>28</v>
      </c>
      <c r="I890">
        <f>VLOOKUP(Table4[[#This Row],[Visitor]],'NHL Model'!$A$6:$B$38,2,FALSE)</f>
        <v>-0.28376306754383246</v>
      </c>
      <c r="J890">
        <f>($B$1+Table4[[#This Row],[Home Differential]])-Table4[[#This Row],[Away Differential]]</f>
        <v>0.33176089139672493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0.61717453264582822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0.24561340747691926</v>
      </c>
      <c r="H891" t="s">
        <v>14</v>
      </c>
      <c r="I891">
        <f>VLOOKUP(Table4[[#This Row],[Visitor]],'NHL Model'!$A$6:$B$38,2,FALSE)</f>
        <v>0.17535803439735015</v>
      </c>
      <c r="J891">
        <f>($B$1+Table4[[#This Row],[Home Differential]])-Table4[[#This Row],[Away Differential]]</f>
        <v>0.11853662636822054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0.49935815436487141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-2.8950318025217449E-2</v>
      </c>
      <c r="H892" t="s">
        <v>22</v>
      </c>
      <c r="I892">
        <f>VLOOKUP(Table4[[#This Row],[Visitor]],'NHL Model'!$A$6:$B$38,2,FALSE)</f>
        <v>0.84902697115371384</v>
      </c>
      <c r="J892">
        <f>($B$1+Table4[[#This Row],[Home Differential]])-Table4[[#This Row],[Away Differential]]</f>
        <v>-0.82969603589027985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0.58227680946703442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0.66987960668864954</v>
      </c>
      <c r="H893" t="s">
        <v>23</v>
      </c>
      <c r="I893">
        <f>VLOOKUP(Table4[[#This Row],[Visitor]],'NHL Model'!$A$6:$B$38,2,FALSE)</f>
        <v>-0.40965500817719275</v>
      </c>
      <c r="J893">
        <f>($B$1+Table4[[#This Row],[Home Differential]])-Table4[[#This Row],[Away Differential]]</f>
        <v>1.1278158681544936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0.68243346081096246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-0.28376306754383246</v>
      </c>
      <c r="H894" t="s">
        <v>10</v>
      </c>
      <c r="I894">
        <f>VLOOKUP(Table4[[#This Row],[Visitor]],'NHL Model'!$A$6:$B$38,2,FALSE)</f>
        <v>2.5996227684575345E-2</v>
      </c>
      <c r="J894">
        <f>($B$1+Table4[[#This Row],[Home Differential]])-Table4[[#This Row],[Away Differential]]</f>
        <v>-0.26147804193975638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0.49060224669485408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-0.81412334763558081</v>
      </c>
      <c r="H895" t="s">
        <v>17</v>
      </c>
      <c r="I895">
        <f>VLOOKUP(Table4[[#This Row],[Visitor]],'NHL Model'!$A$6:$B$38,2,FALSE)</f>
        <v>-0.41671190768559452</v>
      </c>
      <c r="J895">
        <f>($B$1+Table4[[#This Row],[Home Differential]])-Table4[[#This Row],[Away Differential]]</f>
        <v>-0.34913018666133488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0.49975311635052033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1.6584974384060074</v>
      </c>
      <c r="H896" t="s">
        <v>33</v>
      </c>
      <c r="I896">
        <f>VLOOKUP(Table4[[#This Row],[Visitor]],'NHL Model'!$A$6:$B$38,2,FALSE)</f>
        <v>-0.47218252282767964</v>
      </c>
      <c r="J896">
        <f>($B$1+Table4[[#This Row],[Home Differential]])-Table4[[#This Row],[Away Differential]]</f>
        <v>2.1789612145223383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0.89592468758709232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0.7564009584796878</v>
      </c>
      <c r="H897" t="s">
        <v>35</v>
      </c>
      <c r="I897">
        <f>VLOOKUP(Table4[[#This Row],[Visitor]],'NHL Model'!$A$6:$B$38,2,FALSE)</f>
        <v>-1.1754320402170535</v>
      </c>
      <c r="J897">
        <f>($B$1+Table4[[#This Row],[Home Differential]])-Table4[[#This Row],[Away Differential]]</f>
        <v>1.9801142519853927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0.80836390413460557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-0.3510442662416135</v>
      </c>
      <c r="H898" t="s">
        <v>21</v>
      </c>
      <c r="I898">
        <f>VLOOKUP(Table4[[#This Row],[Visitor]],'NHL Model'!$A$6:$B$38,2,FALSE)</f>
        <v>2.6215642141022087E-2</v>
      </c>
      <c r="J898">
        <f>($B$1+Table4[[#This Row],[Home Differential]])-Table4[[#This Row],[Away Differential]]</f>
        <v>-0.32897865509398416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0.49745859639881207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-0.19390166761644689</v>
      </c>
      <c r="H899" t="s">
        <v>32</v>
      </c>
      <c r="I899">
        <f>VLOOKUP(Table4[[#This Row],[Visitor]],'NHL Model'!$A$6:$B$38,2,FALSE)</f>
        <v>-0.56616527987265597</v>
      </c>
      <c r="J899">
        <f>($B$1+Table4[[#This Row],[Home Differential]])-Table4[[#This Row],[Away Differential]]</f>
        <v>0.42054486554486048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0.58788462759548099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-0.90025837753161619</v>
      </c>
      <c r="H900" t="s">
        <v>34</v>
      </c>
      <c r="I900">
        <f>VLOOKUP(Table4[[#This Row],[Visitor]],'NHL Model'!$A$6:$B$38,2,FALSE)</f>
        <v>5.1566962112876508E-2</v>
      </c>
      <c r="J900">
        <f>($B$1+Table4[[#This Row],[Home Differential]])-Table4[[#This Row],[Away Differential]]</f>
        <v>-0.90354408635584127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0.60216724762804064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0.15493687588867713</v>
      </c>
      <c r="H901" t="s">
        <v>26</v>
      </c>
      <c r="I901">
        <f>VLOOKUP(Table4[[#This Row],[Visitor]],'NHL Model'!$A$6:$B$38,2,FALSE)</f>
        <v>-0.60099633616081094</v>
      </c>
      <c r="J901">
        <f>($B$1+Table4[[#This Row],[Home Differential]])-Table4[[#This Row],[Away Differential]]</f>
        <v>0.80421446533813945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0.67200169306688551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9.2938870272174581E-2</v>
      </c>
      <c r="H902" t="s">
        <v>38</v>
      </c>
      <c r="I902">
        <f>VLOOKUP(Table4[[#This Row],[Visitor]],'NHL Model'!$A$6:$B$38,2,FALSE)</f>
        <v>-0.77107712767799974</v>
      </c>
      <c r="J902">
        <f>($B$1+Table4[[#This Row],[Home Differential]])-Table4[[#This Row],[Away Differential]]</f>
        <v>0.91229725123882566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0.64387717865810468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-3.3785654828041967E-2</v>
      </c>
      <c r="H903" t="s">
        <v>18</v>
      </c>
      <c r="I903">
        <f>VLOOKUP(Table4[[#This Row],[Visitor]],'NHL Model'!$A$6:$B$38,2,FALSE)</f>
        <v>-0.36560113761686208</v>
      </c>
      <c r="J903">
        <f>($B$1+Table4[[#This Row],[Home Differential]])-Table4[[#This Row],[Away Differential]]</f>
        <v>0.38009673607747152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0.54327906996022046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-0.40965500817719275</v>
      </c>
      <c r="H904" t="s">
        <v>14</v>
      </c>
      <c r="I904">
        <f>VLOOKUP(Table4[[#This Row],[Visitor]],'NHL Model'!$A$6:$B$38,2,FALSE)</f>
        <v>0.17535803439735015</v>
      </c>
      <c r="J904">
        <f>($B$1+Table4[[#This Row],[Home Differential]])-Table4[[#This Row],[Away Differential]]</f>
        <v>-0.53673178928589149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0.56505106241207892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-2.8342943575894393E-4</v>
      </c>
      <c r="H905" t="s">
        <v>30</v>
      </c>
      <c r="I905">
        <f>VLOOKUP(Table4[[#This Row],[Visitor]],'NHL Model'!$A$6:$B$38,2,FALSE)</f>
        <v>0.24561340747691926</v>
      </c>
      <c r="J905">
        <f>($B$1+Table4[[#This Row],[Home Differential]])-Table4[[#This Row],[Away Differential]]</f>
        <v>-0.19761558362402681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0.51158413257608548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9.0184826596604858E-2</v>
      </c>
      <c r="H906" t="s">
        <v>25</v>
      </c>
      <c r="I906">
        <f>VLOOKUP(Table4[[#This Row],[Visitor]],'NHL Model'!$A$6:$B$38,2,FALSE)</f>
        <v>0.47905090860407873</v>
      </c>
      <c r="J906">
        <f>($B$1+Table4[[#This Row],[Home Differential]])-Table4[[#This Row],[Away Differential]]</f>
        <v>-0.34058482871882245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0.57140328277478147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-2.8950318025217449E-2</v>
      </c>
      <c r="H907" t="s">
        <v>36</v>
      </c>
      <c r="I907">
        <f>VLOOKUP(Table4[[#This Row],[Visitor]],'NHL Model'!$A$6:$B$38,2,FALSE)</f>
        <v>-0.23108682001987857</v>
      </c>
      <c r="J907">
        <f>($B$1+Table4[[#This Row],[Home Differential]])-Table4[[#This Row],[Away Differential]]</f>
        <v>0.2504177552833125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0.59101339283265741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0.66987960668864954</v>
      </c>
      <c r="H908" t="s">
        <v>11</v>
      </c>
      <c r="I908">
        <f>VLOOKUP(Table4[[#This Row],[Visitor]],'NHL Model'!$A$6:$B$38,2,FALSE)</f>
        <v>-0.3510442662416135</v>
      </c>
      <c r="J908">
        <f>($B$1+Table4[[#This Row],[Home Differential]])-Table4[[#This Row],[Away Differential]]</f>
        <v>1.0692051262189144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0.67575984812270895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9.2938870272174581E-2</v>
      </c>
      <c r="H909" t="s">
        <v>13</v>
      </c>
      <c r="I909">
        <f>VLOOKUP(Table4[[#This Row],[Visitor]],'NHL Model'!$A$6:$B$38,2,FALSE)</f>
        <v>-0.19390166761644689</v>
      </c>
      <c r="J909">
        <f>($B$1+Table4[[#This Row],[Home Differential]])-Table4[[#This Row],[Away Differential]]</f>
        <v>0.33512179117727287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0.51184228469246551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0.84902697115371384</v>
      </c>
      <c r="H910" t="s">
        <v>29</v>
      </c>
      <c r="I910">
        <f>VLOOKUP(Table4[[#This Row],[Visitor]],'NHL Model'!$A$6:$B$38,2,FALSE)</f>
        <v>-0.90025837753161619</v>
      </c>
      <c r="J910">
        <f>($B$1+Table4[[#This Row],[Home Differential]])-Table4[[#This Row],[Away Differential]]</f>
        <v>1.7975666019739815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0.77071460713145323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0.17827516980235869</v>
      </c>
      <c r="H911" t="s">
        <v>17</v>
      </c>
      <c r="I911">
        <f>VLOOKUP(Table4[[#This Row],[Visitor]],'NHL Model'!$A$6:$B$38,2,FALSE)</f>
        <v>-0.41671190768559452</v>
      </c>
      <c r="J911">
        <f>($B$1+Table4[[#This Row],[Home Differential]])-Table4[[#This Row],[Away Differential]]</f>
        <v>0.64326833077660461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0.68151716316181277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0.7564009584796878</v>
      </c>
      <c r="H912" t="s">
        <v>32</v>
      </c>
      <c r="I912">
        <f>VLOOKUP(Table4[[#This Row],[Visitor]],'NHL Model'!$A$6:$B$38,2,FALSE)</f>
        <v>-0.56616527987265597</v>
      </c>
      <c r="J912">
        <f>($B$1+Table4[[#This Row],[Home Differential]])-Table4[[#This Row],[Away Differential]]</f>
        <v>1.3708474916409952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0.73899077818382763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-0.19390166761644689</v>
      </c>
      <c r="H913" t="s">
        <v>20</v>
      </c>
      <c r="I913">
        <f>VLOOKUP(Table4[[#This Row],[Visitor]],'NHL Model'!$A$6:$B$38,2,FALSE)</f>
        <v>9.2938870272174581E-2</v>
      </c>
      <c r="J913">
        <f>($B$1+Table4[[#This Row],[Home Differential]])-Table4[[#This Row],[Away Differential]]</f>
        <v>-0.23855928459997006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0.50793237895726961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-2.8342943575894393E-4</v>
      </c>
      <c r="H914" t="s">
        <v>23</v>
      </c>
      <c r="I914">
        <f>VLOOKUP(Table4[[#This Row],[Visitor]],'NHL Model'!$A$6:$B$38,2,FALSE)</f>
        <v>-0.40965500817719275</v>
      </c>
      <c r="J914">
        <f>($B$1+Table4[[#This Row],[Home Differential]])-Table4[[#This Row],[Away Differential]]</f>
        <v>0.45765283203008522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0.63501141764402846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0.66987960668864954</v>
      </c>
      <c r="H915" t="s">
        <v>19</v>
      </c>
      <c r="I915">
        <f>VLOOKUP(Table4[[#This Row],[Visitor]],'NHL Model'!$A$6:$B$38,2,FALSE)</f>
        <v>-8.5089305365893694E-2</v>
      </c>
      <c r="J915">
        <f>($B$1+Table4[[#This Row],[Home Differential]])-Table4[[#This Row],[Away Differential]]</f>
        <v>0.8032501653431946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0.64547733773655835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0.15493687588867713</v>
      </c>
      <c r="H916" t="s">
        <v>12</v>
      </c>
      <c r="I916">
        <f>VLOOKUP(Table4[[#This Row],[Visitor]],'NHL Model'!$A$6:$B$38,2,FALSE)</f>
        <v>1.6584974384060074</v>
      </c>
      <c r="J916">
        <f>($B$1+Table4[[#This Row],[Home Differential]])-Table4[[#This Row],[Away Differential]]</f>
        <v>-1.4552793092286789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0.63882118900748375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-0.77107712767799974</v>
      </c>
      <c r="H917" t="s">
        <v>40</v>
      </c>
      <c r="I917">
        <f>VLOOKUP(Table4[[#This Row],[Visitor]],'NHL Model'!$A$6:$B$38,2,FALSE)</f>
        <v>-3.3785654828041967E-2</v>
      </c>
      <c r="J917">
        <f>($B$1+Table4[[#This Row],[Home Differential]])-Table4[[#This Row],[Away Differential]]</f>
        <v>-0.68901021956130637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0.54202913857772517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0.84902697115371384</v>
      </c>
      <c r="H918" t="s">
        <v>27</v>
      </c>
      <c r="I918">
        <f>VLOOKUP(Table4[[#This Row],[Visitor]],'NHL Model'!$A$6:$B$38,2,FALSE)</f>
        <v>-2.8950318025217449E-2</v>
      </c>
      <c r="J918">
        <f>($B$1+Table4[[#This Row],[Home Differential]])-Table4[[#This Row],[Away Differential]]</f>
        <v>0.92625854246758266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0.62927638120588847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2.6215642141022087E-2</v>
      </c>
      <c r="H919" t="s">
        <v>28</v>
      </c>
      <c r="I919">
        <f>VLOOKUP(Table4[[#This Row],[Visitor]],'NHL Model'!$A$6:$B$38,2,FALSE)</f>
        <v>-0.28376306754383246</v>
      </c>
      <c r="J919">
        <f>($B$1+Table4[[#This Row],[Home Differential]])-Table4[[#This Row],[Away Differential]]</f>
        <v>0.35825996297350593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0.62902795695786706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0.47905090860407873</v>
      </c>
      <c r="H920" t="s">
        <v>37</v>
      </c>
      <c r="I920">
        <f>VLOOKUP(Table4[[#This Row],[Visitor]],'NHL Model'!$A$6:$B$38,2,FALSE)</f>
        <v>0.66987960668864954</v>
      </c>
      <c r="J920">
        <f>($B$1+Table4[[#This Row],[Home Differential]])-Table4[[#This Row],[Away Differential]]</f>
        <v>-0.14254744479591941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0.51623092294777251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1.6584974384060074</v>
      </c>
      <c r="H921" t="s">
        <v>34</v>
      </c>
      <c r="I921">
        <f>VLOOKUP(Table4[[#This Row],[Visitor]],'NHL Model'!$A$6:$B$38,2,FALSE)</f>
        <v>5.1566962112876508E-2</v>
      </c>
      <c r="J921">
        <f>($B$1+Table4[[#This Row],[Home Differential]])-Table4[[#This Row],[Away Differential]]</f>
        <v>1.6552117295817823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0.79957898637575586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-0.3510442662416135</v>
      </c>
      <c r="H922" t="s">
        <v>19</v>
      </c>
      <c r="I922">
        <f>VLOOKUP(Table4[[#This Row],[Visitor]],'NHL Model'!$A$6:$B$38,2,FALSE)</f>
        <v>-8.5089305365893694E-2</v>
      </c>
      <c r="J922">
        <f>($B$1+Table4[[#This Row],[Home Differential]])-Table4[[#This Row],[Away Differential]]</f>
        <v>-0.21767370758706839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0.48478504739709521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-0.19390166761644689</v>
      </c>
      <c r="H923" t="s">
        <v>17</v>
      </c>
      <c r="I923">
        <f>VLOOKUP(Table4[[#This Row],[Visitor]],'NHL Model'!$A$6:$B$38,2,FALSE)</f>
        <v>-0.41671190768559452</v>
      </c>
      <c r="J923">
        <f>($B$1+Table4[[#This Row],[Home Differential]])-Table4[[#This Row],[Away Differential]]</f>
        <v>0.27109149335779903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0.57086737294229617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-0.36560113761686208</v>
      </c>
      <c r="H924" t="s">
        <v>30</v>
      </c>
      <c r="I924">
        <f>VLOOKUP(Table4[[#This Row],[Visitor]],'NHL Model'!$A$6:$B$38,2,FALSE)</f>
        <v>0.24561340747691926</v>
      </c>
      <c r="J924">
        <f>($B$1+Table4[[#This Row],[Home Differential]])-Table4[[#This Row],[Away Differential]]</f>
        <v>-0.56293329180512997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0.59672061327534753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-0.90025837753161619</v>
      </c>
      <c r="H925" t="s">
        <v>10</v>
      </c>
      <c r="I925">
        <f>VLOOKUP(Table4[[#This Row],[Visitor]],'NHL Model'!$A$6:$B$38,2,FALSE)</f>
        <v>2.5996227684575345E-2</v>
      </c>
      <c r="J925">
        <f>($B$1+Table4[[#This Row],[Home Differential]])-Table4[[#This Row],[Away Differential]]</f>
        <v>-0.87797335192754011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0.56079843918641736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9.0184826596604858E-2</v>
      </c>
      <c r="H926" t="s">
        <v>27</v>
      </c>
      <c r="I926">
        <f>VLOOKUP(Table4[[#This Row],[Visitor]],'NHL Model'!$A$6:$B$38,2,FALSE)</f>
        <v>-2.8950318025217449E-2</v>
      </c>
      <c r="J926">
        <f>($B$1+Table4[[#This Row],[Home Differential]])-Table4[[#This Row],[Away Differential]]</f>
        <v>0.16741639791047372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0.51655002128604333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-0.23108682001987857</v>
      </c>
      <c r="H927" t="s">
        <v>26</v>
      </c>
      <c r="I927">
        <f>VLOOKUP(Table4[[#This Row],[Visitor]],'NHL Model'!$A$6:$B$38,2,FALSE)</f>
        <v>-0.60099633616081094</v>
      </c>
      <c r="J927">
        <f>($B$1+Table4[[#This Row],[Home Differential]])-Table4[[#This Row],[Away Differential]]</f>
        <v>0.41819076942958378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0.58761658243540527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0.17535803439735015</v>
      </c>
      <c r="H928" t="s">
        <v>24</v>
      </c>
      <c r="I928">
        <f>VLOOKUP(Table4[[#This Row],[Visitor]],'NHL Model'!$A$6:$B$38,2,FALSE)</f>
        <v>-2.8342943575894393E-4</v>
      </c>
      <c r="J928">
        <f>($B$1+Table4[[#This Row],[Home Differential]])-Table4[[#This Row],[Away Differential]]</f>
        <v>0.22392271712176048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0.54472734949611534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-0.47218252282767964</v>
      </c>
      <c r="H929" t="s">
        <v>16</v>
      </c>
      <c r="I929">
        <f>VLOOKUP(Table4[[#This Row],[Visitor]],'NHL Model'!$A$6:$B$38,2,FALSE)</f>
        <v>-0.81412334763558081</v>
      </c>
      <c r="J929">
        <f>($B$1+Table4[[#This Row],[Home Differential]])-Table4[[#This Row],[Away Differential]]</f>
        <v>0.39022207809655257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0.58443197485000531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-1.1754320402170535</v>
      </c>
      <c r="H930" t="s">
        <v>32</v>
      </c>
      <c r="I930">
        <f>VLOOKUP(Table4[[#This Row],[Visitor]],'NHL Model'!$A$6:$B$38,2,FALSE)</f>
        <v>-0.56616527987265597</v>
      </c>
      <c r="J930">
        <f>($B$1+Table4[[#This Row],[Home Differential]])-Table4[[#This Row],[Away Differential]]</f>
        <v>-0.56098550705574612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0.52387566296172261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0.17827516980235869</v>
      </c>
      <c r="H931" t="s">
        <v>40</v>
      </c>
      <c r="I931">
        <f>VLOOKUP(Table4[[#This Row],[Visitor]],'NHL Model'!$A$6:$B$38,2,FALSE)</f>
        <v>-3.3785654828041967E-2</v>
      </c>
      <c r="J931">
        <f>($B$1+Table4[[#This Row],[Home Differential]])-Table4[[#This Row],[Away Differential]]</f>
        <v>0.26034207791905206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0.63448211866883808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-0.3510442662416135</v>
      </c>
      <c r="H932" t="s">
        <v>23</v>
      </c>
      <c r="I932">
        <f>VLOOKUP(Table4[[#This Row],[Visitor]],'NHL Model'!$A$6:$B$38,2,FALSE)</f>
        <v>-0.40965500817719275</v>
      </c>
      <c r="J932">
        <f>($B$1+Table4[[#This Row],[Home Differential]])-Table4[[#This Row],[Away Differential]]</f>
        <v>0.10689199522423065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0.55217107567730894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0.15493687588867713</v>
      </c>
      <c r="H933" t="s">
        <v>34</v>
      </c>
      <c r="I933">
        <f>VLOOKUP(Table4[[#This Row],[Visitor]],'NHL Model'!$A$6:$B$38,2,FALSE)</f>
        <v>5.1566962112876508E-2</v>
      </c>
      <c r="J933">
        <f>($B$1+Table4[[#This Row],[Home Differential]])-Table4[[#This Row],[Away Differential]]</f>
        <v>0.15165116706445203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0.55893416950466457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0.84902697115371384</v>
      </c>
      <c r="H934" t="s">
        <v>20</v>
      </c>
      <c r="I934">
        <f>VLOOKUP(Table4[[#This Row],[Visitor]],'NHL Model'!$A$6:$B$38,2,FALSE)</f>
        <v>9.2938870272174581E-2</v>
      </c>
      <c r="J934">
        <f>($B$1+Table4[[#This Row],[Home Differential]])-Table4[[#This Row],[Away Differential]]</f>
        <v>0.80436935417019062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0.63704269722939666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0.47905090860407873</v>
      </c>
      <c r="H935" t="s">
        <v>26</v>
      </c>
      <c r="I935">
        <f>VLOOKUP(Table4[[#This Row],[Visitor]],'NHL Model'!$A$6:$B$38,2,FALSE)</f>
        <v>-0.60099633616081094</v>
      </c>
      <c r="J935">
        <f>($B$1+Table4[[#This Row],[Home Differential]])-Table4[[#This Row],[Away Differential]]</f>
        <v>1.1283284980535411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0.70072127585434374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-0.28376306754383246</v>
      </c>
      <c r="H936" t="s">
        <v>30</v>
      </c>
      <c r="I936">
        <f>VLOOKUP(Table4[[#This Row],[Visitor]],'NHL Model'!$A$6:$B$38,2,FALSE)</f>
        <v>0.24561340747691926</v>
      </c>
      <c r="J936">
        <f>($B$1+Table4[[#This Row],[Home Differential]])-Table4[[#This Row],[Away Differential]]</f>
        <v>-0.48109522173210029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0.58740226027749876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1.6584974384060074</v>
      </c>
      <c r="H937" t="s">
        <v>10</v>
      </c>
      <c r="I937">
        <f>VLOOKUP(Table4[[#This Row],[Visitor]],'NHL Model'!$A$6:$B$38,2,FALSE)</f>
        <v>2.5996227684575345E-2</v>
      </c>
      <c r="J937">
        <f>($B$1+Table4[[#This Row],[Home Differential]])-Table4[[#This Row],[Away Differential]]</f>
        <v>1.6807824640100835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0.83843826708500635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0.7564009584796878</v>
      </c>
      <c r="H938" t="s">
        <v>29</v>
      </c>
      <c r="I938">
        <f>VLOOKUP(Table4[[#This Row],[Visitor]],'NHL Model'!$A$6:$B$38,2,FALSE)</f>
        <v>-0.90025837753161619</v>
      </c>
      <c r="J938">
        <f>($B$1+Table4[[#This Row],[Home Differential]])-Table4[[#This Row],[Away Differential]]</f>
        <v>1.7049405892999554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0.77703172190785319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-0.19390166761644689</v>
      </c>
      <c r="H939" t="s">
        <v>16</v>
      </c>
      <c r="I939">
        <f>VLOOKUP(Table4[[#This Row],[Visitor]],'NHL Model'!$A$6:$B$38,2,FALSE)</f>
        <v>-0.81412334763558081</v>
      </c>
      <c r="J939">
        <f>($B$1+Table4[[#This Row],[Home Differential]])-Table4[[#This Row],[Away Differential]]</f>
        <v>0.66850293330778532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0.61611795228187194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-0.36560113761686208</v>
      </c>
      <c r="H940" t="s">
        <v>22</v>
      </c>
      <c r="I940">
        <f>VLOOKUP(Table4[[#This Row],[Visitor]],'NHL Model'!$A$6:$B$38,2,FALSE)</f>
        <v>0.84902697115371384</v>
      </c>
      <c r="J940">
        <f>($B$1+Table4[[#This Row],[Home Differential]])-Table4[[#This Row],[Away Differential]]</f>
        <v>-1.1663468554819245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0.64694292329129122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9.0184826596604858E-2</v>
      </c>
      <c r="H941" t="s">
        <v>14</v>
      </c>
      <c r="I941">
        <f>VLOOKUP(Table4[[#This Row],[Visitor]],'NHL Model'!$A$6:$B$38,2,FALSE)</f>
        <v>0.17535803439735015</v>
      </c>
      <c r="J941">
        <f>($B$1+Table4[[#This Row],[Home Differential]])-Table4[[#This Row],[Away Differential]]</f>
        <v>-3.6891954512093872E-2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0.51833945728829955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-2.8950318025217449E-2</v>
      </c>
      <c r="H942" t="s">
        <v>21</v>
      </c>
      <c r="I942">
        <f>VLOOKUP(Table4[[#This Row],[Visitor]],'NHL Model'!$A$6:$B$38,2,FALSE)</f>
        <v>2.6215642141022087E-2</v>
      </c>
      <c r="J942">
        <f>($B$1+Table4[[#This Row],[Home Differential]])-Table4[[#This Row],[Away Differential]]</f>
        <v>-6.8847068775881315E-3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0.43474617961858375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-0.56616527987265597</v>
      </c>
      <c r="H943" t="s">
        <v>38</v>
      </c>
      <c r="I943">
        <f>VLOOKUP(Table4[[#This Row],[Visitor]],'NHL Model'!$A$6:$B$38,2,FALSE)</f>
        <v>-0.77107712767799974</v>
      </c>
      <c r="J943">
        <f>($B$1+Table4[[#This Row],[Home Differential]])-Table4[[#This Row],[Away Differential]]</f>
        <v>0.25319310109399518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0.56882940287458494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-0.47218252282767964</v>
      </c>
      <c r="H944" t="s">
        <v>17</v>
      </c>
      <c r="I944">
        <f>VLOOKUP(Table4[[#This Row],[Visitor]],'NHL Model'!$A$6:$B$38,2,FALSE)</f>
        <v>-0.41671190768559452</v>
      </c>
      <c r="J944">
        <f>($B$1+Table4[[#This Row],[Home Differential]])-Table4[[#This Row],[Away Differential]]</f>
        <v>-7.1893618534337178E-3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0.46081860448957046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-1.1754320402170535</v>
      </c>
      <c r="H945" t="s">
        <v>24</v>
      </c>
      <c r="I945">
        <f>VLOOKUP(Table4[[#This Row],[Visitor]],'NHL Model'!$A$6:$B$38,2,FALSE)</f>
        <v>-2.8342943575894393E-4</v>
      </c>
      <c r="J945">
        <f>($B$1+Table4[[#This Row],[Home Differential]])-Table4[[#This Row],[Away Differential]]</f>
        <v>-1.1268673574926431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0.60907807052436236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0.66987960668864954</v>
      </c>
      <c r="H946" t="s">
        <v>23</v>
      </c>
      <c r="I946">
        <f>VLOOKUP(Table4[[#This Row],[Visitor]],'NHL Model'!$A$6:$B$38,2,FALSE)</f>
        <v>-0.40965500817719275</v>
      </c>
      <c r="J946">
        <f>($B$1+Table4[[#This Row],[Home Differential]])-Table4[[#This Row],[Away Differential]]</f>
        <v>1.1278158681544936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0.68243346081096246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-8.5089305365893694E-2</v>
      </c>
      <c r="H947" t="s">
        <v>36</v>
      </c>
      <c r="I947">
        <f>VLOOKUP(Table4[[#This Row],[Visitor]],'NHL Model'!$A$6:$B$38,2,FALSE)</f>
        <v>-0.23108682001987857</v>
      </c>
      <c r="J947">
        <f>($B$1+Table4[[#This Row],[Home Differential]])-Table4[[#This Row],[Away Differential]]</f>
        <v>0.19427876794263627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0.55854506334723897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0.17827516980235869</v>
      </c>
      <c r="H948" t="s">
        <v>16</v>
      </c>
      <c r="I948">
        <f>VLOOKUP(Table4[[#This Row],[Visitor]],'NHL Model'!$A$6:$B$38,2,FALSE)</f>
        <v>-0.81412334763558081</v>
      </c>
      <c r="J948">
        <f>($B$1+Table4[[#This Row],[Home Differential]])-Table4[[#This Row],[Away Differential]]</f>
        <v>1.0406797707265909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0.72676774250138854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5.1566962112876508E-2</v>
      </c>
      <c r="H949" t="s">
        <v>35</v>
      </c>
      <c r="I949">
        <f>VLOOKUP(Table4[[#This Row],[Visitor]],'NHL Model'!$A$6:$B$38,2,FALSE)</f>
        <v>-1.1754320402170535</v>
      </c>
      <c r="J949">
        <f>($B$1+Table4[[#This Row],[Home Differential]])-Table4[[#This Row],[Away Differential]]</f>
        <v>1.2752802556185814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0.68520762259467283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0.24561340747691926</v>
      </c>
      <c r="H950" t="s">
        <v>11</v>
      </c>
      <c r="I950">
        <f>VLOOKUP(Table4[[#This Row],[Visitor]],'NHL Model'!$A$6:$B$38,2,FALSE)</f>
        <v>-0.3510442662416135</v>
      </c>
      <c r="J950">
        <f>($B$1+Table4[[#This Row],[Home Differential]])-Table4[[#This Row],[Away Differential]]</f>
        <v>0.64493892700718414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0.61343487668445629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0.17535803439735015</v>
      </c>
      <c r="H951" t="s">
        <v>20</v>
      </c>
      <c r="I951">
        <f>VLOOKUP(Table4[[#This Row],[Visitor]],'NHL Model'!$A$6:$B$38,2,FALSE)</f>
        <v>9.2938870272174581E-2</v>
      </c>
      <c r="J951">
        <f>($B$1+Table4[[#This Row],[Home Differential]])-Table4[[#This Row],[Away Differential]]</f>
        <v>0.13070041741382699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0.53411275050600471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-0.47218252282767964</v>
      </c>
      <c r="H952" t="s">
        <v>40</v>
      </c>
      <c r="I952">
        <f>VLOOKUP(Table4[[#This Row],[Visitor]],'NHL Model'!$A$6:$B$38,2,FALSE)</f>
        <v>-3.3785654828041967E-2</v>
      </c>
      <c r="J952">
        <f>($B$1+Table4[[#This Row],[Home Differential]])-Table4[[#This Row],[Away Differential]]</f>
        <v>-0.39011561471098627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0.50799601151763674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0.15493687588867713</v>
      </c>
      <c r="H953" t="s">
        <v>10</v>
      </c>
      <c r="I953">
        <f>VLOOKUP(Table4[[#This Row],[Visitor]],'NHL Model'!$A$6:$B$38,2,FALSE)</f>
        <v>2.5996227684575345E-2</v>
      </c>
      <c r="J953">
        <f>($B$1+Table4[[#This Row],[Home Differential]])-Table4[[#This Row],[Away Differential]]</f>
        <v>0.17722190149275319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0.59979690552385212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-0.19390166761644689</v>
      </c>
      <c r="H954" t="s">
        <v>12</v>
      </c>
      <c r="I954">
        <f>VLOOKUP(Table4[[#This Row],[Visitor]],'NHL Model'!$A$6:$B$38,2,FALSE)</f>
        <v>1.6584974384060074</v>
      </c>
      <c r="J954">
        <f>($B$1+Table4[[#This Row],[Home Differential]])-Table4[[#This Row],[Away Differential]]</f>
        <v>-1.8041178527338029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0.71956163581566746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-0.90025837753161619</v>
      </c>
      <c r="H955" t="s">
        <v>26</v>
      </c>
      <c r="I955">
        <f>VLOOKUP(Table4[[#This Row],[Visitor]],'NHL Model'!$A$6:$B$38,2,FALSE)</f>
        <v>-0.60099633616081094</v>
      </c>
      <c r="J955">
        <f>($B$1+Table4[[#This Row],[Home Differential]])-Table4[[#This Row],[Away Differential]]</f>
        <v>-0.25098078808215385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0.48857750160702479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9.0184826596604858E-2</v>
      </c>
      <c r="H956" t="s">
        <v>28</v>
      </c>
      <c r="I956">
        <f>VLOOKUP(Table4[[#This Row],[Visitor]],'NHL Model'!$A$6:$B$38,2,FALSE)</f>
        <v>-0.28376306754383246</v>
      </c>
      <c r="J956">
        <f>($B$1+Table4[[#This Row],[Home Differential]])-Table4[[#This Row],[Away Differential]]</f>
        <v>0.42222914742908874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0.58450024655418498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-0.56616527987265597</v>
      </c>
      <c r="H957" t="s">
        <v>25</v>
      </c>
      <c r="I957">
        <f>VLOOKUP(Table4[[#This Row],[Visitor]],'NHL Model'!$A$6:$B$38,2,FALSE)</f>
        <v>0.47905090860407873</v>
      </c>
      <c r="J957">
        <f>($B$1+Table4[[#This Row],[Home Differential]])-Table4[[#This Row],[Away Differential]]</f>
        <v>-0.99693493518808329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0.64613747404784605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-8.5089305365893694E-2</v>
      </c>
      <c r="H958" t="s">
        <v>27</v>
      </c>
      <c r="I958">
        <f>VLOOKUP(Table4[[#This Row],[Visitor]],'NHL Model'!$A$6:$B$38,2,FALSE)</f>
        <v>-2.8950318025217449E-2</v>
      </c>
      <c r="J958">
        <f>($B$1+Table4[[#This Row],[Home Differential]])-Table4[[#This Row],[Away Differential]]</f>
        <v>-7.8577340520248409E-3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0.50340727037003596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-0.77107712767799974</v>
      </c>
      <c r="H959" t="s">
        <v>39</v>
      </c>
      <c r="I959">
        <f>VLOOKUP(Table4[[#This Row],[Visitor]],'NHL Model'!$A$6:$B$38,2,FALSE)</f>
        <v>0.7564009584796878</v>
      </c>
      <c r="J959">
        <f>($B$1+Table4[[#This Row],[Home Differential]])-Table4[[#This Row],[Away Differential]]</f>
        <v>-1.4791968328690361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0.72091242553240509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0.17827516980235869</v>
      </c>
      <c r="H960" t="s">
        <v>12</v>
      </c>
      <c r="I960">
        <f>VLOOKUP(Table4[[#This Row],[Visitor]],'NHL Model'!$A$6:$B$38,2,FALSE)</f>
        <v>1.6584974384060074</v>
      </c>
      <c r="J960">
        <f>($B$1+Table4[[#This Row],[Home Differential]])-Table4[[#This Row],[Away Differential]]</f>
        <v>-1.4319410153149974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0.60748997864260068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2.6215642141022087E-2</v>
      </c>
      <c r="H961" t="s">
        <v>14</v>
      </c>
      <c r="I961">
        <f>VLOOKUP(Table4[[#This Row],[Visitor]],'NHL Model'!$A$6:$B$38,2,FALSE)</f>
        <v>0.17535803439735015</v>
      </c>
      <c r="J961">
        <f>($B$1+Table4[[#This Row],[Home Differential]])-Table4[[#This Row],[Away Differential]]</f>
        <v>-0.10086113896767665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0.47302284400040373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-0.40965500817719275</v>
      </c>
      <c r="H962" t="s">
        <v>20</v>
      </c>
      <c r="I962">
        <f>VLOOKUP(Table4[[#This Row],[Visitor]],'NHL Model'!$A$6:$B$38,2,FALSE)</f>
        <v>9.2938870272174581E-2</v>
      </c>
      <c r="J962">
        <f>($B$1+Table4[[#This Row],[Home Differential]])-Table4[[#This Row],[Away Differential]]</f>
        <v>-0.45431262516071591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0.52231777154600079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-0.28376306754383246</v>
      </c>
      <c r="H963" t="s">
        <v>29</v>
      </c>
      <c r="I963">
        <f>VLOOKUP(Table4[[#This Row],[Visitor]],'NHL Model'!$A$6:$B$38,2,FALSE)</f>
        <v>-0.90025837753161619</v>
      </c>
      <c r="J963">
        <f>($B$1+Table4[[#This Row],[Home Differential]])-Table4[[#This Row],[Away Differential]]</f>
        <v>0.66477656327643508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0.61569365548061872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-0.81412334763558081</v>
      </c>
      <c r="H964" t="s">
        <v>39</v>
      </c>
      <c r="I964">
        <f>VLOOKUP(Table4[[#This Row],[Visitor]],'NHL Model'!$A$6:$B$38,2,FALSE)</f>
        <v>0.7564009584796878</v>
      </c>
      <c r="J964">
        <f>($B$1+Table4[[#This Row],[Home Differential]])-Table4[[#This Row],[Away Differential]]</f>
        <v>-1.5222430528266173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0.72581381033326653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-0.41671190768559452</v>
      </c>
      <c r="H965" t="s">
        <v>36</v>
      </c>
      <c r="I965">
        <f>VLOOKUP(Table4[[#This Row],[Visitor]],'NHL Model'!$A$6:$B$38,2,FALSE)</f>
        <v>-0.23108682001987857</v>
      </c>
      <c r="J965">
        <f>($B$1+Table4[[#This Row],[Home Differential]])-Table4[[#This Row],[Away Differential]]</f>
        <v>-0.13734383437706454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0.47671626698754138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5.1566962112876508E-2</v>
      </c>
      <c r="H966" t="s">
        <v>37</v>
      </c>
      <c r="I966">
        <f>VLOOKUP(Table4[[#This Row],[Visitor]],'NHL Model'!$A$6:$B$38,2,FALSE)</f>
        <v>0.66987960668864954</v>
      </c>
      <c r="J966">
        <f>($B$1+Table4[[#This Row],[Home Differential]])-Table4[[#This Row],[Away Differential]]</f>
        <v>-0.57003139128712166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0.59752882632983462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-2.8342943575894393E-4</v>
      </c>
      <c r="H967" t="s">
        <v>11</v>
      </c>
      <c r="I967">
        <f>VLOOKUP(Table4[[#This Row],[Visitor]],'NHL Model'!$A$6:$B$38,2,FALSE)</f>
        <v>-0.3510442662416135</v>
      </c>
      <c r="J967">
        <f>($B$1+Table4[[#This Row],[Home Differential]])-Table4[[#This Row],[Away Differential]]</f>
        <v>0.39904209009450597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0.62833780495577485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-0.47218252282767964</v>
      </c>
      <c r="H968" t="s">
        <v>18</v>
      </c>
      <c r="I968">
        <f>VLOOKUP(Table4[[#This Row],[Visitor]],'NHL Model'!$A$6:$B$38,2,FALSE)</f>
        <v>-0.36560113761686208</v>
      </c>
      <c r="J968">
        <f>($B$1+Table4[[#This Row],[Home Differential]])-Table4[[#This Row],[Away Differential]]</f>
        <v>-5.8300131922166154E-2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0.52592607943396752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-3.3785654828041967E-2</v>
      </c>
      <c r="H969" t="s">
        <v>10</v>
      </c>
      <c r="I969">
        <f>VLOOKUP(Table4[[#This Row],[Visitor]],'NHL Model'!$A$6:$B$38,2,FALSE)</f>
        <v>2.5996227684575345E-2</v>
      </c>
      <c r="J969">
        <f>($B$1+Table4[[#This Row],[Home Differential]])-Table4[[#This Row],[Away Differential]]</f>
        <v>-1.1500629223965907E-2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0.44302729104502331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0.84902697115371384</v>
      </c>
      <c r="H970" t="s">
        <v>55</v>
      </c>
      <c r="I970">
        <f>VLOOKUP(Table4[[#This Row],[Visitor]],'NHL Model'!$A$6:$B$38,2,FALSE)</f>
        <v>0.15493687588867713</v>
      </c>
      <c r="J970">
        <f>($B$1+Table4[[#This Row],[Home Differential]])-Table4[[#This Row],[Away Differential]]</f>
        <v>0.74237134855368814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0.6505665899036458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0.17827516980235869</v>
      </c>
      <c r="H971" t="s">
        <v>30</v>
      </c>
      <c r="I971">
        <f>VLOOKUP(Table4[[#This Row],[Visitor]],'NHL Model'!$A$6:$B$38,2,FALSE)</f>
        <v>0.24561340747691926</v>
      </c>
      <c r="J971">
        <f>($B$1+Table4[[#This Row],[Home Differential]])-Table4[[#This Row],[Away Differential]]</f>
        <v>-1.9056984385909165E-2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0.46497980854933491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-0.60099633616081094</v>
      </c>
      <c r="H972" t="s">
        <v>20</v>
      </c>
      <c r="I972">
        <f>VLOOKUP(Table4[[#This Row],[Visitor]],'NHL Model'!$A$6:$B$38,2,FALSE)</f>
        <v>9.2938870272174581E-2</v>
      </c>
      <c r="J972">
        <f>($B$1+Table4[[#This Row],[Home Differential]])-Table4[[#This Row],[Away Differential]]</f>
        <v>-0.64565395314433416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0.54410452721652747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-2.8342943575894393E-4</v>
      </c>
      <c r="H973" t="s">
        <v>19</v>
      </c>
      <c r="I973">
        <f>VLOOKUP(Table4[[#This Row],[Visitor]],'NHL Model'!$A$6:$B$38,2,FALSE)</f>
        <v>-8.5089305365893694E-2</v>
      </c>
      <c r="J973">
        <f>($B$1+Table4[[#This Row],[Home Differential]])-Table4[[#This Row],[Away Differential]]</f>
        <v>0.13308712921878615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0.59805529456962425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-0.56616527987265597</v>
      </c>
      <c r="H974" t="s">
        <v>35</v>
      </c>
      <c r="I974">
        <f>VLOOKUP(Table4[[#This Row],[Visitor]],'NHL Model'!$A$6:$B$38,2,FALSE)</f>
        <v>-1.1754320402170535</v>
      </c>
      <c r="J974">
        <f>($B$1+Table4[[#This Row],[Home Differential]])-Table4[[#This Row],[Away Differential]]</f>
        <v>0.65754801363304893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0.61487058893983348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-0.77107712767799974</v>
      </c>
      <c r="H975" t="s">
        <v>25</v>
      </c>
      <c r="I975">
        <f>VLOOKUP(Table4[[#This Row],[Visitor]],'NHL Model'!$A$6:$B$38,2,FALSE)</f>
        <v>0.47905090860407873</v>
      </c>
      <c r="J975">
        <f>($B$1+Table4[[#This Row],[Home Differential]])-Table4[[#This Row],[Away Differential]]</f>
        <v>-1.2018467829934272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0.66946941393337545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-0.28376306754383246</v>
      </c>
      <c r="H976" t="s">
        <v>11</v>
      </c>
      <c r="I976">
        <f>VLOOKUP(Table4[[#This Row],[Visitor]],'NHL Model'!$A$6:$B$38,2,FALSE)</f>
        <v>-0.3510442662416135</v>
      </c>
      <c r="J976">
        <f>($B$1+Table4[[#This Row],[Home Differential]])-Table4[[#This Row],[Away Differential]]</f>
        <v>0.11556245198643245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0.55315832252575836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-0.81412334763558081</v>
      </c>
      <c r="H977" t="s">
        <v>36</v>
      </c>
      <c r="I977">
        <f>VLOOKUP(Table4[[#This Row],[Visitor]],'NHL Model'!$A$6:$B$38,2,FALSE)</f>
        <v>-0.23108682001987857</v>
      </c>
      <c r="J977">
        <f>($B$1+Table4[[#This Row],[Home Differential]])-Table4[[#This Row],[Away Differential]]</f>
        <v>-0.53475527432705083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0.52446516095613716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-0.19390166761644689</v>
      </c>
      <c r="H978" t="s">
        <v>30</v>
      </c>
      <c r="I978">
        <f>VLOOKUP(Table4[[#This Row],[Visitor]],'NHL Model'!$A$6:$B$38,2,FALSE)</f>
        <v>0.24561340747691926</v>
      </c>
      <c r="J978">
        <f>($B$1+Table4[[#This Row],[Home Differential]])-Table4[[#This Row],[Away Differential]]</f>
        <v>-0.39123382180471478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0.57717034443861082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-0.90025837753161619</v>
      </c>
      <c r="H979" t="s">
        <v>21</v>
      </c>
      <c r="I979">
        <f>VLOOKUP(Table4[[#This Row],[Visitor]],'NHL Model'!$A$6:$B$38,2,FALSE)</f>
        <v>2.6215642141022087E-2</v>
      </c>
      <c r="J979">
        <f>($B$1+Table4[[#This Row],[Home Differential]])-Table4[[#This Row],[Away Differential]]</f>
        <v>-0.87819276638398691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0.55999392935367232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9.0184826596604858E-2</v>
      </c>
      <c r="H980" t="s">
        <v>19</v>
      </c>
      <c r="I980">
        <f>VLOOKUP(Table4[[#This Row],[Visitor]],'NHL Model'!$A$6:$B$38,2,FALSE)</f>
        <v>-8.5089305365893694E-2</v>
      </c>
      <c r="J980">
        <f>($B$1+Table4[[#This Row],[Home Differential]])-Table4[[#This Row],[Away Differential]]</f>
        <v>0.22355538525114999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0.56545475464513473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-2.8950318025217449E-2</v>
      </c>
      <c r="H981" t="s">
        <v>55</v>
      </c>
      <c r="I981">
        <f>VLOOKUP(Table4[[#This Row],[Visitor]],'NHL Model'!$A$6:$B$38,2,FALSE)</f>
        <v>0.15493687588867713</v>
      </c>
      <c r="J981">
        <f>($B$1+Table4[[#This Row],[Home Differential]])-Table4[[#This Row],[Away Differential]]</f>
        <v>-0.13560594062524317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0.44940280450366354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0.17535803439735015</v>
      </c>
      <c r="H982" t="s">
        <v>23</v>
      </c>
      <c r="I982">
        <f>VLOOKUP(Table4[[#This Row],[Visitor]],'NHL Model'!$A$6:$B$38,2,FALSE)</f>
        <v>-0.40965500817719275</v>
      </c>
      <c r="J982">
        <f>($B$1+Table4[[#This Row],[Home Differential]])-Table4[[#This Row],[Away Differential]]</f>
        <v>0.6332942958631943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0.61210898051617413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-3.3785654828041967E-2</v>
      </c>
      <c r="H983" t="s">
        <v>37</v>
      </c>
      <c r="I983">
        <f>VLOOKUP(Table4[[#This Row],[Visitor]],'NHL Model'!$A$6:$B$38,2,FALSE)</f>
        <v>0.66987960668864954</v>
      </c>
      <c r="J983">
        <f>($B$1+Table4[[#This Row],[Home Differential]])-Table4[[#This Row],[Away Differential]]</f>
        <v>-0.6553840082280401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0.58799317209318314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0.17827516980235869</v>
      </c>
      <c r="H984" t="s">
        <v>18</v>
      </c>
      <c r="I984">
        <f>VLOOKUP(Table4[[#This Row],[Visitor]],'NHL Model'!$A$6:$B$38,2,FALSE)</f>
        <v>-0.36560113761686208</v>
      </c>
      <c r="J984">
        <f>($B$1+Table4[[#This Row],[Home Differential]])-Table4[[#This Row],[Away Differential]]</f>
        <v>0.59215756070787218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0.61788373155891407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2.5996227684575345E-2</v>
      </c>
      <c r="H985" t="s">
        <v>38</v>
      </c>
      <c r="I985">
        <f>VLOOKUP(Table4[[#This Row],[Visitor]],'NHL Model'!$A$6:$B$38,2,FALSE)</f>
        <v>-0.77107712767799974</v>
      </c>
      <c r="J985">
        <f>($B$1+Table4[[#This Row],[Home Differential]])-Table4[[#This Row],[Away Differential]]</f>
        <v>0.84535460865122647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0.63625486823847455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0.7564009584796878</v>
      </c>
      <c r="H986" t="s">
        <v>12</v>
      </c>
      <c r="I986">
        <f>VLOOKUP(Table4[[#This Row],[Visitor]],'NHL Model'!$A$6:$B$38,2,FALSE)</f>
        <v>1.6584974384060074</v>
      </c>
      <c r="J986">
        <f>($B$1+Table4[[#This Row],[Home Differential]])-Table4[[#This Row],[Away Differential]]</f>
        <v>-0.85381522663766818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0.56780645744486369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-0.60099633616081094</v>
      </c>
      <c r="H987" t="s">
        <v>11</v>
      </c>
      <c r="I987">
        <f>VLOOKUP(Table4[[#This Row],[Visitor]],'NHL Model'!$A$6:$B$38,2,FALSE)</f>
        <v>-0.3510442662416135</v>
      </c>
      <c r="J987">
        <f>($B$1+Table4[[#This Row],[Home Differential]])-Table4[[#This Row],[Away Differential]]</f>
        <v>-0.20167081663054603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0.47284065598097164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-0.41671190768559452</v>
      </c>
      <c r="H988" t="s">
        <v>25</v>
      </c>
      <c r="I988">
        <f>VLOOKUP(Table4[[#This Row],[Visitor]],'NHL Model'!$A$6:$B$38,2,FALSE)</f>
        <v>0.47905090860407873</v>
      </c>
      <c r="J988">
        <f>($B$1+Table4[[#This Row],[Home Differential]])-Table4[[#This Row],[Away Differential]]</f>
        <v>-0.84748156300102184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0.62661753221451588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-0.47218252282767964</v>
      </c>
      <c r="H989" t="s">
        <v>35</v>
      </c>
      <c r="I989">
        <f>VLOOKUP(Table4[[#This Row],[Visitor]],'NHL Model'!$A$6:$B$38,2,FALSE)</f>
        <v>-1.1754320402170535</v>
      </c>
      <c r="J989">
        <f>($B$1+Table4[[#This Row],[Home Differential]])-Table4[[#This Row],[Away Differential]]</f>
        <v>0.75153077067802521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0.62557177611439241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9.2938870272174581E-2</v>
      </c>
      <c r="H990" t="s">
        <v>34</v>
      </c>
      <c r="I990">
        <f>VLOOKUP(Table4[[#This Row],[Visitor]],'NHL Model'!$A$6:$B$38,2,FALSE)</f>
        <v>5.1566962112876508E-2</v>
      </c>
      <c r="J990">
        <f>($B$1+Table4[[#This Row],[Home Differential]])-Table4[[#This Row],[Away Differential]]</f>
        <v>8.9653161447949464E-2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0.51092147187950487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2.6215642141022087E-2</v>
      </c>
      <c r="H991" t="s">
        <v>22</v>
      </c>
      <c r="I991">
        <f>VLOOKUP(Table4[[#This Row],[Visitor]],'NHL Model'!$A$6:$B$38,2,FALSE)</f>
        <v>0.84902697115371384</v>
      </c>
      <c r="J991">
        <f>($B$1+Table4[[#This Row],[Home Differential]])-Table4[[#This Row],[Away Differential]]</f>
        <v>-0.77453007572404031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0.54972901450001954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-0.40965500817719275</v>
      </c>
      <c r="H992" t="s">
        <v>29</v>
      </c>
      <c r="I992">
        <f>VLOOKUP(Table4[[#This Row],[Visitor]],'NHL Model'!$A$6:$B$38,2,FALSE)</f>
        <v>-0.90025837753161619</v>
      </c>
      <c r="J992">
        <f>($B$1+Table4[[#This Row],[Home Differential]])-Table4[[#This Row],[Away Differential]]</f>
        <v>0.5388846226430748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0.61148143264441535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-0.28376306754383246</v>
      </c>
      <c r="H993" t="s">
        <v>55</v>
      </c>
      <c r="I993">
        <f>VLOOKUP(Table4[[#This Row],[Visitor]],'NHL Model'!$A$6:$B$38,2,FALSE)</f>
        <v>0.15493687588867713</v>
      </c>
      <c r="J993">
        <f>($B$1+Table4[[#This Row],[Home Differential]])-Table4[[#This Row],[Away Differential]]</f>
        <v>-0.39041869014385822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0.50445436174718883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-0.81412334763558081</v>
      </c>
      <c r="H994" t="s">
        <v>25</v>
      </c>
      <c r="I994">
        <f>VLOOKUP(Table4[[#This Row],[Visitor]],'NHL Model'!$A$6:$B$38,2,FALSE)</f>
        <v>0.47905090860407873</v>
      </c>
      <c r="J994">
        <f>($B$1+Table4[[#This Row],[Home Differential]])-Table4[[#This Row],[Away Differential]]</f>
        <v>-1.2448930029510081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0.674370798734237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-0.19390166761644689</v>
      </c>
      <c r="H995" t="s">
        <v>18</v>
      </c>
      <c r="I995">
        <f>VLOOKUP(Table4[[#This Row],[Visitor]],'NHL Model'!$A$6:$B$38,2,FALSE)</f>
        <v>-0.36560113761686208</v>
      </c>
      <c r="J995">
        <f>($B$1+Table4[[#This Row],[Home Differential]])-Table4[[#This Row],[Away Differential]]</f>
        <v>0.21998072328906659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0.505759897997899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-2.8342943575894393E-4</v>
      </c>
      <c r="H996" t="s">
        <v>15</v>
      </c>
      <c r="I996">
        <f>VLOOKUP(Table4[[#This Row],[Visitor]],'NHL Model'!$A$6:$B$38,2,FALSE)</f>
        <v>9.0184826596604858E-2</v>
      </c>
      <c r="J996">
        <f>($B$1+Table4[[#This Row],[Home Differential]])-Table4[[#This Row],[Away Differential]]</f>
        <v>-4.2187002743712398E-2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0.52816803747190844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0.17535803439735015</v>
      </c>
      <c r="H997" t="s">
        <v>27</v>
      </c>
      <c r="I997">
        <f>VLOOKUP(Table4[[#This Row],[Visitor]],'NHL Model'!$A$6:$B$38,2,FALSE)</f>
        <v>-2.8950318025217449E-2</v>
      </c>
      <c r="J997">
        <f>($B$1+Table4[[#This Row],[Home Differential]])-Table4[[#This Row],[Away Differential]]</f>
        <v>0.25258960571121902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0.52624812408267863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-0.56616527987265597</v>
      </c>
      <c r="H998" t="s">
        <v>36</v>
      </c>
      <c r="I998">
        <f>VLOOKUP(Table4[[#This Row],[Visitor]],'NHL Model'!$A$6:$B$38,2,FALSE)</f>
        <v>-0.23108682001987857</v>
      </c>
      <c r="J998">
        <f>($B$1+Table4[[#This Row],[Home Differential]])-Table4[[#This Row],[Away Differential]]</f>
        <v>-0.28679720656412599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0.49623183626974621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-0.47218252282767964</v>
      </c>
      <c r="H999" t="s">
        <v>30</v>
      </c>
      <c r="I999">
        <f>VLOOKUP(Table4[[#This Row],[Visitor]],'NHL Model'!$A$6:$B$38,2,FALSE)</f>
        <v>0.24561340747691926</v>
      </c>
      <c r="J999">
        <f>($B$1+Table4[[#This Row],[Home Differential]])-Table4[[#This Row],[Away Differential]]</f>
        <v>-0.66951467701594747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0.60885632187047745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-8.5089305365893694E-2</v>
      </c>
      <c r="H1000" t="s">
        <v>37</v>
      </c>
      <c r="I1000">
        <f>VLOOKUP(Table4[[#This Row],[Visitor]],'NHL Model'!$A$6:$B$38,2,FALSE)</f>
        <v>0.66987960668864954</v>
      </c>
      <c r="J1000">
        <f>($B$1+Table4[[#This Row],[Home Differential]])-Table4[[#This Row],[Away Differential]]</f>
        <v>-0.70668765876589179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0.61308896036768867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-3.3785654828041967E-2</v>
      </c>
      <c r="H1001" t="s">
        <v>38</v>
      </c>
      <c r="I1001">
        <f>VLOOKUP(Table4[[#This Row],[Visitor]],'NHL Model'!$A$6:$B$38,2,FALSE)</f>
        <v>-0.77107712767799974</v>
      </c>
      <c r="J1001">
        <f>($B$1+Table4[[#This Row],[Home Differential]])-Table4[[#This Row],[Away Differential]]</f>
        <v>0.78557272613860918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0.64855333692534278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0.17827516980235869</v>
      </c>
      <c r="H1002" t="s">
        <v>35</v>
      </c>
      <c r="I1002">
        <f>VLOOKUP(Table4[[#This Row],[Visitor]],'NHL Model'!$A$6:$B$38,2,FALSE)</f>
        <v>-1.1754320402170535</v>
      </c>
      <c r="J1002">
        <f>($B$1+Table4[[#This Row],[Home Differential]])-Table4[[#This Row],[Away Differential]]</f>
        <v>1.4019884633080637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0.76790754376577552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-0.40965500817719275</v>
      </c>
      <c r="H1003" t="s">
        <v>37</v>
      </c>
      <c r="I1003">
        <f>VLOOKUP(Table4[[#This Row],[Visitor]],'NHL Model'!$A$6:$B$38,2,FALSE)</f>
        <v>0.66987960668864954</v>
      </c>
      <c r="J1003">
        <f>($B$1+Table4[[#This Row],[Home Differential]])-Table4[[#This Row],[Away Differential]]</f>
        <v>-1.0312533615771908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0.63987089392607333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1.6584974384060074</v>
      </c>
      <c r="H1004" t="s">
        <v>34</v>
      </c>
      <c r="I1004">
        <f>VLOOKUP(Table4[[#This Row],[Visitor]],'NHL Model'!$A$6:$B$38,2,FALSE)</f>
        <v>5.1566962112876508E-2</v>
      </c>
      <c r="J1004">
        <f>($B$1+Table4[[#This Row],[Home Differential]])-Table4[[#This Row],[Away Differential]]</f>
        <v>1.6552117295817823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0.79957898637575586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0.7564009584796878</v>
      </c>
      <c r="H1005" t="s">
        <v>10</v>
      </c>
      <c r="I1005">
        <f>VLOOKUP(Table4[[#This Row],[Visitor]],'NHL Model'!$A$6:$B$38,2,FALSE)</f>
        <v>2.5996227684575345E-2</v>
      </c>
      <c r="J1005">
        <f>($B$1+Table4[[#This Row],[Home Differential]])-Table4[[#This Row],[Away Differential]]</f>
        <v>0.77868598408376388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0.67075331065459898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-2.8342943575894393E-4</v>
      </c>
      <c r="H1006" t="s">
        <v>26</v>
      </c>
      <c r="I1006">
        <f>VLOOKUP(Table4[[#This Row],[Visitor]],'NHL Model'!$A$6:$B$38,2,FALSE)</f>
        <v>-0.60099633616081094</v>
      </c>
      <c r="J1006">
        <f>($B$1+Table4[[#This Row],[Home Differential]])-Table4[[#This Row],[Away Differential]]</f>
        <v>0.64899416001370336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0.65679817331455503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0.17535803439735015</v>
      </c>
      <c r="H1007" t="s">
        <v>21</v>
      </c>
      <c r="I1007">
        <f>VLOOKUP(Table4[[#This Row],[Visitor]],'NHL Model'!$A$6:$B$38,2,FALSE)</f>
        <v>2.6215642141022087E-2</v>
      </c>
      <c r="J1007">
        <f>($B$1+Table4[[#This Row],[Home Differential]])-Table4[[#This Row],[Away Differential]]</f>
        <v>0.19742364554497946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0.56247930844005312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9.2938870272174581E-2</v>
      </c>
      <c r="H1008" t="s">
        <v>17</v>
      </c>
      <c r="I1008">
        <f>VLOOKUP(Table4[[#This Row],[Visitor]],'NHL Model'!$A$6:$B$38,2,FALSE)</f>
        <v>-0.41671190768559452</v>
      </c>
      <c r="J1008">
        <f>($B$1+Table4[[#This Row],[Home Differential]])-Table4[[#This Row],[Away Differential]]</f>
        <v>0.55793203124642043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0.60352798411939046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2.5996227684575345E-2</v>
      </c>
      <c r="H1009" t="s">
        <v>55</v>
      </c>
      <c r="I1009">
        <f>VLOOKUP(Table4[[#This Row],[Visitor]],'NHL Model'!$A$6:$B$38,2,FALSE)</f>
        <v>0.15493687588867713</v>
      </c>
      <c r="J1009">
        <f>($B$1+Table4[[#This Row],[Home Differential]])-Table4[[#This Row],[Away Differential]]</f>
        <v>-8.0659394915450378E-2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0.4691841451508369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-2.8950318025217449E-2</v>
      </c>
      <c r="H1010" t="s">
        <v>15</v>
      </c>
      <c r="I1010">
        <f>VLOOKUP(Table4[[#This Row],[Visitor]],'NHL Model'!$A$6:$B$38,2,FALSE)</f>
        <v>9.0184826596604858E-2</v>
      </c>
      <c r="J1010">
        <f>($B$1+Table4[[#This Row],[Home Differential]])-Table4[[#This Row],[Away Differential]]</f>
        <v>-7.085389133317091E-2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0.5486081986625434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-0.77107712767799974</v>
      </c>
      <c r="H1011" t="s">
        <v>36</v>
      </c>
      <c r="I1011">
        <f>VLOOKUP(Table4[[#This Row],[Visitor]],'NHL Model'!$A$6:$B$38,2,FALSE)</f>
        <v>-0.23108682001987857</v>
      </c>
      <c r="J1011">
        <f>($B$1+Table4[[#This Row],[Home Differential]])-Table4[[#This Row],[Away Differential]]</f>
        <v>-0.49170905436946977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0.51956377615527571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0.84902697115371384</v>
      </c>
      <c r="H1012" t="s">
        <v>16</v>
      </c>
      <c r="I1012">
        <f>VLOOKUP(Table4[[#This Row],[Visitor]],'NHL Model'!$A$6:$B$38,2,FALSE)</f>
        <v>-0.81412334763558081</v>
      </c>
      <c r="J1012">
        <f>($B$1+Table4[[#This Row],[Home Differential]])-Table4[[#This Row],[Away Differential]]</f>
        <v>1.7114315720779461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0.76090698809381863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2.6215642141022087E-2</v>
      </c>
      <c r="H1013" t="s">
        <v>13</v>
      </c>
      <c r="I1013">
        <f>VLOOKUP(Table4[[#This Row],[Visitor]],'NHL Model'!$A$6:$B$38,2,FALSE)</f>
        <v>-0.19390166761644689</v>
      </c>
      <c r="J1013">
        <f>($B$1+Table4[[#This Row],[Home Differential]])-Table4[[#This Row],[Away Differential]]</f>
        <v>0.26839856304612042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0.55687653647501623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-0.40965500817719275</v>
      </c>
      <c r="H1014" t="s">
        <v>33</v>
      </c>
      <c r="I1014">
        <f>VLOOKUP(Table4[[#This Row],[Visitor]],'NHL Model'!$A$6:$B$38,2,FALSE)</f>
        <v>-0.47218252282767964</v>
      </c>
      <c r="J1014">
        <f>($B$1+Table4[[#This Row],[Home Differential]])-Table4[[#This Row],[Away Differential]]</f>
        <v>0.1108087679391383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0.56273930174583076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0.47905090860407873</v>
      </c>
      <c r="H1015" t="s">
        <v>14</v>
      </c>
      <c r="I1015">
        <f>VLOOKUP(Table4[[#This Row],[Visitor]],'NHL Model'!$A$6:$B$38,2,FALSE)</f>
        <v>0.17535803439735015</v>
      </c>
      <c r="J1015">
        <f>($B$1+Table4[[#This Row],[Home Differential]])-Table4[[#This Row],[Away Differential]]</f>
        <v>0.35197412749537998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0.55859545536691946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1.6584974384060074</v>
      </c>
      <c r="H1016" t="s">
        <v>17</v>
      </c>
      <c r="I1016">
        <f>VLOOKUP(Table4[[#This Row],[Visitor]],'NHL Model'!$A$6:$B$38,2,FALSE)</f>
        <v>-0.41671190768559452</v>
      </c>
      <c r="J1016">
        <f>($B$1+Table4[[#This Row],[Home Differential]])-Table4[[#This Row],[Away Differential]]</f>
        <v>2.1234905993802533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0.88960862010846653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0.7564009584796878</v>
      </c>
      <c r="H1017" t="s">
        <v>20</v>
      </c>
      <c r="I1017">
        <f>VLOOKUP(Table4[[#This Row],[Visitor]],'NHL Model'!$A$6:$B$38,2,FALSE)</f>
        <v>9.2938870272174581E-2</v>
      </c>
      <c r="J1017">
        <f>($B$1+Table4[[#This Row],[Home Differential]])-Table4[[#This Row],[Away Differential]]</f>
        <v>0.71174334149616458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0.64354144799616286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-0.3510442662416135</v>
      </c>
      <c r="H1018" t="s">
        <v>26</v>
      </c>
      <c r="I1018">
        <f>VLOOKUP(Table4[[#This Row],[Visitor]],'NHL Model'!$A$6:$B$38,2,FALSE)</f>
        <v>-0.60099633616081094</v>
      </c>
      <c r="J1018">
        <f>($B$1+Table4[[#This Row],[Home Differential]])-Table4[[#This Row],[Away Differential]]</f>
        <v>0.29823332320784884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0.57395783134783562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5.1566962112876508E-2</v>
      </c>
      <c r="H1019" t="s">
        <v>55</v>
      </c>
      <c r="I1019">
        <f>VLOOKUP(Table4[[#This Row],[Visitor]],'NHL Model'!$A$6:$B$38,2,FALSE)</f>
        <v>0.15493687588867713</v>
      </c>
      <c r="J1019">
        <f>($B$1+Table4[[#This Row],[Home Differential]])-Table4[[#This Row],[Away Differential]]</f>
        <v>-5.5088660487149221E-2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0.4662725768598871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-0.36560113761686208</v>
      </c>
      <c r="H1020" t="s">
        <v>19</v>
      </c>
      <c r="I1020">
        <f>VLOOKUP(Table4[[#This Row],[Visitor]],'NHL Model'!$A$6:$B$38,2,FALSE)</f>
        <v>-8.5089305365893694E-2</v>
      </c>
      <c r="J1020">
        <f>($B$1+Table4[[#This Row],[Home Differential]])-Table4[[#This Row],[Away Differential]]</f>
        <v>-0.23223057896231697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0.48644254085824112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9.0184826596604858E-2</v>
      </c>
      <c r="H1021" t="s">
        <v>16</v>
      </c>
      <c r="I1021">
        <f>VLOOKUP(Table4[[#This Row],[Visitor]],'NHL Model'!$A$6:$B$38,2,FALSE)</f>
        <v>-0.81412334763558081</v>
      </c>
      <c r="J1021">
        <f>($B$1+Table4[[#This Row],[Home Differential]])-Table4[[#This Row],[Away Differential]]</f>
        <v>0.95258942752083708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0.64846497894851107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-0.56616527987265597</v>
      </c>
      <c r="H1022" t="s">
        <v>29</v>
      </c>
      <c r="I1022">
        <f>VLOOKUP(Table4[[#This Row],[Visitor]],'NHL Model'!$A$6:$B$38,2,FALSE)</f>
        <v>-0.90025837753161619</v>
      </c>
      <c r="J1022">
        <f>($B$1+Table4[[#This Row],[Home Differential]])-Table4[[#This Row],[Away Differential]]</f>
        <v>0.38237435094761163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0.5835384067130811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-1.1754320402170535</v>
      </c>
      <c r="H1023" t="s">
        <v>30</v>
      </c>
      <c r="I1023">
        <f>VLOOKUP(Table4[[#This Row],[Visitor]],'NHL Model'!$A$6:$B$38,2,FALSE)</f>
        <v>0.24561340747691926</v>
      </c>
      <c r="J1023">
        <f>($B$1+Table4[[#This Row],[Home Differential]])-Table4[[#This Row],[Away Differential]]</f>
        <v>-1.3727641944053213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0.68893063499581442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0.66987960668864954</v>
      </c>
      <c r="H1024" t="s">
        <v>28</v>
      </c>
      <c r="I1024">
        <f>VLOOKUP(Table4[[#This Row],[Visitor]],'NHL Model'!$A$6:$B$38,2,FALSE)</f>
        <v>-0.28376306754383246</v>
      </c>
      <c r="J1024">
        <f>($B$1+Table4[[#This Row],[Home Differential]])-Table4[[#This Row],[Away Differential]]</f>
        <v>1.0019239275211334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0.66454108368372122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-3.3785654828041967E-2</v>
      </c>
      <c r="H1025" t="s">
        <v>31</v>
      </c>
      <c r="I1025">
        <f>VLOOKUP(Table4[[#This Row],[Visitor]],'NHL Model'!$A$6:$B$38,2,FALSE)</f>
        <v>0.17827516980235869</v>
      </c>
      <c r="J1025">
        <f>($B$1+Table4[[#This Row],[Home Differential]])-Table4[[#This Row],[Away Differential]]</f>
        <v>-0.16377957134174925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0.4801869445517693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-0.23108682001987857</v>
      </c>
      <c r="H1026" t="s">
        <v>18</v>
      </c>
      <c r="I1026">
        <f>VLOOKUP(Table4[[#This Row],[Visitor]],'NHL Model'!$A$6:$B$38,2,FALSE)</f>
        <v>-0.36560113761686208</v>
      </c>
      <c r="J1026">
        <f>($B$1+Table4[[#This Row],[Home Differential]])-Table4[[#This Row],[Away Differential]]</f>
        <v>0.18279557088563492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0.50152587370987778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-2.8950318025217449E-2</v>
      </c>
      <c r="H1027" t="s">
        <v>22</v>
      </c>
      <c r="I1027">
        <f>VLOOKUP(Table4[[#This Row],[Visitor]],'NHL Model'!$A$6:$B$38,2,FALSE)</f>
        <v>0.84902697115371384</v>
      </c>
      <c r="J1027">
        <f>($B$1+Table4[[#This Row],[Home Differential]])-Table4[[#This Row],[Away Differential]]</f>
        <v>-0.82969603589027985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0.58227680946703442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2.6215642141022087E-2</v>
      </c>
      <c r="H1028" t="s">
        <v>33</v>
      </c>
      <c r="I1028">
        <f>VLOOKUP(Table4[[#This Row],[Visitor]],'NHL Model'!$A$6:$B$38,2,FALSE)</f>
        <v>-0.47218252282767964</v>
      </c>
      <c r="J1028">
        <f>($B$1+Table4[[#This Row],[Home Differential]])-Table4[[#This Row],[Away Differential]]</f>
        <v>0.54667941825735311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0.65396270076455953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-0.40965500817719275</v>
      </c>
      <c r="H1029" t="s">
        <v>22</v>
      </c>
      <c r="I1029">
        <f>VLOOKUP(Table4[[#This Row],[Visitor]],'NHL Model'!$A$6:$B$38,2,FALSE)</f>
        <v>0.84902697115371384</v>
      </c>
      <c r="J1029">
        <f>($B$1+Table4[[#This Row],[Home Differential]])-Table4[[#This Row],[Away Differential]]</f>
        <v>-1.2104007260422551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0.64175723291169473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0.47905090860407873</v>
      </c>
      <c r="H1030" t="s">
        <v>35</v>
      </c>
      <c r="I1030">
        <f>VLOOKUP(Table4[[#This Row],[Visitor]],'NHL Model'!$A$6:$B$38,2,FALSE)</f>
        <v>-1.1754320402170535</v>
      </c>
      <c r="J1030">
        <f>($B$1+Table4[[#This Row],[Home Differential]])-Table4[[#This Row],[Away Differential]]</f>
        <v>1.7027642021097837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0.76612842267717629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0.7564009584796878</v>
      </c>
      <c r="H1031" t="s">
        <v>17</v>
      </c>
      <c r="I1031">
        <f>VLOOKUP(Table4[[#This Row],[Visitor]],'NHL Model'!$A$6:$B$38,2,FALSE)</f>
        <v>-0.41671190768559452</v>
      </c>
      <c r="J1031">
        <f>($B$1+Table4[[#This Row],[Home Differential]])-Table4[[#This Row],[Away Differential]]</f>
        <v>1.2213941194539337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0.72197352353064281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-0.3510442662416135</v>
      </c>
      <c r="H1032" t="s">
        <v>28</v>
      </c>
      <c r="I1032">
        <f>VLOOKUP(Table4[[#This Row],[Visitor]],'NHL Model'!$A$6:$B$38,2,FALSE)</f>
        <v>-0.28376306754383246</v>
      </c>
      <c r="J1032">
        <f>($B$1+Table4[[#This Row],[Home Differential]])-Table4[[#This Row],[Away Differential]]</f>
        <v>-1.8999945409129637E-2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0.4657395554880448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5.1566962112876508E-2</v>
      </c>
      <c r="H1033" t="s">
        <v>27</v>
      </c>
      <c r="I1033">
        <f>VLOOKUP(Table4[[#This Row],[Visitor]],'NHL Model'!$A$6:$B$38,2,FALSE)</f>
        <v>-2.8950318025217449E-2</v>
      </c>
      <c r="J1033">
        <f>($B$1+Table4[[#This Row],[Home Differential]])-Table4[[#This Row],[Away Differential]]</f>
        <v>0.12879853342674535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0.51215286366781809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-2.8342943575894393E-4</v>
      </c>
      <c r="H1034" t="s">
        <v>16</v>
      </c>
      <c r="I1034">
        <f>VLOOKUP(Table4[[#This Row],[Visitor]],'NHL Model'!$A$6:$B$38,2,FALSE)</f>
        <v>-0.81412334763558081</v>
      </c>
      <c r="J1034">
        <f>($B$1+Table4[[#This Row],[Home Differential]])-Table4[[#This Row],[Away Differential]]</f>
        <v>0.86212117148847323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0.6810655188730006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-0.56616527987265597</v>
      </c>
      <c r="H1035" t="s">
        <v>12</v>
      </c>
      <c r="I1035">
        <f>VLOOKUP(Table4[[#This Row],[Visitor]],'NHL Model'!$A$6:$B$38,2,FALSE)</f>
        <v>1.6584974384060074</v>
      </c>
      <c r="J1035">
        <f>($B$1+Table4[[#This Row],[Home Differential]])-Table4[[#This Row],[Away Differential]]</f>
        <v>-2.1763814649900119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0.76194880042209301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0.66987960668864954</v>
      </c>
      <c r="H1036" t="s">
        <v>26</v>
      </c>
      <c r="I1036">
        <f>VLOOKUP(Table4[[#This Row],[Visitor]],'NHL Model'!$A$6:$B$38,2,FALSE)</f>
        <v>-0.60099633616081094</v>
      </c>
      <c r="J1036">
        <f>($B$1+Table4[[#This Row],[Home Differential]])-Table4[[#This Row],[Away Differential]]</f>
        <v>1.3191571961381119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0.70422021648148903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-8.5089305365893694E-2</v>
      </c>
      <c r="H1037" t="s">
        <v>31</v>
      </c>
      <c r="I1037">
        <f>VLOOKUP(Table4[[#This Row],[Visitor]],'NHL Model'!$A$6:$B$38,2,FALSE)</f>
        <v>0.17827516980235869</v>
      </c>
      <c r="J1037">
        <f>($B$1+Table4[[#This Row],[Home Differential]])-Table4[[#This Row],[Away Differential]]</f>
        <v>-0.21508322187960099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0.50525931690640713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0.15493687588867713</v>
      </c>
      <c r="H1038" t="s">
        <v>10</v>
      </c>
      <c r="I1038">
        <f>VLOOKUP(Table4[[#This Row],[Visitor]],'NHL Model'!$A$6:$B$38,2,FALSE)</f>
        <v>2.5996227684575345E-2</v>
      </c>
      <c r="J1038">
        <f>($B$1+Table4[[#This Row],[Home Differential]])-Table4[[#This Row],[Away Differential]]</f>
        <v>0.17722190149275319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0.59979690552385212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-0.77107712767799974</v>
      </c>
      <c r="H1039" t="s">
        <v>29</v>
      </c>
      <c r="I1039">
        <f>VLOOKUP(Table4[[#This Row],[Visitor]],'NHL Model'!$A$6:$B$38,2,FALSE)</f>
        <v>-0.90025837753161619</v>
      </c>
      <c r="J1039">
        <f>($B$1+Table4[[#This Row],[Home Differential]])-Table4[[#This Row],[Away Differential]]</f>
        <v>0.17746250314226786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0.5602064668275516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9.2938870272174581E-2</v>
      </c>
      <c r="H1040" t="s">
        <v>14</v>
      </c>
      <c r="I1040">
        <f>VLOOKUP(Table4[[#This Row],[Visitor]],'NHL Model'!$A$6:$B$38,2,FALSE)</f>
        <v>0.17535803439735015</v>
      </c>
      <c r="J1040">
        <f>($B$1+Table4[[#This Row],[Home Differential]])-Table4[[#This Row],[Away Differential]]</f>
        <v>-3.4137910836524177E-2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0.5180258727778444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-3.3785654828041967E-2</v>
      </c>
      <c r="H1041" t="s">
        <v>15</v>
      </c>
      <c r="I1041">
        <f>VLOOKUP(Table4[[#This Row],[Visitor]],'NHL Model'!$A$6:$B$38,2,FALSE)</f>
        <v>9.0184826596604858E-2</v>
      </c>
      <c r="J1041">
        <f>($B$1+Table4[[#This Row],[Home Differential]])-Table4[[#This Row],[Away Differential]]</f>
        <v>-7.5689228135995421E-2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0.55614674265342146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0.24561340747691926</v>
      </c>
      <c r="H1042" t="s">
        <v>13</v>
      </c>
      <c r="I1042">
        <f>VLOOKUP(Table4[[#This Row],[Visitor]],'NHL Model'!$A$6:$B$38,2,FALSE)</f>
        <v>-0.19390166761644689</v>
      </c>
      <c r="J1042">
        <f>($B$1+Table4[[#This Row],[Home Differential]])-Table4[[#This Row],[Away Differential]]</f>
        <v>0.48779632838201759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0.52922631183518121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-1.1754320402170535</v>
      </c>
      <c r="H1043" t="s">
        <v>17</v>
      </c>
      <c r="I1043">
        <f>VLOOKUP(Table4[[#This Row],[Visitor]],'NHL Model'!$A$6:$B$38,2,FALSE)</f>
        <v>-0.41671190768559452</v>
      </c>
      <c r="J1043">
        <f>($B$1+Table4[[#This Row],[Home Differential]])-Table4[[#This Row],[Away Differential]]</f>
        <v>-0.71043887924280757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0.54089291761490743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-0.40965500817719275</v>
      </c>
      <c r="H1044" t="s">
        <v>19</v>
      </c>
      <c r="I1044">
        <f>VLOOKUP(Table4[[#This Row],[Visitor]],'NHL Model'!$A$6:$B$38,2,FALSE)</f>
        <v>-8.5089305365893694E-2</v>
      </c>
      <c r="J1044">
        <f>($B$1+Table4[[#This Row],[Home Differential]])-Table4[[#This Row],[Away Differential]]</f>
        <v>-0.27628444952264763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0.48133641069659566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0.7564009584796878</v>
      </c>
      <c r="H1045" t="s">
        <v>26</v>
      </c>
      <c r="I1045">
        <f>VLOOKUP(Table4[[#This Row],[Visitor]],'NHL Model'!$A$6:$B$38,2,FALSE)</f>
        <v>-0.60099633616081094</v>
      </c>
      <c r="J1045">
        <f>($B$1+Table4[[#This Row],[Home Differential]])-Table4[[#This Row],[Away Differential]]</f>
        <v>1.40567854792915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0.74295675731177302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5.1566962112876508E-2</v>
      </c>
      <c r="H1046" t="s">
        <v>15</v>
      </c>
      <c r="I1046">
        <f>VLOOKUP(Table4[[#This Row],[Visitor]],'NHL Model'!$A$6:$B$38,2,FALSE)</f>
        <v>9.0184826596604858E-2</v>
      </c>
      <c r="J1046">
        <f>($B$1+Table4[[#This Row],[Home Differential]])-Table4[[#This Row],[Away Differential]]</f>
        <v>9.6633888049230537E-3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0.43452806741049022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-0.36560113761686208</v>
      </c>
      <c r="H1047" t="s">
        <v>33</v>
      </c>
      <c r="I1047">
        <f>VLOOKUP(Table4[[#This Row],[Visitor]],'NHL Model'!$A$6:$B$38,2,FALSE)</f>
        <v>-0.47218252282767964</v>
      </c>
      <c r="J1047">
        <f>($B$1+Table4[[#This Row],[Home Differential]])-Table4[[#This Row],[Away Differential]]</f>
        <v>0.15486263849946896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0.55763317158418535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-2.8342943575894393E-4</v>
      </c>
      <c r="H1048" t="s">
        <v>13</v>
      </c>
      <c r="I1048">
        <f>VLOOKUP(Table4[[#This Row],[Visitor]],'NHL Model'!$A$6:$B$38,2,FALSE)</f>
        <v>-0.19390166761644689</v>
      </c>
      <c r="J1048">
        <f>($B$1+Table4[[#This Row],[Home Differential]])-Table4[[#This Row],[Away Differential]]</f>
        <v>0.24189949146933937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0.54478485448638392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0.24561340747691926</v>
      </c>
      <c r="H1049" t="s">
        <v>16</v>
      </c>
      <c r="I1049">
        <f>VLOOKUP(Table4[[#This Row],[Visitor]],'NHL Model'!$A$6:$B$38,2,FALSE)</f>
        <v>-0.81412334763558081</v>
      </c>
      <c r="J1049">
        <f>($B$1+Table4[[#This Row],[Home Differential]])-Table4[[#This Row],[Away Differential]]</f>
        <v>1.1080180084011515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0.66616259060168193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-0.23108682001987857</v>
      </c>
      <c r="H1050" t="s">
        <v>31</v>
      </c>
      <c r="I1050">
        <f>VLOOKUP(Table4[[#This Row],[Visitor]],'NHL Model'!$A$6:$B$38,2,FALSE)</f>
        <v>0.17827516980235869</v>
      </c>
      <c r="J1050">
        <f>($B$1+Table4[[#This Row],[Home Differential]])-Table4[[#This Row],[Away Differential]]</f>
        <v>-0.36108073653358586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0.52188307620498797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-2.8950318025217449E-2</v>
      </c>
      <c r="H1051" t="s">
        <v>28</v>
      </c>
      <c r="I1051">
        <f>VLOOKUP(Table4[[#This Row],[Visitor]],'NHL Model'!$A$6:$B$38,2,FALSE)</f>
        <v>-0.28376306754383246</v>
      </c>
      <c r="J1051">
        <f>($B$1+Table4[[#This Row],[Home Differential]])-Table4[[#This Row],[Away Differential]]</f>
        <v>0.30309400280726639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0.59701128438352413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0.66987960668864954</v>
      </c>
      <c r="H1052" t="s">
        <v>25</v>
      </c>
      <c r="I1052">
        <f>VLOOKUP(Table4[[#This Row],[Visitor]],'NHL Model'!$A$6:$B$38,2,FALSE)</f>
        <v>0.47905090860407873</v>
      </c>
      <c r="J1052">
        <f>($B$1+Table4[[#This Row],[Home Differential]])-Table4[[#This Row],[Away Differential]]</f>
        <v>0.23910995137322222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0.50870733040736482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0.15493687588867713</v>
      </c>
      <c r="H1053" t="s">
        <v>14</v>
      </c>
      <c r="I1053">
        <f>VLOOKUP(Table4[[#This Row],[Visitor]],'NHL Model'!$A$6:$B$38,2,FALSE)</f>
        <v>0.17535803439735015</v>
      </c>
      <c r="J1053">
        <f>($B$1+Table4[[#This Row],[Home Differential]])-Table4[[#This Row],[Away Differential]]</f>
        <v>2.7860094779978389E-2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0.53005396285324502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-0.77107712767799974</v>
      </c>
      <c r="H1054" t="s">
        <v>32</v>
      </c>
      <c r="I1054">
        <f>VLOOKUP(Table4[[#This Row],[Visitor]],'NHL Model'!$A$6:$B$38,2,FALSE)</f>
        <v>-0.56616527987265597</v>
      </c>
      <c r="J1054">
        <f>($B$1+Table4[[#This Row],[Home Differential]])-Table4[[#This Row],[Away Differential]]</f>
        <v>-0.15663059451669237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0.47783447689647407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9.2938870272174581E-2</v>
      </c>
      <c r="H1055" t="s">
        <v>10</v>
      </c>
      <c r="I1055">
        <f>VLOOKUP(Table4[[#This Row],[Visitor]],'NHL Model'!$A$6:$B$38,2,FALSE)</f>
        <v>2.5996227684575345E-2</v>
      </c>
      <c r="J1055">
        <f>($B$1+Table4[[#This Row],[Home Differential]])-Table4[[#This Row],[Away Differential]]</f>
        <v>0.11522389587625062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0.55229028032112804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-3.3785654828041967E-2</v>
      </c>
      <c r="H1056" t="s">
        <v>12</v>
      </c>
      <c r="I1056">
        <f>VLOOKUP(Table4[[#This Row],[Visitor]],'NHL Model'!$A$6:$B$38,2,FALSE)</f>
        <v>1.6584974384060074</v>
      </c>
      <c r="J1056">
        <f>($B$1+Table4[[#This Row],[Home Differential]])-Table4[[#This Row],[Away Differential]]</f>
        <v>-1.6440018399453979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0.68203684102526174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0.84902697115371384</v>
      </c>
      <c r="H1057" t="s">
        <v>21</v>
      </c>
      <c r="I1057">
        <f>VLOOKUP(Table4[[#This Row],[Visitor]],'NHL Model'!$A$6:$B$38,2,FALSE)</f>
        <v>2.6215642141022087E-2</v>
      </c>
      <c r="J1057">
        <f>($B$1+Table4[[#This Row],[Home Differential]])-Table4[[#This Row],[Away Differential]]</f>
        <v>0.87109258230134312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0.66522321478872548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-0.41671190768559452</v>
      </c>
      <c r="H1058" t="s">
        <v>29</v>
      </c>
      <c r="I1058">
        <f>VLOOKUP(Table4[[#This Row],[Visitor]],'NHL Model'!$A$6:$B$38,2,FALSE)</f>
        <v>-0.90025837753161619</v>
      </c>
      <c r="J1058">
        <f>($B$1+Table4[[#This Row],[Home Differential]])-Table4[[#This Row],[Away Differential]]</f>
        <v>0.53182772313467308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0.60305114057060583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5.1566962112876508E-2</v>
      </c>
      <c r="H1059" t="s">
        <v>19</v>
      </c>
      <c r="I1059">
        <f>VLOOKUP(Table4[[#This Row],[Visitor]],'NHL Model'!$A$6:$B$38,2,FALSE)</f>
        <v>-8.5089305365893694E-2</v>
      </c>
      <c r="J1059">
        <f>($B$1+Table4[[#This Row],[Home Differential]])-Table4[[#This Row],[Away Differential]]</f>
        <v>0.18493752076742159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0.56105759702690949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-0.36560113761686208</v>
      </c>
      <c r="H1060" t="s">
        <v>31</v>
      </c>
      <c r="I1060">
        <f>VLOOKUP(Table4[[#This Row],[Visitor]],'NHL Model'!$A$6:$B$38,2,FALSE)</f>
        <v>0.17827516980235869</v>
      </c>
      <c r="J1060">
        <f>($B$1+Table4[[#This Row],[Home Differential]])-Table4[[#This Row],[Away Differential]]</f>
        <v>-0.49559505413056937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0.53719932075370358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-0.23108682001987857</v>
      </c>
      <c r="H1061" t="s">
        <v>33</v>
      </c>
      <c r="I1061">
        <f>VLOOKUP(Table4[[#This Row],[Visitor]],'NHL Model'!$A$6:$B$38,2,FALSE)</f>
        <v>-0.47218252282767964</v>
      </c>
      <c r="J1061">
        <f>($B$1+Table4[[#This Row],[Home Differential]])-Table4[[#This Row],[Away Differential]]</f>
        <v>0.28937695609645248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0.57294941613290096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-0.56616527987265597</v>
      </c>
      <c r="H1062" t="s">
        <v>11</v>
      </c>
      <c r="I1062">
        <f>VLOOKUP(Table4[[#This Row],[Visitor]],'NHL Model'!$A$6:$B$38,2,FALSE)</f>
        <v>-0.3510442662416135</v>
      </c>
      <c r="J1062">
        <f>($B$1+Table4[[#This Row],[Home Differential]])-Table4[[#This Row],[Away Differential]]</f>
        <v>-0.16683976034239106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0.47899692624177925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-3.3785654828041967E-2</v>
      </c>
      <c r="H1063" t="s">
        <v>35</v>
      </c>
      <c r="I1063">
        <f>VLOOKUP(Table4[[#This Row],[Visitor]],'NHL Model'!$A$6:$B$38,2,FALSE)</f>
        <v>-1.1754320402170535</v>
      </c>
      <c r="J1063">
        <f>($B$1+Table4[[#This Row],[Home Differential]])-Table4[[#This Row],[Away Differential]]</f>
        <v>1.1899276386776629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0.69459452299059132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1.6584974384060074</v>
      </c>
      <c r="H1064" t="s">
        <v>14</v>
      </c>
      <c r="I1064">
        <f>VLOOKUP(Table4[[#This Row],[Visitor]],'NHL Model'!$A$6:$B$38,2,FALSE)</f>
        <v>0.17535803439735015</v>
      </c>
      <c r="J1064">
        <f>($B$1+Table4[[#This Row],[Home Differential]])-Table4[[#This Row],[Away Differential]]</f>
        <v>1.5314206572973086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0.77127183965598589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0.7564009584796878</v>
      </c>
      <c r="H1065" t="s">
        <v>55</v>
      </c>
      <c r="I1065">
        <f>VLOOKUP(Table4[[#This Row],[Visitor]],'NHL Model'!$A$6:$B$38,2,FALSE)</f>
        <v>0.15493687588867713</v>
      </c>
      <c r="J1065">
        <f>($B$1+Table4[[#This Row],[Home Differential]])-Table4[[#This Row],[Away Differential]]</f>
        <v>0.6497453358796621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0.65688370468004575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-0.60099633616081094</v>
      </c>
      <c r="H1066" t="s">
        <v>16</v>
      </c>
      <c r="I1066">
        <f>VLOOKUP(Table4[[#This Row],[Visitor]],'NHL Model'!$A$6:$B$38,2,FALSE)</f>
        <v>-0.81412334763558081</v>
      </c>
      <c r="J1066">
        <f>($B$1+Table4[[#This Row],[Home Differential]])-Table4[[#This Row],[Away Differential]]</f>
        <v>0.26140826476342127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0.57988705793625406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-2.8342943575894393E-4</v>
      </c>
      <c r="H1067" t="s">
        <v>21</v>
      </c>
      <c r="I1067">
        <f>VLOOKUP(Table4[[#This Row],[Visitor]],'NHL Model'!$A$6:$B$38,2,FALSE)</f>
        <v>2.6215642141022087E-2</v>
      </c>
      <c r="J1067">
        <f>($B$1+Table4[[#This Row],[Home Differential]])-Table4[[#This Row],[Away Differential]]</f>
        <v>2.1782181711870373E-2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0.58538174556790745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9.0184826596604858E-2</v>
      </c>
      <c r="H1068" t="s">
        <v>13</v>
      </c>
      <c r="I1068">
        <f>VLOOKUP(Table4[[#This Row],[Visitor]],'NHL Model'!$A$6:$B$38,2,FALSE)</f>
        <v>-0.19390166761644689</v>
      </c>
      <c r="J1068">
        <f>($B$1+Table4[[#This Row],[Home Differential]])-Table4[[#This Row],[Away Differential]]</f>
        <v>0.33236774750170317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0.51152870018201024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-0.28376306754383246</v>
      </c>
      <c r="H1069" t="s">
        <v>25</v>
      </c>
      <c r="I1069">
        <f>VLOOKUP(Table4[[#This Row],[Visitor]],'NHL Model'!$A$6:$B$38,2,FALSE)</f>
        <v>0.47905090860407873</v>
      </c>
      <c r="J1069">
        <f>($B$1+Table4[[#This Row],[Home Differential]])-Table4[[#This Row],[Away Differential]]</f>
        <v>-0.71453272285925973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0.61398222528030844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2.5996227684575345E-2</v>
      </c>
      <c r="H1070" t="s">
        <v>34</v>
      </c>
      <c r="I1070">
        <f>VLOOKUP(Table4[[#This Row],[Visitor]],'NHL Model'!$A$6:$B$38,2,FALSE)</f>
        <v>5.1566962112876508E-2</v>
      </c>
      <c r="J1070">
        <f>($B$1+Table4[[#This Row],[Home Differential]])-Table4[[#This Row],[Away Differential]]</f>
        <v>2.2710518860350248E-2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0.50329916145987463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-0.41671190768559452</v>
      </c>
      <c r="H1071" t="s">
        <v>33</v>
      </c>
      <c r="I1071">
        <f>VLOOKUP(Table4[[#This Row],[Visitor]],'NHL Model'!$A$6:$B$38,2,FALSE)</f>
        <v>-0.47218252282767964</v>
      </c>
      <c r="J1071">
        <f>($B$1+Table4[[#This Row],[Home Differential]])-Table4[[#This Row],[Away Differential]]</f>
        <v>0.10375186843073653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0.55430900967202124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-0.36560113761686208</v>
      </c>
      <c r="H1072" t="s">
        <v>21</v>
      </c>
      <c r="I1072">
        <f>VLOOKUP(Table4[[#This Row],[Visitor]],'NHL Model'!$A$6:$B$38,2,FALSE)</f>
        <v>2.6215642141022087E-2</v>
      </c>
      <c r="J1072">
        <f>($B$1+Table4[[#This Row],[Home Differential]])-Table4[[#This Row],[Away Differential]]</f>
        <v>-0.34353552646923274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0.49911608985995798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-0.56616527987265597</v>
      </c>
      <c r="H1073" t="s">
        <v>37</v>
      </c>
      <c r="I1073">
        <f>VLOOKUP(Table4[[#This Row],[Visitor]],'NHL Model'!$A$6:$B$38,2,FALSE)</f>
        <v>0.66987960668864954</v>
      </c>
      <c r="J1073">
        <f>($B$1+Table4[[#This Row],[Home Differential]])-Table4[[#This Row],[Away Differential]]</f>
        <v>-1.1877636332726542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0.66786585998467396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-8.5089305365893694E-2</v>
      </c>
      <c r="H1074" t="s">
        <v>30</v>
      </c>
      <c r="I1074">
        <f>VLOOKUP(Table4[[#This Row],[Visitor]],'NHL Model'!$A$6:$B$38,2,FALSE)</f>
        <v>0.24561340747691926</v>
      </c>
      <c r="J1074">
        <f>($B$1+Table4[[#This Row],[Home Differential]])-Table4[[#This Row],[Away Differential]]</f>
        <v>-0.28242145955416154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0.56478060942805108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-0.77107712767799974</v>
      </c>
      <c r="H1075" t="s">
        <v>11</v>
      </c>
      <c r="I1075">
        <f>VLOOKUP(Table4[[#This Row],[Visitor]],'NHL Model'!$A$6:$B$38,2,FALSE)</f>
        <v>-0.3510442662416135</v>
      </c>
      <c r="J1075">
        <f>($B$1+Table4[[#This Row],[Home Differential]])-Table4[[#This Row],[Away Differential]]</f>
        <v>-0.37175160814773484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0.50232886612730876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9.2938870272174581E-2</v>
      </c>
      <c r="H1076" t="s">
        <v>23</v>
      </c>
      <c r="I1076">
        <f>VLOOKUP(Table4[[#This Row],[Visitor]],'NHL Model'!$A$6:$B$38,2,FALSE)</f>
        <v>-0.40965500817719275</v>
      </c>
      <c r="J1076">
        <f>($B$1+Table4[[#This Row],[Home Differential]])-Table4[[#This Row],[Away Differential]]</f>
        <v>0.55087513173801872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0.6027244622299941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-3.3785654828041967E-2</v>
      </c>
      <c r="H1077" t="s">
        <v>29</v>
      </c>
      <c r="I1077">
        <f>VLOOKUP(Table4[[#This Row],[Visitor]],'NHL Model'!$A$6:$B$38,2,FALSE)</f>
        <v>-0.90025837753161619</v>
      </c>
      <c r="J1077">
        <f>($B$1+Table4[[#This Row],[Home Differential]])-Table4[[#This Row],[Away Differential]]</f>
        <v>0.91475397599222563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0.66326234076383894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0.17827516980235869</v>
      </c>
      <c r="H1078" t="s">
        <v>27</v>
      </c>
      <c r="I1078">
        <f>VLOOKUP(Table4[[#This Row],[Visitor]],'NHL Model'!$A$6:$B$38,2,FALSE)</f>
        <v>-2.8950318025217449E-2</v>
      </c>
      <c r="J1078">
        <f>($B$1+Table4[[#This Row],[Home Differential]])-Table4[[#This Row],[Away Differential]]</f>
        <v>0.25550674111622756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0.59610315084861665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0.47905090860407873</v>
      </c>
      <c r="H1079" t="s">
        <v>14</v>
      </c>
      <c r="I1079">
        <f>VLOOKUP(Table4[[#This Row],[Visitor]],'NHL Model'!$A$6:$B$38,2,FALSE)</f>
        <v>0.17535803439735015</v>
      </c>
      <c r="J1079">
        <f>($B$1+Table4[[#This Row],[Home Differential]])-Table4[[#This Row],[Away Differential]]</f>
        <v>0.35197412749537998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0.55859545536691946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-0.81412334763558081</v>
      </c>
      <c r="H1080" t="s">
        <v>35</v>
      </c>
      <c r="I1080">
        <f>VLOOKUP(Table4[[#This Row],[Visitor]],'NHL Model'!$A$6:$B$38,2,FALSE)</f>
        <v>-1.1754320402170535</v>
      </c>
      <c r="J1080">
        <f>($B$1+Table4[[#This Row],[Home Differential]])-Table4[[#This Row],[Away Differential]]</f>
        <v>0.40958994587012409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0.58663726425344254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1.6584974384060074</v>
      </c>
      <c r="H1081" t="s">
        <v>39</v>
      </c>
      <c r="I1081">
        <f>VLOOKUP(Table4[[#This Row],[Visitor]],'NHL Model'!$A$6:$B$38,2,FALSE)</f>
        <v>0.7564009584796878</v>
      </c>
      <c r="J1081">
        <f>($B$1+Table4[[#This Row],[Home Differential]])-Table4[[#This Row],[Away Differential]]</f>
        <v>0.95037773321497099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0.66753518202716211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9.0184826596604858E-2</v>
      </c>
      <c r="H1082" t="s">
        <v>24</v>
      </c>
      <c r="I1082">
        <f>VLOOKUP(Table4[[#This Row],[Visitor]],'NHL Model'!$A$6:$B$38,2,FALSE)</f>
        <v>-2.8342943575894393E-4</v>
      </c>
      <c r="J1082">
        <f>($B$1+Table4[[#This Row],[Home Differential]])-Table4[[#This Row],[Away Differential]]</f>
        <v>0.13874950932101521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0.53502924669948015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0.84902697115371384</v>
      </c>
      <c r="H1083" t="s">
        <v>36</v>
      </c>
      <c r="I1083">
        <f>VLOOKUP(Table4[[#This Row],[Visitor]],'NHL Model'!$A$6:$B$38,2,FALSE)</f>
        <v>-0.23108682001987857</v>
      </c>
      <c r="J1083">
        <f>($B$1+Table4[[#This Row],[Home Differential]])-Table4[[#This Row],[Away Differential]]</f>
        <v>1.1283950444622439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0.69098278723996676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2.6215642141022087E-2</v>
      </c>
      <c r="H1084" t="s">
        <v>40</v>
      </c>
      <c r="I1084">
        <f>VLOOKUP(Table4[[#This Row],[Visitor]],'NHL Model'!$A$6:$B$38,2,FALSE)</f>
        <v>-3.3785654828041967E-2</v>
      </c>
      <c r="J1084">
        <f>($B$1+Table4[[#This Row],[Home Differential]])-Table4[[#This Row],[Away Differential]]</f>
        <v>0.10828255025771547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0.60056470298455089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-0.28376306754383246</v>
      </c>
      <c r="H1085" t="s">
        <v>15</v>
      </c>
      <c r="I1085">
        <f>VLOOKUP(Table4[[#This Row],[Visitor]],'NHL Model'!$A$6:$B$38,2,FALSE)</f>
        <v>9.0184826596604858E-2</v>
      </c>
      <c r="J1085">
        <f>($B$1+Table4[[#This Row],[Home Differential]])-Table4[[#This Row],[Away Differential]]</f>
        <v>-0.32566664085178593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0.6036537174768114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-0.60099633616081094</v>
      </c>
      <c r="H1086" t="s">
        <v>18</v>
      </c>
      <c r="I1086">
        <f>VLOOKUP(Table4[[#This Row],[Visitor]],'NHL Model'!$A$6:$B$38,2,FALSE)</f>
        <v>-0.36560113761686208</v>
      </c>
      <c r="J1086">
        <f>($B$1+Table4[[#This Row],[Home Differential]])-Table4[[#This Row],[Away Differential]]</f>
        <v>-0.18711394525529745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0.53039632099948786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-0.41671190768559452</v>
      </c>
      <c r="H1087" t="s">
        <v>11</v>
      </c>
      <c r="I1087">
        <f>VLOOKUP(Table4[[#This Row],[Visitor]],'NHL Model'!$A$6:$B$38,2,FALSE)</f>
        <v>-0.3510442662416135</v>
      </c>
      <c r="J1087">
        <f>($B$1+Table4[[#This Row],[Home Differential]])-Table4[[#This Row],[Away Differential]]</f>
        <v>-1.7386388155329613E-2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0.45948419238425453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-0.19390166761644689</v>
      </c>
      <c r="H1088" t="s">
        <v>27</v>
      </c>
      <c r="I1088">
        <f>VLOOKUP(Table4[[#This Row],[Visitor]],'NHL Model'!$A$6:$B$38,2,FALSE)</f>
        <v>-2.8950318025217449E-2</v>
      </c>
      <c r="J1088">
        <f>($B$1+Table4[[#This Row],[Home Differential]])-Table4[[#This Row],[Away Differential]]</f>
        <v>-0.11667009630257805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0.5157970053805957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5.1566962112876508E-2</v>
      </c>
      <c r="H1089" t="s">
        <v>10</v>
      </c>
      <c r="I1089">
        <f>VLOOKUP(Table4[[#This Row],[Visitor]],'NHL Model'!$A$6:$B$38,2,FALSE)</f>
        <v>2.5996227684575345E-2</v>
      </c>
      <c r="J1089">
        <f>($B$1+Table4[[#This Row],[Home Differential]])-Table4[[#This Row],[Away Differential]]</f>
        <v>7.3851987716952561E-2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0.54757953819244753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-0.90025837753161619</v>
      </c>
      <c r="H1090" t="s">
        <v>32</v>
      </c>
      <c r="I1090">
        <f>VLOOKUP(Table4[[#This Row],[Visitor]],'NHL Model'!$A$6:$B$38,2,FALSE)</f>
        <v>-0.56616527987265597</v>
      </c>
      <c r="J1090">
        <f>($B$1+Table4[[#This Row],[Home Differential]])-Table4[[#This Row],[Away Differential]]</f>
        <v>-0.28581184437030882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0.49254348073497023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-0.23108682001987857</v>
      </c>
      <c r="H1091" t="s">
        <v>30</v>
      </c>
      <c r="I1091">
        <f>VLOOKUP(Table4[[#This Row],[Visitor]],'NHL Model'!$A$6:$B$38,2,FALSE)</f>
        <v>0.24561340747691926</v>
      </c>
      <c r="J1091">
        <f>($B$1+Table4[[#This Row],[Home Differential]])-Table4[[#This Row],[Away Differential]]</f>
        <v>-0.42841897420814645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0.58140436872663204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-0.47218252282767964</v>
      </c>
      <c r="H1092" t="s">
        <v>23</v>
      </c>
      <c r="I1092">
        <f>VLOOKUP(Table4[[#This Row],[Visitor]],'NHL Model'!$A$6:$B$38,2,FALSE)</f>
        <v>-0.40965500817719275</v>
      </c>
      <c r="J1092">
        <f>($B$1+Table4[[#This Row],[Home Differential]])-Table4[[#This Row],[Away Differential]]</f>
        <v>-1.4246261361835488E-2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0.46162212637896688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-0.77107712767799974</v>
      </c>
      <c r="H1093" t="s">
        <v>37</v>
      </c>
      <c r="I1093">
        <f>VLOOKUP(Table4[[#This Row],[Visitor]],'NHL Model'!$A$6:$B$38,2,FALSE)</f>
        <v>0.66987960668864954</v>
      </c>
      <c r="J1093">
        <f>($B$1+Table4[[#This Row],[Home Differential]])-Table4[[#This Row],[Away Differential]]</f>
        <v>-1.392675481077998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0.69119779987020347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9.2938870272174581E-2</v>
      </c>
      <c r="H1094" t="s">
        <v>55</v>
      </c>
      <c r="I1094">
        <f>VLOOKUP(Table4[[#This Row],[Visitor]],'NHL Model'!$A$6:$B$38,2,FALSE)</f>
        <v>0.15493687588867713</v>
      </c>
      <c r="J1094">
        <f>($B$1+Table4[[#This Row],[Home Differential]])-Table4[[#This Row],[Away Differential]]</f>
        <v>-1.3716752327851162E-2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0.46156183473120665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-0.81412334763558081</v>
      </c>
      <c r="H1095" t="s">
        <v>11</v>
      </c>
      <c r="I1095">
        <f>VLOOKUP(Table4[[#This Row],[Visitor]],'NHL Model'!$A$6:$B$38,2,FALSE)</f>
        <v>-0.3510442662416135</v>
      </c>
      <c r="J1095">
        <f>($B$1+Table4[[#This Row],[Home Differential]])-Table4[[#This Row],[Away Differential]]</f>
        <v>-0.4147978281053159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0.5072302509281702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2.5996227684575345E-2</v>
      </c>
      <c r="H1096" t="s">
        <v>12</v>
      </c>
      <c r="I1096">
        <f>VLOOKUP(Table4[[#This Row],[Visitor]],'NHL Model'!$A$6:$B$38,2,FALSE)</f>
        <v>1.6584974384060074</v>
      </c>
      <c r="J1096">
        <f>($B$1+Table4[[#This Row],[Home Differential]])-Table4[[#This Row],[Away Differential]]</f>
        <v>-1.5842199574327807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0.69452333505820341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-8.5089305365893694E-2</v>
      </c>
      <c r="H1097" t="s">
        <v>25</v>
      </c>
      <c r="I1097">
        <f>VLOOKUP(Table4[[#This Row],[Visitor]],'NHL Model'!$A$6:$B$38,2,FALSE)</f>
        <v>0.47905090860407873</v>
      </c>
      <c r="J1097">
        <f>($B$1+Table4[[#This Row],[Home Differential]])-Table4[[#This Row],[Away Differential]]</f>
        <v>-0.51585896068132098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0.59136057443086076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0.15493687588867713</v>
      </c>
      <c r="H1098" t="s">
        <v>31</v>
      </c>
      <c r="I1098">
        <f>VLOOKUP(Table4[[#This Row],[Visitor]],'NHL Model'!$A$6:$B$38,2,FALSE)</f>
        <v>0.17827516980235869</v>
      </c>
      <c r="J1098">
        <f>($B$1+Table4[[#This Row],[Home Differential]])-Table4[[#This Row],[Away Differential]]</f>
        <v>2.4942959374969847E-2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0.56284008774962024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0.84902697115371384</v>
      </c>
      <c r="H1099" t="s">
        <v>24</v>
      </c>
      <c r="I1099">
        <f>VLOOKUP(Table4[[#This Row],[Visitor]],'NHL Model'!$A$6:$B$38,2,FALSE)</f>
        <v>-2.8342943575894393E-4</v>
      </c>
      <c r="J1099">
        <f>($B$1+Table4[[#This Row],[Home Differential]])-Table4[[#This Row],[Away Differential]]</f>
        <v>0.89759165387812423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0.64765729621950741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-0.28376306754383246</v>
      </c>
      <c r="H1100" t="s">
        <v>32</v>
      </c>
      <c r="I1100">
        <f>VLOOKUP(Table4[[#This Row],[Visitor]],'NHL Model'!$A$6:$B$38,2,FALSE)</f>
        <v>-0.56616527987265597</v>
      </c>
      <c r="J1100">
        <f>($B$1+Table4[[#This Row],[Home Differential]])-Table4[[#This Row],[Away Differential]]</f>
        <v>0.33068346561747491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0.57765271175659305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-0.60099633616081094</v>
      </c>
      <c r="H1101" t="s">
        <v>21</v>
      </c>
      <c r="I1101">
        <f>VLOOKUP(Table4[[#This Row],[Visitor]],'NHL Model'!$A$6:$B$38,2,FALSE)</f>
        <v>2.6215642141022087E-2</v>
      </c>
      <c r="J1101">
        <f>($B$1+Table4[[#This Row],[Home Differential]])-Table4[[#This Row],[Away Differential]]</f>
        <v>-0.57893072501318166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0.51579671536883909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-0.41671190768559452</v>
      </c>
      <c r="H1102" t="s">
        <v>37</v>
      </c>
      <c r="I1102">
        <f>VLOOKUP(Table4[[#This Row],[Visitor]],'NHL Model'!$A$6:$B$38,2,FALSE)</f>
        <v>0.66987960668864954</v>
      </c>
      <c r="J1102">
        <f>($B$1+Table4[[#This Row],[Home Differential]])-Table4[[#This Row],[Away Differential]]</f>
        <v>-1.0383102610855928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0.64834591815134379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-0.19390166761644689</v>
      </c>
      <c r="H1103" t="s">
        <v>23</v>
      </c>
      <c r="I1103">
        <f>VLOOKUP(Table4[[#This Row],[Visitor]],'NHL Model'!$A$6:$B$38,2,FALSE)</f>
        <v>-0.40965500817719275</v>
      </c>
      <c r="J1103">
        <f>($B$1+Table4[[#This Row],[Home Differential]])-Table4[[#This Row],[Away Differential]]</f>
        <v>0.26403459384939726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0.57006385105289981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5.1566962112876508E-2</v>
      </c>
      <c r="H1104" t="s">
        <v>39</v>
      </c>
      <c r="I1104">
        <f>VLOOKUP(Table4[[#This Row],[Visitor]],'NHL Model'!$A$6:$B$38,2,FALSE)</f>
        <v>0.7564009584796878</v>
      </c>
      <c r="J1104">
        <f>($B$1+Table4[[#This Row],[Home Differential]])-Table4[[#This Row],[Away Differential]]</f>
        <v>-0.65655274307815992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0.62724345199203624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-0.36560113761686208</v>
      </c>
      <c r="H1105" t="s">
        <v>30</v>
      </c>
      <c r="I1105">
        <f>VLOOKUP(Table4[[#This Row],[Visitor]],'NHL Model'!$A$6:$B$38,2,FALSE)</f>
        <v>0.24561340747691926</v>
      </c>
      <c r="J1105">
        <f>($B$1+Table4[[#This Row],[Home Differential]])-Table4[[#This Row],[Away Differential]]</f>
        <v>-0.56293329180512997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0.59672061327534753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-0.90025837753161619</v>
      </c>
      <c r="H1106" t="s">
        <v>20</v>
      </c>
      <c r="I1106">
        <f>VLOOKUP(Table4[[#This Row],[Visitor]],'NHL Model'!$A$6:$B$38,2,FALSE)</f>
        <v>9.2938870272174581E-2</v>
      </c>
      <c r="J1106">
        <f>($B$1+Table4[[#This Row],[Home Differential]])-Table4[[#This Row],[Away Differential]]</f>
        <v>-0.94491599451513941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0.58836048728772072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-0.23108682001987857</v>
      </c>
      <c r="H1107" t="s">
        <v>19</v>
      </c>
      <c r="I1107">
        <f>VLOOKUP(Table4[[#This Row],[Visitor]],'NHL Model'!$A$6:$B$38,2,FALSE)</f>
        <v>-8.5089305365893694E-2</v>
      </c>
      <c r="J1107">
        <f>($B$1+Table4[[#This Row],[Home Differential]])-Table4[[#This Row],[Away Differential]]</f>
        <v>-9.7716261365333471E-2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0.47112629630952552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0.17535803439735015</v>
      </c>
      <c r="H1108" t="s">
        <v>40</v>
      </c>
      <c r="I1108">
        <f>VLOOKUP(Table4[[#This Row],[Visitor]],'NHL Model'!$A$6:$B$38,2,FALSE)</f>
        <v>-3.3785654828041967E-2</v>
      </c>
      <c r="J1108">
        <f>($B$1+Table4[[#This Row],[Home Differential]])-Table4[[#This Row],[Away Differential]]</f>
        <v>0.25742494251404352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0.56573509537750399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-0.47218252282767964</v>
      </c>
      <c r="H1109" t="s">
        <v>27</v>
      </c>
      <c r="I1109">
        <f>VLOOKUP(Table4[[#This Row],[Visitor]],'NHL Model'!$A$6:$B$38,2,FALSE)</f>
        <v>-2.8950318025217449E-2</v>
      </c>
      <c r="J1109">
        <f>($B$1+Table4[[#This Row],[Home Differential]])-Table4[[#This Row],[Away Differential]]</f>
        <v>-0.39495095151381077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0.54748298281246233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-0.77107712767799974</v>
      </c>
      <c r="H1110" t="s">
        <v>35</v>
      </c>
      <c r="I1110">
        <f>VLOOKUP(Table4[[#This Row],[Visitor]],'NHL Model'!$A$6:$B$38,2,FALSE)</f>
        <v>-1.1754320402170535</v>
      </c>
      <c r="J1110">
        <f>($B$1+Table4[[#This Row],[Home Differential]])-Table4[[#This Row],[Away Differential]]</f>
        <v>0.45263616582770516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0.59153864905430398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0.17827516980235869</v>
      </c>
      <c r="H1111" t="s">
        <v>23</v>
      </c>
      <c r="I1111">
        <f>VLOOKUP(Table4[[#This Row],[Visitor]],'NHL Model'!$A$6:$B$38,2,FALSE)</f>
        <v>-0.40965500817719275</v>
      </c>
      <c r="J1111">
        <f>($B$1+Table4[[#This Row],[Home Differential]])-Table4[[#This Row],[Away Differential]]</f>
        <v>0.63621143126820279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0.68071364127241629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-0.81412334763558081</v>
      </c>
      <c r="H1112" t="s">
        <v>37</v>
      </c>
      <c r="I1112">
        <f>VLOOKUP(Table4[[#This Row],[Visitor]],'NHL Model'!$A$6:$B$38,2,FALSE)</f>
        <v>0.66987960668864954</v>
      </c>
      <c r="J1112">
        <f>($B$1+Table4[[#This Row],[Home Differential]])-Table4[[#This Row],[Away Differential]]</f>
        <v>-1.4357217010355789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0.69609918467106491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2.5996227684575345E-2</v>
      </c>
      <c r="H1113" t="s">
        <v>29</v>
      </c>
      <c r="I1113">
        <f>VLOOKUP(Table4[[#This Row],[Visitor]],'NHL Model'!$A$6:$B$38,2,FALSE)</f>
        <v>-0.90025837753161619</v>
      </c>
      <c r="J1113">
        <f>($B$1+Table4[[#This Row],[Home Differential]])-Table4[[#This Row],[Away Differential]]</f>
        <v>0.97453585850484292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0.65096387207697071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0.7564009584796878</v>
      </c>
      <c r="H1114" t="s">
        <v>20</v>
      </c>
      <c r="I1114">
        <f>VLOOKUP(Table4[[#This Row],[Visitor]],'NHL Model'!$A$6:$B$38,2,FALSE)</f>
        <v>9.2938870272174581E-2</v>
      </c>
      <c r="J1114">
        <f>($B$1+Table4[[#This Row],[Home Differential]])-Table4[[#This Row],[Away Differential]]</f>
        <v>0.71174334149616458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0.64354144799616286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0.24561340747691926</v>
      </c>
      <c r="H1115" t="s">
        <v>28</v>
      </c>
      <c r="I1115">
        <f>VLOOKUP(Table4[[#This Row],[Visitor]],'NHL Model'!$A$6:$B$38,2,FALSE)</f>
        <v>-0.28376306754383246</v>
      </c>
      <c r="J1115">
        <f>($B$1+Table4[[#This Row],[Home Differential]])-Table4[[#This Row],[Away Differential]]</f>
        <v>0.5776577283094031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0.60219785820735594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9.0184826596604858E-2</v>
      </c>
      <c r="H1116" t="s">
        <v>40</v>
      </c>
      <c r="I1116">
        <f>VLOOKUP(Table4[[#This Row],[Visitor]],'NHL Model'!$A$6:$B$38,2,FALSE)</f>
        <v>-3.3785654828041967E-2</v>
      </c>
      <c r="J1116">
        <f>($B$1+Table4[[#This Row],[Home Differential]])-Table4[[#This Row],[Away Differential]]</f>
        <v>0.17225173471329824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0.55603699258086881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0.17535803439735015</v>
      </c>
      <c r="H1117" t="s">
        <v>25</v>
      </c>
      <c r="I1117">
        <f>VLOOKUP(Table4[[#This Row],[Visitor]],'NHL Model'!$A$6:$B$38,2,FALSE)</f>
        <v>0.47905090860407873</v>
      </c>
      <c r="J1117">
        <f>($B$1+Table4[[#This Row],[Home Differential]])-Table4[[#This Row],[Away Differential]]</f>
        <v>-0.25541162091807718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0.56170517997814617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0.15493687588867713</v>
      </c>
      <c r="H1118" t="s">
        <v>13</v>
      </c>
      <c r="I1118">
        <f>VLOOKUP(Table4[[#This Row],[Visitor]],'NHL Model'!$A$6:$B$38,2,FALSE)</f>
        <v>-0.19390166761644689</v>
      </c>
      <c r="J1118">
        <f>($B$1+Table4[[#This Row],[Home Differential]])-Table4[[#This Row],[Away Differential]]</f>
        <v>0.3971197967937754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0.55992325423935307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0.84902697115371384</v>
      </c>
      <c r="H1119" t="s">
        <v>12</v>
      </c>
      <c r="I1119">
        <f>VLOOKUP(Table4[[#This Row],[Visitor]],'NHL Model'!$A$6:$B$38,2,FALSE)</f>
        <v>1.6584974384060074</v>
      </c>
      <c r="J1119">
        <f>($B$1+Table4[[#This Row],[Home Differential]])-Table4[[#This Row],[Away Differential]]</f>
        <v>-0.76118921396364214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0.57447639642083814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9.0184826596604858E-2</v>
      </c>
      <c r="H1120" t="s">
        <v>36</v>
      </c>
      <c r="I1120">
        <f>VLOOKUP(Table4[[#This Row],[Visitor]],'NHL Model'!$A$6:$B$38,2,FALSE)</f>
        <v>-0.23108682001987857</v>
      </c>
      <c r="J1120">
        <f>($B$1+Table4[[#This Row],[Home Differential]])-Table4[[#This Row],[Away Differential]]</f>
        <v>0.36955289990513485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0.57850235500331826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2.6215642141022087E-2</v>
      </c>
      <c r="H1121" t="s">
        <v>19</v>
      </c>
      <c r="I1121">
        <f>VLOOKUP(Table4[[#This Row],[Visitor]],'NHL Model'!$A$6:$B$38,2,FALSE)</f>
        <v>-8.5089305365893694E-2</v>
      </c>
      <c r="J1121">
        <f>($B$1+Table4[[#This Row],[Home Differential]])-Table4[[#This Row],[Away Differential]]</f>
        <v>0.15958620079556718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0.60988698832213317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-0.81412334763558081</v>
      </c>
      <c r="H1122" t="s">
        <v>13</v>
      </c>
      <c r="I1122">
        <f>VLOOKUP(Table4[[#This Row],[Visitor]],'NHL Model'!$A$6:$B$38,2,FALSE)</f>
        <v>-0.19390166761644689</v>
      </c>
      <c r="J1122">
        <f>($B$1+Table4[[#This Row],[Home Differential]])-Table4[[#This Row],[Away Differential]]</f>
        <v>-0.57194042673048251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0.59143881577744528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0.7564009584796878</v>
      </c>
      <c r="H1123" t="s">
        <v>24</v>
      </c>
      <c r="I1123">
        <f>VLOOKUP(Table4[[#This Row],[Visitor]],'NHL Model'!$A$6:$B$38,2,FALSE)</f>
        <v>-2.8342943575894393E-4</v>
      </c>
      <c r="J1123">
        <f>($B$1+Table4[[#This Row],[Home Differential]])-Table4[[#This Row],[Away Differential]]</f>
        <v>0.80496564120409819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0.6541560469862735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-0.60099633616081094</v>
      </c>
      <c r="H1124" t="s">
        <v>36</v>
      </c>
      <c r="I1124">
        <f>VLOOKUP(Table4[[#This Row],[Visitor]],'NHL Model'!$A$6:$B$38,2,FALSE)</f>
        <v>-0.23108682001987857</v>
      </c>
      <c r="J1124">
        <f>($B$1+Table4[[#This Row],[Home Differential]])-Table4[[#This Row],[Away Differential]]</f>
        <v>-0.32162826285228097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0.49006295200385303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-0.3510442662416135</v>
      </c>
      <c r="H1125" t="s">
        <v>32</v>
      </c>
      <c r="I1125">
        <f>VLOOKUP(Table4[[#This Row],[Visitor]],'NHL Model'!$A$6:$B$38,2,FALSE)</f>
        <v>-0.56616527987265597</v>
      </c>
      <c r="J1125">
        <f>($B$1+Table4[[#This Row],[Home Differential]])-Table4[[#This Row],[Away Differential]]</f>
        <v>0.26340226691969387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0.56999185221989013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-0.36560113761686208</v>
      </c>
      <c r="H1126" t="s">
        <v>25</v>
      </c>
      <c r="I1126">
        <f>VLOOKUP(Table4[[#This Row],[Visitor]],'NHL Model'!$A$6:$B$38,2,FALSE)</f>
        <v>0.47905090860407873</v>
      </c>
      <c r="J1126">
        <f>($B$1+Table4[[#This Row],[Home Differential]])-Table4[[#This Row],[Away Differential]]</f>
        <v>-0.79637079293228941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0.62330057827815732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-0.90025837753161619</v>
      </c>
      <c r="H1127" t="s">
        <v>33</v>
      </c>
      <c r="I1127">
        <f>VLOOKUP(Table4[[#This Row],[Visitor]],'NHL Model'!$A$6:$B$38,2,FALSE)</f>
        <v>-0.47218252282767964</v>
      </c>
      <c r="J1127">
        <f>($B$1+Table4[[#This Row],[Home Differential]])-Table4[[#This Row],[Away Differential]]</f>
        <v>-0.37979460141528515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0.50324466790952904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0.24561340747691926</v>
      </c>
      <c r="H1128" t="s">
        <v>10</v>
      </c>
      <c r="I1128">
        <f>VLOOKUP(Table4[[#This Row],[Visitor]],'NHL Model'!$A$6:$B$38,2,FALSE)</f>
        <v>2.5996227684575345E-2</v>
      </c>
      <c r="J1128">
        <f>($B$1+Table4[[#This Row],[Home Differential]])-Table4[[#This Row],[Away Differential]]</f>
        <v>0.26789843308099537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0.56967430746384373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-2.8950318025217449E-2</v>
      </c>
      <c r="H1129" t="s">
        <v>28</v>
      </c>
      <c r="I1129">
        <f>VLOOKUP(Table4[[#This Row],[Visitor]],'NHL Model'!$A$6:$B$38,2,FALSE)</f>
        <v>-0.28376306754383246</v>
      </c>
      <c r="J1129">
        <f>($B$1+Table4[[#This Row],[Home Differential]])-Table4[[#This Row],[Away Differential]]</f>
        <v>0.30309400280726639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0.59701128438352413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0.17535803439735015</v>
      </c>
      <c r="H1130" t="s">
        <v>12</v>
      </c>
      <c r="I1130">
        <f>VLOOKUP(Table4[[#This Row],[Visitor]],'NHL Model'!$A$6:$B$38,2,FALSE)</f>
        <v>1.6584974384060074</v>
      </c>
      <c r="J1130">
        <f>($B$1+Table4[[#This Row],[Home Differential]])-Table4[[#This Row],[Away Differential]]</f>
        <v>-1.4348581507200058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0.67751650635239313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-1.1754320402170535</v>
      </c>
      <c r="H1131" t="s">
        <v>22</v>
      </c>
      <c r="I1131">
        <f>VLOOKUP(Table4[[#This Row],[Visitor]],'NHL Model'!$A$6:$B$38,2,FALSE)</f>
        <v>0.84902697115371384</v>
      </c>
      <c r="J1131">
        <f>($B$1+Table4[[#This Row],[Home Differential]])-Table4[[#This Row],[Away Differential]]</f>
        <v>-1.976177758082116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0.73915294501175799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0.66987960668864954</v>
      </c>
      <c r="H1132" t="s">
        <v>34</v>
      </c>
      <c r="I1132">
        <f>VLOOKUP(Table4[[#This Row],[Visitor]],'NHL Model'!$A$6:$B$38,2,FALSE)</f>
        <v>5.1566962112876508E-2</v>
      </c>
      <c r="J1132">
        <f>($B$1+Table4[[#This Row],[Home Differential]])-Table4[[#This Row],[Away Differential]]</f>
        <v>0.66659389786442447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0.59075206834860405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0.15493687588867713</v>
      </c>
      <c r="H1133" t="s">
        <v>17</v>
      </c>
      <c r="I1133">
        <f>VLOOKUP(Table4[[#This Row],[Visitor]],'NHL Model'!$A$6:$B$38,2,FALSE)</f>
        <v>-0.41671190768559452</v>
      </c>
      <c r="J1133">
        <f>($B$1+Table4[[#This Row],[Home Differential]])-Table4[[#This Row],[Away Differential]]</f>
        <v>0.61993003686292303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0.6510184592857553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-0.77107712767799974</v>
      </c>
      <c r="H1134" t="s">
        <v>31</v>
      </c>
      <c r="I1134">
        <f>VLOOKUP(Table4[[#This Row],[Visitor]],'NHL Model'!$A$6:$B$38,2,FALSE)</f>
        <v>0.17827516980235869</v>
      </c>
      <c r="J1134">
        <f>($B$1+Table4[[#This Row],[Home Differential]])-Table4[[#This Row],[Away Differential]]</f>
        <v>-0.90107104419170703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0.58336815640892181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-3.3785654828041967E-2</v>
      </c>
      <c r="H1135" t="s">
        <v>20</v>
      </c>
      <c r="I1135">
        <f>VLOOKUP(Table4[[#This Row],[Visitor]],'NHL Model'!$A$6:$B$38,2,FALSE)</f>
        <v>9.2938870272174581E-2</v>
      </c>
      <c r="J1135">
        <f>($B$1+Table4[[#This Row],[Home Differential]])-Table4[[#This Row],[Away Differential]]</f>
        <v>-7.8443271811565143E-2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0.470470271592072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-0.40965500817719275</v>
      </c>
      <c r="H1136" t="s">
        <v>21</v>
      </c>
      <c r="I1136">
        <f>VLOOKUP(Table4[[#This Row],[Visitor]],'NHL Model'!$A$6:$B$38,2,FALSE)</f>
        <v>2.6215642141022087E-2</v>
      </c>
      <c r="J1136">
        <f>($B$1+Table4[[#This Row],[Home Differential]])-Table4[[#This Row],[Away Differential]]</f>
        <v>-0.38758939702956341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0.49400995969831252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-8.5089305365893694E-2</v>
      </c>
      <c r="H1137" t="s">
        <v>15</v>
      </c>
      <c r="I1137">
        <f>VLOOKUP(Table4[[#This Row],[Visitor]],'NHL Model'!$A$6:$B$38,2,FALSE)</f>
        <v>9.0184826596604858E-2</v>
      </c>
      <c r="J1137">
        <f>($B$1+Table4[[#This Row],[Home Differential]])-Table4[[#This Row],[Away Differential]]</f>
        <v>-0.12699287867384715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0.58103206662736373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-0.81412334763558081</v>
      </c>
      <c r="H1138" t="s">
        <v>31</v>
      </c>
      <c r="I1138">
        <f>VLOOKUP(Table4[[#This Row],[Visitor]],'NHL Model'!$A$6:$B$38,2,FALSE)</f>
        <v>0.17827516980235869</v>
      </c>
      <c r="J1138">
        <f>($B$1+Table4[[#This Row],[Home Differential]])-Table4[[#This Row],[Away Differential]]</f>
        <v>-0.94411726414928809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0.58826954120978336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-0.3510442662416135</v>
      </c>
      <c r="H1139" t="s">
        <v>34</v>
      </c>
      <c r="I1139">
        <f>VLOOKUP(Table4[[#This Row],[Visitor]],'NHL Model'!$A$6:$B$38,2,FALSE)</f>
        <v>5.1566962112876508E-2</v>
      </c>
      <c r="J1139">
        <f>($B$1+Table4[[#This Row],[Home Differential]])-Table4[[#This Row],[Away Differential]]</f>
        <v>-0.35432997506583863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0.53963191467318039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-0.36560113761686208</v>
      </c>
      <c r="H1140" t="s">
        <v>28</v>
      </c>
      <c r="I1140">
        <f>VLOOKUP(Table4[[#This Row],[Visitor]],'NHL Model'!$A$6:$B$38,2,FALSE)</f>
        <v>-0.28376306754383246</v>
      </c>
      <c r="J1140">
        <f>($B$1+Table4[[#This Row],[Home Differential]])-Table4[[#This Row],[Away Differential]]</f>
        <v>-3.3556816784378218E-2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0.46739704894919071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-0.90025837753161619</v>
      </c>
      <c r="H1141" t="s">
        <v>24</v>
      </c>
      <c r="I1141">
        <f>VLOOKUP(Table4[[#This Row],[Visitor]],'NHL Model'!$A$6:$B$38,2,FALSE)</f>
        <v>-2.8342943575894393E-4</v>
      </c>
      <c r="J1141">
        <f>($B$1+Table4[[#This Row],[Home Differential]])-Table4[[#This Row],[Away Differential]]</f>
        <v>-0.8516936948072058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0.57774588829760998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0.24561340747691926</v>
      </c>
      <c r="H1142" t="s">
        <v>39</v>
      </c>
      <c r="I1142">
        <f>VLOOKUP(Table4[[#This Row],[Visitor]],'NHL Model'!$A$6:$B$38,2,FALSE)</f>
        <v>0.7564009584796878</v>
      </c>
      <c r="J1142">
        <f>($B$1+Table4[[#This Row],[Home Differential]])-Table4[[#This Row],[Away Differential]]</f>
        <v>-0.46250629771411711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0.60514868272064004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-0.23108682001987857</v>
      </c>
      <c r="H1143" t="s">
        <v>14</v>
      </c>
      <c r="I1143">
        <f>VLOOKUP(Table4[[#This Row],[Visitor]],'NHL Model'!$A$6:$B$38,2,FALSE)</f>
        <v>0.17535803439735015</v>
      </c>
      <c r="J1143">
        <f>($B$1+Table4[[#This Row],[Home Differential]])-Table4[[#This Row],[Away Differential]]</f>
        <v>-0.35816360112857731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0.5549205082429598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-2.8950318025217449E-2</v>
      </c>
      <c r="H1144" t="s">
        <v>10</v>
      </c>
      <c r="I1144">
        <f>VLOOKUP(Table4[[#This Row],[Visitor]],'NHL Model'!$A$6:$B$38,2,FALSE)</f>
        <v>2.5996227684575345E-2</v>
      </c>
      <c r="J1144">
        <f>($B$1+Table4[[#This Row],[Home Differential]])-Table4[[#This Row],[Away Differential]]</f>
        <v>-6.6652924211413889E-3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0.43554154090848002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-1.1754320402170535</v>
      </c>
      <c r="H1145" t="s">
        <v>33</v>
      </c>
      <c r="I1145">
        <f>VLOOKUP(Table4[[#This Row],[Visitor]],'NHL Model'!$A$6:$B$38,2,FALSE)</f>
        <v>-0.47218252282767964</v>
      </c>
      <c r="J1145">
        <f>($B$1+Table4[[#This Row],[Home Differential]])-Table4[[#This Row],[Away Differential]]</f>
        <v>-0.6549682641007224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0.53457685013628153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0.66987960668864954</v>
      </c>
      <c r="H1146" t="s">
        <v>32</v>
      </c>
      <c r="I1146">
        <f>VLOOKUP(Table4[[#This Row],[Visitor]],'NHL Model'!$A$6:$B$38,2,FALSE)</f>
        <v>-0.56616527987265597</v>
      </c>
      <c r="J1146">
        <f>($B$1+Table4[[#This Row],[Home Differential]])-Table4[[#This Row],[Away Differential]]</f>
        <v>1.284326139849957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0.70025423735354364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0.15493687588867713</v>
      </c>
      <c r="H1147" t="s">
        <v>22</v>
      </c>
      <c r="I1147">
        <f>VLOOKUP(Table4[[#This Row],[Visitor]],'NHL Model'!$A$6:$B$38,2,FALSE)</f>
        <v>0.84902697115371384</v>
      </c>
      <c r="J1147">
        <f>($B$1+Table4[[#This Row],[Home Differential]])-Table4[[#This Row],[Away Differential]]</f>
        <v>-0.64580884197638533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0.54665220764637079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-0.77107712767799974</v>
      </c>
      <c r="H1148" t="s">
        <v>13</v>
      </c>
      <c r="I1148">
        <f>VLOOKUP(Table4[[#This Row],[Visitor]],'NHL Model'!$A$6:$B$38,2,FALSE)</f>
        <v>-0.19390166761644689</v>
      </c>
      <c r="J1148">
        <f>($B$1+Table4[[#This Row],[Home Differential]])-Table4[[#This Row],[Away Differential]]</f>
        <v>-0.52889420677290144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0.58653743097658373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9.2938870272174581E-2</v>
      </c>
      <c r="H1149" t="s">
        <v>17</v>
      </c>
      <c r="I1149">
        <f>VLOOKUP(Table4[[#This Row],[Visitor]],'NHL Model'!$A$6:$B$38,2,FALSE)</f>
        <v>-0.41671190768559452</v>
      </c>
      <c r="J1149">
        <f>($B$1+Table4[[#This Row],[Home Differential]])-Table4[[#This Row],[Away Differential]]</f>
        <v>0.55793203124642043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0.60352798411939046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-3.3785654828041967E-2</v>
      </c>
      <c r="H1150" t="s">
        <v>12</v>
      </c>
      <c r="I1150">
        <f>VLOOKUP(Table4[[#This Row],[Visitor]],'NHL Model'!$A$6:$B$38,2,FALSE)</f>
        <v>1.6584974384060074</v>
      </c>
      <c r="J1150">
        <f>($B$1+Table4[[#This Row],[Home Differential]])-Table4[[#This Row],[Away Differential]]</f>
        <v>-1.6440018399453979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0.68203684102526174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-0.40965500817719275</v>
      </c>
      <c r="H1151" t="s">
        <v>26</v>
      </c>
      <c r="I1151">
        <f>VLOOKUP(Table4[[#This Row],[Visitor]],'NHL Model'!$A$6:$B$38,2,FALSE)</f>
        <v>-0.60099633616081094</v>
      </c>
      <c r="J1151">
        <f>($B$1+Table4[[#This Row],[Home Differential]])-Table4[[#This Row],[Away Differential]]</f>
        <v>0.2396225812722696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0.57740646804833506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9.0184826596604858E-2</v>
      </c>
      <c r="H1152" t="s">
        <v>10</v>
      </c>
      <c r="I1152">
        <f>VLOOKUP(Table4[[#This Row],[Visitor]],'NHL Model'!$A$6:$B$38,2,FALSE)</f>
        <v>2.5996227684575345E-2</v>
      </c>
      <c r="J1152">
        <f>($B$1+Table4[[#This Row],[Home Differential]])-Table4[[#This Row],[Away Differential]]</f>
        <v>0.11246985220068093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0.55197669581067277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2.6215642141022087E-2</v>
      </c>
      <c r="H1153" t="s">
        <v>34</v>
      </c>
      <c r="I1153">
        <f>VLOOKUP(Table4[[#This Row],[Visitor]],'NHL Model'!$A$6:$B$38,2,FALSE)</f>
        <v>5.1566962112876508E-2</v>
      </c>
      <c r="J1153">
        <f>($B$1+Table4[[#This Row],[Home Differential]])-Table4[[#This Row],[Away Differential]]</f>
        <v>2.2929933316796991E-2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0.5558023673146204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-0.40965500817719275</v>
      </c>
      <c r="H1154" t="s">
        <v>32</v>
      </c>
      <c r="I1154">
        <f>VLOOKUP(Table4[[#This Row],[Visitor]],'NHL Model'!$A$6:$B$38,2,FALSE)</f>
        <v>-0.56616527987265597</v>
      </c>
      <c r="J1154">
        <f>($B$1+Table4[[#This Row],[Home Differential]])-Table4[[#This Row],[Away Differential]]</f>
        <v>0.20479152498411463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0.57344048892038968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0.47905090860407873</v>
      </c>
      <c r="H1155" t="s">
        <v>24</v>
      </c>
      <c r="I1155">
        <f>VLOOKUP(Table4[[#This Row],[Visitor]],'NHL Model'!$A$6:$B$38,2,FALSE)</f>
        <v>-2.8342943575894393E-4</v>
      </c>
      <c r="J1155">
        <f>($B$1+Table4[[#This Row],[Home Differential]])-Table4[[#This Row],[Away Differential]]</f>
        <v>0.52761559132848912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0.611800192055726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-0.28376306754383246</v>
      </c>
      <c r="H1156" t="s">
        <v>33</v>
      </c>
      <c r="I1156">
        <f>VLOOKUP(Table4[[#This Row],[Visitor]],'NHL Model'!$A$6:$B$38,2,FALSE)</f>
        <v>-0.47218252282767964</v>
      </c>
      <c r="J1156">
        <f>($B$1+Table4[[#This Row],[Home Differential]])-Table4[[#This Row],[Away Differential]]</f>
        <v>0.23670070857249859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0.56695152458203424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-0.81412334763558081</v>
      </c>
      <c r="H1157" t="s">
        <v>38</v>
      </c>
      <c r="I1157">
        <f>VLOOKUP(Table4[[#This Row],[Visitor]],'NHL Model'!$A$6:$B$38,2,FALSE)</f>
        <v>-0.77107712767799974</v>
      </c>
      <c r="J1157">
        <f>($B$1+Table4[[#This Row],[Home Differential]])-Table4[[#This Row],[Away Differential]]</f>
        <v>5.2350333310703379E-3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0.540596078188194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1.6584974384060074</v>
      </c>
      <c r="H1158" t="s">
        <v>40</v>
      </c>
      <c r="I1158">
        <f>VLOOKUP(Table4[[#This Row],[Visitor]],'NHL Model'!$A$6:$B$38,2,FALSE)</f>
        <v>-3.3785654828041967E-2</v>
      </c>
      <c r="J1158">
        <f>($B$1+Table4[[#This Row],[Home Differential]])-Table4[[#This Row],[Away Differential]]</f>
        <v>1.7405643465227008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0.84271765617863026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-0.60099633616081094</v>
      </c>
      <c r="H1159" t="s">
        <v>27</v>
      </c>
      <c r="I1159">
        <f>VLOOKUP(Table4[[#This Row],[Visitor]],'NHL Model'!$A$6:$B$38,2,FALSE)</f>
        <v>-2.8950318025217449E-2</v>
      </c>
      <c r="J1159">
        <f>($B$1+Table4[[#This Row],[Home Differential]])-Table4[[#This Row],[Away Differential]]</f>
        <v>-0.52376476484694212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0.55194527860858866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-0.41671190768559452</v>
      </c>
      <c r="H1160" t="s">
        <v>31</v>
      </c>
      <c r="I1160">
        <f>VLOOKUP(Table4[[#This Row],[Visitor]],'NHL Model'!$A$6:$B$38,2,FALSE)</f>
        <v>0.17827516980235869</v>
      </c>
      <c r="J1160">
        <f>($B$1+Table4[[#This Row],[Home Differential]])-Table4[[#This Row],[Away Differential]]</f>
        <v>-0.5467058241993018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0.54051060066619427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-0.19390166761644689</v>
      </c>
      <c r="H1161" t="s">
        <v>55</v>
      </c>
      <c r="I1161">
        <f>VLOOKUP(Table4[[#This Row],[Visitor]],'NHL Model'!$A$6:$B$38,2,FALSE)</f>
        <v>0.15493687588867713</v>
      </c>
      <c r="J1161">
        <f>($B$1+Table4[[#This Row],[Home Differential]])-Table4[[#This Row],[Away Differential]]</f>
        <v>-0.30055729021647259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0.49422244590830094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-0.90025837753161619</v>
      </c>
      <c r="H1162" t="s">
        <v>18</v>
      </c>
      <c r="I1162">
        <f>VLOOKUP(Table4[[#This Row],[Visitor]],'NHL Model'!$A$6:$B$38,2,FALSE)</f>
        <v>-0.36560113761686208</v>
      </c>
      <c r="J1162">
        <f>($B$1+Table4[[#This Row],[Home Differential]])-Table4[[#This Row],[Away Differential]]</f>
        <v>-0.48637598662610271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0.57466821033255211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0.24561340747691926</v>
      </c>
      <c r="H1163" t="s">
        <v>11</v>
      </c>
      <c r="I1163">
        <f>VLOOKUP(Table4[[#This Row],[Visitor]],'NHL Model'!$A$6:$B$38,2,FALSE)</f>
        <v>-0.3510442662416135</v>
      </c>
      <c r="J1163">
        <f>($B$1+Table4[[#This Row],[Home Differential]])-Table4[[#This Row],[Away Differential]]</f>
        <v>0.64493892700718414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0.61343487668445629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0.17535803439735015</v>
      </c>
      <c r="H1164" t="s">
        <v>39</v>
      </c>
      <c r="I1164">
        <f>VLOOKUP(Table4[[#This Row],[Visitor]],'NHL Model'!$A$6:$B$38,2,FALSE)</f>
        <v>0.7564009584796878</v>
      </c>
      <c r="J1164">
        <f>($B$1+Table4[[#This Row],[Home Differential]])-Table4[[#This Row],[Away Differential]]</f>
        <v>-0.53276167079368619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0.61314819157717582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-1.1754320402170535</v>
      </c>
      <c r="H1165" t="s">
        <v>19</v>
      </c>
      <c r="I1165">
        <f>VLOOKUP(Table4[[#This Row],[Visitor]],'NHL Model'!$A$6:$B$38,2,FALSE)</f>
        <v>-8.5089305365893694E-2</v>
      </c>
      <c r="J1165">
        <f>($B$1+Table4[[#This Row],[Home Differential]])-Table4[[#This Row],[Away Differential]]</f>
        <v>-1.0420614815625084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0.5786525625787079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0.66987960668864954</v>
      </c>
      <c r="H1166" t="s">
        <v>36</v>
      </c>
      <c r="I1166">
        <f>VLOOKUP(Table4[[#This Row],[Visitor]],'NHL Model'!$A$6:$B$38,2,FALSE)</f>
        <v>-0.23108682001987857</v>
      </c>
      <c r="J1166">
        <f>($B$1+Table4[[#This Row],[Home Differential]])-Table4[[#This Row],[Away Differential]]</f>
        <v>0.94924767999717952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0.6585431921328545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9.2938870272174581E-2</v>
      </c>
      <c r="H1167" t="s">
        <v>22</v>
      </c>
      <c r="I1167">
        <f>VLOOKUP(Table4[[#This Row],[Visitor]],'NHL Model'!$A$6:$B$38,2,FALSE)</f>
        <v>0.84902697115371384</v>
      </c>
      <c r="J1167">
        <f>($B$1+Table4[[#This Row],[Home Differential]])-Table4[[#This Row],[Away Differential]]</f>
        <v>-0.70780684759288781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0.59473204327746021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0.47905090860407873</v>
      </c>
      <c r="H1168" t="s">
        <v>18</v>
      </c>
      <c r="I1168">
        <f>VLOOKUP(Table4[[#This Row],[Visitor]],'NHL Model'!$A$6:$B$38,2,FALSE)</f>
        <v>-0.36560113761686208</v>
      </c>
      <c r="J1168">
        <f>($B$1+Table4[[#This Row],[Home Differential]])-Table4[[#This Row],[Away Differential]]</f>
        <v>0.89293329950959222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0.61504131910563109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-0.28376306754383246</v>
      </c>
      <c r="H1169" t="s">
        <v>21</v>
      </c>
      <c r="I1169">
        <f>VLOOKUP(Table4[[#This Row],[Visitor]],'NHL Model'!$A$6:$B$38,2,FALSE)</f>
        <v>2.6215642141022087E-2</v>
      </c>
      <c r="J1169">
        <f>($B$1+Table4[[#This Row],[Home Differential]])-Table4[[#This Row],[Away Differential]]</f>
        <v>-0.26169745639620312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0.48979773686210909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-2.8342943575894393E-4</v>
      </c>
      <c r="H1170" t="s">
        <v>10</v>
      </c>
      <c r="I1170">
        <f>VLOOKUP(Table4[[#This Row],[Visitor]],'NHL Model'!$A$6:$B$38,2,FALSE)</f>
        <v>2.5996227684575345E-2</v>
      </c>
      <c r="J1170">
        <f>($B$1+Table4[[#This Row],[Home Differential]])-Table4[[#This Row],[Away Differential]]</f>
        <v>2.2001596168317115E-2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0.58459472665738088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9.0184826596604858E-2</v>
      </c>
      <c r="H1171" t="s">
        <v>11</v>
      </c>
      <c r="I1171">
        <f>VLOOKUP(Table4[[#This Row],[Visitor]],'NHL Model'!$A$6:$B$38,2,FALSE)</f>
        <v>-0.3510442662416135</v>
      </c>
      <c r="J1171">
        <f>($B$1+Table4[[#This Row],[Home Differential]])-Table4[[#This Row],[Away Differential]]</f>
        <v>0.48951034612686978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0.59573726503128532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-2.8950318025217449E-2</v>
      </c>
      <c r="H1172" t="s">
        <v>39</v>
      </c>
      <c r="I1172">
        <f>VLOOKUP(Table4[[#This Row],[Visitor]],'NHL Model'!$A$6:$B$38,2,FALSE)</f>
        <v>0.7564009584796878</v>
      </c>
      <c r="J1172">
        <f>($B$1+Table4[[#This Row],[Home Differential]])-Table4[[#This Row],[Away Differential]]</f>
        <v>-0.73707002321625381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0.61024101711324952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0.66987960668864954</v>
      </c>
      <c r="H1173" t="s">
        <v>29</v>
      </c>
      <c r="I1173">
        <f>VLOOKUP(Table4[[#This Row],[Visitor]],'NHL Model'!$A$6:$B$38,2,FALSE)</f>
        <v>-0.90025837753161619</v>
      </c>
      <c r="J1173">
        <f>($B$1+Table4[[#This Row],[Home Differential]])-Table4[[#This Row],[Away Differential]]</f>
        <v>1.6184192375089173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0.7382951810775692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0.17827516980235869</v>
      </c>
      <c r="H1174" t="s">
        <v>19</v>
      </c>
      <c r="I1174">
        <f>VLOOKUP(Table4[[#This Row],[Visitor]],'NHL Model'!$A$6:$B$38,2,FALSE)</f>
        <v>-8.5089305365893694E-2</v>
      </c>
      <c r="J1174">
        <f>($B$1+Table4[[#This Row],[Home Differential]])-Table4[[#This Row],[Away Differential]]</f>
        <v>0.3116457284569038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0.64375751819801219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1.6584974384060074</v>
      </c>
      <c r="H1175" t="s">
        <v>16</v>
      </c>
      <c r="I1175">
        <f>VLOOKUP(Table4[[#This Row],[Visitor]],'NHL Model'!$A$6:$B$38,2,FALSE)</f>
        <v>-0.81412334763558081</v>
      </c>
      <c r="J1175">
        <f>($B$1+Table4[[#This Row],[Home Differential]])-Table4[[#This Row],[Away Differential]]</f>
        <v>2.5209020393302395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0.93485919944804219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0.24561340747691926</v>
      </c>
      <c r="H1176" t="s">
        <v>14</v>
      </c>
      <c r="I1176">
        <f>VLOOKUP(Table4[[#This Row],[Visitor]],'NHL Model'!$A$6:$B$38,2,FALSE)</f>
        <v>0.17535803439735015</v>
      </c>
      <c r="J1176">
        <f>($B$1+Table4[[#This Row],[Home Differential]])-Table4[[#This Row],[Away Differential]]</f>
        <v>0.11853662636822054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0.49935815436487141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-0.47218252282767964</v>
      </c>
      <c r="H1177" t="s">
        <v>35</v>
      </c>
      <c r="I1177">
        <f>VLOOKUP(Table4[[#This Row],[Visitor]],'NHL Model'!$A$6:$B$38,2,FALSE)</f>
        <v>-1.1754320402170535</v>
      </c>
      <c r="J1177">
        <f>($B$1+Table4[[#This Row],[Home Differential]])-Table4[[#This Row],[Away Differential]]</f>
        <v>0.75153077067802521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0.62557177611439241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9.2938870272174581E-2</v>
      </c>
      <c r="H1178" t="s">
        <v>38</v>
      </c>
      <c r="I1178">
        <f>VLOOKUP(Table4[[#This Row],[Visitor]],'NHL Model'!$A$6:$B$38,2,FALSE)</f>
        <v>-0.77107712767799974</v>
      </c>
      <c r="J1178">
        <f>($B$1+Table4[[#This Row],[Home Differential]])-Table4[[#This Row],[Away Differential]]</f>
        <v>0.91229725123882566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0.64387717865810468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2.6215642141022087E-2</v>
      </c>
      <c r="H1179" t="s">
        <v>39</v>
      </c>
      <c r="I1179">
        <f>VLOOKUP(Table4[[#This Row],[Visitor]],'NHL Model'!$A$6:$B$38,2,FALSE)</f>
        <v>0.7564009584796878</v>
      </c>
      <c r="J1179">
        <f>($B$1+Table4[[#This Row],[Home Differential]])-Table4[[#This Row],[Away Differential]]</f>
        <v>-0.68190406305001428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0.57764384918286948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-0.40965500817719275</v>
      </c>
      <c r="H1180" t="s">
        <v>30</v>
      </c>
      <c r="I1180">
        <f>VLOOKUP(Table4[[#This Row],[Visitor]],'NHL Model'!$A$6:$B$38,2,FALSE)</f>
        <v>0.24561340747691926</v>
      </c>
      <c r="J1180">
        <f>($B$1+Table4[[#This Row],[Home Differential]])-Table4[[#This Row],[Away Differential]]</f>
        <v>-0.60698716236546058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0.59156254298643574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-0.28376306754383246</v>
      </c>
      <c r="H1181" t="s">
        <v>25</v>
      </c>
      <c r="I1181">
        <f>VLOOKUP(Table4[[#This Row],[Visitor]],'NHL Model'!$A$6:$B$38,2,FALSE)</f>
        <v>0.47905090860407873</v>
      </c>
      <c r="J1181">
        <f>($B$1+Table4[[#This Row],[Home Differential]])-Table4[[#This Row],[Away Differential]]</f>
        <v>-0.71453272285925973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0.61398222528030844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2.5996227684575345E-2</v>
      </c>
      <c r="H1182" t="s">
        <v>40</v>
      </c>
      <c r="I1182">
        <f>VLOOKUP(Table4[[#This Row],[Visitor]],'NHL Model'!$A$6:$B$38,2,FALSE)</f>
        <v>-3.3785654828041967E-2</v>
      </c>
      <c r="J1182">
        <f>($B$1+Table4[[#This Row],[Home Differential]])-Table4[[#This Row],[Away Differential]]</f>
        <v>0.10806313580126872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0.54872826667169383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-0.41671190768559452</v>
      </c>
      <c r="H1183" t="s">
        <v>32</v>
      </c>
      <c r="I1183">
        <f>VLOOKUP(Table4[[#This Row],[Visitor]],'NHL Model'!$A$6:$B$38,2,FALSE)</f>
        <v>-0.56616527987265597</v>
      </c>
      <c r="J1183">
        <f>($B$1+Table4[[#This Row],[Home Differential]])-Table4[[#This Row],[Away Differential]]</f>
        <v>0.19773462547571286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0.56501019684658016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-0.3510442662416135</v>
      </c>
      <c r="H1184" t="s">
        <v>36</v>
      </c>
      <c r="I1184">
        <f>VLOOKUP(Table4[[#This Row],[Visitor]],'NHL Model'!$A$6:$B$38,2,FALSE)</f>
        <v>-0.23108682001987857</v>
      </c>
      <c r="J1184">
        <f>($B$1+Table4[[#This Row],[Home Differential]])-Table4[[#This Row],[Away Differential]]</f>
        <v>-7.1676192933083527E-2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0.47173744703891152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9.0184826596604858E-2</v>
      </c>
      <c r="H1185" t="s">
        <v>24</v>
      </c>
      <c r="I1185">
        <f>VLOOKUP(Table4[[#This Row],[Visitor]],'NHL Model'!$A$6:$B$38,2,FALSE)</f>
        <v>-2.8342943575894393E-4</v>
      </c>
      <c r="J1185">
        <f>($B$1+Table4[[#This Row],[Home Differential]])-Table4[[#This Row],[Away Differential]]</f>
        <v>0.13874950932101521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0.53502924669948015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0.17535803439735015</v>
      </c>
      <c r="H1186" t="s">
        <v>26</v>
      </c>
      <c r="I1186">
        <f>VLOOKUP(Table4[[#This Row],[Visitor]],'NHL Model'!$A$6:$B$38,2,FALSE)</f>
        <v>-0.60099633616081094</v>
      </c>
      <c r="J1186">
        <f>($B$1+Table4[[#This Row],[Home Differential]])-Table4[[#This Row],[Away Differential]]</f>
        <v>0.82463562384681244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0.6338957361867007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0.66987960668864954</v>
      </c>
      <c r="H1187" t="s">
        <v>18</v>
      </c>
      <c r="I1187">
        <f>VLOOKUP(Table4[[#This Row],[Visitor]],'NHL Model'!$A$6:$B$38,2,FALSE)</f>
        <v>-0.36560113761686208</v>
      </c>
      <c r="J1187">
        <f>($B$1+Table4[[#This Row],[Home Differential]])-Table4[[#This Row],[Away Differential]]</f>
        <v>1.083761997594163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0.61824608190998209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0.84902697115371384</v>
      </c>
      <c r="H1188" t="s">
        <v>27</v>
      </c>
      <c r="I1188">
        <f>VLOOKUP(Table4[[#This Row],[Visitor]],'NHL Model'!$A$6:$B$38,2,FALSE)</f>
        <v>-2.8950318025217449E-2</v>
      </c>
      <c r="J1188">
        <f>($B$1+Table4[[#This Row],[Home Differential]])-Table4[[#This Row],[Away Differential]]</f>
        <v>0.92625854246758266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0.62927638120588847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1.6584974384060074</v>
      </c>
      <c r="H1189" t="s">
        <v>38</v>
      </c>
      <c r="I1189">
        <f>VLOOKUP(Table4[[#This Row],[Visitor]],'NHL Model'!$A$6:$B$38,2,FALSE)</f>
        <v>-0.77107712767799974</v>
      </c>
      <c r="J1189">
        <f>($B$1+Table4[[#This Row],[Home Differential]])-Table4[[#This Row],[Away Differential]]</f>
        <v>2.4778558193726585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0.92995781464718075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-0.19390166761644689</v>
      </c>
      <c r="H1190" t="s">
        <v>35</v>
      </c>
      <c r="I1190">
        <f>VLOOKUP(Table4[[#This Row],[Visitor]],'NHL Model'!$A$6:$B$38,2,FALSE)</f>
        <v>-1.1754320402170535</v>
      </c>
      <c r="J1190">
        <f>($B$1+Table4[[#This Row],[Home Differential]])-Table4[[#This Row],[Away Differential]]</f>
        <v>1.029811625889258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0.65725775354625904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-0.47218252282767964</v>
      </c>
      <c r="H1191" t="s">
        <v>31</v>
      </c>
      <c r="I1191">
        <f>VLOOKUP(Table4[[#This Row],[Visitor]],'NHL Model'!$A$6:$B$38,2,FALSE)</f>
        <v>0.17827516980235869</v>
      </c>
      <c r="J1191">
        <f>($B$1+Table4[[#This Row],[Home Differential]])-Table4[[#This Row],[Away Differential]]</f>
        <v>-0.60217643934138687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0.54933502934883349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0.47905090860407873</v>
      </c>
      <c r="H1192" t="s">
        <v>28</v>
      </c>
      <c r="I1192">
        <f>VLOOKUP(Table4[[#This Row],[Visitor]],'NHL Model'!$A$6:$B$38,2,FALSE)</f>
        <v>-0.28376306754383246</v>
      </c>
      <c r="J1192">
        <f>($B$1+Table4[[#This Row],[Home Differential]])-Table4[[#This Row],[Away Differential]]</f>
        <v>0.81109522943656254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0.66107436129748243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0.7564009584796878</v>
      </c>
      <c r="H1193" t="s">
        <v>40</v>
      </c>
      <c r="I1193">
        <f>VLOOKUP(Table4[[#This Row],[Visitor]],'NHL Model'!$A$6:$B$38,2,FALSE)</f>
        <v>-3.3785654828041967E-2</v>
      </c>
      <c r="J1193">
        <f>($B$1+Table4[[#This Row],[Home Differential]])-Table4[[#This Row],[Away Differential]]</f>
        <v>0.83846786659638117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0.67486986266973004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-0.41671190768559452</v>
      </c>
      <c r="H1194" t="s">
        <v>10</v>
      </c>
      <c r="I1194">
        <f>VLOOKUP(Table4[[#This Row],[Visitor]],'NHL Model'!$A$6:$B$38,2,FALSE)</f>
        <v>2.5996227684575345E-2</v>
      </c>
      <c r="J1194">
        <f>($B$1+Table4[[#This Row],[Home Differential]])-Table4[[#This Row],[Away Differential]]</f>
        <v>-0.39442688208151844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0.50324408105498275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-0.3510442662416135</v>
      </c>
      <c r="H1195" t="s">
        <v>21</v>
      </c>
      <c r="I1195">
        <f>VLOOKUP(Table4[[#This Row],[Visitor]],'NHL Model'!$A$6:$B$38,2,FALSE)</f>
        <v>2.6215642141022087E-2</v>
      </c>
      <c r="J1195">
        <f>($B$1+Table4[[#This Row],[Home Differential]])-Table4[[#This Row],[Away Differential]]</f>
        <v>-0.32897865509398416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0.49745859639881207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-0.19390166761644689</v>
      </c>
      <c r="H1196" t="s">
        <v>29</v>
      </c>
      <c r="I1196">
        <f>VLOOKUP(Table4[[#This Row],[Visitor]],'NHL Model'!$A$6:$B$38,2,FALSE)</f>
        <v>-0.90025837753161619</v>
      </c>
      <c r="J1196">
        <f>($B$1+Table4[[#This Row],[Home Differential]])-Table4[[#This Row],[Away Differential]]</f>
        <v>0.75463796320382071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0.62592557131950666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5.1566962112876508E-2</v>
      </c>
      <c r="H1197" t="s">
        <v>38</v>
      </c>
      <c r="I1197">
        <f>VLOOKUP(Table4[[#This Row],[Visitor]],'NHL Model'!$A$6:$B$38,2,FALSE)</f>
        <v>-0.77107712767799974</v>
      </c>
      <c r="J1197">
        <f>($B$1+Table4[[#This Row],[Home Differential]])-Table4[[#This Row],[Away Differential]]</f>
        <v>0.87092534307952763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0.63916643652942429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-2.8342943575894393E-4</v>
      </c>
      <c r="H1198" t="s">
        <v>22</v>
      </c>
      <c r="I1198">
        <f>VLOOKUP(Table4[[#This Row],[Visitor]],'NHL Model'!$A$6:$B$38,2,FALSE)</f>
        <v>0.84902697115371384</v>
      </c>
      <c r="J1198">
        <f>($B$1+Table4[[#This Row],[Home Differential]])-Table4[[#This Row],[Away Differential]]</f>
        <v>-0.80102914730082142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0.56179606008096872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9.0184826596604858E-2</v>
      </c>
      <c r="H1199" t="s">
        <v>18</v>
      </c>
      <c r="I1199">
        <f>VLOOKUP(Table4[[#This Row],[Visitor]],'NHL Model'!$A$6:$B$38,2,FALSE)</f>
        <v>-0.36560113761686208</v>
      </c>
      <c r="J1199">
        <f>($B$1+Table4[[#This Row],[Home Differential]])-Table4[[#This Row],[Away Differential]]</f>
        <v>0.50406721750211836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0.53810692466453802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-0.23108682001987857</v>
      </c>
      <c r="H1200" t="s">
        <v>23</v>
      </c>
      <c r="I1200">
        <f>VLOOKUP(Table4[[#This Row],[Visitor]],'NHL Model'!$A$6:$B$38,2,FALSE)</f>
        <v>-0.40965500817719275</v>
      </c>
      <c r="J1200">
        <f>($B$1+Table4[[#This Row],[Home Differential]])-Table4[[#This Row],[Away Differential]]</f>
        <v>0.22684944144596558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0.5658298267648787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-2.8950318025217449E-2</v>
      </c>
      <c r="H1201" t="s">
        <v>26</v>
      </c>
      <c r="I1201">
        <f>VLOOKUP(Table4[[#This Row],[Visitor]],'NHL Model'!$A$6:$B$38,2,FALSE)</f>
        <v>-0.60099633616081094</v>
      </c>
      <c r="J1201">
        <f>($B$1+Table4[[#This Row],[Home Differential]])-Table4[[#This Row],[Away Differential]]</f>
        <v>0.62032727142424493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0.63667024812806383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-0.56616527987265597</v>
      </c>
      <c r="H1202" t="s">
        <v>55</v>
      </c>
      <c r="I1202">
        <f>VLOOKUP(Table4[[#This Row],[Visitor]],'NHL Model'!$A$6:$B$38,2,FALSE)</f>
        <v>0.15493687588867713</v>
      </c>
      <c r="J1202">
        <f>($B$1+Table4[[#This Row],[Home Differential]])-Table4[[#This Row],[Away Differential]]</f>
        <v>-0.67282090247268167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0.53660961051472644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-0.47218252282767964</v>
      </c>
      <c r="H1203" t="s">
        <v>19</v>
      </c>
      <c r="I1203">
        <f>VLOOKUP(Table4[[#This Row],[Visitor]],'NHL Model'!$A$6:$B$38,2,FALSE)</f>
        <v>-8.5089305365893694E-2</v>
      </c>
      <c r="J1203">
        <f>($B$1+Table4[[#This Row],[Home Differential]])-Table4[[#This Row],[Away Differential]]</f>
        <v>-0.33881196417313453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0.49857824945337098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0.66987960668864954</v>
      </c>
      <c r="H1204" t="s">
        <v>14</v>
      </c>
      <c r="I1204">
        <f>VLOOKUP(Table4[[#This Row],[Visitor]],'NHL Model'!$A$6:$B$38,2,FALSE)</f>
        <v>0.17535803439735015</v>
      </c>
      <c r="J1204">
        <f>($B$1+Table4[[#This Row],[Home Differential]])-Table4[[#This Row],[Away Differential]]</f>
        <v>0.54280282557995085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0.56180532278522877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9.2938870272174581E-2</v>
      </c>
      <c r="H1205" t="s">
        <v>16</v>
      </c>
      <c r="I1205">
        <f>VLOOKUP(Table4[[#This Row],[Visitor]],'NHL Model'!$A$6:$B$38,2,FALSE)</f>
        <v>-0.81412334763558081</v>
      </c>
      <c r="J1205">
        <f>($B$1+Table4[[#This Row],[Home Differential]])-Table4[[#This Row],[Away Differential]]</f>
        <v>0.95534347119640683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0.64877856345896623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0.17827516980235869</v>
      </c>
      <c r="H1206" t="s">
        <v>35</v>
      </c>
      <c r="I1206">
        <f>VLOOKUP(Table4[[#This Row],[Visitor]],'NHL Model'!$A$6:$B$38,2,FALSE)</f>
        <v>-1.1754320402170535</v>
      </c>
      <c r="J1206">
        <f>($B$1+Table4[[#This Row],[Home Differential]])-Table4[[#This Row],[Away Differential]]</f>
        <v>1.4019884633080637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0.76790754376577552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0.24561340747691926</v>
      </c>
      <c r="H1207" t="s">
        <v>27</v>
      </c>
      <c r="I1207">
        <f>VLOOKUP(Table4[[#This Row],[Visitor]],'NHL Model'!$A$6:$B$38,2,FALSE)</f>
        <v>-2.8950318025217449E-2</v>
      </c>
      <c r="J1207">
        <f>($B$1+Table4[[#This Row],[Home Differential]])-Table4[[#This Row],[Away Differential]]</f>
        <v>0.32284497879078816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0.53424763293921429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0.17827516980235869</v>
      </c>
      <c r="H1208" t="s">
        <v>16</v>
      </c>
      <c r="I1208">
        <f>VLOOKUP(Table4[[#This Row],[Visitor]],'NHL Model'!$A$6:$B$38,2,FALSE)</f>
        <v>-0.81412334763558081</v>
      </c>
      <c r="J1208">
        <f>($B$1+Table4[[#This Row],[Home Differential]])-Table4[[#This Row],[Away Differential]]</f>
        <v>1.0406797707265909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0.72676774250138854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0.47905090860407873</v>
      </c>
      <c r="H1209" t="s">
        <v>30</v>
      </c>
      <c r="I1209">
        <f>VLOOKUP(Table4[[#This Row],[Visitor]],'NHL Model'!$A$6:$B$38,2,FALSE)</f>
        <v>0.24561340747691926</v>
      </c>
      <c r="J1209">
        <f>($B$1+Table4[[#This Row],[Home Differential]])-Table4[[#This Row],[Away Differential]]</f>
        <v>0.28171875441581085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0.53207742799186508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-0.28376306754383246</v>
      </c>
      <c r="H1210" t="s">
        <v>40</v>
      </c>
      <c r="I1210">
        <f>VLOOKUP(Table4[[#This Row],[Visitor]],'NHL Model'!$A$6:$B$38,2,FALSE)</f>
        <v>-3.3785654828041967E-2</v>
      </c>
      <c r="J1210">
        <f>($B$1+Table4[[#This Row],[Home Differential]])-Table4[[#This Row],[Away Differential]]</f>
        <v>-0.20169615942713909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0.48654194992465805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0.7564009584796878</v>
      </c>
      <c r="H1211" t="s">
        <v>12</v>
      </c>
      <c r="I1211">
        <f>VLOOKUP(Table4[[#This Row],[Visitor]],'NHL Model'!$A$6:$B$38,2,FALSE)</f>
        <v>1.6584974384060074</v>
      </c>
      <c r="J1211">
        <f>($B$1+Table4[[#This Row],[Home Differential]])-Table4[[#This Row],[Away Differential]]</f>
        <v>-0.85381522663766818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0.56780645744486369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-0.41671190768559452</v>
      </c>
      <c r="H1212" t="s">
        <v>20</v>
      </c>
      <c r="I1212">
        <f>VLOOKUP(Table4[[#This Row],[Visitor]],'NHL Model'!$A$6:$B$38,2,FALSE)</f>
        <v>9.2938870272174581E-2</v>
      </c>
      <c r="J1212">
        <f>($B$1+Table4[[#This Row],[Home Differential]])-Table4[[#This Row],[Away Differential]]</f>
        <v>-0.46136952466911768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0.53079392770649703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-0.19390166761644689</v>
      </c>
      <c r="H1213" t="s">
        <v>19</v>
      </c>
      <c r="I1213">
        <f>VLOOKUP(Table4[[#This Row],[Visitor]],'NHL Model'!$A$6:$B$38,2,FALSE)</f>
        <v>-8.5089305365893694E-2</v>
      </c>
      <c r="J1213">
        <f>($B$1+Table4[[#This Row],[Home Differential]])-Table4[[#This Row],[Away Differential]]</f>
        <v>-6.0531108961901794E-2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0.46689227202150435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-2.8342943575894393E-4</v>
      </c>
      <c r="H1214" t="s">
        <v>18</v>
      </c>
      <c r="I1214">
        <f>VLOOKUP(Table4[[#This Row],[Visitor]],'NHL Model'!$A$6:$B$38,2,FALSE)</f>
        <v>-0.36560113761686208</v>
      </c>
      <c r="J1214">
        <f>($B$1+Table4[[#This Row],[Home Differential]])-Table4[[#This Row],[Away Differential]]</f>
        <v>0.41359896146975456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0.57136558867296994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9.0184826596604858E-2</v>
      </c>
      <c r="H1215" t="s">
        <v>26</v>
      </c>
      <c r="I1215">
        <f>VLOOKUP(Table4[[#This Row],[Visitor]],'NHL Model'!$A$6:$B$38,2,FALSE)</f>
        <v>-0.60099633616081094</v>
      </c>
      <c r="J1215">
        <f>($B$1+Table4[[#This Row],[Home Differential]])-Table4[[#This Row],[Away Differential]]</f>
        <v>0.73946241604606722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0.62419763339006551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-0.23108682001987857</v>
      </c>
      <c r="H1216" t="s">
        <v>34</v>
      </c>
      <c r="I1216">
        <f>VLOOKUP(Table4[[#This Row],[Visitor]],'NHL Model'!$A$6:$B$38,2,FALSE)</f>
        <v>5.1566962112876508E-2</v>
      </c>
      <c r="J1216">
        <f>($B$1+Table4[[#This Row],[Home Differential]])-Table4[[#This Row],[Away Differential]]</f>
        <v>-0.23437252884410367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0.52597316358561075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0.17535803439735015</v>
      </c>
      <c r="H1217" t="s">
        <v>11</v>
      </c>
      <c r="I1217">
        <f>VLOOKUP(Table4[[#This Row],[Visitor]],'NHL Model'!$A$6:$B$38,2,FALSE)</f>
        <v>-0.3510442662416135</v>
      </c>
      <c r="J1217">
        <f>($B$1+Table4[[#This Row],[Home Differential]])-Table4[[#This Row],[Away Differential]]</f>
        <v>0.57468355392761505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0.60543536782792062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-0.56616527987265597</v>
      </c>
      <c r="H1218" t="s">
        <v>10</v>
      </c>
      <c r="I1218">
        <f>VLOOKUP(Table4[[#This Row],[Visitor]],'NHL Model'!$A$6:$B$38,2,FALSE)</f>
        <v>2.5996227684575345E-2</v>
      </c>
      <c r="J1218">
        <f>($B$1+Table4[[#This Row],[Home Differential]])-Table4[[#This Row],[Away Differential]]</f>
        <v>-0.54388025426857989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0.5227574954623917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-0.47218252282767964</v>
      </c>
      <c r="H1219" t="s">
        <v>29</v>
      </c>
      <c r="I1219">
        <f>VLOOKUP(Table4[[#This Row],[Visitor]],'NHL Model'!$A$6:$B$38,2,FALSE)</f>
        <v>-0.90025837753161619</v>
      </c>
      <c r="J1219">
        <f>($B$1+Table4[[#This Row],[Home Differential]])-Table4[[#This Row],[Away Differential]]</f>
        <v>0.47635710799258796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0.59423959388763992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0.66987960668864954</v>
      </c>
      <c r="H1220" t="s">
        <v>21</v>
      </c>
      <c r="I1220">
        <f>VLOOKUP(Table4[[#This Row],[Visitor]],'NHL Model'!$A$6:$B$38,2,FALSE)</f>
        <v>2.6215642141022087E-2</v>
      </c>
      <c r="J1220">
        <f>($B$1+Table4[[#This Row],[Home Differential]])-Table4[[#This Row],[Away Differential]]</f>
        <v>0.69194521783627883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0.63280378873484144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-0.77107712767799974</v>
      </c>
      <c r="H1221" t="s">
        <v>55</v>
      </c>
      <c r="I1221">
        <f>VLOOKUP(Table4[[#This Row],[Visitor]],'NHL Model'!$A$6:$B$38,2,FALSE)</f>
        <v>0.15493687588867713</v>
      </c>
      <c r="J1221">
        <f>($B$1+Table4[[#This Row],[Home Differential]])-Table4[[#This Row],[Away Differential]]</f>
        <v>-0.87773275027802544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0.55994155040025595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0.84902697115371384</v>
      </c>
      <c r="H1222" t="s">
        <v>23</v>
      </c>
      <c r="I1222">
        <f>VLOOKUP(Table4[[#This Row],[Visitor]],'NHL Model'!$A$6:$B$38,2,FALSE)</f>
        <v>-0.40965500817719275</v>
      </c>
      <c r="J1222">
        <f>($B$1+Table4[[#This Row],[Home Differential]])-Table4[[#This Row],[Away Differential]]</f>
        <v>1.3069632326195579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0.71485288686484649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1.6584974384060074</v>
      </c>
      <c r="H1223" t="s">
        <v>35</v>
      </c>
      <c r="I1223">
        <f>VLOOKUP(Table4[[#This Row],[Visitor]],'NHL Model'!$A$6:$B$38,2,FALSE)</f>
        <v>-1.1754320402170535</v>
      </c>
      <c r="J1223">
        <f>($B$1+Table4[[#This Row],[Home Differential]])-Table4[[#This Row],[Away Differential]]</f>
        <v>2.8822107319117123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0.97599900071242929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-0.60099633616081094</v>
      </c>
      <c r="H1224" t="s">
        <v>34</v>
      </c>
      <c r="I1224">
        <f>VLOOKUP(Table4[[#This Row],[Visitor]],'NHL Model'!$A$6:$B$38,2,FALSE)</f>
        <v>5.1566962112876508E-2</v>
      </c>
      <c r="J1224">
        <f>($B$1+Table4[[#This Row],[Home Differential]])-Table4[[#This Row],[Away Differential]]</f>
        <v>-0.60428204498503602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0.55788851922604377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-0.36560113761686208</v>
      </c>
      <c r="H1225" t="s">
        <v>24</v>
      </c>
      <c r="I1225">
        <f>VLOOKUP(Table4[[#This Row],[Visitor]],'NHL Model'!$A$6:$B$38,2,FALSE)</f>
        <v>-2.8342943575894393E-4</v>
      </c>
      <c r="J1225">
        <f>($B$1+Table4[[#This Row],[Home Differential]])-Table4[[#This Row],[Away Differential]]</f>
        <v>-0.31703645489245175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0.5168680488038957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9.0184826596604858E-2</v>
      </c>
      <c r="H1226" t="s">
        <v>22</v>
      </c>
      <c r="I1226">
        <f>VLOOKUP(Table4[[#This Row],[Visitor]],'NHL Model'!$A$6:$B$38,2,FALSE)</f>
        <v>0.84902697115371384</v>
      </c>
      <c r="J1226">
        <f>($B$1+Table4[[#This Row],[Home Differential]])-Table4[[#This Row],[Away Differential]]</f>
        <v>-0.71056089126845756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0.59504562778791537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-0.23108682001987857</v>
      </c>
      <c r="H1227" t="s">
        <v>25</v>
      </c>
      <c r="I1227">
        <f>VLOOKUP(Table4[[#This Row],[Visitor]],'NHL Model'!$A$6:$B$38,2,FALSE)</f>
        <v>0.47905090860407873</v>
      </c>
      <c r="J1227">
        <f>($B$1+Table4[[#This Row],[Home Differential]])-Table4[[#This Row],[Away Differential]]</f>
        <v>-0.66185647533530589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0.60798433372944172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-2.8950318025217449E-2</v>
      </c>
      <c r="H1228" t="s">
        <v>21</v>
      </c>
      <c r="I1228">
        <f>VLOOKUP(Table4[[#This Row],[Visitor]],'NHL Model'!$A$6:$B$38,2,FALSE)</f>
        <v>2.6215642141022087E-2</v>
      </c>
      <c r="J1228">
        <f>($B$1+Table4[[#This Row],[Home Differential]])-Table4[[#This Row],[Away Differential]]</f>
        <v>-6.8847068775881315E-3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0.43474617961858375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0.17535803439735015</v>
      </c>
      <c r="H1229" t="s">
        <v>11</v>
      </c>
      <c r="I1229">
        <f>VLOOKUP(Table4[[#This Row],[Visitor]],'NHL Model'!$A$6:$B$38,2,FALSE)</f>
        <v>-0.3510442662416135</v>
      </c>
      <c r="J1229">
        <f>($B$1+Table4[[#This Row],[Home Differential]])-Table4[[#This Row],[Away Differential]]</f>
        <v>0.57468355392761505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0.60543536782792062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-0.40965500817719275</v>
      </c>
      <c r="H1230" t="s">
        <v>37</v>
      </c>
      <c r="I1230">
        <f>VLOOKUP(Table4[[#This Row],[Visitor]],'NHL Model'!$A$6:$B$38,2,FALSE)</f>
        <v>0.66987960668864954</v>
      </c>
      <c r="J1230">
        <f>($B$1+Table4[[#This Row],[Home Differential]])-Table4[[#This Row],[Away Differential]]</f>
        <v>-1.0312533615771908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0.63987089392607333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-0.19390166761644689</v>
      </c>
      <c r="H1231" t="s">
        <v>29</v>
      </c>
      <c r="I1231">
        <f>VLOOKUP(Table4[[#This Row],[Visitor]],'NHL Model'!$A$6:$B$38,2,FALSE)</f>
        <v>-0.90025837753161619</v>
      </c>
      <c r="J1231">
        <f>($B$1+Table4[[#This Row],[Home Differential]])-Table4[[#This Row],[Away Differential]]</f>
        <v>0.75463796320382071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0.62592557131950666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-0.47218252282767964</v>
      </c>
      <c r="H1232" t="s">
        <v>10</v>
      </c>
      <c r="I1232">
        <f>VLOOKUP(Table4[[#This Row],[Visitor]],'NHL Model'!$A$6:$B$38,2,FALSE)</f>
        <v>2.5996227684575345E-2</v>
      </c>
      <c r="J1232">
        <f>($B$1+Table4[[#This Row],[Home Differential]])-Table4[[#This Row],[Away Differential]]</f>
        <v>-0.44989749722360356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0.51205630828783277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-3.3785654828041967E-2</v>
      </c>
      <c r="H1233" t="s">
        <v>32</v>
      </c>
      <c r="I1233">
        <f>VLOOKUP(Table4[[#This Row],[Visitor]],'NHL Model'!$A$6:$B$38,2,FALSE)</f>
        <v>-0.56616527987265597</v>
      </c>
      <c r="J1233">
        <f>($B$1+Table4[[#This Row],[Home Differential]])-Table4[[#This Row],[Away Differential]]</f>
        <v>0.58066087833326541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0.62522139703981328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0.17827516980235869</v>
      </c>
      <c r="H1234" t="s">
        <v>29</v>
      </c>
      <c r="I1234">
        <f>VLOOKUP(Table4[[#This Row],[Visitor]],'NHL Model'!$A$6:$B$38,2,FALSE)</f>
        <v>-0.90025837753161619</v>
      </c>
      <c r="J1234">
        <f>($B$1+Table4[[#This Row],[Home Differential]])-Table4[[#This Row],[Away Differential]]</f>
        <v>1.1268148006226264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0.73657536153902314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0.47905090860407873</v>
      </c>
      <c r="H1235" t="s">
        <v>21</v>
      </c>
      <c r="I1235">
        <f>VLOOKUP(Table4[[#This Row],[Visitor]],'NHL Model'!$A$6:$B$38,2,FALSE)</f>
        <v>2.6215642141022087E-2</v>
      </c>
      <c r="J1235">
        <f>($B$1+Table4[[#This Row],[Home Differential]])-Table4[[#This Row],[Away Differential]]</f>
        <v>0.50111651975170801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0.62930484810769616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0.7564009584796878</v>
      </c>
      <c r="H1236" t="s">
        <v>16</v>
      </c>
      <c r="I1236">
        <f>VLOOKUP(Table4[[#This Row],[Visitor]],'NHL Model'!$A$6:$B$38,2,FALSE)</f>
        <v>-0.81412334763558081</v>
      </c>
      <c r="J1236">
        <f>($B$1+Table4[[#This Row],[Home Differential]])-Table4[[#This Row],[Away Differential]]</f>
        <v>1.6188055594039201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0.76722410287021858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-0.60099633616081094</v>
      </c>
      <c r="H1237" t="s">
        <v>28</v>
      </c>
      <c r="I1237">
        <f>VLOOKUP(Table4[[#This Row],[Visitor]],'NHL Model'!$A$6:$B$38,2,FALSE)</f>
        <v>-0.28376306754383246</v>
      </c>
      <c r="J1237">
        <f>($B$1+Table4[[#This Row],[Home Differential]])-Table4[[#This Row],[Away Differential]]</f>
        <v>-0.26895201532832708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0.48406506045298631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5.1566962112876508E-2</v>
      </c>
      <c r="H1238" t="s">
        <v>32</v>
      </c>
      <c r="I1238">
        <f>VLOOKUP(Table4[[#This Row],[Visitor]],'NHL Model'!$A$6:$B$38,2,FALSE)</f>
        <v>-0.56616527987265597</v>
      </c>
      <c r="J1238">
        <f>($B$1+Table4[[#This Row],[Home Differential]])-Table4[[#This Row],[Away Differential]]</f>
        <v>0.66601349527418385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0.61583449664389478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-0.36560113761686208</v>
      </c>
      <c r="H1239" t="s">
        <v>11</v>
      </c>
      <c r="I1239">
        <f>VLOOKUP(Table4[[#This Row],[Visitor]],'NHL Model'!$A$6:$B$38,2,FALSE)</f>
        <v>-0.3510442662416135</v>
      </c>
      <c r="J1239">
        <f>($B$1+Table4[[#This Row],[Home Differential]])-Table4[[#This Row],[Away Differential]]</f>
        <v>3.3724381913402823E-2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0.54383996952790958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-2.8342943575894393E-4</v>
      </c>
      <c r="H1240" t="s">
        <v>27</v>
      </c>
      <c r="I1240">
        <f>VLOOKUP(Table4[[#This Row],[Visitor]],'NHL Model'!$A$6:$B$38,2,FALSE)</f>
        <v>-2.8950318025217449E-2</v>
      </c>
      <c r="J1240">
        <f>($B$1+Table4[[#This Row],[Home Differential]])-Table4[[#This Row],[Away Differential]]</f>
        <v>7.6948141878109916E-2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0.54974517617783525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-0.23108682001987857</v>
      </c>
      <c r="H1241" t="s">
        <v>37</v>
      </c>
      <c r="I1241">
        <f>VLOOKUP(Table4[[#This Row],[Visitor]],'NHL Model'!$A$6:$B$38,2,FALSE)</f>
        <v>0.66987960668864954</v>
      </c>
      <c r="J1241">
        <f>($B$1+Table4[[#This Row],[Home Differential]])-Table4[[#This Row],[Away Differential]]</f>
        <v>-0.85268517341987671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0.62971271966626963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-1.1754320402170535</v>
      </c>
      <c r="H1242" t="s">
        <v>12</v>
      </c>
      <c r="I1242">
        <f>VLOOKUP(Table4[[#This Row],[Visitor]],'NHL Model'!$A$6:$B$38,2,FALSE)</f>
        <v>1.6584974384060074</v>
      </c>
      <c r="J1242">
        <f>($B$1+Table4[[#This Row],[Home Differential]])-Table4[[#This Row],[Away Differential]]</f>
        <v>-2.7856482253344095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0.83132192637287106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0.15493687588867713</v>
      </c>
      <c r="H1243" t="s">
        <v>17</v>
      </c>
      <c r="I1243">
        <f>VLOOKUP(Table4[[#This Row],[Visitor]],'NHL Model'!$A$6:$B$38,2,FALSE)</f>
        <v>-0.41671190768559452</v>
      </c>
      <c r="J1243">
        <f>($B$1+Table4[[#This Row],[Home Differential]])-Table4[[#This Row],[Away Differential]]</f>
        <v>0.61993003686292303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0.6510184592857553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-0.77107712767799974</v>
      </c>
      <c r="H1244" t="s">
        <v>20</v>
      </c>
      <c r="I1244">
        <f>VLOOKUP(Table4[[#This Row],[Visitor]],'NHL Model'!$A$6:$B$38,2,FALSE)</f>
        <v>9.2938870272174581E-2</v>
      </c>
      <c r="J1244">
        <f>($B$1+Table4[[#This Row],[Home Differential]])-Table4[[#This Row],[Away Differential]]</f>
        <v>-0.81573474466152296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0.57365148344922456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9.0184826596604858E-2</v>
      </c>
      <c r="H1245" t="s">
        <v>23</v>
      </c>
      <c r="I1245">
        <f>VLOOKUP(Table4[[#This Row],[Visitor]],'NHL Model'!$A$6:$B$38,2,FALSE)</f>
        <v>-0.40965500817719275</v>
      </c>
      <c r="J1245">
        <f>($B$1+Table4[[#This Row],[Home Differential]])-Table4[[#This Row],[Away Differential]]</f>
        <v>0.54812108806244897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0.60241087771953883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-0.47218252282767964</v>
      </c>
      <c r="H1246" t="s">
        <v>17</v>
      </c>
      <c r="I1246">
        <f>VLOOKUP(Table4[[#This Row],[Visitor]],'NHL Model'!$A$6:$B$38,2,FALSE)</f>
        <v>-0.41671190768559452</v>
      </c>
      <c r="J1246">
        <f>($B$1+Table4[[#This Row],[Home Differential]])-Table4[[#This Row],[Away Differential]]</f>
        <v>-7.1893618534337178E-3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0.46081860448957046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-8.5089305365893694E-2</v>
      </c>
      <c r="H1247" t="s">
        <v>22</v>
      </c>
      <c r="I1247">
        <f>VLOOKUP(Table4[[#This Row],[Visitor]],'NHL Model'!$A$6:$B$38,2,FALSE)</f>
        <v>0.84902697115371384</v>
      </c>
      <c r="J1247">
        <f>($B$1+Table4[[#This Row],[Home Differential]])-Table4[[#This Row],[Away Differential]]</f>
        <v>-0.88583502323095609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0.61500291944399466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0.17827516980235869</v>
      </c>
      <c r="H1248" t="s">
        <v>33</v>
      </c>
      <c r="I1248">
        <f>VLOOKUP(Table4[[#This Row],[Visitor]],'NHL Model'!$A$6:$B$38,2,FALSE)</f>
        <v>-0.47218252282767964</v>
      </c>
      <c r="J1248">
        <f>($B$1+Table4[[#This Row],[Home Differential]])-Table4[[#This Row],[Away Differential]]</f>
        <v>0.69873894591868968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0.68783323064043866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-0.40965500817719275</v>
      </c>
      <c r="H1249" t="s">
        <v>28</v>
      </c>
      <c r="I1249">
        <f>VLOOKUP(Table4[[#This Row],[Visitor]],'NHL Model'!$A$6:$B$38,2,FALSE)</f>
        <v>-0.28376306754383246</v>
      </c>
      <c r="J1249">
        <f>($B$1+Table4[[#This Row],[Home Differential]])-Table4[[#This Row],[Away Differential]]</f>
        <v>-7.7610687344708884E-2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0.46227830478245968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2.5996227684575345E-2</v>
      </c>
      <c r="H1250" t="s">
        <v>25</v>
      </c>
      <c r="I1250">
        <f>VLOOKUP(Table4[[#This Row],[Visitor]],'NHL Model'!$A$6:$B$38,2,FALSE)</f>
        <v>0.47905090860407873</v>
      </c>
      <c r="J1250">
        <f>($B$1+Table4[[#This Row],[Home Differential]])-Table4[[#This Row],[Away Differential]]</f>
        <v>-0.404773427630852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0.57871200868395645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1.6584974384060074</v>
      </c>
      <c r="H1251" t="s">
        <v>16</v>
      </c>
      <c r="I1251">
        <f>VLOOKUP(Table4[[#This Row],[Visitor]],'NHL Model'!$A$6:$B$38,2,FALSE)</f>
        <v>-0.81412334763558081</v>
      </c>
      <c r="J1251">
        <f>($B$1+Table4[[#This Row],[Home Differential]])-Table4[[#This Row],[Away Differential]]</f>
        <v>2.5209020393302395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0.93485919944804219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0.7564009584796878</v>
      </c>
      <c r="H1252" t="s">
        <v>34</v>
      </c>
      <c r="I1252">
        <f>VLOOKUP(Table4[[#This Row],[Visitor]],'NHL Model'!$A$6:$B$38,2,FALSE)</f>
        <v>5.1566962112876508E-2</v>
      </c>
      <c r="J1252">
        <f>($B$1+Table4[[#This Row],[Home Differential]])-Table4[[#This Row],[Away Differential]]</f>
        <v>0.75311524965546273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0.62993823663647108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-0.60099633616081094</v>
      </c>
      <c r="H1253" t="s">
        <v>27</v>
      </c>
      <c r="I1253">
        <f>VLOOKUP(Table4[[#This Row],[Visitor]],'NHL Model'!$A$6:$B$38,2,FALSE)</f>
        <v>-2.8950318025217449E-2</v>
      </c>
      <c r="J1253">
        <f>($B$1+Table4[[#This Row],[Home Differential]])-Table4[[#This Row],[Away Differential]]</f>
        <v>-0.52376476484694212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0.55194527860858866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-0.19390166761644689</v>
      </c>
      <c r="H1254" t="s">
        <v>38</v>
      </c>
      <c r="I1254">
        <f>VLOOKUP(Table4[[#This Row],[Visitor]],'NHL Model'!$A$6:$B$38,2,FALSE)</f>
        <v>-0.77107712767799974</v>
      </c>
      <c r="J1254">
        <f>($B$1+Table4[[#This Row],[Home Differential]])-Table4[[#This Row],[Away Differential]]</f>
        <v>0.62545671335020425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0.61121656748101039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-0.36560113761686208</v>
      </c>
      <c r="H1255" t="s">
        <v>37</v>
      </c>
      <c r="I1255">
        <f>VLOOKUP(Table4[[#This Row],[Visitor]],'NHL Model'!$A$6:$B$38,2,FALSE)</f>
        <v>0.66987960668864954</v>
      </c>
      <c r="J1255">
        <f>($B$1+Table4[[#This Row],[Home Differential]])-Table4[[#This Row],[Away Differential]]</f>
        <v>-0.98719949101686022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0.64502896421498523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-2.8342943575894393E-4</v>
      </c>
      <c r="H1256" t="s">
        <v>14</v>
      </c>
      <c r="I1256">
        <f>VLOOKUP(Table4[[#This Row],[Visitor]],'NHL Model'!$A$6:$B$38,2,FALSE)</f>
        <v>0.17535803439735015</v>
      </c>
      <c r="J1256">
        <f>($B$1+Table4[[#This Row],[Home Differential]])-Table4[[#This Row],[Away Differential]]</f>
        <v>-0.12736021054445767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0.48508988958135285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0.24561340747691926</v>
      </c>
      <c r="H1257" t="s">
        <v>19</v>
      </c>
      <c r="I1257">
        <f>VLOOKUP(Table4[[#This Row],[Visitor]],'NHL Model'!$A$6:$B$38,2,FALSE)</f>
        <v>-8.5089305365893694E-2</v>
      </c>
      <c r="J1257">
        <f>($B$1+Table4[[#This Row],[Home Differential]])-Table4[[#This Row],[Away Differential]]</f>
        <v>0.3789839661314644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0.58315236629830569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-0.23108682001987857</v>
      </c>
      <c r="H1258" t="s">
        <v>11</v>
      </c>
      <c r="I1258">
        <f>VLOOKUP(Table4[[#This Row],[Visitor]],'NHL Model'!$A$6:$B$38,2,FALSE)</f>
        <v>-0.3510442662416135</v>
      </c>
      <c r="J1258">
        <f>($B$1+Table4[[#This Row],[Home Differential]])-Table4[[#This Row],[Away Differential]]</f>
        <v>0.16823869951038634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0.55915621407662519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-0.56616527987265597</v>
      </c>
      <c r="H1259" t="s">
        <v>20</v>
      </c>
      <c r="I1259">
        <f>VLOOKUP(Table4[[#This Row],[Visitor]],'NHL Model'!$A$6:$B$38,2,FALSE)</f>
        <v>9.2938870272174581E-2</v>
      </c>
      <c r="J1259">
        <f>($B$1+Table4[[#This Row],[Home Differential]])-Table4[[#This Row],[Away Differential]]</f>
        <v>-0.61082289685617919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0.55031954356369506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-1.1754320402170535</v>
      </c>
      <c r="H1260" t="s">
        <v>40</v>
      </c>
      <c r="I1260">
        <f>VLOOKUP(Table4[[#This Row],[Visitor]],'NHL Model'!$A$6:$B$38,2,FALSE)</f>
        <v>-3.3785654828041967E-2</v>
      </c>
      <c r="J1260">
        <f>($B$1+Table4[[#This Row],[Home Differential]])-Table4[[#This Row],[Away Differential]]</f>
        <v>-1.0933651321003601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0.58807032464297371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0.15493687588867713</v>
      </c>
      <c r="H1261" t="s">
        <v>29</v>
      </c>
      <c r="I1261">
        <f>VLOOKUP(Table4[[#This Row],[Visitor]],'NHL Model'!$A$6:$B$38,2,FALSE)</f>
        <v>-0.90025837753161619</v>
      </c>
      <c r="J1261">
        <f>($B$1+Table4[[#This Row],[Home Differential]])-Table4[[#This Row],[Away Differential]]</f>
        <v>1.1034765067089447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0.70607665766296568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2.6215642141022087E-2</v>
      </c>
      <c r="H1262" t="s">
        <v>37</v>
      </c>
      <c r="I1262">
        <f>VLOOKUP(Table4[[#This Row],[Visitor]],'NHL Model'!$A$6:$B$38,2,FALSE)</f>
        <v>0.66987960668864954</v>
      </c>
      <c r="J1262">
        <f>($B$1+Table4[[#This Row],[Home Differential]])-Table4[[#This Row],[Away Differential]]</f>
        <v>-0.59538271125897602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0.54779224225811562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2.5996227684575345E-2</v>
      </c>
      <c r="H1263" t="s">
        <v>35</v>
      </c>
      <c r="I1263">
        <f>VLOOKUP(Table4[[#This Row],[Visitor]],'NHL Model'!$A$6:$B$38,2,FALSE)</f>
        <v>-1.1754320402170535</v>
      </c>
      <c r="J1263">
        <f>($B$1+Table4[[#This Row],[Home Differential]])-Table4[[#This Row],[Away Differential]]</f>
        <v>1.2497095211902802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0.68229605430372309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1.6584974384060074</v>
      </c>
      <c r="H1264" t="s">
        <v>20</v>
      </c>
      <c r="I1264">
        <f>VLOOKUP(Table4[[#This Row],[Visitor]],'NHL Model'!$A$6:$B$38,2,FALSE)</f>
        <v>9.2938870272174581E-2</v>
      </c>
      <c r="J1264">
        <f>($B$1+Table4[[#This Row],[Home Differential]])-Table4[[#This Row],[Away Differential]]</f>
        <v>1.6138398214224843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0.81232856170739287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0.7564009584796878</v>
      </c>
      <c r="H1265" t="s">
        <v>15</v>
      </c>
      <c r="I1265">
        <f>VLOOKUP(Table4[[#This Row],[Visitor]],'NHL Model'!$A$6:$B$38,2,FALSE)</f>
        <v>9.0184826596604858E-2</v>
      </c>
      <c r="J1265">
        <f>($B$1+Table4[[#This Row],[Home Differential]])-Table4[[#This Row],[Away Differential]]</f>
        <v>0.71449738517173433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0.55799054652530955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-0.60099633616081094</v>
      </c>
      <c r="H1266" t="s">
        <v>24</v>
      </c>
      <c r="I1266">
        <f>VLOOKUP(Table4[[#This Row],[Visitor]],'NHL Model'!$A$6:$B$38,2,FALSE)</f>
        <v>-2.8342943575894393E-4</v>
      </c>
      <c r="J1266">
        <f>($B$1+Table4[[#This Row],[Home Differential]])-Table4[[#This Row],[Away Differential]]</f>
        <v>-0.55243165343640055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0.53348992822641672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-0.19390166761644689</v>
      </c>
      <c r="H1267" t="s">
        <v>17</v>
      </c>
      <c r="I1267">
        <f>VLOOKUP(Table4[[#This Row],[Visitor]],'NHL Model'!$A$6:$B$38,2,FALSE)</f>
        <v>-0.41671190768559452</v>
      </c>
      <c r="J1267">
        <f>($B$1+Table4[[#This Row],[Home Differential]])-Table4[[#This Row],[Away Differential]]</f>
        <v>0.27109149335779903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0.57086737294229617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-0.36560113761686208</v>
      </c>
      <c r="H1268" t="s">
        <v>28</v>
      </c>
      <c r="I1268">
        <f>VLOOKUP(Table4[[#This Row],[Visitor]],'NHL Model'!$A$6:$B$38,2,FALSE)</f>
        <v>-0.28376306754383246</v>
      </c>
      <c r="J1268">
        <f>($B$1+Table4[[#This Row],[Home Differential]])-Table4[[#This Row],[Away Differential]]</f>
        <v>-3.3556816784378218E-2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0.46739704894919071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-0.90025837753161619</v>
      </c>
      <c r="H1269" t="s">
        <v>34</v>
      </c>
      <c r="I1269">
        <f>VLOOKUP(Table4[[#This Row],[Visitor]],'NHL Model'!$A$6:$B$38,2,FALSE)</f>
        <v>5.1566962112876508E-2</v>
      </c>
      <c r="J1269">
        <f>($B$1+Table4[[#This Row],[Home Differential]])-Table4[[#This Row],[Away Differential]]</f>
        <v>-0.90354408635584127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0.60216724762804064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0.24561340747691926</v>
      </c>
      <c r="H1270" t="s">
        <v>36</v>
      </c>
      <c r="I1270">
        <f>VLOOKUP(Table4[[#This Row],[Visitor]],'NHL Model'!$A$6:$B$38,2,FALSE)</f>
        <v>-0.23108682001987857</v>
      </c>
      <c r="J1270">
        <f>($B$1+Table4[[#This Row],[Home Differential]])-Table4[[#This Row],[Away Differential]]</f>
        <v>0.52498148078544926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0.59619996665648922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0.17535803439735015</v>
      </c>
      <c r="H1271" t="s">
        <v>22</v>
      </c>
      <c r="I1271">
        <f>VLOOKUP(Table4[[#This Row],[Visitor]],'NHL Model'!$A$6:$B$38,2,FALSE)</f>
        <v>0.84902697115371384</v>
      </c>
      <c r="J1271">
        <f>($B$1+Table4[[#This Row],[Home Differential]])-Table4[[#This Row],[Away Differential]]</f>
        <v>-0.62538768346771234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0.58534752499128018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-0.56616527987265597</v>
      </c>
      <c r="H1272" t="s">
        <v>16</v>
      </c>
      <c r="I1272">
        <f>VLOOKUP(Table4[[#This Row],[Visitor]],'NHL Model'!$A$6:$B$38,2,FALSE)</f>
        <v>-0.81412334763558081</v>
      </c>
      <c r="J1272">
        <f>($B$1+Table4[[#This Row],[Home Differential]])-Table4[[#This Row],[Away Differential]]</f>
        <v>0.29623932105157624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0.5737307876754465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-0.47218252282767964</v>
      </c>
      <c r="H1273" t="s">
        <v>38</v>
      </c>
      <c r="I1273">
        <f>VLOOKUP(Table4[[#This Row],[Visitor]],'NHL Model'!$A$6:$B$38,2,FALSE)</f>
        <v>-0.77107712767799974</v>
      </c>
      <c r="J1273">
        <f>($B$1+Table4[[#This Row],[Home Differential]])-Table4[[#This Row],[Away Differential]]</f>
        <v>0.3471758581389715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0.57953059004914387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-8.5089305365893694E-2</v>
      </c>
      <c r="H1274" t="s">
        <v>11</v>
      </c>
      <c r="I1274">
        <f>VLOOKUP(Table4[[#This Row],[Visitor]],'NHL Model'!$A$6:$B$38,2,FALSE)</f>
        <v>-0.3510442662416135</v>
      </c>
      <c r="J1274">
        <f>($B$1+Table4[[#This Row],[Home Differential]])-Table4[[#This Row],[Away Differential]]</f>
        <v>0.3142362141643712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0.57577997337520603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0.15493687588867713</v>
      </c>
      <c r="H1275" t="s">
        <v>25</v>
      </c>
      <c r="I1275">
        <f>VLOOKUP(Table4[[#This Row],[Visitor]],'NHL Model'!$A$6:$B$38,2,FALSE)</f>
        <v>0.47905090860407873</v>
      </c>
      <c r="J1275">
        <f>($B$1+Table4[[#This Row],[Home Differential]])-Table4[[#This Row],[Away Differential]]</f>
        <v>-0.27583277942675022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0.52302734316805155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-3.3785654828041967E-2</v>
      </c>
      <c r="H1276" t="s">
        <v>27</v>
      </c>
      <c r="I1276">
        <f>VLOOKUP(Table4[[#This Row],[Visitor]],'NHL Model'!$A$6:$B$38,2,FALSE)</f>
        <v>-2.8950318025217449E-2</v>
      </c>
      <c r="J1276">
        <f>($B$1+Table4[[#This Row],[Home Differential]])-Table4[[#This Row],[Away Differential]]</f>
        <v>4.3445916485826887E-2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0.52172541905783576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0.17827516980235869</v>
      </c>
      <c r="H1277" t="s">
        <v>38</v>
      </c>
      <c r="I1277">
        <f>VLOOKUP(Table4[[#This Row],[Visitor]],'NHL Model'!$A$6:$B$38,2,FALSE)</f>
        <v>-0.77107712767799974</v>
      </c>
      <c r="J1277">
        <f>($B$1+Table4[[#This Row],[Home Differential]])-Table4[[#This Row],[Away Differential]]</f>
        <v>0.99763355076900984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0.72186635770052698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-0.28376306754383246</v>
      </c>
      <c r="H1278" t="s">
        <v>21</v>
      </c>
      <c r="I1278">
        <f>VLOOKUP(Table4[[#This Row],[Visitor]],'NHL Model'!$A$6:$B$38,2,FALSE)</f>
        <v>2.6215642141022087E-2</v>
      </c>
      <c r="J1278">
        <f>($B$1+Table4[[#This Row],[Home Differential]])-Table4[[#This Row],[Away Differential]]</f>
        <v>-0.26169745639620312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0.48979773686210909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-0.81412334763558081</v>
      </c>
      <c r="H1279" t="s">
        <v>55</v>
      </c>
      <c r="I1279">
        <f>VLOOKUP(Table4[[#This Row],[Visitor]],'NHL Model'!$A$6:$B$38,2,FALSE)</f>
        <v>0.15493687588867713</v>
      </c>
      <c r="J1279">
        <f>($B$1+Table4[[#This Row],[Home Differential]])-Table4[[#This Row],[Away Differential]]</f>
        <v>-0.92077897023560651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0.5648429352011175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-2.8342943575894393E-4</v>
      </c>
      <c r="H1280" t="s">
        <v>36</v>
      </c>
      <c r="I1280">
        <f>VLOOKUP(Table4[[#This Row],[Visitor]],'NHL Model'!$A$6:$B$38,2,FALSE)</f>
        <v>-0.23108682001987857</v>
      </c>
      <c r="J1280">
        <f>($B$1+Table4[[#This Row],[Home Differential]])-Table4[[#This Row],[Away Differential]]</f>
        <v>0.27908464387277104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0.6111766410949615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0.24561340747691926</v>
      </c>
      <c r="H1281" t="s">
        <v>18</v>
      </c>
      <c r="I1281">
        <f>VLOOKUP(Table4[[#This Row],[Visitor]],'NHL Model'!$A$6:$B$38,2,FALSE)</f>
        <v>-0.36560113761686208</v>
      </c>
      <c r="J1281">
        <f>($B$1+Table4[[#This Row],[Home Differential]])-Table4[[#This Row],[Away Differential]]</f>
        <v>0.65949579838243277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0.55580453631770899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0.84902697115371384</v>
      </c>
      <c r="H1282" t="s">
        <v>14</v>
      </c>
      <c r="I1282">
        <f>VLOOKUP(Table4[[#This Row],[Visitor]],'NHL Model'!$A$6:$B$38,2,FALSE)</f>
        <v>0.17535803439735015</v>
      </c>
      <c r="J1282">
        <f>($B$1+Table4[[#This Row],[Home Differential]])-Table4[[#This Row],[Away Differential]]</f>
        <v>0.72195019004501515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0.59439875543989074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2.5996227684575345E-2</v>
      </c>
      <c r="H1283" t="s">
        <v>23</v>
      </c>
      <c r="I1283">
        <f>VLOOKUP(Table4[[#This Row],[Visitor]],'NHL Model'!$A$6:$B$38,2,FALSE)</f>
        <v>-0.40965500817719275</v>
      </c>
      <c r="J1283">
        <f>($B$1+Table4[[#This Row],[Home Differential]])-Table4[[#This Row],[Away Differential]]</f>
        <v>0.48393248915041953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0.59510215181036386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-0.41671190768559452</v>
      </c>
      <c r="H1284" t="s">
        <v>12</v>
      </c>
      <c r="I1284">
        <f>VLOOKUP(Table4[[#This Row],[Visitor]],'NHL Model'!$A$6:$B$38,2,FALSE)</f>
        <v>1.6584974384060074</v>
      </c>
      <c r="J1284">
        <f>($B$1+Table4[[#This Row],[Home Differential]])-Table4[[#This Row],[Away Differential]]</f>
        <v>-2.0269280928029505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0.74242063526493263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-0.3510442662416135</v>
      </c>
      <c r="H1285" t="s">
        <v>15</v>
      </c>
      <c r="I1285">
        <f>VLOOKUP(Table4[[#This Row],[Visitor]],'NHL Model'!$A$6:$B$38,2,FALSE)</f>
        <v>9.0184826596604858E-2</v>
      </c>
      <c r="J1285">
        <f>($B$1+Table4[[#This Row],[Home Differential]])-Table4[[#This Row],[Away Differential]]</f>
        <v>-0.39294783954956697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0.61131457701351433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-0.90025837753161619</v>
      </c>
      <c r="H1286" t="s">
        <v>33</v>
      </c>
      <c r="I1286">
        <f>VLOOKUP(Table4[[#This Row],[Visitor]],'NHL Model'!$A$6:$B$38,2,FALSE)</f>
        <v>-0.47218252282767964</v>
      </c>
      <c r="J1286">
        <f>($B$1+Table4[[#This Row],[Home Differential]])-Table4[[#This Row],[Away Differential]]</f>
        <v>-0.37979460141528515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0.50324466790952904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-2.8950318025217449E-2</v>
      </c>
      <c r="H1287" t="s">
        <v>25</v>
      </c>
      <c r="I1287">
        <f>VLOOKUP(Table4[[#This Row],[Visitor]],'NHL Model'!$A$6:$B$38,2,FALSE)</f>
        <v>0.47905090860407873</v>
      </c>
      <c r="J1287">
        <f>($B$1+Table4[[#This Row],[Home Differential]])-Table4[[#This Row],[Away Differential]]</f>
        <v>-0.45971997334064479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0.55867434870203403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-0.56616527987265597</v>
      </c>
      <c r="H1288" t="s">
        <v>13</v>
      </c>
      <c r="I1288">
        <f>VLOOKUP(Table4[[#This Row],[Visitor]],'NHL Model'!$A$6:$B$38,2,FALSE)</f>
        <v>-0.19390166761644689</v>
      </c>
      <c r="J1288">
        <f>($B$1+Table4[[#This Row],[Home Differential]])-Table4[[#This Row],[Away Differential]]</f>
        <v>-0.32398235896755767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0.56320549109105422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-1.1754320402170535</v>
      </c>
      <c r="H1289" t="s">
        <v>34</v>
      </c>
      <c r="I1289">
        <f>VLOOKUP(Table4[[#This Row],[Visitor]],'NHL Model'!$A$6:$B$38,2,FALSE)</f>
        <v>5.1566962112876508E-2</v>
      </c>
      <c r="J1289">
        <f>($B$1+Table4[[#This Row],[Home Differential]])-Table4[[#This Row],[Away Differential]]</f>
        <v>-1.1787177490412786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0.63349942985479313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0.66987960668864954</v>
      </c>
      <c r="H1290" t="s">
        <v>26</v>
      </c>
      <c r="I1290">
        <f>VLOOKUP(Table4[[#This Row],[Visitor]],'NHL Model'!$A$6:$B$38,2,FALSE)</f>
        <v>-0.60099633616081094</v>
      </c>
      <c r="J1290">
        <f>($B$1+Table4[[#This Row],[Home Differential]])-Table4[[#This Row],[Away Differential]]</f>
        <v>1.3191571961381119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0.70422021648148903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-8.5089305365893694E-2</v>
      </c>
      <c r="H1291" t="s">
        <v>39</v>
      </c>
      <c r="I1291">
        <f>VLOOKUP(Table4[[#This Row],[Visitor]],'NHL Model'!$A$6:$B$38,2,FALSE)</f>
        <v>0.7564009584796878</v>
      </c>
      <c r="J1291">
        <f>($B$1+Table4[[#This Row],[Home Differential]])-Table4[[#This Row],[Away Differential]]</f>
        <v>-0.79320901055693005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0.64280358602989029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9.2938870272174581E-2</v>
      </c>
      <c r="H1292" t="s">
        <v>40</v>
      </c>
      <c r="I1292">
        <f>VLOOKUP(Table4[[#This Row],[Visitor]],'NHL Model'!$A$6:$B$38,2,FALSE)</f>
        <v>-3.3785654828041967E-2</v>
      </c>
      <c r="J1292">
        <f>($B$1+Table4[[#This Row],[Home Differential]])-Table4[[#This Row],[Away Differential]]</f>
        <v>0.17500577838886794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0.55635057709132407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2.6215642141022087E-2</v>
      </c>
      <c r="H1293" t="s">
        <v>24</v>
      </c>
      <c r="I1293">
        <f>VLOOKUP(Table4[[#This Row],[Visitor]],'NHL Model'!$A$6:$B$38,2,FALSE)</f>
        <v>-2.8342943575894393E-4</v>
      </c>
      <c r="J1293">
        <f>($B$1+Table4[[#This Row],[Home Differential]])-Table4[[#This Row],[Away Differential]]</f>
        <v>7.4780324865432443E-2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0.57994330624292001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-0.28376306754383246</v>
      </c>
      <c r="H1294" t="s">
        <v>22</v>
      </c>
      <c r="I1294">
        <f>VLOOKUP(Table4[[#This Row],[Visitor]],'NHL Model'!$A$6:$B$38,2,FALSE)</f>
        <v>0.84902697115371384</v>
      </c>
      <c r="J1294">
        <f>($B$1+Table4[[#This Row],[Home Differential]])-Table4[[#This Row],[Away Differential]]</f>
        <v>-1.0845087854088948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0.63762457029344233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-0.81412334763558081</v>
      </c>
      <c r="H1295" t="s">
        <v>12</v>
      </c>
      <c r="I1295">
        <f>VLOOKUP(Table4[[#This Row],[Visitor]],'NHL Model'!$A$6:$B$38,2,FALSE)</f>
        <v>1.6584974384060074</v>
      </c>
      <c r="J1295">
        <f>($B$1+Table4[[#This Row],[Home Differential]])-Table4[[#This Row],[Away Differential]]</f>
        <v>-2.4243395327529367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0.79018212510848396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5.1566962112876508E-2</v>
      </c>
      <c r="H1296" t="s">
        <v>31</v>
      </c>
      <c r="I1296">
        <f>VLOOKUP(Table4[[#This Row],[Visitor]],'NHL Model'!$A$6:$B$38,2,FALSE)</f>
        <v>0.17827516980235869</v>
      </c>
      <c r="J1296">
        <f>($B$1+Table4[[#This Row],[Home Differential]])-Table4[[#This Row],[Away Differential]]</f>
        <v>-7.8426954400830778E-2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0.48969918286855302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0.24561340747691926</v>
      </c>
      <c r="H1297" t="s">
        <v>25</v>
      </c>
      <c r="I1297">
        <f>VLOOKUP(Table4[[#This Row],[Visitor]],'NHL Model'!$A$6:$B$38,2,FALSE)</f>
        <v>0.47905090860407873</v>
      </c>
      <c r="J1297">
        <f>($B$1+Table4[[#This Row],[Home Differential]])-Table4[[#This Row],[Away Differential]]</f>
        <v>-0.18515624783850804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0.55370567112161051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-2.8950318025217449E-2</v>
      </c>
      <c r="H1298" t="s">
        <v>18</v>
      </c>
      <c r="I1298">
        <f>VLOOKUP(Table4[[#This Row],[Visitor]],'NHL Model'!$A$6:$B$38,2,FALSE)</f>
        <v>-0.36560113761686208</v>
      </c>
      <c r="J1298">
        <f>($B$1+Table4[[#This Row],[Home Differential]])-Table4[[#This Row],[Away Differential]]</f>
        <v>0.38493207288029602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0.55087189090249977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-1.1754320402170535</v>
      </c>
      <c r="H1299" t="s">
        <v>14</v>
      </c>
      <c r="I1299">
        <f>VLOOKUP(Table4[[#This Row],[Visitor]],'NHL Model'!$A$6:$B$38,2,FALSE)</f>
        <v>0.17535803439735015</v>
      </c>
      <c r="J1299">
        <f>($B$1+Table4[[#This Row],[Home Differential]])-Table4[[#This Row],[Away Differential]]</f>
        <v>-1.3025088213257523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0.66244677451214218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0.15493687588867713</v>
      </c>
      <c r="H1300" t="s">
        <v>40</v>
      </c>
      <c r="I1300">
        <f>VLOOKUP(Table4[[#This Row],[Visitor]],'NHL Model'!$A$6:$B$38,2,FALSE)</f>
        <v>-3.3785654828041967E-2</v>
      </c>
      <c r="J1300">
        <f>($B$1+Table4[[#This Row],[Home Differential]])-Table4[[#This Row],[Away Differential]]</f>
        <v>0.2370037840053705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0.60390911067506037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-0.77107712767799974</v>
      </c>
      <c r="H1301" t="s">
        <v>13</v>
      </c>
      <c r="I1301">
        <f>VLOOKUP(Table4[[#This Row],[Visitor]],'NHL Model'!$A$6:$B$38,2,FALSE)</f>
        <v>-0.19390166761644689</v>
      </c>
      <c r="J1301">
        <f>($B$1+Table4[[#This Row],[Home Differential]])-Table4[[#This Row],[Away Differential]]</f>
        <v>-0.52889420677290144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0.58653743097658373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-0.40965500817719275</v>
      </c>
      <c r="H1302" t="s">
        <v>39</v>
      </c>
      <c r="I1302">
        <f>VLOOKUP(Table4[[#This Row],[Visitor]],'NHL Model'!$A$6:$B$38,2,FALSE)</f>
        <v>0.7564009584796878</v>
      </c>
      <c r="J1302">
        <f>($B$1+Table4[[#This Row],[Home Differential]])-Table4[[#This Row],[Away Differential]]</f>
        <v>-1.1177747133682292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0.6696464026149227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2.5996227684575345E-2</v>
      </c>
      <c r="H1303" t="s">
        <v>33</v>
      </c>
      <c r="I1303">
        <f>VLOOKUP(Table4[[#This Row],[Visitor]],'NHL Model'!$A$6:$B$38,2,FALSE)</f>
        <v>-0.47218252282767964</v>
      </c>
      <c r="J1303">
        <f>($B$1+Table4[[#This Row],[Home Differential]])-Table4[[#This Row],[Away Differential]]</f>
        <v>0.54646000380090642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0.60222174117838612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-0.3510442662416135</v>
      </c>
      <c r="H1304" t="s">
        <v>26</v>
      </c>
      <c r="I1304">
        <f>VLOOKUP(Table4[[#This Row],[Visitor]],'NHL Model'!$A$6:$B$38,2,FALSE)</f>
        <v>-0.60099633616081094</v>
      </c>
      <c r="J1304">
        <f>($B$1+Table4[[#This Row],[Home Differential]])-Table4[[#This Row],[Away Differential]]</f>
        <v>0.29823332320784884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0.57395783134783562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-0.23108682001987857</v>
      </c>
      <c r="H1305" t="s">
        <v>19</v>
      </c>
      <c r="I1305">
        <f>VLOOKUP(Table4[[#This Row],[Visitor]],'NHL Model'!$A$6:$B$38,2,FALSE)</f>
        <v>-8.5089305365893694E-2</v>
      </c>
      <c r="J1305">
        <f>($B$1+Table4[[#This Row],[Home Differential]])-Table4[[#This Row],[Away Differential]]</f>
        <v>-9.7716261365333471E-2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0.47112629630952552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0.66987960668864954</v>
      </c>
      <c r="H1306" t="s">
        <v>15</v>
      </c>
      <c r="I1306">
        <f>VLOOKUP(Table4[[#This Row],[Visitor]],'NHL Model'!$A$6:$B$38,2,FALSE)</f>
        <v>9.0184826596604858E-2</v>
      </c>
      <c r="J1306">
        <f>($B$1+Table4[[#This Row],[Home Differential]])-Table4[[#This Row],[Away Differential]]</f>
        <v>0.62797603338069607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0.51887184663449559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9.2938870272174581E-2</v>
      </c>
      <c r="H1307" t="s">
        <v>32</v>
      </c>
      <c r="I1307">
        <f>VLOOKUP(Table4[[#This Row],[Visitor]],'NHL Model'!$A$6:$B$38,2,FALSE)</f>
        <v>-0.56616527987265597</v>
      </c>
      <c r="J1307">
        <f>($B$1+Table4[[#This Row],[Home Differential]])-Table4[[#This Row],[Away Differential]]</f>
        <v>0.70738540343348189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0.62054523877257528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-0.81412334763558081</v>
      </c>
      <c r="H1308" t="s">
        <v>13</v>
      </c>
      <c r="I1308">
        <f>VLOOKUP(Table4[[#This Row],[Visitor]],'NHL Model'!$A$6:$B$38,2,FALSE)</f>
        <v>-0.19390166761644689</v>
      </c>
      <c r="J1308">
        <f>($B$1+Table4[[#This Row],[Home Differential]])-Table4[[#This Row],[Away Differential]]</f>
        <v>-0.57194042673048251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0.59143881577744528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1.6584974384060074</v>
      </c>
      <c r="H1309" t="s">
        <v>32</v>
      </c>
      <c r="I1309">
        <f>VLOOKUP(Table4[[#This Row],[Visitor]],'NHL Model'!$A$6:$B$38,2,FALSE)</f>
        <v>-0.56616527987265597</v>
      </c>
      <c r="J1309">
        <f>($B$1+Table4[[#This Row],[Home Differential]])-Table4[[#This Row],[Away Differential]]</f>
        <v>2.2729439715673148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0.90662587476165135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-0.41671190768559452</v>
      </c>
      <c r="H1310" t="s">
        <v>38</v>
      </c>
      <c r="I1310">
        <f>VLOOKUP(Table4[[#This Row],[Visitor]],'NHL Model'!$A$6:$B$38,2,FALSE)</f>
        <v>-0.77107712767799974</v>
      </c>
      <c r="J1310">
        <f>($B$1+Table4[[#This Row],[Home Differential]])-Table4[[#This Row],[Away Differential]]</f>
        <v>0.40264647328105663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0.58834213673210967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-0.90025837753161619</v>
      </c>
      <c r="H1311" t="s">
        <v>31</v>
      </c>
      <c r="I1311">
        <f>VLOOKUP(Table4[[#This Row],[Visitor]],'NHL Model'!$A$6:$B$38,2,FALSE)</f>
        <v>0.17827516980235869</v>
      </c>
      <c r="J1311">
        <f>($B$1+Table4[[#This Row],[Home Differential]])-Table4[[#This Row],[Away Differential]]</f>
        <v>-1.0302522940453236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0.59807716024741797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0.15493687588867713</v>
      </c>
      <c r="H1312" t="s">
        <v>35</v>
      </c>
      <c r="I1312">
        <f>VLOOKUP(Table4[[#This Row],[Visitor]],'NHL Model'!$A$6:$B$38,2,FALSE)</f>
        <v>-1.1754320402170535</v>
      </c>
      <c r="J1312">
        <f>($B$1+Table4[[#This Row],[Home Differential]])-Table4[[#This Row],[Away Differential]]</f>
        <v>1.378650169394382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0.73740883988971806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-3.3785654828041967E-2</v>
      </c>
      <c r="H1313" t="s">
        <v>33</v>
      </c>
      <c r="I1313">
        <f>VLOOKUP(Table4[[#This Row],[Visitor]],'NHL Model'!$A$6:$B$38,2,FALSE)</f>
        <v>-0.47218252282767964</v>
      </c>
      <c r="J1313">
        <f>($B$1+Table4[[#This Row],[Home Differential]])-Table4[[#This Row],[Away Differential]]</f>
        <v>0.48667812128828908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0.61452020986525446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28</v>
      </c>
      <c r="C2">
        <f>COUNTIF(NHL2025_26Results[Winning Team],Standings!A2)</f>
        <v>17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35</v>
      </c>
      <c r="G2">
        <f>COUNTIFS('NHL2025-26Results'!$D:$D,A2,'NHL2025-26Results'!$G:$G,A2)</f>
        <v>10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0.7142857142857143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3.9230769230769229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3.1428571428571428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29</v>
      </c>
      <c r="C3">
        <f>COUNTIF(NHL2025_26Results[Winning Team],Standings!A3)</f>
        <v>16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32</v>
      </c>
      <c r="G3">
        <f>COUNTIFS('NHL2025-26Results'!$D:$D,A3,'NHL2025-26Results'!$G:$G,A3)</f>
        <v>10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28</v>
      </c>
      <c r="C4">
        <f>COUNTIF(NHL2025_26Results[Winning Team],Standings!A4)</f>
        <v>11</v>
      </c>
      <c r="D4">
        <f>COUNTIFS('NHL2025-26Results'!$H:$H,A4,'NHL2025-26Results'!$F:$F,"")</f>
        <v>13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8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0.16666666666666666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4.25</v>
      </c>
    </row>
    <row r="5" spans="1:18" x14ac:dyDescent="0.2">
      <c r="A5" s="4" t="s">
        <v>16</v>
      </c>
      <c r="B5">
        <f>SUM(Table1[[#This Row],[W]:[OTL]])</f>
        <v>29</v>
      </c>
      <c r="C5">
        <f>COUNTIF(NHL2025_26Results[Winning Team],Standings!A5)</f>
        <v>10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24</v>
      </c>
      <c r="G5">
        <f>COUNTIFS('NHL2025-26Results'!$D:$D,A5,'NHL2025-26Results'!$G:$G,A5)</f>
        <v>5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0.45454545454545453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2.8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26</v>
      </c>
      <c r="C6">
        <f>COUNTIF(NHL2025_26Results[Winning Team],Standings!A6)</f>
        <v>16</v>
      </c>
      <c r="D6">
        <f>COUNTIFS('NHL2025-26Results'!$H:$H,A6,'NHL2025-26Results'!$F:$F,"")</f>
        <v>8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4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0.61538461538461542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3.5384615384615383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3.4166666666666665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27</v>
      </c>
      <c r="C7">
        <f>COUNTIF(NHL2025_26Results[Winning Team],Standings!A7)</f>
        <v>12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0.46153846153846156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3.3846153846153846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3.4166666666666665</v>
      </c>
    </row>
    <row r="8" spans="1:18" x14ac:dyDescent="0.2">
      <c r="A8" s="4" t="s">
        <v>12</v>
      </c>
      <c r="B8">
        <f>SUM(Table1[[#This Row],[W]:[OTL]])</f>
        <v>27</v>
      </c>
      <c r="C8">
        <f>COUNTIF(NHL2025_26Results[Winning Team],Standings!A8)</f>
        <v>19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44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0.5714285714285714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3.4285714285714284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27</v>
      </c>
      <c r="C9">
        <f>COUNTIF(NHL2025_26Results[Winning Team],Standings!A9)</f>
        <v>13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31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29</v>
      </c>
      <c r="C10">
        <f>COUNTIF(NHL2025_26Results[Winning Team],Standings!A10)</f>
        <v>19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43</v>
      </c>
      <c r="G10">
        <f>COUNTIFS('NHL2025-26Results'!$D:$D,A10,'NHL2025-26Results'!$G:$G,A10)</f>
        <v>9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0.6428571428571429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3.3571428571428572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2.8461538461538463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28</v>
      </c>
      <c r="C11">
        <f>COUNTIF(NHL2025_26Results[Winning Team],Standings!A11)</f>
        <v>14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31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0.41666666666666669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3.3333333333333335</v>
      </c>
    </row>
    <row r="12" spans="1:18" x14ac:dyDescent="0.2">
      <c r="A12" s="4" t="s">
        <v>17</v>
      </c>
      <c r="B12">
        <f>SUM(Table1[[#This Row],[W]:[OTL]])</f>
        <v>28</v>
      </c>
      <c r="C12">
        <f>COUNTIF(NHL2025_26Results[Winning Team],Standings!A12)</f>
        <v>12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29</v>
      </c>
      <c r="G12">
        <f>COUNTIFS('NHL2025-26Results'!$D:$D,A12,'NHL2025-26Results'!$G:$G,A12)</f>
        <v>6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0.54545454545454541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4.2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4.0909090909090908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26</v>
      </c>
      <c r="C13">
        <f>COUNTIF(NHL2025_26Results[Winning Team],Standings!A13)</f>
        <v>12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26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3.0625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3.4285714285714284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27</v>
      </c>
      <c r="C14">
        <f>COUNTIF(NHL2025_26Results[Winning Team],Standings!A14)</f>
        <v>12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0.25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1.8333333333333333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28</v>
      </c>
      <c r="C15">
        <f>COUNTIF(NHL2025_26Results[Winning Team],Standings!A15)</f>
        <v>15</v>
      </c>
      <c r="D15">
        <f>COUNTIFS('NHL2025-26Results'!$H:$H,A15,'NHL2025-26Results'!$F:$F,"")</f>
        <v>8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5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0.53846153846153844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2.6923076923076925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3.3333333333333335</v>
      </c>
    </row>
    <row r="16" spans="1:18" x14ac:dyDescent="0.2">
      <c r="A16" s="4" t="s">
        <v>18</v>
      </c>
      <c r="B16">
        <f>SUM(Table1[[#This Row],[W]:[OTL]])</f>
        <v>26</v>
      </c>
      <c r="C16">
        <f>COUNTIF(NHL2025_26Results[Winning Team],Standings!A16)</f>
        <v>14</v>
      </c>
      <c r="D16">
        <f>COUNTIFS('NHL2025-26Results'!$H:$H,A16,'NHL2025-26Results'!$F:$F,"")</f>
        <v>9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31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6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3.5384615384615383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3.8571428571428572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27</v>
      </c>
      <c r="C17">
        <f>COUNTIF(NHL2025_26Results[Winning Team],Standings!A17)</f>
        <v>10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24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0.36363636363636365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3.5454545454545454</v>
      </c>
    </row>
    <row r="18" spans="1:18" x14ac:dyDescent="0.2">
      <c r="A18" s="4" t="s">
        <v>24</v>
      </c>
      <c r="B18">
        <f>SUM(Table1[[#This Row],[W]:[OTL]])</f>
        <v>28</v>
      </c>
      <c r="C18">
        <f>COUNTIF(NHL2025_26Results[Winning Team],Standings!A18)</f>
        <v>16</v>
      </c>
      <c r="D18">
        <f>COUNTIFS('NHL2025-26Results'!$H:$H,A18,'NHL2025-26Results'!$F:$F,"")</f>
        <v>11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4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0.6428571428571429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28</v>
      </c>
      <c r="C19">
        <f>COUNTIF(NHL2025_26Results[Winning Team],Standings!A19)</f>
        <v>15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33</v>
      </c>
      <c r="G19">
        <f>COUNTIFS('NHL2025-26Results'!$D:$D,A19,'NHL2025-26Results'!$G:$G,A19)</f>
        <v>7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0.46666666666666667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29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32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2.8571428571428572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27</v>
      </c>
      <c r="C21">
        <f>COUNTIF(NHL2025_26Results[Winning Team],Standings!A21)</f>
        <v>13</v>
      </c>
      <c r="D21">
        <f>COUNTIFS('NHL2025-26Results'!$H:$H,A21,'NHL2025-26Results'!$F:$F,"")</f>
        <v>10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4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3.3636363636363638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2.8333333333333335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26</v>
      </c>
      <c r="C22">
        <f>COUNTIF(NHL2025_26Results[Winning Team],Standings!A22)</f>
        <v>15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3.0666666666666669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2.6666666666666665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26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33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0.5714285714285714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3.1428571428571428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2.75</v>
      </c>
    </row>
    <row r="24" spans="1:18" x14ac:dyDescent="0.2">
      <c r="A24" s="4" t="s">
        <v>33</v>
      </c>
      <c r="B24">
        <f>SUM(Table1[[#This Row],[W]:[OTL]])</f>
        <v>29</v>
      </c>
      <c r="C24">
        <f>COUNTIF(NHL2025_26Results[Winning Team],Standings!A24)</f>
        <v>13</v>
      </c>
      <c r="D24">
        <f>COUNTIFS('NHL2025-26Results'!$H:$H,A24,'NHL2025-26Results'!$F:$F,"")</f>
        <v>13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8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0.33333333333333331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3.75</v>
      </c>
    </row>
    <row r="25" spans="1:18" x14ac:dyDescent="0.2">
      <c r="A25" s="4" t="s">
        <v>32</v>
      </c>
      <c r="B25">
        <f>SUM(Table1[[#This Row],[W]:[OTL]])</f>
        <v>25</v>
      </c>
      <c r="C25">
        <f>COUNTIF(NHL2025_26Results[Winning Team],Standings!A25)</f>
        <v>11</v>
      </c>
      <c r="D25">
        <f>COUNTIFS('NHL2025-26Results'!$H:$H,A25,'NHL2025-26Results'!$F:$F,"")</f>
        <v>8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28</v>
      </c>
      <c r="C26">
        <f>COUNTIF(NHL2025_26Results[Winning Team],Standings!A26)</f>
        <v>9</v>
      </c>
      <c r="D26">
        <f>COUNTIFS('NHL2025-26Results'!$H:$H,A26,'NHL2025-26Results'!$F:$F,"")</f>
        <v>12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0.30769230769230771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2.6153846153846154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3.5833333333333335</v>
      </c>
    </row>
    <row r="27" spans="1:18" x14ac:dyDescent="0.2">
      <c r="A27" s="4" t="s">
        <v>37</v>
      </c>
      <c r="B27">
        <f>SUM(Table1[[#This Row],[W]:[OTL]])</f>
        <v>27</v>
      </c>
      <c r="C27">
        <f>COUNTIF(NHL2025_26Results[Winning Team],Standings!A27)</f>
        <v>16</v>
      </c>
      <c r="D27">
        <f>COUNTIFS('NHL2025-26Results'!$H:$H,A27,'NHL2025-26Results'!$F:$F,"")</f>
        <v>9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6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3.0769230769230771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27</v>
      </c>
      <c r="C28">
        <f>COUNTIF(NHL2025_26Results[Winning Team],Standings!A28)</f>
        <v>13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29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29</v>
      </c>
      <c r="C29">
        <f>COUNTIF(NHL2025_26Results[Winning Team],Standings!A29)</f>
        <v>14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31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0.3888888888888889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3.2352941176470589</v>
      </c>
    </row>
    <row r="30" spans="1:18" x14ac:dyDescent="0.2">
      <c r="A30" s="4" t="s">
        <v>38</v>
      </c>
      <c r="B30">
        <f>SUM(Table1[[#This Row],[W]:[OTL]])</f>
        <v>28</v>
      </c>
      <c r="C30">
        <f>COUNTIF(NHL2025_26Results[Winning Team],Standings!A30)</f>
        <v>10</v>
      </c>
      <c r="D30">
        <f>COUNTIFS('NHL2025-26Results'!$H:$H,A30,'NHL2025-26Results'!$F:$F,"")</f>
        <v>15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8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0.25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2.9090909090909092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3.8333333333333335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27</v>
      </c>
      <c r="C31">
        <f>COUNTIF(NHL2025_26Results[Winning Team],Standings!A31)</f>
        <v>13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34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6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29</v>
      </c>
      <c r="C32">
        <f>COUNTIF(NHL2025_26Results[Winning Team],Standings!A32)</f>
        <v>17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37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27</v>
      </c>
      <c r="C33">
        <f>COUNTIF(NHL2025_26Results[Winning Team],Standings!A33)</f>
        <v>14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0.58333333333333337</v>
      </c>
      <c r="N33" s="11">
        <f>Table1[[#This Row],[AwayWins]]/SUM(Table1[[#This Row],[AwayWins]:[AwayOTL]])</f>
        <v>0.46666666666666667</v>
      </c>
      <c r="O33" s="14">
        <f>SUMIFS('NHL2025-26Results'!$E:$E,'NHL2025-26Results'!$D:$D,A33,'NHL2025-26Results'!$E:$E,"&gt;0")/COUNTIFS('NHL2025-26Results'!$D:$D,A33,'NHL2025-26Results'!$E:$E,"&gt;0")</f>
        <v>4.0999999999999996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3.1333333333333333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8"/>
  <sheetViews>
    <sheetView tabSelected="1" zoomScale="83" workbookViewId="0">
      <selection activeCell="F12" sqref="F12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4" width="19.83203125" bestFit="1" customWidth="1"/>
    <col min="5" max="5" width="18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0.83333333333333337</v>
      </c>
      <c r="C16" s="19" t="s">
        <v>39</v>
      </c>
      <c r="D16" s="19" t="s">
        <v>33</v>
      </c>
      <c r="E16" s="19" t="s">
        <v>39</v>
      </c>
      <c r="F16">
        <v>4</v>
      </c>
      <c r="G16">
        <v>3</v>
      </c>
      <c r="H16">
        <v>0.68820000000000003</v>
      </c>
      <c r="I16" s="19" t="s">
        <v>249</v>
      </c>
      <c r="J16" s="19" t="s">
        <v>39</v>
      </c>
      <c r="K16">
        <v>3</v>
      </c>
      <c r="L16">
        <v>2</v>
      </c>
      <c r="M16">
        <v>1.1599999999999999</v>
      </c>
      <c r="N16" s="19" t="s">
        <v>39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19</v>
      </c>
      <c r="D17" s="19" t="s">
        <v>18</v>
      </c>
      <c r="E17" s="19" t="s">
        <v>19</v>
      </c>
      <c r="F17">
        <v>4</v>
      </c>
      <c r="G17">
        <v>3</v>
      </c>
      <c r="H17">
        <v>0.60129999999999995</v>
      </c>
      <c r="I17" s="19" t="s">
        <v>249</v>
      </c>
      <c r="J17" s="19" t="s">
        <v>19</v>
      </c>
      <c r="K17">
        <v>3</v>
      </c>
      <c r="L17">
        <v>2</v>
      </c>
      <c r="M17">
        <v>0.33</v>
      </c>
      <c r="N17" s="19" t="s">
        <v>60</v>
      </c>
      <c r="O17" s="19" t="s">
        <v>60</v>
      </c>
      <c r="P17" s="19" t="s">
        <v>60</v>
      </c>
      <c r="Q17" s="19" t="s">
        <v>60</v>
      </c>
      <c r="R17" s="19" t="s">
        <v>60</v>
      </c>
      <c r="S17" s="19" t="s">
        <v>60</v>
      </c>
      <c r="T17" s="19" t="s">
        <v>281</v>
      </c>
    </row>
    <row r="18" spans="1:20" x14ac:dyDescent="0.2">
      <c r="A18" s="1">
        <v>45997</v>
      </c>
      <c r="B18" s="2">
        <v>0.79166666666666663</v>
      </c>
      <c r="C18" s="19" t="s">
        <v>21</v>
      </c>
      <c r="D18" s="19" t="s">
        <v>24</v>
      </c>
      <c r="E18" s="19" t="s">
        <v>21</v>
      </c>
      <c r="F18">
        <v>5</v>
      </c>
      <c r="G18">
        <v>4</v>
      </c>
      <c r="H18">
        <v>0.52739999999999998</v>
      </c>
      <c r="I18" s="19" t="s">
        <v>249</v>
      </c>
      <c r="J18" s="19" t="s">
        <v>21</v>
      </c>
      <c r="K18">
        <v>3</v>
      </c>
      <c r="L18">
        <v>2</v>
      </c>
      <c r="M18">
        <v>7.0000000000000007E-2</v>
      </c>
      <c r="N18" s="19" t="s">
        <v>60</v>
      </c>
      <c r="O18" s="19" t="s">
        <v>60</v>
      </c>
      <c r="P18" s="19" t="s">
        <v>60</v>
      </c>
      <c r="Q18" s="19" t="s">
        <v>60</v>
      </c>
      <c r="R18" s="19" t="s">
        <v>60</v>
      </c>
      <c r="S18" s="19" t="s">
        <v>60</v>
      </c>
      <c r="T18" s="19" t="s">
        <v>281</v>
      </c>
    </row>
    <row r="19" spans="1:20" x14ac:dyDescent="0.2">
      <c r="A19" s="1">
        <v>45997</v>
      </c>
      <c r="B19" s="2">
        <v>0.79166666666666663</v>
      </c>
      <c r="C19" s="19" t="s">
        <v>25</v>
      </c>
      <c r="D19" s="19" t="s">
        <v>29</v>
      </c>
      <c r="E19" s="19" t="s">
        <v>25</v>
      </c>
      <c r="F19">
        <v>4</v>
      </c>
      <c r="G19">
        <v>2</v>
      </c>
      <c r="H19">
        <v>0.76490000000000002</v>
      </c>
      <c r="I19" s="19" t="s">
        <v>248</v>
      </c>
      <c r="J19" s="19" t="s">
        <v>25</v>
      </c>
      <c r="K19">
        <v>3</v>
      </c>
      <c r="L19">
        <v>2</v>
      </c>
      <c r="M19">
        <v>1.43</v>
      </c>
      <c r="N19" s="19" t="s">
        <v>60</v>
      </c>
      <c r="O19" s="19" t="s">
        <v>60</v>
      </c>
      <c r="P19" s="19" t="s">
        <v>60</v>
      </c>
      <c r="Q19" s="19" t="s">
        <v>60</v>
      </c>
      <c r="R19" s="19" t="s">
        <v>60</v>
      </c>
      <c r="S19" s="19" t="s">
        <v>60</v>
      </c>
      <c r="T19" s="19" t="s">
        <v>281</v>
      </c>
    </row>
    <row r="20" spans="1:20" x14ac:dyDescent="0.2">
      <c r="A20" s="1">
        <v>45997</v>
      </c>
      <c r="B20" s="2">
        <v>0.79166666666666663</v>
      </c>
      <c r="C20" s="19" t="s">
        <v>16</v>
      </c>
      <c r="D20" s="19" t="s">
        <v>55</v>
      </c>
      <c r="E20" s="19" t="s">
        <v>16</v>
      </c>
      <c r="F20">
        <v>2</v>
      </c>
      <c r="G20">
        <v>0</v>
      </c>
      <c r="H20">
        <v>0.56730000000000003</v>
      </c>
      <c r="I20" s="19" t="s">
        <v>249</v>
      </c>
      <c r="J20" s="19" t="s">
        <v>55</v>
      </c>
      <c r="K20">
        <v>3</v>
      </c>
      <c r="L20">
        <v>2</v>
      </c>
      <c r="M20">
        <v>-0.92</v>
      </c>
      <c r="N20" s="19" t="s">
        <v>60</v>
      </c>
      <c r="O20" s="19" t="s">
        <v>60</v>
      </c>
      <c r="P20" s="19" t="s">
        <v>60</v>
      </c>
      <c r="Q20" s="19" t="s">
        <v>60</v>
      </c>
      <c r="R20" s="19" t="s">
        <v>60</v>
      </c>
      <c r="S20" s="19" t="s">
        <v>60</v>
      </c>
      <c r="T20" s="19" t="s">
        <v>281</v>
      </c>
    </row>
    <row r="21" spans="1:20" x14ac:dyDescent="0.2">
      <c r="A21" s="1">
        <v>45997</v>
      </c>
      <c r="B21" s="2">
        <v>0.91666666666666663</v>
      </c>
      <c r="C21" s="19" t="s">
        <v>17</v>
      </c>
      <c r="D21" s="19" t="s">
        <v>40</v>
      </c>
      <c r="E21" s="19" t="s">
        <v>17</v>
      </c>
      <c r="F21">
        <v>4</v>
      </c>
      <c r="G21">
        <v>3</v>
      </c>
      <c r="H21">
        <v>0.78990000000000005</v>
      </c>
      <c r="I21" s="19" t="s">
        <v>249</v>
      </c>
      <c r="J21" s="19" t="s">
        <v>40</v>
      </c>
      <c r="K21">
        <v>3</v>
      </c>
      <c r="L21">
        <v>2</v>
      </c>
      <c r="M21">
        <v>-0.33</v>
      </c>
      <c r="N21" s="19" t="s">
        <v>60</v>
      </c>
      <c r="O21" s="19" t="s">
        <v>60</v>
      </c>
      <c r="P21" s="19" t="s">
        <v>60</v>
      </c>
      <c r="Q21" s="19" t="s">
        <v>60</v>
      </c>
      <c r="R21" s="19" t="s">
        <v>60</v>
      </c>
      <c r="S21" s="19" t="s">
        <v>60</v>
      </c>
      <c r="T21" s="19" t="s">
        <v>281</v>
      </c>
    </row>
    <row r="22" spans="1:20" x14ac:dyDescent="0.2">
      <c r="A22" s="1">
        <v>45997</v>
      </c>
      <c r="B22" s="2">
        <v>0.64583333333333337</v>
      </c>
      <c r="C22" s="19" t="s">
        <v>11</v>
      </c>
      <c r="D22" s="19" t="s">
        <v>28</v>
      </c>
      <c r="E22" s="19" t="s">
        <v>11</v>
      </c>
      <c r="F22">
        <v>4</v>
      </c>
      <c r="G22">
        <v>3</v>
      </c>
      <c r="H22">
        <v>0.52759999999999996</v>
      </c>
      <c r="I22" s="19" t="s">
        <v>249</v>
      </c>
      <c r="J22" s="19" t="s">
        <v>28</v>
      </c>
      <c r="K22">
        <v>3</v>
      </c>
      <c r="L22">
        <v>2</v>
      </c>
      <c r="M22">
        <v>-0.02</v>
      </c>
      <c r="N22" s="19" t="s">
        <v>60</v>
      </c>
      <c r="O22" s="19" t="s">
        <v>60</v>
      </c>
      <c r="P22" s="19" t="s">
        <v>60</v>
      </c>
      <c r="Q22" s="19" t="s">
        <v>60</v>
      </c>
      <c r="R22" s="19" t="s">
        <v>60</v>
      </c>
      <c r="S22" s="19" t="s">
        <v>60</v>
      </c>
      <c r="T22" s="19" t="s">
        <v>281</v>
      </c>
    </row>
    <row r="23" spans="1:20" x14ac:dyDescent="0.2">
      <c r="A23" s="1">
        <v>45997</v>
      </c>
      <c r="B23" s="2">
        <v>0.875</v>
      </c>
      <c r="C23" s="19" t="s">
        <v>13</v>
      </c>
      <c r="D23" s="19" t="s">
        <v>10</v>
      </c>
      <c r="E23" s="19" t="s">
        <v>10</v>
      </c>
      <c r="F23">
        <v>2</v>
      </c>
      <c r="G23">
        <v>3</v>
      </c>
      <c r="H23">
        <v>0.7802</v>
      </c>
      <c r="I23" s="19" t="s">
        <v>249</v>
      </c>
      <c r="J23" s="19" t="s">
        <v>10</v>
      </c>
      <c r="K23">
        <v>3</v>
      </c>
      <c r="L23">
        <v>2</v>
      </c>
      <c r="M23">
        <v>-0.17</v>
      </c>
      <c r="N23" s="19" t="s">
        <v>60</v>
      </c>
      <c r="O23" s="19" t="s">
        <v>60</v>
      </c>
      <c r="P23" s="19" t="s">
        <v>60</v>
      </c>
      <c r="Q23" s="19" t="s">
        <v>60</v>
      </c>
      <c r="R23" s="19" t="s">
        <v>60</v>
      </c>
      <c r="S23" s="19" t="s">
        <v>60</v>
      </c>
      <c r="T23" s="19" t="s">
        <v>281</v>
      </c>
    </row>
    <row r="24" spans="1:20" x14ac:dyDescent="0.2">
      <c r="A24" s="1">
        <v>45997</v>
      </c>
      <c r="B24" s="2">
        <v>0.52083333333333337</v>
      </c>
      <c r="C24" s="19" t="s">
        <v>15</v>
      </c>
      <c r="D24" s="19" t="s">
        <v>12</v>
      </c>
      <c r="E24" s="19" t="s">
        <v>12</v>
      </c>
      <c r="F24">
        <v>2</v>
      </c>
      <c r="G24">
        <v>3</v>
      </c>
      <c r="H24">
        <v>0.58209999999999995</v>
      </c>
      <c r="I24" s="19" t="s">
        <v>249</v>
      </c>
      <c r="J24" s="19" t="s">
        <v>12</v>
      </c>
      <c r="K24">
        <v>3</v>
      </c>
      <c r="L24">
        <v>2</v>
      </c>
      <c r="M24">
        <v>-1.52</v>
      </c>
      <c r="N24" s="19" t="s">
        <v>60</v>
      </c>
      <c r="O24" s="19" t="s">
        <v>60</v>
      </c>
      <c r="P24" s="19" t="s">
        <v>60</v>
      </c>
      <c r="Q24" s="19" t="s">
        <v>60</v>
      </c>
      <c r="R24" s="19" t="s">
        <v>60</v>
      </c>
      <c r="S24" s="19" t="s">
        <v>60</v>
      </c>
      <c r="T24" s="19" t="s">
        <v>281</v>
      </c>
    </row>
    <row r="25" spans="1:20" x14ac:dyDescent="0.2">
      <c r="A25" s="1">
        <v>45997</v>
      </c>
      <c r="B25" s="2">
        <v>0.79166666666666663</v>
      </c>
      <c r="C25" s="19" t="s">
        <v>36</v>
      </c>
      <c r="D25" s="19" t="s">
        <v>35</v>
      </c>
      <c r="E25" s="19" t="s">
        <v>36</v>
      </c>
      <c r="F25">
        <v>4</v>
      </c>
      <c r="G25">
        <v>3</v>
      </c>
      <c r="H25">
        <v>0.84889999999999999</v>
      </c>
      <c r="I25" s="19" t="s">
        <v>249</v>
      </c>
      <c r="J25" s="19" t="s">
        <v>36</v>
      </c>
      <c r="K25">
        <v>3</v>
      </c>
      <c r="L25">
        <v>2</v>
      </c>
      <c r="M25">
        <v>0.99</v>
      </c>
      <c r="N25" s="19" t="s">
        <v>60</v>
      </c>
      <c r="O25" s="19" t="s">
        <v>60</v>
      </c>
      <c r="P25" s="19" t="s">
        <v>60</v>
      </c>
      <c r="Q25" s="19" t="s">
        <v>60</v>
      </c>
      <c r="R25" s="19" t="s">
        <v>60</v>
      </c>
      <c r="S25" s="19" t="s">
        <v>60</v>
      </c>
      <c r="T25" s="19" t="s">
        <v>281</v>
      </c>
    </row>
    <row r="26" spans="1:20" x14ac:dyDescent="0.2">
      <c r="A26" s="1">
        <v>45997</v>
      </c>
      <c r="B26" s="2">
        <v>0.91666666666666663</v>
      </c>
      <c r="C26" s="19" t="s">
        <v>32</v>
      </c>
      <c r="D26" s="19" t="s">
        <v>26</v>
      </c>
      <c r="E26" s="19" t="s">
        <v>26</v>
      </c>
      <c r="F26">
        <v>3</v>
      </c>
      <c r="G26">
        <v>4</v>
      </c>
      <c r="H26">
        <v>0.50860000000000005</v>
      </c>
      <c r="I26" s="19" t="s">
        <v>249</v>
      </c>
      <c r="J26" s="19" t="s">
        <v>32</v>
      </c>
      <c r="K26">
        <v>3</v>
      </c>
      <c r="L26">
        <v>2</v>
      </c>
      <c r="M26">
        <v>0.08</v>
      </c>
      <c r="N26" s="19" t="s">
        <v>60</v>
      </c>
      <c r="O26" s="19" t="s">
        <v>60</v>
      </c>
      <c r="P26" s="19" t="s">
        <v>60</v>
      </c>
      <c r="Q26" s="19" t="s">
        <v>60</v>
      </c>
      <c r="R26" s="19" t="s">
        <v>60</v>
      </c>
      <c r="S26" s="19" t="s">
        <v>60</v>
      </c>
      <c r="T26" s="19" t="s">
        <v>281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60</v>
      </c>
      <c r="O27" s="19" t="s">
        <v>60</v>
      </c>
      <c r="P27" s="19" t="s">
        <v>60</v>
      </c>
      <c r="Q27" s="19" t="s">
        <v>60</v>
      </c>
      <c r="R27" s="19" t="s">
        <v>60</v>
      </c>
      <c r="S27" s="19" t="s">
        <v>60</v>
      </c>
      <c r="T27" s="19" t="s">
        <v>281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60</v>
      </c>
      <c r="O28" s="19" t="s">
        <v>60</v>
      </c>
      <c r="P28" s="19" t="s">
        <v>60</v>
      </c>
      <c r="Q28" s="19" t="s">
        <v>60</v>
      </c>
      <c r="R28" s="19" t="s">
        <v>60</v>
      </c>
      <c r="S28" s="19" t="s">
        <v>60</v>
      </c>
      <c r="T28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2025-12-06T11:59:37Z</dcterms:modified>
</cp:coreProperties>
</file>