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908" documentId="14_{BC0C37BD-5950-BD49-823D-87212FE79B51}" xr6:coauthVersionLast="47" xr6:coauthVersionMax="47" xr10:uidLastSave="{034FC360-9828-9D41-8C84-520BD3B24697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Model'!$A$1:$AA$60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Model'!$U$10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 calcMode="manual" calcCompleted="0"/>
  <pivotCaches>
    <pivotCache cacheId="0" r:id="rId7"/>
    <pivotCache cacheId="1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3" i="1" l="1"/>
  <c r="H358" i="1"/>
  <c r="H357" i="1"/>
  <c r="G358" i="1"/>
  <c r="G357" i="1"/>
  <c r="G356" i="1"/>
  <c r="H356" i="1" s="1"/>
  <c r="G355" i="1"/>
  <c r="H355" i="1" s="1"/>
  <c r="G354" i="1"/>
  <c r="G353" i="1"/>
  <c r="E358" i="1"/>
  <c r="E357" i="1"/>
  <c r="E356" i="1"/>
  <c r="E355" i="1"/>
  <c r="E354" i="1"/>
  <c r="H354" i="1" s="1"/>
  <c r="E353" i="1"/>
  <c r="H353" i="1" s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H342" i="1" s="1"/>
  <c r="E341" i="1"/>
  <c r="G341" i="1"/>
  <c r="H341" i="1" s="1"/>
  <c r="I341" i="1"/>
  <c r="G342" i="1"/>
  <c r="I342" i="1"/>
  <c r="G343" i="1"/>
  <c r="I343" i="1"/>
  <c r="G344" i="1"/>
  <c r="H344" i="1" s="1"/>
  <c r="I344" i="1"/>
  <c r="G345" i="1"/>
  <c r="I345" i="1"/>
  <c r="G346" i="1"/>
  <c r="H346" i="1"/>
  <c r="I346" i="1"/>
  <c r="G347" i="1"/>
  <c r="I347" i="1"/>
  <c r="G348" i="1"/>
  <c r="I348" i="1"/>
  <c r="G349" i="1"/>
  <c r="H349" i="1"/>
  <c r="I349" i="1"/>
  <c r="J349" i="1" s="1"/>
  <c r="G350" i="1"/>
  <c r="H350" i="1" s="1"/>
  <c r="I350" i="1"/>
  <c r="G351" i="1"/>
  <c r="I351" i="1"/>
  <c r="G352" i="1"/>
  <c r="I352" i="1"/>
  <c r="E350" i="1"/>
  <c r="E351" i="1"/>
  <c r="H351" i="1" s="1"/>
  <c r="E352" i="1"/>
  <c r="J353" i="1" l="1"/>
  <c r="J355" i="1"/>
  <c r="J356" i="1"/>
  <c r="J354" i="1"/>
  <c r="J357" i="1"/>
  <c r="J358" i="1"/>
  <c r="H352" i="1"/>
  <c r="H347" i="1"/>
  <c r="H343" i="1"/>
  <c r="H345" i="1"/>
  <c r="J345" i="1" s="1"/>
  <c r="J341" i="1"/>
  <c r="J342" i="1"/>
  <c r="J346" i="1"/>
  <c r="J343" i="1"/>
  <c r="J348" i="1"/>
  <c r="J344" i="1"/>
  <c r="J347" i="1"/>
  <c r="J352" i="1"/>
  <c r="J350" i="1"/>
  <c r="J351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H340" i="1" s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H335" i="1" s="1"/>
  <c r="I335" i="1"/>
  <c r="G336" i="1"/>
  <c r="I336" i="1"/>
  <c r="E325" i="1"/>
  <c r="E326" i="1"/>
  <c r="E327" i="1"/>
  <c r="E328" i="1"/>
  <c r="E329" i="1"/>
  <c r="H329" i="1" s="1"/>
  <c r="E330" i="1"/>
  <c r="E331" i="1"/>
  <c r="E332" i="1"/>
  <c r="E333" i="1"/>
  <c r="H333" i="1" s="1"/>
  <c r="E334" i="1"/>
  <c r="H334" i="1" s="1"/>
  <c r="E335" i="1"/>
  <c r="E336" i="1"/>
  <c r="V3" i="4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V4" i="4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15" i="1" l="1"/>
  <c r="J339" i="1"/>
  <c r="H336" i="1"/>
  <c r="H332" i="1"/>
  <c r="H331" i="1"/>
  <c r="H338" i="1"/>
  <c r="J338" i="1" s="1"/>
  <c r="H323" i="1"/>
  <c r="J323" i="1" s="1"/>
  <c r="J340" i="1"/>
  <c r="H328" i="1"/>
  <c r="H337" i="1"/>
  <c r="H310" i="1"/>
  <c r="H330" i="1"/>
  <c r="J330" i="1" s="1"/>
  <c r="J337" i="1"/>
  <c r="J310" i="1"/>
  <c r="J329" i="1"/>
  <c r="H326" i="1"/>
  <c r="J336" i="1"/>
  <c r="H327" i="1"/>
  <c r="J327" i="1" s="1"/>
  <c r="J328" i="1"/>
  <c r="J331" i="1"/>
  <c r="J334" i="1"/>
  <c r="J326" i="1"/>
  <c r="H322" i="1"/>
  <c r="J322" i="1" s="1"/>
  <c r="J333" i="1"/>
  <c r="H317" i="1"/>
  <c r="J317" i="1" s="1"/>
  <c r="H325" i="1"/>
  <c r="J325" i="1" s="1"/>
  <c r="J335" i="1"/>
  <c r="H324" i="1"/>
  <c r="J324" i="1" s="1"/>
  <c r="J332" i="1"/>
  <c r="V5" i="4"/>
  <c r="V6" i="4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J315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H303" i="1" s="1"/>
  <c r="G302" i="1"/>
  <c r="E303" i="1"/>
  <c r="E302" i="1"/>
  <c r="E304" i="1"/>
  <c r="E305" i="1"/>
  <c r="E306" i="1"/>
  <c r="H306" i="1" l="1"/>
  <c r="J306" i="1" s="1"/>
  <c r="H302" i="1"/>
  <c r="J302" i="1" s="1"/>
  <c r="H305" i="1"/>
  <c r="J305" i="1" s="1"/>
  <c r="H304" i="1"/>
  <c r="J304" i="1" s="1"/>
  <c r="J303" i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H289" i="1" s="1"/>
  <c r="I289" i="1"/>
  <c r="G290" i="1"/>
  <c r="I290" i="1"/>
  <c r="I291" i="1"/>
  <c r="G292" i="1"/>
  <c r="I292" i="1"/>
  <c r="G293" i="1"/>
  <c r="I293" i="1"/>
  <c r="G294" i="1"/>
  <c r="H294" i="1" s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2" i="1" l="1"/>
  <c r="H285" i="1"/>
  <c r="H286" i="1"/>
  <c r="J286" i="1" s="1"/>
  <c r="H299" i="1"/>
  <c r="H297" i="1"/>
  <c r="J297" i="1" s="1"/>
  <c r="H296" i="1"/>
  <c r="H293" i="1"/>
  <c r="J293" i="1" s="1"/>
  <c r="H301" i="1"/>
  <c r="J301" i="1" s="1"/>
  <c r="H298" i="1"/>
  <c r="H290" i="1"/>
  <c r="J290" i="1" s="1"/>
  <c r="H295" i="1"/>
  <c r="J295" i="1" s="1"/>
  <c r="J289" i="1"/>
  <c r="J292" i="1"/>
  <c r="J299" i="1"/>
  <c r="J296" i="1"/>
  <c r="J294" i="1"/>
  <c r="J298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3" i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H223" i="1" s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F4" i="5" s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85" i="1" l="1"/>
  <c r="H92" i="1"/>
  <c r="H127" i="1"/>
  <c r="H119" i="1"/>
  <c r="J332" i="4"/>
  <c r="H89" i="1"/>
  <c r="H82" i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N32" i="5"/>
  <c r="M32" i="5"/>
  <c r="M16" i="5"/>
  <c r="N24" i="5"/>
  <c r="N16" i="5"/>
  <c r="N8" i="5"/>
  <c r="H67" i="1"/>
  <c r="H79" i="1"/>
  <c r="H71" i="1"/>
  <c r="H90" i="1"/>
  <c r="J90" i="1" s="1"/>
  <c r="H88" i="1"/>
  <c r="H84" i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L940" i="4" s="1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79" i="1"/>
  <c r="J71" i="1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82" i="1"/>
  <c r="J97" i="1"/>
  <c r="J115" i="1"/>
  <c r="J124" i="1"/>
  <c r="M29" i="5"/>
  <c r="J75" i="1"/>
  <c r="J67" i="1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J127" i="1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84" i="1"/>
  <c r="J125" i="1"/>
  <c r="J126" i="1"/>
  <c r="J109" i="1"/>
  <c r="J166" i="1"/>
  <c r="J87" i="1"/>
  <c r="J119" i="1"/>
  <c r="J96" i="1"/>
  <c r="J89" i="1"/>
  <c r="J111" i="1"/>
  <c r="J95" i="1"/>
  <c r="J78" i="1"/>
  <c r="J92" i="1"/>
  <c r="J91" i="1"/>
  <c r="J88" i="1"/>
  <c r="J121" i="1"/>
  <c r="J122" i="1"/>
  <c r="J130" i="1"/>
  <c r="J105" i="1"/>
  <c r="J93" i="1"/>
  <c r="J150" i="1"/>
  <c r="J149" i="1"/>
  <c r="J198" i="1"/>
  <c r="J221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172" i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N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N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N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N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N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N1089" i="4" s="1"/>
  <c r="K867" i="4"/>
  <c r="M867" i="4" s="1"/>
  <c r="N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N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N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N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N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N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N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N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N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N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N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N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N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N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N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N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N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N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N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N1144" i="4" s="1"/>
  <c r="L1144" i="4"/>
  <c r="L326" i="4"/>
  <c r="K326" i="4"/>
  <c r="M326" i="4" s="1"/>
  <c r="K733" i="4"/>
  <c r="M733" i="4" s="1"/>
  <c r="N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N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N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N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N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N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N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N527" i="4" s="1"/>
  <c r="L527" i="4"/>
  <c r="L620" i="4"/>
  <c r="K620" i="4"/>
  <c r="M620" i="4" s="1"/>
  <c r="K1046" i="4"/>
  <c r="M1046" i="4" s="1"/>
  <c r="N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N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N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M354" i="4" s="1"/>
  <c r="N354" i="4" s="1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N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N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N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350" i="4" l="1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372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375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370" i="4"/>
  <c r="N738" i="4"/>
  <c r="N640" i="4"/>
  <c r="N933" i="4"/>
  <c r="N882" i="4"/>
  <c r="N591" i="4"/>
  <c r="N1023" i="4"/>
  <c r="N1159" i="4"/>
  <c r="N484" i="4"/>
  <c r="N945" i="4"/>
  <c r="N680" i="4"/>
  <c r="N365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376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367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3" i="4" l="1"/>
  <c r="T4" i="4"/>
  <c r="T8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<sst xmlns="http://schemas.openxmlformats.org/spreadsheetml/2006/main" count="13655" uniqueCount="565">
  <si>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</si>
  <si>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</si>
  <si>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</si>
  <si>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</si>
  <si>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</si>
  <si>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</si>
  <si>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</si>
  <si>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</si>
  <si>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</si>
  <si>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</si>
  <si>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</si>
  <si>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</si>
  <si>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</si>
  <si>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</si>
  <si>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</si>
  <si>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</si>
  <si>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</si>
  <si>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</si>
  <si>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</si>
  <si>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</si>
  <si>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</si>
  <si>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</si>
  <si>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</si>
  <si>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</si>
  <si>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</si>
  <si>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</si>
  <si>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</si>
  <si>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</si>
  <si>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</si>
  <si>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</si>
  <si>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</si>
  <si>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</si>
  <si>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</si>
  <si>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</si>
  <si>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</si>
  <si>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</si>
  <si>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</si>
  <si>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</si>
  <si>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</si>
  <si>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</si>
  <si>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</si>
  <si>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</si>
  <si>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</si>
  <si>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</si>
  <si>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</si>
  <si>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</si>
  <si>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</si>
  <si>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</si>
  <si>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</si>
  <si>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</si>
  <si>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</si>
  <si>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</si>
  <si>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</si>
  <si>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</si>
  <si>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</si>
  <si>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</si>
  <si>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</si>
  <si>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</si>
  <si>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</si>
  <si>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</si>
  <si>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</si>
  <si>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</si>
  <si>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</si>
  <si>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</si>
  <si>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</si>
  <si>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</si>
  <si>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</si>
  <si>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</si>
  <si>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</si>
  <si>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</si>
  <si>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</si>
  <si>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</si>
  <si>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</si>
  <si>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</si>
  <si>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</si>
  <si>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</si>
  <si>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</si>
  <si>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</si>
  <si>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</si>
  <si>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</si>
  <si>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</si>
  <si>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</si>
  <si>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</si>
  <si>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</si>
  <si>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</si>
  <si>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</si>
  <si>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</si>
  <si>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</si>
  <si>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</si>
  <si>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</si>
  <si>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</si>
  <si>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</si>
  <si>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</si>
  <si>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</si>
  <si>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</si>
  <si>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</si>
  <si>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</si>
  <si>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</si>
  <si>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</si>
  <si>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</si>
  <si>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</si>
  <si>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</si>
  <si>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</si>
  <si>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</si>
  <si>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</si>
  <si>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</si>
  <si>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</si>
  <si>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</si>
  <si>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</si>
  <si>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</si>
  <si>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</si>
  <si>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</si>
  <si>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</si>
  <si>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</si>
  <si>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</si>
  <si>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</si>
  <si>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</si>
  <si>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</si>
  <si>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</si>
  <si>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</si>
  <si>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</si>
  <si>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</si>
  <si>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</si>
  <si>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</si>
  <si>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</si>
  <si>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</si>
  <si>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</si>
  <si>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</si>
  <si>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</si>
  <si>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</si>
  <si>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</si>
  <si>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</si>
  <si>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</si>
  <si>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</si>
  <si>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</si>
  <si>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</si>
  <si>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</si>
  <si>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</si>
  <si>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</si>
  <si>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</si>
  <si>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</si>
  <si>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</si>
  <si>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</si>
  <si>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</si>
  <si>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</si>
  <si>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</si>
  <si>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</si>
  <si>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</si>
  <si>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</si>
  <si>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</si>
  <si>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</si>
  <si>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</si>
  <si>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</si>
  <si>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</si>
  <si>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</si>
  <si>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</si>
  <si>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</si>
  <si>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</si>
  <si>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</si>
  <si>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</si>
  <si>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</si>
  <si>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</si>
  <si>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</si>
  <si>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</si>
  <si>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</si>
  <si>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</si>
  <si>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</si>
  <si>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</si>
  <si>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</si>
  <si>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</si>
  <si>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</si>
  <si>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</si>
  <si>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</si>
  <si>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</si>
  <si>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</si>
  <si>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</si>
  <si>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</si>
  <si>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</si>
  <si>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</si>
  <si>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</si>
  <si>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</si>
  <si>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</si>
  <si>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</si>
  <si>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</si>
  <si>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</si>
  <si>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</si>
  <si>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</si>
  <si>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</si>
  <si>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</si>
  <si>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</si>
  <si>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</si>
  <si>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</si>
  <si>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</si>
  <si>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</si>
  <si>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</si>
  <si>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</si>
  <si>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</si>
  <si>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</si>
  <si>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</si>
  <si>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</si>
  <si>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</si>
  <si>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</si>
  <si>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</si>
  <si>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</si>
  <si>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</si>
  <si>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</si>
  <si>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</si>
  <si>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</si>
  <si>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</si>
  <si>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</si>
  <si>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</si>
  <si>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</si>
  <si>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</si>
  <si>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</si>
  <si>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</si>
  <si>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</si>
  <si>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</si>
  <si>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</si>
  <si>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</si>
  <si>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</si>
  <si>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</si>
  <si>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</si>
  <si>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</si>
  <si>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</si>
  <si>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</si>
  <si>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</si>
  <si>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</si>
  <si>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</si>
  <si>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</si>
  <si>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</si>
  <si>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</si>
  <si>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</si>
  <si>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</si>
  <si>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</si>
  <si>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</si>
  <si>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</si>
  <si>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</si>
  <si>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</si>
  <si>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</si>
  <si>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</si>
  <si>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</si>
  <si>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</si>
  <si>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</si>
  <si>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</si>
  <si>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</si>
  <si>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</si>
  <si>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</si>
  <si>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</si>
  <si>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</si>
  <si>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</si>
  <si>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</si>
  <si>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</si>
  <si>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</si>
  <si>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</si>
  <si>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</si>
  <si>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</si>
  <si>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</si>
  <si>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</si>
  <si>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</si>
  <si>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</si>
  <si>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</si>
  <si>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</si>
  <si>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</si>
  <si>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</si>
  <si>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</si>
  <si>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</si>
  <si>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</si>
  <si>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</si>
  <si>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</si>
  <si>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</si>
  <si>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</si>
  <si>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</si>
  <si>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</si>
  <si>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</si>
  <si>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</si>
  <si>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</si>
  <si>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</si>
  <si>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</si>
  <si>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</si>
  <si>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</si>
  <si>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</si>
  <si>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</si>
  <si>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</si>
  <si>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</si>
  <si>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</si>
  <si>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</si>
  <si>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</si>
  <si>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</si>
  <si>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</si>
  <si>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</si>
  <si>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</si>
  <si>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4</t>
  </si>
  <si>
    <t>5</t>
  </si>
  <si>
    <t>96.00%</t>
  </si>
  <si>
    <t>nan%</t>
  </si>
  <si>
    <t>✓ Won by Anaheim Ducks</t>
  </si>
  <si>
    <t>2</t>
  </si>
  <si>
    <t>0.8</t>
  </si>
  <si>
    <t>COMPLETED</t>
  </si>
  <si>
    <t>7:00:00 PM</t>
  </si>
  <si>
    <t>Carolina Hurricanes @ Boston Bruins</t>
  </si>
  <si>
    <t>3</t>
  </si>
  <si>
    <t>54.63%</t>
  </si>
  <si>
    <t>✗ Predicted Boston Bruins, was Unknown</t>
  </si>
  <si>
    <t>-0.47</t>
  </si>
  <si>
    <t>Edmonton Oilers @ Buffalo Sabres</t>
  </si>
  <si>
    <t>55.50%</t>
  </si>
  <si>
    <t>✓ Won by Buffalo Sabres</t>
  </si>
  <si>
    <t>-0.09</t>
  </si>
  <si>
    <t>7:30:00 PM</t>
  </si>
  <si>
    <t>Montreal Canadiens @ Columbus Blue Jackets</t>
  </si>
  <si>
    <t>70.97%</t>
  </si>
  <si>
    <t>✗ Predicted Montreal Canadiens, was Unknown</t>
  </si>
  <si>
    <t>0.28</t>
  </si>
  <si>
    <t>Vancouver Canucks @ Florida Panthers</t>
  </si>
  <si>
    <t>57.66%</t>
  </si>
  <si>
    <t>✗ Predicted Vancouver Canucks, was Unknown</t>
  </si>
  <si>
    <t>0.57</t>
  </si>
  <si>
    <t>Los Angeles Kings @ Washington Capitals</t>
  </si>
  <si>
    <t>1</t>
  </si>
  <si>
    <t>84.50%</t>
  </si>
  <si>
    <t>✗ Predicted Los Angeles Kings, was Unknown</t>
  </si>
  <si>
    <t>0.18</t>
  </si>
  <si>
    <t>8:30:00 PM</t>
  </si>
  <si>
    <t>Calgary Flames @ Chicago Blackhawks</t>
  </si>
  <si>
    <t>66.52%</t>
  </si>
  <si>
    <t>✓ Won by Chicago Blackhawks</t>
  </si>
  <si>
    <t>1.87</t>
  </si>
  <si>
    <t>8:00:00 PM</t>
  </si>
  <si>
    <t>New York Islanders @ Dallas Stars</t>
  </si>
  <si>
    <t>60.16%</t>
  </si>
  <si>
    <t>✗ Predicted Dallas Stars, was Unknown</t>
  </si>
  <si>
    <t>0.43</t>
  </si>
  <si>
    <t>Seattle Kraken @ Detroit Red Wings</t>
  </si>
  <si>
    <t>51.58%</t>
  </si>
  <si>
    <t>✓ Won by Detroit Red Wings</t>
  </si>
  <si>
    <t>0.06</t>
  </si>
  <si>
    <t>Utah Mammoth @ San Jose Sharks</t>
  </si>
  <si>
    <t>51.42%</t>
  </si>
  <si>
    <t>✓ Won by San Jose Sharks</t>
  </si>
  <si>
    <t>-0.08</t>
  </si>
  <si>
    <t>New Jersey Devils @ Tampa Bay Lightning</t>
  </si>
  <si>
    <t>66.00%</t>
  </si>
  <si>
    <t>✗ Predicted New Jersey Devils, was Unknown</t>
  </si>
  <si>
    <t>-0.49</t>
  </si>
  <si>
    <t>St. Louis Blues @ Toronto Maple Leafs</t>
  </si>
  <si>
    <t>59.17%</t>
  </si>
  <si>
    <t>✓ Won by Toronto Maple Leafs</t>
  </si>
  <si>
    <t>1.19</t>
  </si>
  <si>
    <t>New York Rangers @ Vegas Golden Knights</t>
  </si>
  <si>
    <t>55.93%</t>
  </si>
  <si>
    <t>✗ Predicted New York Rangers, was Unknown</t>
  </si>
  <si>
    <t>0.51</t>
  </si>
  <si>
    <t>Columbus Blue Jackets @ Winnipeg Jets</t>
  </si>
  <si>
    <t>67.56%</t>
  </si>
  <si>
    <t>✓ Won by Winnipeg Jets</t>
  </si>
  <si>
    <t>0.66</t>
  </si>
  <si>
    <t>Boston Bruins @ Anaheim Ducks</t>
  </si>
  <si>
    <t>84.83%</t>
  </si>
  <si>
    <t>0.77</t>
  </si>
  <si>
    <t>Calgary Flames @ Buffalo Sabres</t>
  </si>
  <si>
    <t>82.42%</t>
  </si>
  <si>
    <t>✗ Predicted Buffalo Sabres, was Unknown</t>
  </si>
  <si>
    <t>0.99</t>
  </si>
  <si>
    <t>9:30:00 PM</t>
  </si>
  <si>
    <t>Carolina Hurricanes @ Minnesota Wild</t>
  </si>
  <si>
    <t>62.33%</t>
  </si>
  <si>
    <t>✗ Predicted Carolina Hurricanes, was Unknown</t>
  </si>
  <si>
    <t>-1.09</t>
  </si>
  <si>
    <t>Edmonton Oilers @ Washington Capitals</t>
  </si>
  <si>
    <t>54.66%</t>
  </si>
  <si>
    <t>✓ Won by Washington Capitals</t>
  </si>
  <si>
    <t>1.03</t>
  </si>
  <si>
    <t>22:00:00</t>
  </si>
  <si>
    <t>Ottawa Senators @ Anaheim Ducks</t>
  </si>
  <si>
    <t>0.7997106782106780</t>
  </si>
  <si>
    <t>53.3%</t>
  </si>
  <si>
    <t>1.21</t>
  </si>
  <si>
    <t>PENDING</t>
  </si>
  <si>
    <t>20:00:00</t>
  </si>
  <si>
    <t>Seattle Kraken @ Chicago Blackhawks</t>
  </si>
  <si>
    <t>0.8140974658869400</t>
  </si>
  <si>
    <t>50.7%</t>
  </si>
  <si>
    <t>1.04</t>
  </si>
  <si>
    <t>21:00:00</t>
  </si>
  <si>
    <t>New York Rangers @ Colorado Avalanche</t>
  </si>
  <si>
    <t>0.68089417989418</t>
  </si>
  <si>
    <t>28.7%</t>
  </si>
  <si>
    <t>2.04</t>
  </si>
  <si>
    <t>19:00:00</t>
  </si>
  <si>
    <t>New York Islanders @ Detroit Red Wings</t>
  </si>
  <si>
    <t>0.5072021732131170</t>
  </si>
  <si>
    <t>44.0%</t>
  </si>
  <si>
    <t>-0.21</t>
  </si>
  <si>
    <t>New Jersey Devils @ Florida Panthers</t>
  </si>
  <si>
    <t>0.6197946127946130</t>
  </si>
  <si>
    <t>38.1%</t>
  </si>
  <si>
    <t>-0.28</t>
  </si>
  <si>
    <t>Washington Capitals @ Montreal Canadiens</t>
  </si>
  <si>
    <t>0.7563978253715100</t>
  </si>
  <si>
    <t>63.1%</t>
  </si>
  <si>
    <t>-0.48</t>
  </si>
  <si>
    <t>St. Louis Blues @ Philadelphia Flyers</t>
  </si>
  <si>
    <t>0.7831875901875900</t>
  </si>
  <si>
    <t>42.5%</t>
  </si>
  <si>
    <t>1.31</t>
  </si>
  <si>
    <t>Los Angeles Kings @ San Jose Sharks</t>
  </si>
  <si>
    <t>0.6882212602212600</t>
  </si>
  <si>
    <t>28.2%</t>
  </si>
  <si>
    <t>-0.05</t>
  </si>
  <si>
    <t>19:30:00</t>
  </si>
  <si>
    <t>Edmonton Oilers @ Tampa Bay Lightning</t>
  </si>
  <si>
    <t>0.7711904761904760</t>
  </si>
  <si>
    <t>61.6%</t>
  </si>
  <si>
    <t>1.25</t>
  </si>
  <si>
    <t>Columbus Blue Jackets @ Toronto Maple Leafs</t>
  </si>
  <si>
    <t>0.5610066791939860</t>
  </si>
  <si>
    <t>11.6%</t>
  </si>
  <si>
    <t>0.03</t>
  </si>
  <si>
    <t>Vegas Golden Knights @ Utah Mammoth</t>
  </si>
  <si>
    <t>0.6781537176274020</t>
  </si>
  <si>
    <t>54.0%</t>
  </si>
  <si>
    <t>-0.04</t>
  </si>
  <si>
    <t>Dallas Stars @ Vancouver Canucks</t>
  </si>
  <si>
    <t>0.7367777777777780</t>
  </si>
  <si>
    <t>39.1%</t>
  </si>
  <si>
    <t>-0.71</t>
  </si>
  <si>
    <t>Chicago Blackhawks @ Buffalo Sabres</t>
  </si>
  <si>
    <t>0.5890476190476189</t>
  </si>
  <si>
    <t>58.1%</t>
  </si>
  <si>
    <t>✗ Predicted Chicago Blackhawks, was Buffalo Sabres</t>
  </si>
  <si>
    <t>-1.01</t>
  </si>
  <si>
    <t>2025-11-22 12:44:07</t>
  </si>
  <si>
    <t>22:30:00</t>
  </si>
  <si>
    <t>Boston Bruins @ Los Angeles Kings</t>
  </si>
  <si>
    <t>0.5450820105820107</t>
  </si>
  <si>
    <t>63.7%</t>
  </si>
  <si>
    <t>✓ Won by Los Angeles Kings</t>
  </si>
  <si>
    <t>Minnesota Wild @ Pittsburgh Penguins</t>
  </si>
  <si>
    <t>0.5106772486772487</t>
  </si>
  <si>
    <t>44.4%</t>
  </si>
  <si>
    <t>✓ Won by Minnesota Wild</t>
  </si>
  <si>
    <t>0.85</t>
  </si>
  <si>
    <t>Carolina Hurricanes @ Winnipeg Jets</t>
  </si>
  <si>
    <t>0.7519682539682541</t>
  </si>
  <si>
    <t>64.8%</t>
  </si>
  <si>
    <t>✗ Predicted Winnipeg Jets, was Carolina Hurricanes</t>
  </si>
  <si>
    <t>-0.26</t>
  </si>
  <si>
    <t>Vegas Golden Knights @ Anaheim Ducks</t>
  </si>
  <si>
    <t>0.7439365079365079</t>
  </si>
  <si>
    <t>59.4%</t>
  </si>
  <si>
    <t>0.35</t>
  </si>
  <si>
    <t>Dallas Stars @ Calgary Flames</t>
  </si>
  <si>
    <t>0.5955978835978836</t>
  </si>
  <si>
    <t>39.6%</t>
  </si>
  <si>
    <t>-1.31</t>
  </si>
  <si>
    <t>13:00:00</t>
  </si>
  <si>
    <t>Columbus Blue Jackets @ Detroit Red Wings</t>
  </si>
  <si>
    <t>0.7002021495732795</t>
  </si>
  <si>
    <t>36.8%</t>
  </si>
  <si>
    <t>-0.03</t>
  </si>
  <si>
    <t>Edmonton Oilers @ Florida Panthers</t>
  </si>
  <si>
    <t>0.7127164021164021</t>
  </si>
  <si>
    <t>31.7%</t>
  </si>
  <si>
    <t>1.0</t>
  </si>
  <si>
    <t>Toronto Maple Leafs @ Montreal Canadiens</t>
  </si>
  <si>
    <t>0.5397486772486771</t>
  </si>
  <si>
    <t>46.3%</t>
  </si>
  <si>
    <t>0.09</t>
  </si>
  <si>
    <t>Colorado Avalanche @ Nashville Predators</t>
  </si>
  <si>
    <t>0.7932910052910054</t>
  </si>
  <si>
    <t>34.2%</t>
  </si>
  <si>
    <t>6</t>
  </si>
  <si>
    <t>-2.83</t>
  </si>
  <si>
    <t>15:30:00</t>
  </si>
  <si>
    <t>St. Louis Blues @ New York Islanders</t>
  </si>
  <si>
    <t>0.8296119047619047</t>
  </si>
  <si>
    <t>44.8%</t>
  </si>
  <si>
    <t>2.02</t>
  </si>
  <si>
    <t>New Jersey Devils @ Philadelphia Flyers</t>
  </si>
  <si>
    <t>0.6360140415140416</t>
  </si>
  <si>
    <t>-0.63</t>
  </si>
  <si>
    <t>Seattle Kraken @ Pittsburgh Penguins</t>
  </si>
  <si>
    <t>0.535478835978836</t>
  </si>
  <si>
    <t>40.5%</t>
  </si>
  <si>
    <t>0.56</t>
  </si>
  <si>
    <t>Ottawa Senators @ San Jose Sharks</t>
  </si>
  <si>
    <t>0.5787318720266086</t>
  </si>
  <si>
    <t>62.7%</t>
  </si>
  <si>
    <t>0.16</t>
  </si>
  <si>
    <t>New York Rangers @ Utah Mammoth</t>
  </si>
  <si>
    <t>0.6337840563691628</t>
  </si>
  <si>
    <t>31.3%</t>
  </si>
  <si>
    <t>0.25</t>
  </si>
  <si>
    <t>Tampa Bay Lightning @ Washington Capitals</t>
  </si>
  <si>
    <t>0.6436327817178878</t>
  </si>
  <si>
    <t>54.7%</t>
  </si>
  <si>
    <t>0.32</t>
  </si>
  <si>
    <t>2025-11-23 11:29:50</t>
  </si>
  <si>
    <t>✗ Predicted Dallas Stars, was Calgary Flames</t>
  </si>
  <si>
    <t>✗ Predicted Detroit Red Wings, was Columbus Blue Jackets</t>
  </si>
  <si>
    <t>✗ Predicted Florida Panthers, was Edmonton Oilers</t>
  </si>
  <si>
    <t>✓ Won by Montreal Canadiens</t>
  </si>
  <si>
    <t>✓ Won by Colorado Avalanche</t>
  </si>
  <si>
    <t>✗ Predicted New York Islanders, was St. Louis Blues</t>
  </si>
  <si>
    <t>✗ Predicted New Jersey Devils, was Philadelphia Flyers</t>
  </si>
  <si>
    <t>✗ Predicted Pittsburgh Penguins, was Seattle Kraken</t>
  </si>
  <si>
    <t>✗ Predicted San Jose Sharks, was Ottawa Senators</t>
  </si>
  <si>
    <t>✓ Won by Utah Mammoth</t>
  </si>
  <si>
    <t>✗ Predicted Washington Capitals, was Tampa Bay Lightning</t>
  </si>
  <si>
    <t>Carolina Hurricanes @ Buffalo Sabres</t>
  </si>
  <si>
    <t>74.6%</t>
  </si>
  <si>
    <t>33.9%</t>
  </si>
  <si>
    <t>-1.16</t>
  </si>
  <si>
    <t>Colorado Avalanche @ Chicago Blackhawks</t>
  </si>
  <si>
    <t>65.2%</t>
  </si>
  <si>
    <t>53.4%</t>
  </si>
  <si>
    <t>17:00:00</t>
  </si>
  <si>
    <t>Seattle Kraken @ New York Islanders</t>
  </si>
  <si>
    <t>57.9%</t>
  </si>
  <si>
    <t>48.8%</t>
  </si>
  <si>
    <t>Boston Bruins @ San Jose Sharks</t>
  </si>
  <si>
    <t>51.9%</t>
  </si>
  <si>
    <t>27.9%</t>
  </si>
  <si>
    <t>Calgary Flames @ Vancouver Canucks</t>
  </si>
  <si>
    <t>53.6%</t>
  </si>
  <si>
    <t>18.2%</t>
  </si>
  <si>
    <t>16:00:00</t>
  </si>
  <si>
    <t>Minnesota Wild @ Winnipeg Jets</t>
  </si>
  <si>
    <t>78.0%</t>
  </si>
  <si>
    <t>24.2%</t>
  </si>
  <si>
    <t>✗ Predicted Carolina Hurricanes, was Buffalo Sabres</t>
  </si>
  <si>
    <t>2025-11-24 11:01:13</t>
  </si>
  <si>
    <t>-1.5</t>
  </si>
  <si>
    <t>✗ Predicted Seattle Kraken, was New York Islanders</t>
  </si>
  <si>
    <t>✓ Won by Calgary Flames</t>
  </si>
  <si>
    <t>0.39</t>
  </si>
  <si>
    <t>✗ Predicted Winnipeg Jets, was Minnesota Wild</t>
  </si>
  <si>
    <t>0.53</t>
  </si>
  <si>
    <t>Ottawa Senators @ Los Angeles Kings</t>
  </si>
  <si>
    <t>60.9%</t>
  </si>
  <si>
    <t>40.4%</t>
  </si>
  <si>
    <t>+0.09</t>
  </si>
  <si>
    <t>Detroit Red Wings @ New Jersey Devils</t>
  </si>
  <si>
    <t>77.8%</t>
  </si>
  <si>
    <t>39.8%</t>
  </si>
  <si>
    <t>+0.78</t>
  </si>
  <si>
    <t>Florida Panthers @ Nashville Predators</t>
  </si>
  <si>
    <t>50.6%</t>
  </si>
  <si>
    <t>22.7%</t>
  </si>
  <si>
    <t>-0.98</t>
  </si>
  <si>
    <t>St. Louis Blues @ New York Rangers</t>
  </si>
  <si>
    <t>63.8%</t>
  </si>
  <si>
    <t>35.5%</t>
  </si>
  <si>
    <t>+1.20</t>
  </si>
  <si>
    <t>Philadelphia Flyers @ Tampa Bay Lightning</t>
  </si>
  <si>
    <t>71.9%</t>
  </si>
  <si>
    <t>50.1%</t>
  </si>
  <si>
    <t>+0.63</t>
  </si>
  <si>
    <t>75.4%</t>
  </si>
  <si>
    <t>43.8%</t>
  </si>
  <si>
    <t>-0.29</t>
  </si>
  <si>
    <t>Columbus Blue Jackets @ Washington Capitals</t>
  </si>
  <si>
    <t>48.7%</t>
  </si>
  <si>
    <t>+0.80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</si>
</sst>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9"/>
    <tableColumn id="3" xr3:uid="{2C87C5E2-BA51-8A42-89C8-535F9675CB8F}" uniqueName="3" name="Visitor" queryTableFieldId="3" dataDxfId="78"/>
    <tableColumn id="4" xr3:uid="{CE6ABB56-546F-BB46-9A09-2A1A92669C31}" uniqueName="4" name="G" queryTableFieldId="4" dataDxfId="77"/>
    <tableColumn id="5" xr3:uid="{C1234731-C200-EA4C-B756-2CA67776A39C}" uniqueName="5" name="Home" queryTableFieldId="5" dataDxfId="76"/>
    <tableColumn id="6" xr3:uid="{339325E9-BBA1-9A48-8657-C4AC5A969A45}" uniqueName="6" name="G_1" queryTableFieldId="6" dataDxfId="75"/>
    <tableColumn id="11" xr3:uid="{D5C53254-CDEF-7A46-97BA-0F3F94C9C0F8}" uniqueName="11" name="Column1" queryTableFieldId="11" dataDxfId="74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3"/>
    <tableColumn id="10" xr3:uid="{D8B4237A-01AB-6648-9F38-4F24C83C2F02}" uniqueName="10" name="Losing_G" queryTableFieldId="10" dataDxfId="7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1" headerRowBorderDxfId="70" tableBorderDxfId="69">
  <autoFilter ref="D6:J1318" xr:uid="{082AB263-30A0-9143-A4CB-E8E85CF645DA}"/>
  <tableColumns count="7">
    <tableColumn id="1" xr3:uid="{A2DA1977-C625-F248-8922-D45BEAE345E6}" name="Visitor" dataDxfId="68"/>
    <tableColumn id="2" xr3:uid="{7F142366-1AE0-5D45-A506-465FBF578C3A}" name="G" dataDxfId="67"/>
    <tableColumn id="3" xr3:uid="{F73B07A5-94FF-C843-900F-F37684899EAA}" name="Home" dataDxfId="66"/>
    <tableColumn id="4" xr3:uid="{7D6FADB5-28D9-9449-ADC0-599788BF0B16}" name="G_1" dataDxfId="65"/>
    <tableColumn id="5" xr3:uid="{98CF2B62-3F88-D44B-AF59-BE4BB5C0604E}" name="HomeMargin" dataDxfId="64">
      <calculatedColumnFormula>Table3[[#This Row],[G_1]]-Table3[[#This Row],[G]]</calculatedColumnFormula>
    </tableColumn>
    <tableColumn id="6" xr3:uid="{FD0EC919-55F2-CA43-8B92-CA3E6283FCFD}" name="HomeForecast" dataDxfId="63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2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1" dataDxfId="60">
  <autoFilter ref="D1:R1313" xr:uid="{B940C27F-1AFD-1A45-A69A-42FED3D3591C}"/>
  <tableColumns count="15">
    <tableColumn id="1" xr3:uid="{27200A7D-FC6F-7D47-A38B-8116F873A9D8}" name="Date" dataDxfId="59"/>
    <tableColumn id="2" xr3:uid="{E6247AA5-111B-9544-9F6D-FFC524512888}" name="Time" dataDxfId="58"/>
    <tableColumn id="3" xr3:uid="{EDCD8AB3-2C72-284E-B537-7168C3C8687B}" name="Home" dataDxfId="57"/>
    <tableColumn id="4" xr3:uid="{EC6C1412-AAC2-6646-BF48-0D4526947D52}" name="Home Differential" dataDxfId="56">
      <calculatedColumnFormula>VLOOKUP(Table4[[#This Row],[Home]],'NHL Model'!$A$6:$B$38,2,FALSE)</calculatedColumnFormula>
    </tableColumn>
    <tableColumn id="5" xr3:uid="{67F5F1C4-5CC9-B648-BE7C-7E4EF3A85290}" name="Visitor" dataDxfId="55"/>
    <tableColumn id="6" xr3:uid="{84F489BE-33B4-0E4D-959D-E87A85C1D38D}" name="Away Differential" dataDxfId="54">
      <calculatedColumnFormula>VLOOKUP(Table4[[#This Row],[Visitor]],'NHL Model'!$A$6:$B$38,2,FALSE)</calculatedColumnFormula>
    </tableColumn>
    <tableColumn id="7" xr3:uid="{A6F9ABE3-1844-E54D-9016-325B538D2969}" name="HomeIce Differential" dataDxfId="53">
      <calculatedColumnFormula>($B$1+Table4[[#This Row],[Home Differential]])-Table4[[#This Row],[Away Differential]]</calculatedColumnFormula>
    </tableColumn>
    <tableColumn id="8" xr3:uid="{8FFD520F-0CF9-9D4A-93B6-B45373384612}" name="Predicted Winner" dataDxfId="52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1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0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9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8"/>
    <tableColumn id="13" xr3:uid="{F50D85A3-D772-F247-BFBE-86E765FD0BF6}" name="Locked Correct" dataDxfId="47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6">
  <autoFilter ref="A1:R33" xr:uid="{1B34B514-E1CC-0949-A7DD-8D37387465DD}"/>
  <tableColumns count="18">
    <tableColumn id="1" xr3:uid="{C9F77F0F-7B0D-CC44-9D34-395D1E3FA55B}" name="Team" dataDxfId="45"/>
    <tableColumn id="2" xr3:uid="{4080CFDD-7980-DD4D-A4DE-25DB03E50B7C}" name="GP" dataDxfId="44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3">
      <calculatedColumnFormula>COUNTIFS('NHL2025-26Results'!$H:$H,A2,'NHL2025-26Results'!$F:$F,"")</calculatedColumnFormula>
    </tableColumn>
    <tableColumn id="5" xr3:uid="{5EA2DCC3-F71A-5A40-B3F3-8F2F8CB0A7CE}" name="OTL" dataDxfId="42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1">
      <calculatedColumnFormula>(Table1[[#This Row],[W]]*2)+Table1[[#This Row],[OTL]]</calculatedColumnFormula>
    </tableColumn>
    <tableColumn id="7" xr3:uid="{40EA95E8-9958-E040-A5BE-EC17EEDC1CBD}" name="HomeWins" dataDxfId="40">
      <calculatedColumnFormula>COUNTIFS('NHL2025-26Results'!$D:$D,A2,'NHL2025-26Results'!$G:$G,A2)</calculatedColumnFormula>
    </tableColumn>
    <tableColumn id="9" xr3:uid="{F3FA5C24-502A-6446-A4B9-25DB670D2CB7}" name="HomeLoss" dataDxfId="39">
      <calculatedColumnFormula>COUNTIFS('NHL2025-26Results'!$D:$D,A2,'NHL2025-26Results'!$H:$H,A2,'NHL2025-26Results'!$F:$F,"")</calculatedColumnFormula>
    </tableColumn>
    <tableColumn id="8" xr3:uid="{999F1273-113E-7F4B-990E-AC7B23C4A496}" name="HomeOTL" dataDxfId="38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7">
      <calculatedColumnFormula>COUNTIFS('NHL2025-26Results'!$B:$B,A2,'NHL2025-26Results'!$G:$G,A2)</calculatedColumnFormula>
    </tableColumn>
    <tableColumn id="10" xr3:uid="{1A63BDD0-5CF0-0C48-B684-3675FC716427}" name="AwayLoss" dataDxfId="36">
      <calculatedColumnFormula>COUNTIFS('NHL2025-26Results'!$B:$B,A2,'NHL2025-26Results'!$H:$H,A2,'NHL2025-26Results'!$F:$F,"")</calculatedColumnFormula>
    </tableColumn>
    <tableColumn id="12" xr3:uid="{59628040-0BA7-5042-BB5A-1E9D40ABC469}" name="AwayOTL" dataDxfId="35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4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3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2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1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60" tableType="queryTable" totalsRowShown="0">
  <autoFilter ref="A1:AA60" xr:uid="{F2332789-251B-774B-AB2B-8BB4F3AFC4B8}"/>
  <tableColumns count="27">
    <tableColumn id="1" xr3:uid="{A82D8364-7061-A147-9648-1020427F222D}" uniqueName="1" name="game_date" queryTableFieldId="1" dataDxfId="25"/>
    <tableColumn id="2" xr3:uid="{2F0B0F85-AE68-C84D-ABF4-9C9BD4BCDE1A}" uniqueName="2" name="game_time" queryTableFieldId="2" dataDxfId="24"/>
    <tableColumn id="3" xr3:uid="{E190D701-E48A-4849-B026-83F6843A3F7C}" uniqueName="3" name="away_team" queryTableFieldId="3" dataDxfId="23"/>
    <tableColumn id="4" xr3:uid="{D8A87A5E-45E9-434D-B896-A1AC29AE2193}" uniqueName="4" name="home_team" queryTableFieldId="4" dataDxfId="22"/>
    <tableColumn id="5" xr3:uid="{F866A432-CB2E-1344-BB8E-B02DE09CEE39}" uniqueName="5" name="matchup" queryTableFieldId="5" dataDxfId="21"/>
    <tableColumn id="6" xr3:uid="{321205EB-FCDC-FF42-A5BC-028328229DA9}" uniqueName="6" name="ml_winner" queryTableFieldId="6" dataDxfId="20"/>
    <tableColumn id="7" xr3:uid="{1146F8DC-3374-2845-B506-3428513D1030}" uniqueName="7" name="ml_away_score" queryTableFieldId="7" dataDxfId="19"/>
    <tableColumn id="8" xr3:uid="{04F6AA09-904F-E441-9223-5D3EABA2C9DE}" uniqueName="8" name="ml_home_score" queryTableFieldId="8" dataDxfId="18"/>
    <tableColumn id="9" xr3:uid="{A52E9546-F206-504B-B50C-DE483A5979F1}" uniqueName="9" name="ml_confidence" queryTableFieldId="9" dataDxfId="17" dataCellStyle="Percent"/>
    <tableColumn id="10" xr3:uid="{B0863A61-8896-F94A-9BD1-877DA74E944C}" uniqueName="10" name="ml_ot" queryTableFieldId="10" dataDxfId="16"/>
    <tableColumn id="11" xr3:uid="{0CEF2C0B-AEAC-D24C-B808-9E65DA36D85B}" uniqueName="11" name="ml_ot_prob" queryTableFieldId="11" dataDxfId="15"/>
    <tableColumn id="12" xr3:uid="{953F4783-1A2A-2049-B662-B96EC4C98B47}" uniqueName="12" name="ml_correct" queryTableFieldId="12" dataDxfId="14"/>
    <tableColumn id="13" xr3:uid="{01F9271B-BF28-974D-9DD2-7B2DE98B6F67}" uniqueName="13" name="ml_result" queryTableFieldId="13" dataDxfId="13"/>
    <tableColumn id="14" xr3:uid="{53D10B71-CBA8-8D4A-96BA-CDF21FB393EA}" uniqueName="14" name="excel_winner" queryTableFieldId="14" dataDxfId="12"/>
    <tableColumn id="15" xr3:uid="{BFE057F3-C344-6344-BBC6-D1E83F6B5653}" uniqueName="15" name="excel_away_score" queryTableFieldId="15" dataDxfId="11"/>
    <tableColumn id="16" xr3:uid="{95A37C51-0AFC-4B48-BDBD-9F547D067C1A}" uniqueName="16" name="excel_home_score" queryTableFieldId="16" dataDxfId="10"/>
    <tableColumn id="17" xr3:uid="{21361EAA-D669-0647-AB36-316C9A355B06}" uniqueName="17" name="excel_confidence" queryTableFieldId="17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36" workbookViewId="0">
      <selection activeCell="G354" sqref="G354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D354" t="s">
        <v>13</v>
      </c>
      <c r="F354" t="s">
        <v>60</v>
      </c>
    </row>
    <row r="355" spans="1:10" x14ac:dyDescent="0.2">
      <c r="A355" s="1" t="s">
        <v>223</v>
      </c>
      <c r="B355" t="s">
        <v>26</v>
      </c>
      <c r="D355" t="s">
        <v>24</v>
      </c>
      <c r="F355" t="s">
        <v>60</v>
      </c>
    </row>
    <row r="356" spans="1:10" x14ac:dyDescent="0.2">
      <c r="A356" s="1" t="s">
        <v>223</v>
      </c>
      <c r="B356" t="s">
        <v>11</v>
      </c>
      <c r="D356" t="s">
        <v>29</v>
      </c>
      <c r="F356" t="s">
        <v>60</v>
      </c>
    </row>
    <row r="357" spans="1:10" x14ac:dyDescent="0.2">
      <c r="A357" s="1" t="s">
        <v>223</v>
      </c>
      <c r="B357" t="s">
        <v>35</v>
      </c>
      <c r="D357" t="s">
        <v>15</v>
      </c>
      <c r="F357" t="s">
        <v>60</v>
      </c>
    </row>
    <row r="358" spans="1:10" x14ac:dyDescent="0.2">
      <c r="A358" s="1" t="s">
        <v>223</v>
      </c>
      <c r="B358" t="s">
        <v>27</v>
      </c>
      <c r="D358" t="s">
        <v>37</v>
      </c>
      <c r="F358" t="s">
        <v>60</v>
      </c>
    </row>
    <row r="359" spans="1:10" x14ac:dyDescent="0.2">
      <c r="A359" s="1" t="s">
        <v>223</v>
      </c>
      <c r="B359" t="s">
        <v>20</v>
      </c>
      <c r="D359" t="s">
        <v>55</v>
      </c>
      <c r="F359" t="s">
        <v>60</v>
      </c>
    </row>
    <row r="360" spans="1:10" x14ac:dyDescent="0.2">
      <c r="A360" s="1" t="s">
        <v>223</v>
      </c>
      <c r="B360" t="s">
        <v>28</v>
      </c>
      <c r="D360" t="s">
        <v>22</v>
      </c>
      <c r="F360" t="s">
        <v>60</v>
      </c>
    </row>
    <row r="361" spans="1:10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10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10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10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10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10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10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10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0.13754338897241636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1832.9077395420375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0.34329638981067145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-8.8190953334024158E-2</v>
      </c>
      <c r="J7">
        <f>(Table3[[#This Row],[HomeMargin]]-Table3[[#This Row],[HomeForecast]])^2</f>
        <v>1.1841595509180123</v>
      </c>
    </row>
    <row r="8" spans="1:10" x14ac:dyDescent="0.2">
      <c r="A8" s="4" t="s">
        <v>21</v>
      </c>
      <c r="B8">
        <v>-0.14464931395309213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-1.6696327675384794</v>
      </c>
      <c r="J8">
        <f>(Table3[[#This Row],[HomeMargin]]-Table3[[#This Row],[HomeForecast]])^2</f>
        <v>1.7698769732073254</v>
      </c>
    </row>
    <row r="9" spans="1:10" x14ac:dyDescent="0.2">
      <c r="A9" s="4" t="s">
        <v>23</v>
      </c>
      <c r="B9">
        <v>-0.51535072045188635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-0.15180957096340095</v>
      </c>
      <c r="J9">
        <f>(Table3[[#This Row],[HomeMargin]]-Table3[[#This Row],[HomeForecast]])^2</f>
        <v>8.1121887200556859</v>
      </c>
    </row>
    <row r="10" spans="1:10" x14ac:dyDescent="0.2">
      <c r="A10" s="4" t="s">
        <v>16</v>
      </c>
      <c r="B10">
        <v>-1.0952038865534519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0.36011582518632546</v>
      </c>
      <c r="J10">
        <f>(Table3[[#This Row],[HomeMargin]]-Table3[[#This Row],[HomeForecast]])^2</f>
        <v>1.8499150579222789</v>
      </c>
    </row>
    <row r="11" spans="1:10" x14ac:dyDescent="0.2">
      <c r="A11" s="4" t="s">
        <v>25</v>
      </c>
      <c r="B11">
        <v>0.42515174825138019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-5.0118362170515685E-2</v>
      </c>
      <c r="J11">
        <f>(Table3[[#This Row],[HomeMargin]]-Table3[[#This Row],[HomeForecast]])^2</f>
        <v>9.3032220232497487</v>
      </c>
    </row>
    <row r="12" spans="1:10" x14ac:dyDescent="0.2">
      <c r="A12" s="4" t="s">
        <v>10</v>
      </c>
      <c r="B12">
        <v>-0.15263505358797036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0.61961876011093264</v>
      </c>
      <c r="J12">
        <f>(Table3[[#This Row],[HomeMargin]]-Table3[[#This Row],[HomeForecast]])^2</f>
        <v>2.6231649281032747</v>
      </c>
    </row>
    <row r="13" spans="1:10" x14ac:dyDescent="0.2">
      <c r="A13" s="4" t="s">
        <v>12</v>
      </c>
      <c r="B13">
        <v>1.4458345276269271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0.34700412304432315</v>
      </c>
      <c r="J13">
        <f>(Table3[[#This Row],[HomeMargin]]-Table3[[#This Row],[HomeForecast]])^2</f>
        <v>5.5084283535870533</v>
      </c>
    </row>
    <row r="14" spans="1:10" x14ac:dyDescent="0.2">
      <c r="A14" s="4" t="s">
        <v>28</v>
      </c>
      <c r="B14">
        <v>-0.59418600019583889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0.14552912860729458</v>
      </c>
      <c r="J14">
        <f>(Table3[[#This Row],[HomeMargin]]-Table3[[#This Row],[HomeForecast]])^2</f>
        <v>0.73012047005860925</v>
      </c>
    </row>
    <row r="15" spans="1:10" x14ac:dyDescent="0.2">
      <c r="A15" s="4" t="s">
        <v>39</v>
      </c>
      <c r="B15">
        <v>4.3828122498436855E-3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0.12055137036787622</v>
      </c>
      <c r="J15">
        <f>(Table3[[#This Row],[HomeMargin]]-Table3[[#This Row],[HomeForecast]])^2</f>
        <v>16.97894359584058</v>
      </c>
    </row>
    <row r="16" spans="1:10" x14ac:dyDescent="0.2">
      <c r="A16" s="4" t="s">
        <v>26</v>
      </c>
      <c r="B16">
        <v>-0.66335717753705836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0.58072772242633031</v>
      </c>
      <c r="J16">
        <f>(Table3[[#This Row],[HomeMargin]]-Table3[[#This Row],[HomeForecast]])^2</f>
        <v>5.8528783530364912</v>
      </c>
    </row>
    <row r="17" spans="1:10" x14ac:dyDescent="0.2">
      <c r="A17" s="4" t="s">
        <v>17</v>
      </c>
      <c r="B17">
        <v>-0.87263145033954281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1.8930684262313986</v>
      </c>
      <c r="J17">
        <f>(Table3[[#This Row],[HomeMargin]]-Table3[[#This Row],[HomeForecast]])^2</f>
        <v>0.79757121393142705</v>
      </c>
    </row>
    <row r="18" spans="1:10" x14ac:dyDescent="0.2">
      <c r="A18" s="4" t="s">
        <v>11</v>
      </c>
      <c r="B18">
        <v>-0.37836939589441088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0.22172757372066398</v>
      </c>
      <c r="J18">
        <f>(Table3[[#This Row],[HomeMargin]]-Table3[[#This Row],[HomeForecast]])^2</f>
        <v>17.822983706713366</v>
      </c>
    </row>
    <row r="19" spans="1:10" x14ac:dyDescent="0.2">
      <c r="A19" s="4" t="s">
        <v>13</v>
      </c>
      <c r="B19">
        <v>-0.36134162888396865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0.18120525554771827</v>
      </c>
      <c r="J19">
        <f>(Table3[[#This Row],[HomeMargin]]-Table3[[#This Row],[HomeForecast]])^2</f>
        <v>0.67042483354267735</v>
      </c>
    </row>
    <row r="20" spans="1:10" x14ac:dyDescent="0.2">
      <c r="A20" s="4" t="s">
        <v>34</v>
      </c>
      <c r="B20">
        <v>-0.16358905079701039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-0.76400570332170681</v>
      </c>
      <c r="J20">
        <f>(Table3[[#This Row],[HomeMargin]]-Table3[[#This Row],[HomeForecast]])^2</f>
        <v>3.1117161213515092</v>
      </c>
    </row>
    <row r="21" spans="1:10" x14ac:dyDescent="0.2">
      <c r="A21" s="4" t="s">
        <v>18</v>
      </c>
      <c r="B21">
        <v>-0.74754136228530599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-7.5300825244486405E-2</v>
      </c>
      <c r="J21">
        <f>(Table3[[#This Row],[HomeMargin]]-Table3[[#This Row],[HomeForecast]])^2</f>
        <v>1.1562718647714736</v>
      </c>
    </row>
    <row r="22" spans="1:10" x14ac:dyDescent="0.2">
      <c r="A22" s="4" t="s">
        <v>29</v>
      </c>
      <c r="B22">
        <v>-1.4957350924899622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-0.65582323368942119</v>
      </c>
      <c r="J22">
        <f>(Table3[[#This Row],[HomeMargin]]-Table3[[#This Row],[HomeForecast]])^2</f>
        <v>7.053397048604535</v>
      </c>
    </row>
    <row r="23" spans="1:10" x14ac:dyDescent="0.2">
      <c r="A23" s="4" t="s">
        <v>24</v>
      </c>
      <c r="B23">
        <v>-1.8032585202533785E-2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-0.34497416614920673</v>
      </c>
      <c r="J23">
        <f>(Table3[[#This Row],[HomeMargin]]-Table3[[#This Row],[HomeForecast]])^2</f>
        <v>0.42905884301192704</v>
      </c>
    </row>
    <row r="24" spans="1:10" x14ac:dyDescent="0.2">
      <c r="A24" s="4" t="s">
        <v>30</v>
      </c>
      <c r="B24">
        <v>3.838472305373858E-3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-1.255846675221177</v>
      </c>
      <c r="J24">
        <f>(Table3[[#This Row],[HomeMargin]]-Table3[[#This Row],[HomeForecast]])^2</f>
        <v>14.018684119452317</v>
      </c>
    </row>
    <row r="25" spans="1:10" x14ac:dyDescent="0.2">
      <c r="A25" s="4" t="s">
        <v>15</v>
      </c>
      <c r="B25">
        <v>-0.49835870184734621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0.52673038769174418</v>
      </c>
      <c r="J25">
        <f>(Table3[[#This Row],[HomeMargin]]-Table3[[#This Row],[HomeForecast]])^2</f>
        <v>2.3309056767013834</v>
      </c>
    </row>
    <row r="26" spans="1:10" x14ac:dyDescent="0.2">
      <c r="A26" s="4" t="s">
        <v>36</v>
      </c>
      <c r="B26">
        <v>-0.31751962084606655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0.10909867962440745</v>
      </c>
      <c r="J26">
        <f>(Table3[[#This Row],[HomeMargin]]-Table3[[#This Row],[HomeForecast]])^2</f>
        <v>15.139113084900531</v>
      </c>
    </row>
    <row r="27" spans="1:10" x14ac:dyDescent="0.2">
      <c r="A27" s="4" t="s">
        <v>27</v>
      </c>
      <c r="B27">
        <v>-0.42203126246971279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7.2912715781641824E-2</v>
      </c>
      <c r="J27">
        <f>(Table3[[#This Row],[HomeMargin]]-Table3[[#This Row],[HomeForecast]])^2</f>
        <v>1.1511416956859382</v>
      </c>
    </row>
    <row r="28" spans="1:10" x14ac:dyDescent="0.2">
      <c r="A28" s="4" t="s">
        <v>14</v>
      </c>
      <c r="B28">
        <v>-0.2090057419115289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0.5082447954712106</v>
      </c>
      <c r="J28">
        <f>(Table3[[#This Row],[HomeMargin]]-Table3[[#This Row],[HomeForecast]])^2</f>
        <v>2.2253335902387303</v>
      </c>
    </row>
    <row r="29" spans="1:10" x14ac:dyDescent="0.2">
      <c r="A29" s="4" t="s">
        <v>33</v>
      </c>
      <c r="B29">
        <v>-0.36178381286707545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0.98472639969350928</v>
      </c>
      <c r="J29">
        <f>(Table3[[#This Row],[HomeMargin]]-Table3[[#This Row],[HomeForecast]])^2</f>
        <v>2.3328286632243341E-4</v>
      </c>
    </row>
    <row r="30" spans="1:10" x14ac:dyDescent="0.2">
      <c r="A30" s="4" t="s">
        <v>32</v>
      </c>
      <c r="B30">
        <v>-0.45007023285116615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0.59931861740956827</v>
      </c>
      <c r="J30">
        <f>(Table3[[#This Row],[HomeMargin]]-Table3[[#This Row],[HomeForecast]])^2</f>
        <v>6.7564572748119893</v>
      </c>
    </row>
    <row r="31" spans="1:10" x14ac:dyDescent="0.2">
      <c r="A31" s="4" t="s">
        <v>35</v>
      </c>
      <c r="B31">
        <v>-1.5569791149906038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0.73244969766975199</v>
      </c>
      <c r="J31">
        <f>(Table3[[#This Row],[HomeMargin]]-Table3[[#This Row],[HomeForecast]])^2</f>
        <v>3.0013819549560155</v>
      </c>
    </row>
    <row r="32" spans="1:10" x14ac:dyDescent="0.2">
      <c r="A32" s="4" t="s">
        <v>37</v>
      </c>
      <c r="B32">
        <v>7.1667377873261273E-2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1.5789951043494999</v>
      </c>
      <c r="J32">
        <f>(Table3[[#This Row],[HomeMargin]]-Table3[[#This Row],[HomeForecast]])^2</f>
        <v>6.6512157482586867</v>
      </c>
    </row>
    <row r="33" spans="1:10" x14ac:dyDescent="0.2">
      <c r="A33" s="4" t="s">
        <v>19</v>
      </c>
      <c r="B33">
        <v>-0.93520311342823803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0.40938932486359603</v>
      </c>
      <c r="J33">
        <f>(Table3[[#This Row],[HomeMargin]]-Table3[[#This Row],[HomeForecast]])^2</f>
        <v>6.7112636701306947</v>
      </c>
    </row>
    <row r="34" spans="1:10" x14ac:dyDescent="0.2">
      <c r="A34" t="s">
        <v>55</v>
      </c>
      <c r="B34">
        <v>-0.30969050963205513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0.38856053453433437</v>
      </c>
      <c r="J34">
        <f>(Table3[[#This Row],[HomeMargin]]-Table3[[#This Row],[HomeForecast]])^2</f>
        <v>2.5967371508602701</v>
      </c>
    </row>
    <row r="35" spans="1:10" x14ac:dyDescent="0.2">
      <c r="A35" s="4" t="s">
        <v>38</v>
      </c>
      <c r="B35">
        <v>-1.1236485959014608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7.6693613924072035E-2</v>
      </c>
      <c r="J35">
        <f>(Table3[[#This Row],[HomeMargin]]-Table3[[#This Row],[HomeForecast]])^2</f>
        <v>15.392332999024157</v>
      </c>
    </row>
    <row r="36" spans="1:10" x14ac:dyDescent="0.2">
      <c r="A36" s="4" t="s">
        <v>20</v>
      </c>
      <c r="B36">
        <v>0.12073374225454764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0.56814033837124489</v>
      </c>
      <c r="J36">
        <f>(Table3[[#This Row],[HomeMargin]]-Table3[[#This Row],[HomeForecast]])^2</f>
        <v>12.731625474312063</v>
      </c>
    </row>
    <row r="37" spans="1:10" x14ac:dyDescent="0.2">
      <c r="A37" s="4" t="s">
        <v>22</v>
      </c>
      <c r="B37">
        <v>6.4811420118814619E-2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-1.0485011938854907</v>
      </c>
      <c r="J37">
        <f>(Table3[[#This Row],[HomeMargin]]-Table3[[#This Row],[HomeForecast]])^2</f>
        <v>2.3523658083179585E-3</v>
      </c>
    </row>
    <row r="38" spans="1:10" x14ac:dyDescent="0.2">
      <c r="A38" s="4" t="s">
        <v>40</v>
      </c>
      <c r="B38">
        <v>-6.0247860940930854E-2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7.6570441158975586E-2</v>
      </c>
      <c r="J38">
        <f>(Table3[[#This Row],[HomeMargin]]-Table3[[#This Row],[HomeForecast]])^2</f>
        <v>4.3121447970951818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0.42689634890823369</v>
      </c>
      <c r="J39">
        <f>(Table3[[#This Row],[HomeMargin]]-Table3[[#This Row],[HomeForecast]])^2</f>
        <v>29.451203981793523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-0.43326058613329743</v>
      </c>
      <c r="J40">
        <f>(Table3[[#This Row],[HomeMargin]]-Table3[[#This Row],[HomeForecast]])^2</f>
        <v>2.0542359077631631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-0.56753681370533049</v>
      </c>
      <c r="J41">
        <f>(Table3[[#This Row],[HomeMargin]]-Table3[[#This Row],[HomeForecast]])^2</f>
        <v>0.18702440750013802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0.22724335204821142</v>
      </c>
      <c r="J42">
        <f>(Table3[[#This Row],[HomeMargin]]-Table3[[#This Row],[HomeForecast]])^2</f>
        <v>4.9606129492429538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0.43863715691545413</v>
      </c>
      <c r="J43">
        <f>(Table3[[#This Row],[HomeMargin]]-Table3[[#This Row],[HomeForecast]])^2</f>
        <v>0.31512824159596448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-0.42562673299374448</v>
      </c>
      <c r="J44">
        <f>(Table3[[#This Row],[HomeMargin]]-Table3[[#This Row],[HomeForecast]])^2</f>
        <v>0.32990464985143936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-7.8773302853937049E-2</v>
      </c>
      <c r="J45">
        <f>(Table3[[#This Row],[HomeMargin]]-Table3[[#This Row],[HomeForecast]])^2</f>
        <v>0.84865862753464405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-1.823641859106397</v>
      </c>
      <c r="J46">
        <f>(Table3[[#This Row],[HomeMargin]]-Table3[[#This Row],[HomeForecast]])^2</f>
        <v>3.1102193859447933E-2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-0.43861002602088872</v>
      </c>
      <c r="J47">
        <f>(Table3[[#This Row],[HomeMargin]]-Table3[[#This Row],[HomeForecast]])^2</f>
        <v>0.31515870288426723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0.29459884501650113</v>
      </c>
      <c r="J48">
        <f>(Table3[[#This Row],[HomeMargin]]-Table3[[#This Row],[HomeForecast]])^2</f>
        <v>2.9083930994190519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0.33529596705937459</v>
      </c>
      <c r="J49">
        <f>(Table3[[#This Row],[HomeMargin]]-Table3[[#This Row],[HomeForecast]])^2</f>
        <v>0.44183145140753205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0.20162972221872105</v>
      </c>
      <c r="J50">
        <f>(Table3[[#This Row],[HomeMargin]]-Table3[[#This Row],[HomeForecast]])^2</f>
        <v>10.250432878194324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1.315758860616312</v>
      </c>
      <c r="J51">
        <f>(Table3[[#This Row],[HomeMargin]]-Table3[[#This Row],[HomeForecast]])^2</f>
        <v>18.625774542988211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9.3881522397114447E-2</v>
      </c>
      <c r="J52">
        <f>(Table3[[#This Row],[HomeMargin]]-Table3[[#This Row],[HomeForecast]])^2</f>
        <v>8.4455246058649127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-0.13430254691876331</v>
      </c>
      <c r="J53">
        <f>(Table3[[#This Row],[HomeMargin]]-Table3[[#This Row],[HomeForecast]])^2</f>
        <v>0.74943208027134001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0.57087390806155935</v>
      </c>
      <c r="J54">
        <f>(Table3[[#This Row],[HomeMargin]]-Table3[[#This Row],[HomeForecast]])^2</f>
        <v>12.751140467274835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0.68984552069461669</v>
      </c>
      <c r="J55">
        <f>(Table3[[#This Row],[HomeMargin]]-Table3[[#This Row],[HomeForecast]])^2</f>
        <v>9.6195801033193445E-2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-1.0783942398355832</v>
      </c>
      <c r="J56">
        <f>(Table3[[#This Row],[HomeMargin]]-Table3[[#This Row],[HomeForecast]])^2</f>
        <v>0.84935717716823245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0.30551525201927043</v>
      </c>
      <c r="J57">
        <f>(Table3[[#This Row],[HomeMargin]]-Table3[[#This Row],[HomeForecast]])^2</f>
        <v>7.2602480571007755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-0.15992774046172348</v>
      </c>
      <c r="J58">
        <f>(Table3[[#This Row],[HomeMargin]]-Table3[[#This Row],[HomeForecast]])^2</f>
        <v>1.3454323630926392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0.51181613746461296</v>
      </c>
      <c r="J59">
        <f>(Table3[[#This Row],[HomeMargin]]-Table3[[#This Row],[HomeForecast]])^2</f>
        <v>6.3092203084276477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-0.64939217214603928</v>
      </c>
      <c r="J60">
        <f>(Table3[[#This Row],[HomeMargin]]-Table3[[#This Row],[HomeForecast]])^2</f>
        <v>11.226572816076237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0.6980753680341405</v>
      </c>
      <c r="J61">
        <f>(Table3[[#This Row],[HomeMargin]]-Table3[[#This Row],[HomeForecast]])^2</f>
        <v>5.298857011251159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0.13068743121796972</v>
      </c>
      <c r="J62">
        <f>(Table3[[#This Row],[HomeMargin]]-Table3[[#This Row],[HomeForecast]])^2</f>
        <v>0.75570434224241201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-6.0287710633403435E-2</v>
      </c>
      <c r="J63">
        <f>(Table3[[#This Row],[HomeMargin]]-Table3[[#This Row],[HomeForecast]])^2</f>
        <v>16.485936293120645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-0.14744439267023113</v>
      </c>
      <c r="J64">
        <f>(Table3[[#This Row],[HomeMargin]]-Table3[[#This Row],[HomeForecast]])^2</f>
        <v>9.9064062049512795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-1.266800672430217</v>
      </c>
      <c r="J65">
        <f>(Table3[[#This Row],[HomeMargin]]-Table3[[#This Row],[HomeForecast]])^2</f>
        <v>13.936777219367478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0.92305676589381314</v>
      </c>
      <c r="J66">
        <f>(Table3[[#This Row],[HomeMargin]]-Table3[[#This Row],[HomeForecast]])^2</f>
        <v>1.1598067294870933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5.5688030531707622E-2</v>
      </c>
      <c r="J67">
        <f>(Table3[[#This Row],[HomeMargin]]-Table3[[#This Row],[HomeForecast]])^2</f>
        <v>9.3372293399347477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-1.9024771388503496</v>
      </c>
      <c r="J68">
        <f>(Table3[[#This Row],[HomeMargin]]-Table3[[#This Row],[HomeForecast]])^2</f>
        <v>1.2045564307461147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1.2655747971237208</v>
      </c>
      <c r="J69">
        <f>(Table3[[#This Row],[HomeMargin]]-Table3[[#This Row],[HomeForecast]])^2</f>
        <v>10.66397875560963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-1.4792498000023385E-2</v>
      </c>
      <c r="J70">
        <f>(Table3[[#This Row],[HomeMargin]]-Table3[[#This Row],[HomeForecast]])^2</f>
        <v>3.9410488259969871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0.88573711917707254</v>
      </c>
      <c r="J71">
        <f>(Table3[[#This Row],[HomeMargin]]-Table3[[#This Row],[HomeForecast]])^2</f>
        <v>1.3056005933954524E-2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0.49788019966429342</v>
      </c>
      <c r="J72">
        <f>(Table3[[#This Row],[HomeMargin]]-Table3[[#This Row],[HomeForecast]])^2</f>
        <v>2.2563638945605828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1.0140133116173331</v>
      </c>
      <c r="J73">
        <f>(Table3[[#This Row],[HomeMargin]]-Table3[[#This Row],[HomeForecast]])^2</f>
        <v>0.97216974966781833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0.27009400097751596</v>
      </c>
      <c r="J74">
        <f>(Table3[[#This Row],[HomeMargin]]-Table3[[#This Row],[HomeForecast]])^2</f>
        <v>0.53276276740901052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-0.22424001255636558</v>
      </c>
      <c r="J75">
        <f>(Table3[[#This Row],[HomeMargin]]-Table3[[#This Row],[HomeForecast]])^2</f>
        <v>7.7048435078930844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-0.29930102260847546</v>
      </c>
      <c r="J76">
        <f>(Table3[[#This Row],[HomeMargin]]-Table3[[#This Row],[HomeForecast]])^2</f>
        <v>1.6881831473514297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0.40292644518005616</v>
      </c>
      <c r="J77">
        <f>(Table3[[#This Row],[HomeMargin]]-Table3[[#This Row],[HomeForecast]])^2</f>
        <v>0.35649682986532449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1.1085569312859067</v>
      </c>
      <c r="J78">
        <f>(Table3[[#This Row],[HomeMargin]]-Table3[[#This Row],[HomeForecast]])^2</f>
        <v>4.4460123324738401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-0.59748116643790328</v>
      </c>
      <c r="J79">
        <f>(Table3[[#This Row],[HomeMargin]]-Table3[[#This Row],[HomeForecast]])^2</f>
        <v>2.5519460771238038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0.18963669220743667</v>
      </c>
      <c r="J80">
        <f>(Table3[[#This Row],[HomeMargin]]-Table3[[#This Row],[HomeForecast]])^2</f>
        <v>7.898141921786757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0.36594385988824141</v>
      </c>
      <c r="J81">
        <f>(Table3[[#This Row],[HomeMargin]]-Table3[[#This Row],[HomeForecast]])^2</f>
        <v>13.206364029483975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5.6206441494088821E-4</v>
      </c>
      <c r="J82">
        <f>(Table3[[#This Row],[HomeMargin]]-Table3[[#This Row],[HomeForecast]])^2</f>
        <v>8.9966279294267615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-0.52830998909668381</v>
      </c>
      <c r="J83">
        <f>(Table3[[#This Row],[HomeMargin]]-Table3[[#This Row],[HomeForecast]])^2</f>
        <v>2.3357314227727057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1.7280272305524358</v>
      </c>
      <c r="J84">
        <f>(Table3[[#This Row],[HomeMargin]]-Table3[[#This Row],[HomeForecast]])^2</f>
        <v>1.6179147262161064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-0.64894998816293248</v>
      </c>
      <c r="J85">
        <f>(Table3[[#This Row],[HomeMargin]]-Table3[[#This Row],[HomeForecast]])^2</f>
        <v>0.12323611081080525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-0.11163927146554342</v>
      </c>
      <c r="J86">
        <f>(Table3[[#This Row],[HomeMargin]]-Table3[[#This Row],[HomeForecast]])^2</f>
        <v>0.78918478400227043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0.99214225410942536</v>
      </c>
      <c r="J87">
        <f>(Table3[[#This Row],[HomeMargin]]-Table3[[#This Row],[HomeForecast]])^2</f>
        <v>1.0157772359516302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-0.18381470417902404</v>
      </c>
      <c r="J88">
        <f>(Table3[[#This Row],[HomeMargin]]-Table3[[#This Row],[HomeForecast]])^2</f>
        <v>0.66615843711437406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-0.12089882270028604</v>
      </c>
      <c r="J89">
        <f>(Table3[[#This Row],[HomeMargin]]-Table3[[#This Row],[HomeForecast]])^2</f>
        <v>1.2564141707308873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-1.5234681983130188E-2</v>
      </c>
      <c r="J90">
        <f>(Table3[[#This Row],[HomeMargin]]-Table3[[#This Row],[HomeForecast]])^2</f>
        <v>8.9088240036363455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-1.4238185382680311</v>
      </c>
      <c r="J91">
        <f>(Table3[[#This Row],[HomeMargin]]-Table3[[#This Row],[HomeForecast]])^2</f>
        <v>11.722533382987836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-0.34758949160465552</v>
      </c>
      <c r="J92">
        <f>(Table3[[#This Row],[HomeMargin]]-Table3[[#This Row],[HomeForecast]])^2</f>
        <v>0.42563947146467179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1.353481017780416</v>
      </c>
      <c r="J93">
        <f>(Table3[[#This Row],[HomeMargin]]-Table3[[#This Row],[HomeForecast]])^2</f>
        <v>13.297100687687752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1.5730306205214477</v>
      </c>
      <c r="J94">
        <f>(Table3[[#This Row],[HomeMargin]]-Table3[[#This Row],[HomeForecast]])^2</f>
        <v>2.0362416099694047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-0.35838805442622546</v>
      </c>
      <c r="J95">
        <f>(Table3[[#This Row],[HomeMargin]]-Table3[[#This Row],[HomeForecast]])^2</f>
        <v>1.8452181064078661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0.34681766177490081</v>
      </c>
      <c r="J96">
        <f>(Table3[[#This Row],[HomeMargin]]-Table3[[#This Row],[HomeForecast]])^2</f>
        <v>2.7330118434194062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-2.749780670654664E-2</v>
      </c>
      <c r="J97">
        <f>(Table3[[#This Row],[HomeMargin]]-Table3[[#This Row],[HomeForecast]])^2</f>
        <v>1.0557517427867638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1.3260034049926919</v>
      </c>
      <c r="J98">
        <f>(Table3[[#This Row],[HomeMargin]]-Table3[[#This Row],[HomeForecast]])^2</f>
        <v>5.4102918400375968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-0.89741263664010473</v>
      </c>
      <c r="J99">
        <f>(Table3[[#This Row],[HomeMargin]]-Table3[[#This Row],[HomeForecast]])^2</f>
        <v>1.0524167121135183E-2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-9.4647252861003284E-2</v>
      </c>
      <c r="J100">
        <f>(Table3[[#This Row],[HomeMargin]]-Table3[[#This Row],[HomeForecast]])^2</f>
        <v>4.3875471139181483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-0.19722626207791946</v>
      </c>
      <c r="J101">
        <f>(Table3[[#This Row],[HomeMargin]]-Table3[[#This Row],[HomeForecast]])^2</f>
        <v>3.2499931501415502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0.16558235935386972</v>
      </c>
      <c r="J102">
        <f>(Table3[[#This Row],[HomeMargin]]-Table3[[#This Row],[HomeForecast]])^2</f>
        <v>8.0339233616059751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-0.16687461702441619</v>
      </c>
      <c r="J103">
        <f>(Table3[[#This Row],[HomeMargin]]-Table3[[#This Row],[HomeForecast]])^2</f>
        <v>10.029094839953544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0.37126347091373513</v>
      </c>
      <c r="J104">
        <f>(Table3[[#This Row],[HomeMargin]]-Table3[[#This Row],[HomeForecast]])^2</f>
        <v>1.8803635066623838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0.73611220141809897</v>
      </c>
      <c r="J105">
        <f>(Table3[[#This Row],[HomeMargin]]-Table3[[#This Row],[HomeForecast]])^2</f>
        <v>22.430758784421389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-1.701488093328217</v>
      </c>
      <c r="J106">
        <f>(Table3[[#This Row],[HomeMargin]]-Table3[[#This Row],[HomeForecast]])^2</f>
        <v>1.6861331717683892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0.50316567414486568</v>
      </c>
      <c r="J107">
        <f>(Table3[[#This Row],[HomeMargin]]-Table3[[#This Row],[HomeForecast]])^2</f>
        <v>0.24684434734792579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0.69265521846589262</v>
      </c>
      <c r="J108">
        <f>(Table3[[#This Row],[HomeMargin]]-Table3[[#This Row],[HomeForecast]])^2</f>
        <v>2.8650816885998189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1.0521862429623483</v>
      </c>
      <c r="J109">
        <f>(Table3[[#This Row],[HomeMargin]]-Table3[[#This Row],[HomeForecast]])^2</f>
        <v>8.6896059461804356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-1.0580940971342188</v>
      </c>
      <c r="J110">
        <f>(Table3[[#This Row],[HomeMargin]]-Table3[[#This Row],[HomeForecast]])^2</f>
        <v>3.3749241218400442E-3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-0.77962713925328786</v>
      </c>
      <c r="J111">
        <f>(Table3[[#This Row],[HomeMargin]]-Table3[[#This Row],[HomeForecast]])^2</f>
        <v>4.9300556407405391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-1.6179816482865659</v>
      </c>
      <c r="J112">
        <f>(Table3[[#This Row],[HomeMargin]]-Table3[[#This Row],[HomeForecast]])^2</f>
        <v>6.8538279107652453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0.65242504194239714</v>
      </c>
      <c r="J113">
        <f>(Table3[[#This Row],[HomeMargin]]-Table3[[#This Row],[HomeForecast]])^2</f>
        <v>5.5111081836991556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0.28554984605758837</v>
      </c>
      <c r="J114">
        <f>(Table3[[#This Row],[HomeMargin]]-Table3[[#This Row],[HomeForecast]])^2</f>
        <v>2.9393393303531585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-0.21011913529572956</v>
      </c>
      <c r="J115">
        <f>(Table3[[#This Row],[HomeMargin]]-Table3[[#This Row],[HomeForecast]])^2</f>
        <v>0.62391178042596596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0.28309985456689296</v>
      </c>
      <c r="J116">
        <f>(Table3[[#This Row],[HomeMargin]]-Table3[[#This Row],[HomeForecast]])^2</f>
        <v>7.3815464002544386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-0.3504023147913472</v>
      </c>
      <c r="J117">
        <f>(Table3[[#This Row],[HomeMargin]]-Table3[[#This Row],[HomeForecast]])^2</f>
        <v>2.721172523045746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1.1582261683479633</v>
      </c>
      <c r="J118">
        <f>(Table3[[#This Row],[HomeMargin]]-Table3[[#This Row],[HomeForecast]])^2</f>
        <v>4.65794019374193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0.50326783010622866</v>
      </c>
      <c r="J119">
        <f>(Table3[[#This Row],[HomeMargin]]-Table3[[#This Row],[HomeForecast]])^2</f>
        <v>2.2598141690322895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1.2453300918179533E-2</v>
      </c>
      <c r="J120">
        <f>(Table3[[#This Row],[HomeMargin]]-Table3[[#This Row],[HomeForecast]])^2</f>
        <v>0.97524848286739962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-3.1820265010465615E-2</v>
      </c>
      <c r="J121">
        <f>(Table3[[#This Row],[HomeMargin]]-Table3[[#This Row],[HomeForecast]])^2</f>
        <v>3.8737314692234741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-0.23454310761608488</v>
      </c>
      <c r="J122">
        <f>(Table3[[#This Row],[HomeMargin]]-Table3[[#This Row],[HomeForecast]])^2</f>
        <v>1.5240966845623802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0.80473903881484854</v>
      </c>
      <c r="J123">
        <f>(Table3[[#This Row],[HomeMargin]]-Table3[[#This Row],[HomeForecast]])^2</f>
        <v>17.600214532444159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9.6849999214559945E-4</v>
      </c>
      <c r="J124">
        <f>(Table3[[#This Row],[HomeMargin]]-Table3[[#This Row],[HomeForecast]])^2</f>
        <v>1.0019379379765259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0.24205503059606259</v>
      </c>
      <c r="J125">
        <f>(Table3[[#This Row],[HomeMargin]]-Table3[[#This Row],[HomeForecast]])^2</f>
        <v>0.57448057664473562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-1.1097452163861323</v>
      </c>
      <c r="J126">
        <f>(Table3[[#This Row],[HomeMargin]]-Table3[[#This Row],[HomeForecast]])^2</f>
        <v>3.5730631469751097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0.36184582043364799</v>
      </c>
      <c r="J127">
        <f>(Table3[[#This Row],[HomeMargin]]-Table3[[#This Row],[HomeForecast]])^2</f>
        <v>1.8546240386325954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0.52736576088265164</v>
      </c>
      <c r="J128">
        <f>(Table3[[#This Row],[HomeMargin]]-Table3[[#This Row],[HomeForecast]])^2</f>
        <v>12.442309211047247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0.55739578194876804</v>
      </c>
      <c r="J129">
        <f>(Table3[[#This Row],[HomeMargin]]-Table3[[#This Row],[HomeForecast]])^2</f>
        <v>2.0811069299392062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-0.52145403134223711</v>
      </c>
      <c r="J130">
        <f>(Table3[[#This Row],[HomeMargin]]-Table3[[#This Row],[HomeForecast]])^2</f>
        <v>12.100282056065174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0.48129461663695805</v>
      </c>
      <c r="J131">
        <f>(Table3[[#This Row],[HomeMargin]]-Table3[[#This Row],[HomeForecast]])^2</f>
        <v>2.3064660414558844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1.1724994145849374</v>
      </c>
      <c r="J132">
        <f>(Table3[[#This Row],[HomeMargin]]-Table3[[#This Row],[HomeForecast]])^2</f>
        <v>0.68475721886227126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-1.4529404526076029</v>
      </c>
      <c r="J133">
        <f>(Table3[[#This Row],[HomeMargin]]-Table3[[#This Row],[HomeForecast]])^2</f>
        <v>6.0169168640387918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-0.28322554702912017</v>
      </c>
      <c r="J134">
        <f>(Table3[[#This Row],[HomeMargin]]-Table3[[#This Row],[HomeForecast]])^2</f>
        <v>1.6466678045481844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1.0311653264259619</v>
      </c>
      <c r="J135">
        <f>(Table3[[#This Row],[HomeMargin]]-Table3[[#This Row],[HomeForecast]])^2</f>
        <v>0.93864062471931287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-0.36155974917654216</v>
      </c>
      <c r="J136">
        <f>(Table3[[#This Row],[HomeMargin]]-Table3[[#This Row],[HomeForecast]])^2</f>
        <v>11.300083947283857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0.28364484780746113</v>
      </c>
      <c r="J137">
        <f>(Table3[[#This Row],[HomeMargin]]-Table3[[#This Row],[HomeForecast]])^2</f>
        <v>18.349613182147408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-0.99685007463357711</v>
      </c>
      <c r="J138">
        <f>(Table3[[#This Row],[HomeMargin]]-Table3[[#This Row],[HomeForecast]])^2</f>
        <v>3.9874102205641226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-0.2883263458026703</v>
      </c>
      <c r="J139">
        <f>(Table3[[#This Row],[HomeMargin]]-Table3[[#This Row],[HomeForecast]])^2</f>
        <v>1.6597847732892617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0.52272364725672638</v>
      </c>
      <c r="J140">
        <f>(Table3[[#This Row],[HomeMargin]]-Table3[[#This Row],[HomeForecast]])^2</f>
        <v>2.3186873059148274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0.56010460646079308</v>
      </c>
      <c r="J141">
        <f>(Table3[[#This Row],[HomeMargin]]-Table3[[#This Row],[HomeForecast]])^2</f>
        <v>0.19350795725701372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-0.13408562296499382</v>
      </c>
      <c r="J142">
        <f>(Table3[[#This Row],[HomeMargin]]-Table3[[#This Row],[HomeForecast]])^2</f>
        <v>1.2861502002158982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-0.28230900400393533</v>
      </c>
      <c r="J143">
        <f>(Table3[[#This Row],[HomeMargin]]-Table3[[#This Row],[HomeForecast]])^2</f>
        <v>1.6443163817495645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-0.23856384464373848</v>
      </c>
      <c r="J144">
        <f>(Table3[[#This Row],[HomeMargin]]-Table3[[#This Row],[HomeForecast]])^2</f>
        <v>0.57978501868372478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0.51987442993729749</v>
      </c>
      <c r="J145">
        <f>(Table3[[#This Row],[HomeMargin]]-Table3[[#This Row],[HomeForecast]])^2</f>
        <v>42.508762582150204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-0.45930179573368934</v>
      </c>
      <c r="J146">
        <f>(Table3[[#This Row],[HomeMargin]]-Table3[[#This Row],[HomeForecast]])^2</f>
        <v>19.885372505433708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0.34624996426841465</v>
      </c>
      <c r="J147">
        <f>(Table3[[#This Row],[HomeMargin]]-Table3[[#This Row],[HomeForecast]])^2</f>
        <v>5.5048888948295369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0.33573815104248139</v>
      </c>
      <c r="J148">
        <f>(Table3[[#This Row],[HomeMargin]]-Table3[[#This Row],[HomeForecast]])^2</f>
        <v>1.7841964081503865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-1.3263237238570444</v>
      </c>
      <c r="J149">
        <f>(Table3[[#This Row],[HomeMargin]]-Table3[[#This Row],[HomeForecast]])^2</f>
        <v>5.4117820681801065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-1.3625745157673894</v>
      </c>
      <c r="J150">
        <f>(Table3[[#This Row],[HomeMargin]]-Table3[[#This Row],[HomeForecast]])^2</f>
        <v>0.13146027948395692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8.8477024591129994E-2</v>
      </c>
      <c r="J151">
        <f>(Table3[[#This Row],[HomeMargin]]-Table3[[#This Row],[HomeForecast]])^2</f>
        <v>0.83087413469823956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-0.11347375658950165</v>
      </c>
      <c r="J152">
        <f>(Table3[[#This Row],[HomeMargin]]-Table3[[#This Row],[HomeForecast]])^2</f>
        <v>1.2398238066135367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0.38698603766354067</v>
      </c>
      <c r="J153">
        <f>(Table3[[#This Row],[HomeMargin]]-Table3[[#This Row],[HomeForecast]])^2</f>
        <v>1.9237302686736084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-3.532691792055806E-2</v>
      </c>
      <c r="J154">
        <f>(Table3[[#This Row],[HomeMargin]]-Table3[[#This Row],[HomeForecast]])^2</f>
        <v>25.354517170335342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1.4855167620514913</v>
      </c>
      <c r="J155">
        <f>(Table3[[#This Row],[HomeMargin]]-Table3[[#This Row],[HomeForecast]])^2</f>
        <v>2.2936594780269992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-1.0944397286049633E-2</v>
      </c>
      <c r="J156">
        <f>(Table3[[#This Row],[HomeMargin]]-Table3[[#This Row],[HomeForecast]])^2</f>
        <v>9.0657861635482533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0.2163786687163689</v>
      </c>
      <c r="J157">
        <f>(Table3[[#This Row],[HomeMargin]]-Table3[[#This Row],[HomeForecast]])^2</f>
        <v>1.4795770657082059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0.44196139496924886</v>
      </c>
      <c r="J158">
        <f>(Table3[[#This Row],[HomeMargin]]-Table3[[#This Row],[HomeForecast]])^2</f>
        <v>11.847098244458659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0.30242795623051255</v>
      </c>
      <c r="J159">
        <f>(Table3[[#This Row],[HomeMargin]]-Table3[[#This Row],[HomeForecast]])^2</f>
        <v>13.672039018865666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1.6014105018018774</v>
      </c>
      <c r="J160">
        <f>(Table3[[#This Row],[HomeMargin]]-Table3[[#This Row],[HomeForecast]])^2</f>
        <v>5.7532315808663217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7.7114781103445426E-2</v>
      </c>
      <c r="J161">
        <f>(Table3[[#This Row],[HomeMargin]]-Table3[[#This Row],[HomeForecast]])^2</f>
        <v>0.85171712725774151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-0.42539755173507132</v>
      </c>
      <c r="J162">
        <f>(Table3[[#This Row],[HomeMargin]]-Table3[[#This Row],[HomeForecast]])^2</f>
        <v>11.733348387432621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-0.58412239673266597</v>
      </c>
      <c r="J163">
        <f>(Table3[[#This Row],[HomeMargin]]-Table3[[#This Row],[HomeForecast]])^2</f>
        <v>0.17295418089938208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3.4202199116336825E-2</v>
      </c>
      <c r="J164">
        <f>(Table3[[#This Row],[HomeMargin]]-Table3[[#This Row],[HomeForecast]])^2</f>
        <v>1.0695741886570671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-1.429859081390807</v>
      </c>
      <c r="J165">
        <f>(Table3[[#This Row],[HomeMargin]]-Table3[[#This Row],[HomeForecast]])^2</f>
        <v>2.4653425042909207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-7.5482131585767526E-2</v>
      </c>
      <c r="J166">
        <f>(Table3[[#This Row],[HomeMargin]]-Table3[[#This Row],[HomeForecast]])^2</f>
        <v>1.1566618153602659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0.43501451840655619</v>
      </c>
      <c r="J167">
        <f>(Table3[[#This Row],[HomeMargin]]-Table3[[#This Row],[HomeForecast]])^2</f>
        <v>2.0592666680376004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0.13710120498930956</v>
      </c>
      <c r="J168">
        <f>(Table3[[#This Row],[HomeMargin]]-Table3[[#This Row],[HomeForecast]])^2</f>
        <v>1.2929991503881395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-0.75607854848112899</v>
      </c>
      <c r="J169">
        <f>(Table3[[#This Row],[HomeMargin]]-Table3[[#This Row],[HomeForecast]])^2</f>
        <v>5.0351834805865572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0.29754416209763024</v>
      </c>
      <c r="J170">
        <f>(Table3[[#This Row],[HomeMargin]]-Table3[[#This Row],[HomeForecast]])^2</f>
        <v>0.49344420420312041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-0.48774650508169826</v>
      </c>
      <c r="J171">
        <f>(Table3[[#This Row],[HomeMargin]]-Table3[[#This Row],[HomeForecast]])^2</f>
        <v>2.2869106328926181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0.4785605022048155</v>
      </c>
      <c r="J172">
        <f>(Table3[[#This Row],[HomeMargin]]-Table3[[#This Row],[HomeForecast]])^2</f>
        <v>6.3576571410416332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0.5082447954712106</v>
      </c>
      <c r="J173">
        <f>(Table3[[#This Row],[HomeMargin]]-Table3[[#This Row],[HomeForecast]])^2</f>
        <v>0.24182318118115151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0.55885666491842267</v>
      </c>
      <c r="J174">
        <f>(Table3[[#This Row],[HomeMargin]]-Table3[[#This Row],[HomeForecast]])^2</f>
        <v>11.841467452576362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-0.23672935951978025</v>
      </c>
      <c r="J175">
        <f>(Table3[[#This Row],[HomeMargin]]-Table3[[#This Row],[HomeForecast]])^2</f>
        <v>0.58258207061908485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0.43955893762550607</v>
      </c>
      <c r="J176">
        <f>(Table3[[#This Row],[HomeMargin]]-Table3[[#This Row],[HomeForecast]])^2</f>
        <v>2.0723299348974757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0.18296008008693487</v>
      </c>
      <c r="J177">
        <f>(Table3[[#This Row],[HomeMargin]]-Table3[[#This Row],[HomeForecast]])^2</f>
        <v>10.131234871427027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0.91522765467980172</v>
      </c>
      <c r="J178">
        <f>(Table3[[#This Row],[HomeMargin]]-Table3[[#This Row],[HomeForecast]])^2</f>
        <v>7.1863505310869437E-3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1.2112472189926657</v>
      </c>
      <c r="J179">
        <f>(Table3[[#This Row],[HomeMargin]]-Table3[[#This Row],[HomeForecast]])^2</f>
        <v>3.1996365115614722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-0.20620783869212531</v>
      </c>
      <c r="J180">
        <f>(Table3[[#This Row],[HomeMargin]]-Table3[[#This Row],[HomeForecast]])^2</f>
        <v>10.279768704890827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-0.29578713011672653</v>
      </c>
      <c r="J181">
        <f>(Table3[[#This Row],[HomeMargin]]-Table3[[#This Row],[HomeForecast]])^2</f>
        <v>0.49591576610923627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0.20482795459583394</v>
      </c>
      <c r="J182">
        <f>(Table3[[#This Row],[HomeMargin]]-Table3[[#This Row],[HomeForecast]])^2</f>
        <v>0.63229858179224518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0.22993058161945587</v>
      </c>
      <c r="J183">
        <f>(Table3[[#This Row],[HomeMargin]]-Table3[[#This Row],[HomeForecast]])^2</f>
        <v>7.6732845826471268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1.1441969563201462</v>
      </c>
      <c r="J184">
        <f>(Table3[[#This Row],[HomeMargin]]-Table3[[#This Row],[HomeForecast]])^2</f>
        <v>3.4440049369314094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-1.1875573963999631</v>
      </c>
      <c r="J185">
        <f>(Table3[[#This Row],[HomeMargin]]-Table3[[#This Row],[HomeForecast]])^2</f>
        <v>0.66006298414440678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0.19851633678585714</v>
      </c>
      <c r="J186">
        <f>(Table3[[#This Row],[HomeMargin]]-Table3[[#This Row],[HomeForecast]])^2</f>
        <v>4.8334740831143046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-0.43225767323205599</v>
      </c>
      <c r="J187">
        <f>(Table3[[#This Row],[HomeMargin]]-Table3[[#This Row],[HomeForecast]])^2</f>
        <v>2.0513620425321029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-0.44261875159828462</v>
      </c>
      <c r="J188">
        <f>(Table3[[#This Row],[HomeMargin]]-Table3[[#This Row],[HomeForecast]])^2</f>
        <v>2.0811488624629932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1.1003365037671813</v>
      </c>
      <c r="J189">
        <f>(Table3[[#This Row],[HomeMargin]]-Table3[[#This Row],[HomeForecast]])^2</f>
        <v>1.0067413988221583E-2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-0.5824530077791561</v>
      </c>
      <c r="J190">
        <f>(Table3[[#This Row],[HomeMargin]]-Table3[[#This Row],[HomeForecast]])^2</f>
        <v>2.5041575218292977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-0.2452088191718382</v>
      </c>
      <c r="J191">
        <f>(Table3[[#This Row],[HomeMargin]]-Table3[[#This Row],[HomeForecast]])^2</f>
        <v>1.5505450033433237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-0.2057656547090185</v>
      </c>
      <c r="J192">
        <f>(Table3[[#This Row],[HomeMargin]]-Table3[[#This Row],[HomeForecast]])^2</f>
        <v>7.80774557640372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1.0976029340768667</v>
      </c>
      <c r="J193">
        <f>(Table3[[#This Row],[HomeMargin]]-Table3[[#This Row],[HomeForecast]])^2</f>
        <v>3.6191145964329463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-0.29247835246682308</v>
      </c>
      <c r="J194">
        <f>(Table3[[#This Row],[HomeMargin]]-Table3[[#This Row],[HomeForecast]])^2</f>
        <v>1.6705002915953533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-0.26298781696409379</v>
      </c>
      <c r="J195">
        <f>(Table3[[#This Row],[HomeMargin]]-Table3[[#This Row],[HomeForecast]])^2</f>
        <v>5.121113859727914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0.6507152399309416</v>
      </c>
      <c r="J196">
        <f>(Table3[[#This Row],[HomeMargin]]-Table3[[#This Row],[HomeForecast]])^2</f>
        <v>13.327721763064034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0.18583185796859641</v>
      </c>
      <c r="J197">
        <f>(Table3[[#This Row],[HomeMargin]]-Table3[[#This Row],[HomeForecast]])^2</f>
        <v>1.4061971953732535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-1.6700749515215862</v>
      </c>
      <c r="J198">
        <f>(Table3[[#This Row],[HomeMargin]]-Table3[[#This Row],[HomeForecast]])^2</f>
        <v>7.1293002467430027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0.28630126994301441</v>
      </c>
      <c r="J199">
        <f>(Table3[[#This Row],[HomeMargin]]-Table3[[#This Row],[HomeForecast]])^2</f>
        <v>7.3641607975128958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0.49887236398562163</v>
      </c>
      <c r="J200">
        <f>(Table3[[#This Row],[HomeMargin]]-Table3[[#This Row],[HomeForecast]])^2</f>
        <v>6.255639451634873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0.73556786147362907</v>
      </c>
      <c r="J201">
        <f>(Table3[[#This Row],[HomeMargin]]-Table3[[#This Row],[HomeForecast]])^2</f>
        <v>6.9924355885629827E-2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0.81071601305615548</v>
      </c>
      <c r="J202">
        <f>(Table3[[#This Row],[HomeMargin]]-Table3[[#This Row],[HomeForecast]])^2</f>
        <v>3.2786924799379795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0.43911675364239927</v>
      </c>
      <c r="J203">
        <f>(Table3[[#This Row],[HomeMargin]]-Table3[[#This Row],[HomeForecast]])^2</f>
        <v>2.071057030614238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-0.24381449853290005</v>
      </c>
      <c r="J204">
        <f>(Table3[[#This Row],[HomeMargin]]-Table3[[#This Row],[HomeForecast]])^2</f>
        <v>3.0841875155632494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-0.23454310761608488</v>
      </c>
      <c r="J205">
        <f>(Table3[[#This Row],[HomeMargin]]-Table3[[#This Row],[HomeForecast]])^2</f>
        <v>0.58592425409804061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-0.15989179029077943</v>
      </c>
      <c r="J206">
        <f>(Table3[[#This Row],[HomeMargin]]-Table3[[#This Row],[HomeForecast]])^2</f>
        <v>4.6651325457655082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-0.54680427567864454</v>
      </c>
      <c r="J207">
        <f>(Table3[[#This Row],[HomeMargin]]-Table3[[#This Row],[HomeForecast]])^2</f>
        <v>2.3926034672577363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-0.5886539825442928</v>
      </c>
      <c r="J208">
        <f>(Table3[[#This Row],[HomeMargin]]-Table3[[#This Row],[HomeForecast]])^2</f>
        <v>2.5238214762538425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0.85920917467749869</v>
      </c>
      <c r="J209">
        <f>(Table3[[#This Row],[HomeMargin]]-Table3[[#This Row],[HomeForecast]])^2</f>
        <v>9.864567008429999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-6.8116821847414855E-2</v>
      </c>
      <c r="J210">
        <f>(Table3[[#This Row],[HomeMargin]]-Table3[[#This Row],[HomeForecast]])^2</f>
        <v>0.86840625772376279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1.5117105387260823</v>
      </c>
      <c r="J211">
        <f>(Table3[[#This Row],[HomeMargin]]-Table3[[#This Row],[HomeForecast]])^2</f>
        <v>0.26184767544333737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1.0145576515618029</v>
      </c>
      <c r="J212">
        <f>(Table3[[#This Row],[HomeMargin]]-Table3[[#This Row],[HomeForecast]])^2</f>
        <v>2.1192521899486203E-4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-0.16355037897062144</v>
      </c>
      <c r="J213">
        <f>(Table3[[#This Row],[HomeMargin]]-Table3[[#This Row],[HomeForecast]])^2</f>
        <v>10.008051000285162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1.4696894306653681</v>
      </c>
      <c r="J214">
        <f>(Table3[[#This Row],[HomeMargin]]-Table3[[#This Row],[HomeForecast]])^2</f>
        <v>0.2206081612787576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-0.18796671084317684</v>
      </c>
      <c r="J215">
        <f>(Table3[[#This Row],[HomeMargin]]-Table3[[#This Row],[HomeForecast]])^2</f>
        <v>0.65939806269884882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0.28603117523088234</v>
      </c>
      <c r="J216">
        <f>(Table3[[#This Row],[HomeMargin]]-Table3[[#This Row],[HomeForecast]])^2</f>
        <v>1.6538761836657245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-0.7859670611263101</v>
      </c>
      <c r="J217">
        <f>(Table3[[#This Row],[HomeMargin]]-Table3[[#This Row],[HomeForecast]])^2</f>
        <v>4.9019418544176681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0.92163430876402241</v>
      </c>
      <c r="J218">
        <f>(Table3[[#This Row],[HomeMargin]]-Table3[[#This Row],[HomeForecast]])^2</f>
        <v>6.1411815628925745E-3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-0.36347449738519666</v>
      </c>
      <c r="J219">
        <f>(Table3[[#This Row],[HomeMargin]]-Table3[[#This Row],[HomeForecast]])^2</f>
        <v>19.03990968933099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4.9256968988325656E-2</v>
      </c>
      <c r="J220">
        <f>(Table3[[#This Row],[HomeMargin]]-Table3[[#This Row],[HomeForecast]])^2</f>
        <v>25.494995938877175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-0.48796921482376654</v>
      </c>
      <c r="J221">
        <f>(Table3[[#This Row],[HomeMargin]]-Table3[[#This Row],[HomeForecast]])^2</f>
        <v>6.1899908139107884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-0.8334701533410741</v>
      </c>
      <c r="J222">
        <f>(Table3[[#This Row],[HomeMargin]]-Table3[[#This Row],[HomeForecast]])^2</f>
        <v>4.6938515764639481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1.7593339240818349</v>
      </c>
      <c r="J223">
        <f>(Table3[[#This Row],[HomeMargin]]-Table3[[#This Row],[HomeForecast]])^2</f>
        <v>10.501916615606838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0.3104136958653908</v>
      </c>
      <c r="J224">
        <f>(Table3[[#This Row],[HomeMargin]]-Table3[[#This Row],[HomeForecast]])^2</f>
        <v>0.47552927085002972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1.1791717835111339</v>
      </c>
      <c r="J225">
        <f>(Table3[[#This Row],[HomeMargin]]-Table3[[#This Row],[HomeForecast]])^2</f>
        <v>17.465476796095629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0.72628418802080685</v>
      </c>
      <c r="J226">
        <f>(Table3[[#This Row],[HomeMargin]]-Table3[[#This Row],[HomeForecast]])^2</f>
        <v>7.4920345727429019E-2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-0.20137018858841141</v>
      </c>
      <c r="J227">
        <f>(Table3[[#This Row],[HomeMargin]]-Table3[[#This Row],[HomeForecast]])^2</f>
        <v>3.2350691984984867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0.15457115598285859</v>
      </c>
      <c r="J228">
        <f>(Table3[[#This Row],[HomeMargin]]-Table3[[#This Row],[HomeForecast]])^2</f>
        <v>9.9513191781590269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0.86705216605518853</v>
      </c>
      <c r="J229">
        <f>(Table3[[#This Row],[HomeMargin]]-Table3[[#This Row],[HomeForecast]])^2</f>
        <v>1.7675126550617162E-2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-0.93616044104783291</v>
      </c>
      <c r="J230">
        <f>(Table3[[#This Row],[HomeMargin]]-Table3[[#This Row],[HomeForecast]])^2</f>
        <v>1.1317546071915412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-0.13627377305792715</v>
      </c>
      <c r="J231">
        <f>(Table3[[#This Row],[HomeMargin]]-Table3[[#This Row],[HomeForecast]])^2</f>
        <v>4.5636656334551517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0.18660975335370272</v>
      </c>
      <c r="J232">
        <f>(Table3[[#This Row],[HomeMargin]]-Table3[[#This Row],[HomeForecast]])^2</f>
        <v>10.154481720168947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-0.80502544399306519</v>
      </c>
      <c r="J233">
        <f>(Table3[[#This Row],[HomeMargin]]-Table3[[#This Row],[HomeForecast]])^2</f>
        <v>10.207862413531711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-2.7455086717295796E-2</v>
      </c>
      <c r="J234">
        <f>(Table3[[#This Row],[HomeMargin]]-Table3[[#This Row],[HomeForecast]])^2</f>
        <v>8.8360232614828789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0.30497091207480059</v>
      </c>
      <c r="J235">
        <f>(Table3[[#This Row],[HomeMargin]]-Table3[[#This Row],[HomeForecast]])^2</f>
        <v>10.92283272966054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-0.16399256295372824</v>
      </c>
      <c r="J236">
        <f>(Table3[[#This Row],[HomeMargin]]-Table3[[#This Row],[HomeForecast]])^2</f>
        <v>1.3548786866115889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1.0780458576756828</v>
      </c>
      <c r="J237">
        <f>(Table3[[#This Row],[HomeMargin]]-Table3[[#This Row],[HomeForecast]])^2</f>
        <v>3.6939077251976018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-2.1809225889940533</v>
      </c>
      <c r="J238">
        <f>(Table3[[#This Row],[HomeMargin]]-Table3[[#This Row],[HomeForecast]])^2</f>
        <v>33.861661915279669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-0.3003074636808345</v>
      </c>
      <c r="J239">
        <f>(Table3[[#This Row],[HomeMargin]]-Table3[[#This Row],[HomeForecast]])^2</f>
        <v>18.49264428218909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0.32851654568141148</v>
      </c>
      <c r="J240">
        <f>(Table3[[#This Row],[HomeMargin]]-Table3[[#This Row],[HomeForecast]])^2</f>
        <v>0.45089002942362405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-1.3625745157673894</v>
      </c>
      <c r="J241">
        <f>(Table3[[#This Row],[HomeMargin]]-Table3[[#This Row],[HomeForecast]])^2</f>
        <v>0.13146027948395692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-0.36465378518030372</v>
      </c>
      <c r="J242">
        <f>(Table3[[#This Row],[HomeMargin]]-Table3[[#This Row],[HomeForecast]])^2</f>
        <v>21.486434531243287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3.3031747348770124E-2</v>
      </c>
      <c r="J243">
        <f>(Table3[[#This Row],[HomeMargin]]-Table3[[#This Row],[HomeForecast]])^2</f>
        <v>1.0671545910304534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0.15412897199975178</v>
      </c>
      <c r="J244">
        <f>(Table3[[#This Row],[HomeMargin]]-Table3[[#This Row],[HomeForecast]])^2</f>
        <v>3.4072398520106928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-0.96936549316702125</v>
      </c>
      <c r="J245">
        <f>(Table3[[#This Row],[HomeMargin]]-Table3[[#This Row],[HomeForecast]])^2</f>
        <v>9.3847300889982152E-4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0.144399346726863</v>
      </c>
      <c r="J246">
        <f>(Table3[[#This Row],[HomeMargin]]-Table3[[#This Row],[HomeForecast]])^2</f>
        <v>0.73205247788141892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-0.65301041050272957</v>
      </c>
      <c r="J247">
        <f>(Table3[[#This Row],[HomeMargin]]-Table3[[#This Row],[HomeForecast]])^2</f>
        <v>1.8143809542140248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-0.39191920673320557</v>
      </c>
      <c r="J248">
        <f>(Table3[[#This Row],[HomeMargin]]-Table3[[#This Row],[HomeForecast]])^2</f>
        <v>1.9374390780727964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-8.5019258583707458E-2</v>
      </c>
      <c r="J249">
        <f>(Table3[[#This Row],[HomeMargin]]-Table3[[#This Row],[HomeForecast]])^2</f>
        <v>0.83718975716270827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0.54108763972401863</v>
      </c>
      <c r="J250">
        <f>(Table3[[#This Row],[HomeMargin]]-Table3[[#This Row],[HomeForecast]])^2</f>
        <v>6.0462499955179974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0.59199643407342617</v>
      </c>
      <c r="J251">
        <f>(Table3[[#This Row],[HomeMargin]]-Table3[[#This Row],[HomeForecast]])^2</f>
        <v>0.16646690980880008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-0.37317873497667164</v>
      </c>
      <c r="J252">
        <f>(Table3[[#This Row],[HomeMargin]]-Table3[[#This Row],[HomeForecast]])^2</f>
        <v>13.153832488425415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1.0691582247288578</v>
      </c>
      <c r="J253">
        <f>(Table3[[#This Row],[HomeMargin]]-Table3[[#This Row],[HomeForecast]])^2</f>
        <v>0.86646641058993157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0.12971427775840494</v>
      </c>
      <c r="J254">
        <f>(Table3[[#This Row],[HomeMargin]]-Table3[[#This Row],[HomeForecast]])^2</f>
        <v>3.4979686828207646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0.28987927594485607</v>
      </c>
      <c r="J255">
        <f>(Table3[[#This Row],[HomeMargin]]-Table3[[#This Row],[HomeForecast]])^2</f>
        <v>1.6637885465120261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-1.2228114727072019</v>
      </c>
      <c r="J256">
        <f>(Table3[[#This Row],[HomeMargin]]-Table3[[#This Row],[HomeForecast]])^2</f>
        <v>4.9644952369952186E-2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-2.4319397345559715</v>
      </c>
      <c r="J257">
        <f>(Table3[[#This Row],[HomeMargin]]-Table3[[#This Row],[HomeForecast]])^2</f>
        <v>2.0504514034002259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-0.14090206117128756</v>
      </c>
      <c r="J258">
        <f>(Table3[[#This Row],[HomeMargin]]-Table3[[#This Row],[HomeForecast]])^2</f>
        <v>1.3016575131848926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0.11567233146450871</v>
      </c>
      <c r="J259">
        <f>(Table3[[#This Row],[HomeMargin]]-Table3[[#This Row],[HomeForecast]])^2</f>
        <v>1.2447247511954527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1.1349197796150323</v>
      </c>
      <c r="J260">
        <f>(Table3[[#This Row],[HomeMargin]]-Table3[[#This Row],[HomeForecast]])^2</f>
        <v>3.4785242284712394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0.63664652712137482</v>
      </c>
      <c r="J261">
        <f>(Table3[[#This Row],[HomeMargin]]-Table3[[#This Row],[HomeForecast]])^2</f>
        <v>2.678611854738457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0.92809718844756228</v>
      </c>
      <c r="J262">
        <f>(Table3[[#This Row],[HomeMargin]]-Table3[[#This Row],[HomeForecast]])^2</f>
        <v>1.148975637414021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0.49788371710498186</v>
      </c>
      <c r="J263">
        <f>(Table3[[#This Row],[HomeMargin]]-Table3[[#This Row],[HomeForecast]])^2</f>
        <v>12.235190498388166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1.2400815267886722</v>
      </c>
      <c r="J264">
        <f>(Table3[[#This Row],[HomeMargin]]-Table3[[#This Row],[HomeForecast]])^2</f>
        <v>3.0973130323504909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0.33573815104248139</v>
      </c>
      <c r="J265">
        <f>(Table3[[#This Row],[HomeMargin]]-Table3[[#This Row],[HomeForecast]])^2</f>
        <v>1.7841964081503865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-0.24865634442892098</v>
      </c>
      <c r="J266">
        <f>(Table3[[#This Row],[HomeMargin]]-Table3[[#This Row],[HomeForecast]])^2</f>
        <v>14.072579222193387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-0.18435904412349388</v>
      </c>
      <c r="J267">
        <f>(Table3[[#This Row],[HomeMargin]]-Table3[[#This Row],[HomeForecast]])^2</f>
        <v>0.6652701689031405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0.2816591563170891</v>
      </c>
      <c r="J268">
        <f>(Table3[[#This Row],[HomeMargin]]-Table3[[#This Row],[HomeForecast]])^2</f>
        <v>1.6426501929714328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-0.32423183946473544</v>
      </c>
      <c r="J269">
        <f>(Table3[[#This Row],[HomeMargin]]-Table3[[#This Row],[HomeForecast]])^2</f>
        <v>1.7535899646521569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-0.92585734598811364</v>
      </c>
      <c r="J270">
        <f>(Table3[[#This Row],[HomeMargin]]-Table3[[#This Row],[HomeForecast]])^2</f>
        <v>1.1537824411676989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2.9409205869797839E-3</v>
      </c>
      <c r="J271">
        <f>(Table3[[#This Row],[HomeMargin]]-Table3[[#This Row],[HomeForecast]])^2</f>
        <v>1.0058904901878583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0.58814357684224639</v>
      </c>
      <c r="J272">
        <f>(Table3[[#This Row],[HomeMargin]]-Table3[[#This Row],[HomeForecast]])^2</f>
        <v>2.5222000206652844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0.70756946869302384</v>
      </c>
      <c r="J273">
        <f>(Table3[[#This Row],[HomeMargin]]-Table3[[#This Row],[HomeForecast]])^2</f>
        <v>22.161210302570716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0.34320359979224757</v>
      </c>
      <c r="J274">
        <f>(Table3[[#This Row],[HomeMargin]]-Table3[[#This Row],[HomeForecast]])^2</f>
        <v>7.0585671121568705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0.41598883911612028</v>
      </c>
      <c r="J275">
        <f>(Table3[[#This Row],[HomeMargin]]-Table3[[#This Row],[HomeForecast]])^2</f>
        <v>0.34106903603693683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-0.59587668471396005</v>
      </c>
      <c r="J276">
        <f>(Table3[[#This Row],[HomeMargin]]-Table3[[#This Row],[HomeForecast]])^2</f>
        <v>6.7385757622415392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2.0987286370512299</v>
      </c>
      <c r="J277">
        <f>(Table3[[#This Row],[HomeMargin]]-Table3[[#This Row],[HomeForecast]])^2</f>
        <v>0.81229006967153361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-0.86911017837531346</v>
      </c>
      <c r="J278">
        <f>(Table3[[#This Row],[HomeMargin]]-Table3[[#This Row],[HomeForecast]])^2</f>
        <v>14.970013572407451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-0.30563742704080915</v>
      </c>
      <c r="J279">
        <f>(Table3[[#This Row],[HomeMargin]]-Table3[[#This Row],[HomeForecast]])^2</f>
        <v>10.927238799052981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-0.61438078556273334</v>
      </c>
      <c r="J280">
        <f>(Table3[[#This Row],[HomeMargin]]-Table3[[#This Row],[HomeForecast]])^2</f>
        <v>40.776132751790414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-3.532691792055806E-2</v>
      </c>
      <c r="J281">
        <f>(Table3[[#This Row],[HomeMargin]]-Table3[[#This Row],[HomeForecast]])^2</f>
        <v>4.1425556628119988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-0.25227898293781892</v>
      </c>
      <c r="J282">
        <f>(Table3[[#This Row],[HomeMargin]]-Table3[[#This Row],[HomeForecast]])^2</f>
        <v>5.0727606169834152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-0.43631809557185303</v>
      </c>
      <c r="J283">
        <f>(Table3[[#This Row],[HomeMargin]]-Table3[[#This Row],[HomeForecast]])^2</f>
        <v>0.31773728937974255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0.25443865892159012</v>
      </c>
      <c r="J284">
        <f>(Table3[[#This Row],[HomeMargin]]-Table3[[#This Row],[HomeForecast]])^2</f>
        <v>1.5736163489969974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1.6863437331252573</v>
      </c>
      <c r="J285">
        <f>(Table3[[#This Row],[HomeMargin]]-Table3[[#This Row],[HomeForecast]])^2</f>
        <v>0.47106772000031444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-1.1491859616060167</v>
      </c>
      <c r="J286">
        <f>(Table3[[#This Row],[HomeMargin]]-Table3[[#This Row],[HomeForecast]])^2</f>
        <v>4.6190002975643791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-0.99740446354847456</v>
      </c>
      <c r="J287">
        <f>(Table3[[#This Row],[HomeMargin]]-Table3[[#This Row],[HomeForecast]])^2</f>
        <v>6.7368094711972602E-6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-0.17598559296501262</v>
      </c>
      <c r="J288">
        <f>(Table3[[#This Row],[HomeMargin]]-Table3[[#This Row],[HomeForecast]])^2</f>
        <v>0.6789997430012219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1.4353265875633392</v>
      </c>
      <c r="J289">
        <f>(Table3[[#This Row],[HomeMargin]]-Table3[[#This Row],[HomeForecast]])^2</f>
        <v>5.9308155880928988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4.1716090623923674E-2</v>
      </c>
      <c r="J290">
        <f>(Table3[[#This Row],[HomeMargin]]-Table3[[#This Row],[HomeForecast]])^2</f>
        <v>1.0851724134647904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-0.89741263664010473</v>
      </c>
      <c r="J291">
        <f>(Table3[[#This Row],[HomeMargin]]-Table3[[#This Row],[HomeForecast]])^2</f>
        <v>1.0524167121135183E-2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0.92011144881268403</v>
      </c>
      <c r="J292">
        <f>(Table3[[#This Row],[HomeMargin]]-Table3[[#This Row],[HomeForecast]])^2</f>
        <v>6.3821806108084042E-3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0.56395746369197286</v>
      </c>
      <c r="J293">
        <f>(Table3[[#This Row],[HomeMargin]]-Table3[[#This Row],[HomeForecast]])^2</f>
        <v>11.806388311318099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-1.0463068112755658E-2</v>
      </c>
      <c r="J294">
        <f>(Table3[[#This Row],[HomeMargin]]-Table3[[#This Row],[HomeForecast]])^2</f>
        <v>0.97918333956882087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-0.31249338479525579</v>
      </c>
      <c r="J295">
        <f>(Table3[[#This Row],[HomeMargin]]-Table3[[#This Row],[HomeForecast]])^2</f>
        <v>2.8476785763597725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-0.36934205163526546</v>
      </c>
      <c r="J296">
        <f>(Table3[[#This Row],[HomeMargin]]-Table3[[#This Row],[HomeForecast]])^2</f>
        <v>5.6137817576472093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-0.46534865935979752</v>
      </c>
      <c r="J297">
        <f>(Table3[[#This Row],[HomeMargin]]-Table3[[#This Row],[HomeForecast]])^2</f>
        <v>0.28585205604836583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0.18136539701031845</v>
      </c>
      <c r="J298">
        <f>(Table3[[#This Row],[HomeMargin]]-Table3[[#This Row],[HomeForecast]])^2</f>
        <v>1.3956242012533473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4.9256968988325656E-2</v>
      </c>
      <c r="J299">
        <f>(Table3[[#This Row],[HomeMargin]]-Table3[[#This Row],[HomeForecast]])^2</f>
        <v>8.7068844350639623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-1.5401694682727349</v>
      </c>
      <c r="J300">
        <f>(Table3[[#This Row],[HomeMargin]]-Table3[[#This Row],[HomeForecast]])^2</f>
        <v>2.1311051813631097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0.22038739429376478</v>
      </c>
      <c r="J301">
        <f>(Table3[[#This Row],[HomeMargin]]-Table3[[#This Row],[HomeForecast]])^2</f>
        <v>1.489345392151125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1.5795394442939696</v>
      </c>
      <c r="J302">
        <f>(Table3[[#This Row],[HomeMargin]]-Table3[[#This Row],[HomeForecast]])^2</f>
        <v>2.0177081903166845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-0.14677940407914167</v>
      </c>
      <c r="J303">
        <f>(Table3[[#This Row],[HomeMargin]]-Table3[[#This Row],[HomeForecast]])^2</f>
        <v>1.3151030016201113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0.30254186466212851</v>
      </c>
      <c r="J304">
        <f>(Table3[[#This Row],[HomeMargin]]-Table3[[#This Row],[HomeForecast]])^2</f>
        <v>1.6966153091974947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1.4242727395508497</v>
      </c>
      <c r="J305">
        <f>(Table3[[#This Row],[HomeMargin]]-Table3[[#This Row],[HomeForecast]])^2</f>
        <v>6.6343709202208849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1.3328593627471386</v>
      </c>
      <c r="J306">
        <f>(Table3[[#This Row],[HomeMargin]]-Table3[[#This Row],[HomeForecast]])^2</f>
        <v>28.439388982839812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0.79053028841514295</v>
      </c>
      <c r="J307">
        <f>(Table3[[#This Row],[HomeMargin]]-Table3[[#This Row],[HomeForecast]])^2</f>
        <v>4.3877560071443195E-2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-0.43225767323205599</v>
      </c>
      <c r="J308">
        <f>(Table3[[#This Row],[HomeMargin]]-Table3[[#This Row],[HomeForecast]])^2</f>
        <v>2.4578160031397669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0.49482411886007283</v>
      </c>
      <c r="J309">
        <f>(Table3[[#This Row],[HomeMargin]]-Table3[[#This Row],[HomeForecast]])^2</f>
        <v>12.286257957725065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0.29089875106188345</v>
      </c>
      <c r="J310">
        <f>(Table3[[#This Row],[HomeMargin]]-Table3[[#This Row],[HomeForecast]])^2</f>
        <v>0.5028245812455967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0.88282258897946631</v>
      </c>
      <c r="J311">
        <f>(Table3[[#This Row],[HomeMargin]]-Table3[[#This Row],[HomeForecast]])^2</f>
        <v>4.4824401897356108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0.56369643797519964</v>
      </c>
      <c r="J312">
        <f>(Table3[[#This Row],[HomeMargin]]-Table3[[#This Row],[HomeForecast]])^2</f>
        <v>0.19036079823552882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1.080112221937898</v>
      </c>
      <c r="J313">
        <f>(Table3[[#This Row],[HomeMargin]]-Table3[[#This Row],[HomeForecast]])^2</f>
        <v>3.6859690803522351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0.1380877289168862</v>
      </c>
      <c r="J314">
        <f>(Table3[[#This Row],[HomeMargin]]-Table3[[#This Row],[HomeForecast]])^2</f>
        <v>1.2952436787111961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-7.5743555713475852E-2</v>
      </c>
      <c r="J315">
        <f>(Table3[[#This Row],[HomeMargin]]-Table3[[#This Row],[HomeForecast]])^2</f>
        <v>4.3087113090860232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8.5450085737396042E-2</v>
      </c>
      <c r="J316">
        <f>(Table3[[#This Row],[HomeMargin]]-Table3[[#This Row],[HomeForecast]])^2</f>
        <v>0.83640154567773617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0.22724335204821142</v>
      </c>
      <c r="J317">
        <f>(Table3[[#This Row],[HomeMargin]]-Table3[[#This Row],[HomeForecast]])^2</f>
        <v>14.233692724664415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0.75931939053478215</v>
      </c>
      <c r="J318">
        <f>(Table3[[#This Row],[HomeMargin]]-Table3[[#This Row],[HomeForecast]])^2</f>
        <v>5.7927155772548714E-2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0.75663583307431015</v>
      </c>
      <c r="J319">
        <f>(Table3[[#This Row],[HomeMargin]]-Table3[[#This Row],[HomeForecast]])^2</f>
        <v>5.9226117743435031E-2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0.67148152822732443</v>
      </c>
      <c r="J320">
        <f>(Table3[[#This Row],[HomeMargin]]-Table3[[#This Row],[HomeForecast]])^2</f>
        <v>5.4219982733865564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0.62548909273617992</v>
      </c>
      <c r="J321">
        <f>(Table3[[#This Row],[HomeMargin]]-Table3[[#This Row],[HomeForecast]])^2</f>
        <v>0.14025841965956964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0.71739655507398192</v>
      </c>
      <c r="J322">
        <f>(Table3[[#This Row],[HomeMargin]]-Table3[[#This Row],[HomeForecast]])^2</f>
        <v>22.253830257823875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-0.45119741007597425</v>
      </c>
      <c r="J323">
        <f>(Table3[[#This Row],[HomeMargin]]-Table3[[#This Row],[HomeForecast]])^2</f>
        <v>2.1059739230112151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1.0749862594307737</v>
      </c>
      <c r="J324">
        <f>(Table3[[#This Row],[HomeMargin]]-Table3[[#This Row],[HomeForecast]])^2</f>
        <v>3.7056779013803243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0.79835939962915436</v>
      </c>
      <c r="J325">
        <f>(Table3[[#This Row],[HomeMargin]]-Table3[[#This Row],[HomeForecast]])^2</f>
        <v>3.2340965302345319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0.43497856823561215</v>
      </c>
      <c r="J326">
        <f>(Table3[[#This Row],[HomeMargin]]-Table3[[#This Row],[HomeForecast]])^2</f>
        <v>2.0591634912955277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2.0817366184466897</v>
      </c>
      <c r="J327">
        <f>(Table3[[#This Row],[HomeMargin]]-Table3[[#This Row],[HomeForecast]])^2</f>
        <v>0.84320763790172037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-0.52965226087001582</v>
      </c>
      <c r="J328">
        <f>(Table3[[#This Row],[HomeMargin]]-Table3[[#This Row],[HomeForecast]])^2</f>
        <v>19.98400890874456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-0.22279342171946073</v>
      </c>
      <c r="J329">
        <f>(Table3[[#This Row],[HomeMargin]]-Table3[[#This Row],[HomeForecast]])^2</f>
        <v>1.4952237522003868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-0.67480939343170421</v>
      </c>
      <c r="J330">
        <f>(Table3[[#This Row],[HomeMargin]]-Table3[[#This Row],[HomeForecast]])^2</f>
        <v>11.05689257001003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1.2724912414933074</v>
      </c>
      <c r="J331">
        <f>(Table3[[#This Row],[HomeMargin]]-Table3[[#This Row],[HomeForecast]])^2</f>
        <v>7.4251476690563964E-2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0.13710120498930956</v>
      </c>
      <c r="J332">
        <f>(Table3[[#This Row],[HomeMargin]]-Table3[[#This Row],[HomeForecast]])^2</f>
        <v>0.74459433043090162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1.0818422171852204</v>
      </c>
      <c r="J333">
        <f>(Table3[[#This Row],[HomeMargin]]-Table3[[#This Row],[HomeForecast]])^2</f>
        <v>6.6981485137927932E-3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-0.20347372425998278</v>
      </c>
      <c r="J334">
        <f>(Table3[[#This Row],[HomeMargin]]-Table3[[#This Row],[HomeForecast]])^2</f>
        <v>0.63445410794426194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-0.29288086291418641</v>
      </c>
      <c r="J335">
        <f>(Table3[[#This Row],[HomeMargin]]-Table3[[#This Row],[HomeForecast]])^2</f>
        <v>7.3284940223762387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-0.99048801917888818</v>
      </c>
      <c r="J336">
        <f>(Table3[[#This Row],[HomeMargin]]-Table3[[#This Row],[HomeForecast]])^2</f>
        <v>1.0191144394213647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-0.22517227789149963</v>
      </c>
      <c r="J337">
        <f>(Table3[[#This Row],[HomeMargin]]-Table3[[#This Row],[HomeForecast]])^2</f>
        <v>38.752769889428841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-7.9148925958460153E-2</v>
      </c>
      <c r="J338">
        <f>(Table3[[#This Row],[HomeMargin]]-Table3[[#This Row],[HomeForecast]])^2</f>
        <v>0.84796670056345758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9.2126697857897843E-2</v>
      </c>
      <c r="J339">
        <f>(Table3[[#This Row],[HomeMargin]]-Table3[[#This Row],[HomeForecast]])^2</f>
        <v>25.929754307037182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-0.34785622021989471</v>
      </c>
      <c r="J340">
        <f>(Table3[[#This Row],[HomeMargin]]-Table3[[#This Row],[HomeForecast]])^2</f>
        <v>0.42529150950588246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0.36010603652854017</v>
      </c>
      <c r="J341">
        <f>(Table3[[#This Row],[HomeMargin]]-Table3[[#This Row],[HomeForecast]])^2</f>
        <v>0.40946428448721389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-0.96204330983087927</v>
      </c>
      <c r="J342">
        <f>(Table3[[#This Row],[HomeMargin]]-Table3[[#This Row],[HomeForecast]])^2</f>
        <v>3.8496139496521113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6.8372211631196889E-2</v>
      </c>
      <c r="J343">
        <f>(Table3[[#This Row],[HomeMargin]]-Table3[[#This Row],[HomeForecast]])^2</f>
        <v>0.86793033606094738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0.6318054434175483</v>
      </c>
      <c r="J344">
        <f>(Table3[[#This Row],[HomeMargin]]-Table3[[#This Row],[HomeForecast]])^2</f>
        <v>13.190010778837335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0.3252051401153484</v>
      </c>
      <c r="J345">
        <f>(Table3[[#This Row],[HomeMargin]]-Table3[[#This Row],[HomeForecast]])^2</f>
        <v>7.1545275424653543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-2.8040262311444728</v>
      </c>
      <c r="J346">
        <f>(Table3[[#This Row],[HomeMargin]]-Table3[[#This Row],[HomeForecast]])^2</f>
        <v>3.8405718079439599E-2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1.698360976268394</v>
      </c>
      <c r="J347">
        <f>(Table3[[#This Row],[HomeMargin]]-Table3[[#This Row],[HomeForecast]])^2</f>
        <v>7.2811519582481212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-0.26645528829476262</v>
      </c>
      <c r="J348">
        <f>(Table3[[#This Row],[HomeMargin]]-Table3[[#This Row],[HomeForecast]])^2</f>
        <v>10.669730150428823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0.37860787991205358</v>
      </c>
      <c r="J349">
        <f>(Table3[[#This Row],[HomeMargin]]-Table3[[#This Row],[HomeForecast]])^2</f>
        <v>1.9005596865556071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9.3279196951407461E-2</v>
      </c>
      <c r="J350">
        <f>(Table3[[#This Row],[HomeMargin]]-Table3[[#This Row],[HomeForecast]])^2</f>
        <v>1.1952594024867145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0.32621158118770743</v>
      </c>
      <c r="J351">
        <f>(Table3[[#This Row],[HomeMargin]]-Table3[[#This Row],[HomeForecast]])^2</f>
        <v>0.45399083332556939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0.13068743121796972</v>
      </c>
      <c r="J352">
        <f>(Table3[[#This Row],[HomeMargin]]-Table3[[#This Row],[HomeForecast]])^2</f>
        <v>4.5398289295502305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-0.80295907973085012</v>
      </c>
      <c r="J353">
        <f>(Table3[[#This Row],[HomeMargin]]-Table3[[#This Row],[HomeForecast]])^2</f>
        <v>14.462497762107313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-1.4609261922424812</v>
      </c>
      <c r="J354">
        <f>(Table3[[#This Row],[HomeMargin]]-Table3[[#This Row],[HomeForecast]])^2</f>
        <v>0.21245295469515274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0.59145209412895638</v>
      </c>
      <c r="J355">
        <f>(Table3[[#This Row],[HomeMargin]]-Table3[[#This Row],[HomeForecast]])^2</f>
        <v>0.16691139139161512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-7.9591109941566957E-2</v>
      </c>
      <c r="J356">
        <f>(Table3[[#This Row],[HomeMargin]]-Table3[[#This Row],[HomeForecast]])^2</f>
        <v>4.324699184547999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0.10909867962440745</v>
      </c>
      <c r="J357">
        <f>(Table3[[#This Row],[HomeMargin]]-Table3[[#This Row],[HomeForecast]])^2</f>
        <v>9.6664945996422329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0.2408845788284959</v>
      </c>
      <c r="J358">
        <f>(Table3[[#This Row],[HomeMargin]]-Table3[[#This Row],[HomeForecast]])^2</f>
        <v>10.503332853288356</v>
      </c>
    </row>
    <row r="359" spans="4:10" x14ac:dyDescent="0.2">
      <c r="D359" t="s">
        <v>36</v>
      </c>
      <c r="F359" t="s">
        <v>13</v>
      </c>
    </row>
    <row r="360" spans="4:10" x14ac:dyDescent="0.2">
      <c r="D360" t="s">
        <v>26</v>
      </c>
      <c r="F360" t="s">
        <v>24</v>
      </c>
    </row>
    <row r="361" spans="4:10" x14ac:dyDescent="0.2">
      <c r="D361" t="s">
        <v>11</v>
      </c>
      <c r="F361" t="s">
        <v>29</v>
      </c>
    </row>
    <row r="362" spans="4:10" x14ac:dyDescent="0.2">
      <c r="D362" t="s">
        <v>35</v>
      </c>
      <c r="F362" t="s">
        <v>15</v>
      </c>
    </row>
    <row r="363" spans="4:10" x14ac:dyDescent="0.2">
      <c r="D363" t="s">
        <v>27</v>
      </c>
      <c r="F363" t="s">
        <v>37</v>
      </c>
    </row>
    <row r="364" spans="4:10" x14ac:dyDescent="0.2">
      <c r="D364" t="s">
        <v>20</v>
      </c>
      <c r="F364" t="s">
        <v>55</v>
      </c>
    </row>
    <row r="365" spans="4:10" x14ac:dyDescent="0.2">
      <c r="D365" t="s">
        <v>28</v>
      </c>
      <c r="F365" t="s">
        <v>22</v>
      </c>
    </row>
    <row r="366" spans="4:10" x14ac:dyDescent="0.2">
      <c r="D366" t="s">
        <v>39</v>
      </c>
      <c r="F366" t="s">
        <v>17</v>
      </c>
    </row>
    <row r="367" spans="4:10" x14ac:dyDescent="0.2">
      <c r="D367" t="s">
        <v>38</v>
      </c>
      <c r="F367" t="s">
        <v>31</v>
      </c>
    </row>
    <row r="368" spans="4:10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85" zoomScaleNormal="70" workbookViewId="0">
      <pane ySplit="1" topLeftCell="A333" activePane="bottomLeft" state="frozen"/>
      <selection activeCell="I1" sqref="I1"/>
      <selection pane="bottomLeft" activeCell="K3" sqref="K3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0.13754338897241636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-0.37836939589441088</v>
      </c>
      <c r="H2" t="s">
        <v>10</v>
      </c>
      <c r="I2">
        <f>VLOOKUP(Table4[[#This Row],[Visitor]],'NHL Model'!$A$6:$B$38,2,FALSE)</f>
        <v>-0.15263505358797036</v>
      </c>
      <c r="J2">
        <f>($B$1+Table4[[#This Row],[Home Differential]])-Table4[[#This Row],[Away Differential]]</f>
        <v>-8.8190953334024158E-2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0.42004677697472775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0.17643929484685666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-0.36134162888396865</v>
      </c>
      <c r="H3" t="s">
        <v>12</v>
      </c>
      <c r="I3">
        <f>VLOOKUP(Table4[[#This Row],[Visitor]],'NHL Model'!$A$6:$B$38,2,FALSE)</f>
        <v>1.4458345276269271</v>
      </c>
      <c r="J3">
        <f>($B$1+Table4[[#This Row],[Home Differential]])-Table4[[#This Row],[Away Differential]]</f>
        <v>-1.6696327675384794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0.77517885204559311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5.054454856753731E-2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199</v>
      </c>
      <c r="V3">
        <f>COUNTIF(Table4[Locked Correct],"YES")</f>
        <v>214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-0.49835870184734621</v>
      </c>
      <c r="H4" t="s">
        <v>14</v>
      </c>
      <c r="I4">
        <f>VLOOKUP(Table4[[#This Row],[Visitor]],'NHL Model'!$A$6:$B$38,2,FALSE)</f>
        <v>-0.2090057419115289</v>
      </c>
      <c r="J4">
        <f>($B$1+Table4[[#This Row],[Home Differential]])-Table4[[#This Row],[Away Differential]]</f>
        <v>-0.15180957096340095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0.48024809195544466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0.27014204591595598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153</v>
      </c>
      <c r="V4">
        <f>COUNTIF(Table4[Locked Correct],"NO")</f>
        <v>138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-0.87263145033954281</v>
      </c>
      <c r="H5" t="s">
        <v>16</v>
      </c>
      <c r="I5">
        <f>VLOOKUP(Table4[[#This Row],[Visitor]],'NHL Model'!$A$6:$B$38,2,FALSE)</f>
        <v>-1.0952038865534519</v>
      </c>
      <c r="J5">
        <f>($B$1+Table4[[#This Row],[Home Differential]])-Table4[[#This Row],[Away Differential]]</f>
        <v>0.36011582518632546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0.6240684779153578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0.38946146512759144</v>
      </c>
      <c r="O5">
        <v>-4.1674767740132361E-3</v>
      </c>
      <c r="P5" s="11"/>
      <c r="Q5" t="s">
        <v>16</v>
      </c>
      <c r="R5" t="s">
        <v>248</v>
      </c>
      <c r="T5">
        <f>SUM(T3:T4)</f>
        <v>352</v>
      </c>
      <c r="V5">
        <f>SUM(V3:V4)</f>
        <v>352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-0.93520311342823803</v>
      </c>
      <c r="H6" t="s">
        <v>18</v>
      </c>
      <c r="I6">
        <f>VLOOKUP(Table4[[#This Row],[Visitor]],'NHL Model'!$A$6:$B$38,2,FALSE)</f>
        <v>-0.74754136228530599</v>
      </c>
      <c r="J6">
        <f>($B$1+Table4[[#This Row],[Home Differential]])-Table4[[#This Row],[Away Differential]]</f>
        <v>-5.0118362170515685E-2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0.51378408994502889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0.26397409108064152</v>
      </c>
      <c r="O6">
        <v>-4.4363714293103977E-3</v>
      </c>
      <c r="P6" s="11"/>
      <c r="Q6" t="s">
        <v>18</v>
      </c>
      <c r="R6" t="s">
        <v>249</v>
      </c>
      <c r="T6" s="13">
        <f>T3/T5</f>
        <v>0.56534090909090906</v>
      </c>
      <c r="V6" s="13">
        <f>V3/V5</f>
        <v>0.60795454545454541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0.12073374225454764</v>
      </c>
      <c r="H7" t="s">
        <v>13</v>
      </c>
      <c r="I7">
        <f>VLOOKUP(Table4[[#This Row],[Visitor]],'NHL Model'!$A$6:$B$38,2,FALSE)</f>
        <v>-0.36134162888396865</v>
      </c>
      <c r="J7">
        <f>($B$1+Table4[[#This Row],[Home Differential]])-Table4[[#This Row],[Away Differential]]</f>
        <v>0.61961876011093264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0.53916539296876509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0.29069932097516288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6.4811420118814619E-2</v>
      </c>
      <c r="H8" t="s">
        <v>21</v>
      </c>
      <c r="I8">
        <f>VLOOKUP(Table4[[#This Row],[Visitor]],'NHL Model'!$A$6:$B$38,2,FALSE)</f>
        <v>-0.14464931395309213</v>
      </c>
      <c r="J8">
        <f>($B$1+Table4[[#This Row],[Home Differential]])-Table4[[#This Row],[Away Differential]]</f>
        <v>0.34700412304432315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0.58628279592472987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0.34372751679731844</v>
      </c>
      <c r="O8">
        <v>-4.9858230986448791E-3</v>
      </c>
      <c r="P8" s="11"/>
      <c r="Q8" t="s">
        <v>21</v>
      </c>
      <c r="R8" t="s">
        <v>248</v>
      </c>
      <c r="T8">
        <f>SUM(Table4[Error])</f>
        <v>79.427393347791295</v>
      </c>
      <c r="V8">
        <f>COUNTIF(Table4[Locked Correct],"")</f>
        <v>960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-0.14464931395309213</v>
      </c>
      <c r="H9" t="s">
        <v>10</v>
      </c>
      <c r="I9">
        <f>VLOOKUP(Table4[[#This Row],[Visitor]],'NHL Model'!$A$6:$B$38,2,FALSE)</f>
        <v>-0.15263505358797036</v>
      </c>
      <c r="J9">
        <f>($B$1+Table4[[#This Row],[Home Differential]])-Table4[[#This Row],[Away Differential]]</f>
        <v>0.14552912860729458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0.61112639399828539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0.15122268144477677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-0.51535072045188635</v>
      </c>
      <c r="H10" t="s">
        <v>15</v>
      </c>
      <c r="I10">
        <f>VLOOKUP(Table4[[#This Row],[Visitor]],'NHL Model'!$A$6:$B$38,2,FALSE)</f>
        <v>-0.49835870184734621</v>
      </c>
      <c r="J10">
        <f>($B$1+Table4[[#This Row],[Home Differential]])-Table4[[#This Row],[Away Differential]]</f>
        <v>0.12055137036787622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0.4866671637639971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0.23684492828609319</v>
      </c>
      <c r="O10">
        <v>2.893763878885032E-2</v>
      </c>
      <c r="P10" s="11"/>
      <c r="Q10" t="s">
        <v>23</v>
      </c>
      <c r="R10" t="s">
        <v>249</v>
      </c>
      <c r="T10">
        <v>0.13337823054862685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0.42515174825138019</v>
      </c>
      <c r="H11" t="s">
        <v>24</v>
      </c>
      <c r="I11">
        <f>VLOOKUP(Table4[[#This Row],[Visitor]],'NHL Model'!$A$6:$B$38,2,FALSE)</f>
        <v>-1.8032585202533785E-2</v>
      </c>
      <c r="J11">
        <f>($B$1+Table4[[#This Row],[Home Differential]])-Table4[[#This Row],[Away Differential]]</f>
        <v>0.58072772242633031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0.66836552695684892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0.1099814237106085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1.4458345276269271</v>
      </c>
      <c r="H12" t="s">
        <v>55</v>
      </c>
      <c r="I12">
        <f>VLOOKUP(Table4[[#This Row],[Visitor]],'NHL Model'!$A$6:$B$38,2,FALSE)</f>
        <v>-0.30969050963205513</v>
      </c>
      <c r="J12">
        <f>($B$1+Table4[[#This Row],[Home Differential]])-Table4[[#This Row],[Away Differential]]</f>
        <v>1.8930684262313986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0.88741475191885266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1.267543808549349E-2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-0.66335717753705836</v>
      </c>
      <c r="H13" t="s">
        <v>18</v>
      </c>
      <c r="I13">
        <f>VLOOKUP(Table4[[#This Row],[Visitor]],'NHL Model'!$A$6:$B$38,2,FALSE)</f>
        <v>-0.74754136228530599</v>
      </c>
      <c r="J13">
        <f>($B$1+Table4[[#This Row],[Home Differential]])-Table4[[#This Row],[Away Differential]]</f>
        <v>0.22172757372066398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0.55512107670217681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0.30815940979898404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-0.37836939589441088</v>
      </c>
      <c r="H14" t="s">
        <v>27</v>
      </c>
      <c r="I14">
        <f>VLOOKUP(Table4[[#This Row],[Visitor]],'NHL Model'!$A$6:$B$38,2,FALSE)</f>
        <v>-0.42203126246971279</v>
      </c>
      <c r="J14">
        <f>($B$1+Table4[[#This Row],[Home Differential]])-Table4[[#This Row],[Away Differential]]</f>
        <v>0.18120525554771827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0.61588481268242723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0.14754447712801402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-1.4957350924899622</v>
      </c>
      <c r="H15" t="s">
        <v>28</v>
      </c>
      <c r="I15">
        <f>VLOOKUP(Table4[[#This Row],[Visitor]],'NHL Model'!$A$6:$B$38,2,FALSE)</f>
        <v>-0.59418600019583889</v>
      </c>
      <c r="J15">
        <f>($B$1+Table4[[#This Row],[Home Differential]])-Table4[[#This Row],[Away Differential]]</f>
        <v>-0.76400570332170681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0.56273122192566594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0.3166664281299531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-0.2090057419115289</v>
      </c>
      <c r="H16" t="s">
        <v>30</v>
      </c>
      <c r="I16">
        <f>VLOOKUP(Table4[[#This Row],[Visitor]],'NHL Model'!$A$6:$B$38,2,FALSE)</f>
        <v>3.838472305373858E-3</v>
      </c>
      <c r="J16">
        <f>($B$1+Table4[[#This Row],[Home Differential]])-Table4[[#This Row],[Away Differential]]</f>
        <v>-7.5300825244486405E-2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0.54266665993781715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0.29448710380806647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-0.45007023285116615</v>
      </c>
      <c r="H17" t="s">
        <v>31</v>
      </c>
      <c r="I17">
        <f>VLOOKUP(Table4[[#This Row],[Visitor]],'NHL Model'!$A$6:$B$38,2,FALSE)</f>
        <v>0.34329638981067145</v>
      </c>
      <c r="J17">
        <f>($B$1+Table4[[#This Row],[Home Differential]])-Table4[[#This Row],[Away Differential]]</f>
        <v>-0.65582323368942119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0.54201799700762809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0.29378350908016115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-0.36178381286707545</v>
      </c>
      <c r="H18" t="s">
        <v>20</v>
      </c>
      <c r="I18">
        <f>VLOOKUP(Table4[[#This Row],[Visitor]],'NHL Model'!$A$6:$B$38,2,FALSE)</f>
        <v>0.12073374225454764</v>
      </c>
      <c r="J18">
        <f>($B$1+Table4[[#This Row],[Home Differential]])-Table4[[#This Row],[Away Differential]]</f>
        <v>-0.34497416614920673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0.52678127463519997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0.22393596203588603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-1.5569791149906038</v>
      </c>
      <c r="H19" t="s">
        <v>34</v>
      </c>
      <c r="I19">
        <f>VLOOKUP(Table4[[#This Row],[Visitor]],'NHL Model'!$A$6:$B$38,2,FALSE)</f>
        <v>-0.16358905079701039</v>
      </c>
      <c r="J19">
        <f>($B$1+Table4[[#This Row],[Home Differential]])-Table4[[#This Row],[Away Differential]]</f>
        <v>-1.255846675221177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0.6482718381506074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0.12371269983795251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7.1667377873261273E-2</v>
      </c>
      <c r="H20" t="s">
        <v>36</v>
      </c>
      <c r="I20">
        <f>VLOOKUP(Table4[[#This Row],[Visitor]],'NHL Model'!$A$6:$B$38,2,FALSE)</f>
        <v>-0.31751962084606655</v>
      </c>
      <c r="J20">
        <f>($B$1+Table4[[#This Row],[Home Differential]])-Table4[[#This Row],[Away Differential]]</f>
        <v>0.52673038769174418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0.59199349752129971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0.35045630110750109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-1.1236485959014608</v>
      </c>
      <c r="H21" t="s">
        <v>16</v>
      </c>
      <c r="I21">
        <f>VLOOKUP(Table4[[#This Row],[Visitor]],'NHL Model'!$A$6:$B$38,2,FALSE)</f>
        <v>-1.0952038865534519</v>
      </c>
      <c r="J21">
        <f>($B$1+Table4[[#This Row],[Home Differential]])-Table4[[#This Row],[Away Differential]]</f>
        <v>0.10909867962440745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0.55455138884349497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0.19842446518125922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-6.0247860940930854E-2</v>
      </c>
      <c r="H22" t="s">
        <v>39</v>
      </c>
      <c r="I22">
        <f>VLOOKUP(Table4[[#This Row],[Visitor]],'NHL Model'!$A$6:$B$38,2,FALSE)</f>
        <v>4.3828122498436855E-3</v>
      </c>
      <c r="J22">
        <f>($B$1+Table4[[#This Row],[Home Differential]])-Table4[[#This Row],[Away Differential]]</f>
        <v>7.2912715781641824E-2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0.4712634305539119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0.22208922097744174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-0.14464931395309213</v>
      </c>
      <c r="H23" t="s">
        <v>23</v>
      </c>
      <c r="I23">
        <f>VLOOKUP(Table4[[#This Row],[Visitor]],'NHL Model'!$A$6:$B$38,2,FALSE)</f>
        <v>-0.51535072045188635</v>
      </c>
      <c r="J23">
        <f>($B$1+Table4[[#This Row],[Home Differential]])-Table4[[#This Row],[Away Differential]]</f>
        <v>0.5082447954712106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0.65950476783685974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0.11593700312583079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0.42515174825138019</v>
      </c>
      <c r="H24" t="s">
        <v>27</v>
      </c>
      <c r="I24">
        <f>VLOOKUP(Table4[[#This Row],[Visitor]],'NHL Model'!$A$6:$B$38,2,FALSE)</f>
        <v>-0.42203126246971279</v>
      </c>
      <c r="J24">
        <f>($B$1+Table4[[#This Row],[Home Differential]])-Table4[[#This Row],[Away Differential]]</f>
        <v>0.98472639969350928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0.72305704109700097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7.669740248594821E-2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-1.0952038865534519</v>
      </c>
      <c r="H25" t="s">
        <v>35</v>
      </c>
      <c r="I25">
        <f>VLOOKUP(Table4[[#This Row],[Visitor]],'NHL Model'!$A$6:$B$38,2,FALSE)</f>
        <v>-1.5569791149906038</v>
      </c>
      <c r="J25">
        <f>($B$1+Table4[[#This Row],[Home Differential]])-Table4[[#This Row],[Away Differential]]</f>
        <v>0.59931861740956827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0.61993605672493768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0.38432071442766513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-0.15263505358797036</v>
      </c>
      <c r="H26" t="s">
        <v>18</v>
      </c>
      <c r="I26">
        <f>VLOOKUP(Table4[[#This Row],[Visitor]],'NHL Model'!$A$6:$B$38,2,FALSE)</f>
        <v>-0.74754136228530599</v>
      </c>
      <c r="J26">
        <f>($B$1+Table4[[#This Row],[Home Differential]])-Table4[[#This Row],[Away Differential]]</f>
        <v>0.73244969766975199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0.59059345316033796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0.34880062691585229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1.4458345276269271</v>
      </c>
      <c r="H27" t="s">
        <v>39</v>
      </c>
      <c r="I27">
        <f>VLOOKUP(Table4[[#This Row],[Visitor]],'NHL Model'!$A$6:$B$38,2,FALSE)</f>
        <v>4.3828122498436855E-3</v>
      </c>
      <c r="J27">
        <f>($B$1+Table4[[#This Row],[Home Differential]])-Table4[[#This Row],[Away Differential]]</f>
        <v>1.5789951043494999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0.76756559837953642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0.5891569478157358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-0.66335717753705836</v>
      </c>
      <c r="H28" t="s">
        <v>19</v>
      </c>
      <c r="I28">
        <f>VLOOKUP(Table4[[#This Row],[Visitor]],'NHL Model'!$A$6:$B$38,2,FALSE)</f>
        <v>-0.93520311342823803</v>
      </c>
      <c r="J28">
        <f>($B$1+Table4[[#This Row],[Home Differential]])-Table4[[#This Row],[Away Differential]]</f>
        <v>0.40938932486359603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0.62684968956410103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0.13924115417840777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-0.87263145033954281</v>
      </c>
      <c r="H29" t="s">
        <v>38</v>
      </c>
      <c r="I29">
        <f>VLOOKUP(Table4[[#This Row],[Visitor]],'NHL Model'!$A$6:$B$38,2,FALSE)</f>
        <v>-1.1236485959014608</v>
      </c>
      <c r="J29">
        <f>($B$1+Table4[[#This Row],[Home Differential]])-Table4[[#This Row],[Away Differential]]</f>
        <v>0.38856053453433437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0.6073810721127737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0.154149622535315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-0.37836939589441088</v>
      </c>
      <c r="H30" t="s">
        <v>36</v>
      </c>
      <c r="I30">
        <f>VLOOKUP(Table4[[#This Row],[Visitor]],'NHL Model'!$A$6:$B$38,2,FALSE)</f>
        <v>-0.31751962084606655</v>
      </c>
      <c r="J30">
        <f>($B$1+Table4[[#This Row],[Home Differential]])-Table4[[#This Row],[Away Differential]]</f>
        <v>7.6693613924072035E-2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0.58165782994814375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0.17501017124369622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-0.16358905079701039</v>
      </c>
      <c r="H31" t="s">
        <v>28</v>
      </c>
      <c r="I31">
        <f>VLOOKUP(Table4[[#This Row],[Visitor]],'NHL Model'!$A$6:$B$38,2,FALSE)</f>
        <v>-0.59418600019583889</v>
      </c>
      <c r="J31">
        <f>($B$1+Table4[[#This Row],[Home Differential]])-Table4[[#This Row],[Away Differential]]</f>
        <v>0.56814033837124489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0.61494805994769719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0.37816111643343658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-1.4957350924899622</v>
      </c>
      <c r="H32" t="s">
        <v>55</v>
      </c>
      <c r="I32">
        <f>VLOOKUP(Table4[[#This Row],[Visitor]],'NHL Model'!$A$6:$B$38,2,FALSE)</f>
        <v>-0.30969050963205513</v>
      </c>
      <c r="J32">
        <f>($B$1+Table4[[#This Row],[Home Differential]])-Table4[[#This Row],[Away Differential]]</f>
        <v>-1.0485011938854907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0.59984723396856954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0.16012223616260474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3.838472305373858E-3</v>
      </c>
      <c r="H33" t="s">
        <v>22</v>
      </c>
      <c r="I33">
        <f>VLOOKUP(Table4[[#This Row],[Visitor]],'NHL Model'!$A$6:$B$38,2,FALSE)</f>
        <v>6.4811420118814619E-2</v>
      </c>
      <c r="J33">
        <f>($B$1+Table4[[#This Row],[Home Differential]])-Table4[[#This Row],[Away Differential]]</f>
        <v>7.6570441158975586E-2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0.52944359918488115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0.28031052471784107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-0.2090057419115289</v>
      </c>
      <c r="H34" t="s">
        <v>15</v>
      </c>
      <c r="I34">
        <f>VLOOKUP(Table4[[#This Row],[Visitor]],'NHL Model'!$A$6:$B$38,2,FALSE)</f>
        <v>-0.49835870184734621</v>
      </c>
      <c r="J34">
        <f>($B$1+Table4[[#This Row],[Home Differential]])-Table4[[#This Row],[Away Differential]]</f>
        <v>0.42689634890823369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0.51346041877548421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0.26364160164909561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-0.45007023285116615</v>
      </c>
      <c r="H35" t="s">
        <v>20</v>
      </c>
      <c r="I35">
        <f>VLOOKUP(Table4[[#This Row],[Visitor]],'NHL Model'!$A$6:$B$38,2,FALSE)</f>
        <v>0.12073374225454764</v>
      </c>
      <c r="J35">
        <f>($B$1+Table4[[#This Row],[Home Differential]])-Table4[[#This Row],[Away Differential]]</f>
        <v>-0.43326058613329743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0.51233298489037471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0.26248508740668092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-0.36178381286707545</v>
      </c>
      <c r="H36" t="s">
        <v>31</v>
      </c>
      <c r="I36">
        <f>VLOOKUP(Table4[[#This Row],[Visitor]],'NHL Model'!$A$6:$B$38,2,FALSE)</f>
        <v>0.34329638981067145</v>
      </c>
      <c r="J36">
        <f>($B$1+Table4[[#This Row],[Home Differential]])-Table4[[#This Row],[Away Differential]]</f>
        <v>-0.56753681370533049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0.55646628675245335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0.19672215478715693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7.1667377873261273E-2</v>
      </c>
      <c r="H37" t="s">
        <v>24</v>
      </c>
      <c r="I37">
        <f>VLOOKUP(Table4[[#This Row],[Visitor]],'NHL Model'!$A$6:$B$38,2,FALSE)</f>
        <v>-1.8032585202533785E-2</v>
      </c>
      <c r="J37">
        <f>($B$1+Table4[[#This Row],[Home Differential]])-Table4[[#This Row],[Away Differential]]</f>
        <v>0.22724335204821142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0.57197598286679574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0.32715652497643699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-6.0247860940930854E-2</v>
      </c>
      <c r="H38" t="s">
        <v>13</v>
      </c>
      <c r="I38">
        <f>VLOOKUP(Table4[[#This Row],[Visitor]],'NHL Model'!$A$6:$B$38,2,FALSE)</f>
        <v>-0.36134162888396865</v>
      </c>
      <c r="J38">
        <f>($B$1+Table4[[#This Row],[Home Differential]])-Table4[[#This Row],[Away Differential]]</f>
        <v>0.43863715691545413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0.51752104128488663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0.23278594560282007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-0.49835870184734621</v>
      </c>
      <c r="H39" t="s">
        <v>22</v>
      </c>
      <c r="I39">
        <f>VLOOKUP(Table4[[#This Row],[Visitor]],'NHL Model'!$A$6:$B$38,2,FALSE)</f>
        <v>6.4811420118814619E-2</v>
      </c>
      <c r="J39">
        <f>($B$1+Table4[[#This Row],[Home Differential]])-Table4[[#This Row],[Away Differential]]</f>
        <v>-0.42562673299374448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0.53753857129012927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0.21387057304437485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-0.14464931395309213</v>
      </c>
      <c r="H40" t="s">
        <v>37</v>
      </c>
      <c r="I40">
        <f>VLOOKUP(Table4[[#This Row],[Visitor]],'NHL Model'!$A$6:$B$38,2,FALSE)</f>
        <v>7.1667377873261273E-2</v>
      </c>
      <c r="J40">
        <f>($B$1+Table4[[#This Row],[Home Differential]])-Table4[[#This Row],[Away Differential]]</f>
        <v>-7.8773302853937049E-2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0.48419085427544506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0.26605907481309515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-0.51535072045188635</v>
      </c>
      <c r="H41" t="s">
        <v>12</v>
      </c>
      <c r="I41">
        <f>VLOOKUP(Table4[[#This Row],[Visitor]],'NHL Model'!$A$6:$B$38,2,FALSE)</f>
        <v>1.4458345276269271</v>
      </c>
      <c r="J41">
        <f>($B$1+Table4[[#This Row],[Home Differential]])-Table4[[#This Row],[Away Differential]]</f>
        <v>-1.823641859106397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0.78169566278355795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4.7656783647510047E-2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-0.59418600019583889</v>
      </c>
      <c r="H42" t="s">
        <v>24</v>
      </c>
      <c r="I42">
        <f>VLOOKUP(Table4[[#This Row],[Visitor]],'NHL Model'!$A$6:$B$38,2,FALSE)</f>
        <v>-1.8032585202533785E-2</v>
      </c>
      <c r="J42">
        <f>($B$1+Table4[[#This Row],[Home Differential]])-Table4[[#This Row],[Away Differential]]</f>
        <v>-0.43861002602088872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0.51228254177659538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0.23786831905589842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-0.15263505358797036</v>
      </c>
      <c r="H43" t="s">
        <v>55</v>
      </c>
      <c r="I43">
        <f>VLOOKUP(Table4[[#This Row],[Visitor]],'NHL Model'!$A$6:$B$38,2,FALSE)</f>
        <v>-0.30969050963205513</v>
      </c>
      <c r="J43">
        <f>($B$1+Table4[[#This Row],[Home Differential]])-Table4[[#This Row],[Away Differential]]</f>
        <v>0.29459884501650113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0.5792930726699701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0.17699431870347507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-0.16358905079701039</v>
      </c>
      <c r="H44" t="s">
        <v>13</v>
      </c>
      <c r="I44">
        <f>VLOOKUP(Table4[[#This Row],[Visitor]],'NHL Model'!$A$6:$B$38,2,FALSE)</f>
        <v>-0.36134162888396865</v>
      </c>
      <c r="J44">
        <f>($B$1+Table4[[#This Row],[Home Differential]])-Table4[[#This Row],[Away Differential]]</f>
        <v>0.33529596705937459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0.50124292192690489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0.24875862292801149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3.838472305373858E-3</v>
      </c>
      <c r="H45" t="s">
        <v>40</v>
      </c>
      <c r="I45">
        <f>VLOOKUP(Table4[[#This Row],[Visitor]],'NHL Model'!$A$6:$B$38,2,FALSE)</f>
        <v>-6.0247860940930854E-2</v>
      </c>
      <c r="J45">
        <f>($B$1+Table4[[#This Row],[Home Differential]])-Table4[[#This Row],[Away Differential]]</f>
        <v>0.20162972221872105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0.50057722610185995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0.25057755929183262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-0.31751962084606655</v>
      </c>
      <c r="H46" t="s">
        <v>29</v>
      </c>
      <c r="I46">
        <f>VLOOKUP(Table4[[#This Row],[Visitor]],'NHL Model'!$A$6:$B$38,2,FALSE)</f>
        <v>-1.4957350924899622</v>
      </c>
      <c r="J46">
        <f>($B$1+Table4[[#This Row],[Home Differential]])-Table4[[#This Row],[Away Differential]]</f>
        <v>1.315758860616312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0.71798906786202099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0.51550830156937377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-0.42203126246971279</v>
      </c>
      <c r="H47" t="s">
        <v>11</v>
      </c>
      <c r="I47">
        <f>VLOOKUP(Table4[[#This Row],[Visitor]],'NHL Model'!$A$6:$B$38,2,FALSE)</f>
        <v>-0.37836939589441088</v>
      </c>
      <c r="J47">
        <f>($B$1+Table4[[#This Row],[Home Differential]])-Table4[[#This Row],[Away Differential]]</f>
        <v>9.3881522397114447E-2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0.58476781714683601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0.17241776567700343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-0.93520311342823803</v>
      </c>
      <c r="H48" t="s">
        <v>26</v>
      </c>
      <c r="I48">
        <f>VLOOKUP(Table4[[#This Row],[Visitor]],'NHL Model'!$A$6:$B$38,2,FALSE)</f>
        <v>-0.66335717753705836</v>
      </c>
      <c r="J48">
        <f>($B$1+Table4[[#This Row],[Home Differential]])-Table4[[#This Row],[Away Differential]]</f>
        <v>-0.13430254691876331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0.52501242754692878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0.22561319398486157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-1.1236485959014608</v>
      </c>
      <c r="H49" t="s">
        <v>35</v>
      </c>
      <c r="I49">
        <f>VLOOKUP(Table4[[#This Row],[Visitor]],'NHL Model'!$A$6:$B$38,2,FALSE)</f>
        <v>-1.5569791149906038</v>
      </c>
      <c r="J49">
        <f>($B$1+Table4[[#This Row],[Home Differential]])-Table4[[#This Row],[Away Differential]]</f>
        <v>0.57087390806155935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0.61614215172363029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0.37963115113062507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0.34329638981067145</v>
      </c>
      <c r="H50" t="s">
        <v>14</v>
      </c>
      <c r="I50">
        <f>VLOOKUP(Table4[[#This Row],[Visitor]],'NHL Model'!$A$6:$B$38,2,FALSE)</f>
        <v>-0.2090057419115289</v>
      </c>
      <c r="J50">
        <f>($B$1+Table4[[#This Row],[Home Differential]])-Table4[[#This Row],[Away Differential]]</f>
        <v>0.68984552069461669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0.72693100982277914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7.4566673396407143E-2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-1.0952038865534519</v>
      </c>
      <c r="H51" t="s">
        <v>20</v>
      </c>
      <c r="I51">
        <f>VLOOKUP(Table4[[#This Row],[Visitor]],'NHL Model'!$A$6:$B$38,2,FALSE)</f>
        <v>0.12073374225454764</v>
      </c>
      <c r="J51">
        <f>($B$1+Table4[[#This Row],[Home Differential]])-Table4[[#This Row],[Away Differential]]</f>
        <v>-1.0783942398355832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0.62460354631233228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0.14092249744127724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4.3828122498436855E-3</v>
      </c>
      <c r="H52" t="s">
        <v>34</v>
      </c>
      <c r="I52">
        <f>VLOOKUP(Table4[[#This Row],[Visitor]],'NHL Model'!$A$6:$B$38,2,FALSE)</f>
        <v>-0.16358905079701039</v>
      </c>
      <c r="J52">
        <f>($B$1+Table4[[#This Row],[Home Differential]])-Table4[[#This Row],[Away Differential]]</f>
        <v>0.30551525201927043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0.56248821415473071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0.19141656275351676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-0.74754136228530599</v>
      </c>
      <c r="H53" t="s">
        <v>32</v>
      </c>
      <c r="I53">
        <f>VLOOKUP(Table4[[#This Row],[Visitor]],'NHL Model'!$A$6:$B$38,2,FALSE)</f>
        <v>-0.45007023285116615</v>
      </c>
      <c r="J53">
        <f>($B$1+Table4[[#This Row],[Home Differential]])-Table4[[#This Row],[Away Differential]]</f>
        <v>-0.15992774046172348</v>
      </c>
      <c r="K53" t="str">
        <f>IF(Table4[[#This Row],[HomeIce Differential]]&gt;0,Table4[[#This Row],[Home]],Table4[[#This Row],[Visitor]])</f>
        <v>Seattle Kraken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0.48133087903842475</v>
      </c>
      <c r="M53" t="str">
        <f>IF(OR((NHL2025_26Results[[#This Row],[Winning Team]]="")),"-",IF(Table4[[#This Row],[Predicted Winner]]=NHL2025_26Results[[#This Row],[Winning Team]],"YES","NO"))</f>
        <v>NO</v>
      </c>
      <c r="N53">
        <f>IF(Table4[[#This Row],[Adjusted Correct]]="-", "",IF(Table4[[#This Row],[Adjusted Correct]]="YES",(Table4[[#This Row],[Strength of Win]]-1)^2,(Table4[[#This Row],[Strength of Win]]-0)^2))</f>
        <v>0.23167941511590268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-0.49835870184734621</v>
      </c>
      <c r="H54" t="s">
        <v>17</v>
      </c>
      <c r="I54">
        <f>VLOOKUP(Table4[[#This Row],[Visitor]],'NHL Model'!$A$6:$B$38,2,FALSE)</f>
        <v>-0.87263145033954281</v>
      </c>
      <c r="J54">
        <f>($B$1+Table4[[#This Row],[Home Differential]])-Table4[[#This Row],[Away Differential]]</f>
        <v>0.51181613746461296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0.60826513078126287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0.36998646932434681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-0.36178381286707545</v>
      </c>
      <c r="H55" t="s">
        <v>25</v>
      </c>
      <c r="I55">
        <f>VLOOKUP(Table4[[#This Row],[Visitor]],'NHL Model'!$A$6:$B$38,2,FALSE)</f>
        <v>0.42515174825138019</v>
      </c>
      <c r="J55">
        <f>($B$1+Table4[[#This Row],[Home Differential]])-Table4[[#This Row],[Away Differential]]</f>
        <v>-0.64939217214603928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0.61923794796082421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0.14497974027308402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-0.93520311342823803</v>
      </c>
      <c r="H56" t="s">
        <v>29</v>
      </c>
      <c r="I56">
        <f>VLOOKUP(Table4[[#This Row],[Visitor]],'NHL Model'!$A$6:$B$38,2,FALSE)</f>
        <v>-1.4957350924899622</v>
      </c>
      <c r="J56">
        <f>($B$1+Table4[[#This Row],[Home Differential]])-Table4[[#This Row],[Away Differential]]</f>
        <v>0.6980753680341405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0.63310805737797515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0.13460969756096317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6.4811420118814619E-2</v>
      </c>
      <c r="H57" t="s">
        <v>37</v>
      </c>
      <c r="I57">
        <f>VLOOKUP(Table4[[#This Row],[Visitor]],'NHL Model'!$A$6:$B$38,2,FALSE)</f>
        <v>7.1667377873261273E-2</v>
      </c>
      <c r="J57">
        <f>($B$1+Table4[[#This Row],[Home Differential]])-Table4[[#This Row],[Away Differential]]</f>
        <v>0.13068743121796972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0.49111506885711392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0.25896387314429986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-0.51535072045188635</v>
      </c>
      <c r="H58" t="s">
        <v>36</v>
      </c>
      <c r="I58">
        <f>VLOOKUP(Table4[[#This Row],[Visitor]],'NHL Model'!$A$6:$B$38,2,FALSE)</f>
        <v>-0.31751962084606655</v>
      </c>
      <c r="J58">
        <f>($B$1+Table4[[#This Row],[Home Differential]])-Table4[[#This Row],[Away Differential]]</f>
        <v>-6.0287710633403435E-2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0.47470773483477768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0.22534743351196559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-0.66335717753705836</v>
      </c>
      <c r="H59" t="s">
        <v>11</v>
      </c>
      <c r="I59">
        <f>VLOOKUP(Table4[[#This Row],[Visitor]],'NHL Model'!$A$6:$B$38,2,FALSE)</f>
        <v>-0.37836939589441088</v>
      </c>
      <c r="J59">
        <f>($B$1+Table4[[#This Row],[Home Differential]])-Table4[[#This Row],[Away Differential]]</f>
        <v>-0.14744439267023113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0.44741980639037476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0.20018448315040044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-1.5569791149906038</v>
      </c>
      <c r="H60" t="s">
        <v>10</v>
      </c>
      <c r="I60">
        <f>VLOOKUP(Table4[[#This Row],[Visitor]],'NHL Model'!$A$6:$B$38,2,FALSE)</f>
        <v>-0.15263505358797036</v>
      </c>
      <c r="J60">
        <f>($B$1+Table4[[#This Row],[Home Differential]])-Table4[[#This Row],[Away Differential]]</f>
        <v>-1.266800672430217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0.62896363214655304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0.13766798626987842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-0.30969050963205513</v>
      </c>
      <c r="H61" t="s">
        <v>16</v>
      </c>
      <c r="I61">
        <f>VLOOKUP(Table4[[#This Row],[Visitor]],'NHL Model'!$A$6:$B$38,2,FALSE)</f>
        <v>-1.0952038865534519</v>
      </c>
      <c r="J61">
        <f>($B$1+Table4[[#This Row],[Home Differential]])-Table4[[#This Row],[Away Differential]]</f>
        <v>0.92305676589381314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0.71483165446221575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8.1320985296757117E-2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0.34329638981067145</v>
      </c>
      <c r="H62" t="s">
        <v>25</v>
      </c>
      <c r="I62">
        <f>VLOOKUP(Table4[[#This Row],[Visitor]],'NHL Model'!$A$6:$B$38,2,FALSE)</f>
        <v>0.42515174825138019</v>
      </c>
      <c r="J62">
        <f>($B$1+Table4[[#This Row],[Home Differential]])-Table4[[#This Row],[Away Differential]]</f>
        <v>5.5688030531707622E-2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0.57264496227940487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0.32792225282398102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-0.59418600019583889</v>
      </c>
      <c r="H63" t="s">
        <v>12</v>
      </c>
      <c r="I63">
        <f>VLOOKUP(Table4[[#This Row],[Visitor]],'NHL Model'!$A$6:$B$38,2,FALSE)</f>
        <v>1.4458345276269271</v>
      </c>
      <c r="J63">
        <f>($B$1+Table4[[#This Row],[Home Differential]])-Table4[[#This Row],[Away Differential]]</f>
        <v>-1.9024771388503496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0.79920357989361934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4.0319202327538113E-2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4.3828122498436855E-3</v>
      </c>
      <c r="H64" t="s">
        <v>38</v>
      </c>
      <c r="I64">
        <f>VLOOKUP(Table4[[#This Row],[Visitor]],'NHL Model'!$A$6:$B$38,2,FALSE)</f>
        <v>-1.1236485959014608</v>
      </c>
      <c r="J64">
        <f>($B$1+Table4[[#This Row],[Home Differential]])-Table4[[#This Row],[Away Differential]]</f>
        <v>1.2655747971237208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0.69053925750208189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0.47684446615152659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-0.36134162888396865</v>
      </c>
      <c r="H65" t="s">
        <v>14</v>
      </c>
      <c r="I65">
        <f>VLOOKUP(Table4[[#This Row],[Visitor]],'NHL Model'!$A$6:$B$38,2,FALSE)</f>
        <v>-0.2090057419115289</v>
      </c>
      <c r="J65">
        <f>($B$1+Table4[[#This Row],[Home Differential]])-Table4[[#This Row],[Away Differential]]</f>
        <v>-1.4792498000023385E-2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0.46197299720863721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0.28947305573265703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-0.74754136228530599</v>
      </c>
      <c r="H66" t="s">
        <v>29</v>
      </c>
      <c r="I66">
        <f>VLOOKUP(Table4[[#This Row],[Visitor]],'NHL Model'!$A$6:$B$38,2,FALSE)</f>
        <v>-1.4957350924899622</v>
      </c>
      <c r="J66">
        <f>($B$1+Table4[[#This Row],[Home Differential]])-Table4[[#This Row],[Away Differential]]</f>
        <v>0.88573711917707254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0.65813804968707623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0.11686959307175596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-1.8032585202533785E-2</v>
      </c>
      <c r="H67" t="s">
        <v>11</v>
      </c>
      <c r="I67">
        <f>VLOOKUP(Table4[[#This Row],[Visitor]],'NHL Model'!$A$6:$B$38,2,FALSE)</f>
        <v>-0.37836939589441088</v>
      </c>
      <c r="J67">
        <f>($B$1+Table4[[#This Row],[Home Differential]])-Table4[[#This Row],[Away Differential]]</f>
        <v>0.49788019966429342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0.72183709166690746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7.7374603572324438E-2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3.838472305373858E-3</v>
      </c>
      <c r="H68" t="s">
        <v>17</v>
      </c>
      <c r="I68">
        <f>VLOOKUP(Table4[[#This Row],[Visitor]],'NHL Model'!$A$6:$B$38,2,FALSE)</f>
        <v>-0.87263145033954281</v>
      </c>
      <c r="J68">
        <f>($B$1+Table4[[#This Row],[Home Differential]])-Table4[[#This Row],[Away Differential]]</f>
        <v>1.0140133116173331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0.6752473012562733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0.10546431534133371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-0.31751962084606655</v>
      </c>
      <c r="H69" t="s">
        <v>32</v>
      </c>
      <c r="I69">
        <f>VLOOKUP(Table4[[#This Row],[Visitor]],'NHL Model'!$A$6:$B$38,2,FALSE)</f>
        <v>-0.45007023285116615</v>
      </c>
      <c r="J69">
        <f>($B$1+Table4[[#This Row],[Home Differential]])-Table4[[#This Row],[Away Differential]]</f>
        <v>0.27009400097751596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0.57852013913652012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0.17764527311349837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-0.42203126246971279</v>
      </c>
      <c r="H70" t="s">
        <v>40</v>
      </c>
      <c r="I70">
        <f>VLOOKUP(Table4[[#This Row],[Visitor]],'NHL Model'!$A$6:$B$38,2,FALSE)</f>
        <v>-6.0247860940930854E-2</v>
      </c>
      <c r="J70">
        <f>($B$1+Table4[[#This Row],[Home Differential]])-Table4[[#This Row],[Away Differential]]</f>
        <v>-0.22424001255636558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0.52357962216891918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0.22697637641270982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-0.93520311342823803</v>
      </c>
      <c r="H71" t="s">
        <v>15</v>
      </c>
      <c r="I71">
        <f>VLOOKUP(Table4[[#This Row],[Visitor]],'NHL Model'!$A$6:$B$38,2,FALSE)</f>
        <v>-0.49835870184734621</v>
      </c>
      <c r="J71">
        <f>($B$1+Table4[[#This Row],[Home Differential]])-Table4[[#This Row],[Away Differential]]</f>
        <v>-0.29930102260847546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0.58339850166647833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0.34035381174669194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0.12073374225454764</v>
      </c>
      <c r="H72" t="s">
        <v>21</v>
      </c>
      <c r="I72">
        <f>VLOOKUP(Table4[[#This Row],[Visitor]],'NHL Model'!$A$6:$B$38,2,FALSE)</f>
        <v>-0.14464931395309213</v>
      </c>
      <c r="J72">
        <f>($B$1+Table4[[#This Row],[Home Differential]])-Table4[[#This Row],[Away Differential]]</f>
        <v>0.40292644518005616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0.59374161629936428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0.16504587432705295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-0.15263505358797036</v>
      </c>
      <c r="H73" t="s">
        <v>38</v>
      </c>
      <c r="I73">
        <f>VLOOKUP(Table4[[#This Row],[Visitor]],'NHL Model'!$A$6:$B$38,2,FALSE)</f>
        <v>-1.1236485959014608</v>
      </c>
      <c r="J73">
        <f>($B$1+Table4[[#This Row],[Home Differential]])-Table4[[#This Row],[Away Differential]]</f>
        <v>1.1085569312859067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0.66708813118809918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0.44500657477203059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-0.66335717753705836</v>
      </c>
      <c r="H74" t="s">
        <v>37</v>
      </c>
      <c r="I74">
        <f>VLOOKUP(Table4[[#This Row],[Visitor]],'NHL Model'!$A$6:$B$38,2,FALSE)</f>
        <v>7.1667377873261273E-2</v>
      </c>
      <c r="J74">
        <f>($B$1+Table4[[#This Row],[Home Differential]])-Table4[[#This Row],[Away Differential]]</f>
        <v>-0.59748116643790328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0.57336186684156643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0.32874383034804616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-0.30969050963205513</v>
      </c>
      <c r="H75" t="s">
        <v>33</v>
      </c>
      <c r="I75">
        <f>VLOOKUP(Table4[[#This Row],[Visitor]],'NHL Model'!$A$6:$B$38,2,FALSE)</f>
        <v>-0.36178381286707545</v>
      </c>
      <c r="J75">
        <f>($B$1+Table4[[#This Row],[Home Differential]])-Table4[[#This Row],[Away Differential]]</f>
        <v>0.18963669220743667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0.61700938278508333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0.14668181287466284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6.4811420118814619E-2</v>
      </c>
      <c r="H76" t="s">
        <v>34</v>
      </c>
      <c r="I76">
        <f>VLOOKUP(Table4[[#This Row],[Visitor]],'NHL Model'!$A$6:$B$38,2,FALSE)</f>
        <v>-0.16358905079701039</v>
      </c>
      <c r="J76">
        <f>($B$1+Table4[[#This Row],[Home Differential]])-Table4[[#This Row],[Away Differential]]</f>
        <v>0.36594385988824141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0.56803971374279749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0.18658968890340433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-0.51535072045188635</v>
      </c>
      <c r="H77" t="s">
        <v>11</v>
      </c>
      <c r="I77">
        <f>VLOOKUP(Table4[[#This Row],[Visitor]],'NHL Model'!$A$6:$B$38,2,FALSE)</f>
        <v>-0.37836939589441088</v>
      </c>
      <c r="J77">
        <f>($B$1+Table4[[#This Row],[Home Differential]])-Table4[[#This Row],[Away Differential]]</f>
        <v>5.6206441494088821E-4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0.55409158765573419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0.1988343121993838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-0.59418600019583889</v>
      </c>
      <c r="H78" t="s">
        <v>37</v>
      </c>
      <c r="I78">
        <f>VLOOKUP(Table4[[#This Row],[Visitor]],'NHL Model'!$A$6:$B$38,2,FALSE)</f>
        <v>7.1667377873261273E-2</v>
      </c>
      <c r="J78">
        <f>($B$1+Table4[[#This Row],[Home Differential]])-Table4[[#This Row],[Away Differential]]</f>
        <v>-0.52830998909668381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0.58969582075764926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0.34774116101903763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1.4458345276269271</v>
      </c>
      <c r="H79" t="s">
        <v>21</v>
      </c>
      <c r="I79">
        <f>VLOOKUP(Table4[[#This Row],[Visitor]],'NHL Model'!$A$6:$B$38,2,FALSE)</f>
        <v>-0.14464931395309213</v>
      </c>
      <c r="J79">
        <f>($B$1+Table4[[#This Row],[Home Differential]])-Table4[[#This Row],[Away Differential]]</f>
        <v>1.7280272305524358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0.86540184927156294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1.8116662179515061E-2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-0.36134162888396865</v>
      </c>
      <c r="H80" t="s">
        <v>25</v>
      </c>
      <c r="I80">
        <f>VLOOKUP(Table4[[#This Row],[Visitor]],'NHL Model'!$A$6:$B$38,2,FALSE)</f>
        <v>0.42515174825138019</v>
      </c>
      <c r="J80">
        <f>($B$1+Table4[[#This Row],[Home Differential]])-Table4[[#This Row],[Away Differential]]</f>
        <v>-0.64894998816293248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0.61917897024358048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0.14502465670473977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-0.74754136228530599</v>
      </c>
      <c r="H81" t="s">
        <v>15</v>
      </c>
      <c r="I81">
        <f>VLOOKUP(Table4[[#This Row],[Visitor]],'NHL Model'!$A$6:$B$38,2,FALSE)</f>
        <v>-0.49835870184734621</v>
      </c>
      <c r="J81">
        <f>($B$1+Table4[[#This Row],[Home Differential]])-Table4[[#This Row],[Away Differential]]</f>
        <v>-0.11163927146554342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0.55836850935737725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0.19503837352722497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-1.8032585202533785E-2</v>
      </c>
      <c r="H82" t="s">
        <v>17</v>
      </c>
      <c r="I82">
        <f>VLOOKUP(Table4[[#This Row],[Visitor]],'NHL Model'!$A$6:$B$38,2,FALSE)</f>
        <v>-0.87263145033954281</v>
      </c>
      <c r="J82">
        <f>($B$1+Table4[[#This Row],[Home Differential]])-Table4[[#This Row],[Away Differential]]</f>
        <v>0.99214225410942536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0.78776088991612814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4.5045439849193881E-2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-0.31751962084606655</v>
      </c>
      <c r="H83" t="s">
        <v>30</v>
      </c>
      <c r="I83">
        <f>VLOOKUP(Table4[[#This Row],[Visitor]],'NHL Model'!$A$6:$B$38,2,FALSE)</f>
        <v>3.838472305373858E-3</v>
      </c>
      <c r="J83">
        <f>($B$1+Table4[[#This Row],[Home Differential]])-Table4[[#This Row],[Away Differential]]</f>
        <v>-0.18381470417902404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0.55463736191992841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0.19834787939764084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-0.42203126246971279</v>
      </c>
      <c r="H84" t="s">
        <v>34</v>
      </c>
      <c r="I84">
        <f>VLOOKUP(Table4[[#This Row],[Visitor]],'NHL Model'!$A$6:$B$38,2,FALSE)</f>
        <v>-0.16358905079701039</v>
      </c>
      <c r="J84">
        <f>($B$1+Table4[[#This Row],[Home Differential]])-Table4[[#This Row],[Away Differential]]</f>
        <v>-0.12089882270028604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0.46440113311614184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0.21566841243955651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-0.36178381286707545</v>
      </c>
      <c r="H85" t="s">
        <v>14</v>
      </c>
      <c r="I85">
        <f>VLOOKUP(Table4[[#This Row],[Visitor]],'NHL Model'!$A$6:$B$38,2,FALSE)</f>
        <v>-0.2090057419115289</v>
      </c>
      <c r="J85">
        <f>($B$1+Table4[[#This Row],[Home Differential]])-Table4[[#This Row],[Away Differential]]</f>
        <v>-1.5234681983130188E-2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0.46203197492588099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0.28940959600214794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-1.5569791149906038</v>
      </c>
      <c r="H86" t="s">
        <v>39</v>
      </c>
      <c r="I86">
        <f>VLOOKUP(Table4[[#This Row],[Visitor]],'NHL Model'!$A$6:$B$38,2,FALSE)</f>
        <v>4.3828122498436855E-3</v>
      </c>
      <c r="J86">
        <f>($B$1+Table4[[#This Row],[Home Differential]])-Table4[[#This Row],[Away Differential]]</f>
        <v>-1.4238185382680311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0.73086466619006185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0.53416316028511057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-0.93520311342823803</v>
      </c>
      <c r="H87" t="s">
        <v>32</v>
      </c>
      <c r="I87">
        <f>VLOOKUP(Table4[[#This Row],[Visitor]],'NHL Model'!$A$6:$B$38,2,FALSE)</f>
        <v>-0.45007023285116615</v>
      </c>
      <c r="J87">
        <f>($B$1+Table4[[#This Row],[Home Differential]])-Table4[[#This Row],[Away Differential]]</f>
        <v>-0.34758949160465552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0.50636087134752572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0.24367958933677406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0.12073374225454764</v>
      </c>
      <c r="H88" t="s">
        <v>16</v>
      </c>
      <c r="I88">
        <f>VLOOKUP(Table4[[#This Row],[Visitor]],'NHL Model'!$A$6:$B$38,2,FALSE)</f>
        <v>-1.0952038865534519</v>
      </c>
      <c r="J88">
        <f>($B$1+Table4[[#This Row],[Home Differential]])-Table4[[#This Row],[Away Differential]]</f>
        <v>1.353481017780416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0.72052490323270646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7.8106329713088091E-2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-6.0247860940930854E-2</v>
      </c>
      <c r="H89" t="s">
        <v>29</v>
      </c>
      <c r="I89">
        <f>VLOOKUP(Table4[[#This Row],[Visitor]],'NHL Model'!$A$6:$B$38,2,FALSE)</f>
        <v>-1.4957350924899622</v>
      </c>
      <c r="J89">
        <f>($B$1+Table4[[#This Row],[Home Differential]])-Table4[[#This Row],[Away Differential]]</f>
        <v>1.5730306205214477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0.75230351996829914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6.1353546220094785E-2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-0.15263505358797036</v>
      </c>
      <c r="H90" t="s">
        <v>31</v>
      </c>
      <c r="I90">
        <f>VLOOKUP(Table4[[#This Row],[Visitor]],'NHL Model'!$A$6:$B$38,2,FALSE)</f>
        <v>0.34329638981067145</v>
      </c>
      <c r="J90">
        <f>($B$1+Table4[[#This Row],[Home Differential]])-Table4[[#This Row],[Away Differential]]</f>
        <v>-0.35838805442622546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0.52857039531836569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0.27938666280701341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-0.66335717753705836</v>
      </c>
      <c r="H91" t="s">
        <v>17</v>
      </c>
      <c r="I91">
        <f>VLOOKUP(Table4[[#This Row],[Visitor]],'NHL Model'!$A$6:$B$38,2,FALSE)</f>
        <v>-0.87263145033954281</v>
      </c>
      <c r="J91">
        <f>($B$1+Table4[[#This Row],[Home Differential]])-Table4[[#This Row],[Away Differential]]</f>
        <v>0.34681766177490081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0.61850399185884608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0.14553920422763539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-0.30969050963205513</v>
      </c>
      <c r="H92" t="s">
        <v>21</v>
      </c>
      <c r="I92">
        <f>VLOOKUP(Table4[[#This Row],[Visitor]],'NHL Model'!$A$6:$B$38,2,FALSE)</f>
        <v>-0.14464931395309213</v>
      </c>
      <c r="J92">
        <f>($B$1+Table4[[#This Row],[Home Differential]])-Table4[[#This Row],[Away Differential]]</f>
        <v>-2.749780670654664E-2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0.41195163247112643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0.16970414749562601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6.4811420118814619E-2</v>
      </c>
      <c r="H93" t="s">
        <v>38</v>
      </c>
      <c r="I93">
        <f>VLOOKUP(Table4[[#This Row],[Visitor]],'NHL Model'!$A$6:$B$38,2,FALSE)</f>
        <v>-1.1236485959014608</v>
      </c>
      <c r="J93">
        <f>($B$1+Table4[[#This Row],[Home Differential]])-Table4[[#This Row],[Away Differential]]</f>
        <v>1.3260034049926919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0.69609075709014878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0.48454234210633651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-1.0952038865534519</v>
      </c>
      <c r="H94" t="s">
        <v>40</v>
      </c>
      <c r="I94">
        <f>VLOOKUP(Table4[[#This Row],[Visitor]],'NHL Model'!$A$6:$B$38,2,FALSE)</f>
        <v>-6.0247860940930854E-2</v>
      </c>
      <c r="J94">
        <f>($B$1+Table4[[#This Row],[Home Differential]])-Table4[[#This Row],[Away Differential]]</f>
        <v>-0.89741263664010473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0.64601109902071918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0.12530814201651908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-0.74754136228530599</v>
      </c>
      <c r="H95" t="s">
        <v>23</v>
      </c>
      <c r="I95">
        <f>VLOOKUP(Table4[[#This Row],[Visitor]],'NHL Model'!$A$6:$B$38,2,FALSE)</f>
        <v>-0.51535072045188635</v>
      </c>
      <c r="J95">
        <f>($B$1+Table4[[#This Row],[Home Differential]])-Table4[[#This Row],[Away Differential]]</f>
        <v>-9.4647252861003284E-2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0.47262388311288911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0.22337333488870587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-0.49835870184734621</v>
      </c>
      <c r="H96" t="s">
        <v>34</v>
      </c>
      <c r="I96">
        <f>VLOOKUP(Table4[[#This Row],[Visitor]],'NHL Model'!$A$6:$B$38,2,FALSE)</f>
        <v>-0.16358905079701039</v>
      </c>
      <c r="J96">
        <f>($B$1+Table4[[#This Row],[Home Differential]])-Table4[[#This Row],[Away Differential]]</f>
        <v>-0.19722626207791946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0.50707492062290338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0.242975133878917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-0.42203126246971279</v>
      </c>
      <c r="H97" t="s">
        <v>32</v>
      </c>
      <c r="I97">
        <f>VLOOKUP(Table4[[#This Row],[Visitor]],'NHL Model'!$A$6:$B$38,2,FALSE)</f>
        <v>-0.45007023285116615</v>
      </c>
      <c r="J97">
        <f>($B$1+Table4[[#This Row],[Home Differential]])-Table4[[#This Row],[Away Differential]]</f>
        <v>0.16558235935386972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0.59433114790898367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0.16456721755684289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0.12073374225454764</v>
      </c>
      <c r="H98" t="s">
        <v>25</v>
      </c>
      <c r="I98">
        <f>VLOOKUP(Table4[[#This Row],[Visitor]],'NHL Model'!$A$6:$B$38,2,FALSE)</f>
        <v>0.42515174825138019</v>
      </c>
      <c r="J98">
        <f>($B$1+Table4[[#This Row],[Home Differential]])-Table4[[#This Row],[Away Differential]]</f>
        <v>-0.16687461702441619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0.55488061025005264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0.30789249163147081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-0.14464931395309213</v>
      </c>
      <c r="H99" t="s">
        <v>11</v>
      </c>
      <c r="I99">
        <f>VLOOKUP(Table4[[#This Row],[Visitor]],'NHL Model'!$A$6:$B$38,2,FALSE)</f>
        <v>-0.37836939589441088</v>
      </c>
      <c r="J99">
        <f>($B$1+Table4[[#This Row],[Home Differential]])-Table4[[#This Row],[Away Differential]]</f>
        <v>0.37126347091373513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0.64123444114917649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0.41118160851589669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4.3828122498436855E-3</v>
      </c>
      <c r="H100" t="s">
        <v>28</v>
      </c>
      <c r="I100">
        <f>VLOOKUP(Table4[[#This Row],[Visitor]],'NHL Model'!$A$6:$B$38,2,FALSE)</f>
        <v>-0.59418600019583889</v>
      </c>
      <c r="J100">
        <f>($B$1+Table4[[#This Row],[Home Differential]])-Table4[[#This Row],[Away Differential]]</f>
        <v>0.73611220141809897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0.63984800957706711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0.40940547535973454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-1.4957350924899622</v>
      </c>
      <c r="H101" t="s">
        <v>31</v>
      </c>
      <c r="I101">
        <f>VLOOKUP(Table4[[#This Row],[Visitor]],'NHL Model'!$A$6:$B$38,2,FALSE)</f>
        <v>0.34329638981067145</v>
      </c>
      <c r="J101">
        <f>($B$1+Table4[[#This Row],[Home Differential]])-Table4[[#This Row],[Away Differential]]</f>
        <v>-1.701488093328217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0.70771070195690522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8.5433033750525092E-2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3.838472305373858E-3</v>
      </c>
      <c r="H102" t="s">
        <v>33</v>
      </c>
      <c r="I102">
        <f>VLOOKUP(Table4[[#This Row],[Visitor]],'NHL Model'!$A$6:$B$38,2,FALSE)</f>
        <v>-0.36178381286707545</v>
      </c>
      <c r="J102">
        <f>($B$1+Table4[[#This Row],[Home Differential]])-Table4[[#This Row],[Away Differential]]</f>
        <v>0.50316567414486568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0.60711134729024918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0.1543614934280832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-0.31751962084606655</v>
      </c>
      <c r="H103" t="s">
        <v>17</v>
      </c>
      <c r="I103">
        <f>VLOOKUP(Table4[[#This Row],[Visitor]],'NHL Model'!$A$6:$B$38,2,FALSE)</f>
        <v>-0.87263145033954281</v>
      </c>
      <c r="J103">
        <f>($B$1+Table4[[#This Row],[Home Differential]])-Table4[[#This Row],[Away Differential]]</f>
        <v>0.69265521846589262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0.63488060662359325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0.40307338466674175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-0.2090057419115289</v>
      </c>
      <c r="H104" t="s">
        <v>38</v>
      </c>
      <c r="I104">
        <f>VLOOKUP(Table4[[#This Row],[Visitor]],'NHL Model'!$A$6:$B$38,2,FALSE)</f>
        <v>-1.1236485959014608</v>
      </c>
      <c r="J104">
        <f>($B$1+Table4[[#This Row],[Home Differential]])-Table4[[#This Row],[Away Differential]]</f>
        <v>1.0521862429623483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0.65956950852469487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0.1158929195261178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-1.5569791149906038</v>
      </c>
      <c r="H105" t="s">
        <v>13</v>
      </c>
      <c r="I105">
        <f>VLOOKUP(Table4[[#This Row],[Visitor]],'NHL Model'!$A$6:$B$38,2,FALSE)</f>
        <v>-0.36134162888396865</v>
      </c>
      <c r="J105">
        <f>($B$1+Table4[[#This Row],[Home Differential]])-Table4[[#This Row],[Away Differential]]</f>
        <v>-1.0580940971342188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0.68460497929927433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9.9474019082811171E-2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-0.93520311342823803</v>
      </c>
      <c r="H106" t="s">
        <v>24</v>
      </c>
      <c r="I106">
        <f>VLOOKUP(Table4[[#This Row],[Visitor]],'NHL Model'!$A$6:$B$38,2,FALSE)</f>
        <v>-1.8032585202533785E-2</v>
      </c>
      <c r="J106">
        <f>($B$1+Table4[[#This Row],[Home Differential]])-Table4[[#This Row],[Away Differential]]</f>
        <v>-0.77962713925328786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0.564814781408849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0.18938617448022788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-0.30969050963205513</v>
      </c>
      <c r="H107" t="s">
        <v>12</v>
      </c>
      <c r="I107">
        <f>VLOOKUP(Table4[[#This Row],[Visitor]],'NHL Model'!$A$6:$B$38,2,FALSE)</f>
        <v>1.4458345276269271</v>
      </c>
      <c r="J107">
        <f>($B$1+Table4[[#This Row],[Home Differential]])-Table4[[#This Row],[Away Differential]]</f>
        <v>-1.6179816482865659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0.71580352930861291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0.51237469257066626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6.4811420118814619E-2</v>
      </c>
      <c r="H108" t="s">
        <v>32</v>
      </c>
      <c r="I108">
        <f>VLOOKUP(Table4[[#This Row],[Visitor]],'NHL Model'!$A$6:$B$38,2,FALSE)</f>
        <v>-0.45007023285116615</v>
      </c>
      <c r="J108">
        <f>($B$1+Table4[[#This Row],[Home Differential]])-Table4[[#This Row],[Away Differential]]</f>
        <v>0.65242504194239714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0.62701929765989062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0.13911460431812128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-0.51535072045188635</v>
      </c>
      <c r="H109" t="s">
        <v>26</v>
      </c>
      <c r="I109">
        <f>VLOOKUP(Table4[[#This Row],[Visitor]],'NHL Model'!$A$6:$B$38,2,FALSE)</f>
        <v>-0.66335717753705836</v>
      </c>
      <c r="J109">
        <f>($B$1+Table4[[#This Row],[Home Differential]])-Table4[[#This Row],[Away Differential]]</f>
        <v>0.28554984605758837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0.5451283867217207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0.20690818456638446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-1.0952038865534519</v>
      </c>
      <c r="H110" t="s">
        <v>18</v>
      </c>
      <c r="I110">
        <f>VLOOKUP(Table4[[#This Row],[Visitor]],'NHL Model'!$A$6:$B$38,2,FALSE)</f>
        <v>-0.74754136228530599</v>
      </c>
      <c r="J110">
        <f>($B$1+Table4[[#This Row],[Home Differential]])-Table4[[#This Row],[Away Differential]]</f>
        <v>-0.21011913529572956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0.53512470995088213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0.21610903529825148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-1.8032585202533785E-2</v>
      </c>
      <c r="H111" t="s">
        <v>34</v>
      </c>
      <c r="I111">
        <f>VLOOKUP(Table4[[#This Row],[Visitor]],'NHL Model'!$A$6:$B$38,2,FALSE)</f>
        <v>-0.16358905079701039</v>
      </c>
      <c r="J111">
        <f>($B$1+Table4[[#This Row],[Home Differential]])-Table4[[#This Row],[Away Differential]]</f>
        <v>0.28309985456689296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0.67412299403434217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0.10619582301714139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-0.14464931395309213</v>
      </c>
      <c r="H112" t="s">
        <v>31</v>
      </c>
      <c r="I112">
        <f>VLOOKUP(Table4[[#This Row],[Visitor]],'NHL Model'!$A$6:$B$38,2,FALSE)</f>
        <v>0.34329638981067145</v>
      </c>
      <c r="J112">
        <f>($B$1+Table4[[#This Row],[Home Differential]])-Table4[[#This Row],[Away Differential]]</f>
        <v>-0.3504023147913472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0.47530746929844142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0.27530225177400602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1.4458345276269271</v>
      </c>
      <c r="H113" t="s">
        <v>25</v>
      </c>
      <c r="I113">
        <f>VLOOKUP(Table4[[#This Row],[Visitor]],'NHL Model'!$A$6:$B$38,2,FALSE)</f>
        <v>0.42515174825138019</v>
      </c>
      <c r="J113">
        <f>($B$1+Table4[[#This Row],[Home Differential]])-Table4[[#This Row],[Away Differential]]</f>
        <v>1.1582261683479633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0.71969954821371518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0.5179674396990257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4.3828122498436855E-3</v>
      </c>
      <c r="H114" t="s">
        <v>13</v>
      </c>
      <c r="I114">
        <f>VLOOKUP(Table4[[#This Row],[Visitor]],'NHL Model'!$A$6:$B$38,2,FALSE)</f>
        <v>-0.36134162888396865</v>
      </c>
      <c r="J114">
        <f>($B$1+Table4[[#This Row],[Home Differential]])-Table4[[#This Row],[Away Differential]]</f>
        <v>0.50326783010622866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0.52614136611423867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0.27682473713655736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-0.87263145033954281</v>
      </c>
      <c r="H115" t="s">
        <v>18</v>
      </c>
      <c r="I115">
        <f>VLOOKUP(Table4[[#This Row],[Visitor]],'NHL Model'!$A$6:$B$38,2,FALSE)</f>
        <v>-0.74754136228530599</v>
      </c>
      <c r="J115">
        <f>($B$1+Table4[[#This Row],[Home Differential]])-Table4[[#This Row],[Away Differential]]</f>
        <v>1.2453300918179533E-2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0.53107276394683878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0.21989275271245717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-0.37836939589441088</v>
      </c>
      <c r="H116" t="s">
        <v>14</v>
      </c>
      <c r="I116">
        <f>VLOOKUP(Table4[[#This Row],[Visitor]],'NHL Model'!$A$6:$B$38,2,FALSE)</f>
        <v>-0.2090057419115289</v>
      </c>
      <c r="J116">
        <f>($B$1+Table4[[#This Row],[Home Differential]])-Table4[[#This Row],[Away Differential]]</f>
        <v>-3.1820265010465615E-2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0.41252815431132339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0.34512316947686028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-1.4957350924899622</v>
      </c>
      <c r="H117" t="s">
        <v>38</v>
      </c>
      <c r="I117">
        <f>VLOOKUP(Table4[[#This Row],[Visitor]],'NHL Model'!$A$6:$B$38,2,FALSE)</f>
        <v>-1.1236485959014608</v>
      </c>
      <c r="J117">
        <f>($B$1+Table4[[#This Row],[Home Differential]])-Table4[[#This Row],[Away Differential]]</f>
        <v>-0.23454310761608488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0.51205217545044035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0.26219743038352855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3.838472305373858E-3</v>
      </c>
      <c r="H118" t="s">
        <v>26</v>
      </c>
      <c r="I118">
        <f>VLOOKUP(Table4[[#This Row],[Visitor]],'NHL Model'!$A$6:$B$38,2,FALSE)</f>
        <v>-0.66335717753705836</v>
      </c>
      <c r="J118">
        <f>($B$1+Table4[[#This Row],[Home Differential]])-Table4[[#This Row],[Away Differential]]</f>
        <v>0.80473903881484854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0.600235277569797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0.15981183329969725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-0.49835870184734621</v>
      </c>
      <c r="H119" t="s">
        <v>33</v>
      </c>
      <c r="I119">
        <f>VLOOKUP(Table4[[#This Row],[Visitor]],'NHL Model'!$A$6:$B$38,2,FALSE)</f>
        <v>-0.36178381286707545</v>
      </c>
      <c r="J119">
        <f>($B$1+Table4[[#This Row],[Home Differential]])-Table4[[#This Row],[Away Differential]]</f>
        <v>9.6849999214559945E-4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0.54012917681523875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0.29173952764710748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-0.31751962084606655</v>
      </c>
      <c r="H120" t="s">
        <v>27</v>
      </c>
      <c r="I120">
        <f>VLOOKUP(Table4[[#This Row],[Visitor]],'NHL Model'!$A$6:$B$38,2,FALSE)</f>
        <v>-0.42203126246971279</v>
      </c>
      <c r="J120">
        <f>($B$1+Table4[[#This Row],[Home Differential]])-Table4[[#This Row],[Away Differential]]</f>
        <v>0.24205503059606259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0.5747803508806365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0.1808117499971946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-1.5569791149906038</v>
      </c>
      <c r="H121" t="s">
        <v>55</v>
      </c>
      <c r="I121">
        <f>VLOOKUP(Table4[[#This Row],[Visitor]],'NHL Model'!$A$6:$B$38,2,FALSE)</f>
        <v>-0.30969050963205513</v>
      </c>
      <c r="J121">
        <f>($B$1+Table4[[#This Row],[Home Differential]])-Table4[[#This Row],[Away Differential]]</f>
        <v>-1.1097452163861323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0.60801585332138541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0.15365157124736165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7.1667377873261273E-2</v>
      </c>
      <c r="H122" t="s">
        <v>10</v>
      </c>
      <c r="I122">
        <f>VLOOKUP(Table4[[#This Row],[Visitor]],'NHL Model'!$A$6:$B$38,2,FALSE)</f>
        <v>-0.15263505358797036</v>
      </c>
      <c r="J122">
        <f>($B$1+Table4[[#This Row],[Home Differential]])-Table4[[#This Row],[Away Differential]]</f>
        <v>0.36184582043364799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0.59075783446519603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0.34899481898200796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-6.0247860940930854E-2</v>
      </c>
      <c r="H123" t="s">
        <v>32</v>
      </c>
      <c r="I123">
        <f>VLOOKUP(Table4[[#This Row],[Visitor]],'NHL Model'!$A$6:$B$38,2,FALSE)</f>
        <v>-0.45007023285116615</v>
      </c>
      <c r="J123">
        <f>($B$1+Table4[[#This Row],[Home Differential]])-Table4[[#This Row],[Away Differential]]</f>
        <v>0.52736576088265164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0.61283459124279827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0.37556623622372765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-0.51535072045188635</v>
      </c>
      <c r="H124" t="s">
        <v>19</v>
      </c>
      <c r="I124">
        <f>VLOOKUP(Table4[[#This Row],[Visitor]],'NHL Model'!$A$6:$B$38,2,FALSE)</f>
        <v>-0.93520311342823803</v>
      </c>
      <c r="J124">
        <f>($B$1+Table4[[#This Row],[Home Differential]])-Table4[[#This Row],[Away Differential]]</f>
        <v>0.55739578194876804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0.62836108361020993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0.13811548417537739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-0.59418600019583889</v>
      </c>
      <c r="H125" t="s">
        <v>22</v>
      </c>
      <c r="I125">
        <f>VLOOKUP(Table4[[#This Row],[Visitor]],'NHL Model'!$A$6:$B$38,2,FALSE)</f>
        <v>6.4811420118814619E-2</v>
      </c>
      <c r="J125">
        <f>($B$1+Table4[[#This Row],[Home Differential]])-Table4[[#This Row],[Away Differential]]</f>
        <v>-0.52145403134223711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0.54323482653919153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0.20863442368668245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-1.8032585202533785E-2</v>
      </c>
      <c r="H126" t="s">
        <v>33</v>
      </c>
      <c r="I126">
        <f>VLOOKUP(Table4[[#This Row],[Visitor]],'NHL Model'!$A$6:$B$38,2,FALSE)</f>
        <v>-0.36178381286707545</v>
      </c>
      <c r="J126">
        <f>($B$1+Table4[[#This Row],[Home Differential]])-Table4[[#This Row],[Away Differential]]</f>
        <v>0.48129461663695805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0.71962493595010413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7.8610176540983207E-2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-6.0247860940930854E-2</v>
      </c>
      <c r="H127" t="s">
        <v>16</v>
      </c>
      <c r="I127">
        <f>VLOOKUP(Table4[[#This Row],[Visitor]],'NHL Model'!$A$6:$B$38,2,FALSE)</f>
        <v>-1.0952038865534519</v>
      </c>
      <c r="J127">
        <f>($B$1+Table4[[#This Row],[Home Differential]])-Table4[[#This Row],[Away Differential]]</f>
        <v>1.1724994145849374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0.69888137644097981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9.0672425454078914E-2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-0.14464931395309213</v>
      </c>
      <c r="H128" t="s">
        <v>12</v>
      </c>
      <c r="I128">
        <f>VLOOKUP(Table4[[#This Row],[Visitor]],'NHL Model'!$A$6:$B$38,2,FALSE)</f>
        <v>1.4458345276269271</v>
      </c>
      <c r="J128">
        <f>($B$1+Table4[[#This Row],[Home Differential]])-Table4[[#This Row],[Away Differential]]</f>
        <v>-1.4529404526076029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0.69379062666132307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0.48134543364311139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4.3828122498436855E-3</v>
      </c>
      <c r="H129" t="s">
        <v>25</v>
      </c>
      <c r="I129">
        <f>VLOOKUP(Table4[[#This Row],[Visitor]],'NHL Model'!$A$6:$B$38,2,FALSE)</f>
        <v>0.42515174825138019</v>
      </c>
      <c r="J129">
        <f>($B$1+Table4[[#This Row],[Home Differential]])-Table4[[#This Row],[Away Differential]]</f>
        <v>-0.28322554702912017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0.5678966042366218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0.32250655310348625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-0.66335717753705836</v>
      </c>
      <c r="H130" t="s">
        <v>35</v>
      </c>
      <c r="I130">
        <f>VLOOKUP(Table4[[#This Row],[Visitor]],'NHL Model'!$A$6:$B$38,2,FALSE)</f>
        <v>-1.5569791149906038</v>
      </c>
      <c r="J130">
        <f>($B$1+Table4[[#This Row],[Home Differential]])-Table4[[#This Row],[Away Differential]]</f>
        <v>1.0311653264259619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0.7097810724500897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8.422702590822008E-2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-0.37836939589441088</v>
      </c>
      <c r="H131" t="s">
        <v>20</v>
      </c>
      <c r="I131">
        <f>VLOOKUP(Table4[[#This Row],[Visitor]],'NHL Model'!$A$6:$B$38,2,FALSE)</f>
        <v>0.12073374225454764</v>
      </c>
      <c r="J131">
        <f>($B$1+Table4[[#This Row],[Home Differential]])-Table4[[#This Row],[Away Differential]]</f>
        <v>-0.36155974917654216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0.47679562815420112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0.22733407102695924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-0.16358905079701039</v>
      </c>
      <c r="H132" t="s">
        <v>55</v>
      </c>
      <c r="I132">
        <f>VLOOKUP(Table4[[#This Row],[Visitor]],'NHL Model'!$A$6:$B$38,2,FALSE)</f>
        <v>-0.30969050963205513</v>
      </c>
      <c r="J132">
        <f>($B$1+Table4[[#This Row],[Home Differential]])-Table4[[#This Row],[Away Differential]]</f>
        <v>0.28364484780746113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0.57783204790479381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0.33388987558584793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-1.4957350924899622</v>
      </c>
      <c r="H133" t="s">
        <v>13</v>
      </c>
      <c r="I133">
        <f>VLOOKUP(Table4[[#This Row],[Visitor]],'NHL Model'!$A$6:$B$38,2,FALSE)</f>
        <v>-0.36134162888396865</v>
      </c>
      <c r="J133">
        <f>($B$1+Table4[[#This Row],[Home Differential]])-Table4[[#This Row],[Away Differential]]</f>
        <v>-0.99685007463357711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0.67643635994645845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0.45756614905761472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-0.42203126246971279</v>
      </c>
      <c r="H134" t="s">
        <v>30</v>
      </c>
      <c r="I134">
        <f>VLOOKUP(Table4[[#This Row],[Visitor]],'NHL Model'!$A$6:$B$38,2,FALSE)</f>
        <v>3.838472305373858E-3</v>
      </c>
      <c r="J134">
        <f>($B$1+Table4[[#This Row],[Home Differential]])-Table4[[#This Row],[Away Differential]]</f>
        <v>-0.2883263458026703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0.53845645782371165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0.28993535697205858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-0.2090057419115289</v>
      </c>
      <c r="H135" t="s">
        <v>28</v>
      </c>
      <c r="I135">
        <f>VLOOKUP(Table4[[#This Row],[Visitor]],'NHL Model'!$A$6:$B$38,2,FALSE)</f>
        <v>-0.59418600019583889</v>
      </c>
      <c r="J135">
        <f>($B$1+Table4[[#This Row],[Home Differential]])-Table4[[#This Row],[Away Differential]]</f>
        <v>0.52272364725672638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0.60889046204946917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0.37074759477481606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-0.45007023285116615</v>
      </c>
      <c r="H136" t="s">
        <v>17</v>
      </c>
      <c r="I136">
        <f>VLOOKUP(Table4[[#This Row],[Visitor]],'NHL Model'!$A$6:$B$38,2,FALSE)</f>
        <v>-0.87263145033954281</v>
      </c>
      <c r="J136">
        <f>($B$1+Table4[[#This Row],[Home Differential]])-Table4[[#This Row],[Away Differential]]</f>
        <v>0.56010460646079308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0.64074349718093215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0.12906523481778689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7.1667377873261273E-2</v>
      </c>
      <c r="H137" t="s">
        <v>31</v>
      </c>
      <c r="I137">
        <f>VLOOKUP(Table4[[#This Row],[Visitor]],'NHL Model'!$A$6:$B$38,2,FALSE)</f>
        <v>0.34329638981067145</v>
      </c>
      <c r="J137">
        <f>($B$1+Table4[[#This Row],[Home Differential]])-Table4[[#This Row],[Away Differential]]</f>
        <v>-0.13408562296499382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0.4961449726982986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0.24615983393379548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-0.93520311342823803</v>
      </c>
      <c r="H138" t="s">
        <v>23</v>
      </c>
      <c r="I138">
        <f>VLOOKUP(Table4[[#This Row],[Visitor]],'NHL Model'!$A$6:$B$38,2,FALSE)</f>
        <v>-0.51535072045188635</v>
      </c>
      <c r="J138">
        <f>($B$1+Table4[[#This Row],[Home Differential]])-Table4[[#This Row],[Away Differential]]</f>
        <v>-0.28230900400393533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0.49765387542199013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0.24765937972252566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-1.1236485959014608</v>
      </c>
      <c r="H139" t="s">
        <v>18</v>
      </c>
      <c r="I139">
        <f>VLOOKUP(Table4[[#This Row],[Visitor]],'NHL Model'!$A$6:$B$38,2,FALSE)</f>
        <v>-0.74754136228530599</v>
      </c>
      <c r="J139">
        <f>($B$1+Table4[[#This Row],[Home Differential]])-Table4[[#This Row],[Away Differential]]</f>
        <v>-0.23856384464373848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0.53891861495218962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0.21259604363760717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6.4811420118814619E-2</v>
      </c>
      <c r="H140" t="s">
        <v>36</v>
      </c>
      <c r="I140">
        <f>VLOOKUP(Table4[[#This Row],[Visitor]],'NHL Model'!$A$6:$B$38,2,FALSE)</f>
        <v>-0.31751962084606655</v>
      </c>
      <c r="J140">
        <f>($B$1+Table4[[#This Row],[Home Differential]])-Table4[[#This Row],[Away Differential]]</f>
        <v>0.51987442993729749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0.58857070080328211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0.34641546984406663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-1.0952038865534519</v>
      </c>
      <c r="H141" t="s">
        <v>15</v>
      </c>
      <c r="I141">
        <f>VLOOKUP(Table4[[#This Row],[Visitor]],'NHL Model'!$A$6:$B$38,2,FALSE)</f>
        <v>-0.49835870184734621</v>
      </c>
      <c r="J141">
        <f>($B$1+Table4[[#This Row],[Home Differential]])-Table4[[#This Row],[Away Differential]]</f>
        <v>-0.45930179573368934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0.60473912167233168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0.36570940528102319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-0.15263505358797036</v>
      </c>
      <c r="H142" t="s">
        <v>13</v>
      </c>
      <c r="I142">
        <f>VLOOKUP(Table4[[#This Row],[Visitor]],'NHL Model'!$A$6:$B$38,2,FALSE)</f>
        <v>-0.36134162888396865</v>
      </c>
      <c r="J142">
        <f>($B$1+Table4[[#This Row],[Home Differential]])-Table4[[#This Row],[Away Differential]]</f>
        <v>0.34624996426841465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0.50270394669208118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0.25271125801979483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-0.16358905079701039</v>
      </c>
      <c r="H143" t="s">
        <v>33</v>
      </c>
      <c r="I143">
        <f>VLOOKUP(Table4[[#This Row],[Visitor]],'NHL Model'!$A$6:$B$38,2,FALSE)</f>
        <v>-0.36178381286707545</v>
      </c>
      <c r="J143">
        <f>($B$1+Table4[[#This Row],[Home Differential]])-Table4[[#This Row],[Away Differential]]</f>
        <v>0.33573815104248139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0.58478016051371384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0.3419678361304449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-1.8032585202533785E-2</v>
      </c>
      <c r="H144" t="s">
        <v>12</v>
      </c>
      <c r="I144">
        <f>VLOOKUP(Table4[[#This Row],[Visitor]],'NHL Model'!$A$6:$B$38,2,FALSE)</f>
        <v>1.4458345276269271</v>
      </c>
      <c r="J144">
        <f>($B$1+Table4[[#This Row],[Home Differential]])-Table4[[#This Row],[Away Differential]]</f>
        <v>-1.3263237238570444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0.60933514385515064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0.37128931753697714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-1.4957350924899622</v>
      </c>
      <c r="H145" t="s">
        <v>39</v>
      </c>
      <c r="I145">
        <f>VLOOKUP(Table4[[#This Row],[Visitor]],'NHL Model'!$A$6:$B$38,2,FALSE)</f>
        <v>4.3828122498436855E-3</v>
      </c>
      <c r="J145">
        <f>($B$1+Table4[[#This Row],[Home Differential]])-Table4[[#This Row],[Away Differential]]</f>
        <v>-1.3625745157673894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0.72269604683724598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7.6897482439690884E-2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7.1667377873261273E-2</v>
      </c>
      <c r="H146" t="s">
        <v>20</v>
      </c>
      <c r="I146">
        <f>VLOOKUP(Table4[[#This Row],[Visitor]],'NHL Model'!$A$6:$B$38,2,FALSE)</f>
        <v>0.12073374225454764</v>
      </c>
      <c r="J146">
        <f>($B$1+Table4[[#This Row],[Home Differential]])-Table4[[#This Row],[Away Differential]]</f>
        <v>8.8477024591129994E-2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0.53354003941895489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0.21758489482527016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-1.1236485959014608</v>
      </c>
      <c r="H147" t="s">
        <v>17</v>
      </c>
      <c r="I147">
        <f>VLOOKUP(Table4[[#This Row],[Visitor]],'NHL Model'!$A$6:$B$38,2,FALSE)</f>
        <v>-0.87263145033954281</v>
      </c>
      <c r="J147">
        <f>($B$1+Table4[[#This Row],[Home Differential]])-Table4[[#This Row],[Away Differential]]</f>
        <v>-0.11347375658950165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0.47513492886761333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0.22575320063003199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-6.0247860940930854E-2</v>
      </c>
      <c r="H148" t="s">
        <v>55</v>
      </c>
      <c r="I148">
        <f>VLOOKUP(Table4[[#This Row],[Visitor]],'NHL Model'!$A$6:$B$38,2,FALSE)</f>
        <v>-0.30969050963205513</v>
      </c>
      <c r="J148">
        <f>($B$1+Table4[[#This Row],[Home Differential]])-Table4[[#This Row],[Away Differential]]</f>
        <v>0.38698603766354067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0.59411099215492724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0.35296787099931204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-0.31751962084606655</v>
      </c>
      <c r="H149" t="s">
        <v>21</v>
      </c>
      <c r="I149">
        <f>VLOOKUP(Table4[[#This Row],[Visitor]],'NHL Model'!$A$6:$B$38,2,FALSE)</f>
        <v>-0.14464931395309213</v>
      </c>
      <c r="J149">
        <f>($B$1+Table4[[#This Row],[Home Differential]])-Table4[[#This Row],[Away Differential]]</f>
        <v>-3.532691792055806E-2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0.46221636259864068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0.21364396585391809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-0.2090057419115289</v>
      </c>
      <c r="H150" t="s">
        <v>35</v>
      </c>
      <c r="I150">
        <f>VLOOKUP(Table4[[#This Row],[Visitor]],'NHL Model'!$A$6:$B$38,2,FALSE)</f>
        <v>-1.5569791149906038</v>
      </c>
      <c r="J150">
        <f>($B$1+Table4[[#This Row],[Home Differential]])-Table4[[#This Row],[Away Differential]]</f>
        <v>1.4855167620514913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0.73813559717275345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6.8572965468070443E-2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-0.14464931395309213</v>
      </c>
      <c r="H151" t="s">
        <v>30</v>
      </c>
      <c r="I151">
        <f>VLOOKUP(Table4[[#This Row],[Visitor]],'NHL Model'!$A$6:$B$38,2,FALSE)</f>
        <v>3.838472305373858E-3</v>
      </c>
      <c r="J151">
        <f>($B$1+Table4[[#This Row],[Home Differential]])-Table4[[#This Row],[Away Differential]]</f>
        <v>-1.0944397286049633E-2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0.48145974434443461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0.23180348542420834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-0.51535072045188635</v>
      </c>
      <c r="H152" t="s">
        <v>28</v>
      </c>
      <c r="I152">
        <f>VLOOKUP(Table4[[#This Row],[Visitor]],'NHL Model'!$A$6:$B$38,2,FALSE)</f>
        <v>-0.59418600019583889</v>
      </c>
      <c r="J152">
        <f>($B$1+Table4[[#This Row],[Home Differential]])-Table4[[#This Row],[Away Differential]]</f>
        <v>0.2163786687163689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0.58205169332355899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0.33878417370082237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0.42515174825138019</v>
      </c>
      <c r="H153" t="s">
        <v>20</v>
      </c>
      <c r="I153">
        <f>VLOOKUP(Table4[[#This Row],[Visitor]],'NHL Model'!$A$6:$B$38,2,FALSE)</f>
        <v>0.12073374225454764</v>
      </c>
      <c r="J153">
        <f>($B$1+Table4[[#This Row],[Home Differential]])-Table4[[#This Row],[Away Differential]]</f>
        <v>0.44196139496924886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0.63037660026037268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0.39737465815582568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-0.15263505358797036</v>
      </c>
      <c r="H154" t="s">
        <v>36</v>
      </c>
      <c r="I154">
        <f>VLOOKUP(Table4[[#This Row],[Visitor]],'NHL Model'!$A$6:$B$38,2,FALSE)</f>
        <v>-0.31751962084606655</v>
      </c>
      <c r="J154">
        <f>($B$1+Table4[[#This Row],[Home Differential]])-Table4[[#This Row],[Away Differential]]</f>
        <v>0.30242795623051255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0.55956807490123261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0.19398028064620623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1.4458345276269271</v>
      </c>
      <c r="H155" t="s">
        <v>24</v>
      </c>
      <c r="I155">
        <f>VLOOKUP(Table4[[#This Row],[Visitor]],'NHL Model'!$A$6:$B$38,2,FALSE)</f>
        <v>-1.8032585202533785E-2</v>
      </c>
      <c r="J155">
        <f>($B$1+Table4[[#This Row],[Home Differential]])-Table4[[#This Row],[Away Differential]]</f>
        <v>1.6014105018018774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0.8477396405757377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2.3183217052005541E-2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4.3828122498436855E-3</v>
      </c>
      <c r="H156" t="s">
        <v>22</v>
      </c>
      <c r="I156">
        <f>VLOOKUP(Table4[[#This Row],[Visitor]],'NHL Model'!$A$6:$B$38,2,FALSE)</f>
        <v>6.4811420118814619E-2</v>
      </c>
      <c r="J156">
        <f>($B$1+Table4[[#This Row],[Home Differential]])-Table4[[#This Row],[Away Differential]]</f>
        <v>7.7114781103445426E-2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0.53202456348750482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0.2190010091790604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-0.87263145033954281</v>
      </c>
      <c r="H157" t="s">
        <v>55</v>
      </c>
      <c r="I157">
        <f>VLOOKUP(Table4[[#This Row],[Visitor]],'NHL Model'!$A$6:$B$38,2,FALSE)</f>
        <v>-0.30969050963205513</v>
      </c>
      <c r="J157">
        <f>($B$1+Table4[[#This Row],[Home Differential]])-Table4[[#This Row],[Away Differential]]</f>
        <v>-0.42539755173507132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0.48070190637069482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0.23107432278842024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-0.37836939589441088</v>
      </c>
      <c r="H158" t="s">
        <v>31</v>
      </c>
      <c r="I158">
        <f>VLOOKUP(Table4[[#This Row],[Visitor]],'NHL Model'!$A$6:$B$38,2,FALSE)</f>
        <v>0.34329638981067145</v>
      </c>
      <c r="J158">
        <f>($B$1+Table4[[#This Row],[Home Differential]])-Table4[[#This Row],[Away Differential]]</f>
        <v>-0.58412239673266597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0.50648064027145456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0.24356135842687343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-0.16358905079701039</v>
      </c>
      <c r="H159" t="s">
        <v>40</v>
      </c>
      <c r="I159">
        <f>VLOOKUP(Table4[[#This Row],[Visitor]],'NHL Model'!$A$6:$B$38,2,FALSE)</f>
        <v>-6.0247860940930854E-2</v>
      </c>
      <c r="J159">
        <f>($B$1+Table4[[#This Row],[Home Differential]])-Table4[[#This Row],[Away Differential]]</f>
        <v>3.4202199116336825E-2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0.47824603932532456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0.22871927413035989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-1.4957350924899622</v>
      </c>
      <c r="H160" t="s">
        <v>37</v>
      </c>
      <c r="I160">
        <f>VLOOKUP(Table4[[#This Row],[Visitor]],'NHL Model'!$A$6:$B$38,2,FALSE)</f>
        <v>7.1667377873261273E-2</v>
      </c>
      <c r="J160">
        <f>($B$1+Table4[[#This Row],[Home Differential]])-Table4[[#This Row],[Away Differential]]</f>
        <v>-1.429859081390807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0.71702786368347504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8.0073229931537981E-2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-0.42203126246971279</v>
      </c>
      <c r="H161" t="s">
        <v>14</v>
      </c>
      <c r="I161">
        <f>VLOOKUP(Table4[[#This Row],[Visitor]],'NHL Model'!$A$6:$B$38,2,FALSE)</f>
        <v>-0.2090057419115289</v>
      </c>
      <c r="J161">
        <f>($B$1+Table4[[#This Row],[Home Differential]])-Table4[[#This Row],[Away Differential]]</f>
        <v>-7.5482131585767526E-2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0.43782160734065073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0.19168775985435096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-0.45007023285116615</v>
      </c>
      <c r="H162" t="s">
        <v>18</v>
      </c>
      <c r="I162">
        <f>VLOOKUP(Table4[[#This Row],[Visitor]],'NHL Model'!$A$6:$B$38,2,FALSE)</f>
        <v>-0.74754136228530599</v>
      </c>
      <c r="J162">
        <f>($B$1+Table4[[#This Row],[Home Differential]])-Table4[[#This Row],[Away Differential]]</f>
        <v>0.43501451840655619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0.57725223595879882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0.33322014391943278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-0.36178381286707545</v>
      </c>
      <c r="H163" t="s">
        <v>13</v>
      </c>
      <c r="I163">
        <f>VLOOKUP(Table4[[#This Row],[Visitor]],'NHL Model'!$A$6:$B$38,2,FALSE)</f>
        <v>-0.36134162888396865</v>
      </c>
      <c r="J163">
        <f>($B$1+Table4[[#This Row],[Home Differential]])-Table4[[#This Row],[Away Differential]]</f>
        <v>0.13710120498930956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0.47480805525799347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0.22544268933787778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-1.5569791149906038</v>
      </c>
      <c r="H164" t="s">
        <v>26</v>
      </c>
      <c r="I164">
        <f>VLOOKUP(Table4[[#This Row],[Visitor]],'NHL Model'!$A$6:$B$38,2,FALSE)</f>
        <v>-0.66335717753705836</v>
      </c>
      <c r="J164">
        <f>($B$1+Table4[[#This Row],[Home Differential]])-Table4[[#This Row],[Away Differential]]</f>
        <v>-0.75607854848112899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0.60794381043291745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0.15370805577786018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-0.93520311342823803</v>
      </c>
      <c r="H165" t="s">
        <v>16</v>
      </c>
      <c r="I165">
        <f>VLOOKUP(Table4[[#This Row],[Visitor]],'NHL Model'!$A$6:$B$38,2,FALSE)</f>
        <v>-1.0952038865534519</v>
      </c>
      <c r="J165">
        <f>($B$1+Table4[[#This Row],[Home Differential]])-Table4[[#This Row],[Away Differential]]</f>
        <v>0.29754416209763024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0.57968591385065571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0.17666393101555841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-1.1236485959014608</v>
      </c>
      <c r="H166" t="s">
        <v>15</v>
      </c>
      <c r="I166">
        <f>VLOOKUP(Table4[[#This Row],[Visitor]],'NHL Model'!$A$6:$B$38,2,FALSE)</f>
        <v>-0.49835870184734621</v>
      </c>
      <c r="J166">
        <f>($B$1+Table4[[#This Row],[Home Differential]])-Table4[[#This Row],[Away Differential]]</f>
        <v>-0.48774650508169826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0.60853302667363907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0.15324639120530179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-0.59418600019583889</v>
      </c>
      <c r="H167" t="s">
        <v>19</v>
      </c>
      <c r="I167">
        <f>VLOOKUP(Table4[[#This Row],[Visitor]],'NHL Model'!$A$6:$B$38,2,FALSE)</f>
        <v>-0.93520311342823803</v>
      </c>
      <c r="J167">
        <f>($B$1+Table4[[#This Row],[Home Differential]])-Table4[[#This Row],[Away Differential]]</f>
        <v>0.4785605022048155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0.61087550485449682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0.15141787272224272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-0.14464931395309213</v>
      </c>
      <c r="H168" t="s">
        <v>23</v>
      </c>
      <c r="I168">
        <f>VLOOKUP(Table4[[#This Row],[Visitor]],'NHL Model'!$A$6:$B$38,2,FALSE)</f>
        <v>-0.51535072045188635</v>
      </c>
      <c r="J168">
        <f>($B$1+Table4[[#This Row],[Home Differential]])-Table4[[#This Row],[Away Differential]]</f>
        <v>0.5082447954712106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0.65950476783685974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0.11593700312583079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0.42515174825138019</v>
      </c>
      <c r="H169" t="s">
        <v>30</v>
      </c>
      <c r="I169">
        <f>VLOOKUP(Table4[[#This Row],[Visitor]],'NHL Model'!$A$6:$B$38,2,FALSE)</f>
        <v>3.838472305373858E-3</v>
      </c>
      <c r="J169">
        <f>($B$1+Table4[[#This Row],[Home Differential]])-Table4[[#This Row],[Away Differential]]</f>
        <v>0.55885666491842267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0.59453931309712615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0.16439836862375029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-0.87263145033954281</v>
      </c>
      <c r="H170" t="s">
        <v>15</v>
      </c>
      <c r="I170">
        <f>VLOOKUP(Table4[[#This Row],[Visitor]],'NHL Model'!$A$6:$B$38,2,FALSE)</f>
        <v>-0.49835870184734621</v>
      </c>
      <c r="J170">
        <f>($B$1+Table4[[#This Row],[Home Differential]])-Table4[[#This Row],[Away Differential]]</f>
        <v>-0.23672935951978025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0.53861679661278483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0.21287446036784835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-0.36134162888396865</v>
      </c>
      <c r="H171" t="s">
        <v>26</v>
      </c>
      <c r="I171">
        <f>VLOOKUP(Table4[[#This Row],[Visitor]],'NHL Model'!$A$6:$B$38,2,FALSE)</f>
        <v>-0.66335717753705836</v>
      </c>
      <c r="J171">
        <f>($B$1+Table4[[#This Row],[Home Differential]])-Table4[[#This Row],[Away Differential]]</f>
        <v>0.43955893762550607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0.55152820184159401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0.30418335742662206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-0.16358905079701039</v>
      </c>
      <c r="H172" t="s">
        <v>14</v>
      </c>
      <c r="I172">
        <f>VLOOKUP(Table4[[#This Row],[Visitor]],'NHL Model'!$A$6:$B$38,2,FALSE)</f>
        <v>-0.2090057419115289</v>
      </c>
      <c r="J172">
        <f>($B$1+Table4[[#This Row],[Home Differential]])-Table4[[#This Row],[Away Differential]]</f>
        <v>0.18296008008693487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0.56440289174303049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0.31855062420789498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-0.31751962084606655</v>
      </c>
      <c r="H173" t="s">
        <v>16</v>
      </c>
      <c r="I173">
        <f>VLOOKUP(Table4[[#This Row],[Visitor]],'NHL Model'!$A$6:$B$38,2,FALSE)</f>
        <v>-1.0952038865534519</v>
      </c>
      <c r="J173">
        <f>($B$1+Table4[[#This Row],[Home Differential]])-Table4[[#This Row],[Away Differential]]</f>
        <v>0.91522765467980172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0.66456692433470155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0.11251534825028184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-0.42203126246971279</v>
      </c>
      <c r="H174" t="s">
        <v>29</v>
      </c>
      <c r="I174">
        <f>VLOOKUP(Table4[[#This Row],[Visitor]],'NHL Model'!$A$6:$B$38,2,FALSE)</f>
        <v>-1.4957350924899622</v>
      </c>
      <c r="J174">
        <f>($B$1+Table4[[#This Row],[Home Differential]])-Table4[[#This Row],[Away Differential]]</f>
        <v>1.2112472189926657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0.73380007663448454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7.0862399199806303E-2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-0.36178381286707545</v>
      </c>
      <c r="H175" t="s">
        <v>24</v>
      </c>
      <c r="I175">
        <f>VLOOKUP(Table4[[#This Row],[Visitor]],'NHL Model'!$A$6:$B$38,2,FALSE)</f>
        <v>-1.8032585202533785E-2</v>
      </c>
      <c r="J175">
        <f>($B$1+Table4[[#This Row],[Home Differential]])-Table4[[#This Row],[Away Differential]]</f>
        <v>-0.20620783869212531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0.48833312973756993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0.23846924559929031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-1.5569791149906038</v>
      </c>
      <c r="H176" t="s">
        <v>38</v>
      </c>
      <c r="I176">
        <f>VLOOKUP(Table4[[#This Row],[Visitor]],'NHL Model'!$A$6:$B$38,2,FALSE)</f>
        <v>-1.1236485959014608</v>
      </c>
      <c r="J176">
        <f>($B$1+Table4[[#This Row],[Home Differential]])-Table4[[#This Row],[Away Differential]]</f>
        <v>-0.29578713011672653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0.52022079480325611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0.23018808573921928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7.1667377873261273E-2</v>
      </c>
      <c r="H177" t="s">
        <v>39</v>
      </c>
      <c r="I177">
        <f>VLOOKUP(Table4[[#This Row],[Visitor]],'NHL Model'!$A$6:$B$38,2,FALSE)</f>
        <v>4.3828122498436855E-3</v>
      </c>
      <c r="J177">
        <f>($B$1+Table4[[#This Row],[Home Differential]])-Table4[[#This Row],[Away Differential]]</f>
        <v>0.20482795459583394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0.48885805168934837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0.26126609132280887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-6.0247860940930854E-2</v>
      </c>
      <c r="H178" t="s">
        <v>10</v>
      </c>
      <c r="I178">
        <f>VLOOKUP(Table4[[#This Row],[Visitor]],'NHL Model'!$A$6:$B$38,2,FALSE)</f>
        <v>-0.15263505358797036</v>
      </c>
      <c r="J178">
        <f>($B$1+Table4[[#This Row],[Home Differential]])-Table4[[#This Row],[Away Differential]]</f>
        <v>0.22993058161945587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0.57316321332975961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0.18218964245497629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0.34329638981067145</v>
      </c>
      <c r="H179" t="s">
        <v>26</v>
      </c>
      <c r="I179">
        <f>VLOOKUP(Table4[[#This Row],[Visitor]],'NHL Model'!$A$6:$B$38,2,FALSE)</f>
        <v>-0.66335717753705836</v>
      </c>
      <c r="J179">
        <f>($B$1+Table4[[#This Row],[Home Differential]])-Table4[[#This Row],[Away Differential]]</f>
        <v>1.1441969563201462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0.74277489985933509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6.6164752142375091E-2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0.12073374225454764</v>
      </c>
      <c r="H180" t="s">
        <v>12</v>
      </c>
      <c r="I180">
        <f>VLOOKUP(Table4[[#This Row],[Visitor]],'NHL Model'!$A$6:$B$38,2,FALSE)</f>
        <v>1.4458345276269271</v>
      </c>
      <c r="J180">
        <f>($B$1+Table4[[#This Row],[Home Differential]])-Table4[[#This Row],[Away Differential]]</f>
        <v>-1.1875573963999631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0.71088049205206527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8.3590089876055887E-2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6.4811420118814619E-2</v>
      </c>
      <c r="H181" t="s">
        <v>30</v>
      </c>
      <c r="I181">
        <f>VLOOKUP(Table4[[#This Row],[Visitor]],'NHL Model'!$A$6:$B$38,2,FALSE)</f>
        <v>3.838472305373858E-3</v>
      </c>
      <c r="J181">
        <f>($B$1+Table4[[#This Row],[Home Differential]])-Table4[[#This Row],[Away Differential]]</f>
        <v>0.19851633678585714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0.49385458862763676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0.24389235470857232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-0.14464931395309213</v>
      </c>
      <c r="H182" t="s">
        <v>25</v>
      </c>
      <c r="I182">
        <f>VLOOKUP(Table4[[#This Row],[Visitor]],'NHL Model'!$A$6:$B$38,2,FALSE)</f>
        <v>0.42515174825138019</v>
      </c>
      <c r="J182">
        <f>($B$1+Table4[[#This Row],[Home Differential]])-Table4[[#This Row],[Away Differential]]</f>
        <v>-0.43225767323205599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0.53765376359675832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0.28907156950975887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-0.51535072045188635</v>
      </c>
      <c r="H183" t="s">
        <v>22</v>
      </c>
      <c r="I183">
        <f>VLOOKUP(Table4[[#This Row],[Visitor]],'NHL Model'!$A$6:$B$38,2,FALSE)</f>
        <v>6.4811420118814619E-2</v>
      </c>
      <c r="J183">
        <f>($B$1+Table4[[#This Row],[Home Differential]])-Table4[[#This Row],[Away Differential]]</f>
        <v>-0.44261875159828462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0.52570237256248808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0.27636298451782904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-0.59418600019583889</v>
      </c>
      <c r="H184" t="s">
        <v>35</v>
      </c>
      <c r="I184">
        <f>VLOOKUP(Table4[[#This Row],[Visitor]],'NHL Model'!$A$6:$B$38,2,FALSE)</f>
        <v>-1.5569791149906038</v>
      </c>
      <c r="J184">
        <f>($B$1+Table4[[#This Row],[Home Differential]])-Table4[[#This Row],[Away Differential]]</f>
        <v>1.1003365037671813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0.69380688774048549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9.3754221995167655E-2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-0.87263145033954281</v>
      </c>
      <c r="H185" t="s">
        <v>10</v>
      </c>
      <c r="I185">
        <f>VLOOKUP(Table4[[#This Row],[Visitor]],'NHL Model'!$A$6:$B$38,2,FALSE)</f>
        <v>-0.15263505358797036</v>
      </c>
      <c r="J185">
        <f>($B$1+Table4[[#This Row],[Home Differential]])-Table4[[#This Row],[Away Differential]]</f>
        <v>-0.5824530077791561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0.5016496851958625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0.25165240665710797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-0.37836939589441088</v>
      </c>
      <c r="H186" t="s">
        <v>39</v>
      </c>
      <c r="I186">
        <f>VLOOKUP(Table4[[#This Row],[Visitor]],'NHL Model'!$A$6:$B$38,2,FALSE)</f>
        <v>4.3828122498436855E-3</v>
      </c>
      <c r="J186">
        <f>($B$1+Table4[[#This Row],[Home Differential]])-Table4[[#This Row],[Away Differential]]</f>
        <v>-0.2452088191718382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0.52107761143931386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0.27152187714330056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-0.36134162888396865</v>
      </c>
      <c r="H187" t="s">
        <v>24</v>
      </c>
      <c r="I187">
        <f>VLOOKUP(Table4[[#This Row],[Visitor]],'NHL Model'!$A$6:$B$38,2,FALSE)</f>
        <v>-1.8032585202533785E-2</v>
      </c>
      <c r="J187">
        <f>($B$1+Table4[[#This Row],[Home Differential]])-Table4[[#This Row],[Away Differential]]</f>
        <v>-0.2057656547090185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0.48827415202032615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0.26186334349051621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-0.16358905079701039</v>
      </c>
      <c r="H188" t="s">
        <v>38</v>
      </c>
      <c r="I188">
        <f>VLOOKUP(Table4[[#This Row],[Visitor]],'NHL Model'!$A$6:$B$38,2,FALSE)</f>
        <v>-1.1236485959014608</v>
      </c>
      <c r="J188">
        <f>($B$1+Table4[[#This Row],[Home Differential]])-Table4[[#This Row],[Away Differential]]</f>
        <v>1.0976029340768667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0.66562710642292289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0.11180523195910734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-0.74754136228530599</v>
      </c>
      <c r="H189" t="s">
        <v>36</v>
      </c>
      <c r="I189">
        <f>VLOOKUP(Table4[[#This Row],[Visitor]],'NHL Model'!$A$6:$B$38,2,FALSE)</f>
        <v>-0.31751962084606655</v>
      </c>
      <c r="J189">
        <f>($B$1+Table4[[#This Row],[Home Differential]])-Table4[[#This Row],[Away Differential]]</f>
        <v>-0.29247835246682308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0.51977947589503315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0.27017070356171535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-1.4957350924899622</v>
      </c>
      <c r="H190" t="s">
        <v>16</v>
      </c>
      <c r="I190">
        <f>VLOOKUP(Table4[[#This Row],[Visitor]],'NHL Model'!$A$6:$B$38,2,FALSE)</f>
        <v>-1.0952038865534519</v>
      </c>
      <c r="J190">
        <f>($B$1+Table4[[#This Row],[Home Differential]])-Table4[[#This Row],[Away Differential]]</f>
        <v>-0.26298781696409379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0.49507684968251697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0.2451010870915655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-0.42203126246971279</v>
      </c>
      <c r="H191" t="s">
        <v>19</v>
      </c>
      <c r="I191">
        <f>VLOOKUP(Table4[[#This Row],[Visitor]],'NHL Model'!$A$6:$B$38,2,FALSE)</f>
        <v>-0.93520311342823803</v>
      </c>
      <c r="J191">
        <f>($B$1+Table4[[#This Row],[Home Differential]])-Table4[[#This Row],[Away Differential]]</f>
        <v>0.6507152399309416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0.65903731310131175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0.4343301800597964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-0.45007023285116615</v>
      </c>
      <c r="H192" t="s">
        <v>15</v>
      </c>
      <c r="I192">
        <f>VLOOKUP(Table4[[#This Row],[Visitor]],'NHL Model'!$A$6:$B$38,2,FALSE)</f>
        <v>-0.49835870184734621</v>
      </c>
      <c r="J192">
        <f>($B$1+Table4[[#This Row],[Home Differential]])-Table4[[#This Row],[Away Differential]]</f>
        <v>0.18583185796859641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0.5075445450850703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0.25760146524561095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-0.36178381286707545</v>
      </c>
      <c r="H193" t="s">
        <v>12</v>
      </c>
      <c r="I193">
        <f>VLOOKUP(Table4[[#This Row],[Visitor]],'NHL Model'!$A$6:$B$38,2,FALSE)</f>
        <v>1.4458345276269271</v>
      </c>
      <c r="J193">
        <f>($B$1+Table4[[#This Row],[Home Differential]])-Table4[[#This Row],[Away Differential]]</f>
        <v>-1.6700749515215862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0.77523782976283684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0.60099369269539316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-6.0247860940930854E-2</v>
      </c>
      <c r="H194" t="s">
        <v>14</v>
      </c>
      <c r="I194">
        <f>VLOOKUP(Table4[[#This Row],[Visitor]],'NHL Model'!$A$6:$B$38,2,FALSE)</f>
        <v>-0.2090057419115289</v>
      </c>
      <c r="J194">
        <f>($B$1+Table4[[#This Row],[Home Differential]])-Table4[[#This Row],[Away Differential]]</f>
        <v>0.28630126994301441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0.58068183599316392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0.17582772266606389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0.34329638981067145</v>
      </c>
      <c r="H195" t="s">
        <v>24</v>
      </c>
      <c r="I195">
        <f>VLOOKUP(Table4[[#This Row],[Visitor]],'NHL Model'!$A$6:$B$38,2,FALSE)</f>
        <v>-1.8032585202533785E-2</v>
      </c>
      <c r="J195">
        <f>($B$1+Table4[[#This Row],[Home Differential]])-Table4[[#This Row],[Away Differential]]</f>
        <v>0.49887236398562163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0.70068505464142739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8.9589436515005311E-2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3.838472305373858E-3</v>
      </c>
      <c r="H196" t="s">
        <v>28</v>
      </c>
      <c r="I196">
        <f>VLOOKUP(Table4[[#This Row],[Visitor]],'NHL Model'!$A$6:$B$38,2,FALSE)</f>
        <v>-0.59418600019583889</v>
      </c>
      <c r="J196">
        <f>($B$1+Table4[[#This Row],[Home Differential]])-Table4[[#This Row],[Away Differential]]</f>
        <v>0.73556786147362907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0.63727924672423253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0.13156634485694019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-0.42203126246971279</v>
      </c>
      <c r="H197" t="s">
        <v>16</v>
      </c>
      <c r="I197">
        <f>VLOOKUP(Table4[[#This Row],[Visitor]],'NHL Model'!$A$6:$B$38,2,FALSE)</f>
        <v>-1.0952038865534519</v>
      </c>
      <c r="J197">
        <f>($B$1+Table4[[#This Row],[Home Differential]])-Table4[[#This Row],[Away Differential]]</f>
        <v>0.81071601305615548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0.6803779331071651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0.46291413185917801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-0.36178381286707545</v>
      </c>
      <c r="H198" t="s">
        <v>26</v>
      </c>
      <c r="I198">
        <f>VLOOKUP(Table4[[#This Row],[Visitor]],'NHL Model'!$A$6:$B$38,2,FALSE)</f>
        <v>-0.66335717753705836</v>
      </c>
      <c r="J198">
        <f>($B$1+Table4[[#This Row],[Home Differential]])-Table4[[#This Row],[Away Differential]]</f>
        <v>0.43911675364239927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0.55146922412435029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0.30411830515631288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-0.30969050963205513</v>
      </c>
      <c r="H199" t="s">
        <v>37</v>
      </c>
      <c r="I199">
        <f>VLOOKUP(Table4[[#This Row],[Visitor]],'NHL Model'!$A$6:$B$38,2,FALSE)</f>
        <v>7.1667377873261273E-2</v>
      </c>
      <c r="J199">
        <f>($B$1+Table4[[#This Row],[Home Differential]])-Table4[[#This Row],[Away Differential]]</f>
        <v>-0.24381449853290005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0.50620375692273478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0.24383472967722158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-1.4957350924899622</v>
      </c>
      <c r="H200" t="s">
        <v>38</v>
      </c>
      <c r="I200">
        <f>VLOOKUP(Table4[[#This Row],[Visitor]],'NHL Model'!$A$6:$B$38,2,FALSE)</f>
        <v>-1.1236485959014608</v>
      </c>
      <c r="J200">
        <f>($B$1+Table4[[#This Row],[Home Differential]])-Table4[[#This Row],[Away Differential]]</f>
        <v>-0.23454310761608488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0.51205217545044035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0.23809307948264785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-0.45007023285116615</v>
      </c>
      <c r="H201" t="s">
        <v>10</v>
      </c>
      <c r="I201">
        <f>VLOOKUP(Table4[[#This Row],[Visitor]],'NHL Model'!$A$6:$B$38,2,FALSE)</f>
        <v>-0.15263505358797036</v>
      </c>
      <c r="J201">
        <f>($B$1+Table4[[#This Row],[Home Differential]])-Table4[[#This Row],[Away Differential]]</f>
        <v>-0.15989179029077943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0.45528834821917968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0.20728748002414901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-1.5569791149906038</v>
      </c>
      <c r="H202" t="s">
        <v>17</v>
      </c>
      <c r="I202">
        <f>VLOOKUP(Table4[[#This Row],[Visitor]],'NHL Model'!$A$6:$B$38,2,FALSE)</f>
        <v>-0.87263145033954281</v>
      </c>
      <c r="J202">
        <f>($B$1+Table4[[#This Row],[Home Differential]])-Table4[[#This Row],[Away Differential]]</f>
        <v>-0.54680427567864454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0.53293178674644115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0.2840162893247542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-0.93520311342823803</v>
      </c>
      <c r="H203" t="s">
        <v>14</v>
      </c>
      <c r="I203">
        <f>VLOOKUP(Table4[[#This Row],[Visitor]],'NHL Model'!$A$6:$B$38,2,FALSE)</f>
        <v>-0.2090057419115289</v>
      </c>
      <c r="J203">
        <f>($B$1+Table4[[#This Row],[Home Differential]])-Table4[[#This Row],[Away Differential]]</f>
        <v>-0.5886539825442928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0.53851362659716007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0.28999692603082555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0.34329638981067145</v>
      </c>
      <c r="H204" t="s">
        <v>11</v>
      </c>
      <c r="I204">
        <f>VLOOKUP(Table4[[#This Row],[Visitor]],'NHL Model'!$A$6:$B$38,2,FALSE)</f>
        <v>-0.37836939589441088</v>
      </c>
      <c r="J204">
        <f>($B$1+Table4[[#This Row],[Home Differential]])-Table4[[#This Row],[Away Differential]]</f>
        <v>0.85920917467749869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0.74952043431026583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6.2740012828117864E-2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-0.51535072045188635</v>
      </c>
      <c r="H205" t="s">
        <v>55</v>
      </c>
      <c r="I205">
        <f>VLOOKUP(Table4[[#This Row],[Visitor]],'NHL Model'!$A$6:$B$38,2,FALSE)</f>
        <v>-0.30969050963205513</v>
      </c>
      <c r="J205">
        <f>($B$1+Table4[[#This Row],[Home Differential]])-Table4[[#This Row],[Away Differential]]</f>
        <v>-6.8116821847414855E-2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0.45506868066998934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0.29695014278674609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1.4458345276269271</v>
      </c>
      <c r="H206" t="s">
        <v>37</v>
      </c>
      <c r="I206">
        <f>VLOOKUP(Table4[[#This Row],[Visitor]],'NHL Model'!$A$6:$B$38,2,FALSE)</f>
        <v>7.1667377873261273E-2</v>
      </c>
      <c r="J206">
        <f>($B$1+Table4[[#This Row],[Home Differential]])-Table4[[#This Row],[Away Differential]]</f>
        <v>1.5117105387260823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0.77305784818556778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5.1502740270164805E-2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4.3828122498436855E-3</v>
      </c>
      <c r="H207" t="s">
        <v>17</v>
      </c>
      <c r="I207">
        <f>VLOOKUP(Table4[[#This Row],[Visitor]],'NHL Model'!$A$6:$B$38,2,FALSE)</f>
        <v>-0.87263145033954281</v>
      </c>
      <c r="J207">
        <f>($B$1+Table4[[#This Row],[Home Differential]])-Table4[[#This Row],[Away Differential]]</f>
        <v>1.0145576515618029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0.67781538355922355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0.10380292707109023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-0.36134162888396865</v>
      </c>
      <c r="H208" t="s">
        <v>40</v>
      </c>
      <c r="I208">
        <f>VLOOKUP(Table4[[#This Row],[Visitor]],'NHL Model'!$A$6:$B$38,2,FALSE)</f>
        <v>-6.0247860940930854E-2</v>
      </c>
      <c r="J208">
        <f>($B$1+Table4[[#This Row],[Home Differential]])-Table4[[#This Row],[Away Differential]]</f>
        <v>-0.16355037897062144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0.54812984962634304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0.30044633205139742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-0.16358905079701039</v>
      </c>
      <c r="H209" t="s">
        <v>29</v>
      </c>
      <c r="I209">
        <f>VLOOKUP(Table4[[#This Row],[Visitor]],'NHL Model'!$A$6:$B$38,2,FALSE)</f>
        <v>-1.4957350924899622</v>
      </c>
      <c r="J209">
        <f>($B$1+Table4[[#This Row],[Home Differential]])-Table4[[#This Row],[Away Differential]]</f>
        <v>1.4696894306653681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0.7360245757181656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6.9683024624774492E-2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-0.74754136228530599</v>
      </c>
      <c r="H210" t="s">
        <v>27</v>
      </c>
      <c r="I210">
        <f>VLOOKUP(Table4[[#This Row],[Visitor]],'NHL Model'!$A$6:$B$38,2,FALSE)</f>
        <v>-0.42203126246971279</v>
      </c>
      <c r="J210">
        <f>($B$1+Table4[[#This Row],[Home Differential]])-Table4[[#This Row],[Away Differential]]</f>
        <v>-0.18796671084317684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0.48507066729430837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0.26515221768072889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3.838472305373858E-3</v>
      </c>
      <c r="H211" t="s">
        <v>21</v>
      </c>
      <c r="I211">
        <f>VLOOKUP(Table4[[#This Row],[Visitor]],'NHL Model'!$A$6:$B$38,2,FALSE)</f>
        <v>-0.14464931395309213</v>
      </c>
      <c r="J211">
        <f>($B$1+Table4[[#This Row],[Home Differential]])-Table4[[#This Row],[Away Differential]]</f>
        <v>0.28603117523088234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0.57815033203403932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0.33425780643106989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-0.49835870184734621</v>
      </c>
      <c r="H212" t="s">
        <v>25</v>
      </c>
      <c r="I212">
        <f>VLOOKUP(Table4[[#This Row],[Visitor]],'NHL Model'!$A$6:$B$38,2,FALSE)</f>
        <v>0.42515174825138019</v>
      </c>
      <c r="J212">
        <f>($B$1+Table4[[#This Row],[Home Differential]])-Table4[[#This Row],[Away Differential]]</f>
        <v>-0.7859670611263101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0.63745406499038793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0.13143955499199386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0.12073374225454764</v>
      </c>
      <c r="H213" t="s">
        <v>26</v>
      </c>
      <c r="I213">
        <f>VLOOKUP(Table4[[#This Row],[Visitor]],'NHL Model'!$A$6:$B$38,2,FALSE)</f>
        <v>-0.66335717753705836</v>
      </c>
      <c r="J213">
        <f>($B$1+Table4[[#This Row],[Home Differential]])-Table4[[#This Row],[Away Differential]]</f>
        <v>0.92163430876402241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0.61582656183512186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0.14758923059142345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-1.0952038865534519</v>
      </c>
      <c r="H214" t="s">
        <v>28</v>
      </c>
      <c r="I214">
        <f>VLOOKUP(Table4[[#This Row],[Visitor]],'NHL Model'!$A$6:$B$38,2,FALSE)</f>
        <v>-0.59418600019583889</v>
      </c>
      <c r="J214">
        <f>($B$1+Table4[[#This Row],[Home Differential]])-Table4[[#This Row],[Away Differential]]</f>
        <v>-0.36347449738519666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0.5093090783983466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0.25939573733897314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-0.45007023285116615</v>
      </c>
      <c r="H215" t="s">
        <v>33</v>
      </c>
      <c r="I215">
        <f>VLOOKUP(Table4[[#This Row],[Visitor]],'NHL Model'!$A$6:$B$38,2,FALSE)</f>
        <v>-0.36178381286707545</v>
      </c>
      <c r="J215">
        <f>($B$1+Table4[[#This Row],[Home Differential]])-Table4[[#This Row],[Away Differential]]</f>
        <v>4.9256968988325656E-2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0.57260754321490803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0.32787939854661274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-0.93520311342823803</v>
      </c>
      <c r="H216" t="s">
        <v>55</v>
      </c>
      <c r="I216">
        <f>VLOOKUP(Table4[[#This Row],[Visitor]],'NHL Model'!$A$6:$B$38,2,FALSE)</f>
        <v>-0.30969050963205513</v>
      </c>
      <c r="J216">
        <f>($B$1+Table4[[#This Row],[Home Differential]])-Table4[[#This Row],[Away Differential]]</f>
        <v>-0.48796921482376654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0.52508447043539674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0.27571370109242105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-1.1236485959014608</v>
      </c>
      <c r="H217" t="s">
        <v>10</v>
      </c>
      <c r="I217">
        <f>VLOOKUP(Table4[[#This Row],[Visitor]],'NHL Model'!$A$6:$B$38,2,FALSE)</f>
        <v>-0.15263505358797036</v>
      </c>
      <c r="J217">
        <f>($B$1+Table4[[#This Row],[Home Differential]])-Table4[[#This Row],[Away Differential]]</f>
        <v>-0.8334701533410741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0.57116677426772522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0.18389793549194813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6.4811420118814619E-2</v>
      </c>
      <c r="H218" t="s">
        <v>35</v>
      </c>
      <c r="I218">
        <f>VLOOKUP(Table4[[#This Row],[Visitor]],'NHL Model'!$A$6:$B$38,2,FALSE)</f>
        <v>-1.5569791149906038</v>
      </c>
      <c r="J218">
        <f>($B$1+Table4[[#This Row],[Home Differential]])-Table4[[#This Row],[Away Differential]]</f>
        <v>1.7593339240818349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0.77465684573820737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5.0779537172654071E-2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-0.14464931395309213</v>
      </c>
      <c r="H219" t="s">
        <v>36</v>
      </c>
      <c r="I219">
        <f>VLOOKUP(Table4[[#This Row],[Visitor]],'NHL Model'!$A$6:$B$38,2,FALSE)</f>
        <v>-0.31751962084606655</v>
      </c>
      <c r="J219">
        <f>($B$1+Table4[[#This Row],[Home Differential]])-Table4[[#This Row],[Away Differential]]</f>
        <v>0.3104136958653908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0.61283100092115694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0.14989983384771319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-0.51535072045188635</v>
      </c>
      <c r="H220" t="s">
        <v>35</v>
      </c>
      <c r="I220">
        <f>VLOOKUP(Table4[[#This Row],[Visitor]],'NHL Model'!$A$6:$B$38,2,FALSE)</f>
        <v>-1.5569791149906038</v>
      </c>
      <c r="J220">
        <f>($B$1+Table4[[#This Row],[Home Differential]])-Table4[[#This Row],[Away Differential]]</f>
        <v>1.1791717835111339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0.71129246649619859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0.50593697289424577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0.42515174825138019</v>
      </c>
      <c r="H221" t="s">
        <v>34</v>
      </c>
      <c r="I221">
        <f>VLOOKUP(Table4[[#This Row],[Visitor]],'NHL Model'!$A$6:$B$38,2,FALSE)</f>
        <v>-0.16358905079701039</v>
      </c>
      <c r="J221">
        <f>($B$1+Table4[[#This Row],[Home Differential]])-Table4[[#This Row],[Away Differential]]</f>
        <v>0.72628418802080685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0.66829907130223298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0.11002550609896111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4.3828122498436855E-3</v>
      </c>
      <c r="H222" t="s">
        <v>31</v>
      </c>
      <c r="I222">
        <f>VLOOKUP(Table4[[#This Row],[Visitor]],'NHL Model'!$A$6:$B$38,2,FALSE)</f>
        <v>0.34329638981067145</v>
      </c>
      <c r="J222">
        <f>($B$1+Table4[[#This Row],[Home Differential]])-Table4[[#This Row],[Away Differential]]</f>
        <v>-0.20137018858841141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0.50511926900438298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0.24490693791075627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-0.36134162888396865</v>
      </c>
      <c r="H223" t="s">
        <v>11</v>
      </c>
      <c r="I223">
        <f>VLOOKUP(Table4[[#This Row],[Visitor]],'NHL Model'!$A$6:$B$38,2,FALSE)</f>
        <v>-0.37836939589441088</v>
      </c>
      <c r="J223">
        <f>($B$1+Table4[[#This Row],[Home Differential]])-Table4[[#This Row],[Away Differential]]</f>
        <v>0.15457115598285859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0.56061642727884953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0.31429077853490156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-1.8032585202533785E-2</v>
      </c>
      <c r="H224" t="s">
        <v>18</v>
      </c>
      <c r="I224">
        <f>VLOOKUP(Table4[[#This Row],[Visitor]],'NHL Model'!$A$6:$B$38,2,FALSE)</f>
        <v>-0.74754136228530599</v>
      </c>
      <c r="J224">
        <f>($B$1+Table4[[#This Row],[Home Differential]])-Table4[[#This Row],[Away Differential]]</f>
        <v>0.86705216605518853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0.72729636913868834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7.4367270284942541E-2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-1.4957350924899622</v>
      </c>
      <c r="H225" t="s">
        <v>27</v>
      </c>
      <c r="I225">
        <f>VLOOKUP(Table4[[#This Row],[Visitor]],'NHL Model'!$A$6:$B$38,2,FALSE)</f>
        <v>-0.42203126246971279</v>
      </c>
      <c r="J225">
        <f>($B$1+Table4[[#This Row],[Home Differential]])-Table4[[#This Row],[Away Differential]]</f>
        <v>-0.93616044104783291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0.58486342313658213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0.17233837744987646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-0.2090057419115289</v>
      </c>
      <c r="H226" t="s">
        <v>22</v>
      </c>
      <c r="I226">
        <f>VLOOKUP(Table4[[#This Row],[Visitor]],'NHL Model'!$A$6:$B$38,2,FALSE)</f>
        <v>6.4811420118814619E-2</v>
      </c>
      <c r="J226">
        <f>($B$1+Table4[[#This Row],[Home Differential]])-Table4[[#This Row],[Away Differential]]</f>
        <v>-0.13627377305792715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0.4989451854898822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0.24894629812353297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0.12073374225454764</v>
      </c>
      <c r="H227" t="s">
        <v>37</v>
      </c>
      <c r="I227">
        <f>VLOOKUP(Table4[[#This Row],[Visitor]],'NHL Model'!$A$6:$B$38,2,FALSE)</f>
        <v>7.1667377873261273E-2</v>
      </c>
      <c r="J227">
        <f>($B$1+Table4[[#This Row],[Home Differential]])-Table4[[#This Row],[Away Differential]]</f>
        <v>0.18660975335370272</v>
      </c>
      <c r="K227" t="str">
        <f>IF(Table4[[#This Row],[HomeIce Differential]]&gt;0,Table4[[#This Row],[Home]],Table4[[#This Row],[Visitor]])</f>
        <v>Vegas Golden Knights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0.49857388923174834</v>
      </c>
      <c r="M227" t="str">
        <f>IF(OR((NHL2025_26Results[[#This Row],[Winning Team]]="")),"-",IF(Table4[[#This Row],[Predicted Winner]]=NHL2025_26Results[[#This Row],[Winning Team]],"YES","NO"))</f>
        <v>NO</v>
      </c>
      <c r="N227">
        <f>IF(Table4[[#This Row],[Adjusted Correct]]="-", "",IF(Table4[[#This Row],[Adjusted Correct]]="YES",(Table4[[#This Row],[Strength of Win]]-1)^2,(Table4[[#This Row],[Strength of Win]]-0)^2))</f>
        <v>0.24857592302367165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-1.0952038865534519</v>
      </c>
      <c r="H228" t="s">
        <v>10</v>
      </c>
      <c r="I228">
        <f>VLOOKUP(Table4[[#This Row],[Visitor]],'NHL Model'!$A$6:$B$38,2,FALSE)</f>
        <v>-0.15263505358797036</v>
      </c>
      <c r="J228">
        <f>($B$1+Table4[[#This Row],[Home Differential]])-Table4[[#This Row],[Away Differential]]</f>
        <v>-0.80502544399306519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0.56737286926641772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0.18716623424677209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-0.66335717753705836</v>
      </c>
      <c r="H229" t="s">
        <v>15</v>
      </c>
      <c r="I229">
        <f>VLOOKUP(Table4[[#This Row],[Visitor]],'NHL Model'!$A$6:$B$38,2,FALSE)</f>
        <v>-0.49835870184734621</v>
      </c>
      <c r="J229">
        <f>($B$1+Table4[[#This Row],[Home Differential]])-Table4[[#This Row],[Away Differential]]</f>
        <v>-2.7455086717295796E-2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0.51457894145359773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0.2356336040803097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3.838472305373858E-3</v>
      </c>
      <c r="H230" t="s">
        <v>34</v>
      </c>
      <c r="I230">
        <f>VLOOKUP(Table4[[#This Row],[Visitor]],'NHL Model'!$A$6:$B$38,2,FALSE)</f>
        <v>-0.16358905079701039</v>
      </c>
      <c r="J230">
        <f>($B$1+Table4[[#This Row],[Home Differential]])-Table4[[#This Row],[Away Differential]]</f>
        <v>0.30497091207480059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0.55990724985210705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0.31349612843694985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-0.36178381286707545</v>
      </c>
      <c r="H231" t="s">
        <v>40</v>
      </c>
      <c r="I231">
        <f>VLOOKUP(Table4[[#This Row],[Visitor]],'NHL Model'!$A$6:$B$38,2,FALSE)</f>
        <v>-6.0247860940930854E-2</v>
      </c>
      <c r="J231">
        <f>($B$1+Table4[[#This Row],[Home Differential]])-Table4[[#This Row],[Away Differential]]</f>
        <v>-0.16399256295372824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0.54818882734358676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0.30051099042433677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0.42515174825138019</v>
      </c>
      <c r="H232" t="s">
        <v>23</v>
      </c>
      <c r="I232">
        <f>VLOOKUP(Table4[[#This Row],[Visitor]],'NHL Model'!$A$6:$B$38,2,FALSE)</f>
        <v>-0.51535072045188635</v>
      </c>
      <c r="J232">
        <f>($B$1+Table4[[#This Row],[Home Differential]])-Table4[[#This Row],[Away Differential]]</f>
        <v>1.0780458576756828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0.73550382527842029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6.995822644234842E-2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-0.87263145033954281</v>
      </c>
      <c r="H233" t="s">
        <v>12</v>
      </c>
      <c r="I233">
        <f>VLOOKUP(Table4[[#This Row],[Visitor]],'NHL Model'!$A$6:$B$38,2,FALSE)</f>
        <v>1.4458345276269271</v>
      </c>
      <c r="J233">
        <f>($B$1+Table4[[#This Row],[Home Differential]])-Table4[[#This Row],[Away Differential]]</f>
        <v>-2.1809225889940533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0.80701662814162156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3.7242581813829174E-2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-0.74754136228530599</v>
      </c>
      <c r="H234" t="s">
        <v>55</v>
      </c>
      <c r="I234">
        <f>VLOOKUP(Table4[[#This Row],[Visitor]],'NHL Model'!$A$6:$B$38,2,FALSE)</f>
        <v>-0.30969050963205513</v>
      </c>
      <c r="J234">
        <f>($B$1+Table4[[#This Row],[Home Differential]])-Table4[[#This Row],[Away Differential]]</f>
        <v>-0.3003074636808345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0.50005447812629578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0.25005448109416201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-1.8032585202533785E-2</v>
      </c>
      <c r="H235" t="s">
        <v>14</v>
      </c>
      <c r="I235">
        <f>VLOOKUP(Table4[[#This Row],[Visitor]],'NHL Model'!$A$6:$B$38,2,FALSE)</f>
        <v>-0.2090057419115289</v>
      </c>
      <c r="J235">
        <f>($B$1+Table4[[#This Row],[Home Differential]])-Table4[[#This Row],[Away Differential]]</f>
        <v>0.32851654568141148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0.69924766717942077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9.0451965697020451E-2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-1.4957350924899622</v>
      </c>
      <c r="H236" t="s">
        <v>39</v>
      </c>
      <c r="I236">
        <f>VLOOKUP(Table4[[#This Row],[Visitor]],'NHL Model'!$A$6:$B$38,2,FALSE)</f>
        <v>4.3828122498436855E-3</v>
      </c>
      <c r="J236">
        <f>($B$1+Table4[[#This Row],[Home Differential]])-Table4[[#This Row],[Away Differential]]</f>
        <v>-1.3625745157673894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0.72269604683724598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7.6897482439690884E-2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-0.49835870184734621</v>
      </c>
      <c r="H237" t="s">
        <v>30</v>
      </c>
      <c r="I237">
        <f>VLOOKUP(Table4[[#This Row],[Visitor]],'NHL Model'!$A$6:$B$38,2,FALSE)</f>
        <v>3.838472305373858E-3</v>
      </c>
      <c r="J237">
        <f>($B$1+Table4[[#This Row],[Home Differential]])-Table4[[#This Row],[Away Differential]]</f>
        <v>-0.36465378518030372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0.58126004573806422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0.17534314929528808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-0.42203126246971279</v>
      </c>
      <c r="H238" t="s">
        <v>36</v>
      </c>
      <c r="I238">
        <f>VLOOKUP(Table4[[#This Row],[Visitor]],'NHL Model'!$A$6:$B$38,2,FALSE)</f>
        <v>-0.31751962084606655</v>
      </c>
      <c r="J238">
        <f>($B$1+Table4[[#This Row],[Home Differential]])-Table4[[#This Row],[Away Differential]]</f>
        <v>3.3031747348770124E-2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0.55612985394434278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0.30928041444815602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-0.36178381286707545</v>
      </c>
      <c r="H239" t="s">
        <v>11</v>
      </c>
      <c r="I239">
        <f>VLOOKUP(Table4[[#This Row],[Visitor]],'NHL Model'!$A$6:$B$38,2,FALSE)</f>
        <v>-0.37836939589441088</v>
      </c>
      <c r="J239">
        <f>($B$1+Table4[[#This Row],[Home Differential]])-Table4[[#This Row],[Away Differential]]</f>
        <v>0.15412897199975178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0.5605574495616058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0.19310975513580061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-1.5569791149906038</v>
      </c>
      <c r="H240" t="s">
        <v>32</v>
      </c>
      <c r="I240">
        <f>VLOOKUP(Table4[[#This Row],[Visitor]],'NHL Model'!$A$6:$B$38,2,FALSE)</f>
        <v>-0.45007023285116615</v>
      </c>
      <c r="J240">
        <f>($B$1+Table4[[#This Row],[Home Differential]])-Table4[[#This Row],[Away Differential]]</f>
        <v>-0.96936549316702125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0.58929225423351439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0.16868085243258818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7.1667377873261273E-2</v>
      </c>
      <c r="H241" t="s">
        <v>22</v>
      </c>
      <c r="I241">
        <f>VLOOKUP(Table4[[#This Row],[Visitor]],'NHL Model'!$A$6:$B$38,2,FALSE)</f>
        <v>6.4811420118814619E-2</v>
      </c>
      <c r="J241">
        <f>($B$1+Table4[[#This Row],[Home Differential]])-Table4[[#This Row],[Away Differential]]</f>
        <v>0.144399346726863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0.54099885979358919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0.21068204671078519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-0.93520311342823803</v>
      </c>
      <c r="H242" t="s">
        <v>21</v>
      </c>
      <c r="I242">
        <f>VLOOKUP(Table4[[#This Row],[Visitor]],'NHL Model'!$A$6:$B$38,2,FALSE)</f>
        <v>-0.14464931395309213</v>
      </c>
      <c r="J242">
        <f>($B$1+Table4[[#This Row],[Home Differential]])-Table4[[#This Row],[Away Differential]]</f>
        <v>-0.65301041050272957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0.54709737308268658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0.20512078946860318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-1.1236485959014608</v>
      </c>
      <c r="H243" t="s">
        <v>28</v>
      </c>
      <c r="I243">
        <f>VLOOKUP(Table4[[#This Row],[Visitor]],'NHL Model'!$A$6:$B$38,2,FALSE)</f>
        <v>-0.59418600019583889</v>
      </c>
      <c r="J243">
        <f>($B$1+Table4[[#This Row],[Home Differential]])-Table4[[#This Row],[Away Differential]]</f>
        <v>-0.39191920673320557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0.51310298339965399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0.26327467157362561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0.12073374225454764</v>
      </c>
      <c r="H244" t="s">
        <v>31</v>
      </c>
      <c r="I244">
        <f>VLOOKUP(Table4[[#This Row],[Visitor]],'NHL Model'!$A$6:$B$38,2,FALSE)</f>
        <v>0.34329638981067145</v>
      </c>
      <c r="J244">
        <f>($B$1+Table4[[#This Row],[Home Differential]])-Table4[[#This Row],[Away Differential]]</f>
        <v>-8.5019258583707458E-2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0.49210894904168179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0.25795331964354501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0.34329638981067145</v>
      </c>
      <c r="H245" t="s">
        <v>40</v>
      </c>
      <c r="I245">
        <f>VLOOKUP(Table4[[#This Row],[Visitor]],'NHL Model'!$A$6:$B$38,2,FALSE)</f>
        <v>-6.0247860940930854E-2</v>
      </c>
      <c r="J245">
        <f>($B$1+Table4[[#This Row],[Home Differential]])-Table4[[#This Row],[Away Differential]]</f>
        <v>0.54108763972401863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0.64359788338669399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0.12702246872644457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4.3828122498436855E-3</v>
      </c>
      <c r="H246" t="s">
        <v>32</v>
      </c>
      <c r="I246">
        <f>VLOOKUP(Table4[[#This Row],[Visitor]],'NHL Model'!$A$6:$B$38,2,FALSE)</f>
        <v>-0.45007023285116615</v>
      </c>
      <c r="J246">
        <f>($B$1+Table4[[#This Row],[Home Differential]])-Table4[[#This Row],[Away Differential]]</f>
        <v>0.59199643407342617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0.62145491607215031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0.14329638056594277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-0.66335717753705836</v>
      </c>
      <c r="H247" t="s">
        <v>10</v>
      </c>
      <c r="I247">
        <f>VLOOKUP(Table4[[#This Row],[Visitor]],'NHL Model'!$A$6:$B$38,2,FALSE)</f>
        <v>-0.15263505358797036</v>
      </c>
      <c r="J247">
        <f>($B$1+Table4[[#This Row],[Home Differential]])-Table4[[#This Row],[Away Differential]]</f>
        <v>-0.37317873497667164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0.47752785354126587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0.27297714382519689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-0.16358905079701039</v>
      </c>
      <c r="H248" t="s">
        <v>16</v>
      </c>
      <c r="I248">
        <f>VLOOKUP(Table4[[#This Row],[Visitor]],'NHL Model'!$A$6:$B$38,2,FALSE)</f>
        <v>-1.0952038865534519</v>
      </c>
      <c r="J248">
        <f>($B$1+Table4[[#This Row],[Home Differential]])-Table4[[#This Row],[Away Differential]]</f>
        <v>1.0691582247288578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0.68260243219084626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0.10074121605116634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-0.31751962084606655</v>
      </c>
      <c r="H249" t="s">
        <v>55</v>
      </c>
      <c r="I249">
        <f>VLOOKUP(Table4[[#This Row],[Visitor]],'NHL Model'!$A$6:$B$38,2,FALSE)</f>
        <v>-0.30969050963205513</v>
      </c>
      <c r="J249">
        <f>($B$1+Table4[[#This Row],[Home Differential]])-Table4[[#This Row],[Away Differential]]</f>
        <v>0.12971427775840494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0.55979654004864909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0.1937790861531406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-0.2090057419115289</v>
      </c>
      <c r="H250" t="s">
        <v>13</v>
      </c>
      <c r="I250">
        <f>VLOOKUP(Table4[[#This Row],[Visitor]],'NHL Model'!$A$6:$B$38,2,FALSE)</f>
        <v>-0.36134162888396865</v>
      </c>
      <c r="J250">
        <f>($B$1+Table4[[#This Row],[Home Differential]])-Table4[[#This Row],[Away Differential]]</f>
        <v>0.28987927594485607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0.49518532402867688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0.24520850513338571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-0.93520311342823803</v>
      </c>
      <c r="H251" t="s">
        <v>25</v>
      </c>
      <c r="I251">
        <f>VLOOKUP(Table4[[#This Row],[Visitor]],'NHL Model'!$A$6:$B$38,2,FALSE)</f>
        <v>0.42515174825138019</v>
      </c>
      <c r="J251">
        <f>($B$1+Table4[[#This Row],[Home Differential]])-Table4[[#This Row],[Away Differential]]</f>
        <v>-1.2228114727072019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0.69571959963210328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9.2586562048047522E-2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-1.1236485959014608</v>
      </c>
      <c r="H252" t="s">
        <v>12</v>
      </c>
      <c r="I252">
        <f>VLOOKUP(Table4[[#This Row],[Visitor]],'NHL Model'!$A$6:$B$38,2,FALSE)</f>
        <v>1.4458345276269271</v>
      </c>
      <c r="J252">
        <f>($B$1+Table4[[#This Row],[Home Differential]])-Table4[[#This Row],[Away Differential]]</f>
        <v>-2.4319397345559715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0.87685400644127665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1.5164935729565133E-2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-0.87263145033954281</v>
      </c>
      <c r="H253" t="s">
        <v>28</v>
      </c>
      <c r="I253">
        <f>VLOOKUP(Table4[[#This Row],[Visitor]],'NHL Model'!$A$6:$B$38,2,FALSE)</f>
        <v>-0.59418600019583889</v>
      </c>
      <c r="J253">
        <f>($B$1+Table4[[#This Row],[Home Differential]])-Table4[[#This Row],[Away Differential]]</f>
        <v>-0.14090206117128756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0.44357202866162759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0.19675614461099178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-1.8032585202533785E-2</v>
      </c>
      <c r="H254" t="s">
        <v>30</v>
      </c>
      <c r="I254">
        <f>VLOOKUP(Table4[[#This Row],[Visitor]],'NHL Model'!$A$6:$B$38,2,FALSE)</f>
        <v>3.838472305373858E-3</v>
      </c>
      <c r="J254">
        <f>($B$1+Table4[[#This Row],[Home Differential]])-Table4[[#This Row],[Away Differential]]</f>
        <v>0.11567233146450871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0.60252494508771881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0.36303630945295856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-0.49835870184734621</v>
      </c>
      <c r="H255" t="s">
        <v>29</v>
      </c>
      <c r="I255">
        <f>VLOOKUP(Table4[[#This Row],[Visitor]],'NHL Model'!$A$6:$B$38,2,FALSE)</f>
        <v>-1.4957350924899622</v>
      </c>
      <c r="J255">
        <f>($B$1+Table4[[#This Row],[Home Differential]])-Table4[[#This Row],[Away Differential]]</f>
        <v>1.1349197796150323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0.69137359201969062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9.5250259702828369E-2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0.12073374225454764</v>
      </c>
      <c r="H256" t="s">
        <v>11</v>
      </c>
      <c r="I256">
        <f>VLOOKUP(Table4[[#This Row],[Visitor]],'NHL Model'!$A$6:$B$38,2,FALSE)</f>
        <v>-0.37836939589441088</v>
      </c>
      <c r="J256">
        <f>($B$1+Table4[[#This Row],[Home Differential]])-Table4[[#This Row],[Away Differential]]</f>
        <v>0.63664652712137482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0.62491478727237737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0.39051849135168065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-0.14464931395309213</v>
      </c>
      <c r="H257" t="s">
        <v>19</v>
      </c>
      <c r="I257">
        <f>VLOOKUP(Table4[[#This Row],[Visitor]],'NHL Model'!$A$6:$B$38,2,FALSE)</f>
        <v>-0.93520311342823803</v>
      </c>
      <c r="J257">
        <f>($B$1+Table4[[#This Row],[Home Differential]])-Table4[[#This Row],[Away Differential]]</f>
        <v>0.92809718844756228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0.71550393710365223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8.093800980352267E-2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0.42515174825138019</v>
      </c>
      <c r="H258" t="s">
        <v>22</v>
      </c>
      <c r="I258">
        <f>VLOOKUP(Table4[[#This Row],[Visitor]],'NHL Model'!$A$6:$B$38,2,FALSE)</f>
        <v>6.4811420118814619E-2</v>
      </c>
      <c r="J258">
        <f>($B$1+Table4[[#This Row],[Home Differential]])-Table4[[#This Row],[Away Differential]]</f>
        <v>0.49788371710498186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0.63783542063500709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0.40683402381663641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1.4458345276269271</v>
      </c>
      <c r="H259" t="s">
        <v>31</v>
      </c>
      <c r="I259">
        <f>VLOOKUP(Table4[[#This Row],[Visitor]],'NHL Model'!$A$6:$B$38,2,FALSE)</f>
        <v>0.34329638981067145</v>
      </c>
      <c r="J259">
        <f>($B$1+Table4[[#This Row],[Home Differential]])-Table4[[#This Row],[Away Differential]]</f>
        <v>1.2400815267886722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0.78078449516372816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4.8055437560621521E-2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-0.16358905079701039</v>
      </c>
      <c r="H260" t="s">
        <v>33</v>
      </c>
      <c r="I260">
        <f>VLOOKUP(Table4[[#This Row],[Visitor]],'NHL Model'!$A$6:$B$38,2,FALSE)</f>
        <v>-0.36178381286707545</v>
      </c>
      <c r="J260">
        <f>($B$1+Table4[[#This Row],[Home Differential]])-Table4[[#This Row],[Away Differential]]</f>
        <v>0.33573815104248139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0.58478016051371384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0.3419678361304449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-0.74754136228530599</v>
      </c>
      <c r="H261" t="s">
        <v>13</v>
      </c>
      <c r="I261">
        <f>VLOOKUP(Table4[[#This Row],[Visitor]],'NHL Model'!$A$6:$B$38,2,FALSE)</f>
        <v>-0.36134162888396865</v>
      </c>
      <c r="J261">
        <f>($B$1+Table4[[#This Row],[Home Differential]])-Table4[[#This Row],[Away Differential]]</f>
        <v>-0.24865634442892098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0.57664360410418469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0.17923063794589431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-0.31751962084606655</v>
      </c>
      <c r="H262" t="s">
        <v>39</v>
      </c>
      <c r="I262">
        <f>VLOOKUP(Table4[[#This Row],[Visitor]],'NHL Model'!$A$6:$B$38,2,FALSE)</f>
        <v>4.3828122498436855E-3</v>
      </c>
      <c r="J262">
        <f>($B$1+Table4[[#This Row],[Home Differential]])-Table4[[#This Row],[Away Differential]]</f>
        <v>-0.18435904412349388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0.56305102155236642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0.19092440976643055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-0.45007023285116615</v>
      </c>
      <c r="H263" t="s">
        <v>28</v>
      </c>
      <c r="I263">
        <f>VLOOKUP(Table4[[#This Row],[Visitor]],'NHL Model'!$A$6:$B$38,2,FALSE)</f>
        <v>-0.59418600019583889</v>
      </c>
      <c r="J263">
        <f>($B$1+Table4[[#This Row],[Home Differential]])-Table4[[#This Row],[Away Differential]]</f>
        <v>0.2816591563170891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0.60278459119174022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0.3633492633781934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-1.5569791149906038</v>
      </c>
      <c r="H264" t="s">
        <v>16</v>
      </c>
      <c r="I264">
        <f>VLOOKUP(Table4[[#This Row],[Visitor]],'NHL Model'!$A$6:$B$38,2,FALSE)</f>
        <v>-1.0952038865534519</v>
      </c>
      <c r="J264">
        <f>($B$1+Table4[[#This Row],[Home Differential]])-Table4[[#This Row],[Away Differential]]</f>
        <v>-0.32423183946473544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0.50324546903533285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0.25325600210459215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-1.1236485959014608</v>
      </c>
      <c r="H265" t="s">
        <v>40</v>
      </c>
      <c r="I265">
        <f>VLOOKUP(Table4[[#This Row],[Visitor]],'NHL Model'!$A$6:$B$38,2,FALSE)</f>
        <v>-6.0247860940930854E-2</v>
      </c>
      <c r="J265">
        <f>($B$1+Table4[[#This Row],[Home Differential]])-Table4[[#This Row],[Away Differential]]</f>
        <v>-0.92585734598811364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0.64980500402202657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0.12263653520801283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-0.15263505358797036</v>
      </c>
      <c r="H266" t="s">
        <v>24</v>
      </c>
      <c r="I266">
        <f>VLOOKUP(Table4[[#This Row],[Visitor]],'NHL Model'!$A$6:$B$38,2,FALSE)</f>
        <v>-1.8032585202533785E-2</v>
      </c>
      <c r="J266">
        <f>($B$1+Table4[[#This Row],[Home Differential]])-Table4[[#This Row],[Away Differential]]</f>
        <v>2.9409205869797839E-3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0.53956276169651773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0.29112797380957317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-0.42203126246971279</v>
      </c>
      <c r="H267" t="s">
        <v>17</v>
      </c>
      <c r="I267">
        <f>VLOOKUP(Table4[[#This Row],[Visitor]],'NHL Model'!$A$6:$B$38,2,FALSE)</f>
        <v>-0.87263145033954281</v>
      </c>
      <c r="J267">
        <f>($B$1+Table4[[#This Row],[Home Differential]])-Table4[[#This Row],[Away Differential]]</f>
        <v>0.58814357684224639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0.6506916153960568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0.42339957834672992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7.1667377873261273E-2</v>
      </c>
      <c r="H268" t="s">
        <v>15</v>
      </c>
      <c r="I268">
        <f>VLOOKUP(Table4[[#This Row],[Visitor]],'NHL Model'!$A$6:$B$38,2,FALSE)</f>
        <v>-0.49835870184734621</v>
      </c>
      <c r="J268">
        <f>($B$1+Table4[[#This Row],[Home Differential]])-Table4[[#This Row],[Away Differential]]</f>
        <v>0.70756946869302384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0.55339075716713049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0.30624133011800997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-0.30969050963205513</v>
      </c>
      <c r="H269" t="s">
        <v>23</v>
      </c>
      <c r="I269">
        <f>VLOOKUP(Table4[[#This Row],[Visitor]],'NHL Model'!$A$6:$B$38,2,FALSE)</f>
        <v>-0.51535072045188635</v>
      </c>
      <c r="J269">
        <f>($B$1+Table4[[#This Row],[Home Differential]])-Table4[[#This Row],[Away Differential]]</f>
        <v>0.34320359979224757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0.63749186518956991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0.13141214780373695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-0.59418600019583889</v>
      </c>
      <c r="H270" t="s">
        <v>17</v>
      </c>
      <c r="I270">
        <f>VLOOKUP(Table4[[#This Row],[Visitor]],'NHL Model'!$A$6:$B$38,2,FALSE)</f>
        <v>-0.87263145033954281</v>
      </c>
      <c r="J270">
        <f>($B$1+Table4[[#This Row],[Home Differential]])-Table4[[#This Row],[Away Differential]]</f>
        <v>0.41598883911612028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0.60252980714924187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0.15798255420481885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-1.0952038865534519</v>
      </c>
      <c r="H271" t="s">
        <v>33</v>
      </c>
      <c r="I271">
        <f>VLOOKUP(Table4[[#This Row],[Visitor]],'NHL Model'!$A$6:$B$38,2,FALSE)</f>
        <v>-0.36178381286707545</v>
      </c>
      <c r="J271">
        <f>($B$1+Table4[[#This Row],[Home Differential]])-Table4[[#This Row],[Away Differential]]</f>
        <v>-0.59587668471396005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0.53947697783233006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0.29103540961110436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1.4458345276269271</v>
      </c>
      <c r="H272" t="s">
        <v>23</v>
      </c>
      <c r="I272">
        <f>VLOOKUP(Table4[[#This Row],[Visitor]],'NHL Model'!$A$6:$B$38,2,FALSE)</f>
        <v>-0.51535072045188635</v>
      </c>
      <c r="J272">
        <f>($B$1+Table4[[#This Row],[Home Differential]])-Table4[[#This Row],[Away Differential]]</f>
        <v>2.0987286370512299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0.91484534693225927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7.2513149390872854E-3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-0.66335717753705836</v>
      </c>
      <c r="H273" t="s">
        <v>31</v>
      </c>
      <c r="I273">
        <f>VLOOKUP(Table4[[#This Row],[Visitor]],'NHL Model'!$A$6:$B$38,2,FALSE)</f>
        <v>0.34329638981067145</v>
      </c>
      <c r="J273">
        <f>($B$1+Table4[[#This Row],[Home Differential]])-Table4[[#This Row],[Away Differential]]</f>
        <v>-0.86911017837531346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0.56419623981246625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0.3183173970185259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-0.37836939589441088</v>
      </c>
      <c r="H274" t="s">
        <v>22</v>
      </c>
      <c r="I274">
        <f>VLOOKUP(Table4[[#This Row],[Visitor]],'NHL Model'!$A$6:$B$38,2,FALSE)</f>
        <v>6.4811420118814619E-2</v>
      </c>
      <c r="J274">
        <f>($B$1+Table4[[#This Row],[Home Differential]])-Table4[[#This Row],[Away Differential]]</f>
        <v>-0.30563742704080915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0.46933680777956677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0.22027703913671401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-0.74754136228530599</v>
      </c>
      <c r="H275" t="s">
        <v>39</v>
      </c>
      <c r="I275">
        <f>VLOOKUP(Table4[[#This Row],[Visitor]],'NHL Model'!$A$6:$B$38,2,FALSE)</f>
        <v>4.3828122498436855E-3</v>
      </c>
      <c r="J275">
        <f>($B$1+Table4[[#This Row],[Home Differential]])-Table4[[#This Row],[Away Differential]]</f>
        <v>-0.61438078556273334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0.62290329099497221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0.14220192794242259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-0.31751962084606655</v>
      </c>
      <c r="H276" t="s">
        <v>21</v>
      </c>
      <c r="I276">
        <f>VLOOKUP(Table4[[#This Row],[Visitor]],'NHL Model'!$A$6:$B$38,2,FALSE)</f>
        <v>-0.14464931395309213</v>
      </c>
      <c r="J276">
        <f>($B$1+Table4[[#This Row],[Home Differential]])-Table4[[#This Row],[Away Differential]]</f>
        <v>-3.532691792055806E-2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0.46221636259864068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0.21364396585391809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-0.45007023285116615</v>
      </c>
      <c r="H277" t="s">
        <v>40</v>
      </c>
      <c r="I277">
        <f>VLOOKUP(Table4[[#This Row],[Visitor]],'NHL Model'!$A$6:$B$38,2,FALSE)</f>
        <v>-6.0247860940930854E-2</v>
      </c>
      <c r="J277">
        <f>($B$1+Table4[[#This Row],[Home Differential]])-Table4[[#This Row],[Away Differential]]</f>
        <v>-0.25227898293781892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0.53364852434885357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0.28478074753970894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-0.93520311342823803</v>
      </c>
      <c r="H278" t="s">
        <v>13</v>
      </c>
      <c r="I278">
        <f>VLOOKUP(Table4[[#This Row],[Visitor]],'NHL Model'!$A$6:$B$38,2,FALSE)</f>
        <v>-0.36134162888396865</v>
      </c>
      <c r="J278">
        <f>($B$1+Table4[[#This Row],[Home Differential]])-Table4[[#This Row],[Away Differential]]</f>
        <v>-0.43631809557185303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0.60167359641328577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0.15866392379432595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0.12073374225454764</v>
      </c>
      <c r="H279" t="s">
        <v>30</v>
      </c>
      <c r="I279">
        <f>VLOOKUP(Table4[[#This Row],[Visitor]],'NHL Model'!$A$6:$B$38,2,FALSE)</f>
        <v>3.838472305373858E-3</v>
      </c>
      <c r="J279">
        <f>($B$1+Table4[[#This Row],[Home Differential]])-Table4[[#This Row],[Away Differential]]</f>
        <v>0.25443865892159012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0.50131340900227106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0.25131513404547828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0.42515174825138019</v>
      </c>
      <c r="H280" t="s">
        <v>38</v>
      </c>
      <c r="I280">
        <f>VLOOKUP(Table4[[#This Row],[Visitor]],'NHL Model'!$A$6:$B$38,2,FALSE)</f>
        <v>-1.1236485959014608</v>
      </c>
      <c r="J280">
        <f>($B$1+Table4[[#This Row],[Home Differential]])-Table4[[#This Row],[Away Differential]]</f>
        <v>1.6863437331252573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0.79635011464958416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4.1473275803237515E-2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-1.4957350924899622</v>
      </c>
      <c r="H281" t="s">
        <v>14</v>
      </c>
      <c r="I281">
        <f>VLOOKUP(Table4[[#This Row],[Visitor]],'NHL Model'!$A$6:$B$38,2,FALSE)</f>
        <v>-0.2090057419115289</v>
      </c>
      <c r="J281">
        <f>($B$1+Table4[[#This Row],[Home Differential]])-Table4[[#This Row],[Away Differential]]</f>
        <v>-1.1491859616060167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0.61327639013033275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0.37610793069129211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-1.5569791149906038</v>
      </c>
      <c r="H282" t="s">
        <v>27</v>
      </c>
      <c r="I282">
        <f>VLOOKUP(Table4[[#This Row],[Visitor]],'NHL Model'!$A$6:$B$38,2,FALSE)</f>
        <v>-0.42203126246971279</v>
      </c>
      <c r="J282">
        <f>($B$1+Table4[[#This Row],[Home Differential]])-Table4[[#This Row],[Away Differential]]</f>
        <v>-0.99740446354847456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0.593032042489398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0.16562291844035115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-0.30969050963205513</v>
      </c>
      <c r="H283" t="s">
        <v>30</v>
      </c>
      <c r="I283">
        <f>VLOOKUP(Table4[[#This Row],[Visitor]],'NHL Model'!$A$6:$B$38,2,FALSE)</f>
        <v>3.838472305373858E-3</v>
      </c>
      <c r="J283">
        <f>($B$1+Table4[[#This Row],[Home Differential]])-Table4[[#This Row],[Away Differential]]</f>
        <v>-0.17598559296501262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0.50347264699172434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0.2465394122854048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0.42515174825138019</v>
      </c>
      <c r="H284" t="s">
        <v>17</v>
      </c>
      <c r="I284">
        <f>VLOOKUP(Table4[[#This Row],[Visitor]],'NHL Model'!$A$6:$B$38,2,FALSE)</f>
        <v>-0.87263145033954281</v>
      </c>
      <c r="J284">
        <f>($B$1+Table4[[#This Row],[Home Differential]])-Table4[[#This Row],[Away Differential]]</f>
        <v>1.4353265875633392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0.78315729683995783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0.61333535159366981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-0.59418600019583889</v>
      </c>
      <c r="H285" t="s">
        <v>15</v>
      </c>
      <c r="I285">
        <f>VLOOKUP(Table4[[#This Row],[Visitor]],'NHL Model'!$A$6:$B$38,2,FALSE)</f>
        <v>-0.49835870184734621</v>
      </c>
      <c r="J285">
        <f>($B$1+Table4[[#This Row],[Home Differential]])-Table4[[#This Row],[Away Differential]]</f>
        <v>4.1716090623923674E-2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0.46914017729322238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0.22009250595071614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-1.0952038865534519</v>
      </c>
      <c r="H286" t="s">
        <v>40</v>
      </c>
      <c r="I286">
        <f>VLOOKUP(Table4[[#This Row],[Visitor]],'NHL Model'!$A$6:$B$38,2,FALSE)</f>
        <v>-6.0247860940930854E-2</v>
      </c>
      <c r="J286">
        <f>($B$1+Table4[[#This Row],[Home Differential]])-Table4[[#This Row],[Away Differential]]</f>
        <v>-0.89741263664010473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0.64601109902071918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0.12530814201651908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-0.15263505358797036</v>
      </c>
      <c r="H287" t="s">
        <v>19</v>
      </c>
      <c r="I287">
        <f>VLOOKUP(Table4[[#This Row],[Visitor]],'NHL Model'!$A$6:$B$38,2,FALSE)</f>
        <v>-0.93520311342823803</v>
      </c>
      <c r="J287">
        <f>($B$1+Table4[[#This Row],[Home Differential]])-Table4[[#This Row],[Away Differential]]</f>
        <v>0.92011144881268403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0.66272283695016931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0.11375588471494208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4.3828122498436855E-3</v>
      </c>
      <c r="H288" t="s">
        <v>27</v>
      </c>
      <c r="I288">
        <f>VLOOKUP(Table4[[#This Row],[Visitor]],'NHL Model'!$A$6:$B$38,2,FALSE)</f>
        <v>-0.42203126246971279</v>
      </c>
      <c r="J288">
        <f>($B$1+Table4[[#This Row],[Home Differential]])-Table4[[#This Row],[Away Differential]]</f>
        <v>0.56395746369197286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0.6177151278162667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0.14614172350053331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-0.66335717753705836</v>
      </c>
      <c r="H289" t="s">
        <v>23</v>
      </c>
      <c r="I289">
        <f>VLOOKUP(Table4[[#This Row],[Visitor]],'NHL Model'!$A$6:$B$38,2,FALSE)</f>
        <v>-0.51535072045188635</v>
      </c>
      <c r="J289">
        <f>($B$1+Table4[[#This Row],[Home Differential]])-Table4[[#This Row],[Away Differential]]</f>
        <v>-1.0463068112755658E-2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0.42914947970269157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0.32587031652370774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-0.37836939589441088</v>
      </c>
      <c r="H290" t="s">
        <v>37</v>
      </c>
      <c r="I290">
        <f>VLOOKUP(Table4[[#This Row],[Visitor]],'NHL Model'!$A$6:$B$38,2,FALSE)</f>
        <v>7.1667377873261273E-2</v>
      </c>
      <c r="J290">
        <f>($B$1+Table4[[#This Row],[Home Differential]])-Table4[[#This Row],[Away Differential]]</f>
        <v>-0.31249338479525579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0.51536402524845826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0.23487202802337701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-0.16358905079701039</v>
      </c>
      <c r="H291" t="s">
        <v>31</v>
      </c>
      <c r="I291">
        <f>VLOOKUP(Table4[[#This Row],[Visitor]],'NHL Model'!$A$6:$B$38,2,FALSE)</f>
        <v>0.34329638981067145</v>
      </c>
      <c r="J291">
        <f>($B$1+Table4[[#This Row],[Home Differential]])-Table4[[#This Row],[Away Differential]]</f>
        <v>-0.36934205163526546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0.53003142008354198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0.28093330627577617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-0.74754136228530599</v>
      </c>
      <c r="H292" t="s">
        <v>21</v>
      </c>
      <c r="I292">
        <f>VLOOKUP(Table4[[#This Row],[Visitor]],'NHL Model'!$A$6:$B$38,2,FALSE)</f>
        <v>-0.14464931395309213</v>
      </c>
      <c r="J292">
        <f>($B$1+Table4[[#This Row],[Home Differential]])-Table4[[#This Row],[Away Differential]]</f>
        <v>-0.46534865935979752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0.5220673807735855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0.22841958852062091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-0.31751962084606655</v>
      </c>
      <c r="H293" t="s">
        <v>13</v>
      </c>
      <c r="I293">
        <f>VLOOKUP(Table4[[#This Row],[Visitor]],'NHL Model'!$A$6:$B$38,2,FALSE)</f>
        <v>-0.36134162888396865</v>
      </c>
      <c r="J293">
        <f>($B$1+Table4[[#This Row],[Home Differential]])-Table4[[#This Row],[Away Differential]]</f>
        <v>0.18136539701031845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0.48320658917860848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0.2334886078256245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-0.45007023285116615</v>
      </c>
      <c r="H294" t="s">
        <v>33</v>
      </c>
      <c r="I294">
        <f>VLOOKUP(Table4[[#This Row],[Visitor]],'NHL Model'!$A$6:$B$38,2,FALSE)</f>
        <v>-0.36178381286707545</v>
      </c>
      <c r="J294">
        <f>($B$1+Table4[[#This Row],[Home Differential]])-Table4[[#This Row],[Away Differential]]</f>
        <v>4.9256968988325656E-2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0.57260754321490803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0.18266431211679671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-1.5569791149906038</v>
      </c>
      <c r="H295" t="s">
        <v>20</v>
      </c>
      <c r="I295">
        <f>VLOOKUP(Table4[[#This Row],[Visitor]],'NHL Model'!$A$6:$B$38,2,FALSE)</f>
        <v>0.12073374225454764</v>
      </c>
      <c r="J295">
        <f>($B$1+Table4[[#This Row],[Home Differential]])-Table4[[#This Row],[Away Differential]]</f>
        <v>-1.5401694682727349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0.6861943091924676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9.8474011583192619E-2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6.4811420118814619E-2</v>
      </c>
      <c r="H296" t="s">
        <v>24</v>
      </c>
      <c r="I296">
        <f>VLOOKUP(Table4[[#This Row],[Visitor]],'NHL Model'!$A$6:$B$38,2,FALSE)</f>
        <v>-1.8032585202533785E-2</v>
      </c>
      <c r="J296">
        <f>($B$1+Table4[[#This Row],[Home Differential]])-Table4[[#This Row],[Away Differential]]</f>
        <v>0.22038739429376478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0.56856538759856723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0.32326659997510898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1.4458345276269271</v>
      </c>
      <c r="H297" t="s">
        <v>30</v>
      </c>
      <c r="I297">
        <f>VLOOKUP(Table4[[#This Row],[Visitor]],'NHL Model'!$A$6:$B$38,2,FALSE)</f>
        <v>3.838472305373858E-3</v>
      </c>
      <c r="J297">
        <f>($B$1+Table4[[#This Row],[Home Differential]])-Table4[[#This Row],[Away Differential]]</f>
        <v>1.5795394442939696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0.77589356746603877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5.0223693103098918E-2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-0.16358905079701039</v>
      </c>
      <c r="H298" t="s">
        <v>20</v>
      </c>
      <c r="I298">
        <f>VLOOKUP(Table4[[#This Row],[Visitor]],'NHL Model'!$A$6:$B$38,2,FALSE)</f>
        <v>0.12073374225454764</v>
      </c>
      <c r="J298">
        <f>($B$1+Table4[[#This Row],[Home Differential]])-Table4[[#This Row],[Away Differential]]</f>
        <v>-0.14677940407914167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0.5003464079662886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0.2503465279647677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-0.49835870184734621</v>
      </c>
      <c r="H299" t="s">
        <v>26</v>
      </c>
      <c r="I299">
        <f>VLOOKUP(Table4[[#This Row],[Visitor]],'NHL Model'!$A$6:$B$38,2,FALSE)</f>
        <v>-0.66335717753705836</v>
      </c>
      <c r="J299">
        <f>($B$1+Table4[[#This Row],[Home Differential]])-Table4[[#This Row],[Away Differential]]</f>
        <v>0.30254186466212851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0.53325310709478657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0.2843588762262439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-0.2090057419115289</v>
      </c>
      <c r="H300" t="s">
        <v>29</v>
      </c>
      <c r="I300">
        <f>VLOOKUP(Table4[[#This Row],[Visitor]],'NHL Model'!$A$6:$B$38,2,FALSE)</f>
        <v>-1.4957350924899622</v>
      </c>
      <c r="J300">
        <f>($B$1+Table4[[#This Row],[Home Differential]])-Table4[[#This Row],[Away Differential]]</f>
        <v>1.4242727395508497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0.72996697781993758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7.2917833067698085E-2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7.1667377873261273E-2</v>
      </c>
      <c r="H301" t="s">
        <v>38</v>
      </c>
      <c r="I301">
        <f>VLOOKUP(Table4[[#This Row],[Visitor]],'NHL Model'!$A$6:$B$38,2,FALSE)</f>
        <v>-1.1236485959014608</v>
      </c>
      <c r="J301">
        <f>($B$1+Table4[[#This Row],[Home Differential]])-Table4[[#This Row],[Away Differential]]</f>
        <v>1.3328593627471386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0.69951355380816627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0.48931921196133032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0.34329638981067145</v>
      </c>
      <c r="H302" t="s">
        <v>55</v>
      </c>
      <c r="I302">
        <f>VLOOKUP(Table4[[#This Row],[Visitor]],'NHL Model'!$A$6:$B$38,2,FALSE)</f>
        <v>-0.30969050963205513</v>
      </c>
      <c r="J302">
        <f>($B$1+Table4[[#This Row],[Home Differential]])-Table4[[#This Row],[Away Differential]]</f>
        <v>0.79053028841514295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0.74036016598454246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6.7412843407574335E-2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-0.14464931395309213</v>
      </c>
      <c r="H303" t="s">
        <v>25</v>
      </c>
      <c r="I303">
        <f>VLOOKUP(Table4[[#This Row],[Visitor]],'NHL Model'!$A$6:$B$38,2,FALSE)</f>
        <v>0.42515174825138019</v>
      </c>
      <c r="J303">
        <f>($B$1+Table4[[#This Row],[Home Differential]])-Table4[[#This Row],[Away Differential]]</f>
        <v>-0.43225767323205599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0.53765376359675832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0.21376404231624224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-0.51535072045188635</v>
      </c>
      <c r="H304" t="s">
        <v>17</v>
      </c>
      <c r="I304">
        <f>VLOOKUP(Table4[[#This Row],[Visitor]],'NHL Model'!$A$6:$B$38,2,FALSE)</f>
        <v>-0.87263145033954281</v>
      </c>
      <c r="J304">
        <f>($B$1+Table4[[#This Row],[Home Differential]])-Table4[[#This Row],[Away Differential]]</f>
        <v>0.49482411886007283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0.62001538590495497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0.14438830694896029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-0.59418600019583889</v>
      </c>
      <c r="H305" t="s">
        <v>18</v>
      </c>
      <c r="I305">
        <f>VLOOKUP(Table4[[#This Row],[Visitor]],'NHL Model'!$A$6:$B$38,2,FALSE)</f>
        <v>-0.74754136228530599</v>
      </c>
      <c r="J305">
        <f>($B$1+Table4[[#This Row],[Home Differential]])-Table4[[#This Row],[Away Differential]]</f>
        <v>0.29089875106188345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0.53879956068543955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0.21270584522394356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-0.37836939589441088</v>
      </c>
      <c r="H306" t="s">
        <v>38</v>
      </c>
      <c r="I306">
        <f>VLOOKUP(Table4[[#This Row],[Visitor]],'NHL Model'!$A$6:$B$38,2,FALSE)</f>
        <v>-1.1236485959014608</v>
      </c>
      <c r="J306">
        <f>($B$1+Table4[[#This Row],[Home Differential]])-Table4[[#This Row],[Away Differential]]</f>
        <v>0.88282258897946631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0.68917788623501042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9.6610386405336132E-2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6.4811420118814619E-2</v>
      </c>
      <c r="H307" t="s">
        <v>13</v>
      </c>
      <c r="I307">
        <f>VLOOKUP(Table4[[#This Row],[Visitor]],'NHL Model'!$A$6:$B$38,2,FALSE)</f>
        <v>-0.36134162888396865</v>
      </c>
      <c r="J307">
        <f>($B$1+Table4[[#This Row],[Home Differential]])-Table4[[#This Row],[Away Differential]]</f>
        <v>0.56369643797519964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0.53170657259413068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0.2192987341515362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-0.15263505358797036</v>
      </c>
      <c r="H308" t="s">
        <v>16</v>
      </c>
      <c r="I308">
        <f>VLOOKUP(Table4[[#This Row],[Visitor]],'NHL Model'!$A$6:$B$38,2,FALSE)</f>
        <v>-1.0952038865534519</v>
      </c>
      <c r="J308">
        <f>($B$1+Table4[[#This Row],[Home Differential]])-Table4[[#This Row],[Away Differential]]</f>
        <v>1.080112221937898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0.68406345695602266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9.9815899230578944E-2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4.3828122498436855E-3</v>
      </c>
      <c r="H309" t="s">
        <v>30</v>
      </c>
      <c r="I309">
        <f>VLOOKUP(Table4[[#This Row],[Visitor]],'NHL Model'!$A$6:$B$38,2,FALSE)</f>
        <v>3.838472305373858E-3</v>
      </c>
      <c r="J309">
        <f>($B$1+Table4[[#This Row],[Home Differential]])-Table4[[#This Row],[Away Differential]]</f>
        <v>0.1380877289168862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0.48829741501570184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0.23843436551101657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-0.66335717753705836</v>
      </c>
      <c r="H310" t="s">
        <v>32</v>
      </c>
      <c r="I310">
        <f>VLOOKUP(Table4[[#This Row],[Visitor]],'NHL Model'!$A$6:$B$38,2,FALSE)</f>
        <v>-0.45007023285116615</v>
      </c>
      <c r="J310">
        <f>($B$1+Table4[[#This Row],[Home Differential]])-Table4[[#This Row],[Away Differential]]</f>
        <v>-7.5743555713475852E-2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0.43785647562822716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0.19171829324957229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-0.36178381286707545</v>
      </c>
      <c r="H311" t="s">
        <v>55</v>
      </c>
      <c r="I311">
        <f>VLOOKUP(Table4[[#This Row],[Visitor]],'NHL Model'!$A$6:$B$38,2,FALSE)</f>
        <v>-0.30969050963205513</v>
      </c>
      <c r="J311">
        <f>($B$1+Table4[[#This Row],[Home Differential]])-Table4[[#This Row],[Away Differential]]</f>
        <v>8.5450085737396042E-2</v>
      </c>
      <c r="K311" t="str">
        <f>IF(Table4[[#This Row],[HomeIce Differential]]&gt;0,Table4[[#This Row],[Home]],Table4[[#This Row],[Visitor]])</f>
        <v>San Jose Sharks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0.55139718123588233</v>
      </c>
      <c r="M311" t="str">
        <f>IF(OR((NHL2025_26Results[[#This Row],[Winning Team]]="")),"-",IF(Table4[[#This Row],[Predicted Winner]]=NHL2025_26Results[[#This Row],[Winning Team]],"YES","NO"))</f>
        <v>YES</v>
      </c>
      <c r="N311">
        <f>IF(Table4[[#This Row],[Adjusted Correct]]="-", "",IF(Table4[[#This Row],[Adjusted Correct]]="YES",(Table4[[#This Row],[Strength of Win]]-1)^2,(Table4[[#This Row],[Strength of Win]]-0)^2))</f>
        <v>0.20124448900311181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7.1667377873261273E-2</v>
      </c>
      <c r="H312" t="s">
        <v>24</v>
      </c>
      <c r="I312">
        <f>VLOOKUP(Table4[[#This Row],[Visitor]],'NHL Model'!$A$6:$B$38,2,FALSE)</f>
        <v>-1.8032585202533785E-2</v>
      </c>
      <c r="J312">
        <f>($B$1+Table4[[#This Row],[Home Differential]])-Table4[[#This Row],[Away Differential]]</f>
        <v>0.22724335204821142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0.57197598286679574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0.18320455924284554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-0.93520311342823803</v>
      </c>
      <c r="H313" t="s">
        <v>35</v>
      </c>
      <c r="I313">
        <f>VLOOKUP(Table4[[#This Row],[Visitor]],'NHL Model'!$A$6:$B$38,2,FALSE)</f>
        <v>-1.5569791149906038</v>
      </c>
      <c r="J313">
        <f>($B$1+Table4[[#This Row],[Home Differential]])-Table4[[#This Row],[Away Differential]]</f>
        <v>0.75931939053478215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0.64127667673079103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0.1286824226573054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0.12073374225454764</v>
      </c>
      <c r="H314" t="s">
        <v>15</v>
      </c>
      <c r="I314">
        <f>VLOOKUP(Table4[[#This Row],[Visitor]],'NHL Model'!$A$6:$B$38,2,FALSE)</f>
        <v>-0.49835870184734621</v>
      </c>
      <c r="J314">
        <f>($B$1+Table4[[#This Row],[Home Differential]])-Table4[[#This Row],[Away Differential]]</f>
        <v>0.75663583307431015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0.55744048771557253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0.1958589219134303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-6.0247860940930854E-2</v>
      </c>
      <c r="H315" t="s">
        <v>28</v>
      </c>
      <c r="I315">
        <f>VLOOKUP(Table4[[#This Row],[Visitor]],'NHL Model'!$A$6:$B$38,2,FALSE)</f>
        <v>-0.59418600019583889</v>
      </c>
      <c r="J315">
        <f>($B$1+Table4[[#This Row],[Home Differential]])-Table4[[#This Row],[Away Differential]]</f>
        <v>0.67148152822732443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0.63122768474771496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0.1359930204965307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0.34329638981067145</v>
      </c>
      <c r="H316" t="s">
        <v>21</v>
      </c>
      <c r="I316">
        <f>VLOOKUP(Table4[[#This Row],[Visitor]],'NHL Model'!$A$6:$B$38,2,FALSE)</f>
        <v>-0.14464931395309213</v>
      </c>
      <c r="J316">
        <f>($B$1+Table4[[#This Row],[Home Differential]])-Table4[[#This Row],[Away Differential]]</f>
        <v>0.62548909273617992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0.71834726333725263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7.932826406961492E-2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-0.51535072045188635</v>
      </c>
      <c r="H317" t="s">
        <v>16</v>
      </c>
      <c r="I317">
        <f>VLOOKUP(Table4[[#This Row],[Visitor]],'NHL Model'!$A$6:$B$38,2,FALSE)</f>
        <v>-1.0952038865534519</v>
      </c>
      <c r="J317">
        <f>($B$1+Table4[[#This Row],[Home Differential]])-Table4[[#This Row],[Away Differential]]</f>
        <v>0.71739655507398192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0.64970170361606328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0.42211230368161495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-0.16358905079701039</v>
      </c>
      <c r="H318" t="s">
        <v>25</v>
      </c>
      <c r="I318">
        <f>VLOOKUP(Table4[[#This Row],[Visitor]],'NHL Model'!$A$6:$B$38,2,FALSE)</f>
        <v>0.42515174825138019</v>
      </c>
      <c r="J318">
        <f>($B$1+Table4[[#This Row],[Home Differential]])-Table4[[#This Row],[Away Differential]]</f>
        <v>-0.45119741007597425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0.59280308129191284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0.35141549318918625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6.4811420118814619E-2</v>
      </c>
      <c r="H319" t="s">
        <v>17</v>
      </c>
      <c r="I319">
        <f>VLOOKUP(Table4[[#This Row],[Visitor]],'NHL Model'!$A$6:$B$38,2,FALSE)</f>
        <v>-0.87263145033954281</v>
      </c>
      <c r="J319">
        <f>($B$1+Table4[[#This Row],[Home Differential]])-Table4[[#This Row],[Away Differential]]</f>
        <v>1.0749862594307737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0.68337976514696375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0.10024837311839184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0.34329638981067145</v>
      </c>
      <c r="H320" t="s">
        <v>36</v>
      </c>
      <c r="I320">
        <f>VLOOKUP(Table4[[#This Row],[Visitor]],'NHL Model'!$A$6:$B$38,2,FALSE)</f>
        <v>-0.31751962084606655</v>
      </c>
      <c r="J320">
        <f>($B$1+Table4[[#This Row],[Home Differential]])-Table4[[#This Row],[Away Differential]]</f>
        <v>0.79835939962915436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0.72186837944901605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0.52109395724834862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-0.15263505358797036</v>
      </c>
      <c r="H321" t="s">
        <v>32</v>
      </c>
      <c r="I321">
        <f>VLOOKUP(Table4[[#This Row],[Visitor]],'NHL Model'!$A$6:$B$38,2,FALSE)</f>
        <v>-0.45007023285116615</v>
      </c>
      <c r="J321">
        <f>($B$1+Table4[[#This Row],[Home Differential]])-Table4[[#This Row],[Away Differential]]</f>
        <v>0.43497856823561215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0.59801667175784112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0.35762393970032547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1.4458345276269271</v>
      </c>
      <c r="H322" t="s">
        <v>15</v>
      </c>
      <c r="I322">
        <f>VLOOKUP(Table4[[#This Row],[Visitor]],'NHL Model'!$A$6:$B$38,2,FALSE)</f>
        <v>-0.49835870184734621</v>
      </c>
      <c r="J322">
        <f>($B$1+Table4[[#This Row],[Home Differential]])-Table4[[#This Row],[Away Differential]]</f>
        <v>2.0817366184466897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0.83211379218125581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2.8185778775758563E-2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-0.66335717753705836</v>
      </c>
      <c r="H323" t="s">
        <v>30</v>
      </c>
      <c r="I323">
        <f>VLOOKUP(Table4[[#This Row],[Visitor]],'NHL Model'!$A$6:$B$38,2,FALSE)</f>
        <v>3.838472305373858E-3</v>
      </c>
      <c r="J323">
        <f>($B$1+Table4[[#This Row],[Home Differential]])-Table4[[#This Row],[Away Differential]]</f>
        <v>-0.52965226087001582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0.57064408136092237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0.18434650487040624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-0.37836939589441088</v>
      </c>
      <c r="H324" t="s">
        <v>24</v>
      </c>
      <c r="I324">
        <f>VLOOKUP(Table4[[#This Row],[Visitor]],'NHL Model'!$A$6:$B$38,2,FALSE)</f>
        <v>-1.8032585202533785E-2</v>
      </c>
      <c r="J324">
        <f>($B$1+Table4[[#This Row],[Home Differential]])-Table4[[#This Row],[Away Differential]]</f>
        <v>-0.22279342171946073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0.43880670145772482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0.19255132124420885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-0.74754136228530599</v>
      </c>
      <c r="H325" t="s">
        <v>22</v>
      </c>
      <c r="I325">
        <f>VLOOKUP(Table4[[#This Row],[Visitor]],'NHL Model'!$A$6:$B$38,2,FALSE)</f>
        <v>6.4811420118814619E-2</v>
      </c>
      <c r="J325">
        <f>($B$1+Table4[[#This Row],[Home Differential]])-Table4[[#This Row],[Away Differential]]</f>
        <v>-0.67480939343170421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0.57077411362274366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0.18423486153634136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-0.42203126246971279</v>
      </c>
      <c r="H326" t="s">
        <v>35</v>
      </c>
      <c r="I326">
        <f>VLOOKUP(Table4[[#This Row],[Visitor]],'NHL Model'!$A$6:$B$38,2,FALSE)</f>
        <v>-1.5569791149906038</v>
      </c>
      <c r="J326">
        <f>($B$1+Table4[[#This Row],[Home Differential]])-Table4[[#This Row],[Away Differential]]</f>
        <v>1.2724912414933074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0.74196869598730042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6.6580153850494192E-2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-0.36178381286707545</v>
      </c>
      <c r="H327" t="s">
        <v>13</v>
      </c>
      <c r="I327">
        <f>VLOOKUP(Table4[[#This Row],[Visitor]],'NHL Model'!$A$6:$B$38,2,FALSE)</f>
        <v>-0.36134162888396865</v>
      </c>
      <c r="J327">
        <f>($B$1+Table4[[#This Row],[Home Differential]])-Table4[[#This Row],[Away Differential]]</f>
        <v>0.13710120498930956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0.47480805525799347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0.27582657882189088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7.1667377873261273E-2</v>
      </c>
      <c r="H328" t="s">
        <v>17</v>
      </c>
      <c r="I328">
        <f>VLOOKUP(Table4[[#This Row],[Visitor]],'NHL Model'!$A$6:$B$38,2,FALSE)</f>
        <v>-0.87263145033954281</v>
      </c>
      <c r="J328">
        <f>($B$1+Table4[[#This Row],[Home Differential]])-Table4[[#This Row],[Away Differential]]</f>
        <v>1.0818422171852204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0.68678967986530792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9.8100704638876296E-2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-0.93520311342823803</v>
      </c>
      <c r="H329" t="s">
        <v>28</v>
      </c>
      <c r="I329">
        <f>VLOOKUP(Table4[[#This Row],[Visitor]],'NHL Model'!$A$6:$B$38,2,FALSE)</f>
        <v>-0.59418600019583889</v>
      </c>
      <c r="J329">
        <f>($B$1+Table4[[#This Row],[Home Differential]])-Table4[[#This Row],[Away Differential]]</f>
        <v>-0.20347372425998278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0.48796845839249325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0.26217629960095989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-0.30969050963205513</v>
      </c>
      <c r="H330" t="s">
        <v>20</v>
      </c>
      <c r="I330">
        <f>VLOOKUP(Table4[[#This Row],[Visitor]],'NHL Model'!$A$6:$B$38,2,FALSE)</f>
        <v>0.12073374225454764</v>
      </c>
      <c r="J330">
        <f>($B$1+Table4[[#This Row],[Home Differential]])-Table4[[#This Row],[Away Differential]]</f>
        <v>-0.29288086291418641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0.46763535982847776</v>
      </c>
      <c r="M330" t="str">
        <f>IF(OR((NHL2025_26Results[[#This Row],[Winning Team]]="")),"-",IF(Table4[[#This Row],[Predicted Winner]]=NHL2025_26Results[[#This Row],[Winning Team]],"YES","NO"))</f>
        <v>YES</v>
      </c>
      <c r="N330">
        <f>IF(Table4[[#This Row],[Adjusted Correct]]="-", "",IF(Table4[[#This Row],[Adjusted Correct]]="YES",(Table4[[#This Row],[Strength of Win]]-1)^2,(Table4[[#This Row],[Strength of Win]]-0)^2))</f>
        <v>0.28341211010495443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-1.1236485959014608</v>
      </c>
      <c r="H331" t="s">
        <v>39</v>
      </c>
      <c r="I331">
        <f>VLOOKUP(Table4[[#This Row],[Visitor]],'NHL Model'!$A$6:$B$38,2,FALSE)</f>
        <v>4.3828122498436855E-3</v>
      </c>
      <c r="J331">
        <f>($B$1+Table4[[#This Row],[Home Differential]])-Table4[[#This Row],[Away Differential]]</f>
        <v>-0.99048801917888818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0.67306780831123403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0.10688465796242001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-0.51535072045188635</v>
      </c>
      <c r="H332" t="s">
        <v>10</v>
      </c>
      <c r="I332">
        <f>VLOOKUP(Table4[[#This Row],[Visitor]],'NHL Model'!$A$6:$B$38,2,FALSE)</f>
        <v>-0.15263505358797036</v>
      </c>
      <c r="J332">
        <f>($B$1+Table4[[#This Row],[Home Differential]])-Table4[[#This Row],[Away Differential]]</f>
        <v>-0.22517227789149963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0.47601645949515703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0.22659166971030448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-0.36134162888396865</v>
      </c>
      <c r="H333" t="s">
        <v>21</v>
      </c>
      <c r="I333">
        <f>VLOOKUP(Table4[[#This Row],[Visitor]],'NHL Model'!$A$6:$B$38,2,FALSE)</f>
        <v>-0.14464931395309213</v>
      </c>
      <c r="J333">
        <f>($B$1+Table4[[#This Row],[Home Differential]])-Table4[[#This Row],[Away Differential]]</f>
        <v>-7.9148925958460153E-2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0.47055674369416373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0.28031016164772737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-0.2090057419115289</v>
      </c>
      <c r="H334" t="s">
        <v>34</v>
      </c>
      <c r="I334">
        <f>VLOOKUP(Table4[[#This Row],[Visitor]],'NHL Model'!$A$6:$B$38,2,FALSE)</f>
        <v>-0.16358905079701039</v>
      </c>
      <c r="J334">
        <f>($B$1+Table4[[#This Row],[Home Differential]])-Table4[[#This Row],[Away Differential]]</f>
        <v>9.2126697857897843E-2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0.53151846517734369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0.28251187882447909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-6.0247860940930854E-2</v>
      </c>
      <c r="H335" t="s">
        <v>25</v>
      </c>
      <c r="I335">
        <f>VLOOKUP(Table4[[#This Row],[Visitor]],'NHL Model'!$A$6:$B$38,2,FALSE)</f>
        <v>0.42515174825138019</v>
      </c>
      <c r="J335">
        <f>($B$1+Table4[[#This Row],[Home Differential]])-Table4[[#This Row],[Away Differential]]</f>
        <v>-0.34785622021989471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0.57651692906597396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0.17933791136771332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0.34329638981067145</v>
      </c>
      <c r="H336" t="s">
        <v>20</v>
      </c>
      <c r="I336">
        <f>VLOOKUP(Table4[[#This Row],[Visitor]],'NHL Model'!$A$6:$B$38,2,FALSE)</f>
        <v>0.12073374225454764</v>
      </c>
      <c r="J336">
        <f>($B$1+Table4[[#This Row],[Home Differential]])-Table4[[#This Row],[Away Differential]]</f>
        <v>0.36010603652854017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0.66341492134667135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0.11328951517206744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-1.0952038865534519</v>
      </c>
      <c r="H337" t="s">
        <v>39</v>
      </c>
      <c r="I337">
        <f>VLOOKUP(Table4[[#This Row],[Visitor]],'NHL Model'!$A$6:$B$38,2,FALSE)</f>
        <v>4.3828122498436855E-3</v>
      </c>
      <c r="J337">
        <f>($B$1+Table4[[#This Row],[Home Differential]])-Table4[[#This Row],[Away Differential]]</f>
        <v>-0.96204330983087927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0.66927390330992653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0.44792755765170489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-0.66335717753705836</v>
      </c>
      <c r="H338" t="s">
        <v>28</v>
      </c>
      <c r="I338">
        <f>VLOOKUP(Table4[[#This Row],[Visitor]],'NHL Model'!$A$6:$B$38,2,FALSE)</f>
        <v>-0.59418600019583889</v>
      </c>
      <c r="J338">
        <f>($B$1+Table4[[#This Row],[Home Differential]])-Table4[[#This Row],[Away Differential]]</f>
        <v>6.8372211631196889E-2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0.58054793603463672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0.17594003396480321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-0.37836939589441088</v>
      </c>
      <c r="H339" t="s">
        <v>17</v>
      </c>
      <c r="I339">
        <f>VLOOKUP(Table4[[#This Row],[Visitor]],'NHL Model'!$A$6:$B$38,2,FALSE)</f>
        <v>-0.87263145033954281</v>
      </c>
      <c r="J339">
        <f>($B$1+Table4[[#This Row],[Home Differential]])-Table4[[#This Row],[Away Differential]]</f>
        <v>0.6318054434175483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0.67598506842538408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0.45695581273407121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-0.74754136228530599</v>
      </c>
      <c r="H340" t="s">
        <v>19</v>
      </c>
      <c r="I340">
        <f>VLOOKUP(Table4[[#This Row],[Visitor]],'NHL Model'!$A$6:$B$38,2,FALSE)</f>
        <v>-0.93520311342823803</v>
      </c>
      <c r="J340">
        <f>($B$1+Table4[[#This Row],[Home Differential]])-Table4[[#This Row],[Away Differential]]</f>
        <v>0.3252051401153484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0.58337528615390344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0.17357615218734185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-1.4957350924899622</v>
      </c>
      <c r="H341" t="s">
        <v>12</v>
      </c>
      <c r="I341">
        <f>VLOOKUP(Table4[[#This Row],[Visitor]],'NHL Model'!$A$6:$B$38,2,FALSE)</f>
        <v>1.4458345276269271</v>
      </c>
      <c r="J341">
        <f>($B$1+Table4[[#This Row],[Home Differential]])-Table4[[#This Row],[Away Differential]]</f>
        <v>-2.8040262311444728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0.9264822449672887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5.4048603050497468E-3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3.838472305373858E-3</v>
      </c>
      <c r="H342" t="s">
        <v>35</v>
      </c>
      <c r="I342">
        <f>VLOOKUP(Table4[[#This Row],[Visitor]],'NHL Model'!$A$6:$B$38,2,FALSE)</f>
        <v>-1.5569791149906038</v>
      </c>
      <c r="J342">
        <f>($B$1+Table4[[#This Row],[Home Differential]])-Table4[[#This Row],[Away Differential]]</f>
        <v>1.698360976268394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0.76652438184751692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0.5875596279667179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-0.42203126246971279</v>
      </c>
      <c r="H343" t="s">
        <v>24</v>
      </c>
      <c r="I343">
        <f>VLOOKUP(Table4[[#This Row],[Visitor]],'NHL Model'!$A$6:$B$38,2,FALSE)</f>
        <v>-1.8032585202533785E-2</v>
      </c>
      <c r="J343">
        <f>($B$1+Table4[[#This Row],[Home Differential]])-Table4[[#This Row],[Away Differential]]</f>
        <v>-0.26645528829476262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0.46411076344450825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0.21539880074504428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-0.2090057419115289</v>
      </c>
      <c r="H344" t="s">
        <v>32</v>
      </c>
      <c r="I344">
        <f>VLOOKUP(Table4[[#This Row],[Visitor]],'NHL Model'!$A$6:$B$38,2,FALSE)</f>
        <v>-0.45007023285116615</v>
      </c>
      <c r="J344">
        <f>($B$1+Table4[[#This Row],[Home Differential]])-Table4[[#This Row],[Away Differential]]</f>
        <v>0.37860787991205358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0.59049804909443671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0.34868794598433578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-0.36178381286707545</v>
      </c>
      <c r="H345" t="s">
        <v>36</v>
      </c>
      <c r="I345">
        <f>VLOOKUP(Table4[[#This Row],[Visitor]],'NHL Model'!$A$6:$B$38,2,FALSE)</f>
        <v>-0.31751962084606655</v>
      </c>
      <c r="J345">
        <f>($B$1+Table4[[#This Row],[Home Differential]])-Table4[[#This Row],[Away Differential]]</f>
        <v>9.3279196951407461E-2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0.53167218346714484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0.28267531067272134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-0.30969050963205513</v>
      </c>
      <c r="H346" t="s">
        <v>15</v>
      </c>
      <c r="I346">
        <f>VLOOKUP(Table4[[#This Row],[Visitor]],'NHL Model'!$A$6:$B$38,2,FALSE)</f>
        <v>-0.49835870184734621</v>
      </c>
      <c r="J346">
        <f>($B$1+Table4[[#This Row],[Home Differential]])-Table4[[#This Row],[Away Differential]]</f>
        <v>0.32621158118770743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0.55260043257419522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0.20016637293279724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6.4811420118814619E-2</v>
      </c>
      <c r="H347" t="s">
        <v>37</v>
      </c>
      <c r="I347">
        <f>VLOOKUP(Table4[[#This Row],[Visitor]],'NHL Model'!$A$6:$B$38,2,FALSE)</f>
        <v>7.1667377873261273E-2</v>
      </c>
      <c r="J347">
        <f>($B$1+Table4[[#This Row],[Home Differential]])-Table4[[#This Row],[Away Differential]]</f>
        <v>0.13068743121796972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0.49111506885711392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0.24119401085852776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-0.51535072045188635</v>
      </c>
      <c r="H348" t="s">
        <v>25</v>
      </c>
      <c r="I348">
        <f>VLOOKUP(Table4[[#This Row],[Visitor]],'NHL Model'!$A$6:$B$38,2,FALSE)</f>
        <v>0.42515174825138019</v>
      </c>
      <c r="J348">
        <f>($B$1+Table4[[#This Row],[Home Differential]])-Table4[[#This Row],[Away Differential]]</f>
        <v>-0.80295907973085012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0.62561577977597316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0.39139510390469895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-0.15263505358797036</v>
      </c>
      <c r="H349" t="s">
        <v>12</v>
      </c>
      <c r="I349">
        <f>VLOOKUP(Table4[[#This Row],[Visitor]],'NHL Model'!$A$6:$B$38,2,FALSE)</f>
        <v>1.4458345276269271</v>
      </c>
      <c r="J349">
        <f>($B$1+Table4[[#This Row],[Home Differential]])-Table4[[#This Row],[Away Differential]]</f>
        <v>-1.4609261922424812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0.74734193832874918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6.3836096127473582E-2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3.838472305373858E-3</v>
      </c>
      <c r="H350" t="s">
        <v>32</v>
      </c>
      <c r="I350">
        <f>VLOOKUP(Table4[[#This Row],[Visitor]],'NHL Model'!$A$6:$B$38,2,FALSE)</f>
        <v>-0.45007023285116615</v>
      </c>
      <c r="J350">
        <f>($B$1+Table4[[#This Row],[Home Differential]])-Table4[[#This Row],[Away Differential]]</f>
        <v>0.59145209412895638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0.61888683376920017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0.14524724547446527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-0.36178381286707545</v>
      </c>
      <c r="H351" t="s">
        <v>21</v>
      </c>
      <c r="I351">
        <f>VLOOKUP(Table4[[#This Row],[Visitor]],'NHL Model'!$A$6:$B$38,2,FALSE)</f>
        <v>-0.14464931395309213</v>
      </c>
      <c r="J351">
        <f>($B$1+Table4[[#This Row],[Home Differential]])-Table4[[#This Row],[Away Differential]]</f>
        <v>-7.9591109941566957E-2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0.47061572141140745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0.22147915723957948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-1.1236485959014608</v>
      </c>
      <c r="H352" t="s">
        <v>16</v>
      </c>
      <c r="I352">
        <f>VLOOKUP(Table4[[#This Row],[Visitor]],'NHL Model'!$A$6:$B$38,2,FALSE)</f>
        <v>-1.0952038865534519</v>
      </c>
      <c r="J352">
        <f>($B$1+Table4[[#This Row],[Home Differential]])-Table4[[#This Row],[Away Differential]]</f>
        <v>0.10909867962440745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0.55455138884349497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0.30752724286824917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-6.0247860940930854E-2</v>
      </c>
      <c r="H353" t="s">
        <v>34</v>
      </c>
      <c r="I353">
        <f>VLOOKUP(Table4[[#This Row],[Visitor]],'NHL Model'!$A$6:$B$38,2,FALSE)</f>
        <v>-0.16358905079701039</v>
      </c>
      <c r="J353">
        <f>($B$1+Table4[[#This Row],[Home Differential]])-Table4[[#This Row],[Away Differential]]</f>
        <v>0.2408845788284959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0.55386788932537856</v>
      </c>
      <c r="M353" t="str">
        <f>IF(OR((NHL2025_26Results[[#This Row],[Winning Team]]="")),"-",IF(Table4[[#This Row],[Predicted Winner]]=NHL2025_26Results[[#This Row],[Winning Team]],"YES","NO"))</f>
        <v>NO</v>
      </c>
      <c r="N353">
        <f>IF(Table4[[#This Row],[Adjusted Correct]]="-", "",IF(Table4[[#This Row],[Adjusted Correct]]="YES",(Table4[[#This Row],[Strength of Win]]-1)^2,(Table4[[#This Row],[Strength of Win]]-0)^2))</f>
        <v>0.30676963882574981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-0.36134162888396865</v>
      </c>
      <c r="H354" t="s">
        <v>36</v>
      </c>
      <c r="I354">
        <f>VLOOKUP(Table4[[#This Row],[Visitor]],'NHL Model'!$A$6:$B$38,2,FALSE)</f>
        <v>-0.31751962084606655</v>
      </c>
      <c r="J354">
        <f>($B$1+Table4[[#This Row],[Home Differential]])-Table4[[#This Row],[Away Differential]]</f>
        <v>9.3721380934514265E-2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0.53173116118438857</v>
      </c>
      <c r="M354" t="str">
        <f>IF(OR((NHL2025_26Results[[#This Row],[Winning Team]]="")),"-",IF(Table4[[#This Row],[Predicted Winner]]=NHL2025_26Results[[#This Row],[Winning Team]],"YES","NO"))</f>
        <v>-</v>
      </c>
      <c r="N354" t="str">
        <f>IF(Table4[[#This Row],[Adjusted Correct]]="-", "",IF(Table4[[#This Row],[Adjusted Correct]]="YES",(Table4[[#This Row],[Strength of Win]]-1)^2,(Table4[[#This Row],[Strength of Win]]-0)^2))</f>
        <v/>
      </c>
      <c r="O354">
        <v>9.3721380934514265E-2</v>
      </c>
      <c r="P354" s="11">
        <v>0.53173116118438857</v>
      </c>
      <c r="Q354" t="s">
        <v>13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-1.8032585202533785E-2</v>
      </c>
      <c r="H355" t="s">
        <v>26</v>
      </c>
      <c r="I355">
        <f>VLOOKUP(Table4[[#This Row],[Visitor]],'NHL Model'!$A$6:$B$38,2,FALSE)</f>
        <v>-0.66335717753705836</v>
      </c>
      <c r="J355">
        <f>($B$1+Table4[[#This Row],[Home Differential]])-Table4[[#This Row],[Away Differential]]</f>
        <v>0.78286798130694091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0.71606803153678844</v>
      </c>
      <c r="M355" t="str">
        <f>IF(OR((NHL2025_26Results[[#This Row],[Winning Team]]="")),"-",IF(Table4[[#This Row],[Predicted Winner]]=NHL2025_26Results[[#This Row],[Winning Team]],"YES","NO"))</f>
        <v>-</v>
      </c>
      <c r="N355" t="str">
        <f>IF(Table4[[#This Row],[Adjusted Correct]]="-", "",IF(Table4[[#This Row],[Adjusted Correct]]="YES",(Table4[[#This Row],[Strength of Win]]-1)^2,(Table4[[#This Row],[Strength of Win]]-0)^2))</f>
        <v/>
      </c>
      <c r="O355">
        <v>0.78286798130694091</v>
      </c>
      <c r="P355" s="11">
        <v>0.71606803153678844</v>
      </c>
      <c r="Q355" t="s">
        <v>24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-1.4957350924899622</v>
      </c>
      <c r="H356" t="s">
        <v>11</v>
      </c>
      <c r="I356">
        <f>VLOOKUP(Table4[[#This Row],[Visitor]],'NHL Model'!$A$6:$B$38,2,FALSE)</f>
        <v>-0.37836939589441088</v>
      </c>
      <c r="J356">
        <f>($B$1+Table4[[#This Row],[Home Differential]])-Table4[[#This Row],[Away Differential]]</f>
        <v>-0.97982230762313482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0.59068696564284606</v>
      </c>
      <c r="M356" t="str">
        <f>IF(OR((NHL2025_26Results[[#This Row],[Winning Team]]="")),"-",IF(Table4[[#This Row],[Predicted Winner]]=NHL2025_26Results[[#This Row],[Winning Team]],"YES","NO"))</f>
        <v>-</v>
      </c>
      <c r="N356" t="str">
        <f>IF(Table4[[#This Row],[Adjusted Correct]]="-", "",IF(Table4[[#This Row],[Adjusted Correct]]="YES",(Table4[[#This Row],[Strength of Win]]-1)^2,(Table4[[#This Row],[Strength of Win]]-0)^2))</f>
        <v/>
      </c>
      <c r="O356">
        <v>-0.97982230762313482</v>
      </c>
      <c r="P356" s="11">
        <v>0.59068696564284606</v>
      </c>
      <c r="Q356" t="s">
        <v>11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-0.49835870184734621</v>
      </c>
      <c r="H357" t="s">
        <v>35</v>
      </c>
      <c r="I357">
        <f>VLOOKUP(Table4[[#This Row],[Visitor]],'NHL Model'!$A$6:$B$38,2,FALSE)</f>
        <v>-1.5569791149906038</v>
      </c>
      <c r="J357">
        <f>($B$1+Table4[[#This Row],[Home Differential]])-Table4[[#This Row],[Away Differential]]</f>
        <v>1.196163802115674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0.69954221137250649</v>
      </c>
      <c r="M357" t="str">
        <f>IF(OR((NHL2025_26Results[[#This Row],[Winning Team]]="")),"-",IF(Table4[[#This Row],[Predicted Winner]]=NHL2025_26Results[[#This Row],[Winning Team]],"YES","NO"))</f>
        <v>-</v>
      </c>
      <c r="N357" t="str">
        <f>IF(Table4[[#This Row],[Adjusted Correct]]="-", "",IF(Table4[[#This Row],[Adjusted Correct]]="YES",(Table4[[#This Row],[Strength of Win]]-1)^2,(Table4[[#This Row],[Strength of Win]]-0)^2))</f>
        <v/>
      </c>
      <c r="O357">
        <v>1.196163802115674</v>
      </c>
      <c r="P357" s="11">
        <v>0.69954221137250649</v>
      </c>
      <c r="Q357" t="s">
        <v>15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7.1667377873261273E-2</v>
      </c>
      <c r="H358" t="s">
        <v>27</v>
      </c>
      <c r="I358">
        <f>VLOOKUP(Table4[[#This Row],[Visitor]],'NHL Model'!$A$6:$B$38,2,FALSE)</f>
        <v>-0.42203126246971279</v>
      </c>
      <c r="J358">
        <f>($B$1+Table4[[#This Row],[Home Differential]])-Table4[[#This Row],[Away Differential]]</f>
        <v>0.63124202931539042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0.62668942412235118</v>
      </c>
      <c r="M358" t="str">
        <f>IF(OR((NHL2025_26Results[[#This Row],[Winning Team]]="")),"-",IF(Table4[[#This Row],[Predicted Winner]]=NHL2025_26Results[[#This Row],[Winning Team]],"YES","NO"))</f>
        <v>-</v>
      </c>
      <c r="N358" t="str">
        <f>IF(Table4[[#This Row],[Adjusted Correct]]="-", "",IF(Table4[[#This Row],[Adjusted Correct]]="YES",(Table4[[#This Row],[Strength of Win]]-1)^2,(Table4[[#This Row],[Strength of Win]]-0)^2))</f>
        <v/>
      </c>
      <c r="O358">
        <v>0.63124202931539042</v>
      </c>
      <c r="P358" s="11">
        <v>0.62668942412235118</v>
      </c>
      <c r="Q358" t="s">
        <v>37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-0.30969050963205513</v>
      </c>
      <c r="H359" t="s">
        <v>20</v>
      </c>
      <c r="I359">
        <f>VLOOKUP(Table4[[#This Row],[Visitor]],'NHL Model'!$A$6:$B$38,2,FALSE)</f>
        <v>0.12073374225454764</v>
      </c>
      <c r="J359">
        <f>($B$1+Table4[[#This Row],[Home Differential]])-Table4[[#This Row],[Away Differential]]</f>
        <v>-0.29288086291418641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0.46763535982847776</v>
      </c>
      <c r="M359" t="str">
        <f>IF(OR((NHL2025_26Results[[#This Row],[Winning Team]]="")),"-",IF(Table4[[#This Row],[Predicted Winner]]=NHL2025_26Results[[#This Row],[Winning Team]],"YES","NO"))</f>
        <v>-</v>
      </c>
      <c r="N359" t="str">
        <f>IF(Table4[[#This Row],[Adjusted Correct]]="-", "",IF(Table4[[#This Row],[Adjusted Correct]]="YES",(Table4[[#This Row],[Strength of Win]]-1)^2,(Table4[[#This Row],[Strength of Win]]-0)^2))</f>
        <v/>
      </c>
      <c r="O359">
        <v>-0.29288086291418641</v>
      </c>
      <c r="P359" s="11">
        <v>0.46763535982847776</v>
      </c>
      <c r="Q359" t="s">
        <v>20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6.4811420118814619E-2</v>
      </c>
      <c r="H360" t="s">
        <v>28</v>
      </c>
      <c r="I360">
        <f>VLOOKUP(Table4[[#This Row],[Visitor]],'NHL Model'!$A$6:$B$38,2,FALSE)</f>
        <v>-0.59418600019583889</v>
      </c>
      <c r="J360">
        <f>($B$1+Table4[[#This Row],[Home Differential]])-Table4[[#This Row],[Away Differential]]</f>
        <v>0.79654080928706983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0.64541171061492297</v>
      </c>
      <c r="M360" t="str">
        <f>IF(OR((NHL2025_26Results[[#This Row],[Winning Team]]="")),"-",IF(Table4[[#This Row],[Predicted Winner]]=NHL2025_26Results[[#This Row],[Winning Team]],"YES","NO"))</f>
        <v>-</v>
      </c>
      <c r="N360" t="str">
        <f>IF(Table4[[#This Row],[Adjusted Correct]]="-", "",IF(Table4[[#This Row],[Adjusted Correct]]="YES",(Table4[[#This Row],[Strength of Win]]-1)^2,(Table4[[#This Row],[Strength of Win]]-0)^2))</f>
        <v/>
      </c>
      <c r="O360">
        <v>0.79654080928706983</v>
      </c>
      <c r="P360" s="11">
        <v>0.64541171061492297</v>
      </c>
      <c r="Q360" t="s">
        <v>22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-0.87263145033954281</v>
      </c>
      <c r="H361" t="s">
        <v>39</v>
      </c>
      <c r="I361">
        <f>VLOOKUP(Table4[[#This Row],[Visitor]],'NHL Model'!$A$6:$B$38,2,FALSE)</f>
        <v>4.3828122498436855E-3</v>
      </c>
      <c r="J361">
        <f>($B$1+Table4[[#This Row],[Home Differential]])-Table4[[#This Row],[Away Differential]]</f>
        <v>-0.73947087361697017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0.60313382116978331</v>
      </c>
      <c r="M361" t="str">
        <f>IF(OR((NHL2025_26Results[[#This Row],[Winning Team]]="")),"-",IF(Table4[[#This Row],[Predicted Winner]]=NHL2025_26Results[[#This Row],[Winning Team]],"YES","NO"))</f>
        <v>-</v>
      </c>
      <c r="N361" t="str">
        <f>IF(Table4[[#This Row],[Adjusted Correct]]="-", "",IF(Table4[[#This Row],[Adjusted Correct]]="YES",(Table4[[#This Row],[Strength of Win]]-1)^2,(Table4[[#This Row],[Strength of Win]]-0)^2))</f>
        <v/>
      </c>
      <c r="P361" s="11"/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0.34329638981067145</v>
      </c>
      <c r="H362" t="s">
        <v>38</v>
      </c>
      <c r="I362">
        <f>VLOOKUP(Table4[[#This Row],[Visitor]],'NHL Model'!$A$6:$B$38,2,FALSE)</f>
        <v>-1.1236485959014608</v>
      </c>
      <c r="J362">
        <f>($B$1+Table4[[#This Row],[Home Differential]])-Table4[[#This Row],[Away Differential]]</f>
        <v>1.6044883746845486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0.82938843573588272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0.42515174825138019</v>
      </c>
      <c r="H363" t="s">
        <v>15</v>
      </c>
      <c r="I363">
        <f>VLOOKUP(Table4[[#This Row],[Visitor]],'NHL Model'!$A$6:$B$38,2,FALSE)</f>
        <v>-0.49835870184734621</v>
      </c>
      <c r="J363">
        <f>($B$1+Table4[[#This Row],[Home Differential]])-Table4[[#This Row],[Away Differential]]</f>
        <v>1.0610538390711426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0.65061239266304549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-0.59418600019583889</v>
      </c>
      <c r="H364" t="s">
        <v>19</v>
      </c>
      <c r="I364">
        <f>VLOOKUP(Table4[[#This Row],[Visitor]],'NHL Model'!$A$6:$B$38,2,FALSE)</f>
        <v>-0.93520311342823803</v>
      </c>
      <c r="J364">
        <f>($B$1+Table4[[#This Row],[Home Differential]])-Table4[[#This Row],[Away Differential]]</f>
        <v>0.4785605022048155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0.61087550485449682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-0.15263505358797036</v>
      </c>
      <c r="H365" t="s">
        <v>34</v>
      </c>
      <c r="I365">
        <f>VLOOKUP(Table4[[#This Row],[Visitor]],'NHL Model'!$A$6:$B$38,2,FALSE)</f>
        <v>-0.16358905079701039</v>
      </c>
      <c r="J365">
        <f>($B$1+Table4[[#This Row],[Home Differential]])-Table4[[#This Row],[Away Differential]]</f>
        <v>0.14849738618145639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0.539037087840748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1.4458345276269271</v>
      </c>
      <c r="H366" t="s">
        <v>33</v>
      </c>
      <c r="I366">
        <f>VLOOKUP(Table4[[#This Row],[Visitor]],'NHL Model'!$A$6:$B$38,2,FALSE)</f>
        <v>-0.36178381286707545</v>
      </c>
      <c r="J366">
        <f>($B$1+Table4[[#This Row],[Home Differential]])-Table4[[#This Row],[Away Differential]]</f>
        <v>1.945161729466419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0.89436286452777281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-0.66335717753705836</v>
      </c>
      <c r="H367" t="s">
        <v>29</v>
      </c>
      <c r="I367">
        <f>VLOOKUP(Table4[[#This Row],[Visitor]],'NHL Model'!$A$6:$B$38,2,FALSE)</f>
        <v>-1.4957350924899622</v>
      </c>
      <c r="J367">
        <f>($B$1+Table4[[#This Row],[Home Differential]])-Table4[[#This Row],[Away Differential]]</f>
        <v>0.96992130392532017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0.70161245309727371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-0.37836939589441088</v>
      </c>
      <c r="H368" t="s">
        <v>27</v>
      </c>
      <c r="I368">
        <f>VLOOKUP(Table4[[#This Row],[Visitor]],'NHL Model'!$A$6:$B$38,2,FALSE)</f>
        <v>-0.42203126246971279</v>
      </c>
      <c r="J368">
        <f>($B$1+Table4[[#This Row],[Home Differential]])-Table4[[#This Row],[Away Differential]]</f>
        <v>0.18120525554771827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0.61588481268242723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-1.8032585202533785E-2</v>
      </c>
      <c r="H369" t="s">
        <v>35</v>
      </c>
      <c r="I369">
        <f>VLOOKUP(Table4[[#This Row],[Visitor]],'NHL Model'!$A$6:$B$38,2,FALSE)</f>
        <v>-1.5569791149906038</v>
      </c>
      <c r="J369">
        <f>($B$1+Table4[[#This Row],[Home Differential]])-Table4[[#This Row],[Away Differential]]</f>
        <v>1.6764899187604865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0.87903797050737187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3.838472305373858E-3</v>
      </c>
      <c r="H370" t="s">
        <v>21</v>
      </c>
      <c r="I370">
        <f>VLOOKUP(Table4[[#This Row],[Visitor]],'NHL Model'!$A$6:$B$38,2,FALSE)</f>
        <v>-0.14464931395309213</v>
      </c>
      <c r="J370">
        <f>($B$1+Table4[[#This Row],[Home Differential]])-Table4[[#This Row],[Away Differential]]</f>
        <v>0.28603117523088234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0.57815033203403932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-0.2090057419115289</v>
      </c>
      <c r="H371" t="s">
        <v>23</v>
      </c>
      <c r="I371">
        <f>VLOOKUP(Table4[[#This Row],[Visitor]],'NHL Model'!$A$6:$B$38,2,FALSE)</f>
        <v>-0.51535072045188635</v>
      </c>
      <c r="J371">
        <f>($B$1+Table4[[#This Row],[Home Differential]])-Table4[[#This Row],[Away Differential]]</f>
        <v>0.44388836751277383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0.5992050450199724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-0.45007023285116615</v>
      </c>
      <c r="H372" t="s">
        <v>39</v>
      </c>
      <c r="I372">
        <f>VLOOKUP(Table4[[#This Row],[Visitor]],'NHL Model'!$A$6:$B$38,2,FALSE)</f>
        <v>4.3828122498436855E-3</v>
      </c>
      <c r="J372">
        <f>($B$1+Table4[[#This Row],[Home Differential]])-Table4[[#This Row],[Away Differential]]</f>
        <v>-0.31690965612859345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0.55697473153114685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7.1667377873261273E-2</v>
      </c>
      <c r="H373" t="s">
        <v>16</v>
      </c>
      <c r="I373">
        <f>VLOOKUP(Table4[[#This Row],[Visitor]],'NHL Model'!$A$6:$B$38,2,FALSE)</f>
        <v>-1.0952038865534519</v>
      </c>
      <c r="J373">
        <f>($B$1+Table4[[#This Row],[Home Differential]])-Table4[[#This Row],[Away Differential]]</f>
        <v>1.3044146533991294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0.71647599757641622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-0.30969050963205513</v>
      </c>
      <c r="H374" t="s">
        <v>18</v>
      </c>
      <c r="I374">
        <f>VLOOKUP(Table4[[#This Row],[Visitor]],'NHL Model'!$A$6:$B$38,2,FALSE)</f>
        <v>-0.74754136228530599</v>
      </c>
      <c r="J374">
        <f>($B$1+Table4[[#This Row],[Home Differential]])-Table4[[#This Row],[Away Differential]]</f>
        <v>0.57539424162566721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0.62219961127044598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0.12073374225454764</v>
      </c>
      <c r="H375" t="s">
        <v>36</v>
      </c>
      <c r="I375">
        <f>VLOOKUP(Table4[[#This Row],[Visitor]],'NHL Model'!$A$6:$B$38,2,FALSE)</f>
        <v>-0.31751962084606655</v>
      </c>
      <c r="J375">
        <f>($B$1+Table4[[#This Row],[Home Differential]])-Table4[[#This Row],[Away Differential]]</f>
        <v>0.57579675207303049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0.59602952117791652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6.4811420118814619E-2</v>
      </c>
      <c r="H376" t="s">
        <v>40</v>
      </c>
      <c r="I376">
        <f>VLOOKUP(Table4[[#This Row],[Visitor]],'NHL Model'!$A$6:$B$38,2,FALSE)</f>
        <v>-6.0247860940930854E-2</v>
      </c>
      <c r="J376">
        <f>($B$1+Table4[[#This Row],[Home Differential]])-Table4[[#This Row],[Away Differential]]</f>
        <v>0.26260267003216187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0.5087096899925504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0.34329638981067145</v>
      </c>
      <c r="H377" t="s">
        <v>13</v>
      </c>
      <c r="I377">
        <f>VLOOKUP(Table4[[#This Row],[Visitor]],'NHL Model'!$A$6:$B$38,2,FALSE)</f>
        <v>-0.36134162888396865</v>
      </c>
      <c r="J377">
        <f>($B$1+Table4[[#This Row],[Home Differential]])-Table4[[#This Row],[Away Differential]]</f>
        <v>0.8421814076670564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0.66678411150013817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-0.14464931395309213</v>
      </c>
      <c r="H378" t="s">
        <v>15</v>
      </c>
      <c r="I378">
        <f>VLOOKUP(Table4[[#This Row],[Visitor]],'NHL Model'!$A$6:$B$38,2,FALSE)</f>
        <v>-0.49835870184734621</v>
      </c>
      <c r="J378">
        <f>($B$1+Table4[[#This Row],[Home Differential]])-Table4[[#This Row],[Away Differential]]</f>
        <v>0.49125277686667046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0.57461333522148494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-0.51535072045188635</v>
      </c>
      <c r="H379" t="s">
        <v>24</v>
      </c>
      <c r="I379">
        <f>VLOOKUP(Table4[[#This Row],[Visitor]],'NHL Model'!$A$6:$B$38,2,FALSE)</f>
        <v>-1.8032585202533785E-2</v>
      </c>
      <c r="J379">
        <f>($B$1+Table4[[#This Row],[Home Differential]])-Table4[[#This Row],[Away Differential]]</f>
        <v>-0.35977474627693617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0.49479462969279686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0.42515174825138019</v>
      </c>
      <c r="H380" t="s">
        <v>40</v>
      </c>
      <c r="I380">
        <f>VLOOKUP(Table4[[#This Row],[Visitor]],'NHL Model'!$A$6:$B$38,2,FALSE)</f>
        <v>-6.0247860940930854E-2</v>
      </c>
      <c r="J380">
        <f>($B$1+Table4[[#This Row],[Home Differential]])-Table4[[#This Row],[Away Differential]]</f>
        <v>0.62294299816472731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0.60940282430155202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-0.59418600019583889</v>
      </c>
      <c r="H381" t="s">
        <v>14</v>
      </c>
      <c r="I381">
        <f>VLOOKUP(Table4[[#This Row],[Visitor]],'NHL Model'!$A$6:$B$38,2,FALSE)</f>
        <v>-0.2090057419115289</v>
      </c>
      <c r="J381">
        <f>($B$1+Table4[[#This Row],[Home Differential]])-Table4[[#This Row],[Away Differential]]</f>
        <v>-0.24763686931189363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0.48598341558746572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-0.15263505358797036</v>
      </c>
      <c r="H382" t="s">
        <v>29</v>
      </c>
      <c r="I382">
        <f>VLOOKUP(Table4[[#This Row],[Visitor]],'NHL Model'!$A$6:$B$38,2,FALSE)</f>
        <v>-1.4957350924899622</v>
      </c>
      <c r="J382">
        <f>($B$1+Table4[[#This Row],[Home Differential]])-Table4[[#This Row],[Away Differential]]</f>
        <v>1.4806434278744081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0.737485600483342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4.3828122498436855E-3</v>
      </c>
      <c r="H383" t="s">
        <v>55</v>
      </c>
      <c r="I383">
        <f>VLOOKUP(Table4[[#This Row],[Visitor]],'NHL Model'!$A$6:$B$38,2,FALSE)</f>
        <v>-0.30969050963205513</v>
      </c>
      <c r="J383">
        <f>($B$1+Table4[[#This Row],[Home Differential]])-Table4[[#This Row],[Away Differential]]</f>
        <v>0.45161671085431521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0.6027313169842794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-0.66335717753705836</v>
      </c>
      <c r="H384" t="s">
        <v>37</v>
      </c>
      <c r="I384">
        <f>VLOOKUP(Table4[[#This Row],[Visitor]],'NHL Model'!$A$6:$B$38,2,FALSE)</f>
        <v>7.1667377873261273E-2</v>
      </c>
      <c r="J384">
        <f>($B$1+Table4[[#This Row],[Home Differential]])-Table4[[#This Row],[Away Differential]]</f>
        <v>-0.59748116643790328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0.57336186684156643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-0.37836939589441088</v>
      </c>
      <c r="H385" t="s">
        <v>16</v>
      </c>
      <c r="I385">
        <f>VLOOKUP(Table4[[#This Row],[Visitor]],'NHL Model'!$A$6:$B$38,2,FALSE)</f>
        <v>-1.0952038865534519</v>
      </c>
      <c r="J385">
        <f>($B$1+Table4[[#This Row],[Home Differential]])-Table4[[#This Row],[Away Differential]]</f>
        <v>0.85437787963145739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0.70567138613649238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-0.16358905079701039</v>
      </c>
      <c r="H386" t="s">
        <v>12</v>
      </c>
      <c r="I386">
        <f>VLOOKUP(Table4[[#This Row],[Visitor]],'NHL Model'!$A$6:$B$38,2,FALSE)</f>
        <v>1.4458345276269271</v>
      </c>
      <c r="J386">
        <f>($B$1+Table4[[#This Row],[Home Differential]])-Table4[[#This Row],[Away Differential]]</f>
        <v>-1.4718801894515212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0.74880296309392547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3.838472305373858E-3</v>
      </c>
      <c r="H387" t="s">
        <v>27</v>
      </c>
      <c r="I387">
        <f>VLOOKUP(Table4[[#This Row],[Visitor]],'NHL Model'!$A$6:$B$38,2,FALSE)</f>
        <v>-0.42203126246971279</v>
      </c>
      <c r="J387">
        <f>($B$1+Table4[[#This Row],[Home Differential]])-Table4[[#This Row],[Away Differential]]</f>
        <v>0.56341312374750296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0.61514704551331656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-0.36178381286707545</v>
      </c>
      <c r="H388" t="s">
        <v>38</v>
      </c>
      <c r="I388">
        <f>VLOOKUP(Table4[[#This Row],[Visitor]],'NHL Model'!$A$6:$B$38,2,FALSE)</f>
        <v>-1.1236485959014608</v>
      </c>
      <c r="J388">
        <f>($B$1+Table4[[#This Row],[Home Differential]])-Table4[[#This Row],[Away Differential]]</f>
        <v>0.89940817200680168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0.63919223975401152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-1.5569791149906038</v>
      </c>
      <c r="H389" t="s">
        <v>36</v>
      </c>
      <c r="I389">
        <f>VLOOKUP(Table4[[#This Row],[Visitor]],'NHL Model'!$A$6:$B$38,2,FALSE)</f>
        <v>-0.31751962084606655</v>
      </c>
      <c r="J389">
        <f>($B$1+Table4[[#This Row],[Home Differential]])-Table4[[#This Row],[Away Differential]]</f>
        <v>-1.1019161051721209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0.62774085109012279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0.12073374225454764</v>
      </c>
      <c r="H390" t="s">
        <v>18</v>
      </c>
      <c r="I390">
        <f>VLOOKUP(Table4[[#This Row],[Visitor]],'NHL Model'!$A$6:$B$38,2,FALSE)</f>
        <v>-0.74754136228530599</v>
      </c>
      <c r="J390">
        <f>($B$1+Table4[[#This Row],[Home Differential]])-Table4[[#This Row],[Away Differential]]</f>
        <v>1.00581849351227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0.62705489943702186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6.4811420118814619E-2</v>
      </c>
      <c r="H391" t="s">
        <v>19</v>
      </c>
      <c r="I391">
        <f>VLOOKUP(Table4[[#This Row],[Visitor]],'NHL Model'!$A$6:$B$38,2,FALSE)</f>
        <v>-0.93520311342823803</v>
      </c>
      <c r="J391">
        <f>($B$1+Table4[[#This Row],[Home Differential]])-Table4[[#This Row],[Away Differential]]</f>
        <v>1.137557922519469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0.69172546285221881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-0.14464931395309213</v>
      </c>
      <c r="H392" t="s">
        <v>26</v>
      </c>
      <c r="I392">
        <f>VLOOKUP(Table4[[#This Row],[Visitor]],'NHL Model'!$A$6:$B$38,2,FALSE)</f>
        <v>-0.66335717753705836</v>
      </c>
      <c r="J392">
        <f>($B$1+Table4[[#This Row],[Home Differential]])-Table4[[#This Row],[Away Differential]]</f>
        <v>0.65625125255638261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0.6329841763158357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1.4458345276269271</v>
      </c>
      <c r="H393" t="s">
        <v>18</v>
      </c>
      <c r="I393">
        <f>VLOOKUP(Table4[[#This Row],[Visitor]],'NHL Model'!$A$6:$B$38,2,FALSE)</f>
        <v>-0.74754136228530599</v>
      </c>
      <c r="J393">
        <f>($B$1+Table4[[#This Row],[Home Differential]])-Table4[[#This Row],[Away Differential]]</f>
        <v>2.3309192788846493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0.9010578233955453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-0.36134162888396865</v>
      </c>
      <c r="H394" t="s">
        <v>38</v>
      </c>
      <c r="I394">
        <f>VLOOKUP(Table4[[#This Row],[Visitor]],'NHL Model'!$A$6:$B$38,2,FALSE)</f>
        <v>-1.1236485959014608</v>
      </c>
      <c r="J394">
        <f>($B$1+Table4[[#This Row],[Home Differential]])-Table4[[#This Row],[Away Differential]]</f>
        <v>0.89985035598990848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0.63925121747125524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-0.16358905079701039</v>
      </c>
      <c r="H395" t="s">
        <v>23</v>
      </c>
      <c r="I395">
        <f>VLOOKUP(Table4[[#This Row],[Visitor]],'NHL Model'!$A$6:$B$38,2,FALSE)</f>
        <v>-0.51535072045188635</v>
      </c>
      <c r="J395">
        <f>($B$1+Table4[[#This Row],[Home Differential]])-Table4[[#This Row],[Away Differential]]</f>
        <v>0.48930505862729234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0.60526264291820042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-1.8032585202533785E-2</v>
      </c>
      <c r="H396" t="s">
        <v>27</v>
      </c>
      <c r="I396">
        <f>VLOOKUP(Table4[[#This Row],[Visitor]],'NHL Model'!$A$6:$B$38,2,FALSE)</f>
        <v>-0.42203126246971279</v>
      </c>
      <c r="J396">
        <f>($B$1+Table4[[#This Row],[Home Differential]])-Table4[[#This Row],[Away Differential]]</f>
        <v>0.54154206623959533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0.72766063417317139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-1.4957350924899622</v>
      </c>
      <c r="H397" t="s">
        <v>40</v>
      </c>
      <c r="I397">
        <f>VLOOKUP(Table4[[#This Row],[Visitor]],'NHL Model'!$A$6:$B$38,2,FALSE)</f>
        <v>-6.0247860940930854E-2</v>
      </c>
      <c r="J397">
        <f>($B$1+Table4[[#This Row],[Home Differential]])-Table4[[#This Row],[Away Differential]]</f>
        <v>-1.2979438425766148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0.69943324254803851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-0.49835870184734621</v>
      </c>
      <c r="H398" t="s">
        <v>37</v>
      </c>
      <c r="I398">
        <f>VLOOKUP(Table4[[#This Row],[Visitor]],'NHL Model'!$A$6:$B$38,2,FALSE)</f>
        <v>7.1667377873261273E-2</v>
      </c>
      <c r="J398">
        <f>($B$1+Table4[[#This Row],[Home Differential]])-Table4[[#This Row],[Away Differential]]</f>
        <v>-0.43248269074819112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0.58399956550858689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-0.2090057419115289</v>
      </c>
      <c r="H399" t="s">
        <v>19</v>
      </c>
      <c r="I399">
        <f>VLOOKUP(Table4[[#This Row],[Visitor]],'NHL Model'!$A$6:$B$38,2,FALSE)</f>
        <v>-0.93520311342823803</v>
      </c>
      <c r="J399">
        <f>($B$1+Table4[[#This Row],[Home Differential]])-Table4[[#This Row],[Away Differential]]</f>
        <v>0.86374076048912551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0.6552042142867649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-0.45007023285116615</v>
      </c>
      <c r="H400" t="s">
        <v>17</v>
      </c>
      <c r="I400">
        <f>VLOOKUP(Table4[[#This Row],[Visitor]],'NHL Model'!$A$6:$B$38,2,FALSE)</f>
        <v>-0.87263145033954281</v>
      </c>
      <c r="J400">
        <f>($B$1+Table4[[#This Row],[Home Differential]])-Table4[[#This Row],[Away Differential]]</f>
        <v>0.56010460646079308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0.64074349718093215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-1.5569791149906038</v>
      </c>
      <c r="H401" t="s">
        <v>55</v>
      </c>
      <c r="I401">
        <f>VLOOKUP(Table4[[#This Row],[Visitor]],'NHL Model'!$A$6:$B$38,2,FALSE)</f>
        <v>-0.30969050963205513</v>
      </c>
      <c r="J401">
        <f>($B$1+Table4[[#This Row],[Home Differential]])-Table4[[#This Row],[Away Differential]]</f>
        <v>-1.1097452163861323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0.60801585332138541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0.12073374225454764</v>
      </c>
      <c r="H402" t="s">
        <v>33</v>
      </c>
      <c r="I402">
        <f>VLOOKUP(Table4[[#This Row],[Visitor]],'NHL Model'!$A$6:$B$38,2,FALSE)</f>
        <v>-0.36178381286707545</v>
      </c>
      <c r="J402">
        <f>($B$1+Table4[[#This Row],[Home Differential]])-Table4[[#This Row],[Away Differential]]</f>
        <v>0.62006094409403945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0.62270263155557404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0.42515174825138019</v>
      </c>
      <c r="H403" t="s">
        <v>16</v>
      </c>
      <c r="I403">
        <f>VLOOKUP(Table4[[#This Row],[Visitor]],'NHL Model'!$A$6:$B$38,2,FALSE)</f>
        <v>-1.0952038865534519</v>
      </c>
      <c r="J403">
        <f>($B$1+Table4[[#This Row],[Home Differential]])-Table4[[#This Row],[Away Differential]]</f>
        <v>1.6578990237772484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0.81284361455106613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-0.15263505358797036</v>
      </c>
      <c r="H404" t="s">
        <v>31</v>
      </c>
      <c r="I404">
        <f>VLOOKUP(Table4[[#This Row],[Visitor]],'NHL Model'!$A$6:$B$38,2,FALSE)</f>
        <v>0.34329638981067145</v>
      </c>
      <c r="J404">
        <f>($B$1+Table4[[#This Row],[Home Differential]])-Table4[[#This Row],[Away Differential]]</f>
        <v>-0.35838805442622546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0.52857039531836569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4.3828122498436855E-3</v>
      </c>
      <c r="H405" t="s">
        <v>36</v>
      </c>
      <c r="I405">
        <f>VLOOKUP(Table4[[#This Row],[Visitor]],'NHL Model'!$A$6:$B$38,2,FALSE)</f>
        <v>-0.31751962084606655</v>
      </c>
      <c r="J405">
        <f>($B$1+Table4[[#This Row],[Home Differential]])-Table4[[#This Row],[Away Differential]]</f>
        <v>0.45944582206832663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0.58301920121521522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3.838472305373858E-3</v>
      </c>
      <c r="H406" t="s">
        <v>22</v>
      </c>
      <c r="I406">
        <f>VLOOKUP(Table4[[#This Row],[Visitor]],'NHL Model'!$A$6:$B$38,2,FALSE)</f>
        <v>6.4811420118814619E-2</v>
      </c>
      <c r="J406">
        <f>($B$1+Table4[[#This Row],[Home Differential]])-Table4[[#This Row],[Away Differential]]</f>
        <v>7.6570441158975586E-2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0.52944359918488115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-0.51535072045188635</v>
      </c>
      <c r="H407" t="s">
        <v>40</v>
      </c>
      <c r="I407">
        <f>VLOOKUP(Table4[[#This Row],[Visitor]],'NHL Model'!$A$6:$B$38,2,FALSE)</f>
        <v>-6.0247860940930854E-2</v>
      </c>
      <c r="J407">
        <f>($B$1+Table4[[#This Row],[Home Differential]])-Table4[[#This Row],[Away Differential]]</f>
        <v>-0.31755947053853911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0.55455064222560868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-1.8032585202533785E-2</v>
      </c>
      <c r="H408" t="s">
        <v>28</v>
      </c>
      <c r="I408">
        <f>VLOOKUP(Table4[[#This Row],[Visitor]],'NHL Model'!$A$6:$B$38,2,FALSE)</f>
        <v>-0.59418600019583889</v>
      </c>
      <c r="J408">
        <f>($B$1+Table4[[#This Row],[Home Differential]])-Table4[[#This Row],[Away Differential]]</f>
        <v>0.71369680396572144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0.74986787585396386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-0.42203126246971279</v>
      </c>
      <c r="H409" t="s">
        <v>14</v>
      </c>
      <c r="I409">
        <f>VLOOKUP(Table4[[#This Row],[Visitor]],'NHL Model'!$A$6:$B$38,2,FALSE)</f>
        <v>-0.2090057419115289</v>
      </c>
      <c r="J409">
        <f>($B$1+Table4[[#This Row],[Home Differential]])-Table4[[#This Row],[Away Differential]]</f>
        <v>-7.5482131585767526E-2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0.43782160734065073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-0.36178381286707545</v>
      </c>
      <c r="H410" t="s">
        <v>55</v>
      </c>
      <c r="I410">
        <f>VLOOKUP(Table4[[#This Row],[Visitor]],'NHL Model'!$A$6:$B$38,2,FALSE)</f>
        <v>-0.30969050963205513</v>
      </c>
      <c r="J410">
        <f>($B$1+Table4[[#This Row],[Home Differential]])-Table4[[#This Row],[Away Differential]]</f>
        <v>8.5450085737396042E-2</v>
      </c>
      <c r="K410" t="str">
        <f>IF(Table4[[#This Row],[HomeIce Differential]]&gt;0,Table4[[#This Row],[Home]],Table4[[#This Row],[Visitor]])</f>
        <v>San Jose Sharks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0.55139718123588233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-1.5569791149906038</v>
      </c>
      <c r="H411" t="s">
        <v>31</v>
      </c>
      <c r="I411">
        <f>VLOOKUP(Table4[[#This Row],[Visitor]],'NHL Model'!$A$6:$B$38,2,FALSE)</f>
        <v>0.34329638981067145</v>
      </c>
      <c r="J411">
        <f>($B$1+Table4[[#This Row],[Home Differential]])-Table4[[#This Row],[Away Differential]]</f>
        <v>-1.7627321158288587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0.7158793213097211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1.4458345276269271</v>
      </c>
      <c r="H412" t="s">
        <v>38</v>
      </c>
      <c r="I412">
        <f>VLOOKUP(Table4[[#This Row],[Visitor]],'NHL Model'!$A$6:$B$38,2,FALSE)</f>
        <v>-1.1236485959014608</v>
      </c>
      <c r="J412">
        <f>($B$1+Table4[[#This Row],[Home Differential]])-Table4[[#This Row],[Away Differential]]</f>
        <v>2.7070265125008044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0.97644302167019303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-0.66335717753705836</v>
      </c>
      <c r="H413" t="s">
        <v>21</v>
      </c>
      <c r="I413">
        <f>VLOOKUP(Table4[[#This Row],[Visitor]],'NHL Model'!$A$6:$B$38,2,FALSE)</f>
        <v>-0.14464931395309213</v>
      </c>
      <c r="J413">
        <f>($B$1+Table4[[#This Row],[Home Differential]])-Table4[[#This Row],[Away Differential]]</f>
        <v>-0.3811644746115499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0.47859297736338796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-0.87263145033954281</v>
      </c>
      <c r="H414" t="s">
        <v>34</v>
      </c>
      <c r="I414">
        <f>VLOOKUP(Table4[[#This Row],[Visitor]],'NHL Model'!$A$6:$B$38,2,FALSE)</f>
        <v>-0.16358905079701039</v>
      </c>
      <c r="J414">
        <f>($B$1+Table4[[#This Row],[Home Differential]])-Table4[[#This Row],[Away Differential]]</f>
        <v>-0.57149901057011609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0.52066997123457748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-0.37836939589441088</v>
      </c>
      <c r="H415" t="s">
        <v>19</v>
      </c>
      <c r="I415">
        <f>VLOOKUP(Table4[[#This Row],[Visitor]],'NHL Model'!$A$6:$B$38,2,FALSE)</f>
        <v>-0.93520311342823803</v>
      </c>
      <c r="J415">
        <f>($B$1+Table4[[#This Row],[Home Differential]])-Table4[[#This Row],[Away Differential]]</f>
        <v>0.69437710650624351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0.68433076613063903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-0.36134162888396865</v>
      </c>
      <c r="H416" t="s">
        <v>22</v>
      </c>
      <c r="I416">
        <f>VLOOKUP(Table4[[#This Row],[Visitor]],'NHL Model'!$A$6:$B$38,2,FALSE)</f>
        <v>6.4811420118814619E-2</v>
      </c>
      <c r="J416">
        <f>($B$1+Table4[[#This Row],[Home Differential]])-Table4[[#This Row],[Away Differential]]</f>
        <v>-0.28860966003036692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0.51926347654332183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-0.74754136228530599</v>
      </c>
      <c r="H417" t="s">
        <v>36</v>
      </c>
      <c r="I417">
        <f>VLOOKUP(Table4[[#This Row],[Visitor]],'NHL Model'!$A$6:$B$38,2,FALSE)</f>
        <v>-0.31751962084606655</v>
      </c>
      <c r="J417">
        <f>($B$1+Table4[[#This Row],[Home Differential]])-Table4[[#This Row],[Away Differential]]</f>
        <v>-0.29247835246682308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0.51977947589503315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-1.4957350924899622</v>
      </c>
      <c r="H418" t="s">
        <v>16</v>
      </c>
      <c r="I418">
        <f>VLOOKUP(Table4[[#This Row],[Visitor]],'NHL Model'!$A$6:$B$38,2,FALSE)</f>
        <v>-1.0952038865534519</v>
      </c>
      <c r="J418">
        <f>($B$1+Table4[[#This Row],[Home Differential]])-Table4[[#This Row],[Away Differential]]</f>
        <v>-0.26298781696409379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0.49507684968251697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3.838472305373858E-3</v>
      </c>
      <c r="H419" t="s">
        <v>37</v>
      </c>
      <c r="I419">
        <f>VLOOKUP(Table4[[#This Row],[Visitor]],'NHL Model'!$A$6:$B$38,2,FALSE)</f>
        <v>7.1667377873261273E-2</v>
      </c>
      <c r="J419">
        <f>($B$1+Table4[[#This Row],[Home Differential]])-Table4[[#This Row],[Away Differential]]</f>
        <v>6.9714483404528932E-2</v>
      </c>
      <c r="K419" t="str">
        <f>IF(Table4[[#This Row],[HomeIce Differential]]&gt;0,Table4[[#This Row],[Home]],Table4[[#This Row],[Visitor]])</f>
        <v>New York Islanders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0.48298260496642342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-0.49835870184734621</v>
      </c>
      <c r="H420" t="s">
        <v>39</v>
      </c>
      <c r="I420">
        <f>VLOOKUP(Table4[[#This Row],[Visitor]],'NHL Model'!$A$6:$B$38,2,FALSE)</f>
        <v>4.3828122498436855E-3</v>
      </c>
      <c r="J420">
        <f>($B$1+Table4[[#This Row],[Home Differential]])-Table4[[#This Row],[Away Differential]]</f>
        <v>-0.36519812512477351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0.58966774866235783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0.12073374225454764</v>
      </c>
      <c r="H421" t="s">
        <v>10</v>
      </c>
      <c r="I421">
        <f>VLOOKUP(Table4[[#This Row],[Visitor]],'NHL Model'!$A$6:$B$38,2,FALSE)</f>
        <v>-0.15263505358797036</v>
      </c>
      <c r="J421">
        <f>($B$1+Table4[[#This Row],[Home Differential]])-Table4[[#This Row],[Away Differential]]</f>
        <v>0.41091218481493436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0.59480674012148627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0.34329638981067145</v>
      </c>
      <c r="H422" t="s">
        <v>55</v>
      </c>
      <c r="I422">
        <f>VLOOKUP(Table4[[#This Row],[Visitor]],'NHL Model'!$A$6:$B$38,2,FALSE)</f>
        <v>-0.30969050963205513</v>
      </c>
      <c r="J422">
        <f>($B$1+Table4[[#This Row],[Home Differential]])-Table4[[#This Row],[Away Differential]]</f>
        <v>0.79053028841514295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0.74036016598454246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-0.74754136228530599</v>
      </c>
      <c r="H423" t="s">
        <v>40</v>
      </c>
      <c r="I423">
        <f>VLOOKUP(Table4[[#This Row],[Visitor]],'NHL Model'!$A$6:$B$38,2,FALSE)</f>
        <v>-6.0247860940930854E-2</v>
      </c>
      <c r="J423">
        <f>($B$1+Table4[[#This Row],[Home Differential]])-Table4[[#This Row],[Away Differential]]</f>
        <v>-0.54975011237195881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0.59964048670576486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-1.8032585202533785E-2</v>
      </c>
      <c r="H424" t="s">
        <v>39</v>
      </c>
      <c r="I424">
        <f>VLOOKUP(Table4[[#This Row],[Visitor]],'NHL Model'!$A$6:$B$38,2,FALSE)</f>
        <v>4.3828122498436855E-3</v>
      </c>
      <c r="J424">
        <f>($B$1+Table4[[#This Row],[Home Differential]])-Table4[[#This Row],[Away Differential]]</f>
        <v>0.11512799152003889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0.59430293621661279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-0.42203126246971279</v>
      </c>
      <c r="H425" t="s">
        <v>23</v>
      </c>
      <c r="I425">
        <f>VLOOKUP(Table4[[#This Row],[Visitor]],'NHL Model'!$A$6:$B$38,2,FALSE)</f>
        <v>-0.51535072045188635</v>
      </c>
      <c r="J425">
        <f>($B$1+Table4[[#This Row],[Home Differential]])-Table4[[#This Row],[Away Differential]]</f>
        <v>0.23086284695458992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0.60303814383451926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-0.36178381286707545</v>
      </c>
      <c r="H426" t="s">
        <v>22</v>
      </c>
      <c r="I426">
        <f>VLOOKUP(Table4[[#This Row],[Visitor]],'NHL Model'!$A$6:$B$38,2,FALSE)</f>
        <v>6.4811420118814619E-2</v>
      </c>
      <c r="J426">
        <f>($B$1+Table4[[#This Row],[Home Differential]])-Table4[[#This Row],[Away Differential]]</f>
        <v>-0.28905184401347372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0.51932245426056556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-0.14464931395309213</v>
      </c>
      <c r="H427" t="s">
        <v>35</v>
      </c>
      <c r="I427">
        <f>VLOOKUP(Table4[[#This Row],[Visitor]],'NHL Model'!$A$6:$B$38,2,FALSE)</f>
        <v>-1.5569791149906038</v>
      </c>
      <c r="J427">
        <f>($B$1+Table4[[#This Row],[Home Differential]])-Table4[[#This Row],[Away Differential]]</f>
        <v>1.5498731900099281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0.79843531998964079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0.42515174825138019</v>
      </c>
      <c r="H428" t="s">
        <v>19</v>
      </c>
      <c r="I428">
        <f>VLOOKUP(Table4[[#This Row],[Visitor]],'NHL Model'!$A$6:$B$38,2,FALSE)</f>
        <v>-0.93520311342823803</v>
      </c>
      <c r="J428">
        <f>($B$1+Table4[[#This Row],[Home Differential]])-Table4[[#This Row],[Away Differential]]</f>
        <v>1.4978982506520344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0.79150299454521278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-0.59418600019583889</v>
      </c>
      <c r="H429" t="s">
        <v>26</v>
      </c>
      <c r="I429">
        <f>VLOOKUP(Table4[[#This Row],[Visitor]],'NHL Model'!$A$6:$B$38,2,FALSE)</f>
        <v>-0.66335717753705836</v>
      </c>
      <c r="J429">
        <f>($B$1+Table4[[#This Row],[Home Differential]])-Table4[[#This Row],[Away Differential]]</f>
        <v>0.20671456631363583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0.52757122308353954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-1.0952038865534519</v>
      </c>
      <c r="H430" t="s">
        <v>34</v>
      </c>
      <c r="I430">
        <f>VLOOKUP(Table4[[#This Row],[Visitor]],'NHL Model'!$A$6:$B$38,2,FALSE)</f>
        <v>-0.16358905079701039</v>
      </c>
      <c r="J430">
        <f>($B$1+Table4[[#This Row],[Home Differential]])-Table4[[#This Row],[Away Differential]]</f>
        <v>-0.79407144678402519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0.58668107527047209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-0.87263145033954281</v>
      </c>
      <c r="H431" t="s">
        <v>32</v>
      </c>
      <c r="I431">
        <f>VLOOKUP(Table4[[#This Row],[Visitor]],'NHL Model'!$A$6:$B$38,2,FALSE)</f>
        <v>-0.45007023285116615</v>
      </c>
      <c r="J431">
        <f>($B$1+Table4[[#This Row],[Home Differential]])-Table4[[#This Row],[Away Differential]]</f>
        <v>-0.2850178285159603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0.4619783072828238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-0.37836939589441088</v>
      </c>
      <c r="H432" t="s">
        <v>29</v>
      </c>
      <c r="I432">
        <f>VLOOKUP(Table4[[#This Row],[Visitor]],'NHL Model'!$A$6:$B$38,2,FALSE)</f>
        <v>-1.4957350924899622</v>
      </c>
      <c r="J432">
        <f>($B$1+Table4[[#This Row],[Home Differential]])-Table4[[#This Row],[Away Differential]]</f>
        <v>1.2549090855679677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0.75909352966381172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-0.36134162888396865</v>
      </c>
      <c r="H433" t="s">
        <v>10</v>
      </c>
      <c r="I433">
        <f>VLOOKUP(Table4[[#This Row],[Visitor]],'NHL Model'!$A$6:$B$38,2,FALSE)</f>
        <v>-0.15263505358797036</v>
      </c>
      <c r="J433">
        <f>($B$1+Table4[[#This Row],[Home Differential]])-Table4[[#This Row],[Away Differential]]</f>
        <v>-7.1163186323581928E-2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0.46949161987204163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3.838472305373858E-3</v>
      </c>
      <c r="H434" t="s">
        <v>12</v>
      </c>
      <c r="I434">
        <f>VLOOKUP(Table4[[#This Row],[Visitor]],'NHL Model'!$A$6:$B$38,2,FALSE)</f>
        <v>1.4458345276269271</v>
      </c>
      <c r="J434">
        <f>($B$1+Table4[[#This Row],[Home Differential]])-Table4[[#This Row],[Away Differential]]</f>
        <v>-1.3044526663491369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0.72647177631739013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-0.31751962084606655</v>
      </c>
      <c r="H435" t="s">
        <v>15</v>
      </c>
      <c r="I435">
        <f>VLOOKUP(Table4[[#This Row],[Visitor]],'NHL Model'!$A$6:$B$38,2,FALSE)</f>
        <v>-0.49835870184734621</v>
      </c>
      <c r="J435">
        <f>($B$1+Table4[[#This Row],[Home Differential]])-Table4[[#This Row],[Away Differential]]</f>
        <v>0.31838246997369601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0.50148168392541581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7.1667377873261273E-2</v>
      </c>
      <c r="H436" t="s">
        <v>14</v>
      </c>
      <c r="I436">
        <f>VLOOKUP(Table4[[#This Row],[Visitor]],'NHL Model'!$A$6:$B$38,2,FALSE)</f>
        <v>-0.2090057419115289</v>
      </c>
      <c r="J436">
        <f>($B$1+Table4[[#This Row],[Home Differential]])-Table4[[#This Row],[Away Differential]]</f>
        <v>0.41821650875720651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0.59827645712860045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0.34329638981067145</v>
      </c>
      <c r="H437" t="s">
        <v>22</v>
      </c>
      <c r="I437">
        <f>VLOOKUP(Table4[[#This Row],[Visitor]],'NHL Model'!$A$6:$B$38,2,FALSE)</f>
        <v>6.4811420118814619E-2</v>
      </c>
      <c r="J437">
        <f>($B$1+Table4[[#This Row],[Home Differential]])-Table4[[#This Row],[Away Differential]]</f>
        <v>0.41602835866427318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0.67087374172130565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4.3828122498436855E-3</v>
      </c>
      <c r="H438" t="s">
        <v>33</v>
      </c>
      <c r="I438">
        <f>VLOOKUP(Table4[[#This Row],[Visitor]],'NHL Model'!$A$6:$B$38,2,FALSE)</f>
        <v>-0.36178381286707545</v>
      </c>
      <c r="J438">
        <f>($B$1+Table4[[#This Row],[Home Differential]])-Table4[[#This Row],[Away Differential]]</f>
        <v>0.50371001408933547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0.60967942959319943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-1.8032585202533785E-2</v>
      </c>
      <c r="H439" t="s">
        <v>20</v>
      </c>
      <c r="I439">
        <f>VLOOKUP(Table4[[#This Row],[Visitor]],'NHL Model'!$A$6:$B$38,2,FALSE)</f>
        <v>0.12073374225454764</v>
      </c>
      <c r="J439">
        <f>($B$1+Table4[[#This Row],[Home Differential]])-Table4[[#This Row],[Away Differential]]</f>
        <v>-1.2229384846650648E-3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0.36379947700751808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-1.1236485959014608</v>
      </c>
      <c r="H440" t="s">
        <v>55</v>
      </c>
      <c r="I440">
        <f>VLOOKUP(Table4[[#This Row],[Visitor]],'NHL Model'!$A$6:$B$38,2,FALSE)</f>
        <v>-0.30969050963205513</v>
      </c>
      <c r="J440">
        <f>($B$1+Table4[[#This Row],[Home Differential]])-Table4[[#This Row],[Away Differential]]</f>
        <v>-0.67641469729698933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0.55021899544255748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-6.0247860940930854E-2</v>
      </c>
      <c r="H441" t="s">
        <v>23</v>
      </c>
      <c r="I441">
        <f>VLOOKUP(Table4[[#This Row],[Visitor]],'NHL Model'!$A$6:$B$38,2,FALSE)</f>
        <v>-0.51535072045188635</v>
      </c>
      <c r="J441">
        <f>($B$1+Table4[[#This Row],[Home Differential]])-Table4[[#This Row],[Away Differential]]</f>
        <v>0.59264624848337188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0.62154158716833385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-0.14464931395309213</v>
      </c>
      <c r="H442" t="s">
        <v>24</v>
      </c>
      <c r="I442">
        <f>VLOOKUP(Table4[[#This Row],[Visitor]],'NHL Model'!$A$6:$B$38,2,FALSE)</f>
        <v>-1.8032585202533785E-2</v>
      </c>
      <c r="J442">
        <f>($B$1+Table4[[#This Row],[Home Differential]])-Table4[[#This Row],[Away Differential]]</f>
        <v>1.0926660221858009E-2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0.59236646951528826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0.42515174825138019</v>
      </c>
      <c r="H443" t="s">
        <v>29</v>
      </c>
      <c r="I443">
        <f>VLOOKUP(Table4[[#This Row],[Visitor]],'NHL Model'!$A$6:$B$38,2,FALSE)</f>
        <v>-1.4957350924899622</v>
      </c>
      <c r="J443">
        <f>($B$1+Table4[[#This Row],[Home Differential]])-Table4[[#This Row],[Away Differential]]</f>
        <v>2.0584302297137587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0.86626575807838546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-1.0952038865534519</v>
      </c>
      <c r="H444" t="s">
        <v>55</v>
      </c>
      <c r="I444">
        <f>VLOOKUP(Table4[[#This Row],[Visitor]],'NHL Model'!$A$6:$B$38,2,FALSE)</f>
        <v>-0.30969050963205513</v>
      </c>
      <c r="J444">
        <f>($B$1+Table4[[#This Row],[Home Differential]])-Table4[[#This Row],[Away Differential]]</f>
        <v>-0.64796998794898042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0.54642509044125009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-0.87263145033954281</v>
      </c>
      <c r="H445" t="s">
        <v>40</v>
      </c>
      <c r="I445">
        <f>VLOOKUP(Table4[[#This Row],[Visitor]],'NHL Model'!$A$6:$B$38,2,FALSE)</f>
        <v>-6.0247860940930854E-2</v>
      </c>
      <c r="J445">
        <f>($B$1+Table4[[#This Row],[Home Differential]])-Table4[[#This Row],[Away Differential]]</f>
        <v>-0.67484020042619564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0.57980491020327352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-0.37836939589441088</v>
      </c>
      <c r="H446" t="s">
        <v>28</v>
      </c>
      <c r="I446">
        <f>VLOOKUP(Table4[[#This Row],[Visitor]],'NHL Model'!$A$6:$B$38,2,FALSE)</f>
        <v>-0.59418600019583889</v>
      </c>
      <c r="J446">
        <f>($B$1+Table4[[#This Row],[Home Differential]])-Table4[[#This Row],[Away Differential]]</f>
        <v>0.35335999327384437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0.63803962155863092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-0.36134162888396865</v>
      </c>
      <c r="H447" t="s">
        <v>10</v>
      </c>
      <c r="I447">
        <f>VLOOKUP(Table4[[#This Row],[Visitor]],'NHL Model'!$A$6:$B$38,2,FALSE)</f>
        <v>-0.15263505358797036</v>
      </c>
      <c r="J447">
        <f>($B$1+Table4[[#This Row],[Home Differential]])-Table4[[#This Row],[Away Differential]]</f>
        <v>-7.1163186323581928E-2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0.46949161987204163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-0.49835870184734621</v>
      </c>
      <c r="H448" t="s">
        <v>12</v>
      </c>
      <c r="I448">
        <f>VLOOKUP(Table4[[#This Row],[Visitor]],'NHL Model'!$A$6:$B$38,2,FALSE)</f>
        <v>1.4458345276269271</v>
      </c>
      <c r="J448">
        <f>($B$1+Table4[[#This Row],[Home Differential]])-Table4[[#This Row],[Away Differential]]</f>
        <v>-1.806649840501857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0.79345394679240044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-0.31751962084606655</v>
      </c>
      <c r="H449" t="s">
        <v>35</v>
      </c>
      <c r="I449">
        <f>VLOOKUP(Table4[[#This Row],[Visitor]],'NHL Model'!$A$6:$B$38,2,FALSE)</f>
        <v>-1.5569791149906038</v>
      </c>
      <c r="J449">
        <f>($B$1+Table4[[#This Row],[Home Differential]])-Table4[[#This Row],[Away Differential]]</f>
        <v>1.3770028831169536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0.72615768721483687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-0.45007023285116615</v>
      </c>
      <c r="H450" t="s">
        <v>26</v>
      </c>
      <c r="I450">
        <f>VLOOKUP(Table4[[#This Row],[Visitor]],'NHL Model'!$A$6:$B$38,2,FALSE)</f>
        <v>-0.66335717753705836</v>
      </c>
      <c r="J450">
        <f>($B$1+Table4[[#This Row],[Home Differential]])-Table4[[#This Row],[Away Differential]]</f>
        <v>0.35083033365830857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0.56602389835689881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7.1667377873261273E-2</v>
      </c>
      <c r="H451" t="s">
        <v>30</v>
      </c>
      <c r="I451">
        <f>VLOOKUP(Table4[[#This Row],[Visitor]],'NHL Model'!$A$6:$B$38,2,FALSE)</f>
        <v>3.838472305373858E-3</v>
      </c>
      <c r="J451">
        <f>($B$1+Table4[[#This Row],[Home Differential]])-Table4[[#This Row],[Away Differential]]</f>
        <v>0.20537229454030378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0.49727171132178627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-0.93520311342823803</v>
      </c>
      <c r="H452" t="s">
        <v>18</v>
      </c>
      <c r="I452">
        <f>VLOOKUP(Table4[[#This Row],[Visitor]],'NHL Model'!$A$6:$B$38,2,FALSE)</f>
        <v>-0.74754136228530599</v>
      </c>
      <c r="J452">
        <f>($B$1+Table4[[#This Row],[Home Differential]])-Table4[[#This Row],[Away Differential]]</f>
        <v>-5.0118362170515685E-2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0.51378408994502889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-1.1236485959014608</v>
      </c>
      <c r="H453" t="s">
        <v>34</v>
      </c>
      <c r="I453">
        <f>VLOOKUP(Table4[[#This Row],[Visitor]],'NHL Model'!$A$6:$B$38,2,FALSE)</f>
        <v>-0.16358905079701039</v>
      </c>
      <c r="J453">
        <f>($B$1+Table4[[#This Row],[Home Differential]])-Table4[[#This Row],[Away Differential]]</f>
        <v>-0.8225161561320341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0.59047498027177947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0.34329638981067145</v>
      </c>
      <c r="H454" t="s">
        <v>10</v>
      </c>
      <c r="I454">
        <f>VLOOKUP(Table4[[#This Row],[Visitor]],'NHL Model'!$A$6:$B$38,2,FALSE)</f>
        <v>-0.15263505358797036</v>
      </c>
      <c r="J454">
        <f>($B$1+Table4[[#This Row],[Home Differential]])-Table4[[#This Row],[Away Differential]]</f>
        <v>0.63347483237105817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0.71941238715937472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0.42515174825138019</v>
      </c>
      <c r="H455" t="s">
        <v>33</v>
      </c>
      <c r="I455">
        <f>VLOOKUP(Table4[[#This Row],[Visitor]],'NHL Model'!$A$6:$B$38,2,FALSE)</f>
        <v>-0.36178381286707545</v>
      </c>
      <c r="J455">
        <f>($B$1+Table4[[#This Row],[Home Differential]])-Table4[[#This Row],[Away Differential]]</f>
        <v>0.92447895009087189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0.71502134287393371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4.3828122498436855E-3</v>
      </c>
      <c r="H456" t="s">
        <v>14</v>
      </c>
      <c r="I456">
        <f>VLOOKUP(Table4[[#This Row],[Visitor]],'NHL Model'!$A$6:$B$38,2,FALSE)</f>
        <v>-0.2090057419115289</v>
      </c>
      <c r="J456">
        <f>($B$1+Table4[[#This Row],[Home Differential]])-Table4[[#This Row],[Away Differential]]</f>
        <v>0.35093194313378895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0.58930216082251607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-0.37836939589441088</v>
      </c>
      <c r="H457" t="s">
        <v>30</v>
      </c>
      <c r="I457">
        <f>VLOOKUP(Table4[[#This Row],[Visitor]],'NHL Model'!$A$6:$B$38,2,FALSE)</f>
        <v>3.838472305373858E-3</v>
      </c>
      <c r="J457">
        <f>($B$1+Table4[[#This Row],[Home Differential]])-Table4[[#This Row],[Away Differential]]</f>
        <v>-0.24466447922736836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0.51263291531744781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-0.74754136228530599</v>
      </c>
      <c r="H458" t="s">
        <v>35</v>
      </c>
      <c r="I458">
        <f>VLOOKUP(Table4[[#This Row],[Visitor]],'NHL Model'!$A$6:$B$38,2,FALSE)</f>
        <v>-1.5569791149906038</v>
      </c>
      <c r="J458">
        <f>($B$1+Table4[[#This Row],[Home Differential]])-Table4[[#This Row],[Away Differential]]</f>
        <v>0.94698114167771419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0.66630666903989211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-0.49835870184734621</v>
      </c>
      <c r="H459" t="s">
        <v>20</v>
      </c>
      <c r="I459">
        <f>VLOOKUP(Table4[[#This Row],[Visitor]],'NHL Model'!$A$6:$B$38,2,FALSE)</f>
        <v>0.12073374225454764</v>
      </c>
      <c r="J459">
        <f>($B$1+Table4[[#This Row],[Home Differential]])-Table4[[#This Row],[Away Differential]]</f>
        <v>-0.48154905512947749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0.54499739166476358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-0.42203126246971279</v>
      </c>
      <c r="H460" t="s">
        <v>12</v>
      </c>
      <c r="I460">
        <f>VLOOKUP(Table4[[#This Row],[Visitor]],'NHL Model'!$A$6:$B$38,2,FALSE)</f>
        <v>1.4458345276269271</v>
      </c>
      <c r="J460">
        <f>($B$1+Table4[[#This Row],[Home Differential]])-Table4[[#This Row],[Away Differential]]</f>
        <v>-1.7303224011242235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0.75078734014060033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6.4811420118814619E-2</v>
      </c>
      <c r="H461" t="s">
        <v>28</v>
      </c>
      <c r="I461">
        <f>VLOOKUP(Table4[[#This Row],[Visitor]],'NHL Model'!$A$6:$B$38,2,FALSE)</f>
        <v>-0.59418600019583889</v>
      </c>
      <c r="J461">
        <f>($B$1+Table4[[#This Row],[Home Differential]])-Table4[[#This Row],[Away Differential]]</f>
        <v>0.79654080928706983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0.64541171061492297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-1.0952038865534519</v>
      </c>
      <c r="H462" t="s">
        <v>23</v>
      </c>
      <c r="I462">
        <f>VLOOKUP(Table4[[#This Row],[Visitor]],'NHL Model'!$A$6:$B$38,2,FALSE)</f>
        <v>-0.51535072045188635</v>
      </c>
      <c r="J462">
        <f>($B$1+Table4[[#This Row],[Home Differential]])-Table4[[#This Row],[Away Differential]]</f>
        <v>-0.44230977712914921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0.51899449542784348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-0.45007023285116615</v>
      </c>
      <c r="H463" t="s">
        <v>34</v>
      </c>
      <c r="I463">
        <f>VLOOKUP(Table4[[#This Row],[Visitor]],'NHL Model'!$A$6:$B$38,2,FALSE)</f>
        <v>-0.16358905079701039</v>
      </c>
      <c r="J463">
        <f>($B$1+Table4[[#This Row],[Home Differential]])-Table4[[#This Row],[Away Differential]]</f>
        <v>-0.14893779308173941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0.47441051384851446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-0.93520311342823803</v>
      </c>
      <c r="H464" t="s">
        <v>37</v>
      </c>
      <c r="I464">
        <f>VLOOKUP(Table4[[#This Row],[Visitor]],'NHL Model'!$A$6:$B$38,2,FALSE)</f>
        <v>7.1667377873261273E-2</v>
      </c>
      <c r="J464">
        <f>($B$1+Table4[[#This Row],[Home Differential]])-Table4[[#This Row],[Away Differential]]</f>
        <v>-0.86932710232908295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0.64226510015030236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-0.30969050963205513</v>
      </c>
      <c r="H465" t="s">
        <v>13</v>
      </c>
      <c r="I465">
        <f>VLOOKUP(Table4[[#This Row],[Visitor]],'NHL Model'!$A$6:$B$38,2,FALSE)</f>
        <v>-0.36134162888396865</v>
      </c>
      <c r="J465">
        <f>($B$1+Table4[[#This Row],[Home Differential]])-Table4[[#This Row],[Away Differential]]</f>
        <v>0.18919450822432987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0.53432533782738778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-1.1236485959014608</v>
      </c>
      <c r="H466" t="s">
        <v>26</v>
      </c>
      <c r="I466">
        <f>VLOOKUP(Table4[[#This Row],[Visitor]],'NHL Model'!$A$6:$B$38,2,FALSE)</f>
        <v>-0.66335717753705836</v>
      </c>
      <c r="J466">
        <f>($B$1+Table4[[#This Row],[Home Differential]])-Table4[[#This Row],[Away Differential]]</f>
        <v>-0.3227480293919861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0.55014695255408952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0.42515174825138019</v>
      </c>
      <c r="H467" t="s">
        <v>28</v>
      </c>
      <c r="I467">
        <f>VLOOKUP(Table4[[#This Row],[Visitor]],'NHL Model'!$A$6:$B$38,2,FALSE)</f>
        <v>-0.59418600019583889</v>
      </c>
      <c r="J467">
        <f>($B$1+Table4[[#This Row],[Home Differential]])-Table4[[#This Row],[Away Differential]]</f>
        <v>1.1568811374196355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0.74521184997320467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-0.87263145033954281</v>
      </c>
      <c r="H468" t="s">
        <v>23</v>
      </c>
      <c r="I468">
        <f>VLOOKUP(Table4[[#This Row],[Visitor]],'NHL Model'!$A$6:$B$38,2,FALSE)</f>
        <v>-0.51535072045188635</v>
      </c>
      <c r="J468">
        <f>($B$1+Table4[[#This Row],[Home Differential]])-Table4[[#This Row],[Away Differential]]</f>
        <v>-0.21973734091524011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0.45327131135728815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-0.74754136228530599</v>
      </c>
      <c r="H469" t="s">
        <v>37</v>
      </c>
      <c r="I469">
        <f>VLOOKUP(Table4[[#This Row],[Visitor]],'NHL Model'!$A$6:$B$38,2,FALSE)</f>
        <v>7.1667377873261273E-2</v>
      </c>
      <c r="J469">
        <f>($B$1+Table4[[#This Row],[Home Differential]])-Table4[[#This Row],[Away Differential]]</f>
        <v>-0.6816653511861509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0.61723510784120128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-1.4957350924899622</v>
      </c>
      <c r="H470" t="s">
        <v>12</v>
      </c>
      <c r="I470">
        <f>VLOOKUP(Table4[[#This Row],[Visitor]],'NHL Model'!$A$6:$B$38,2,FALSE)</f>
        <v>1.4458345276269271</v>
      </c>
      <c r="J470">
        <f>($B$1+Table4[[#This Row],[Home Differential]])-Table4[[#This Row],[Away Differential]]</f>
        <v>-2.8040262311444728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0.9264822449672887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3.838472305373858E-3</v>
      </c>
      <c r="H471" t="s">
        <v>20</v>
      </c>
      <c r="I471">
        <f>VLOOKUP(Table4[[#This Row],[Visitor]],'NHL Model'!$A$6:$B$38,2,FALSE)</f>
        <v>0.12073374225454764</v>
      </c>
      <c r="J471">
        <f>($B$1+Table4[[#This Row],[Home Differential]])-Table4[[#This Row],[Away Differential]]</f>
        <v>2.0648119023242567E-2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0.52198477881024685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-0.31751962084606655</v>
      </c>
      <c r="H472" t="s">
        <v>24</v>
      </c>
      <c r="I472">
        <f>VLOOKUP(Table4[[#This Row],[Visitor]],'NHL Model'!$A$6:$B$38,2,FALSE)</f>
        <v>-1.8032585202533785E-2</v>
      </c>
      <c r="J472">
        <f>($B$1+Table4[[#This Row],[Home Differential]])-Table4[[#This Row],[Away Differential]]</f>
        <v>-0.16194364667111641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0.47993309037491882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-0.42203126246971279</v>
      </c>
      <c r="H473" t="s">
        <v>33</v>
      </c>
      <c r="I473">
        <f>VLOOKUP(Table4[[#This Row],[Visitor]],'NHL Model'!$A$6:$B$38,2,FALSE)</f>
        <v>-0.36178381286707545</v>
      </c>
      <c r="J473">
        <f>($B$1+Table4[[#This Row],[Home Differential]])-Table4[[#This Row],[Away Differential]]</f>
        <v>7.7295939369779021E-2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0.58255566143003268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-0.2090057419115289</v>
      </c>
      <c r="H474" t="s">
        <v>31</v>
      </c>
      <c r="I474">
        <f>VLOOKUP(Table4[[#This Row],[Visitor]],'NHL Model'!$A$6:$B$38,2,FALSE)</f>
        <v>0.34329638981067145</v>
      </c>
      <c r="J474">
        <f>($B$1+Table4[[#This Row],[Home Differential]])-Table4[[#This Row],[Away Differential]]</f>
        <v>-0.41475874274978397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0.53608901798177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-1.5569791149906038</v>
      </c>
      <c r="H475" t="s">
        <v>21</v>
      </c>
      <c r="I475">
        <f>VLOOKUP(Table4[[#This Row],[Visitor]],'NHL Model'!$A$6:$B$38,2,FALSE)</f>
        <v>-0.14464931395309213</v>
      </c>
      <c r="J475">
        <f>($B$1+Table4[[#This Row],[Home Differential]])-Table4[[#This Row],[Away Differential]]</f>
        <v>-1.2747864120650951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0.63002875596867514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-6.0247860940930854E-2</v>
      </c>
      <c r="H476" t="s">
        <v>39</v>
      </c>
      <c r="I476">
        <f>VLOOKUP(Table4[[#This Row],[Visitor]],'NHL Model'!$A$6:$B$38,2,FALSE)</f>
        <v>4.3828122498436855E-3</v>
      </c>
      <c r="J476">
        <f>($B$1+Table4[[#This Row],[Home Differential]])-Table4[[#This Row],[Away Differential]]</f>
        <v>7.2912715781641824E-2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0.4712634305539119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-1.0952038865534519</v>
      </c>
      <c r="H477" t="s">
        <v>26</v>
      </c>
      <c r="I477">
        <f>VLOOKUP(Table4[[#This Row],[Visitor]],'NHL Model'!$A$6:$B$38,2,FALSE)</f>
        <v>-0.66335717753705836</v>
      </c>
      <c r="J477">
        <f>($B$1+Table4[[#This Row],[Home Differential]])-Table4[[#This Row],[Away Differential]]</f>
        <v>-0.29430332004397719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0.54635304755278213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-0.15263505358797036</v>
      </c>
      <c r="H478" t="s">
        <v>15</v>
      </c>
      <c r="I478">
        <f>VLOOKUP(Table4[[#This Row],[Visitor]],'NHL Model'!$A$6:$B$38,2,FALSE)</f>
        <v>-0.49835870184734621</v>
      </c>
      <c r="J478">
        <f>($B$1+Table4[[#This Row],[Home Differential]])-Table4[[#This Row],[Away Differential]]</f>
        <v>0.48326703723179221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0.52097904143888862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-0.45007023285116615</v>
      </c>
      <c r="H479" t="s">
        <v>13</v>
      </c>
      <c r="I479">
        <f>VLOOKUP(Table4[[#This Row],[Visitor]],'NHL Model'!$A$6:$B$38,2,FALSE)</f>
        <v>-0.36134162888396865</v>
      </c>
      <c r="J479">
        <f>($B$1+Table4[[#This Row],[Home Differential]])-Table4[[#This Row],[Away Differential]]</f>
        <v>4.8814785005218853E-2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0.48926945033826286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-0.30969050963205513</v>
      </c>
      <c r="H480" t="s">
        <v>11</v>
      </c>
      <c r="I480">
        <f>VLOOKUP(Table4[[#This Row],[Visitor]],'NHL Model'!$A$6:$B$38,2,FALSE)</f>
        <v>-0.37836939589441088</v>
      </c>
      <c r="J480">
        <f>($B$1+Table4[[#This Row],[Home Differential]])-Table4[[#This Row],[Away Differential]]</f>
        <v>0.2062222752347721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0.61922153850188666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-0.59418600019583889</v>
      </c>
      <c r="H481" t="s">
        <v>36</v>
      </c>
      <c r="I481">
        <f>VLOOKUP(Table4[[#This Row],[Visitor]],'NHL Model'!$A$6:$B$38,2,FALSE)</f>
        <v>-0.31751962084606655</v>
      </c>
      <c r="J481">
        <f>($B$1+Table4[[#This Row],[Home Differential]])-Table4[[#This Row],[Away Differential]]</f>
        <v>-0.13912299037735598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0.49224018881148113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1.4458345276269271</v>
      </c>
      <c r="H482" t="s">
        <v>11</v>
      </c>
      <c r="I482">
        <f>VLOOKUP(Table4[[#This Row],[Visitor]],'NHL Model'!$A$6:$B$38,2,FALSE)</f>
        <v>-0.37836939589441088</v>
      </c>
      <c r="J482">
        <f>($B$1+Table4[[#This Row],[Home Differential]])-Table4[[#This Row],[Away Differential]]</f>
        <v>1.9617473124937543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0.89657502024457614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-0.87263145033954281</v>
      </c>
      <c r="H483" t="s">
        <v>26</v>
      </c>
      <c r="I483">
        <f>VLOOKUP(Table4[[#This Row],[Visitor]],'NHL Model'!$A$6:$B$38,2,FALSE)</f>
        <v>-0.66335717753705836</v>
      </c>
      <c r="J483">
        <f>($B$1+Table4[[#This Row],[Home Differential]])-Table4[[#This Row],[Away Differential]]</f>
        <v>-7.1730883830068093E-2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0.48015557365506123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-0.16358905079701039</v>
      </c>
      <c r="H484" t="s">
        <v>39</v>
      </c>
      <c r="I484">
        <f>VLOOKUP(Table4[[#This Row],[Visitor]],'NHL Model'!$A$6:$B$38,2,FALSE)</f>
        <v>4.3828122498436855E-3</v>
      </c>
      <c r="J484">
        <f>($B$1+Table4[[#This Row],[Home Differential]])-Table4[[#This Row],[Away Differential]]</f>
        <v>-3.0428474074437717E-2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0.54501676496388274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-1.8032585202533785E-2</v>
      </c>
      <c r="H485" t="s">
        <v>37</v>
      </c>
      <c r="I485">
        <f>VLOOKUP(Table4[[#This Row],[Visitor]],'NHL Model'!$A$6:$B$38,2,FALSE)</f>
        <v>7.1667377873261273E-2</v>
      </c>
      <c r="J485">
        <f>($B$1+Table4[[#This Row],[Home Differential]])-Table4[[#This Row],[Away Differential]]</f>
        <v>4.78434258966213E-2</v>
      </c>
      <c r="K485" t="str">
        <f>IF(Table4[[#This Row],[HomeIce Differential]]&gt;0,Table4[[#This Row],[Home]],Table4[[#This Row],[Visitor]])</f>
        <v>New Jersey Devils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0.59960161047252647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-1.4957350924899622</v>
      </c>
      <c r="H486" t="s">
        <v>35</v>
      </c>
      <c r="I486">
        <f>VLOOKUP(Table4[[#This Row],[Visitor]],'NHL Model'!$A$6:$B$38,2,FALSE)</f>
        <v>-1.5569791149906038</v>
      </c>
      <c r="J486">
        <f>($B$1+Table4[[#This Row],[Home Differential]])-Table4[[#This Row],[Away Differential]]</f>
        <v>0.19878741147305812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0.56651391319761835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3.838472305373858E-3</v>
      </c>
      <c r="H487" t="s">
        <v>31</v>
      </c>
      <c r="I487">
        <f>VLOOKUP(Table4[[#This Row],[Visitor]],'NHL Model'!$A$6:$B$38,2,FALSE)</f>
        <v>0.34329638981067145</v>
      </c>
      <c r="J487">
        <f>($B$1+Table4[[#This Row],[Home Differential]])-Table4[[#This Row],[Away Differential]]</f>
        <v>-0.20191452853288125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0.50770023330700664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-0.42203126246971279</v>
      </c>
      <c r="H488" t="s">
        <v>20</v>
      </c>
      <c r="I488">
        <f>VLOOKUP(Table4[[#This Row],[Visitor]],'NHL Model'!$A$6:$B$38,2,FALSE)</f>
        <v>0.12073374225454764</v>
      </c>
      <c r="J488">
        <f>($B$1+Table4[[#This Row],[Home Differential]])-Table4[[#This Row],[Away Differential]]</f>
        <v>-0.40522161575184407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0.50232360415800204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-0.2090057419115289</v>
      </c>
      <c r="H489" t="s">
        <v>18</v>
      </c>
      <c r="I489">
        <f>VLOOKUP(Table4[[#This Row],[Visitor]],'NHL Model'!$A$6:$B$38,2,FALSE)</f>
        <v>-0.74754136228530599</v>
      </c>
      <c r="J489">
        <f>($B$1+Table4[[#This Row],[Home Differential]])-Table4[[#This Row],[Away Differential]]</f>
        <v>0.67607900934619347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0.58307483049693354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-0.93520311342823803</v>
      </c>
      <c r="H490" t="s">
        <v>33</v>
      </c>
      <c r="I490">
        <f>VLOOKUP(Table4[[#This Row],[Visitor]],'NHL Model'!$A$6:$B$38,2,FALSE)</f>
        <v>-0.36178381286707545</v>
      </c>
      <c r="J490">
        <f>($B$1+Table4[[#This Row],[Home Differential]])-Table4[[#This Row],[Away Differential]]</f>
        <v>-0.43587591158874622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0.51813635782647671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-1.1236485959014608</v>
      </c>
      <c r="H491" t="s">
        <v>23</v>
      </c>
      <c r="I491">
        <f>VLOOKUP(Table4[[#This Row],[Visitor]],'NHL Model'!$A$6:$B$38,2,FALSE)</f>
        <v>-0.51535072045188635</v>
      </c>
      <c r="J491">
        <f>($B$1+Table4[[#This Row],[Home Differential]])-Table4[[#This Row],[Away Differential]]</f>
        <v>-0.47075448647715812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0.52278840042915087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-6.0247860940930854E-2</v>
      </c>
      <c r="H492" t="s">
        <v>21</v>
      </c>
      <c r="I492">
        <f>VLOOKUP(Table4[[#This Row],[Visitor]],'NHL Model'!$A$6:$B$38,2,FALSE)</f>
        <v>-0.14464931395309213</v>
      </c>
      <c r="J492">
        <f>($B$1+Table4[[#This Row],[Home Differential]])-Table4[[#This Row],[Away Differential]]</f>
        <v>0.22194484198457765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0.57209808950763752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6.4811420118814619E-2</v>
      </c>
      <c r="H493" t="s">
        <v>25</v>
      </c>
      <c r="I493">
        <f>VLOOKUP(Table4[[#This Row],[Visitor]],'NHL Model'!$A$6:$B$38,2,FALSE)</f>
        <v>0.42515174825138019</v>
      </c>
      <c r="J493">
        <f>($B$1+Table4[[#This Row],[Home Differential]])-Table4[[#This Row],[Away Differential]]</f>
        <v>-0.2227969391601492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0.56233943062468705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-1.5569791149906038</v>
      </c>
      <c r="H494" t="s">
        <v>10</v>
      </c>
      <c r="I494">
        <f>VLOOKUP(Table4[[#This Row],[Visitor]],'NHL Model'!$A$6:$B$38,2,FALSE)</f>
        <v>-0.15263505358797036</v>
      </c>
      <c r="J494">
        <f>($B$1+Table4[[#This Row],[Home Differential]])-Table4[[#This Row],[Away Differential]]</f>
        <v>-1.266800672430217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0.62896363214655304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-0.30969050963205513</v>
      </c>
      <c r="H495" t="s">
        <v>32</v>
      </c>
      <c r="I495">
        <f>VLOOKUP(Table4[[#This Row],[Visitor]],'NHL Model'!$A$6:$B$38,2,FALSE)</f>
        <v>-0.45007023285116615</v>
      </c>
      <c r="J495">
        <f>($B$1+Table4[[#This Row],[Home Differential]])-Table4[[#This Row],[Away Differential]]</f>
        <v>0.27792311219152738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0.62878486926403432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-0.59418600019583889</v>
      </c>
      <c r="H496" t="s">
        <v>20</v>
      </c>
      <c r="I496">
        <f>VLOOKUP(Table4[[#This Row],[Visitor]],'NHL Model'!$A$6:$B$38,2,FALSE)</f>
        <v>0.12073374225454764</v>
      </c>
      <c r="J496">
        <f>($B$1+Table4[[#This Row],[Home Differential]])-Table4[[#This Row],[Away Differential]]</f>
        <v>-0.57737635347797012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0.55069364691382594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-0.15263505358797036</v>
      </c>
      <c r="H497" t="s">
        <v>26</v>
      </c>
      <c r="I497">
        <f>VLOOKUP(Table4[[#This Row],[Visitor]],'NHL Model'!$A$6:$B$38,2,FALSE)</f>
        <v>-0.66335717753705836</v>
      </c>
      <c r="J497">
        <f>($B$1+Table4[[#This Row],[Home Differential]])-Table4[[#This Row],[Away Differential]]</f>
        <v>0.64826551292150436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0.57936511555843806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1.4458345276269271</v>
      </c>
      <c r="H498" t="s">
        <v>29</v>
      </c>
      <c r="I498">
        <f>VLOOKUP(Table4[[#This Row],[Visitor]],'NHL Model'!$A$6:$B$38,2,FALSE)</f>
        <v>-1.4957350924899622</v>
      </c>
      <c r="J498">
        <f>($B$1+Table4[[#This Row],[Home Differential]])-Table4[[#This Row],[Away Differential]]</f>
        <v>3.0791130090893057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4.3828122498436855E-3</v>
      </c>
      <c r="H499" t="s">
        <v>11</v>
      </c>
      <c r="I499">
        <f>VLOOKUP(Table4[[#This Row],[Visitor]],'NHL Model'!$A$6:$B$38,2,FALSE)</f>
        <v>-0.37836939589441088</v>
      </c>
      <c r="J499">
        <f>($B$1+Table4[[#This Row],[Home Differential]])-Table4[[#This Row],[Away Differential]]</f>
        <v>0.52029559711667095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0.61189158531000276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-0.36134162888396865</v>
      </c>
      <c r="H500" t="s">
        <v>16</v>
      </c>
      <c r="I500">
        <f>VLOOKUP(Table4[[#This Row],[Visitor]],'NHL Model'!$A$6:$B$38,2,FALSE)</f>
        <v>-1.0952038865534519</v>
      </c>
      <c r="J500">
        <f>($B$1+Table4[[#This Row],[Home Differential]])-Table4[[#This Row],[Away Differential]]</f>
        <v>0.87140564664189957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0.65622654323917862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-0.16358905079701039</v>
      </c>
      <c r="H501" t="s">
        <v>36</v>
      </c>
      <c r="I501">
        <f>VLOOKUP(Table4[[#This Row],[Visitor]],'NHL Model'!$A$6:$B$38,2,FALSE)</f>
        <v>-0.31751962084606655</v>
      </c>
      <c r="J501">
        <f>($B$1+Table4[[#This Row],[Home Differential]])-Table4[[#This Row],[Away Differential]]</f>
        <v>0.29147395902147255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0.55810705013605622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-1.8032585202533785E-2</v>
      </c>
      <c r="H502" t="s">
        <v>31</v>
      </c>
      <c r="I502">
        <f>VLOOKUP(Table4[[#This Row],[Visitor]],'NHL Model'!$A$6:$B$38,2,FALSE)</f>
        <v>0.34329638981067145</v>
      </c>
      <c r="J502">
        <f>($B$1+Table4[[#This Row],[Home Differential]])-Table4[[#This Row],[Away Differential]]</f>
        <v>-0.22378558604078888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0.39348448912477157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3.838472305373858E-3</v>
      </c>
      <c r="H503" t="s">
        <v>37</v>
      </c>
      <c r="I503">
        <f>VLOOKUP(Table4[[#This Row],[Visitor]],'NHL Model'!$A$6:$B$38,2,FALSE)</f>
        <v>7.1667377873261273E-2</v>
      </c>
      <c r="J503">
        <f>($B$1+Table4[[#This Row],[Home Differential]])-Table4[[#This Row],[Away Differential]]</f>
        <v>6.9714483404528932E-2</v>
      </c>
      <c r="K503" t="str">
        <f>IF(Table4[[#This Row],[HomeIce Differential]]&gt;0,Table4[[#This Row],[Home]],Table4[[#This Row],[Visitor]])</f>
        <v>New York Islanders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0.48298260496642342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-0.49835870184734621</v>
      </c>
      <c r="H504" t="s">
        <v>18</v>
      </c>
      <c r="I504">
        <f>VLOOKUP(Table4[[#This Row],[Visitor]],'NHL Model'!$A$6:$B$38,2,FALSE)</f>
        <v>-0.74754136228530599</v>
      </c>
      <c r="J504">
        <f>($B$1+Table4[[#This Row],[Home Differential]])-Table4[[#This Row],[Away Differential]]</f>
        <v>0.38672604941037614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0.54448144469668658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-0.42203126246971279</v>
      </c>
      <c r="H505" t="s">
        <v>25</v>
      </c>
      <c r="I505">
        <f>VLOOKUP(Table4[[#This Row],[Visitor]],'NHL Model'!$A$6:$B$38,2,FALSE)</f>
        <v>0.42515174825138019</v>
      </c>
      <c r="J505">
        <f>($B$1+Table4[[#This Row],[Home Differential]])-Table4[[#This Row],[Away Differential]]</f>
        <v>-0.70963962174867667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0.59465047707603536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-0.2090057419115289</v>
      </c>
      <c r="H506" t="s">
        <v>33</v>
      </c>
      <c r="I506">
        <f>VLOOKUP(Table4[[#This Row],[Visitor]],'NHL Model'!$A$6:$B$38,2,FALSE)</f>
        <v>-0.36178381286707545</v>
      </c>
      <c r="J506">
        <f>($B$1+Table4[[#This Row],[Home Differential]])-Table4[[#This Row],[Away Differential]]</f>
        <v>0.29032145992796288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0.57872256261548582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-0.93520311342823803</v>
      </c>
      <c r="H507" t="s">
        <v>17</v>
      </c>
      <c r="I507">
        <f>VLOOKUP(Table4[[#This Row],[Visitor]],'NHL Model'!$A$6:$B$38,2,FALSE)</f>
        <v>-0.87263145033954281</v>
      </c>
      <c r="J507">
        <f>($B$1+Table4[[#This Row],[Home Differential]])-Table4[[#This Row],[Away Differential]]</f>
        <v>7.4971725883721141E-2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0.54999959613954741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-6.0247860940930854E-2</v>
      </c>
      <c r="H508" t="s">
        <v>22</v>
      </c>
      <c r="I508">
        <f>VLOOKUP(Table4[[#This Row],[Visitor]],'NHL Model'!$A$6:$B$38,2,FALSE)</f>
        <v>6.4811420118814619E-2</v>
      </c>
      <c r="J508">
        <f>($B$1+Table4[[#This Row],[Home Differential]])-Table4[[#This Row],[Away Differential]]</f>
        <v>1.2484107912670891E-2</v>
      </c>
      <c r="K508" t="str">
        <f>IF(Table4[[#This Row],[HomeIce Differential]]&gt;0,Table4[[#This Row],[Home]],Table4[[#This Row],[Visitor]])</f>
        <v>Winnipeg Jets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0.52340423865815278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0.42515174825138019</v>
      </c>
      <c r="H509" t="s">
        <v>27</v>
      </c>
      <c r="I509">
        <f>VLOOKUP(Table4[[#This Row],[Visitor]],'NHL Model'!$A$6:$B$38,2,FALSE)</f>
        <v>-0.42203126246971279</v>
      </c>
      <c r="J509">
        <f>($B$1+Table4[[#This Row],[Home Differential]])-Table4[[#This Row],[Away Differential]]</f>
        <v>0.98472639969350928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0.72305704109700097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-0.16358905079701039</v>
      </c>
      <c r="H510" t="s">
        <v>21</v>
      </c>
      <c r="I510">
        <f>VLOOKUP(Table4[[#This Row],[Visitor]],'NHL Model'!$A$6:$B$38,2,FALSE)</f>
        <v>-0.14464931395309213</v>
      </c>
      <c r="J510">
        <f>($B$1+Table4[[#This Row],[Home Differential]])-Table4[[#This Row],[Away Differential]]</f>
        <v>0.1186036521284981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0.55581914525750398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-0.74754136228530599</v>
      </c>
      <c r="H511" t="s">
        <v>17</v>
      </c>
      <c r="I511">
        <f>VLOOKUP(Table4[[#This Row],[Visitor]],'NHL Model'!$A$6:$B$38,2,FALSE)</f>
        <v>-0.87263145033954281</v>
      </c>
      <c r="J511">
        <f>($B$1+Table4[[#This Row],[Home Differential]])-Table4[[#This Row],[Away Differential]]</f>
        <v>0.26263347702665318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0.57502958844864849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-1.8032585202533785E-2</v>
      </c>
      <c r="H512" t="s">
        <v>38</v>
      </c>
      <c r="I512">
        <f>VLOOKUP(Table4[[#This Row],[Visitor]],'NHL Model'!$A$6:$B$38,2,FALSE)</f>
        <v>-1.1236485959014608</v>
      </c>
      <c r="J512">
        <f>($B$1+Table4[[#This Row],[Home Differential]])-Table4[[#This Row],[Away Differential]]</f>
        <v>1.2431593996713435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0.80217403738169335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-0.2090057419115289</v>
      </c>
      <c r="H513" t="s">
        <v>55</v>
      </c>
      <c r="I513">
        <f>VLOOKUP(Table4[[#This Row],[Visitor]],'NHL Model'!$A$6:$B$38,2,FALSE)</f>
        <v>-0.30969050963205513</v>
      </c>
      <c r="J513">
        <f>($B$1+Table4[[#This Row],[Home Differential]])-Table4[[#This Row],[Away Differential]]</f>
        <v>0.23822815669294259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0.57177445000656579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-0.45007023285116615</v>
      </c>
      <c r="H514" t="s">
        <v>23</v>
      </c>
      <c r="I514">
        <f>VLOOKUP(Table4[[#This Row],[Visitor]],'NHL Model'!$A$6:$B$38,2,FALSE)</f>
        <v>-0.51535072045188635</v>
      </c>
      <c r="J514">
        <f>($B$1+Table4[[#This Row],[Home Differential]])-Table4[[#This Row],[Away Differential]]</f>
        <v>0.20282387657313655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0.59309002561939461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4.3828122498436855E-3</v>
      </c>
      <c r="H515" t="s">
        <v>13</v>
      </c>
      <c r="I515">
        <f>VLOOKUP(Table4[[#This Row],[Visitor]],'NHL Model'!$A$6:$B$38,2,FALSE)</f>
        <v>-0.36134162888396865</v>
      </c>
      <c r="J515">
        <f>($B$1+Table4[[#This Row],[Home Differential]])-Table4[[#This Row],[Away Differential]]</f>
        <v>0.50326783010622866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0.52614136611423867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-0.49835870184734621</v>
      </c>
      <c r="H516" t="s">
        <v>31</v>
      </c>
      <c r="I516">
        <f>VLOOKUP(Table4[[#This Row],[Visitor]],'NHL Model'!$A$6:$B$38,2,FALSE)</f>
        <v>0.34329638981067145</v>
      </c>
      <c r="J516">
        <f>($B$1+Table4[[#This Row],[Home Differential]])-Table4[[#This Row],[Away Differential]]</f>
        <v>-0.7041117026856013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0.57468240378201707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-1.5569791149906038</v>
      </c>
      <c r="H517" t="s">
        <v>29</v>
      </c>
      <c r="I517">
        <f>VLOOKUP(Table4[[#This Row],[Visitor]],'NHL Model'!$A$6:$B$38,2,FALSE)</f>
        <v>-1.4957350924899622</v>
      </c>
      <c r="J517">
        <f>($B$1+Table4[[#This Row],[Home Differential]])-Table4[[#This Row],[Away Differential]]</f>
        <v>7.6299366471774821E-2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0.55017667449198659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7.1667377873261273E-2</v>
      </c>
      <c r="H518" t="s">
        <v>11</v>
      </c>
      <c r="I518">
        <f>VLOOKUP(Table4[[#This Row],[Visitor]],'NHL Model'!$A$6:$B$38,2,FALSE)</f>
        <v>-0.37836939589441088</v>
      </c>
      <c r="J518">
        <f>($B$1+Table4[[#This Row],[Home Differential]])-Table4[[#This Row],[Away Differential]]</f>
        <v>0.58758016274008851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0.62086588161608713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-6.0247860940930854E-2</v>
      </c>
      <c r="H519" t="s">
        <v>36</v>
      </c>
      <c r="I519">
        <f>VLOOKUP(Table4[[#This Row],[Visitor]],'NHL Model'!$A$6:$B$38,2,FALSE)</f>
        <v>-0.31751962084606655</v>
      </c>
      <c r="J519">
        <f>($B$1+Table4[[#This Row],[Home Differential]])-Table4[[#This Row],[Away Differential]]</f>
        <v>0.39481514887755209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0.57439887638586318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-0.14464931395309213</v>
      </c>
      <c r="H520" t="s">
        <v>55</v>
      </c>
      <c r="I520">
        <f>VLOOKUP(Table4[[#This Row],[Visitor]],'NHL Model'!$A$6:$B$38,2,FALSE)</f>
        <v>-0.30969050963205513</v>
      </c>
      <c r="J520">
        <f>($B$1+Table4[[#This Row],[Home Differential]])-Table4[[#This Row],[Away Differential]]</f>
        <v>0.30258458465137938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0.63207417282345302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-0.59418600019583889</v>
      </c>
      <c r="H521" t="s">
        <v>31</v>
      </c>
      <c r="I521">
        <f>VLOOKUP(Table4[[#This Row],[Visitor]],'NHL Model'!$A$6:$B$38,2,FALSE)</f>
        <v>0.34329638981067145</v>
      </c>
      <c r="J521">
        <f>($B$1+Table4[[#This Row],[Home Differential]])-Table4[[#This Row],[Away Differential]]</f>
        <v>-0.79993900103409399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0.58037865903107944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-0.66335717753705836</v>
      </c>
      <c r="H522" t="s">
        <v>30</v>
      </c>
      <c r="I522">
        <f>VLOOKUP(Table4[[#This Row],[Visitor]],'NHL Model'!$A$6:$B$38,2,FALSE)</f>
        <v>3.838472305373858E-3</v>
      </c>
      <c r="J522">
        <f>($B$1+Table4[[#This Row],[Home Differential]])-Table4[[#This Row],[Away Differential]]</f>
        <v>-0.52965226087001582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0.57064408136092237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-0.16358905079701039</v>
      </c>
      <c r="H523" t="s">
        <v>22</v>
      </c>
      <c r="I523">
        <f>VLOOKUP(Table4[[#This Row],[Visitor]],'NHL Model'!$A$6:$B$38,2,FALSE)</f>
        <v>6.4811420118814619E-2</v>
      </c>
      <c r="J523">
        <f>($B$1+Table4[[#This Row],[Home Differential]])-Table4[[#This Row],[Away Differential]]</f>
        <v>-9.0857081943408649E-2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0.49288758759165419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-0.74754136228530599</v>
      </c>
      <c r="H524" t="s">
        <v>27</v>
      </c>
      <c r="I524">
        <f>VLOOKUP(Table4[[#This Row],[Visitor]],'NHL Model'!$A$6:$B$38,2,FALSE)</f>
        <v>-0.42203126246971279</v>
      </c>
      <c r="J524">
        <f>($B$1+Table4[[#This Row],[Home Differential]])-Table4[[#This Row],[Away Differential]]</f>
        <v>-0.18796671084317684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0.48507066729430837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-0.49835870184734621</v>
      </c>
      <c r="H525" t="s">
        <v>38</v>
      </c>
      <c r="I525">
        <f>VLOOKUP(Table4[[#This Row],[Visitor]],'NHL Model'!$A$6:$B$38,2,FALSE)</f>
        <v>-1.1236485959014608</v>
      </c>
      <c r="J525">
        <f>($B$1+Table4[[#This Row],[Home Differential]])-Table4[[#This Row],[Away Differential]]</f>
        <v>0.76283328302653097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0.6209761227244478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-0.2090057419115289</v>
      </c>
      <c r="H526" t="s">
        <v>17</v>
      </c>
      <c r="I526">
        <f>VLOOKUP(Table4[[#This Row],[Visitor]],'NHL Model'!$A$6:$B$38,2,FALSE)</f>
        <v>-0.87263145033954281</v>
      </c>
      <c r="J526">
        <f>($B$1+Table4[[#This Row],[Home Differential]])-Table4[[#This Row],[Away Differential]]</f>
        <v>0.8011690974004303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0.64685851658150995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-0.45007023285116615</v>
      </c>
      <c r="H527" t="s">
        <v>12</v>
      </c>
      <c r="I527">
        <f>VLOOKUP(Table4[[#This Row],[Visitor]],'NHL Model'!$A$6:$B$38,2,FALSE)</f>
        <v>1.4458345276269271</v>
      </c>
      <c r="J527">
        <f>($B$1+Table4[[#This Row],[Home Differential]])-Table4[[#This Row],[Away Differential]]</f>
        <v>-1.758361371505677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0.76084291787016811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-0.36178381286707545</v>
      </c>
      <c r="H528" t="s">
        <v>16</v>
      </c>
      <c r="I528">
        <f>VLOOKUP(Table4[[#This Row],[Visitor]],'NHL Model'!$A$6:$B$38,2,FALSE)</f>
        <v>-1.0952038865534519</v>
      </c>
      <c r="J528">
        <f>($B$1+Table4[[#This Row],[Home Differential]])-Table4[[#This Row],[Away Differential]]</f>
        <v>0.87096346265879276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0.65616756552193489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-0.93520311342823803</v>
      </c>
      <c r="H529" t="s">
        <v>10</v>
      </c>
      <c r="I529">
        <f>VLOOKUP(Table4[[#This Row],[Visitor]],'NHL Model'!$A$6:$B$38,2,FALSE)</f>
        <v>-0.15263505358797036</v>
      </c>
      <c r="J529">
        <f>($B$1+Table4[[#This Row],[Home Differential]])-Table4[[#This Row],[Away Differential]]</f>
        <v>-0.64502467086785131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0.54603224926056448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-0.66335717753705836</v>
      </c>
      <c r="H530" t="s">
        <v>55</v>
      </c>
      <c r="I530">
        <f>VLOOKUP(Table4[[#This Row],[Visitor]],'NHL Model'!$A$6:$B$38,2,FALSE)</f>
        <v>-0.30969050963205513</v>
      </c>
      <c r="J530">
        <f>($B$1+Table4[[#This Row],[Home Differential]])-Table4[[#This Row],[Away Differential]]</f>
        <v>-0.21612327893258687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0.45658007471609818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-0.37836939589441088</v>
      </c>
      <c r="H531" t="s">
        <v>13</v>
      </c>
      <c r="I531">
        <f>VLOOKUP(Table4[[#This Row],[Visitor]],'NHL Model'!$A$6:$B$38,2,FALSE)</f>
        <v>-0.36134162888396865</v>
      </c>
      <c r="J531">
        <f>($B$1+Table4[[#This Row],[Home Differential]])-Table4[[#This Row],[Away Differential]]</f>
        <v>0.12051562196197413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0.52516506950166442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-1.4957350924899622</v>
      </c>
      <c r="H532" t="s">
        <v>25</v>
      </c>
      <c r="I532">
        <f>VLOOKUP(Table4[[#This Row],[Visitor]],'NHL Model'!$A$6:$B$38,2,FALSE)</f>
        <v>0.42515174825138019</v>
      </c>
      <c r="J532">
        <f>($B$1+Table4[[#This Row],[Home Differential]])-Table4[[#This Row],[Away Differential]]</f>
        <v>-1.7833434517689259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0.77048236316527607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-1.5569791149906038</v>
      </c>
      <c r="H533" t="s">
        <v>40</v>
      </c>
      <c r="I533">
        <f>VLOOKUP(Table4[[#This Row],[Visitor]],'NHL Model'!$A$6:$B$38,2,FALSE)</f>
        <v>-6.0247860940930854E-2</v>
      </c>
      <c r="J533">
        <f>($B$1+Table4[[#This Row],[Home Differential]])-Table4[[#This Row],[Away Differential]]</f>
        <v>-1.3591878650772564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0.70760186190085439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0.12073374225454764</v>
      </c>
      <c r="H534" t="s">
        <v>24</v>
      </c>
      <c r="I534">
        <f>VLOOKUP(Table4[[#This Row],[Visitor]],'NHL Model'!$A$6:$B$38,2,FALSE)</f>
        <v>-1.8032585202533785E-2</v>
      </c>
      <c r="J534">
        <f>($B$1+Table4[[#This Row],[Home Differential]])-Table4[[#This Row],[Away Differential]]</f>
        <v>0.27630971642949775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0.57602420797320164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-0.14464931395309213</v>
      </c>
      <c r="H535" t="s">
        <v>17</v>
      </c>
      <c r="I535">
        <f>VLOOKUP(Table4[[#This Row],[Visitor]],'NHL Model'!$A$6:$B$38,2,FALSE)</f>
        <v>-0.87263145033954281</v>
      </c>
      <c r="J535">
        <f>($B$1+Table4[[#This Row],[Home Differential]])-Table4[[#This Row],[Away Differential]]</f>
        <v>0.86552552535886706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0.70715823939839717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-0.51535072045188635</v>
      </c>
      <c r="H536" t="s">
        <v>27</v>
      </c>
      <c r="I536">
        <f>VLOOKUP(Table4[[#This Row],[Visitor]],'NHL Model'!$A$6:$B$38,2,FALSE)</f>
        <v>-0.42203126246971279</v>
      </c>
      <c r="J536">
        <f>($B$1+Table4[[#This Row],[Home Differential]])-Table4[[#This Row],[Away Differential]]</f>
        <v>4.4223930990242799E-2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0.55991513016199812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-0.59418600019583889</v>
      </c>
      <c r="H537" t="s">
        <v>34</v>
      </c>
      <c r="I537">
        <f>VLOOKUP(Table4[[#This Row],[Visitor]],'NHL Model'!$A$6:$B$38,2,FALSE)</f>
        <v>-0.16358905079701039</v>
      </c>
      <c r="J537">
        <f>($B$1+Table4[[#This Row],[Home Differential]])-Table4[[#This Row],[Away Differential]]</f>
        <v>-0.29305356042641217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0.51277117587196575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-1.0952038865534519</v>
      </c>
      <c r="H538" t="s">
        <v>32</v>
      </c>
      <c r="I538">
        <f>VLOOKUP(Table4[[#This Row],[Visitor]],'NHL Model'!$A$6:$B$38,2,FALSE)</f>
        <v>-0.45007023285116615</v>
      </c>
      <c r="J538">
        <f>($B$1+Table4[[#This Row],[Home Differential]])-Table4[[#This Row],[Away Differential]]</f>
        <v>-0.50759026472986934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0.52770149135337907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-0.74754136228530599</v>
      </c>
      <c r="H539" t="s">
        <v>10</v>
      </c>
      <c r="I539">
        <f>VLOOKUP(Table4[[#This Row],[Visitor]],'NHL Model'!$A$6:$B$38,2,FALSE)</f>
        <v>-0.15263505358797036</v>
      </c>
      <c r="J539">
        <f>($B$1+Table4[[#This Row],[Home Differential]])-Table4[[#This Row],[Away Differential]]</f>
        <v>-0.45736291972491927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0.5210022569514634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-0.31751962084606655</v>
      </c>
      <c r="H540" t="s">
        <v>14</v>
      </c>
      <c r="I540">
        <f>VLOOKUP(Table4[[#This Row],[Visitor]],'NHL Model'!$A$6:$B$38,2,FALSE)</f>
        <v>-0.2090057419115289</v>
      </c>
      <c r="J540">
        <f>($B$1+Table4[[#This Row],[Home Differential]])-Table4[[#This Row],[Away Differential]]</f>
        <v>2.9029510037878709E-2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0.54636738388688577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-0.36178381286707545</v>
      </c>
      <c r="H541" t="s">
        <v>39</v>
      </c>
      <c r="I541">
        <f>VLOOKUP(Table4[[#This Row],[Visitor]],'NHL Model'!$A$6:$B$38,2,FALSE)</f>
        <v>4.3828122498436855E-3</v>
      </c>
      <c r="J541">
        <f>($B$1+Table4[[#This Row],[Home Differential]])-Table4[[#This Row],[Away Differential]]</f>
        <v>-0.22862323614450278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0.57145163163279411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-1.5569791149906038</v>
      </c>
      <c r="H542" t="s">
        <v>15</v>
      </c>
      <c r="I542">
        <f>VLOOKUP(Table4[[#This Row],[Visitor]],'NHL Model'!$A$6:$B$38,2,FALSE)</f>
        <v>-0.49835870184734621</v>
      </c>
      <c r="J542">
        <f>($B$1+Table4[[#This Row],[Home Differential]])-Table4[[#This Row],[Away Differential]]</f>
        <v>-0.92107702417084114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0.66632988455246689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7.1667377873261273E-2</v>
      </c>
      <c r="H543" t="s">
        <v>13</v>
      </c>
      <c r="I543">
        <f>VLOOKUP(Table4[[#This Row],[Visitor]],'NHL Model'!$A$6:$B$38,2,FALSE)</f>
        <v>-0.36134162888396865</v>
      </c>
      <c r="J543">
        <f>($B$1+Table4[[#This Row],[Home Differential]])-Table4[[#This Row],[Away Differential]]</f>
        <v>0.57055239572964633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0.53511566242032316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6.4811420118814619E-2</v>
      </c>
      <c r="H544" t="s">
        <v>19</v>
      </c>
      <c r="I544">
        <f>VLOOKUP(Table4[[#This Row],[Visitor]],'NHL Model'!$A$6:$B$38,2,FALSE)</f>
        <v>-0.93520311342823803</v>
      </c>
      <c r="J544">
        <f>($B$1+Table4[[#This Row],[Home Differential]])-Table4[[#This Row],[Away Differential]]</f>
        <v>1.137557922519469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0.69172546285221881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0.34329638981067145</v>
      </c>
      <c r="H545" t="s">
        <v>39</v>
      </c>
      <c r="I545">
        <f>VLOOKUP(Table4[[#This Row],[Visitor]],'NHL Model'!$A$6:$B$38,2,FALSE)</f>
        <v>4.3828122498436855E-3</v>
      </c>
      <c r="J545">
        <f>($B$1+Table4[[#This Row],[Home Differential]])-Table4[[#This Row],[Away Differential]]</f>
        <v>0.47645696653324415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0.62051101244522611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1.4458345276269271</v>
      </c>
      <c r="H546" t="s">
        <v>40</v>
      </c>
      <c r="I546">
        <f>VLOOKUP(Table4[[#This Row],[Visitor]],'NHL Model'!$A$6:$B$38,2,FALSE)</f>
        <v>-6.0247860940930854E-2</v>
      </c>
      <c r="J546">
        <f>($B$1+Table4[[#This Row],[Home Differential]])-Table4[[#This Row],[Away Differential]]</f>
        <v>1.6436257775402745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0.7906524693210043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-0.37836939589441088</v>
      </c>
      <c r="H547" t="s">
        <v>25</v>
      </c>
      <c r="I547">
        <f>VLOOKUP(Table4[[#This Row],[Visitor]],'NHL Model'!$A$6:$B$38,2,FALSE)</f>
        <v>0.42515174825138019</v>
      </c>
      <c r="J547">
        <f>($B$1+Table4[[#This Row],[Home Differential]])-Table4[[#This Row],[Away Differential]]</f>
        <v>-0.66597775517337476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0.5688269345697714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3.838472305373858E-3</v>
      </c>
      <c r="H548" t="s">
        <v>38</v>
      </c>
      <c r="I548">
        <f>VLOOKUP(Table4[[#This Row],[Visitor]],'NHL Model'!$A$6:$B$38,2,FALSE)</f>
        <v>-1.1236485959014608</v>
      </c>
      <c r="J548">
        <f>($B$1+Table4[[#This Row],[Home Differential]])-Table4[[#This Row],[Away Differential]]</f>
        <v>1.265030457179251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0.68795829319945823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-0.30969050963205513</v>
      </c>
      <c r="H549" t="s">
        <v>24</v>
      </c>
      <c r="I549">
        <f>VLOOKUP(Table4[[#This Row],[Visitor]],'NHL Model'!$A$6:$B$38,2,FALSE)</f>
        <v>-1.8032585202533785E-2</v>
      </c>
      <c r="J549">
        <f>($B$1+Table4[[#This Row],[Home Differential]])-Table4[[#This Row],[Away Differential]]</f>
        <v>-0.15411453545710499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0.4296464331320014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0.34329638981067145</v>
      </c>
      <c r="H550" t="s">
        <v>28</v>
      </c>
      <c r="I550">
        <f>VLOOKUP(Table4[[#This Row],[Visitor]],'NHL Model'!$A$6:$B$38,2,FALSE)</f>
        <v>-0.59418600019583889</v>
      </c>
      <c r="J550">
        <f>($B$1+Table4[[#This Row],[Home Differential]])-Table4[[#This Row],[Away Differential]]</f>
        <v>1.0750257789789268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0.77753137765778313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-0.14464931395309213</v>
      </c>
      <c r="H551" t="s">
        <v>38</v>
      </c>
      <c r="I551">
        <f>VLOOKUP(Table4[[#This Row],[Visitor]],'NHL Model'!$A$6:$B$38,2,FALSE)</f>
        <v>-1.1236485959014608</v>
      </c>
      <c r="J551">
        <f>($B$1+Table4[[#This Row],[Home Differential]])-Table4[[#This Row],[Away Differential]]</f>
        <v>1.1165426709207851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0.72035105720802362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-0.51535072045188635</v>
      </c>
      <c r="H552" t="s">
        <v>30</v>
      </c>
      <c r="I552">
        <f>VLOOKUP(Table4[[#This Row],[Visitor]],'NHL Model'!$A$6:$B$38,2,FALSE)</f>
        <v>3.838472305373858E-3</v>
      </c>
      <c r="J552">
        <f>($B$1+Table4[[#This Row],[Home Differential]])-Table4[[#This Row],[Away Differential]]</f>
        <v>-0.38164580378484386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0.56942176052364957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-1.0952038865534519</v>
      </c>
      <c r="H553" t="s">
        <v>20</v>
      </c>
      <c r="I553">
        <f>VLOOKUP(Table4[[#This Row],[Visitor]],'NHL Model'!$A$6:$B$38,2,FALSE)</f>
        <v>0.12073374225454764</v>
      </c>
      <c r="J553">
        <f>($B$1+Table4[[#This Row],[Home Differential]])-Table4[[#This Row],[Away Differential]]</f>
        <v>-1.0783942398355832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0.62460354631233228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-0.37836939589441088</v>
      </c>
      <c r="H554" t="s">
        <v>35</v>
      </c>
      <c r="I554">
        <f>VLOOKUP(Table4[[#This Row],[Visitor]],'NHL Model'!$A$6:$B$38,2,FALSE)</f>
        <v>-1.5569791149906038</v>
      </c>
      <c r="J554">
        <f>($B$1+Table4[[#This Row],[Home Differential]])-Table4[[#This Row],[Away Differential]]</f>
        <v>1.3161531080686093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0.76726214901662759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-0.16358905079701039</v>
      </c>
      <c r="H555" t="s">
        <v>17</v>
      </c>
      <c r="I555">
        <f>VLOOKUP(Table4[[#This Row],[Visitor]],'NHL Model'!$A$6:$B$38,2,FALSE)</f>
        <v>-0.87263145033954281</v>
      </c>
      <c r="J555">
        <f>($B$1+Table4[[#This Row],[Home Differential]])-Table4[[#This Row],[Away Differential]]</f>
        <v>0.84658578851494881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0.65291611447973796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-0.74754136228530599</v>
      </c>
      <c r="H556" t="s">
        <v>14</v>
      </c>
      <c r="I556">
        <f>VLOOKUP(Table4[[#This Row],[Visitor]],'NHL Model'!$A$6:$B$38,2,FALSE)</f>
        <v>-0.2090057419115289</v>
      </c>
      <c r="J556">
        <f>($B$1+Table4[[#This Row],[Home Differential]])-Table4[[#This Row],[Away Differential]]</f>
        <v>-0.40099223140136075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0.5134836342880591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-1.4957350924899622</v>
      </c>
      <c r="H557" t="s">
        <v>19</v>
      </c>
      <c r="I557">
        <f>VLOOKUP(Table4[[#This Row],[Visitor]],'NHL Model'!$A$6:$B$38,2,FALSE)</f>
        <v>-0.93520311342823803</v>
      </c>
      <c r="J557">
        <f>($B$1+Table4[[#This Row],[Home Differential]])-Table4[[#This Row],[Away Differential]]</f>
        <v>-0.42298859008930767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0.51641746968837032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-0.49835870184734621</v>
      </c>
      <c r="H558" t="s">
        <v>27</v>
      </c>
      <c r="I558">
        <f>VLOOKUP(Table4[[#This Row],[Visitor]],'NHL Model'!$A$6:$B$38,2,FALSE)</f>
        <v>-0.42203126246971279</v>
      </c>
      <c r="J558">
        <f>($B$1+Table4[[#This Row],[Home Differential]])-Table4[[#This Row],[Away Differential]]</f>
        <v>6.1215949594782937E-2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0.54816487503830613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-0.31751962084606655</v>
      </c>
      <c r="H559" t="s">
        <v>10</v>
      </c>
      <c r="I559">
        <f>VLOOKUP(Table4[[#This Row],[Visitor]],'NHL Model'!$A$6:$B$38,2,FALSE)</f>
        <v>-0.15263505358797036</v>
      </c>
      <c r="J559">
        <f>($B$1+Table4[[#This Row],[Home Differential]])-Table4[[#This Row],[Away Differential]]</f>
        <v>-2.7341178285679835E-2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0.46115123877651859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-0.36178381286707545</v>
      </c>
      <c r="H560" t="s">
        <v>32</v>
      </c>
      <c r="I560">
        <f>VLOOKUP(Table4[[#This Row],[Visitor]],'NHL Model'!$A$6:$B$38,2,FALSE)</f>
        <v>-0.45007023285116615</v>
      </c>
      <c r="J560">
        <f>($B$1+Table4[[#This Row],[Home Differential]])-Table4[[#This Row],[Away Differential]]</f>
        <v>0.22582980895650706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0.57012078032375335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7.1667377873261273E-2</v>
      </c>
      <c r="H561" t="s">
        <v>25</v>
      </c>
      <c r="I561">
        <f>VLOOKUP(Table4[[#This Row],[Visitor]],'NHL Model'!$A$6:$B$38,2,FALSE)</f>
        <v>0.42515174825138019</v>
      </c>
      <c r="J561">
        <f>($B$1+Table4[[#This Row],[Home Differential]])-Table4[[#This Row],[Away Differential]]</f>
        <v>-0.21594098140570256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0.55892230793053743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6.4811420118814619E-2</v>
      </c>
      <c r="H562" t="s">
        <v>26</v>
      </c>
      <c r="I562">
        <f>VLOOKUP(Table4[[#This Row],[Visitor]],'NHL Model'!$A$6:$B$38,2,FALSE)</f>
        <v>-0.66335717753705836</v>
      </c>
      <c r="J562">
        <f>($B$1+Table4[[#This Row],[Home Differential]])-Table4[[#This Row],[Away Differential]]</f>
        <v>0.86571198662828941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0.60836774146048755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-0.14464931395309213</v>
      </c>
      <c r="H563" t="s">
        <v>36</v>
      </c>
      <c r="I563">
        <f>VLOOKUP(Table4[[#This Row],[Visitor]],'NHL Model'!$A$6:$B$38,2,FALSE)</f>
        <v>-0.31751962084606655</v>
      </c>
      <c r="J563">
        <f>($B$1+Table4[[#This Row],[Home Differential]])-Table4[[#This Row],[Away Differential]]</f>
        <v>0.3104136958653908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0.61283100092115694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4.3828122498436855E-3</v>
      </c>
      <c r="H564" t="s">
        <v>19</v>
      </c>
      <c r="I564">
        <f>VLOOKUP(Table4[[#This Row],[Visitor]],'NHL Model'!$A$6:$B$38,2,FALSE)</f>
        <v>-0.93520311342823803</v>
      </c>
      <c r="J564">
        <f>($B$1+Table4[[#This Row],[Home Differential]])-Table4[[#This Row],[Away Differential]]</f>
        <v>1.0771293146504981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0.6861610812644785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-0.66335717753705836</v>
      </c>
      <c r="H565" t="s">
        <v>22</v>
      </c>
      <c r="I565">
        <f>VLOOKUP(Table4[[#This Row],[Visitor]],'NHL Model'!$A$6:$B$38,2,FALSE)</f>
        <v>6.4811420118814619E-2</v>
      </c>
      <c r="J565">
        <f>($B$1+Table4[[#This Row],[Home Differential]])-Table4[[#This Row],[Away Differential]]</f>
        <v>-0.59062520868345658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0.52705240732057845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-0.87263145033954281</v>
      </c>
      <c r="H566" t="s">
        <v>20</v>
      </c>
      <c r="I566">
        <f>VLOOKUP(Table4[[#This Row],[Visitor]],'NHL Model'!$A$6:$B$38,2,FALSE)</f>
        <v>0.12073374225454764</v>
      </c>
      <c r="J566">
        <f>($B$1+Table4[[#This Row],[Home Differential]])-Table4[[#This Row],[Away Differential]]</f>
        <v>-0.85582180362167404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0.55859244227643767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-0.16358905079701039</v>
      </c>
      <c r="H567" t="s">
        <v>12</v>
      </c>
      <c r="I567">
        <f>VLOOKUP(Table4[[#This Row],[Visitor]],'NHL Model'!$A$6:$B$38,2,FALSE)</f>
        <v>1.4458345276269271</v>
      </c>
      <c r="J567">
        <f>($B$1+Table4[[#This Row],[Home Differential]])-Table4[[#This Row],[Away Differential]]</f>
        <v>-1.4718801894515212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0.74880296309392547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-1.8032585202533785E-2</v>
      </c>
      <c r="H568" t="s">
        <v>23</v>
      </c>
      <c r="I568">
        <f>VLOOKUP(Table4[[#This Row],[Visitor]],'NHL Model'!$A$6:$B$38,2,FALSE)</f>
        <v>-0.51535072045188635</v>
      </c>
      <c r="J568">
        <f>($B$1+Table4[[#This Row],[Home Differential]])-Table4[[#This Row],[Away Differential]]</f>
        <v>0.63486152422176889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0.74010741835459071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-1.4957350924899622</v>
      </c>
      <c r="H569" t="s">
        <v>15</v>
      </c>
      <c r="I569">
        <f>VLOOKUP(Table4[[#This Row],[Visitor]],'NHL Model'!$A$6:$B$38,2,FALSE)</f>
        <v>-0.49835870184734621</v>
      </c>
      <c r="J569">
        <f>($B$1+Table4[[#This Row],[Home Differential]])-Table4[[#This Row],[Away Differential]]</f>
        <v>-0.85983300167019949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0.65816126519965101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-0.2090057419115289</v>
      </c>
      <c r="H570" t="s">
        <v>18</v>
      </c>
      <c r="I570">
        <f>VLOOKUP(Table4[[#This Row],[Visitor]],'NHL Model'!$A$6:$B$38,2,FALSE)</f>
        <v>-0.74754136228530599</v>
      </c>
      <c r="J570">
        <f>($B$1+Table4[[#This Row],[Home Differential]])-Table4[[#This Row],[Away Differential]]</f>
        <v>0.67607900934619347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0.58307483049693354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-0.30969050963205513</v>
      </c>
      <c r="H571" t="s">
        <v>40</v>
      </c>
      <c r="I571">
        <f>VLOOKUP(Table4[[#This Row],[Visitor]],'NHL Model'!$A$6:$B$38,2,FALSE)</f>
        <v>-6.0247860940930854E-2</v>
      </c>
      <c r="J571">
        <f>($B$1+Table4[[#This Row],[Home Differential]])-Table4[[#This Row],[Away Differential]]</f>
        <v>-0.11189925971870793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0.48860913578729831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0.34329638981067145</v>
      </c>
      <c r="H572" t="s">
        <v>32</v>
      </c>
      <c r="I572">
        <f>VLOOKUP(Table4[[#This Row],[Visitor]],'NHL Model'!$A$6:$B$38,2,FALSE)</f>
        <v>-0.45007023285116615</v>
      </c>
      <c r="J572">
        <f>($B$1+Table4[[#This Row],[Home Differential]])-Table4[[#This Row],[Away Differential]]</f>
        <v>0.93091001163425391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0.75908376507241337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-0.36134162888396865</v>
      </c>
      <c r="H573" t="s">
        <v>28</v>
      </c>
      <c r="I573">
        <f>VLOOKUP(Table4[[#This Row],[Visitor]],'NHL Model'!$A$6:$B$38,2,FALSE)</f>
        <v>-0.59418600019583889</v>
      </c>
      <c r="J573">
        <f>($B$1+Table4[[#This Row],[Home Differential]])-Table4[[#This Row],[Away Differential]]</f>
        <v>0.3703877602842866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0.58857217099602954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-0.42203126246971279</v>
      </c>
      <c r="H574" t="s">
        <v>38</v>
      </c>
      <c r="I574">
        <f>VLOOKUP(Table4[[#This Row],[Visitor]],'NHL Model'!$A$6:$B$38,2,FALSE)</f>
        <v>-1.1236485959014608</v>
      </c>
      <c r="J574">
        <f>($B$1+Table4[[#This Row],[Home Differential]])-Table4[[#This Row],[Away Differential]]</f>
        <v>0.83916072240416439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0.66364991023120934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7.1667377873261273E-2</v>
      </c>
      <c r="H575" t="s">
        <v>35</v>
      </c>
      <c r="I575">
        <f>VLOOKUP(Table4[[#This Row],[Visitor]],'NHL Model'!$A$6:$B$38,2,FALSE)</f>
        <v>-1.5569791149906038</v>
      </c>
      <c r="J575">
        <f>($B$1+Table4[[#This Row],[Home Differential]])-Table4[[#This Row],[Away Differential]]</f>
        <v>1.7661898818362816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0.77806676045655154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-0.14464931395309213</v>
      </c>
      <c r="H576" t="s">
        <v>18</v>
      </c>
      <c r="I576">
        <f>VLOOKUP(Table4[[#This Row],[Visitor]],'NHL Model'!$A$6:$B$38,2,FALSE)</f>
        <v>-0.74754136228530599</v>
      </c>
      <c r="J576">
        <f>($B$1+Table4[[#This Row],[Home Differential]])-Table4[[#This Row],[Away Differential]]</f>
        <v>0.74043543730463024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0.64421251391773571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0.42515174825138019</v>
      </c>
      <c r="H577" t="s">
        <v>11</v>
      </c>
      <c r="I577">
        <f>VLOOKUP(Table4[[#This Row],[Visitor]],'NHL Model'!$A$6:$B$38,2,FALSE)</f>
        <v>-0.37836939589441088</v>
      </c>
      <c r="J577">
        <f>($B$1+Table4[[#This Row],[Home Differential]])-Table4[[#This Row],[Away Differential]]</f>
        <v>0.94106453311820737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0.71723349859073704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-0.15263505358797036</v>
      </c>
      <c r="H578" t="s">
        <v>27</v>
      </c>
      <c r="I578">
        <f>VLOOKUP(Table4[[#This Row],[Visitor]],'NHL Model'!$A$6:$B$38,2,FALSE)</f>
        <v>-0.42203126246971279</v>
      </c>
      <c r="J578">
        <f>($B$1+Table4[[#This Row],[Home Differential]])-Table4[[#This Row],[Away Differential]]</f>
        <v>0.40693959785415879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0.59427688350195751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1.4458345276269271</v>
      </c>
      <c r="H579" t="s">
        <v>55</v>
      </c>
      <c r="I579">
        <f>VLOOKUP(Table4[[#This Row],[Visitor]],'NHL Model'!$A$6:$B$38,2,FALSE)</f>
        <v>-0.30969050963205513</v>
      </c>
      <c r="J579">
        <f>($B$1+Table4[[#This Row],[Home Differential]])-Table4[[#This Row],[Away Differential]]</f>
        <v>1.8930684262313986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0.88741475191885266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-0.66335717753705836</v>
      </c>
      <c r="H580" t="s">
        <v>39</v>
      </c>
      <c r="I580">
        <f>VLOOKUP(Table4[[#This Row],[Visitor]],'NHL Model'!$A$6:$B$38,2,FALSE)</f>
        <v>4.3828122498436855E-3</v>
      </c>
      <c r="J580">
        <f>($B$1+Table4[[#This Row],[Home Differential]])-Table4[[#This Row],[Away Differential]]</f>
        <v>-0.53019660081448572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0.57909657272768922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-0.87263145033954281</v>
      </c>
      <c r="H581" t="s">
        <v>16</v>
      </c>
      <c r="I581">
        <f>VLOOKUP(Table4[[#This Row],[Visitor]],'NHL Model'!$A$6:$B$38,2,FALSE)</f>
        <v>-1.0952038865534519</v>
      </c>
      <c r="J581">
        <f>($B$1+Table4[[#This Row],[Home Differential]])-Table4[[#This Row],[Away Differential]]</f>
        <v>0.36011582518632546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0.6240684779153578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-0.36134162888396865</v>
      </c>
      <c r="H582" t="s">
        <v>32</v>
      </c>
      <c r="I582">
        <f>VLOOKUP(Table4[[#This Row],[Visitor]],'NHL Model'!$A$6:$B$38,2,FALSE)</f>
        <v>-0.45007023285116615</v>
      </c>
      <c r="J582">
        <f>($B$1+Table4[[#This Row],[Home Differential]])-Table4[[#This Row],[Away Differential]]</f>
        <v>0.22627199293961386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0.57017975804099708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-0.16358905079701039</v>
      </c>
      <c r="H583" t="s">
        <v>29</v>
      </c>
      <c r="I583">
        <f>VLOOKUP(Table4[[#This Row],[Visitor]],'NHL Model'!$A$6:$B$38,2,FALSE)</f>
        <v>-1.4957350924899622</v>
      </c>
      <c r="J583">
        <f>($B$1+Table4[[#This Row],[Home Differential]])-Table4[[#This Row],[Away Differential]]</f>
        <v>1.4696894306653681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0.7360245757181656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3.838472305373858E-3</v>
      </c>
      <c r="H584" t="s">
        <v>24</v>
      </c>
      <c r="I584">
        <f>VLOOKUP(Table4[[#This Row],[Visitor]],'NHL Model'!$A$6:$B$38,2,FALSE)</f>
        <v>-1.8032585202533785E-2</v>
      </c>
      <c r="J584">
        <f>($B$1+Table4[[#This Row],[Home Differential]])-Table4[[#This Row],[Away Differential]]</f>
        <v>0.15941444648032399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0.56043292370787678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-0.31751962084606655</v>
      </c>
      <c r="H585" t="s">
        <v>23</v>
      </c>
      <c r="I585">
        <f>VLOOKUP(Table4[[#This Row],[Visitor]],'NHL Model'!$A$6:$B$38,2,FALSE)</f>
        <v>-0.51535072045188635</v>
      </c>
      <c r="J585">
        <f>($B$1+Table4[[#This Row],[Home Differential]])-Table4[[#This Row],[Away Differential]]</f>
        <v>0.33537448857823615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0.58722713506205571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-0.93520311342823803</v>
      </c>
      <c r="H586" t="s">
        <v>14</v>
      </c>
      <c r="I586">
        <f>VLOOKUP(Table4[[#This Row],[Visitor]],'NHL Model'!$A$6:$B$38,2,FALSE)</f>
        <v>-0.2090057419115289</v>
      </c>
      <c r="J586">
        <f>($B$1+Table4[[#This Row],[Home Differential]])-Table4[[#This Row],[Away Differential]]</f>
        <v>-0.5886539825442928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0.53851362659716007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0.12073374225454764</v>
      </c>
      <c r="H587" t="s">
        <v>33</v>
      </c>
      <c r="I587">
        <f>VLOOKUP(Table4[[#This Row],[Visitor]],'NHL Model'!$A$6:$B$38,2,FALSE)</f>
        <v>-0.36178381286707545</v>
      </c>
      <c r="J587">
        <f>($B$1+Table4[[#This Row],[Home Differential]])-Table4[[#This Row],[Away Differential]]</f>
        <v>0.62006094409403945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0.62270263155557404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6.4811420118814619E-2</v>
      </c>
      <c r="H588" t="s">
        <v>15</v>
      </c>
      <c r="I588">
        <f>VLOOKUP(Table4[[#This Row],[Visitor]],'NHL Model'!$A$6:$B$38,2,FALSE)</f>
        <v>-0.49835870184734621</v>
      </c>
      <c r="J588">
        <f>($B$1+Table4[[#This Row],[Home Differential]])-Table4[[#This Row],[Away Differential]]</f>
        <v>0.70071351093857714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0.54998166734093812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-0.51535072045188635</v>
      </c>
      <c r="H589" t="s">
        <v>21</v>
      </c>
      <c r="I589">
        <f>VLOOKUP(Table4[[#This Row],[Visitor]],'NHL Model'!$A$6:$B$38,2,FALSE)</f>
        <v>-0.14464931395309213</v>
      </c>
      <c r="J589">
        <f>($B$1+Table4[[#This Row],[Home Differential]])-Table4[[#This Row],[Away Differential]]</f>
        <v>-0.23315801752637785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0.47708158331727912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0.42515174825138019</v>
      </c>
      <c r="H590" t="s">
        <v>26</v>
      </c>
      <c r="I590">
        <f>VLOOKUP(Table4[[#This Row],[Visitor]],'NHL Model'!$A$6:$B$38,2,FALSE)</f>
        <v>-0.66335717753705836</v>
      </c>
      <c r="J590">
        <f>($B$1+Table4[[#This Row],[Home Differential]])-Table4[[#This Row],[Away Differential]]</f>
        <v>1.2260523147608549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0.70898323375739636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-1.0952038865534519</v>
      </c>
      <c r="H591" t="s">
        <v>17</v>
      </c>
      <c r="I591">
        <f>VLOOKUP(Table4[[#This Row],[Visitor]],'NHL Model'!$A$6:$B$38,2,FALSE)</f>
        <v>-0.87263145033954281</v>
      </c>
      <c r="J591">
        <f>($B$1+Table4[[#This Row],[Home Differential]])-Table4[[#This Row],[Away Differential]]</f>
        <v>-8.5029047241492739E-2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0.47134102386630594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4.3828122498436855E-3</v>
      </c>
      <c r="H592" t="s">
        <v>10</v>
      </c>
      <c r="I592">
        <f>VLOOKUP(Table4[[#This Row],[Visitor]],'NHL Model'!$A$6:$B$38,2,FALSE)</f>
        <v>-0.15263505358797036</v>
      </c>
      <c r="J592">
        <f>($B$1+Table4[[#This Row],[Home Differential]])-Table4[[#This Row],[Away Differential]]</f>
        <v>0.29456125481023043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0.58178353815911166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-0.37836939589441088</v>
      </c>
      <c r="H593" t="s">
        <v>37</v>
      </c>
      <c r="I593">
        <f>VLOOKUP(Table4[[#This Row],[Visitor]],'NHL Model'!$A$6:$B$38,2,FALSE)</f>
        <v>7.1667377873261273E-2</v>
      </c>
      <c r="J593">
        <f>($B$1+Table4[[#This Row],[Home Differential]])-Table4[[#This Row],[Away Differential]]</f>
        <v>-0.31249338479525579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0.51536402524845826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-0.36134162888396865</v>
      </c>
      <c r="H594" t="s">
        <v>31</v>
      </c>
      <c r="I594">
        <f>VLOOKUP(Table4[[#This Row],[Visitor]],'NHL Model'!$A$6:$B$38,2,FALSE)</f>
        <v>0.34329638981067145</v>
      </c>
      <c r="J594">
        <f>($B$1+Table4[[#This Row],[Home Differential]])-Table4[[#This Row],[Away Differential]]</f>
        <v>-0.56709462972222369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0.55640730903520963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-1.8032585202533785E-2</v>
      </c>
      <c r="H595" t="s">
        <v>22</v>
      </c>
      <c r="I595">
        <f>VLOOKUP(Table4[[#This Row],[Visitor]],'NHL Model'!$A$6:$B$38,2,FALSE)</f>
        <v>6.4811420118814619E-2</v>
      </c>
      <c r="J595">
        <f>($B$1+Table4[[#This Row],[Home Differential]])-Table4[[#This Row],[Away Differential]]</f>
        <v>5.4699383651067954E-2</v>
      </c>
      <c r="K595" t="str">
        <f>IF(Table4[[#This Row],[HomeIce Differential]]&gt;0,Table4[[#This Row],[Home]],Table4[[#This Row],[Visitor]])</f>
        <v>New Jersey Devils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0.64365934336711628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3.838472305373858E-3</v>
      </c>
      <c r="H596" t="s">
        <v>15</v>
      </c>
      <c r="I596">
        <f>VLOOKUP(Table4[[#This Row],[Visitor]],'NHL Model'!$A$6:$B$38,2,FALSE)</f>
        <v>-0.49835870184734621</v>
      </c>
      <c r="J596">
        <f>($B$1+Table4[[#This Row],[Home Differential]])-Table4[[#This Row],[Away Differential]]</f>
        <v>0.63974056312513639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0.54184920345024756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-1.5569791149906038</v>
      </c>
      <c r="H597" t="s">
        <v>29</v>
      </c>
      <c r="I597">
        <f>VLOOKUP(Table4[[#This Row],[Visitor]],'NHL Model'!$A$6:$B$38,2,FALSE)</f>
        <v>-1.4957350924899622</v>
      </c>
      <c r="J597">
        <f>($B$1+Table4[[#This Row],[Home Differential]])-Table4[[#This Row],[Away Differential]]</f>
        <v>7.6299366471774821E-2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0.55017667449198659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-0.93520311342823803</v>
      </c>
      <c r="H598" t="s">
        <v>36</v>
      </c>
      <c r="I598">
        <f>VLOOKUP(Table4[[#This Row],[Visitor]],'NHL Model'!$A$6:$B$38,2,FALSE)</f>
        <v>-0.31751962084606655</v>
      </c>
      <c r="J598">
        <f>($B$1+Table4[[#This Row],[Home Differential]])-Table4[[#This Row],[Away Differential]]</f>
        <v>-0.48014010360975512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0.54480946820413423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-1.1236485959014608</v>
      </c>
      <c r="H599" t="s">
        <v>33</v>
      </c>
      <c r="I599">
        <f>VLOOKUP(Table4[[#This Row],[Visitor]],'NHL Model'!$A$6:$B$38,2,FALSE)</f>
        <v>-0.36178381286707545</v>
      </c>
      <c r="J599">
        <f>($B$1+Table4[[#This Row],[Home Differential]])-Table4[[#This Row],[Away Differential]]</f>
        <v>-0.62432139406196896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0.54327088283363745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0.12073374225454764</v>
      </c>
      <c r="H600" t="s">
        <v>12</v>
      </c>
      <c r="I600">
        <f>VLOOKUP(Table4[[#This Row],[Visitor]],'NHL Model'!$A$6:$B$38,2,FALSE)</f>
        <v>1.4458345276269271</v>
      </c>
      <c r="J600">
        <f>($B$1+Table4[[#This Row],[Home Differential]])-Table4[[#This Row],[Away Differential]]</f>
        <v>-1.1875573963999631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0.71088049205206527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-6.0247860940930854E-2</v>
      </c>
      <c r="H601" t="s">
        <v>34</v>
      </c>
      <c r="I601">
        <f>VLOOKUP(Table4[[#This Row],[Visitor]],'NHL Model'!$A$6:$B$38,2,FALSE)</f>
        <v>-0.16358905079701039</v>
      </c>
      <c r="J601">
        <f>($B$1+Table4[[#This Row],[Home Differential]])-Table4[[#This Row],[Away Differential]]</f>
        <v>0.2408845788284959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0.55386788932537856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-0.59418600019583889</v>
      </c>
      <c r="H602" t="s">
        <v>30</v>
      </c>
      <c r="I602">
        <f>VLOOKUP(Table4[[#This Row],[Visitor]],'NHL Model'!$A$6:$B$38,2,FALSE)</f>
        <v>3.838472305373858E-3</v>
      </c>
      <c r="J602">
        <f>($B$1+Table4[[#This Row],[Home Differential]])-Table4[[#This Row],[Away Differential]]</f>
        <v>-0.46048108352879641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0.58696559737765974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-0.15263505358797036</v>
      </c>
      <c r="H603" t="s">
        <v>14</v>
      </c>
      <c r="I603">
        <f>VLOOKUP(Table4[[#This Row],[Visitor]],'NHL Model'!$A$6:$B$38,2,FALSE)</f>
        <v>-0.2090057419115289</v>
      </c>
      <c r="J603">
        <f>($B$1+Table4[[#This Row],[Home Differential]])-Table4[[#This Row],[Away Differential]]</f>
        <v>0.1939140772959749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0.56586391650820678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-0.66335717753705836</v>
      </c>
      <c r="H604" t="s">
        <v>19</v>
      </c>
      <c r="I604">
        <f>VLOOKUP(Table4[[#This Row],[Visitor]],'NHL Model'!$A$6:$B$38,2,FALSE)</f>
        <v>-0.93520311342823803</v>
      </c>
      <c r="J604">
        <f>($B$1+Table4[[#This Row],[Home Differential]])-Table4[[#This Row],[Away Differential]]</f>
        <v>0.40938932486359603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0.62684968956410103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-0.45007023285116615</v>
      </c>
      <c r="H605" t="s">
        <v>27</v>
      </c>
      <c r="I605">
        <f>VLOOKUP(Table4[[#This Row],[Visitor]],'NHL Model'!$A$6:$B$38,2,FALSE)</f>
        <v>-0.42203126246971279</v>
      </c>
      <c r="J605">
        <f>($B$1+Table4[[#This Row],[Home Differential]])-Table4[[#This Row],[Away Differential]]</f>
        <v>0.10950441859096299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0.58064324143797541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7.1667377873261273E-2</v>
      </c>
      <c r="H606" t="s">
        <v>18</v>
      </c>
      <c r="I606">
        <f>VLOOKUP(Table4[[#This Row],[Visitor]],'NHL Model'!$A$6:$B$38,2,FALSE)</f>
        <v>-0.74754136228530599</v>
      </c>
      <c r="J606">
        <f>($B$1+Table4[[#This Row],[Home Differential]])-Table4[[#This Row],[Away Differential]]</f>
        <v>0.95675212913098362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0.62302275009381913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0.34329638981067145</v>
      </c>
      <c r="H607" t="s">
        <v>33</v>
      </c>
      <c r="I607">
        <f>VLOOKUP(Table4[[#This Row],[Visitor]],'NHL Model'!$A$6:$B$38,2,FALSE)</f>
        <v>-0.36178381286707545</v>
      </c>
      <c r="J607">
        <f>($B$1+Table4[[#This Row],[Home Differential]])-Table4[[#This Row],[Away Differential]]</f>
        <v>0.84262359165016321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0.74730827859346249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0.42515174825138019</v>
      </c>
      <c r="H608" t="s">
        <v>15</v>
      </c>
      <c r="I608">
        <f>VLOOKUP(Table4[[#This Row],[Visitor]],'NHL Model'!$A$6:$B$38,2,FALSE)</f>
        <v>-0.49835870184734621</v>
      </c>
      <c r="J608">
        <f>($B$1+Table4[[#This Row],[Home Differential]])-Table4[[#This Row],[Away Differential]]</f>
        <v>1.0610538390711426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0.65061239266304549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-1.0952038865534519</v>
      </c>
      <c r="H609" t="s">
        <v>21</v>
      </c>
      <c r="I609">
        <f>VLOOKUP(Table4[[#This Row],[Visitor]],'NHL Model'!$A$6:$B$38,2,FALSE)</f>
        <v>-0.14464931395309213</v>
      </c>
      <c r="J609">
        <f>($B$1+Table4[[#This Row],[Home Differential]])-Table4[[#This Row],[Away Differential]]</f>
        <v>-0.81301118362794345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0.56843799308853982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1.4458345276269271</v>
      </c>
      <c r="H610" t="s">
        <v>13</v>
      </c>
      <c r="I610">
        <f>VLOOKUP(Table4[[#This Row],[Visitor]],'NHL Model'!$A$6:$B$38,2,FALSE)</f>
        <v>-0.36134162888396865</v>
      </c>
      <c r="J610">
        <f>($B$1+Table4[[#This Row],[Home Differential]])-Table4[[#This Row],[Away Differential]]</f>
        <v>1.9447195454833122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0.81383869743444848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-0.37836939589441088</v>
      </c>
      <c r="H611" t="s">
        <v>22</v>
      </c>
      <c r="I611">
        <f>VLOOKUP(Table4[[#This Row],[Visitor]],'NHL Model'!$A$6:$B$38,2,FALSE)</f>
        <v>6.4811420118814619E-2</v>
      </c>
      <c r="J611">
        <f>($B$1+Table4[[#This Row],[Home Differential]])-Table4[[#This Row],[Away Differential]]</f>
        <v>-0.30563742704080915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0.46933680777956677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-0.31751962084606655</v>
      </c>
      <c r="H612" t="s">
        <v>28</v>
      </c>
      <c r="I612">
        <f>VLOOKUP(Table4[[#This Row],[Visitor]],'NHL Model'!$A$6:$B$38,2,FALSE)</f>
        <v>-0.59418600019583889</v>
      </c>
      <c r="J612">
        <f>($B$1+Table4[[#This Row],[Home Differential]])-Table4[[#This Row],[Away Differential]]</f>
        <v>0.4142097683221887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0.59691323264143681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-0.45007023285116615</v>
      </c>
      <c r="H613" t="s">
        <v>38</v>
      </c>
      <c r="I613">
        <f>VLOOKUP(Table4[[#This Row],[Visitor]],'NHL Model'!$A$6:$B$38,2,FALSE)</f>
        <v>-1.1236485959014608</v>
      </c>
      <c r="J613">
        <f>($B$1+Table4[[#This Row],[Home Differential]])-Table4[[#This Row],[Away Differential]]</f>
        <v>0.81112175202271097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0.65364052949883666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-1.5569791149906038</v>
      </c>
      <c r="H614" t="s">
        <v>23</v>
      </c>
      <c r="I614">
        <f>VLOOKUP(Table4[[#This Row],[Visitor]],'NHL Model'!$A$6:$B$38,2,FALSE)</f>
        <v>-0.51535072045188635</v>
      </c>
      <c r="J614">
        <f>($B$1+Table4[[#This Row],[Home Differential]])-Table4[[#This Row],[Away Differential]]</f>
        <v>-0.904085005566301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0.58058525830797869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-0.30969050963205513</v>
      </c>
      <c r="H615" t="s">
        <v>29</v>
      </c>
      <c r="I615">
        <f>VLOOKUP(Table4[[#This Row],[Visitor]],'NHL Model'!$A$6:$B$38,2,FALSE)</f>
        <v>-1.4957350924899622</v>
      </c>
      <c r="J615">
        <f>($B$1+Table4[[#This Row],[Home Differential]])-Table4[[#This Row],[Away Differential]]</f>
        <v>1.3235879718303234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0.76825379798953519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0.12073374225454764</v>
      </c>
      <c r="H616" t="s">
        <v>34</v>
      </c>
      <c r="I616">
        <f>VLOOKUP(Table4[[#This Row],[Visitor]],'NHL Model'!$A$6:$B$38,2,FALSE)</f>
        <v>-0.16358905079701039</v>
      </c>
      <c r="J616">
        <f>($B$1+Table4[[#This Row],[Home Differential]])-Table4[[#This Row],[Away Differential]]</f>
        <v>0.42186618202397441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0.5754985341174319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-6.0247860940930854E-2</v>
      </c>
      <c r="H617" t="s">
        <v>17</v>
      </c>
      <c r="I617">
        <f>VLOOKUP(Table4[[#This Row],[Visitor]],'NHL Model'!$A$6:$B$38,2,FALSE)</f>
        <v>-0.87263145033954281</v>
      </c>
      <c r="J617">
        <f>($B$1+Table4[[#This Row],[Home Differential]])-Table4[[#This Row],[Away Differential]]</f>
        <v>0.94992697837102835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0.66919505872987139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-0.15263505358797036</v>
      </c>
      <c r="H618" t="s">
        <v>30</v>
      </c>
      <c r="I618">
        <f>VLOOKUP(Table4[[#This Row],[Visitor]],'NHL Model'!$A$6:$B$38,2,FALSE)</f>
        <v>3.838472305373858E-3</v>
      </c>
      <c r="J618">
        <f>($B$1+Table4[[#This Row],[Home Differential]])-Table4[[#This Row],[Away Differential]]</f>
        <v>-1.8930136920927858E-2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0.53514803727441285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-0.37836939589441088</v>
      </c>
      <c r="H619" t="s">
        <v>18</v>
      </c>
      <c r="I619">
        <f>VLOOKUP(Table4[[#This Row],[Visitor]],'NHL Model'!$A$6:$B$38,2,FALSE)</f>
        <v>-0.74754136228530599</v>
      </c>
      <c r="J619">
        <f>($B$1+Table4[[#This Row],[Home Differential]])-Table4[[#This Row],[Away Differential]]</f>
        <v>0.50671535536331147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0.61303934294472251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-0.2090057419115289</v>
      </c>
      <c r="H620" t="s">
        <v>25</v>
      </c>
      <c r="I620">
        <f>VLOOKUP(Table4[[#This Row],[Visitor]],'NHL Model'!$A$6:$B$38,2,FALSE)</f>
        <v>0.42515174825138019</v>
      </c>
      <c r="J620">
        <f>($B$1+Table4[[#This Row],[Home Differential]])-Table4[[#This Row],[Away Differential]]</f>
        <v>-0.49661410119049276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0.59886067919014085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-0.93520311342823803</v>
      </c>
      <c r="H621" t="s">
        <v>24</v>
      </c>
      <c r="I621">
        <f>VLOOKUP(Table4[[#This Row],[Visitor]],'NHL Model'!$A$6:$B$38,2,FALSE)</f>
        <v>-1.8032585202533785E-2</v>
      </c>
      <c r="J621">
        <f>($B$1+Table4[[#This Row],[Home Differential]])-Table4[[#This Row],[Away Differential]]</f>
        <v>-0.77962713925328786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0.564814781408849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-1.1236485959014608</v>
      </c>
      <c r="H622" t="s">
        <v>27</v>
      </c>
      <c r="I622">
        <f>VLOOKUP(Table4[[#This Row],[Visitor]],'NHL Model'!$A$6:$B$38,2,FALSE)</f>
        <v>-0.42203126246971279</v>
      </c>
      <c r="J622">
        <f>($B$1+Table4[[#This Row],[Home Differential]])-Table4[[#This Row],[Away Differential]]</f>
        <v>-0.56407394445933168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0.53523518461057007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0.34329638981067145</v>
      </c>
      <c r="H623" t="s">
        <v>37</v>
      </c>
      <c r="I623">
        <f>VLOOKUP(Table4[[#This Row],[Visitor]],'NHL Model'!$A$6:$B$38,2,FALSE)</f>
        <v>7.1667377873261273E-2</v>
      </c>
      <c r="J623">
        <f>($B$1+Table4[[#This Row],[Home Differential]])-Table4[[#This Row],[Away Differential]]</f>
        <v>0.40917240090982654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0.62600326225125758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-0.59418600019583889</v>
      </c>
      <c r="H624" t="s">
        <v>24</v>
      </c>
      <c r="I624">
        <f>VLOOKUP(Table4[[#This Row],[Visitor]],'NHL Model'!$A$6:$B$38,2,FALSE)</f>
        <v>-1.8032585202533785E-2</v>
      </c>
      <c r="J624">
        <f>($B$1+Table4[[#This Row],[Home Differential]])-Table4[[#This Row],[Away Differential]]</f>
        <v>-0.43861002602088872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0.51228254177659538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-1.0952038865534519</v>
      </c>
      <c r="H625" t="s">
        <v>27</v>
      </c>
      <c r="I625">
        <f>VLOOKUP(Table4[[#This Row],[Visitor]],'NHL Model'!$A$6:$B$38,2,FALSE)</f>
        <v>-0.42203126246971279</v>
      </c>
      <c r="J625">
        <f>($B$1+Table4[[#This Row],[Home Differential]])-Table4[[#This Row],[Away Differential]]</f>
        <v>-0.53562923511132277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0.53144127960926268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1.4458345276269271</v>
      </c>
      <c r="H626" t="s">
        <v>35</v>
      </c>
      <c r="I626">
        <f>VLOOKUP(Table4[[#This Row],[Visitor]],'NHL Model'!$A$6:$B$38,2,FALSE)</f>
        <v>-1.5569791149906038</v>
      </c>
      <c r="J626">
        <f>($B$1+Table4[[#This Row],[Home Differential]])-Table4[[#This Row],[Away Differential]]</f>
        <v>3.1403570315899474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4.3828122498436855E-3</v>
      </c>
      <c r="H627" t="s">
        <v>23</v>
      </c>
      <c r="I627">
        <f>VLOOKUP(Table4[[#This Row],[Visitor]],'NHL Model'!$A$6:$B$38,2,FALSE)</f>
        <v>-0.51535072045188635</v>
      </c>
      <c r="J627">
        <f>($B$1+Table4[[#This Row],[Home Differential]])-Table4[[#This Row],[Away Differential]]</f>
        <v>0.65727692167414642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0.63016191199768601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-0.66335717753705836</v>
      </c>
      <c r="H628" t="s">
        <v>40</v>
      </c>
      <c r="I628">
        <f>VLOOKUP(Table4[[#This Row],[Visitor]],'NHL Model'!$A$6:$B$38,2,FALSE)</f>
        <v>-6.0247860940930854E-2</v>
      </c>
      <c r="J628">
        <f>($B$1+Table4[[#This Row],[Home Differential]])-Table4[[#This Row],[Away Differential]]</f>
        <v>-0.46556592762371113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0.5557672457061299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-0.87263145033954281</v>
      </c>
      <c r="H629" t="s">
        <v>21</v>
      </c>
      <c r="I629">
        <f>VLOOKUP(Table4[[#This Row],[Visitor]],'NHL Model'!$A$6:$B$38,2,FALSE)</f>
        <v>-0.14464931395309213</v>
      </c>
      <c r="J629">
        <f>($B$1+Table4[[#This Row],[Home Differential]])-Table4[[#This Row],[Away Differential]]</f>
        <v>-0.59043874741403435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0.5027148090179846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-0.36178381286707545</v>
      </c>
      <c r="H630" t="s">
        <v>34</v>
      </c>
      <c r="I630">
        <f>VLOOKUP(Table4[[#This Row],[Visitor]],'NHL Model'!$A$6:$B$38,2,FALSE)</f>
        <v>-0.16358905079701039</v>
      </c>
      <c r="J630">
        <f>($B$1+Table4[[#This Row],[Home Differential]])-Table4[[#This Row],[Away Differential]]</f>
        <v>-6.0651373097648703E-2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0.48885880359333972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0.12073374225454764</v>
      </c>
      <c r="H631" t="s">
        <v>29</v>
      </c>
      <c r="I631">
        <f>VLOOKUP(Table4[[#This Row],[Visitor]],'NHL Model'!$A$6:$B$38,2,FALSE)</f>
        <v>-1.4957350924899622</v>
      </c>
      <c r="J631">
        <f>($B$1+Table4[[#This Row],[Home Differential]])-Table4[[#This Row],[Away Differential]]</f>
        <v>1.7540122237169262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0.7739470467600259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6.4811420118814619E-2</v>
      </c>
      <c r="H632" t="s">
        <v>15</v>
      </c>
      <c r="I632">
        <f>VLOOKUP(Table4[[#This Row],[Visitor]],'NHL Model'!$A$6:$B$38,2,FALSE)</f>
        <v>-0.49835870184734621</v>
      </c>
      <c r="J632">
        <f>($B$1+Table4[[#This Row],[Home Differential]])-Table4[[#This Row],[Away Differential]]</f>
        <v>0.70071351093857714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0.54998166734093812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0.42515174825138019</v>
      </c>
      <c r="H633" t="s">
        <v>18</v>
      </c>
      <c r="I633">
        <f>VLOOKUP(Table4[[#This Row],[Visitor]],'NHL Model'!$A$6:$B$38,2,FALSE)</f>
        <v>-0.74754136228530599</v>
      </c>
      <c r="J633">
        <f>($B$1+Table4[[#This Row],[Home Differential]])-Table4[[#This Row],[Away Differential]]</f>
        <v>1.3102364995091025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0.72021157135929625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-0.15263505358797036</v>
      </c>
      <c r="H634" t="s">
        <v>39</v>
      </c>
      <c r="I634">
        <f>VLOOKUP(Table4[[#This Row],[Visitor]],'NHL Model'!$A$6:$B$38,2,FALSE)</f>
        <v>4.3828122498436855E-3</v>
      </c>
      <c r="J634">
        <f>($B$1+Table4[[#This Row],[Home Differential]])-Table4[[#This Row],[Away Differential]]</f>
        <v>-1.9474476865397689E-2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0.54355574019870645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-0.36134162888396865</v>
      </c>
      <c r="H635" t="s">
        <v>37</v>
      </c>
      <c r="I635">
        <f>VLOOKUP(Table4[[#This Row],[Visitor]],'NHL Model'!$A$6:$B$38,2,FALSE)</f>
        <v>7.1667377873261273E-2</v>
      </c>
      <c r="J635">
        <f>($B$1+Table4[[#This Row],[Home Differential]])-Table4[[#This Row],[Away Differential]]</f>
        <v>-0.29546561778481356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0.56572447076177945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3.838472305373858E-3</v>
      </c>
      <c r="H636" t="s">
        <v>55</v>
      </c>
      <c r="I636">
        <f>VLOOKUP(Table4[[#This Row],[Visitor]],'NHL Model'!$A$6:$B$38,2,FALSE)</f>
        <v>-0.30969050963205513</v>
      </c>
      <c r="J636">
        <f>($B$1+Table4[[#This Row],[Home Differential]])-Table4[[#This Row],[Away Differential]]</f>
        <v>0.45107237090984531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0.60016323468132915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-0.31751962084606655</v>
      </c>
      <c r="H637" t="s">
        <v>22</v>
      </c>
      <c r="I637">
        <f>VLOOKUP(Table4[[#This Row],[Visitor]],'NHL Model'!$A$6:$B$38,2,FALSE)</f>
        <v>6.4811420118814619E-2</v>
      </c>
      <c r="J637">
        <f>($B$1+Table4[[#This Row],[Home Differential]])-Table4[[#This Row],[Away Differential]]</f>
        <v>-0.24478765199246483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0.51091021344812537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-0.2090057419115289</v>
      </c>
      <c r="H638" t="s">
        <v>26</v>
      </c>
      <c r="I638">
        <f>VLOOKUP(Table4[[#This Row],[Visitor]],'NHL Model'!$A$6:$B$38,2,FALSE)</f>
        <v>-0.66335717753705836</v>
      </c>
      <c r="J638">
        <f>($B$1+Table4[[#This Row],[Home Differential]])-Table4[[#This Row],[Away Differential]]</f>
        <v>0.59189482459794585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0.57184649289503364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-0.45007023285116615</v>
      </c>
      <c r="H639" t="s">
        <v>29</v>
      </c>
      <c r="I639">
        <f>VLOOKUP(Table4[[#This Row],[Visitor]],'NHL Model'!$A$6:$B$38,2,FALSE)</f>
        <v>-1.4957350924899622</v>
      </c>
      <c r="J639">
        <f>($B$1+Table4[[#This Row],[Home Differential]])-Table4[[#This Row],[Away Differential]]</f>
        <v>1.1832082486112123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0.7238519584193599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-0.93520311342823803</v>
      </c>
      <c r="H640" t="s">
        <v>40</v>
      </c>
      <c r="I640">
        <f>VLOOKUP(Table4[[#This Row],[Visitor]],'NHL Model'!$A$6:$B$38,2,FALSE)</f>
        <v>-6.0247860940930854E-2</v>
      </c>
      <c r="J640">
        <f>($B$1+Table4[[#This Row],[Home Differential]])-Table4[[#This Row],[Away Differential]]</f>
        <v>-0.73741186351489085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0.62467047901486583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0.34329638981067145</v>
      </c>
      <c r="H641" t="s">
        <v>34</v>
      </c>
      <c r="I641">
        <f>VLOOKUP(Table4[[#This Row],[Visitor]],'NHL Model'!$A$6:$B$38,2,FALSE)</f>
        <v>-0.16358905079701039</v>
      </c>
      <c r="J641">
        <f>($B$1+Table4[[#This Row],[Home Differential]])-Table4[[#This Row],[Away Differential]]</f>
        <v>0.64442882958009817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0.70133739238853154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-0.37836939589441088</v>
      </c>
      <c r="H642" t="s">
        <v>15</v>
      </c>
      <c r="I642">
        <f>VLOOKUP(Table4[[#This Row],[Visitor]],'NHL Model'!$A$6:$B$38,2,FALSE)</f>
        <v>-0.49835870184734621</v>
      </c>
      <c r="J642">
        <f>($B$1+Table4[[#This Row],[Home Differential]])-Table4[[#This Row],[Away Differential]]</f>
        <v>0.25753269492535169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0.54344016424847175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-1.5569791149906038</v>
      </c>
      <c r="H643" t="s">
        <v>20</v>
      </c>
      <c r="I643">
        <f>VLOOKUP(Table4[[#This Row],[Visitor]],'NHL Model'!$A$6:$B$38,2,FALSE)</f>
        <v>0.12073374225454764</v>
      </c>
      <c r="J643">
        <f>($B$1+Table4[[#This Row],[Home Differential]])-Table4[[#This Row],[Away Differential]]</f>
        <v>-1.5401694682727349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0.6861943091924676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-1.1236485959014608</v>
      </c>
      <c r="H644" t="s">
        <v>32</v>
      </c>
      <c r="I644">
        <f>VLOOKUP(Table4[[#This Row],[Visitor]],'NHL Model'!$A$6:$B$38,2,FALSE)</f>
        <v>-0.45007023285116615</v>
      </c>
      <c r="J644">
        <f>($B$1+Table4[[#This Row],[Home Differential]])-Table4[[#This Row],[Away Differential]]</f>
        <v>-0.53603497407787826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0.53149539635468646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0.42515174825138019</v>
      </c>
      <c r="H645" t="s">
        <v>12</v>
      </c>
      <c r="I645">
        <f>VLOOKUP(Table4[[#This Row],[Visitor]],'NHL Model'!$A$6:$B$38,2,FALSE)</f>
        <v>1.4458345276269271</v>
      </c>
      <c r="J645">
        <f>($B$1+Table4[[#This Row],[Home Differential]])-Table4[[#This Row],[Away Differential]]</f>
        <v>-0.88313939040313061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0.61779156921976253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-0.59418600019583889</v>
      </c>
      <c r="H646" t="s">
        <v>23</v>
      </c>
      <c r="I646">
        <f>VLOOKUP(Table4[[#This Row],[Visitor]],'NHL Model'!$A$6:$B$38,2,FALSE)</f>
        <v>-0.51535072045188635</v>
      </c>
      <c r="J646">
        <f>($B$1+Table4[[#This Row],[Home Differential]])-Table4[[#This Row],[Away Differential]]</f>
        <v>5.8708109228463812E-2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0.55487633558770433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-1.0952038865534519</v>
      </c>
      <c r="H647" t="s">
        <v>29</v>
      </c>
      <c r="I647">
        <f>VLOOKUP(Table4[[#This Row],[Visitor]],'NHL Model'!$A$6:$B$38,2,FALSE)</f>
        <v>-1.4957350924899622</v>
      </c>
      <c r="J647">
        <f>($B$1+Table4[[#This Row],[Home Differential]])-Table4[[#This Row],[Away Differential]]</f>
        <v>0.53807459490892662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0.6117674373721218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-0.66335717753705836</v>
      </c>
      <c r="H648" t="s">
        <v>14</v>
      </c>
      <c r="I648">
        <f>VLOOKUP(Table4[[#This Row],[Visitor]],'NHL Model'!$A$6:$B$38,2,FALSE)</f>
        <v>-0.2090057419115289</v>
      </c>
      <c r="J648">
        <f>($B$1+Table4[[#This Row],[Home Differential]])-Table4[[#This Row],[Away Differential]]</f>
        <v>-0.31680804665311313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0.47000923087786151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-0.87263145033954281</v>
      </c>
      <c r="H649" t="s">
        <v>27</v>
      </c>
      <c r="I649">
        <f>VLOOKUP(Table4[[#This Row],[Visitor]],'NHL Model'!$A$6:$B$38,2,FALSE)</f>
        <v>-0.42203126246971279</v>
      </c>
      <c r="J649">
        <f>($B$1+Table4[[#This Row],[Home Differential]])-Table4[[#This Row],[Away Differential]]</f>
        <v>-0.31305679889741367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0.46571809553870741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-0.36134162888396865</v>
      </c>
      <c r="H650" t="s">
        <v>34</v>
      </c>
      <c r="I650">
        <f>VLOOKUP(Table4[[#This Row],[Visitor]],'NHL Model'!$A$6:$B$38,2,FALSE)</f>
        <v>-0.16358905079701039</v>
      </c>
      <c r="J650">
        <f>($B$1+Table4[[#This Row],[Home Differential]])-Table4[[#This Row],[Away Differential]]</f>
        <v>-6.02091891145419E-2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0.48879982587609599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-1.8032585202533785E-2</v>
      </c>
      <c r="H651" t="s">
        <v>55</v>
      </c>
      <c r="I651">
        <f>VLOOKUP(Table4[[#This Row],[Visitor]],'NHL Model'!$A$6:$B$38,2,FALSE)</f>
        <v>-0.30969050963205513</v>
      </c>
      <c r="J651">
        <f>($B$1+Table4[[#This Row],[Home Differential]])-Table4[[#This Row],[Away Differential]]</f>
        <v>0.42920131340193768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0.71267682334118398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3.838472305373858E-3</v>
      </c>
      <c r="H652" t="s">
        <v>19</v>
      </c>
      <c r="I652">
        <f>VLOOKUP(Table4[[#This Row],[Visitor]],'NHL Model'!$A$6:$B$38,2,FALSE)</f>
        <v>-0.93520311342823803</v>
      </c>
      <c r="J652">
        <f>($B$1+Table4[[#This Row],[Home Differential]])-Table4[[#This Row],[Away Differential]]</f>
        <v>1.0765849747060283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0.68359299896152825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-0.31751962084606655</v>
      </c>
      <c r="H653" t="s">
        <v>40</v>
      </c>
      <c r="I653">
        <f>VLOOKUP(Table4[[#This Row],[Visitor]],'NHL Model'!$A$6:$B$38,2,FALSE)</f>
        <v>-6.0247860940930854E-2</v>
      </c>
      <c r="J653">
        <f>($B$1+Table4[[#This Row],[Home Differential]])-Table4[[#This Row],[Away Differential]]</f>
        <v>-0.11972837093271935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0.53977868207099944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-0.36178381286707545</v>
      </c>
      <c r="H654" t="s">
        <v>37</v>
      </c>
      <c r="I654">
        <f>VLOOKUP(Table4[[#This Row],[Visitor]],'NHL Model'!$A$6:$B$38,2,FALSE)</f>
        <v>7.1667377873261273E-2</v>
      </c>
      <c r="J654">
        <f>($B$1+Table4[[#This Row],[Home Differential]])-Table4[[#This Row],[Away Differential]]</f>
        <v>-0.29590780176792036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0.56578344847902329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-1.5569791149906038</v>
      </c>
      <c r="H655" t="s">
        <v>18</v>
      </c>
      <c r="I655">
        <f>VLOOKUP(Table4[[#This Row],[Visitor]],'NHL Model'!$A$6:$B$38,2,FALSE)</f>
        <v>-0.74754136228530599</v>
      </c>
      <c r="J655">
        <f>($B$1+Table4[[#This Row],[Home Differential]])-Table4[[#This Row],[Away Differential]]</f>
        <v>-0.67189436373288136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0.59671547283101745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-1.1236485959014608</v>
      </c>
      <c r="H656" t="s">
        <v>21</v>
      </c>
      <c r="I656">
        <f>VLOOKUP(Table4[[#This Row],[Visitor]],'NHL Model'!$A$6:$B$38,2,FALSE)</f>
        <v>-0.14464931395309213</v>
      </c>
      <c r="J656">
        <f>($B$1+Table4[[#This Row],[Home Differential]])-Table4[[#This Row],[Away Differential]]</f>
        <v>-0.84145589297595236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0.57223189808984731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6.4811420118814619E-2</v>
      </c>
      <c r="H657" t="s">
        <v>10</v>
      </c>
      <c r="I657">
        <f>VLOOKUP(Table4[[#This Row],[Visitor]],'NHL Model'!$A$6:$B$38,2,FALSE)</f>
        <v>-0.15263505358797036</v>
      </c>
      <c r="J657">
        <f>($B$1+Table4[[#This Row],[Home Differential]])-Table4[[#This Row],[Away Differential]]</f>
        <v>0.35498986267920135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0.58734791974685197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-0.59418600019583889</v>
      </c>
      <c r="H658" t="s">
        <v>14</v>
      </c>
      <c r="I658">
        <f>VLOOKUP(Table4[[#This Row],[Visitor]],'NHL Model'!$A$6:$B$38,2,FALSE)</f>
        <v>-0.2090057419115289</v>
      </c>
      <c r="J658">
        <f>($B$1+Table4[[#This Row],[Home Differential]])-Table4[[#This Row],[Away Differential]]</f>
        <v>-0.24763686931189363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0.48598341558746572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-0.15263505358797036</v>
      </c>
      <c r="H659" t="s">
        <v>20</v>
      </c>
      <c r="I659">
        <f>VLOOKUP(Table4[[#This Row],[Visitor]],'NHL Model'!$A$6:$B$38,2,FALSE)</f>
        <v>0.12073374225454764</v>
      </c>
      <c r="J659">
        <f>($B$1+Table4[[#This Row],[Home Differential]])-Table4[[#This Row],[Away Differential]]</f>
        <v>-0.13582540687010164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0.4988853832011122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4.3828122498436855E-3</v>
      </c>
      <c r="H660" t="s">
        <v>18</v>
      </c>
      <c r="I660">
        <f>VLOOKUP(Table4[[#This Row],[Visitor]],'NHL Model'!$A$6:$B$38,2,FALSE)</f>
        <v>-0.74754136228530599</v>
      </c>
      <c r="J660">
        <f>($B$1+Table4[[#This Row],[Home Differential]])-Table4[[#This Row],[Away Differential]]</f>
        <v>0.88946756350756606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0.61404845378773476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-0.37836939589441088</v>
      </c>
      <c r="H661" t="s">
        <v>12</v>
      </c>
      <c r="I661">
        <f>VLOOKUP(Table4[[#This Row],[Visitor]],'NHL Model'!$A$6:$B$38,2,FALSE)</f>
        <v>1.4458345276269271</v>
      </c>
      <c r="J661">
        <f>($B$1+Table4[[#This Row],[Home Differential]])-Table4[[#This Row],[Away Differential]]</f>
        <v>-1.6866605345489216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0.72496379763433627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-1.8032585202533785E-2</v>
      </c>
      <c r="H662" t="s">
        <v>25</v>
      </c>
      <c r="I662">
        <f>VLOOKUP(Table4[[#This Row],[Visitor]],'NHL Model'!$A$6:$B$38,2,FALSE)</f>
        <v>0.42515174825138019</v>
      </c>
      <c r="J662">
        <f>($B$1+Table4[[#This Row],[Home Differential]])-Table4[[#This Row],[Away Differential]]</f>
        <v>-0.30564094448149759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0.45366907416460484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-1.0952038865534519</v>
      </c>
      <c r="H663" t="s">
        <v>32</v>
      </c>
      <c r="I663">
        <f>VLOOKUP(Table4[[#This Row],[Visitor]],'NHL Model'!$A$6:$B$38,2,FALSE)</f>
        <v>-0.45007023285116615</v>
      </c>
      <c r="J663">
        <f>($B$1+Table4[[#This Row],[Home Differential]])-Table4[[#This Row],[Away Differential]]</f>
        <v>-0.50759026472986934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0.52770149135337907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-0.36134162888396865</v>
      </c>
      <c r="H664" t="s">
        <v>34</v>
      </c>
      <c r="I664">
        <f>VLOOKUP(Table4[[#This Row],[Visitor]],'NHL Model'!$A$6:$B$38,2,FALSE)</f>
        <v>-0.16358905079701039</v>
      </c>
      <c r="J664">
        <f>($B$1+Table4[[#This Row],[Home Differential]])-Table4[[#This Row],[Away Differential]]</f>
        <v>-6.02091891145419E-2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0.48879982587609599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-0.49835870184734621</v>
      </c>
      <c r="H665" t="s">
        <v>55</v>
      </c>
      <c r="I665">
        <f>VLOOKUP(Table4[[#This Row],[Visitor]],'NHL Model'!$A$6:$B$38,2,FALSE)</f>
        <v>-0.30969050963205513</v>
      </c>
      <c r="J665">
        <f>($B$1+Table4[[#This Row],[Home Differential]])-Table4[[#This Row],[Away Differential]]</f>
        <v>-5.1124803242874717E-2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0.46681893579368133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-0.31751962084606655</v>
      </c>
      <c r="H666" t="s">
        <v>26</v>
      </c>
      <c r="I666">
        <f>VLOOKUP(Table4[[#This Row],[Visitor]],'NHL Model'!$A$6:$B$38,2,FALSE)</f>
        <v>-0.66335717753705836</v>
      </c>
      <c r="J666">
        <f>($B$1+Table4[[#This Row],[Home Differential]])-Table4[[#This Row],[Away Differential]]</f>
        <v>0.48338094566340817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0.55988533925020456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6.4811420118814619E-2</v>
      </c>
      <c r="H667" t="s">
        <v>31</v>
      </c>
      <c r="I667">
        <f>VLOOKUP(Table4[[#This Row],[Visitor]],'NHL Model'!$A$6:$B$38,2,FALSE)</f>
        <v>0.34329638981067145</v>
      </c>
      <c r="J667">
        <f>($B$1+Table4[[#This Row],[Home Differential]])-Table4[[#This Row],[Away Differential]]</f>
        <v>-0.14094158071944046</v>
      </c>
      <c r="K667" t="str">
        <f>IF(Table4[[#This Row],[HomeIce Differential]]&gt;0,Table4[[#This Row],[Home]],Table4[[#This Row],[Visitor]])</f>
        <v>Anaheim Ducks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0.49956776941631614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-0.51535072045188635</v>
      </c>
      <c r="H668" t="s">
        <v>38</v>
      </c>
      <c r="I668">
        <f>VLOOKUP(Table4[[#This Row],[Visitor]],'NHL Model'!$A$6:$B$38,2,FALSE)</f>
        <v>-1.1236485959014608</v>
      </c>
      <c r="J668">
        <f>($B$1+Table4[[#This Row],[Home Differential]])-Table4[[#This Row],[Away Differential]]</f>
        <v>0.74584126442199083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0.63281232145208899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0.42515174825138019</v>
      </c>
      <c r="H669" t="s">
        <v>39</v>
      </c>
      <c r="I669">
        <f>VLOOKUP(Table4[[#This Row],[Visitor]],'NHL Model'!$A$6:$B$38,2,FALSE)</f>
        <v>4.3828122498436855E-3</v>
      </c>
      <c r="J669">
        <f>($B$1+Table4[[#This Row],[Home Differential]])-Table4[[#This Row],[Away Differential]]</f>
        <v>0.55831232497395278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0.58609461697526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-0.87263145033954281</v>
      </c>
      <c r="H670" t="s">
        <v>29</v>
      </c>
      <c r="I670">
        <f>VLOOKUP(Table4[[#This Row],[Visitor]],'NHL Model'!$A$6:$B$38,2,FALSE)</f>
        <v>-1.4957350924899622</v>
      </c>
      <c r="J670">
        <f>($B$1+Table4[[#This Row],[Home Differential]])-Table4[[#This Row],[Away Differential]]</f>
        <v>0.76064703112283572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0.67749062144267724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3.838472305373858E-3</v>
      </c>
      <c r="H671" t="s">
        <v>24</v>
      </c>
      <c r="I671">
        <f>VLOOKUP(Table4[[#This Row],[Visitor]],'NHL Model'!$A$6:$B$38,2,FALSE)</f>
        <v>-1.8032585202533785E-2</v>
      </c>
      <c r="J671">
        <f>($B$1+Table4[[#This Row],[Home Differential]])-Table4[[#This Row],[Away Differential]]</f>
        <v>0.15941444648032399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0.56043292370787678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-0.42203126246971279</v>
      </c>
      <c r="H672" t="s">
        <v>31</v>
      </c>
      <c r="I672">
        <f>VLOOKUP(Table4[[#This Row],[Visitor]],'NHL Model'!$A$6:$B$38,2,FALSE)</f>
        <v>0.34329638981067145</v>
      </c>
      <c r="J672">
        <f>($B$1+Table4[[#This Row],[Home Differential]])-Table4[[#This Row],[Away Differential]]</f>
        <v>-0.62778426330796788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0.53200861627525553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-0.45007023285116615</v>
      </c>
      <c r="H673" t="s">
        <v>21</v>
      </c>
      <c r="I673">
        <f>VLOOKUP(Table4[[#This Row],[Visitor]],'NHL Model'!$A$6:$B$38,2,FALSE)</f>
        <v>-0.14464931395309213</v>
      </c>
      <c r="J673">
        <f>($B$1+Table4[[#This Row],[Home Differential]])-Table4[[#This Row],[Away Differential]]</f>
        <v>-0.16787752992565766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0.45635347204130178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-0.36178381286707545</v>
      </c>
      <c r="H674" t="s">
        <v>28</v>
      </c>
      <c r="I674">
        <f>VLOOKUP(Table4[[#This Row],[Visitor]],'NHL Model'!$A$6:$B$38,2,FALSE)</f>
        <v>-0.59418600019583889</v>
      </c>
      <c r="J674">
        <f>($B$1+Table4[[#This Row],[Home Differential]])-Table4[[#This Row],[Away Differential]]</f>
        <v>0.3699455763011798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0.58851319327878582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7.1667377873261273E-2</v>
      </c>
      <c r="H675" t="s">
        <v>12</v>
      </c>
      <c r="I675">
        <f>VLOOKUP(Table4[[#This Row],[Visitor]],'NHL Model'!$A$6:$B$38,2,FALSE)</f>
        <v>1.4458345276269271</v>
      </c>
      <c r="J675">
        <f>($B$1+Table4[[#This Row],[Home Differential]])-Table4[[#This Row],[Away Differential]]</f>
        <v>-1.2366237607812494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0.71493868906739144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-0.93520311342823803</v>
      </c>
      <c r="H676" t="s">
        <v>11</v>
      </c>
      <c r="I676">
        <f>VLOOKUP(Table4[[#This Row],[Visitor]],'NHL Model'!$A$6:$B$38,2,FALSE)</f>
        <v>-0.37836939589441088</v>
      </c>
      <c r="J676">
        <f>($B$1+Table4[[#This Row],[Home Differential]])-Table4[[#This Row],[Away Differential]]</f>
        <v>-0.4192903285614108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0.51592420210967338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-6.0247860940930854E-2</v>
      </c>
      <c r="H677" t="s">
        <v>20</v>
      </c>
      <c r="I677">
        <f>VLOOKUP(Table4[[#This Row],[Visitor]],'NHL Model'!$A$6:$B$38,2,FALSE)</f>
        <v>0.12073374225454764</v>
      </c>
      <c r="J677">
        <f>($B$1+Table4[[#This Row],[Home Differential]])-Table4[[#This Row],[Away Differential]]</f>
        <v>-4.3438214223062127E-2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0.48405458171648164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-0.15263505358797036</v>
      </c>
      <c r="H678" t="s">
        <v>35</v>
      </c>
      <c r="I678">
        <f>VLOOKUP(Table4[[#This Row],[Visitor]],'NHL Model'!$A$6:$B$38,2,FALSE)</f>
        <v>-1.5569791149906038</v>
      </c>
      <c r="J678">
        <f>($B$1+Table4[[#This Row],[Home Differential]])-Table4[[#This Row],[Away Differential]]</f>
        <v>1.5418874503750497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0.74565421983615787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-0.36134162888396865</v>
      </c>
      <c r="H679" t="s">
        <v>33</v>
      </c>
      <c r="I679">
        <f>VLOOKUP(Table4[[#This Row],[Visitor]],'NHL Model'!$A$6:$B$38,2,FALSE)</f>
        <v>-0.36178381286707545</v>
      </c>
      <c r="J679">
        <f>($B$1+Table4[[#This Row],[Home Differential]])-Table4[[#This Row],[Away Differential]]</f>
        <v>0.13798557295552316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0.55840427156204619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-0.74754136228530599</v>
      </c>
      <c r="H680" t="s">
        <v>16</v>
      </c>
      <c r="I680">
        <f>VLOOKUP(Table4[[#This Row],[Visitor]],'NHL Model'!$A$6:$B$38,2,FALSE)</f>
        <v>-1.0952038865534519</v>
      </c>
      <c r="J680">
        <f>($B$1+Table4[[#This Row],[Home Differential]])-Table4[[#This Row],[Away Differential]]</f>
        <v>0.48520591324056228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0.60471590615975679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-0.30969050963205513</v>
      </c>
      <c r="H681" t="s">
        <v>36</v>
      </c>
      <c r="I681">
        <f>VLOOKUP(Table4[[#This Row],[Visitor]],'NHL Model'!$A$6:$B$38,2,FALSE)</f>
        <v>-0.31751962084606655</v>
      </c>
      <c r="J681">
        <f>($B$1+Table4[[#This Row],[Home Differential]])-Table4[[#This Row],[Away Differential]]</f>
        <v>0.14537250018642778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0.59081809827386722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6.4811420118814619E-2</v>
      </c>
      <c r="H682" t="s">
        <v>39</v>
      </c>
      <c r="I682">
        <f>VLOOKUP(Table4[[#This Row],[Visitor]],'NHL Model'!$A$6:$B$38,2,FALSE)</f>
        <v>4.3828122498436855E-3</v>
      </c>
      <c r="J682">
        <f>($B$1+Table4[[#This Row],[Home Differential]])-Table4[[#This Row],[Away Differential]]</f>
        <v>0.1979719968413873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0.48544688570334321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-0.14464931395309213</v>
      </c>
      <c r="H683" t="s">
        <v>16</v>
      </c>
      <c r="I683">
        <f>VLOOKUP(Table4[[#This Row],[Visitor]],'NHL Model'!$A$6:$B$38,2,FALSE)</f>
        <v>-1.0952038865534519</v>
      </c>
      <c r="J683">
        <f>($B$1+Table4[[#This Row],[Home Differential]])-Table4[[#This Row],[Away Differential]]</f>
        <v>1.0880979615727762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0.73684455710950547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0.42515174825138019</v>
      </c>
      <c r="H684" t="s">
        <v>31</v>
      </c>
      <c r="I684">
        <f>VLOOKUP(Table4[[#This Row],[Visitor]],'NHL Model'!$A$6:$B$38,2,FALSE)</f>
        <v>0.34329638981067145</v>
      </c>
      <c r="J684">
        <f>($B$1+Table4[[#This Row],[Home Differential]])-Table4[[#This Row],[Away Differential]]</f>
        <v>0.21939874741312504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0.60069158814311929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1.4458345276269271</v>
      </c>
      <c r="H685" t="s">
        <v>36</v>
      </c>
      <c r="I685">
        <f>VLOOKUP(Table4[[#This Row],[Visitor]],'NHL Model'!$A$6:$B$38,2,FALSE)</f>
        <v>-0.31751962084606655</v>
      </c>
      <c r="J685">
        <f>($B$1+Table4[[#This Row],[Home Differential]])-Table4[[#This Row],[Away Differential]]</f>
        <v>1.90089753744541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0.86892296538332636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-0.66335717753705836</v>
      </c>
      <c r="H686" t="s">
        <v>38</v>
      </c>
      <c r="I686">
        <f>VLOOKUP(Table4[[#This Row],[Visitor]],'NHL Model'!$A$6:$B$38,2,FALSE)</f>
        <v>-1.1236485959014608</v>
      </c>
      <c r="J686">
        <f>($B$1+Table4[[#This Row],[Home Differential]])-Table4[[#This Row],[Away Differential]]</f>
        <v>0.59783480733681882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0.63146228669399862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-0.74754136228530599</v>
      </c>
      <c r="H687" t="s">
        <v>11</v>
      </c>
      <c r="I687">
        <f>VLOOKUP(Table4[[#This Row],[Visitor]],'NHL Model'!$A$6:$B$38,2,FALSE)</f>
        <v>-0.37836939589441088</v>
      </c>
      <c r="J687">
        <f>($B$1+Table4[[#This Row],[Home Differential]])-Table4[[#This Row],[Away Differential]]</f>
        <v>-0.23162857741847875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0.49089420980057236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-1.4957350924899622</v>
      </c>
      <c r="H688" t="s">
        <v>30</v>
      </c>
      <c r="I688">
        <f>VLOOKUP(Table4[[#This Row],[Visitor]],'NHL Model'!$A$6:$B$38,2,FALSE)</f>
        <v>3.838472305373858E-3</v>
      </c>
      <c r="J688">
        <f>($B$1+Table4[[#This Row],[Home Differential]])-Table4[[#This Row],[Away Differential]]</f>
        <v>-1.3620301758229196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0.71428834391295237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-0.49835870184734621</v>
      </c>
      <c r="H689" t="s">
        <v>23</v>
      </c>
      <c r="I689">
        <f>VLOOKUP(Table4[[#This Row],[Visitor]],'NHL Model'!$A$6:$B$38,2,FALSE)</f>
        <v>-0.51535072045188635</v>
      </c>
      <c r="J689">
        <f>($B$1+Table4[[#This Row],[Home Differential]])-Table4[[#This Row],[Away Differential]]</f>
        <v>0.1545354075769565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0.56061165921972533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-0.42203126246971279</v>
      </c>
      <c r="H690" t="s">
        <v>19</v>
      </c>
      <c r="I690">
        <f>VLOOKUP(Table4[[#This Row],[Visitor]],'NHL Model'!$A$6:$B$38,2,FALSE)</f>
        <v>-0.93520311342823803</v>
      </c>
      <c r="J690">
        <f>($B$1+Table4[[#This Row],[Home Differential]])-Table4[[#This Row],[Away Differential]]</f>
        <v>0.6507152399309416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0.65903731310131175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-0.2090057419115289</v>
      </c>
      <c r="H691" t="s">
        <v>24</v>
      </c>
      <c r="I691">
        <f>VLOOKUP(Table4[[#This Row],[Visitor]],'NHL Model'!$A$6:$B$38,2,FALSE)</f>
        <v>-1.8032585202533785E-2</v>
      </c>
      <c r="J691">
        <f>($B$1+Table4[[#This Row],[Home Differential]])-Table4[[#This Row],[Away Differential]]</f>
        <v>-5.3429767736578759E-2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0.46795586096688652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-0.45007023285116615</v>
      </c>
      <c r="H692" t="s">
        <v>34</v>
      </c>
      <c r="I692">
        <f>VLOOKUP(Table4[[#This Row],[Visitor]],'NHL Model'!$A$6:$B$38,2,FALSE)</f>
        <v>-0.16358905079701039</v>
      </c>
      <c r="J692">
        <f>($B$1+Table4[[#This Row],[Home Differential]])-Table4[[#This Row],[Away Differential]]</f>
        <v>-0.14893779308173941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0.47441051384851446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0.12073374225454764</v>
      </c>
      <c r="H693" t="s">
        <v>28</v>
      </c>
      <c r="I693">
        <f>VLOOKUP(Table4[[#This Row],[Visitor]],'NHL Model'!$A$6:$B$38,2,FALSE)</f>
        <v>-0.59418600019583889</v>
      </c>
      <c r="J693">
        <f>($B$1+Table4[[#This Row],[Home Differential]])-Table4[[#This Row],[Away Differential]]</f>
        <v>0.85246313142280283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0.65287053098955738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-6.0247860940930854E-2</v>
      </c>
      <c r="H694" t="s">
        <v>17</v>
      </c>
      <c r="I694">
        <f>VLOOKUP(Table4[[#This Row],[Visitor]],'NHL Model'!$A$6:$B$38,2,FALSE)</f>
        <v>-0.87263145033954281</v>
      </c>
      <c r="J694">
        <f>($B$1+Table4[[#This Row],[Home Differential]])-Table4[[#This Row],[Away Differential]]</f>
        <v>0.94992697837102835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0.66919505872987139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-0.15263505358797036</v>
      </c>
      <c r="H695" t="s">
        <v>22</v>
      </c>
      <c r="I695">
        <f>VLOOKUP(Table4[[#This Row],[Visitor]],'NHL Model'!$A$6:$B$38,2,FALSE)</f>
        <v>6.4811420118814619E-2</v>
      </c>
      <c r="J695">
        <f>($B$1+Table4[[#This Row],[Home Differential]])-Table4[[#This Row],[Away Differential]]</f>
        <v>-7.9903084734368621E-2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0.49142656282647779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-0.30969050963205513</v>
      </c>
      <c r="H696" t="s">
        <v>35</v>
      </c>
      <c r="I696">
        <f>VLOOKUP(Table4[[#This Row],[Visitor]],'NHL Model'!$A$6:$B$38,2,FALSE)</f>
        <v>-1.5569791149906038</v>
      </c>
      <c r="J696">
        <f>($B$1+Table4[[#This Row],[Home Differential]])-Table4[[#This Row],[Away Differential]]</f>
        <v>1.384831994330965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0.77642241734235107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-6.0247860940930854E-2</v>
      </c>
      <c r="H697" t="s">
        <v>13</v>
      </c>
      <c r="I697">
        <f>VLOOKUP(Table4[[#This Row],[Visitor]],'NHL Model'!$A$6:$B$38,2,FALSE)</f>
        <v>-0.36134162888396865</v>
      </c>
      <c r="J697">
        <f>($B$1+Table4[[#This Row],[Home Differential]])-Table4[[#This Row],[Away Differential]]</f>
        <v>0.43863715691545413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0.51752104128488663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-0.14464931395309213</v>
      </c>
      <c r="H698" t="s">
        <v>15</v>
      </c>
      <c r="I698">
        <f>VLOOKUP(Table4[[#This Row],[Visitor]],'NHL Model'!$A$6:$B$38,2,FALSE)</f>
        <v>-0.49835870184734621</v>
      </c>
      <c r="J698">
        <f>($B$1+Table4[[#This Row],[Home Differential]])-Table4[[#This Row],[Away Differential]]</f>
        <v>0.49125277686667046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0.57461333522148494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-0.51535072045188635</v>
      </c>
      <c r="H699" t="s">
        <v>31</v>
      </c>
      <c r="I699">
        <f>VLOOKUP(Table4[[#This Row],[Visitor]],'NHL Model'!$A$6:$B$38,2,FALSE)</f>
        <v>0.34329638981067145</v>
      </c>
      <c r="J699">
        <f>($B$1+Table4[[#This Row],[Home Differential]])-Table4[[#This Row],[Away Differential]]</f>
        <v>-0.72110372129014144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0.56284620505437588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0.42515174825138019</v>
      </c>
      <c r="H700" t="s">
        <v>32</v>
      </c>
      <c r="I700">
        <f>VLOOKUP(Table4[[#This Row],[Visitor]],'NHL Model'!$A$6:$B$38,2,FALSE)</f>
        <v>-0.45007023285116615</v>
      </c>
      <c r="J700">
        <f>($B$1+Table4[[#This Row],[Home Differential]])-Table4[[#This Row],[Away Differential]]</f>
        <v>1.0127653700749626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0.72679682935288459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1.4458345276269271</v>
      </c>
      <c r="H701" t="s">
        <v>28</v>
      </c>
      <c r="I701">
        <f>VLOOKUP(Table4[[#This Row],[Visitor]],'NHL Model'!$A$6:$B$38,2,FALSE)</f>
        <v>-0.59418600019583889</v>
      </c>
      <c r="J701">
        <f>($B$1+Table4[[#This Row],[Home Differential]])-Table4[[#This Row],[Away Differential]]</f>
        <v>2.1775639167951826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0.92458596359209344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-0.87263145033954281</v>
      </c>
      <c r="H702" t="s">
        <v>13</v>
      </c>
      <c r="I702">
        <f>VLOOKUP(Table4[[#This Row],[Visitor]],'NHL Model'!$A$6:$B$38,2,FALSE)</f>
        <v>-0.36134162888396865</v>
      </c>
      <c r="J702">
        <f>($B$1+Table4[[#This Row],[Home Differential]])-Table4[[#This Row],[Away Differential]]</f>
        <v>-0.37374643248315781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0.55689189135959227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-0.16358905079701039</v>
      </c>
      <c r="H703" t="s">
        <v>30</v>
      </c>
      <c r="I703">
        <f>VLOOKUP(Table4[[#This Row],[Visitor]],'NHL Model'!$A$6:$B$38,2,FALSE)</f>
        <v>3.838472305373858E-3</v>
      </c>
      <c r="J703">
        <f>($B$1+Table4[[#This Row],[Home Differential]])-Table4[[#This Row],[Away Differential]]</f>
        <v>-2.9884134129967887E-2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0.53660906203958914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-0.74754136228530599</v>
      </c>
      <c r="H704" t="s">
        <v>26</v>
      </c>
      <c r="I704">
        <f>VLOOKUP(Table4[[#This Row],[Visitor]],'NHL Model'!$A$6:$B$38,2,FALSE)</f>
        <v>-0.66335717753705836</v>
      </c>
      <c r="J704">
        <f>($B$1+Table4[[#This Row],[Home Differential]])-Table4[[#This Row],[Away Differential]]</f>
        <v>5.3359204224168733E-2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0.50001756476217218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-1.4957350924899622</v>
      </c>
      <c r="H705" t="s">
        <v>10</v>
      </c>
      <c r="I705">
        <f>VLOOKUP(Table4[[#This Row],[Visitor]],'NHL Model'!$A$6:$B$38,2,FALSE)</f>
        <v>-0.15263505358797036</v>
      </c>
      <c r="J705">
        <f>($B$1+Table4[[#This Row],[Home Differential]])-Table4[[#This Row],[Away Differential]]</f>
        <v>-1.2055566499295753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0.62079501279373717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-0.31751962084606655</v>
      </c>
      <c r="H706" t="s">
        <v>11</v>
      </c>
      <c r="I706">
        <f>VLOOKUP(Table4[[#This Row],[Visitor]],'NHL Model'!$A$6:$B$38,2,FALSE)</f>
        <v>-0.37836939589441088</v>
      </c>
      <c r="J706">
        <f>($B$1+Table4[[#This Row],[Home Differential]])-Table4[[#This Row],[Away Differential]]</f>
        <v>0.19839316402076068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0.56895680837437246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-0.42203126246971279</v>
      </c>
      <c r="H707" t="s">
        <v>37</v>
      </c>
      <c r="I707">
        <f>VLOOKUP(Table4[[#This Row],[Visitor]],'NHL Model'!$A$6:$B$38,2,FALSE)</f>
        <v>7.1667377873261273E-2</v>
      </c>
      <c r="J707">
        <f>($B$1+Table4[[#This Row],[Home Differential]])-Table4[[#This Row],[Away Differential]]</f>
        <v>-0.3561552513705577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0.54117424330435571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-0.2090057419115289</v>
      </c>
      <c r="H708" t="s">
        <v>16</v>
      </c>
      <c r="I708">
        <f>VLOOKUP(Table4[[#This Row],[Visitor]],'NHL Model'!$A$6:$B$38,2,FALSE)</f>
        <v>-1.0952038865534519</v>
      </c>
      <c r="J708">
        <f>($B$1+Table4[[#This Row],[Home Differential]])-Table4[[#This Row],[Away Differential]]</f>
        <v>1.0237415336143394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0.67654483429261825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-0.36178381286707545</v>
      </c>
      <c r="H709" t="s">
        <v>39</v>
      </c>
      <c r="I709">
        <f>VLOOKUP(Table4[[#This Row],[Visitor]],'NHL Model'!$A$6:$B$38,2,FALSE)</f>
        <v>4.3828122498436855E-3</v>
      </c>
      <c r="J709">
        <f>($B$1+Table4[[#This Row],[Home Differential]])-Table4[[#This Row],[Away Differential]]</f>
        <v>-0.22862323614450278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0.57145163163279411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-0.93520311342823803</v>
      </c>
      <c r="H710" t="s">
        <v>38</v>
      </c>
      <c r="I710">
        <f>VLOOKUP(Table4[[#This Row],[Visitor]],'NHL Model'!$A$6:$B$38,2,FALSE)</f>
        <v>-1.1236485959014608</v>
      </c>
      <c r="J710">
        <f>($B$1+Table4[[#This Row],[Home Differential]])-Table4[[#This Row],[Away Differential]]</f>
        <v>0.32598887144563915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0.56271058808273244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0.12073374225454764</v>
      </c>
      <c r="H711" t="s">
        <v>35</v>
      </c>
      <c r="I711">
        <f>VLOOKUP(Table4[[#This Row],[Visitor]],'NHL Model'!$A$6:$B$38,2,FALSE)</f>
        <v>-1.5569791149906038</v>
      </c>
      <c r="J711">
        <f>($B$1+Table4[[#This Row],[Home Differential]])-Table4[[#This Row],[Away Differential]]</f>
        <v>1.8152562462175679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0.78211566611284178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-0.14464931395309213</v>
      </c>
      <c r="H712" t="s">
        <v>14</v>
      </c>
      <c r="I712">
        <f>VLOOKUP(Table4[[#This Row],[Visitor]],'NHL Model'!$A$6:$B$38,2,FALSE)</f>
        <v>-0.2090057419115289</v>
      </c>
      <c r="J712">
        <f>($B$1+Table4[[#This Row],[Home Differential]])-Table4[[#This Row],[Away Differential]]</f>
        <v>0.20189981693085313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0.6186450166616897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-1.4957350924899622</v>
      </c>
      <c r="H713" t="s">
        <v>22</v>
      </c>
      <c r="I713">
        <f>VLOOKUP(Table4[[#This Row],[Visitor]],'NHL Model'!$A$6:$B$38,2,FALSE)</f>
        <v>6.4811420118814619E-2</v>
      </c>
      <c r="J713">
        <f>($B$1+Table4[[#This Row],[Home Differential]])-Table4[[#This Row],[Away Differential]]</f>
        <v>-1.4230031236363603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0.67056686946501731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-0.36178381286707545</v>
      </c>
      <c r="H714" t="s">
        <v>20</v>
      </c>
      <c r="I714">
        <f>VLOOKUP(Table4[[#This Row],[Visitor]],'NHL Model'!$A$6:$B$38,2,FALSE)</f>
        <v>0.12073374225454764</v>
      </c>
      <c r="J714">
        <f>($B$1+Table4[[#This Row],[Home Differential]])-Table4[[#This Row],[Away Differential]]</f>
        <v>-0.34497416614920673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0.52678127463519997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-0.30969050963205513</v>
      </c>
      <c r="H715" t="s">
        <v>28</v>
      </c>
      <c r="I715">
        <f>VLOOKUP(Table4[[#This Row],[Visitor]],'NHL Model'!$A$6:$B$38,2,FALSE)</f>
        <v>-0.59418600019583889</v>
      </c>
      <c r="J715">
        <f>($B$1+Table4[[#This Row],[Home Differential]])-Table4[[#This Row],[Away Differential]]</f>
        <v>0.42203887953620012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0.64719988988435428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-6.0247860940930854E-2</v>
      </c>
      <c r="H716" t="s">
        <v>24</v>
      </c>
      <c r="I716">
        <f>VLOOKUP(Table4[[#This Row],[Visitor]],'NHL Model'!$A$6:$B$38,2,FALSE)</f>
        <v>-1.8032585202533785E-2</v>
      </c>
      <c r="J716">
        <f>($B$1+Table4[[#This Row],[Home Differential]])-Table4[[#This Row],[Away Differential]]</f>
        <v>9.5328113234019296E-2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0.55438136173135921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-0.51535072045188635</v>
      </c>
      <c r="H717" t="s">
        <v>11</v>
      </c>
      <c r="I717">
        <f>VLOOKUP(Table4[[#This Row],[Visitor]],'NHL Model'!$A$6:$B$38,2,FALSE)</f>
        <v>-0.37836939589441088</v>
      </c>
      <c r="J717">
        <f>($B$1+Table4[[#This Row],[Home Differential]])-Table4[[#This Row],[Away Differential]]</f>
        <v>5.6206441494088821E-4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0.55409158765573419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-0.15263505358797036</v>
      </c>
      <c r="H718" t="s">
        <v>17</v>
      </c>
      <c r="I718">
        <f>VLOOKUP(Table4[[#This Row],[Visitor]],'NHL Model'!$A$6:$B$38,2,FALSE)</f>
        <v>-0.87263145033954281</v>
      </c>
      <c r="J718">
        <f>($B$1+Table4[[#This Row],[Home Differential]])-Table4[[#This Row],[Away Differential]]</f>
        <v>0.85753978572398881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0.65437713924491425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1.4458345276269271</v>
      </c>
      <c r="H719" t="s">
        <v>19</v>
      </c>
      <c r="I719">
        <f>VLOOKUP(Table4[[#This Row],[Visitor]],'NHL Model'!$A$6:$B$38,2,FALSE)</f>
        <v>-0.93520311342823803</v>
      </c>
      <c r="J719">
        <f>($B$1+Table4[[#This Row],[Home Differential]])-Table4[[#This Row],[Away Differential]]</f>
        <v>2.5185810300275815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0.97084451619905188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-0.66335717753705836</v>
      </c>
      <c r="H720" t="s">
        <v>25</v>
      </c>
      <c r="I720">
        <f>VLOOKUP(Table4[[#This Row],[Visitor]],'NHL Model'!$A$6:$B$38,2,FALSE)</f>
        <v>0.42515174825138019</v>
      </c>
      <c r="J720">
        <f>($B$1+Table4[[#This Row],[Home Differential]])-Table4[[#This Row],[Away Differential]]</f>
        <v>-0.95096553681602214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0.62683810061324607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-0.36134162888396865</v>
      </c>
      <c r="H721" t="s">
        <v>39</v>
      </c>
      <c r="I721">
        <f>VLOOKUP(Table4[[#This Row],[Visitor]],'NHL Model'!$A$6:$B$38,2,FALSE)</f>
        <v>4.3828122498436855E-3</v>
      </c>
      <c r="J721">
        <f>($B$1+Table4[[#This Row],[Home Differential]])-Table4[[#This Row],[Away Differential]]</f>
        <v>-0.22818105216139598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0.57139265391555039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-0.16358905079701039</v>
      </c>
      <c r="H722" t="s">
        <v>24</v>
      </c>
      <c r="I722">
        <f>VLOOKUP(Table4[[#This Row],[Visitor]],'NHL Model'!$A$6:$B$38,2,FALSE)</f>
        <v>-1.8032585202533785E-2</v>
      </c>
      <c r="J722">
        <f>($B$1+Table4[[#This Row],[Home Differential]])-Table4[[#This Row],[Away Differential]]</f>
        <v>-8.0130766220602445E-3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0.4618982630686585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-0.74754136228530599</v>
      </c>
      <c r="H723" t="s">
        <v>38</v>
      </c>
      <c r="I723">
        <f>VLOOKUP(Table4[[#This Row],[Visitor]],'NHL Model'!$A$6:$B$38,2,FALSE)</f>
        <v>-1.1236485959014608</v>
      </c>
      <c r="J723">
        <f>($B$1+Table4[[#This Row],[Home Differential]])-Table4[[#This Row],[Away Differential]]</f>
        <v>0.51365062258857119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0.58774058039183341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-0.49835870184734621</v>
      </c>
      <c r="H724" t="s">
        <v>32</v>
      </c>
      <c r="I724">
        <f>VLOOKUP(Table4[[#This Row],[Visitor]],'NHL Model'!$A$6:$B$38,2,FALSE)</f>
        <v>-0.45007023285116615</v>
      </c>
      <c r="J724">
        <f>($B$1+Table4[[#This Row],[Home Differential]])-Table4[[#This Row],[Away Differential]]</f>
        <v>8.9254919976236302E-2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0.55190466329418975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-0.42203126246971279</v>
      </c>
      <c r="H725" t="s">
        <v>37</v>
      </c>
      <c r="I725">
        <f>VLOOKUP(Table4[[#This Row],[Visitor]],'NHL Model'!$A$6:$B$38,2,FALSE)</f>
        <v>7.1667377873261273E-2</v>
      </c>
      <c r="J725">
        <f>($B$1+Table4[[#This Row],[Home Differential]])-Table4[[#This Row],[Away Differential]]</f>
        <v>-0.3561552513705577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0.54117424330435571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0.34329638981067145</v>
      </c>
      <c r="H726" t="s">
        <v>39</v>
      </c>
      <c r="I726">
        <f>VLOOKUP(Table4[[#This Row],[Visitor]],'NHL Model'!$A$6:$B$38,2,FALSE)</f>
        <v>4.3828122498436855E-3</v>
      </c>
      <c r="J726">
        <f>($B$1+Table4[[#This Row],[Home Differential]])-Table4[[#This Row],[Away Differential]]</f>
        <v>0.47645696653324415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0.62051101244522611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-0.14464931395309213</v>
      </c>
      <c r="H727" t="s">
        <v>26</v>
      </c>
      <c r="I727">
        <f>VLOOKUP(Table4[[#This Row],[Visitor]],'NHL Model'!$A$6:$B$38,2,FALSE)</f>
        <v>-0.66335717753705836</v>
      </c>
      <c r="J727">
        <f>($B$1+Table4[[#This Row],[Home Differential]])-Table4[[#This Row],[Away Differential]]</f>
        <v>0.65625125255638261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0.6329841763158357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-0.59418600019583889</v>
      </c>
      <c r="H728" t="s">
        <v>16</v>
      </c>
      <c r="I728">
        <f>VLOOKUP(Table4[[#This Row],[Visitor]],'NHL Model'!$A$6:$B$38,2,FALSE)</f>
        <v>-1.0952038865534519</v>
      </c>
      <c r="J728">
        <f>($B$1+Table4[[#This Row],[Home Differential]])-Table4[[#This Row],[Away Differential]]</f>
        <v>0.63856127533002938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0.63221612486035017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-1.4957350924899622</v>
      </c>
      <c r="H729" t="s">
        <v>17</v>
      </c>
      <c r="I729">
        <f>VLOOKUP(Table4[[#This Row],[Visitor]],'NHL Model'!$A$6:$B$38,2,FALSE)</f>
        <v>-0.87263145033954281</v>
      </c>
      <c r="J729">
        <f>($B$1+Table4[[#This Row],[Home Differential]])-Table4[[#This Row],[Away Differential]]</f>
        <v>-0.48556025317800289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0.52476316739362527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-0.31751962084606655</v>
      </c>
      <c r="H730" t="s">
        <v>38</v>
      </c>
      <c r="I730">
        <f>VLOOKUP(Table4[[#This Row],[Visitor]],'NHL Model'!$A$6:$B$38,2,FALSE)</f>
        <v>-1.1236485959014608</v>
      </c>
      <c r="J730">
        <f>($B$1+Table4[[#This Row],[Home Differential]])-Table4[[#This Row],[Away Differential]]</f>
        <v>0.94367236402781063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0.64760448056645159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-0.2090057419115289</v>
      </c>
      <c r="H731" t="s">
        <v>37</v>
      </c>
      <c r="I731">
        <f>VLOOKUP(Table4[[#This Row],[Visitor]],'NHL Model'!$A$6:$B$38,2,FALSE)</f>
        <v>7.1667377873261273E-2</v>
      </c>
      <c r="J731">
        <f>($B$1+Table4[[#This Row],[Home Differential]])-Table4[[#This Row],[Away Differential]]</f>
        <v>-0.14312973081237382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0.54540617970833982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-1.5569791149906038</v>
      </c>
      <c r="H732" t="s">
        <v>25</v>
      </c>
      <c r="I732">
        <f>VLOOKUP(Table4[[#This Row],[Visitor]],'NHL Model'!$A$6:$B$38,2,FALSE)</f>
        <v>0.42515174825138019</v>
      </c>
      <c r="J732">
        <f>($B$1+Table4[[#This Row],[Home Differential]])-Table4[[#This Row],[Away Differential]]</f>
        <v>-1.8445874742695676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0.77865098251809195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-0.30969050963205513</v>
      </c>
      <c r="H733" t="s">
        <v>19</v>
      </c>
      <c r="I733">
        <f>VLOOKUP(Table4[[#This Row],[Visitor]],'NHL Model'!$A$6:$B$38,2,FALSE)</f>
        <v>-0.93520311342823803</v>
      </c>
      <c r="J733">
        <f>($B$1+Table4[[#This Row],[Home Differential]])-Table4[[#This Row],[Away Differential]]</f>
        <v>0.76305599276859926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0.6934910344563624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-6.0247860940930854E-2</v>
      </c>
      <c r="H734" t="s">
        <v>30</v>
      </c>
      <c r="I734">
        <f>VLOOKUP(Table4[[#This Row],[Visitor]],'NHL Model'!$A$6:$B$38,2,FALSE)</f>
        <v>3.838472305373858E-3</v>
      </c>
      <c r="J734">
        <f>($B$1+Table4[[#This Row],[Home Differential]])-Table4[[#This Row],[Away Differential]]</f>
        <v>7.345705572611165E-2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0.47967709018634974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6.4811420118814619E-2</v>
      </c>
      <c r="H735" t="s">
        <v>18</v>
      </c>
      <c r="I735">
        <f>VLOOKUP(Table4[[#This Row],[Visitor]],'NHL Model'!$A$6:$B$38,2,FALSE)</f>
        <v>-0.74754136228530599</v>
      </c>
      <c r="J735">
        <f>($B$1+Table4[[#This Row],[Home Differential]])-Table4[[#This Row],[Away Differential]]</f>
        <v>0.94989617137653704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0.61959607906238745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-0.51535072045188635</v>
      </c>
      <c r="H736" t="s">
        <v>27</v>
      </c>
      <c r="I736">
        <f>VLOOKUP(Table4[[#This Row],[Visitor]],'NHL Model'!$A$6:$B$38,2,FALSE)</f>
        <v>-0.42203126246971279</v>
      </c>
      <c r="J736">
        <f>($B$1+Table4[[#This Row],[Home Differential]])-Table4[[#This Row],[Away Differential]]</f>
        <v>4.4223930990242799E-2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0.55991513016199812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-0.36134162888396865</v>
      </c>
      <c r="H737" t="s">
        <v>20</v>
      </c>
      <c r="I737">
        <f>VLOOKUP(Table4[[#This Row],[Visitor]],'NHL Model'!$A$6:$B$38,2,FALSE)</f>
        <v>0.12073374225454764</v>
      </c>
      <c r="J737">
        <f>($B$1+Table4[[#This Row],[Home Differential]])-Table4[[#This Row],[Away Differential]]</f>
        <v>-0.34453198216609993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0.52672229691795625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-1.8032585202533785E-2</v>
      </c>
      <c r="H738" t="s">
        <v>32</v>
      </c>
      <c r="I738">
        <f>VLOOKUP(Table4[[#This Row],[Visitor]],'NHL Model'!$A$6:$B$38,2,FALSE)</f>
        <v>-0.45007023285116615</v>
      </c>
      <c r="J738">
        <f>($B$1+Table4[[#This Row],[Home Differential]])-Table4[[#This Row],[Away Differential]]</f>
        <v>0.56958103662104875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0.73140042242905501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-0.49835870184734621</v>
      </c>
      <c r="H739" t="s">
        <v>36</v>
      </c>
      <c r="I739">
        <f>VLOOKUP(Table4[[#This Row],[Visitor]],'NHL Model'!$A$6:$B$38,2,FALSE)</f>
        <v>-0.31751962084606655</v>
      </c>
      <c r="J739">
        <f>($B$1+Table4[[#This Row],[Home Differential]])-Table4[[#This Row],[Away Differential]]</f>
        <v>-4.3295692028863297E-2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0.48654393356241882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-0.14464931395309213</v>
      </c>
      <c r="H740" t="s">
        <v>32</v>
      </c>
      <c r="I740">
        <f>VLOOKUP(Table4[[#This Row],[Visitor]],'NHL Model'!$A$6:$B$38,2,FALSE)</f>
        <v>-0.45007023285116615</v>
      </c>
      <c r="J740">
        <f>($B$1+Table4[[#This Row],[Home Differential]])-Table4[[#This Row],[Away Differential]]</f>
        <v>0.44296430787049035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0.65079777191132404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-0.51535072045188635</v>
      </c>
      <c r="H741" t="s">
        <v>18</v>
      </c>
      <c r="I741">
        <f>VLOOKUP(Table4[[#This Row],[Visitor]],'NHL Model'!$A$6:$B$38,2,FALSE)</f>
        <v>-0.74754136228530599</v>
      </c>
      <c r="J741">
        <f>($B$1+Table4[[#This Row],[Home Differential]])-Table4[[#This Row],[Away Differential]]</f>
        <v>0.369734030805836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0.5563567243236206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-0.59418600019583889</v>
      </c>
      <c r="H742" t="s">
        <v>38</v>
      </c>
      <c r="I742">
        <f>VLOOKUP(Table4[[#This Row],[Visitor]],'NHL Model'!$A$6:$B$38,2,FALSE)</f>
        <v>-1.1236485959014608</v>
      </c>
      <c r="J742">
        <f>($B$1+Table4[[#This Row],[Home Differential]])-Table4[[#This Row],[Away Differential]]</f>
        <v>0.66700598467803829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0.61527986747538543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-0.15263505358797036</v>
      </c>
      <c r="H743" t="s">
        <v>16</v>
      </c>
      <c r="I743">
        <f>VLOOKUP(Table4[[#This Row],[Visitor]],'NHL Model'!$A$6:$B$38,2,FALSE)</f>
        <v>-1.0952038865534519</v>
      </c>
      <c r="J743">
        <f>($B$1+Table4[[#This Row],[Home Differential]])-Table4[[#This Row],[Away Differential]]</f>
        <v>1.080112221937898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0.68406345695602266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-0.87263145033954281</v>
      </c>
      <c r="H744" t="s">
        <v>30</v>
      </c>
      <c r="I744">
        <f>VLOOKUP(Table4[[#This Row],[Visitor]],'NHL Model'!$A$6:$B$38,2,FALSE)</f>
        <v>3.838472305373858E-3</v>
      </c>
      <c r="J744">
        <f>($B$1+Table4[[#This Row],[Home Differential]])-Table4[[#This Row],[Away Differential]]</f>
        <v>-0.73892653367250027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0.59468074457442033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-0.16358905079701039</v>
      </c>
      <c r="H745" t="s">
        <v>40</v>
      </c>
      <c r="I745">
        <f>VLOOKUP(Table4[[#This Row],[Visitor]],'NHL Model'!$A$6:$B$38,2,FALSE)</f>
        <v>-6.0247860940930854E-2</v>
      </c>
      <c r="J745">
        <f>($B$1+Table4[[#This Row],[Home Differential]])-Table4[[#This Row],[Away Differential]]</f>
        <v>3.4202199116336825E-2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0.47824603932532456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-0.2090057419115289</v>
      </c>
      <c r="H746" t="s">
        <v>27</v>
      </c>
      <c r="I746">
        <f>VLOOKUP(Table4[[#This Row],[Visitor]],'NHL Model'!$A$6:$B$38,2,FALSE)</f>
        <v>-0.42203126246971279</v>
      </c>
      <c r="J746">
        <f>($B$1+Table4[[#This Row],[Home Differential]])-Table4[[#This Row],[Away Differential]]</f>
        <v>0.35056890953060027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0.58675826083855309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-0.30969050963205513</v>
      </c>
      <c r="H747" t="s">
        <v>39</v>
      </c>
      <c r="I747">
        <f>VLOOKUP(Table4[[#This Row],[Visitor]],'NHL Model'!$A$6:$B$38,2,FALSE)</f>
        <v>4.3828122498436855E-3</v>
      </c>
      <c r="J747">
        <f>($B$1+Table4[[#This Row],[Home Differential]])-Table4[[#This Row],[Away Differential]]</f>
        <v>-0.17652993290948246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0.51191734311359038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0.12073374225454764</v>
      </c>
      <c r="H748" t="s">
        <v>19</v>
      </c>
      <c r="I748">
        <f>VLOOKUP(Table4[[#This Row],[Visitor]],'NHL Model'!$A$6:$B$38,2,FALSE)</f>
        <v>-0.93520311342823803</v>
      </c>
      <c r="J748">
        <f>($B$1+Table4[[#This Row],[Home Differential]])-Table4[[#This Row],[Away Differential]]</f>
        <v>1.193480244655202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0.69918428322685311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6.4811420118814619E-2</v>
      </c>
      <c r="H749" t="s">
        <v>33</v>
      </c>
      <c r="I749">
        <f>VLOOKUP(Table4[[#This Row],[Visitor]],'NHL Model'!$A$6:$B$38,2,FALSE)</f>
        <v>-0.36178381286707545</v>
      </c>
      <c r="J749">
        <f>($B$1+Table4[[#This Row],[Home Differential]])-Table4[[#This Row],[Away Differential]]</f>
        <v>0.56413862195830644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0.61524381118093974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0.42515174825138019</v>
      </c>
      <c r="H750" t="s">
        <v>11</v>
      </c>
      <c r="I750">
        <f>VLOOKUP(Table4[[#This Row],[Visitor]],'NHL Model'!$A$6:$B$38,2,FALSE)</f>
        <v>-0.37836939589441088</v>
      </c>
      <c r="J750">
        <f>($B$1+Table4[[#This Row],[Home Differential]])-Table4[[#This Row],[Away Differential]]</f>
        <v>0.94106453311820737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0.71723349859073704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1.4458345276269271</v>
      </c>
      <c r="H751" t="s">
        <v>29</v>
      </c>
      <c r="I751">
        <f>VLOOKUP(Table4[[#This Row],[Visitor]],'NHL Model'!$A$6:$B$38,2,FALSE)</f>
        <v>-1.4957350924899622</v>
      </c>
      <c r="J751">
        <f>($B$1+Table4[[#This Row],[Home Differential]])-Table4[[#This Row],[Away Differential]]</f>
        <v>3.0791130090893057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-0.66335717753705836</v>
      </c>
      <c r="H752" t="s">
        <v>33</v>
      </c>
      <c r="I752">
        <f>VLOOKUP(Table4[[#This Row],[Visitor]],'NHL Model'!$A$6:$B$38,2,FALSE)</f>
        <v>-0.36178381286707545</v>
      </c>
      <c r="J752">
        <f>($B$1+Table4[[#This Row],[Home Differential]])-Table4[[#This Row],[Away Differential]]</f>
        <v>-0.16402997569756655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0.44963196210717815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-0.36134162888396865</v>
      </c>
      <c r="H753" t="s">
        <v>31</v>
      </c>
      <c r="I753">
        <f>VLOOKUP(Table4[[#This Row],[Visitor]],'NHL Model'!$A$6:$B$38,2,FALSE)</f>
        <v>0.34329638981067145</v>
      </c>
      <c r="J753">
        <f>($B$1+Table4[[#This Row],[Home Differential]])-Table4[[#This Row],[Away Differential]]</f>
        <v>-0.56709462972222369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0.55640730903520963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-1.5569791149906038</v>
      </c>
      <c r="H754" t="s">
        <v>37</v>
      </c>
      <c r="I754">
        <f>VLOOKUP(Table4[[#This Row],[Visitor]],'NHL Model'!$A$6:$B$38,2,FALSE)</f>
        <v>7.1667377873261273E-2</v>
      </c>
      <c r="J754">
        <f>($B$1+Table4[[#This Row],[Home Differential]])-Table4[[#This Row],[Away Differential]]</f>
        <v>-1.4911031038914486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0.72519648303629092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0.34329638981067145</v>
      </c>
      <c r="H755" t="s">
        <v>13</v>
      </c>
      <c r="I755">
        <f>VLOOKUP(Table4[[#This Row],[Visitor]],'NHL Model'!$A$6:$B$38,2,FALSE)</f>
        <v>-0.36134162888396865</v>
      </c>
      <c r="J755">
        <f>($B$1+Table4[[#This Row],[Home Differential]])-Table4[[#This Row],[Away Differential]]</f>
        <v>0.8421814076670564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0.66678411150013817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-0.51535072045188635</v>
      </c>
      <c r="H756" t="s">
        <v>34</v>
      </c>
      <c r="I756">
        <f>VLOOKUP(Table4[[#This Row],[Visitor]],'NHL Model'!$A$6:$B$38,2,FALSE)</f>
        <v>-0.16358905079701039</v>
      </c>
      <c r="J756">
        <f>($B$1+Table4[[#This Row],[Home Differential]])-Table4[[#This Row],[Away Differential]]</f>
        <v>-0.2142182806824596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0.49523872189526225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-1.0952038865534519</v>
      </c>
      <c r="H757" t="s">
        <v>30</v>
      </c>
      <c r="I757">
        <f>VLOOKUP(Table4[[#This Row],[Visitor]],'NHL Model'!$A$6:$B$38,2,FALSE)</f>
        <v>3.838472305373858E-3</v>
      </c>
      <c r="J757">
        <f>($B$1+Table4[[#This Row],[Home Differential]])-Table4[[#This Row],[Away Differential]]</f>
        <v>-0.96149896988640937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0.66086620038563293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-0.15263505358797036</v>
      </c>
      <c r="H758" t="s">
        <v>21</v>
      </c>
      <c r="I758">
        <f>VLOOKUP(Table4[[#This Row],[Visitor]],'NHL Model'!$A$6:$B$38,2,FALSE)</f>
        <v>-0.14464931395309213</v>
      </c>
      <c r="J758">
        <f>($B$1+Table4[[#This Row],[Home Differential]])-Table4[[#This Row],[Away Differential]]</f>
        <v>0.12955764933753813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0.55728017002268038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-1.8032585202533785E-2</v>
      </c>
      <c r="H759" t="s">
        <v>25</v>
      </c>
      <c r="I759">
        <f>VLOOKUP(Table4[[#This Row],[Visitor]],'NHL Model'!$A$6:$B$38,2,FALSE)</f>
        <v>0.42515174825138019</v>
      </c>
      <c r="J759">
        <f>($B$1+Table4[[#This Row],[Home Differential]])-Table4[[#This Row],[Away Differential]]</f>
        <v>-0.30564094448149759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0.45366907416460484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-0.31751962084606655</v>
      </c>
      <c r="H760" t="s">
        <v>18</v>
      </c>
      <c r="I760">
        <f>VLOOKUP(Table4[[#This Row],[Visitor]],'NHL Model'!$A$6:$B$38,2,FALSE)</f>
        <v>-0.74754136228530599</v>
      </c>
      <c r="J760">
        <f>($B$1+Table4[[#This Row],[Home Differential]])-Table4[[#This Row],[Away Differential]]</f>
        <v>0.56756513041165579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0.57111367685210457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-0.42203126246971279</v>
      </c>
      <c r="H761" t="s">
        <v>15</v>
      </c>
      <c r="I761">
        <f>VLOOKUP(Table4[[#This Row],[Visitor]],'NHL Model'!$A$6:$B$38,2,FALSE)</f>
        <v>-0.49835870184734621</v>
      </c>
      <c r="J761">
        <f>($B$1+Table4[[#This Row],[Home Differential]])-Table4[[#This Row],[Away Differential]]</f>
        <v>0.21387082835004978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0.51760868208361321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-0.2090057419115289</v>
      </c>
      <c r="H762" t="s">
        <v>28</v>
      </c>
      <c r="I762">
        <f>VLOOKUP(Table4[[#This Row],[Visitor]],'NHL Model'!$A$6:$B$38,2,FALSE)</f>
        <v>-0.59418600019583889</v>
      </c>
      <c r="J762">
        <f>($B$1+Table4[[#This Row],[Home Differential]])-Table4[[#This Row],[Away Differential]]</f>
        <v>0.52272364725672638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0.60889046204946917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-0.30969050963205513</v>
      </c>
      <c r="H763" t="s">
        <v>32</v>
      </c>
      <c r="I763">
        <f>VLOOKUP(Table4[[#This Row],[Visitor]],'NHL Model'!$A$6:$B$38,2,FALSE)</f>
        <v>-0.45007023285116615</v>
      </c>
      <c r="J763">
        <f>($B$1+Table4[[#This Row],[Home Differential]])-Table4[[#This Row],[Away Differential]]</f>
        <v>0.27792311219152738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0.62878486926403432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-1.1236485959014608</v>
      </c>
      <c r="H764" t="s">
        <v>17</v>
      </c>
      <c r="I764">
        <f>VLOOKUP(Table4[[#This Row],[Visitor]],'NHL Model'!$A$6:$B$38,2,FALSE)</f>
        <v>-0.87263145033954281</v>
      </c>
      <c r="J764">
        <f>($B$1+Table4[[#This Row],[Home Differential]])-Table4[[#This Row],[Away Differential]]</f>
        <v>-0.11347375658950165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0.47513492886761333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0.12073374225454764</v>
      </c>
      <c r="H765" t="s">
        <v>29</v>
      </c>
      <c r="I765">
        <f>VLOOKUP(Table4[[#This Row],[Visitor]],'NHL Model'!$A$6:$B$38,2,FALSE)</f>
        <v>-1.4957350924899622</v>
      </c>
      <c r="J765">
        <f>($B$1+Table4[[#This Row],[Home Differential]])-Table4[[#This Row],[Away Differential]]</f>
        <v>1.7540122237169262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0.7739470467600259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-6.0247860940930854E-2</v>
      </c>
      <c r="H766" t="s">
        <v>19</v>
      </c>
      <c r="I766">
        <f>VLOOKUP(Table4[[#This Row],[Visitor]],'NHL Model'!$A$6:$B$38,2,FALSE)</f>
        <v>-0.93520311342823803</v>
      </c>
      <c r="J766">
        <f>($B$1+Table4[[#This Row],[Home Differential]])-Table4[[#This Row],[Away Differential]]</f>
        <v>1.0124986414597235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0.67754075643512635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6.4811420118814619E-2</v>
      </c>
      <c r="H767" t="s">
        <v>11</v>
      </c>
      <c r="I767">
        <f>VLOOKUP(Table4[[#This Row],[Visitor]],'NHL Model'!$A$6:$B$38,2,FALSE)</f>
        <v>-0.37836939589441088</v>
      </c>
      <c r="J767">
        <f>($B$1+Table4[[#This Row],[Home Differential]])-Table4[[#This Row],[Away Differential]]</f>
        <v>0.58072420498564181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0.61745596689774307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4.3828122498436855E-3</v>
      </c>
      <c r="H768" t="s">
        <v>37</v>
      </c>
      <c r="I768">
        <f>VLOOKUP(Table4[[#This Row],[Visitor]],'NHL Model'!$A$6:$B$38,2,FALSE)</f>
        <v>7.1667377873261273E-2</v>
      </c>
      <c r="J768">
        <f>($B$1+Table4[[#This Row],[Home Differential]])-Table4[[#This Row],[Away Differential]]</f>
        <v>7.0258823348998772E-2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0.48556147372919412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-0.66335717753705836</v>
      </c>
      <c r="H769" t="s">
        <v>36</v>
      </c>
      <c r="I769">
        <f>VLOOKUP(Table4[[#This Row],[Visitor]],'NHL Model'!$A$6:$B$38,2,FALSE)</f>
        <v>-0.31751962084606655</v>
      </c>
      <c r="J769">
        <f>($B$1+Table4[[#This Row],[Home Differential]])-Table4[[#This Row],[Away Differential]]</f>
        <v>-0.20829416771857545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0.47605776959286805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-0.87263145033954281</v>
      </c>
      <c r="H770" t="s">
        <v>35</v>
      </c>
      <c r="I770">
        <f>VLOOKUP(Table4[[#This Row],[Visitor]],'NHL Model'!$A$6:$B$38,2,FALSE)</f>
        <v>-1.5569791149906038</v>
      </c>
      <c r="J770">
        <f>($B$1+Table4[[#This Row],[Home Differential]])-Table4[[#This Row],[Away Differential]]</f>
        <v>0.82189105362347736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0.68565924079549312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0.34329638981067145</v>
      </c>
      <c r="H771" t="s">
        <v>15</v>
      </c>
      <c r="I771">
        <f>VLOOKUP(Table4[[#This Row],[Visitor]],'NHL Model'!$A$6:$B$38,2,FALSE)</f>
        <v>-0.49835870184734621</v>
      </c>
      <c r="J771">
        <f>($B$1+Table4[[#This Row],[Home Differential]])-Table4[[#This Row],[Away Differential]]</f>
        <v>0.97919848063043402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0.68505920624694561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0.42515174825138019</v>
      </c>
      <c r="H772" t="s">
        <v>23</v>
      </c>
      <c r="I772">
        <f>VLOOKUP(Table4[[#This Row],[Visitor]],'NHL Model'!$A$6:$B$38,2,FALSE)</f>
        <v>-0.51535072045188635</v>
      </c>
      <c r="J772">
        <f>($B$1+Table4[[#This Row],[Home Differential]])-Table4[[#This Row],[Away Differential]]</f>
        <v>1.0780458576756828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0.73550382527842029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-1.0952038865534519</v>
      </c>
      <c r="H773" t="s">
        <v>24</v>
      </c>
      <c r="I773">
        <f>VLOOKUP(Table4[[#This Row],[Visitor]],'NHL Model'!$A$6:$B$38,2,FALSE)</f>
        <v>-1.8032585202533785E-2</v>
      </c>
      <c r="J773">
        <f>($B$1+Table4[[#This Row],[Home Differential]])-Table4[[#This Row],[Away Differential]]</f>
        <v>-0.93962791237850174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0.58615540141470235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-0.15263505358797036</v>
      </c>
      <c r="H774" t="s">
        <v>40</v>
      </c>
      <c r="I774">
        <f>VLOOKUP(Table4[[#This Row],[Visitor]],'NHL Model'!$A$6:$B$38,2,FALSE)</f>
        <v>-6.0247860940930854E-2</v>
      </c>
      <c r="J774">
        <f>($B$1+Table4[[#This Row],[Home Differential]])-Table4[[#This Row],[Away Differential]]</f>
        <v>4.5156196325376853E-2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0.47970706409050096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1.4458345276269271</v>
      </c>
      <c r="H775" t="s">
        <v>22</v>
      </c>
      <c r="I775">
        <f>VLOOKUP(Table4[[#This Row],[Visitor]],'NHL Model'!$A$6:$B$38,2,FALSE)</f>
        <v>6.4811420118814619E-2</v>
      </c>
      <c r="J775">
        <f>($B$1+Table4[[#This Row],[Home Differential]])-Table4[[#This Row],[Away Differential]]</f>
        <v>1.518566496480529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0.81792832765561596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-0.37836939589441088</v>
      </c>
      <c r="H776" t="s">
        <v>33</v>
      </c>
      <c r="I776">
        <f>VLOOKUP(Table4[[#This Row],[Visitor]],'NHL Model'!$A$6:$B$38,2,FALSE)</f>
        <v>-0.36178381286707545</v>
      </c>
      <c r="J776">
        <f>($B$1+Table4[[#This Row],[Home Differential]])-Table4[[#This Row],[Away Differential]]</f>
        <v>0.12095780594508093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0.60784911445935996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-0.45007023285116615</v>
      </c>
      <c r="H777" t="s">
        <v>14</v>
      </c>
      <c r="I777">
        <f>VLOOKUP(Table4[[#This Row],[Visitor]],'NHL Model'!$A$6:$B$38,2,FALSE)</f>
        <v>-0.2090057419115289</v>
      </c>
      <c r="J777">
        <f>($B$1+Table4[[#This Row],[Home Differential]])-Table4[[#This Row],[Away Differential]]</f>
        <v>-0.10352110196722089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0.44776972555577532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-0.93520311342823803</v>
      </c>
      <c r="H778" t="s">
        <v>34</v>
      </c>
      <c r="I778">
        <f>VLOOKUP(Table4[[#This Row],[Visitor]],'NHL Model'!$A$6:$B$38,2,FALSE)</f>
        <v>-0.16358905079701039</v>
      </c>
      <c r="J778">
        <f>($B$1+Table4[[#This Row],[Home Differential]])-Table4[[#This Row],[Away Differential]]</f>
        <v>-0.63407067365881131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0.56534045526461885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-1.1236485959014608</v>
      </c>
      <c r="H779" t="s">
        <v>30</v>
      </c>
      <c r="I779">
        <f>VLOOKUP(Table4[[#This Row],[Visitor]],'NHL Model'!$A$6:$B$38,2,FALSE)</f>
        <v>3.838472305373858E-3</v>
      </c>
      <c r="J779">
        <f>($B$1+Table4[[#This Row],[Home Differential]])-Table4[[#This Row],[Away Differential]]</f>
        <v>-0.98994367923441828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0.66466010538694031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0.12073374225454764</v>
      </c>
      <c r="H780" t="s">
        <v>27</v>
      </c>
      <c r="I780">
        <f>VLOOKUP(Table4[[#This Row],[Visitor]],'NHL Model'!$A$6:$B$38,2,FALSE)</f>
        <v>-0.42203126246971279</v>
      </c>
      <c r="J780">
        <f>($B$1+Table4[[#This Row],[Home Differential]])-Table4[[#This Row],[Away Differential]]</f>
        <v>0.68030839369667673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0.63073832977864142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-0.59418600019583889</v>
      </c>
      <c r="H781" t="s">
        <v>36</v>
      </c>
      <c r="I781">
        <f>VLOOKUP(Table4[[#This Row],[Visitor]],'NHL Model'!$A$6:$B$38,2,FALSE)</f>
        <v>-0.31751962084606655</v>
      </c>
      <c r="J781">
        <f>($B$1+Table4[[#This Row],[Home Differential]])-Table4[[#This Row],[Away Differential]]</f>
        <v>-0.13912299037735598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0.49224018881148113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4.3828122498436855E-3</v>
      </c>
      <c r="H782" t="s">
        <v>21</v>
      </c>
      <c r="I782">
        <f>VLOOKUP(Table4[[#This Row],[Visitor]],'NHL Model'!$A$6:$B$38,2,FALSE)</f>
        <v>-0.14464931395309213</v>
      </c>
      <c r="J782">
        <f>($B$1+Table4[[#This Row],[Home Differential]])-Table4[[#This Row],[Away Differential]]</f>
        <v>0.28657551517535218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0.58071841433698956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-0.87263145033954281</v>
      </c>
      <c r="H783" t="s">
        <v>24</v>
      </c>
      <c r="I783">
        <f>VLOOKUP(Table4[[#This Row],[Visitor]],'NHL Model'!$A$6:$B$38,2,FALSE)</f>
        <v>-1.8032585202533785E-2</v>
      </c>
      <c r="J783">
        <f>($B$1+Table4[[#This Row],[Home Differential]])-Table4[[#This Row],[Away Differential]]</f>
        <v>-0.71705547616459264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0.52041835167798334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-0.36134162888396865</v>
      </c>
      <c r="H784" t="s">
        <v>15</v>
      </c>
      <c r="I784">
        <f>VLOOKUP(Table4[[#This Row],[Visitor]],'NHL Model'!$A$6:$B$38,2,FALSE)</f>
        <v>-0.49835870184734621</v>
      </c>
      <c r="J784">
        <f>($B$1+Table4[[#This Row],[Home Differential]])-Table4[[#This Row],[Away Differential]]</f>
        <v>0.27456046193579392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0.49314212772204463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-0.74754136228530599</v>
      </c>
      <c r="H785" t="s">
        <v>34</v>
      </c>
      <c r="I785">
        <f>VLOOKUP(Table4[[#This Row],[Visitor]],'NHL Model'!$A$6:$B$38,2,FALSE)</f>
        <v>-0.16358905079701039</v>
      </c>
      <c r="J785">
        <f>($B$1+Table4[[#This Row],[Home Differential]])-Table4[[#This Row],[Away Differential]]</f>
        <v>-0.44640892251587927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0.54031046295551777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-1.4957350924899622</v>
      </c>
      <c r="H786" t="s">
        <v>23</v>
      </c>
      <c r="I786">
        <f>VLOOKUP(Table4[[#This Row],[Visitor]],'NHL Model'!$A$6:$B$38,2,FALSE)</f>
        <v>-0.51535072045188635</v>
      </c>
      <c r="J786">
        <f>($B$1+Table4[[#This Row],[Home Differential]])-Table4[[#This Row],[Away Differential]]</f>
        <v>-0.84284098306565935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0.57241663895516282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7.1667377873261273E-2</v>
      </c>
      <c r="H787" t="s">
        <v>33</v>
      </c>
      <c r="I787">
        <f>VLOOKUP(Table4[[#This Row],[Visitor]],'NHL Model'!$A$6:$B$38,2,FALSE)</f>
        <v>-0.36178381286707545</v>
      </c>
      <c r="J787">
        <f>($B$1+Table4[[#This Row],[Home Differential]])-Table4[[#This Row],[Away Differential]]</f>
        <v>0.57099457971275314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0.6186537258992838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-6.0247860940930854E-2</v>
      </c>
      <c r="H788" t="s">
        <v>35</v>
      </c>
      <c r="I788">
        <f>VLOOKUP(Table4[[#This Row],[Visitor]],'NHL Model'!$A$6:$B$38,2,FALSE)</f>
        <v>-1.5569791149906038</v>
      </c>
      <c r="J788">
        <f>($B$1+Table4[[#This Row],[Home Differential]])-Table4[[#This Row],[Away Differential]]</f>
        <v>1.6342746430220894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0.76047213932111501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-1.0952038865534519</v>
      </c>
      <c r="H789" t="s">
        <v>14</v>
      </c>
      <c r="I789">
        <f>VLOOKUP(Table4[[#This Row],[Visitor]],'NHL Model'!$A$6:$B$38,2,FALSE)</f>
        <v>-0.2090057419115289</v>
      </c>
      <c r="J789">
        <f>($B$1+Table4[[#This Row],[Home Differential]])-Table4[[#This Row],[Away Differential]]</f>
        <v>-0.74865475566950668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0.55985424660301342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1.4458345276269271</v>
      </c>
      <c r="H790" t="s">
        <v>31</v>
      </c>
      <c r="I790">
        <f>VLOOKUP(Table4[[#This Row],[Visitor]],'NHL Model'!$A$6:$B$38,2,FALSE)</f>
        <v>0.34329638981067145</v>
      </c>
      <c r="J790">
        <f>($B$1+Table4[[#This Row],[Home Differential]])-Table4[[#This Row],[Away Differential]]</f>
        <v>1.2400815267886722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0.78078449516372816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-0.45007023285116615</v>
      </c>
      <c r="H791" t="s">
        <v>30</v>
      </c>
      <c r="I791">
        <f>VLOOKUP(Table4[[#This Row],[Visitor]],'NHL Model'!$A$6:$B$38,2,FALSE)</f>
        <v>3.838472305373858E-3</v>
      </c>
      <c r="J791">
        <f>($B$1+Table4[[#This Row],[Home Differential]])-Table4[[#This Row],[Away Differential]]</f>
        <v>-0.31636531618412367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0.54852536000364582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-0.93520311342823803</v>
      </c>
      <c r="H792" t="s">
        <v>26</v>
      </c>
      <c r="I792">
        <f>VLOOKUP(Table4[[#This Row],[Visitor]],'NHL Model'!$A$6:$B$38,2,FALSE)</f>
        <v>-0.66335717753705836</v>
      </c>
      <c r="J792">
        <f>($B$1+Table4[[#This Row],[Home Differential]])-Table4[[#This Row],[Away Differential]]</f>
        <v>-0.13430254691876331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0.52501242754692878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-0.30969050963205513</v>
      </c>
      <c r="H793" t="s">
        <v>27</v>
      </c>
      <c r="I793">
        <f>VLOOKUP(Table4[[#This Row],[Visitor]],'NHL Model'!$A$6:$B$38,2,FALSE)</f>
        <v>-0.42203126246971279</v>
      </c>
      <c r="J793">
        <f>($B$1+Table4[[#This Row],[Home Differential]])-Table4[[#This Row],[Away Differential]]</f>
        <v>0.24988414181007401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0.6250450810081507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-1.1236485959014608</v>
      </c>
      <c r="H794" t="s">
        <v>22</v>
      </c>
      <c r="I794">
        <f>VLOOKUP(Table4[[#This Row],[Visitor]],'NHL Model'!$A$6:$B$38,2,FALSE)</f>
        <v>6.4811420118814619E-2</v>
      </c>
      <c r="J794">
        <f>($B$1+Table4[[#This Row],[Home Differential]])-Table4[[#This Row],[Away Differential]]</f>
        <v>-1.0509166270478592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0.62093863093900536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-0.14464931395309213</v>
      </c>
      <c r="H795" t="s">
        <v>20</v>
      </c>
      <c r="I795">
        <f>VLOOKUP(Table4[[#This Row],[Visitor]],'NHL Model'!$A$6:$B$38,2,FALSE)</f>
        <v>0.12073374225454764</v>
      </c>
      <c r="J795">
        <f>($B$1+Table4[[#This Row],[Home Differential]])-Table4[[#This Row],[Away Differential]]</f>
        <v>-0.12783966723522341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0.44562245718118798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0.42515174825138019</v>
      </c>
      <c r="H796" t="s">
        <v>10</v>
      </c>
      <c r="I796">
        <f>VLOOKUP(Table4[[#This Row],[Visitor]],'NHL Model'!$A$6:$B$38,2,FALSE)</f>
        <v>-0.15263505358797036</v>
      </c>
      <c r="J796">
        <f>($B$1+Table4[[#This Row],[Home Differential]])-Table4[[#This Row],[Away Differential]]</f>
        <v>0.71533019081176685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0.68712545143984594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-0.59418600019583889</v>
      </c>
      <c r="H797" t="s">
        <v>39</v>
      </c>
      <c r="I797">
        <f>VLOOKUP(Table4[[#This Row],[Visitor]],'NHL Model'!$A$6:$B$38,2,FALSE)</f>
        <v>4.3828122498436855E-3</v>
      </c>
      <c r="J797">
        <f>($B$1+Table4[[#This Row],[Home Differential]])-Table4[[#This Row],[Away Differential]]</f>
        <v>-0.46102542347326619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0.59538906030554128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-0.87263145033954281</v>
      </c>
      <c r="H798" t="s">
        <v>14</v>
      </c>
      <c r="I798">
        <f>VLOOKUP(Table4[[#This Row],[Visitor]],'NHL Model'!$A$6:$B$38,2,FALSE)</f>
        <v>-0.2090057419115289</v>
      </c>
      <c r="J798">
        <f>($B$1+Table4[[#This Row],[Home Differential]])-Table4[[#This Row],[Away Differential]]</f>
        <v>-0.52608231945559758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0.49413106253245809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-0.16358905079701039</v>
      </c>
      <c r="H799" t="s">
        <v>26</v>
      </c>
      <c r="I799">
        <f>VLOOKUP(Table4[[#This Row],[Visitor]],'NHL Model'!$A$6:$B$38,2,FALSE)</f>
        <v>-0.66335717753705836</v>
      </c>
      <c r="J799">
        <f>($B$1+Table4[[#This Row],[Home Differential]])-Table4[[#This Row],[Away Differential]]</f>
        <v>0.63731151571246436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0.57790409079326166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-0.74754136228530599</v>
      </c>
      <c r="H800" t="s">
        <v>23</v>
      </c>
      <c r="I800">
        <f>VLOOKUP(Table4[[#This Row],[Visitor]],'NHL Model'!$A$6:$B$38,2,FALSE)</f>
        <v>-0.51535072045188635</v>
      </c>
      <c r="J800">
        <f>($B$1+Table4[[#This Row],[Home Differential]])-Table4[[#This Row],[Away Differential]]</f>
        <v>-9.4647252861003284E-2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0.47262388311288911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-1.4957350924899622</v>
      </c>
      <c r="H801" t="s">
        <v>36</v>
      </c>
      <c r="I801">
        <f>VLOOKUP(Table4[[#This Row],[Visitor]],'NHL Model'!$A$6:$B$38,2,FALSE)</f>
        <v>-0.31751962084606655</v>
      </c>
      <c r="J801">
        <f>($B$1+Table4[[#This Row],[Home Differential]])-Table4[[#This Row],[Away Differential]]</f>
        <v>-1.0406720826714793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0.61957223173730691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-6.0247860940930854E-2</v>
      </c>
      <c r="H802" t="s">
        <v>11</v>
      </c>
      <c r="I802">
        <f>VLOOKUP(Table4[[#This Row],[Visitor]],'NHL Model'!$A$6:$B$38,2,FALSE)</f>
        <v>-0.37836939589441088</v>
      </c>
      <c r="J802">
        <f>($B$1+Table4[[#This Row],[Home Differential]])-Table4[[#This Row],[Away Differential]]</f>
        <v>0.45566492392589641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0.60327126048065072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-1.0952038865534519</v>
      </c>
      <c r="H803" t="s">
        <v>22</v>
      </c>
      <c r="I803">
        <f>VLOOKUP(Table4[[#This Row],[Visitor]],'NHL Model'!$A$6:$B$38,2,FALSE)</f>
        <v>6.4811420118814619E-2</v>
      </c>
      <c r="J803">
        <f>($B$1+Table4[[#This Row],[Home Differential]])-Table4[[#This Row],[Away Differential]]</f>
        <v>-1.0224719176998502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0.61714472593769798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-0.15263505358797036</v>
      </c>
      <c r="H804" t="s">
        <v>37</v>
      </c>
      <c r="I804">
        <f>VLOOKUP(Table4[[#This Row],[Visitor]],'NHL Model'!$A$6:$B$38,2,FALSE)</f>
        <v>7.1667377873261273E-2</v>
      </c>
      <c r="J804">
        <f>($B$1+Table4[[#This Row],[Home Differential]])-Table4[[#This Row],[Away Differential]]</f>
        <v>-8.6759042488815274E-2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0.53788755704493552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1.4458345276269271</v>
      </c>
      <c r="H805" t="s">
        <v>27</v>
      </c>
      <c r="I805">
        <f>VLOOKUP(Table4[[#This Row],[Visitor]],'NHL Model'!$A$6:$B$38,2,FALSE)</f>
        <v>-0.42203126246971279</v>
      </c>
      <c r="J805">
        <f>($B$1+Table4[[#This Row],[Home Differential]])-Table4[[#This Row],[Away Differential]]</f>
        <v>2.0054091790690562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0.90239856275084007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4.3828122498436855E-3</v>
      </c>
      <c r="H806" t="s">
        <v>35</v>
      </c>
      <c r="I806">
        <f>VLOOKUP(Table4[[#This Row],[Visitor]],'NHL Model'!$A$6:$B$38,2,FALSE)</f>
        <v>-1.5569791149906038</v>
      </c>
      <c r="J806">
        <f>($B$1+Table4[[#This Row],[Home Differential]])-Table4[[#This Row],[Away Differential]]</f>
        <v>1.6989053162128638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0.76909246415046706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-0.45007023285116615</v>
      </c>
      <c r="H807" t="s">
        <v>31</v>
      </c>
      <c r="I807">
        <f>VLOOKUP(Table4[[#This Row],[Visitor]],'NHL Model'!$A$6:$B$38,2,FALSE)</f>
        <v>0.34329638981067145</v>
      </c>
      <c r="J807">
        <f>($B$1+Table4[[#This Row],[Home Differential]])-Table4[[#This Row],[Away Differential]]</f>
        <v>-0.65582323368942119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0.54201799700762809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-0.36178381286707545</v>
      </c>
      <c r="H808" t="s">
        <v>15</v>
      </c>
      <c r="I808">
        <f>VLOOKUP(Table4[[#This Row],[Visitor]],'NHL Model'!$A$6:$B$38,2,FALSE)</f>
        <v>-0.49835870184734621</v>
      </c>
      <c r="J808">
        <f>($B$1+Table4[[#This Row],[Home Differential]])-Table4[[#This Row],[Away Differential]]</f>
        <v>0.27411827795268712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0.49308315000480091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-0.93520311342823803</v>
      </c>
      <c r="H809" t="s">
        <v>20</v>
      </c>
      <c r="I809">
        <f>VLOOKUP(Table4[[#This Row],[Visitor]],'NHL Model'!$A$6:$B$38,2,FALSE)</f>
        <v>0.12073374225454764</v>
      </c>
      <c r="J809">
        <f>($B$1+Table4[[#This Row],[Home Differential]])-Table4[[#This Row],[Away Differential]]</f>
        <v>-0.91839346671036926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0.60326292630647904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-1.1236485959014608</v>
      </c>
      <c r="H810" t="s">
        <v>24</v>
      </c>
      <c r="I810">
        <f>VLOOKUP(Table4[[#This Row],[Visitor]],'NHL Model'!$A$6:$B$38,2,FALSE)</f>
        <v>-1.8032585202533785E-2</v>
      </c>
      <c r="J810">
        <f>($B$1+Table4[[#This Row],[Home Differential]])-Table4[[#This Row],[Away Differential]]</f>
        <v>-0.96807262172651065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0.58994930641600973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-0.14464931395309213</v>
      </c>
      <c r="H811" t="s">
        <v>18</v>
      </c>
      <c r="I811">
        <f>VLOOKUP(Table4[[#This Row],[Visitor]],'NHL Model'!$A$6:$B$38,2,FALSE)</f>
        <v>-0.74754136228530599</v>
      </c>
      <c r="J811">
        <f>($B$1+Table4[[#This Row],[Home Differential]])-Table4[[#This Row],[Away Differential]]</f>
        <v>0.74043543730463024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0.64421251391773571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-0.59418600019583889</v>
      </c>
      <c r="H812" t="s">
        <v>37</v>
      </c>
      <c r="I812">
        <f>VLOOKUP(Table4[[#This Row],[Visitor]],'NHL Model'!$A$6:$B$38,2,FALSE)</f>
        <v>7.1667377873261273E-2</v>
      </c>
      <c r="J812">
        <f>($B$1+Table4[[#This Row],[Home Differential]])-Table4[[#This Row],[Away Differential]]</f>
        <v>-0.52830998909668381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0.58969582075764926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-0.87263145033954281</v>
      </c>
      <c r="H813" t="s">
        <v>22</v>
      </c>
      <c r="I813">
        <f>VLOOKUP(Table4[[#This Row],[Visitor]],'NHL Model'!$A$6:$B$38,2,FALSE)</f>
        <v>6.4811420118814619E-2</v>
      </c>
      <c r="J813">
        <f>($B$1+Table4[[#This Row],[Home Differential]])-Table4[[#This Row],[Away Differential]]</f>
        <v>-0.79989948148594103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0.55113362190180337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-0.16358905079701039</v>
      </c>
      <c r="H814" t="s">
        <v>11</v>
      </c>
      <c r="I814">
        <f>VLOOKUP(Table4[[#This Row],[Visitor]],'NHL Model'!$A$6:$B$38,2,FALSE)</f>
        <v>-0.37836939589441088</v>
      </c>
      <c r="J814">
        <f>($B$1+Table4[[#This Row],[Home Differential]])-Table4[[#This Row],[Away Differential]]</f>
        <v>0.35232373406981687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0.58699231623051717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-1.4957350924899622</v>
      </c>
      <c r="H815" t="s">
        <v>55</v>
      </c>
      <c r="I815">
        <f>VLOOKUP(Table4[[#This Row],[Visitor]],'NHL Model'!$A$6:$B$38,2,FALSE)</f>
        <v>-0.30969050963205513</v>
      </c>
      <c r="J815">
        <f>($B$1+Table4[[#This Row],[Home Differential]])-Table4[[#This Row],[Away Differential]]</f>
        <v>-1.0485011938854907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0.59984723396856954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3.838472305373858E-3</v>
      </c>
      <c r="H816" t="s">
        <v>23</v>
      </c>
      <c r="I816">
        <f>VLOOKUP(Table4[[#This Row],[Visitor]],'NHL Model'!$A$6:$B$38,2,FALSE)</f>
        <v>-0.51535072045188635</v>
      </c>
      <c r="J816">
        <f>($B$1+Table4[[#This Row],[Home Differential]])-Table4[[#This Row],[Away Differential]]</f>
        <v>0.65673258172967652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0.62759382969473576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-0.31751962084606655</v>
      </c>
      <c r="H817" t="s">
        <v>25</v>
      </c>
      <c r="I817">
        <f>VLOOKUP(Table4[[#This Row],[Visitor]],'NHL Model'!$A$6:$B$38,2,FALSE)</f>
        <v>0.42515174825138019</v>
      </c>
      <c r="J817">
        <f>($B$1+Table4[[#This Row],[Home Differential]])-Table4[[#This Row],[Away Differential]]</f>
        <v>-0.60512798012503044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0.61083138117225211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-1.5569791149906038</v>
      </c>
      <c r="H818" t="s">
        <v>13</v>
      </c>
      <c r="I818">
        <f>VLOOKUP(Table4[[#This Row],[Visitor]],'NHL Model'!$A$6:$B$38,2,FALSE)</f>
        <v>-0.36134162888396865</v>
      </c>
      <c r="J818">
        <f>($B$1+Table4[[#This Row],[Home Differential]])-Table4[[#This Row],[Away Differential]]</f>
        <v>-1.0580940971342188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0.68460497929927433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-6.0247860940930854E-2</v>
      </c>
      <c r="H819" t="s">
        <v>26</v>
      </c>
      <c r="I819">
        <f>VLOOKUP(Table4[[#This Row],[Visitor]],'NHL Model'!$A$6:$B$38,2,FALSE)</f>
        <v>-0.66335717753705836</v>
      </c>
      <c r="J819">
        <f>($B$1+Table4[[#This Row],[Home Differential]])-Table4[[#This Row],[Away Differential]]</f>
        <v>0.7406527055685439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0.59419979135648271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-1.0952038865534519</v>
      </c>
      <c r="H820" t="s">
        <v>31</v>
      </c>
      <c r="I820">
        <f>VLOOKUP(Table4[[#This Row],[Visitor]],'NHL Model'!$A$6:$B$38,2,FALSE)</f>
        <v>0.34329638981067145</v>
      </c>
      <c r="J820">
        <f>($B$1+Table4[[#This Row],[Home Differential]])-Table4[[#This Row],[Away Differential]]</f>
        <v>-1.300956887391707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0.65428855842958578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-0.15263505358797036</v>
      </c>
      <c r="H821" t="s">
        <v>11</v>
      </c>
      <c r="I821">
        <f>VLOOKUP(Table4[[#This Row],[Visitor]],'NHL Model'!$A$6:$B$38,2,FALSE)</f>
        <v>-0.37836939589441088</v>
      </c>
      <c r="J821">
        <f>($B$1+Table4[[#This Row],[Home Differential]])-Table4[[#This Row],[Away Differential]]</f>
        <v>0.36327773127885687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0.58845334099569357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-0.31751962084606655</v>
      </c>
      <c r="H822" t="s">
        <v>20</v>
      </c>
      <c r="I822">
        <f>VLOOKUP(Table4[[#This Row],[Visitor]],'NHL Model'!$A$6:$B$38,2,FALSE)</f>
        <v>0.12073374225454764</v>
      </c>
      <c r="J822">
        <f>($B$1+Table4[[#This Row],[Home Differential]])-Table4[[#This Row],[Away Differential]]</f>
        <v>-0.30070997412819783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0.51836903382275978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-0.45007023285116615</v>
      </c>
      <c r="H823" t="s">
        <v>24</v>
      </c>
      <c r="I823">
        <f>VLOOKUP(Table4[[#This Row],[Visitor]],'NHL Model'!$A$6:$B$38,2,FALSE)</f>
        <v>-1.8032585202533785E-2</v>
      </c>
      <c r="J823">
        <f>($B$1+Table4[[#This Row],[Home Differential]])-Table4[[#This Row],[Away Differential]]</f>
        <v>-0.29449425867621604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0.47406173182461553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-0.93520311342823803</v>
      </c>
      <c r="H824" t="s">
        <v>12</v>
      </c>
      <c r="I824">
        <f>VLOOKUP(Table4[[#This Row],[Visitor]],'NHL Model'!$A$6:$B$38,2,FALSE)</f>
        <v>1.4458345276269271</v>
      </c>
      <c r="J824">
        <f>($B$1+Table4[[#This Row],[Home Differential]])-Table4[[#This Row],[Away Differential]]</f>
        <v>-2.2434942520827486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0.85171948143411591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-1.1236485959014608</v>
      </c>
      <c r="H825" t="s">
        <v>14</v>
      </c>
      <c r="I825">
        <f>VLOOKUP(Table4[[#This Row],[Visitor]],'NHL Model'!$A$6:$B$38,2,FALSE)</f>
        <v>-0.2090057419115289</v>
      </c>
      <c r="J825">
        <f>($B$1+Table4[[#This Row],[Home Differential]])-Table4[[#This Row],[Away Differential]]</f>
        <v>-0.77709946501751559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0.5636481516043208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-0.59418600019583889</v>
      </c>
      <c r="H826" t="s">
        <v>13</v>
      </c>
      <c r="I826">
        <f>VLOOKUP(Table4[[#This Row],[Visitor]],'NHL Model'!$A$6:$B$38,2,FALSE)</f>
        <v>-0.36134162888396865</v>
      </c>
      <c r="J826">
        <f>($B$1+Table4[[#This Row],[Home Differential]])-Table4[[#This Row],[Away Differential]]</f>
        <v>-9.5300982339453888E-2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0.54913491745358489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-0.87263145033954281</v>
      </c>
      <c r="H827" t="s">
        <v>31</v>
      </c>
      <c r="I827">
        <f>VLOOKUP(Table4[[#This Row],[Visitor]],'NHL Model'!$A$6:$B$38,2,FALSE)</f>
        <v>0.34329638981067145</v>
      </c>
      <c r="J827">
        <f>($B$1+Table4[[#This Row],[Home Differential]])-Table4[[#This Row],[Away Differential]]</f>
        <v>-1.078384451177798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0.58827745439369117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-0.49835870184734621</v>
      </c>
      <c r="H828" t="s">
        <v>21</v>
      </c>
      <c r="I828">
        <f>VLOOKUP(Table4[[#This Row],[Visitor]],'NHL Model'!$A$6:$B$38,2,FALSE)</f>
        <v>-0.14464931395309213</v>
      </c>
      <c r="J828">
        <f>($B$1+Table4[[#This Row],[Home Differential]])-Table4[[#This Row],[Away Differential]]</f>
        <v>-0.21616599892183772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0.48883183844097111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-0.42203126246971279</v>
      </c>
      <c r="H829" t="s">
        <v>30</v>
      </c>
      <c r="I829">
        <f>VLOOKUP(Table4[[#This Row],[Visitor]],'NHL Model'!$A$6:$B$38,2,FALSE)</f>
        <v>3.838472305373858E-3</v>
      </c>
      <c r="J829">
        <f>($B$1+Table4[[#This Row],[Home Differential]])-Table4[[#This Row],[Away Differential]]</f>
        <v>-0.2883263458026703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0.53845645782371165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7.1667377873261273E-2</v>
      </c>
      <c r="H830" t="s">
        <v>55</v>
      </c>
      <c r="I830">
        <f>VLOOKUP(Table4[[#This Row],[Visitor]],'NHL Model'!$A$6:$B$38,2,FALSE)</f>
        <v>-0.30969050963205513</v>
      </c>
      <c r="J830">
        <f>($B$1+Table4[[#This Row],[Home Differential]])-Table4[[#This Row],[Away Differential]]</f>
        <v>0.51890127647773276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0.61170561329036377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-0.14464931395309213</v>
      </c>
      <c r="H831" t="s">
        <v>29</v>
      </c>
      <c r="I831">
        <f>VLOOKUP(Table4[[#This Row],[Visitor]],'NHL Model'!$A$6:$B$38,2,FALSE)</f>
        <v>-1.4957350924899622</v>
      </c>
      <c r="J831">
        <f>($B$1+Table4[[#This Row],[Home Differential]])-Table4[[#This Row],[Away Differential]]</f>
        <v>1.4886291675092864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0.79026670063682491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-0.66335717753705836</v>
      </c>
      <c r="H832" t="s">
        <v>13</v>
      </c>
      <c r="I832">
        <f>VLOOKUP(Table4[[#This Row],[Visitor]],'NHL Model'!$A$6:$B$38,2,FALSE)</f>
        <v>-0.36134162888396865</v>
      </c>
      <c r="J832">
        <f>($B$1+Table4[[#This Row],[Home Differential]])-Table4[[#This Row],[Away Differential]]</f>
        <v>-0.16447215968067336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0.53285403620040506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-0.37836939589441088</v>
      </c>
      <c r="H833" t="s">
        <v>55</v>
      </c>
      <c r="I833">
        <f>VLOOKUP(Table4[[#This Row],[Visitor]],'NHL Model'!$A$6:$B$38,2,FALSE)</f>
        <v>-0.30969050963205513</v>
      </c>
      <c r="J833">
        <f>($B$1+Table4[[#This Row],[Home Differential]])-Table4[[#This Row],[Away Differential]]</f>
        <v>6.8864502710060616E-2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0.60090100185043982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-0.16358905079701039</v>
      </c>
      <c r="H834" t="s">
        <v>10</v>
      </c>
      <c r="I834">
        <f>VLOOKUP(Table4[[#This Row],[Visitor]],'NHL Model'!$A$6:$B$38,2,FALSE)</f>
        <v>-0.15263505358797036</v>
      </c>
      <c r="J834">
        <f>($B$1+Table4[[#This Row],[Home Differential]])-Table4[[#This Row],[Away Differential]]</f>
        <v>0.12658939176337633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0.55688426907962607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-0.74754136228530599</v>
      </c>
      <c r="H835" t="s">
        <v>20</v>
      </c>
      <c r="I835">
        <f>VLOOKUP(Table4[[#This Row],[Visitor]],'NHL Model'!$A$6:$B$38,2,FALSE)</f>
        <v>0.12073374225454764</v>
      </c>
      <c r="J835">
        <f>($B$1+Table4[[#This Row],[Home Differential]])-Table4[[#This Row],[Away Differential]]</f>
        <v>-0.73073171556743732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0.57823293399737796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-1.8032585202533785E-2</v>
      </c>
      <c r="H836" t="s">
        <v>40</v>
      </c>
      <c r="I836">
        <f>VLOOKUP(Table4[[#This Row],[Visitor]],'NHL Model'!$A$6:$B$38,2,FALSE)</f>
        <v>-6.0247860940930854E-2</v>
      </c>
      <c r="J836">
        <f>($B$1+Table4[[#This Row],[Home Differential]])-Table4[[#This Row],[Away Differential]]</f>
        <v>0.17975866471081342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0.617196231607963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-0.45007023285116615</v>
      </c>
      <c r="H837" t="s">
        <v>22</v>
      </c>
      <c r="I837">
        <f>VLOOKUP(Table4[[#This Row],[Visitor]],'NHL Model'!$A$6:$B$38,2,FALSE)</f>
        <v>6.4811420118814619E-2</v>
      </c>
      <c r="J837">
        <f>($B$1+Table4[[#This Row],[Home Differential]])-Table4[[#This Row],[Away Differential]]</f>
        <v>-0.37733826399756443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0.5048741645157403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-1.5569791149906038</v>
      </c>
      <c r="H838" t="s">
        <v>39</v>
      </c>
      <c r="I838">
        <f>VLOOKUP(Table4[[#This Row],[Visitor]],'NHL Model'!$A$6:$B$38,2,FALSE)</f>
        <v>4.3828122498436855E-3</v>
      </c>
      <c r="J838">
        <f>($B$1+Table4[[#This Row],[Home Differential]])-Table4[[#This Row],[Away Differential]]</f>
        <v>-1.4238185382680311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0.73086466619006185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-0.93520311342823803</v>
      </c>
      <c r="H839" t="s">
        <v>23</v>
      </c>
      <c r="I839">
        <f>VLOOKUP(Table4[[#This Row],[Visitor]],'NHL Model'!$A$6:$B$38,2,FALSE)</f>
        <v>-0.51535072045188635</v>
      </c>
      <c r="J839">
        <f>($B$1+Table4[[#This Row],[Home Differential]])-Table4[[#This Row],[Away Differential]]</f>
        <v>-0.28230900400393533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0.49765387542199013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-1.1236485959014608</v>
      </c>
      <c r="H840" t="s">
        <v>33</v>
      </c>
      <c r="I840">
        <f>VLOOKUP(Table4[[#This Row],[Visitor]],'NHL Model'!$A$6:$B$38,2,FALSE)</f>
        <v>-0.36178381286707545</v>
      </c>
      <c r="J840">
        <f>($B$1+Table4[[#This Row],[Home Differential]])-Table4[[#This Row],[Away Differential]]</f>
        <v>-0.62432139406196896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0.54327088283363745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-0.59418600019583889</v>
      </c>
      <c r="H841" t="s">
        <v>27</v>
      </c>
      <c r="I841">
        <f>VLOOKUP(Table4[[#This Row],[Visitor]],'NHL Model'!$A$6:$B$38,2,FALSE)</f>
        <v>-0.42203126246971279</v>
      </c>
      <c r="J841">
        <f>($B$1+Table4[[#This Row],[Home Differential]])-Table4[[#This Row],[Away Differential]]</f>
        <v>-3.4611348753709748E-2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0.45757044859371504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3.838472305373858E-3</v>
      </c>
      <c r="H842" t="s">
        <v>15</v>
      </c>
      <c r="I842">
        <f>VLOOKUP(Table4[[#This Row],[Visitor]],'NHL Model'!$A$6:$B$38,2,FALSE)</f>
        <v>-0.49835870184734621</v>
      </c>
      <c r="J842">
        <f>($B$1+Table4[[#This Row],[Home Differential]])-Table4[[#This Row],[Away Differential]]</f>
        <v>0.63974056312513639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0.54184920345024756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-0.31751962084606655</v>
      </c>
      <c r="H843" t="s">
        <v>12</v>
      </c>
      <c r="I843">
        <f>VLOOKUP(Table4[[#This Row],[Visitor]],'NHL Model'!$A$6:$B$38,2,FALSE)</f>
        <v>1.4458345276269271</v>
      </c>
      <c r="J843">
        <f>($B$1+Table4[[#This Row],[Home Differential]])-Table4[[#This Row],[Away Differential]]</f>
        <v>-1.6258107595005773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0.76684776230910612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-0.14464931395309213</v>
      </c>
      <c r="H844" t="s">
        <v>27</v>
      </c>
      <c r="I844">
        <f>VLOOKUP(Table4[[#This Row],[Visitor]],'NHL Model'!$A$6:$B$38,2,FALSE)</f>
        <v>-0.42203126246971279</v>
      </c>
      <c r="J844">
        <f>($B$1+Table4[[#This Row],[Home Differential]])-Table4[[#This Row],[Away Differential]]</f>
        <v>0.41492533748903704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0.64705798365544043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-0.51535072045188635</v>
      </c>
      <c r="H845" t="s">
        <v>13</v>
      </c>
      <c r="I845">
        <f>VLOOKUP(Table4[[#This Row],[Visitor]],'NHL Model'!$A$6:$B$38,2,FALSE)</f>
        <v>-0.36134162888396865</v>
      </c>
      <c r="J845">
        <f>($B$1+Table4[[#This Row],[Home Differential]])-Table4[[#This Row],[Away Differential]]</f>
        <v>-1.6465702595501341E-2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0.53160793098281023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0.42515174825138019</v>
      </c>
      <c r="H846" t="s">
        <v>55</v>
      </c>
      <c r="I846">
        <f>VLOOKUP(Table4[[#This Row],[Visitor]],'NHL Model'!$A$6:$B$38,2,FALSE)</f>
        <v>-0.30969050963205513</v>
      </c>
      <c r="J846">
        <f>($B$1+Table4[[#This Row],[Home Differential]])-Table4[[#This Row],[Away Differential]]</f>
        <v>0.87238564685585163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0.70807323026501356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-0.66335717753705836</v>
      </c>
      <c r="H847" t="s">
        <v>22</v>
      </c>
      <c r="I847">
        <f>VLOOKUP(Table4[[#This Row],[Visitor]],'NHL Model'!$A$6:$B$38,2,FALSE)</f>
        <v>6.4811420118814619E-2</v>
      </c>
      <c r="J847">
        <f>($B$1+Table4[[#This Row],[Home Differential]])-Table4[[#This Row],[Away Differential]]</f>
        <v>-0.59062520868345658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0.52705240732057845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-0.87263145033954281</v>
      </c>
      <c r="H848" t="s">
        <v>33</v>
      </c>
      <c r="I848">
        <f>VLOOKUP(Table4[[#This Row],[Visitor]],'NHL Model'!$A$6:$B$38,2,FALSE)</f>
        <v>-0.36178381286707545</v>
      </c>
      <c r="J848">
        <f>($B$1+Table4[[#This Row],[Home Differential]])-Table4[[#This Row],[Away Differential]]</f>
        <v>-0.37330424850005101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0.47375379376177473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-0.16358905079701039</v>
      </c>
      <c r="H849" t="s">
        <v>16</v>
      </c>
      <c r="I849">
        <f>VLOOKUP(Table4[[#This Row],[Visitor]],'NHL Model'!$A$6:$B$38,2,FALSE)</f>
        <v>-1.0952038865534519</v>
      </c>
      <c r="J849">
        <f>($B$1+Table4[[#This Row],[Home Differential]])-Table4[[#This Row],[Away Differential]]</f>
        <v>1.0691582247288578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0.68260243219084626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-0.74754136228530599</v>
      </c>
      <c r="H850" t="s">
        <v>12</v>
      </c>
      <c r="I850">
        <f>VLOOKUP(Table4[[#This Row],[Visitor]],'NHL Model'!$A$6:$B$38,2,FALSE)</f>
        <v>1.4458345276269271</v>
      </c>
      <c r="J850">
        <f>($B$1+Table4[[#This Row],[Home Differential]])-Table4[[#This Row],[Away Differential]]</f>
        <v>-2.0558325009398168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0.82668948912501494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-1.8032585202533785E-2</v>
      </c>
      <c r="H851" t="s">
        <v>29</v>
      </c>
      <c r="I851">
        <f>VLOOKUP(Table4[[#This Row],[Visitor]],'NHL Model'!$A$6:$B$38,2,FALSE)</f>
        <v>-1.4957350924899622</v>
      </c>
      <c r="J851">
        <f>($B$1+Table4[[#This Row],[Home Differential]])-Table4[[#This Row],[Away Differential]]</f>
        <v>1.6152458962598448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0.87086935115455599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-0.49835870184734621</v>
      </c>
      <c r="H852" t="s">
        <v>30</v>
      </c>
      <c r="I852">
        <f>VLOOKUP(Table4[[#This Row],[Visitor]],'NHL Model'!$A$6:$B$38,2,FALSE)</f>
        <v>3.838472305373858E-3</v>
      </c>
      <c r="J852">
        <f>($B$1+Table4[[#This Row],[Home Differential]])-Table4[[#This Row],[Away Differential]]</f>
        <v>-0.36465378518030372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0.58126004573806422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-0.2090057419115289</v>
      </c>
      <c r="H853" t="s">
        <v>10</v>
      </c>
      <c r="I853">
        <f>VLOOKUP(Table4[[#This Row],[Visitor]],'NHL Model'!$A$6:$B$38,2,FALSE)</f>
        <v>-0.15263505358797036</v>
      </c>
      <c r="J853">
        <f>($B$1+Table4[[#This Row],[Home Differential]])-Table4[[#This Row],[Away Differential]]</f>
        <v>8.1172700648857815E-2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0.55082667118139805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-0.45007023285116615</v>
      </c>
      <c r="H854" t="s">
        <v>19</v>
      </c>
      <c r="I854">
        <f>VLOOKUP(Table4[[#This Row],[Visitor]],'NHL Model'!$A$6:$B$38,2,FALSE)</f>
        <v>-0.93520311342823803</v>
      </c>
      <c r="J854">
        <f>($B$1+Table4[[#This Row],[Home Differential]])-Table4[[#This Row],[Away Differential]]</f>
        <v>0.62267626954948829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0.64908919488618722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-1.5569791149906038</v>
      </c>
      <c r="H855" t="s">
        <v>11</v>
      </c>
      <c r="I855">
        <f>VLOOKUP(Table4[[#This Row],[Visitor]],'NHL Model'!$A$6:$B$38,2,FALSE)</f>
        <v>-0.37836939589441088</v>
      </c>
      <c r="J855">
        <f>($B$1+Table4[[#This Row],[Home Differential]])-Table4[[#This Row],[Away Differential]]</f>
        <v>-1.0410663301237766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0.59885558499566194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7.1667377873261273E-2</v>
      </c>
      <c r="H856" t="s">
        <v>40</v>
      </c>
      <c r="I856">
        <f>VLOOKUP(Table4[[#This Row],[Visitor]],'NHL Model'!$A$6:$B$38,2,FALSE)</f>
        <v>-6.0247860940930854E-2</v>
      </c>
      <c r="J856">
        <f>($B$1+Table4[[#This Row],[Home Differential]])-Table4[[#This Row],[Away Differential]]</f>
        <v>0.26945862778660851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0.51213039117071502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-1.1236485959014608</v>
      </c>
      <c r="H857" t="s">
        <v>31</v>
      </c>
      <c r="I857">
        <f>VLOOKUP(Table4[[#This Row],[Visitor]],'NHL Model'!$A$6:$B$38,2,FALSE)</f>
        <v>0.34329638981067145</v>
      </c>
      <c r="J857">
        <f>($B$1+Table4[[#This Row],[Home Differential]])-Table4[[#This Row],[Away Differential]]</f>
        <v>-1.3294015967397159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0.65808246343089327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0.12073374225454764</v>
      </c>
      <c r="H858" t="s">
        <v>39</v>
      </c>
      <c r="I858">
        <f>VLOOKUP(Table4[[#This Row],[Visitor]],'NHL Model'!$A$6:$B$38,2,FALSE)</f>
        <v>4.3828122498436855E-3</v>
      </c>
      <c r="J858">
        <f>($B$1+Table4[[#This Row],[Home Differential]])-Table4[[#This Row],[Away Differential]]</f>
        <v>0.25389431897712034</v>
      </c>
      <c r="K858" t="str">
        <f>IF(Table4[[#This Row],[HomeIce Differential]]&gt;0,Table4[[#This Row],[Home]],Table4[[#This Row],[Visitor]])</f>
        <v>Vegas Golden Knights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0.49290570607797757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-0.15263505358797036</v>
      </c>
      <c r="H859" t="s">
        <v>28</v>
      </c>
      <c r="I859">
        <f>VLOOKUP(Table4[[#This Row],[Visitor]],'NHL Model'!$A$6:$B$38,2,FALSE)</f>
        <v>-0.59418600019583889</v>
      </c>
      <c r="J859">
        <f>($B$1+Table4[[#This Row],[Home Differential]])-Table4[[#This Row],[Away Differential]]</f>
        <v>0.57909433558028489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0.61640908471287348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-0.51535072045188635</v>
      </c>
      <c r="H860" t="s">
        <v>18</v>
      </c>
      <c r="I860">
        <f>VLOOKUP(Table4[[#This Row],[Visitor]],'NHL Model'!$A$6:$B$38,2,FALSE)</f>
        <v>-0.74754136228530599</v>
      </c>
      <c r="J860">
        <f>($B$1+Table4[[#This Row],[Home Differential]])-Table4[[#This Row],[Away Differential]]</f>
        <v>0.369734030805836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0.5563567243236206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-1.0952038865534519</v>
      </c>
      <c r="H861" t="s">
        <v>33</v>
      </c>
      <c r="I861">
        <f>VLOOKUP(Table4[[#This Row],[Visitor]],'NHL Model'!$A$6:$B$38,2,FALSE)</f>
        <v>-0.36178381286707545</v>
      </c>
      <c r="J861">
        <f>($B$1+Table4[[#This Row],[Home Differential]])-Table4[[#This Row],[Away Differential]]</f>
        <v>-0.59587668471396005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0.53947697783233006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-0.66335717753705836</v>
      </c>
      <c r="H862" t="s">
        <v>12</v>
      </c>
      <c r="I862">
        <f>VLOOKUP(Table4[[#This Row],[Visitor]],'NHL Model'!$A$6:$B$38,2,FALSE)</f>
        <v>1.4458345276269271</v>
      </c>
      <c r="J862">
        <f>($B$1+Table4[[#This Row],[Home Differential]])-Table4[[#This Row],[Away Differential]]</f>
        <v>-1.971648316191569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0.78297496367781105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-0.87263145033954281</v>
      </c>
      <c r="H863" t="s">
        <v>34</v>
      </c>
      <c r="I863">
        <f>VLOOKUP(Table4[[#This Row],[Visitor]],'NHL Model'!$A$6:$B$38,2,FALSE)</f>
        <v>-0.16358905079701039</v>
      </c>
      <c r="J863">
        <f>($B$1+Table4[[#This Row],[Home Differential]])-Table4[[#This Row],[Away Differential]]</f>
        <v>-0.57149901057011609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0.52066997123457748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-0.37836939589441088</v>
      </c>
      <c r="H864" t="s">
        <v>40</v>
      </c>
      <c r="I864">
        <f>VLOOKUP(Table4[[#This Row],[Visitor]],'NHL Model'!$A$6:$B$38,2,FALSE)</f>
        <v>-6.0247860940930854E-2</v>
      </c>
      <c r="J864">
        <f>($B$1+Table4[[#This Row],[Home Differential]])-Table4[[#This Row],[Away Differential]]</f>
        <v>-0.18057814598106367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0.49776940411302173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3.838472305373858E-3</v>
      </c>
      <c r="H865" t="s">
        <v>29</v>
      </c>
      <c r="I865">
        <f>VLOOKUP(Table4[[#This Row],[Visitor]],'NHL Model'!$A$6:$B$38,2,FALSE)</f>
        <v>-1.4957350924899622</v>
      </c>
      <c r="J865">
        <f>($B$1+Table4[[#This Row],[Home Differential]])-Table4[[#This Row],[Away Differential]]</f>
        <v>1.6371169537677523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0.75835576249470105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-0.31751962084606655</v>
      </c>
      <c r="H866" t="s">
        <v>24</v>
      </c>
      <c r="I866">
        <f>VLOOKUP(Table4[[#This Row],[Visitor]],'NHL Model'!$A$6:$B$38,2,FALSE)</f>
        <v>-1.8032585202533785E-2</v>
      </c>
      <c r="J866">
        <f>($B$1+Table4[[#This Row],[Home Differential]])-Table4[[#This Row],[Away Differential]]</f>
        <v>-0.16194364667111641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0.47993309037491882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-0.42203126246971279</v>
      </c>
      <c r="H867" t="s">
        <v>13</v>
      </c>
      <c r="I867">
        <f>VLOOKUP(Table4[[#This Row],[Visitor]],'NHL Model'!$A$6:$B$38,2,FALSE)</f>
        <v>-0.36134162888396865</v>
      </c>
      <c r="J867">
        <f>($B$1+Table4[[#This Row],[Home Differential]])-Table4[[#This Row],[Away Differential]]</f>
        <v>7.6853755386672218E-2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0.49933358733680577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-0.2090057419115289</v>
      </c>
      <c r="H868" t="s">
        <v>15</v>
      </c>
      <c r="I868">
        <f>VLOOKUP(Table4[[#This Row],[Visitor]],'NHL Model'!$A$6:$B$38,2,FALSE)</f>
        <v>-0.49835870184734621</v>
      </c>
      <c r="J868">
        <f>($B$1+Table4[[#This Row],[Home Differential]])-Table4[[#This Row],[Away Differential]]</f>
        <v>0.42689634890823369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0.51346041877548421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-1.5569791149906038</v>
      </c>
      <c r="H869" t="s">
        <v>28</v>
      </c>
      <c r="I869">
        <f>VLOOKUP(Table4[[#This Row],[Visitor]],'NHL Model'!$A$6:$B$38,2,FALSE)</f>
        <v>-0.59418600019583889</v>
      </c>
      <c r="J869">
        <f>($B$1+Table4[[#This Row],[Home Differential]])-Table4[[#This Row],[Away Differential]]</f>
        <v>-0.82524972582234846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0.57089984127848181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-0.30969050963205513</v>
      </c>
      <c r="H870" t="s">
        <v>39</v>
      </c>
      <c r="I870">
        <f>VLOOKUP(Table4[[#This Row],[Visitor]],'NHL Model'!$A$6:$B$38,2,FALSE)</f>
        <v>4.3828122498436855E-3</v>
      </c>
      <c r="J870">
        <f>($B$1+Table4[[#This Row],[Home Differential]])-Table4[[#This Row],[Away Differential]]</f>
        <v>-0.17652993290948246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0.51191734311359038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-1.1236485959014608</v>
      </c>
      <c r="H871" t="s">
        <v>19</v>
      </c>
      <c r="I871">
        <f>VLOOKUP(Table4[[#This Row],[Visitor]],'NHL Model'!$A$6:$B$38,2,FALSE)</f>
        <v>-0.93520311342823803</v>
      </c>
      <c r="J871">
        <f>($B$1+Table4[[#This Row],[Home Differential]])-Table4[[#This Row],[Away Differential]]</f>
        <v>-5.0902093500806433E-2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0.46678923116235832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0.12073374225454764</v>
      </c>
      <c r="H872" t="s">
        <v>32</v>
      </c>
      <c r="I872">
        <f>VLOOKUP(Table4[[#This Row],[Visitor]],'NHL Model'!$A$6:$B$38,2,FALSE)</f>
        <v>-0.45007023285116615</v>
      </c>
      <c r="J872">
        <f>($B$1+Table4[[#This Row],[Home Differential]])-Table4[[#This Row],[Away Differential]]</f>
        <v>0.70834736407813015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0.63447811803452503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6.4811420118814619E-2</v>
      </c>
      <c r="H873" t="s">
        <v>25</v>
      </c>
      <c r="I873">
        <f>VLOOKUP(Table4[[#This Row],[Visitor]],'NHL Model'!$A$6:$B$38,2,FALSE)</f>
        <v>0.42515174825138019</v>
      </c>
      <c r="J873">
        <f>($B$1+Table4[[#This Row],[Home Differential]])-Table4[[#This Row],[Away Differential]]</f>
        <v>-0.2227969391601492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0.56233943062468705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0.34329638981067145</v>
      </c>
      <c r="H874" t="s">
        <v>20</v>
      </c>
      <c r="I874">
        <f>VLOOKUP(Table4[[#This Row],[Visitor]],'NHL Model'!$A$6:$B$38,2,FALSE)</f>
        <v>0.12073374225454764</v>
      </c>
      <c r="J874">
        <f>($B$1+Table4[[#This Row],[Home Differential]])-Table4[[#This Row],[Away Differential]]</f>
        <v>0.36010603652854017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0.66341492134667135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0.42515174825138019</v>
      </c>
      <c r="H875" t="s">
        <v>13</v>
      </c>
      <c r="I875">
        <f>VLOOKUP(Table4[[#This Row],[Visitor]],'NHL Model'!$A$6:$B$38,2,FALSE)</f>
        <v>-0.36134162888396865</v>
      </c>
      <c r="J875">
        <f>($B$1+Table4[[#This Row],[Home Differential]])-Table4[[#This Row],[Away Differential]]</f>
        <v>0.92403676610776508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0.63233729791623816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7.1667377873261273E-2</v>
      </c>
      <c r="H876" t="s">
        <v>21</v>
      </c>
      <c r="I876">
        <f>VLOOKUP(Table4[[#This Row],[Visitor]],'NHL Model'!$A$6:$B$38,2,FALSE)</f>
        <v>-0.14464931395309213</v>
      </c>
      <c r="J876">
        <f>($B$1+Table4[[#This Row],[Home Differential]])-Table4[[#This Row],[Away Differential]]</f>
        <v>0.35386008079876974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0.58969271064307394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-1.0952038865534519</v>
      </c>
      <c r="H877" t="s">
        <v>19</v>
      </c>
      <c r="I877">
        <f>VLOOKUP(Table4[[#This Row],[Visitor]],'NHL Model'!$A$6:$B$38,2,FALSE)</f>
        <v>-0.93520311342823803</v>
      </c>
      <c r="J877">
        <f>($B$1+Table4[[#This Row],[Home Differential]])-Table4[[#This Row],[Away Differential]]</f>
        <v>-2.2457384152797522E-2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0.46299532616105094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-0.15263505358797036</v>
      </c>
      <c r="H878" t="s">
        <v>33</v>
      </c>
      <c r="I878">
        <f>VLOOKUP(Table4[[#This Row],[Visitor]],'NHL Model'!$A$6:$B$38,2,FALSE)</f>
        <v>-0.36178381286707545</v>
      </c>
      <c r="J878">
        <f>($B$1+Table4[[#This Row],[Home Differential]])-Table4[[#This Row],[Away Differential]]</f>
        <v>0.34669214825152145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0.58624118527889013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1.4458345276269271</v>
      </c>
      <c r="H879" t="s">
        <v>26</v>
      </c>
      <c r="I879">
        <f>VLOOKUP(Table4[[#This Row],[Visitor]],'NHL Model'!$A$6:$B$38,2,FALSE)</f>
        <v>-0.66335717753705836</v>
      </c>
      <c r="J879">
        <f>($B$1+Table4[[#This Row],[Home Differential]])-Table4[[#This Row],[Away Differential]]</f>
        <v>2.2467350941364019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0.88982948579364529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4.3828122498436855E-3</v>
      </c>
      <c r="H880" t="s">
        <v>40</v>
      </c>
      <c r="I880">
        <f>VLOOKUP(Table4[[#This Row],[Visitor]],'NHL Model'!$A$6:$B$38,2,FALSE)</f>
        <v>-6.0247860940930854E-2</v>
      </c>
      <c r="J880">
        <f>($B$1+Table4[[#This Row],[Home Differential]])-Table4[[#This Row],[Away Differential]]</f>
        <v>0.20217406216319089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0.50315609486463064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-0.37836939589441088</v>
      </c>
      <c r="H881" t="s">
        <v>23</v>
      </c>
      <c r="I881">
        <f>VLOOKUP(Table4[[#This Row],[Visitor]],'NHL Model'!$A$6:$B$38,2,FALSE)</f>
        <v>-0.51535072045188635</v>
      </c>
      <c r="J881">
        <f>($B$1+Table4[[#This Row],[Home Differential]])-Table4[[#This Row],[Away Differential]]</f>
        <v>0.27452471352989183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0.62833159686384654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-0.16358905079701039</v>
      </c>
      <c r="H882" t="s">
        <v>18</v>
      </c>
      <c r="I882">
        <f>VLOOKUP(Table4[[#This Row],[Visitor]],'NHL Model'!$A$6:$B$38,2,FALSE)</f>
        <v>-0.74754136228530599</v>
      </c>
      <c r="J882">
        <f>($B$1+Table4[[#This Row],[Home Differential]])-Table4[[#This Row],[Away Differential]]</f>
        <v>0.72149570046071199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0.58913242839516167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-1.4957350924899622</v>
      </c>
      <c r="H883" t="s">
        <v>35</v>
      </c>
      <c r="I883">
        <f>VLOOKUP(Table4[[#This Row],[Visitor]],'NHL Model'!$A$6:$B$38,2,FALSE)</f>
        <v>-1.5569791149906038</v>
      </c>
      <c r="J883">
        <f>($B$1+Table4[[#This Row],[Home Differential]])-Table4[[#This Row],[Away Differential]]</f>
        <v>0.19878741147305812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0.56651391319761835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-0.2090057419115289</v>
      </c>
      <c r="H884" t="s">
        <v>36</v>
      </c>
      <c r="I884">
        <f>VLOOKUP(Table4[[#This Row],[Visitor]],'NHL Model'!$A$6:$B$38,2,FALSE)</f>
        <v>-0.31751962084606655</v>
      </c>
      <c r="J884">
        <f>($B$1+Table4[[#This Row],[Home Differential]])-Table4[[#This Row],[Away Differential]]</f>
        <v>0.24605726790695401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0.5520494522378282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-0.30969050963205513</v>
      </c>
      <c r="H885" t="s">
        <v>38</v>
      </c>
      <c r="I885">
        <f>VLOOKUP(Table4[[#This Row],[Visitor]],'NHL Model'!$A$6:$B$38,2,FALSE)</f>
        <v>-1.1236485959014608</v>
      </c>
      <c r="J885">
        <f>($B$1+Table4[[#This Row],[Home Differential]])-Table4[[#This Row],[Away Differential]]</f>
        <v>0.95150147524182205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0.69833815456073378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6.4811420118814619E-2</v>
      </c>
      <c r="H886" t="s">
        <v>30</v>
      </c>
      <c r="I886">
        <f>VLOOKUP(Table4[[#This Row],[Visitor]],'NHL Model'!$A$6:$B$38,2,FALSE)</f>
        <v>3.838472305373858E-3</v>
      </c>
      <c r="J886">
        <f>($B$1+Table4[[#This Row],[Home Differential]])-Table4[[#This Row],[Away Differential]]</f>
        <v>0.19851633678585714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0.49385458862763676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0.34329638981067145</v>
      </c>
      <c r="H887" t="s">
        <v>32</v>
      </c>
      <c r="I887">
        <f>VLOOKUP(Table4[[#This Row],[Visitor]],'NHL Model'!$A$6:$B$38,2,FALSE)</f>
        <v>-0.45007023285116615</v>
      </c>
      <c r="J887">
        <f>($B$1+Table4[[#This Row],[Home Differential]])-Table4[[#This Row],[Away Differential]]</f>
        <v>0.93091001163425391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0.75908376507241337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0.42515174825138019</v>
      </c>
      <c r="H888" t="s">
        <v>36</v>
      </c>
      <c r="I888">
        <f>VLOOKUP(Table4[[#This Row],[Visitor]],'NHL Model'!$A$6:$B$38,2,FALSE)</f>
        <v>-0.31751962084606655</v>
      </c>
      <c r="J888">
        <f>($B$1+Table4[[#This Row],[Home Differential]])-Table4[[#This Row],[Away Differential]]</f>
        <v>0.88021475806986305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0.68883005836271749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-0.87263145033954281</v>
      </c>
      <c r="H889" t="s">
        <v>19</v>
      </c>
      <c r="I889">
        <f>VLOOKUP(Table4[[#This Row],[Visitor]],'NHL Model'!$A$6:$B$38,2,FALSE)</f>
        <v>-0.93520311342823803</v>
      </c>
      <c r="J889">
        <f>($B$1+Table4[[#This Row],[Home Differential]])-Table4[[#This Row],[Away Differential]]</f>
        <v>0.20011505206111158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0.60272785790950445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-1.8032585202533785E-2</v>
      </c>
      <c r="H890" t="s">
        <v>28</v>
      </c>
      <c r="I890">
        <f>VLOOKUP(Table4[[#This Row],[Visitor]],'NHL Model'!$A$6:$B$38,2,FALSE)</f>
        <v>-0.59418600019583889</v>
      </c>
      <c r="J890">
        <f>($B$1+Table4[[#This Row],[Home Differential]])-Table4[[#This Row],[Away Differential]]</f>
        <v>0.71369680396572144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0.74986787585396386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3.838472305373858E-3</v>
      </c>
      <c r="H891" t="s">
        <v>14</v>
      </c>
      <c r="I891">
        <f>VLOOKUP(Table4[[#This Row],[Visitor]],'NHL Model'!$A$6:$B$38,2,FALSE)</f>
        <v>-0.2090057419115289</v>
      </c>
      <c r="J891">
        <f>($B$1+Table4[[#This Row],[Home Differential]])-Table4[[#This Row],[Away Differential]]</f>
        <v>0.35038760318931911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0.58673407851956583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-0.42203126246971279</v>
      </c>
      <c r="H892" t="s">
        <v>22</v>
      </c>
      <c r="I892">
        <f>VLOOKUP(Table4[[#This Row],[Visitor]],'NHL Model'!$A$6:$B$38,2,FALSE)</f>
        <v>6.4811420118814619E-2</v>
      </c>
      <c r="J892">
        <f>($B$1+Table4[[#This Row],[Home Differential]])-Table4[[#This Row],[Away Differential]]</f>
        <v>-0.34929929361611106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0.49486478378336768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7.1667377873261273E-2</v>
      </c>
      <c r="H893" t="s">
        <v>23</v>
      </c>
      <c r="I893">
        <f>VLOOKUP(Table4[[#This Row],[Visitor]],'NHL Model'!$A$6:$B$38,2,FALSE)</f>
        <v>-0.51535072045188635</v>
      </c>
      <c r="J893">
        <f>($B$1+Table4[[#This Row],[Home Differential]])-Table4[[#This Row],[Away Differential]]</f>
        <v>0.72456148729756398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0.63913620830377038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-0.59418600019583889</v>
      </c>
      <c r="H894" t="s">
        <v>10</v>
      </c>
      <c r="I894">
        <f>VLOOKUP(Table4[[#This Row],[Visitor]],'NHL Model'!$A$6:$B$38,2,FALSE)</f>
        <v>-0.15263505358797036</v>
      </c>
      <c r="J894">
        <f>($B$1+Table4[[#This Row],[Home Differential]])-Table4[[#This Row],[Away Differential]]</f>
        <v>-0.30400755763545217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0.49350203825087013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-1.0952038865534519</v>
      </c>
      <c r="H895" t="s">
        <v>17</v>
      </c>
      <c r="I895">
        <f>VLOOKUP(Table4[[#This Row],[Visitor]],'NHL Model'!$A$6:$B$38,2,FALSE)</f>
        <v>-0.87263145033954281</v>
      </c>
      <c r="J895">
        <f>($B$1+Table4[[#This Row],[Home Differential]])-Table4[[#This Row],[Away Differential]]</f>
        <v>-8.5029047241492739E-2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0.47134102386630594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1.4458345276269271</v>
      </c>
      <c r="H896" t="s">
        <v>33</v>
      </c>
      <c r="I896">
        <f>VLOOKUP(Table4[[#This Row],[Visitor]],'NHL Model'!$A$6:$B$38,2,FALSE)</f>
        <v>-0.36178381286707545</v>
      </c>
      <c r="J896">
        <f>($B$1+Table4[[#This Row],[Home Differential]])-Table4[[#This Row],[Away Differential]]</f>
        <v>1.945161729466419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0.89436286452777281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4.3828122498436855E-3</v>
      </c>
      <c r="H897" t="s">
        <v>35</v>
      </c>
      <c r="I897">
        <f>VLOOKUP(Table4[[#This Row],[Visitor]],'NHL Model'!$A$6:$B$38,2,FALSE)</f>
        <v>-1.5569791149906038</v>
      </c>
      <c r="J897">
        <f>($B$1+Table4[[#This Row],[Home Differential]])-Table4[[#This Row],[Away Differential]]</f>
        <v>1.6989053162128638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0.76909246415046706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-0.37836939589441088</v>
      </c>
      <c r="H898" t="s">
        <v>21</v>
      </c>
      <c r="I898">
        <f>VLOOKUP(Table4[[#This Row],[Visitor]],'NHL Model'!$A$6:$B$38,2,FALSE)</f>
        <v>-0.14464931395309213</v>
      </c>
      <c r="J898">
        <f>($B$1+Table4[[#This Row],[Home Differential]])-Table4[[#This Row],[Away Differential]]</f>
        <v>-9.6176692968902383E-2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0.42111190079684985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-0.36134162888396865</v>
      </c>
      <c r="H899" t="s">
        <v>32</v>
      </c>
      <c r="I899">
        <f>VLOOKUP(Table4[[#This Row],[Visitor]],'NHL Model'!$A$6:$B$38,2,FALSE)</f>
        <v>-0.45007023285116615</v>
      </c>
      <c r="J899">
        <f>($B$1+Table4[[#This Row],[Home Differential]])-Table4[[#This Row],[Away Differential]]</f>
        <v>0.22627199293961386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0.57017975804099708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-1.4957350924899622</v>
      </c>
      <c r="H900" t="s">
        <v>34</v>
      </c>
      <c r="I900">
        <f>VLOOKUP(Table4[[#This Row],[Visitor]],'NHL Model'!$A$6:$B$38,2,FALSE)</f>
        <v>-0.16358905079701039</v>
      </c>
      <c r="J900">
        <f>($B$1+Table4[[#This Row],[Home Differential]])-Table4[[#This Row],[Away Differential]]</f>
        <v>-1.1946026527205353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0.64010321879779153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-0.30969050963205513</v>
      </c>
      <c r="H901" t="s">
        <v>26</v>
      </c>
      <c r="I901">
        <f>VLOOKUP(Table4[[#This Row],[Visitor]],'NHL Model'!$A$6:$B$38,2,FALSE)</f>
        <v>-0.66335717753705836</v>
      </c>
      <c r="J901">
        <f>($B$1+Table4[[#This Row],[Home Differential]])-Table4[[#This Row],[Away Differential]]</f>
        <v>0.49121005687741959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0.61097127366854598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0.12073374225454764</v>
      </c>
      <c r="H902" t="s">
        <v>38</v>
      </c>
      <c r="I902">
        <f>VLOOKUP(Table4[[#This Row],[Visitor]],'NHL Model'!$A$6:$B$38,2,FALSE)</f>
        <v>-1.1236485959014608</v>
      </c>
      <c r="J902">
        <f>($B$1+Table4[[#This Row],[Home Differential]])-Table4[[#This Row],[Away Differential]]</f>
        <v>1.3819257271284249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0.70354957746478308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-6.0247860940930854E-2</v>
      </c>
      <c r="H903" t="s">
        <v>18</v>
      </c>
      <c r="I903">
        <f>VLOOKUP(Table4[[#This Row],[Visitor]],'NHL Model'!$A$6:$B$38,2,FALSE)</f>
        <v>-0.74754136228530599</v>
      </c>
      <c r="J903">
        <f>($B$1+Table4[[#This Row],[Home Differential]])-Table4[[#This Row],[Away Differential]]</f>
        <v>0.82483689031679153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0.60542812895838272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-0.51535072045188635</v>
      </c>
      <c r="H904" t="s">
        <v>14</v>
      </c>
      <c r="I904">
        <f>VLOOKUP(Table4[[#This Row],[Visitor]],'NHL Model'!$A$6:$B$38,2,FALSE)</f>
        <v>-0.2090057419115289</v>
      </c>
      <c r="J904">
        <f>($B$1+Table4[[#This Row],[Home Differential]])-Table4[[#This Row],[Away Differential]]</f>
        <v>-0.16880158956794108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0.46849783683175267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-1.8032585202533785E-2</v>
      </c>
      <c r="H905" t="s">
        <v>30</v>
      </c>
      <c r="I905">
        <f>VLOOKUP(Table4[[#This Row],[Visitor]],'NHL Model'!$A$6:$B$38,2,FALSE)</f>
        <v>3.838472305373858E-3</v>
      </c>
      <c r="J905">
        <f>($B$1+Table4[[#This Row],[Home Differential]])-Table4[[#This Row],[Away Differential]]</f>
        <v>0.11567233146450871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0.60252494508771881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-0.49835870184734621</v>
      </c>
      <c r="H906" t="s">
        <v>25</v>
      </c>
      <c r="I906">
        <f>VLOOKUP(Table4[[#This Row],[Visitor]],'NHL Model'!$A$6:$B$38,2,FALSE)</f>
        <v>0.42515174825138019</v>
      </c>
      <c r="J906">
        <f>($B$1+Table4[[#This Row],[Home Differential]])-Table4[[#This Row],[Away Differential]]</f>
        <v>-0.7859670611263101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0.63745406499038793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-0.42203126246971279</v>
      </c>
      <c r="H907" t="s">
        <v>36</v>
      </c>
      <c r="I907">
        <f>VLOOKUP(Table4[[#This Row],[Visitor]],'NHL Model'!$A$6:$B$38,2,FALSE)</f>
        <v>-0.31751962084606655</v>
      </c>
      <c r="J907">
        <f>($B$1+Table4[[#This Row],[Home Differential]])-Table4[[#This Row],[Away Differential]]</f>
        <v>3.3031747348770124E-2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0.55612985394434278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7.1667377873261273E-2</v>
      </c>
      <c r="H908" t="s">
        <v>11</v>
      </c>
      <c r="I908">
        <f>VLOOKUP(Table4[[#This Row],[Visitor]],'NHL Model'!$A$6:$B$38,2,FALSE)</f>
        <v>-0.37836939589441088</v>
      </c>
      <c r="J908">
        <f>($B$1+Table4[[#This Row],[Home Differential]])-Table4[[#This Row],[Away Differential]]</f>
        <v>0.58758016274008851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0.62086588161608713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0.12073374225454764</v>
      </c>
      <c r="H909" t="s">
        <v>13</v>
      </c>
      <c r="I909">
        <f>VLOOKUP(Table4[[#This Row],[Visitor]],'NHL Model'!$A$6:$B$38,2,FALSE)</f>
        <v>-0.36134162888396865</v>
      </c>
      <c r="J909">
        <f>($B$1+Table4[[#This Row],[Home Differential]])-Table4[[#This Row],[Away Differential]]</f>
        <v>0.61961876011093264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0.53916539296876509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6.4811420118814619E-2</v>
      </c>
      <c r="H910" t="s">
        <v>29</v>
      </c>
      <c r="I910">
        <f>VLOOKUP(Table4[[#This Row],[Visitor]],'NHL Model'!$A$6:$B$38,2,FALSE)</f>
        <v>-1.4957350924899622</v>
      </c>
      <c r="J910">
        <f>($B$1+Table4[[#This Row],[Home Differential]])-Table4[[#This Row],[Away Differential]]</f>
        <v>1.6980899015811932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0.76648822638539149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0.34329638981067145</v>
      </c>
      <c r="H911" t="s">
        <v>17</v>
      </c>
      <c r="I911">
        <f>VLOOKUP(Table4[[#This Row],[Visitor]],'NHL Model'!$A$6:$B$38,2,FALSE)</f>
        <v>-0.87263145033954281</v>
      </c>
      <c r="J911">
        <f>($B$1+Table4[[#This Row],[Home Differential]])-Table4[[#This Row],[Away Differential]]</f>
        <v>1.3534712291226305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0.81544423255948661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4.3828122498436855E-3</v>
      </c>
      <c r="H912" t="s">
        <v>32</v>
      </c>
      <c r="I912">
        <f>VLOOKUP(Table4[[#This Row],[Visitor]],'NHL Model'!$A$6:$B$38,2,FALSE)</f>
        <v>-0.45007023285116615</v>
      </c>
      <c r="J912">
        <f>($B$1+Table4[[#This Row],[Home Differential]])-Table4[[#This Row],[Away Differential]]</f>
        <v>0.59199643407342617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0.62145491607215031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-0.36134162888396865</v>
      </c>
      <c r="H913" t="s">
        <v>20</v>
      </c>
      <c r="I913">
        <f>VLOOKUP(Table4[[#This Row],[Visitor]],'NHL Model'!$A$6:$B$38,2,FALSE)</f>
        <v>0.12073374225454764</v>
      </c>
      <c r="J913">
        <f>($B$1+Table4[[#This Row],[Home Differential]])-Table4[[#This Row],[Away Differential]]</f>
        <v>-0.34453198216609993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0.52672229691795625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-1.8032585202533785E-2</v>
      </c>
      <c r="H914" t="s">
        <v>23</v>
      </c>
      <c r="I914">
        <f>VLOOKUP(Table4[[#This Row],[Visitor]],'NHL Model'!$A$6:$B$38,2,FALSE)</f>
        <v>-0.51535072045188635</v>
      </c>
      <c r="J914">
        <f>($B$1+Table4[[#This Row],[Home Differential]])-Table4[[#This Row],[Away Differential]]</f>
        <v>0.63486152422176889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0.74010741835459071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7.1667377873261273E-2</v>
      </c>
      <c r="H915" t="s">
        <v>19</v>
      </c>
      <c r="I915">
        <f>VLOOKUP(Table4[[#This Row],[Visitor]],'NHL Model'!$A$6:$B$38,2,FALSE)</f>
        <v>-0.93520311342823803</v>
      </c>
      <c r="J915">
        <f>($B$1+Table4[[#This Row],[Home Differential]])-Table4[[#This Row],[Away Differential]]</f>
        <v>1.1444138802739157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0.69513537757056287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-0.30969050963205513</v>
      </c>
      <c r="H916" t="s">
        <v>12</v>
      </c>
      <c r="I916">
        <f>VLOOKUP(Table4[[#This Row],[Visitor]],'NHL Model'!$A$6:$B$38,2,FALSE)</f>
        <v>1.4458345276269271</v>
      </c>
      <c r="J916">
        <f>($B$1+Table4[[#This Row],[Home Differential]])-Table4[[#This Row],[Away Differential]]</f>
        <v>-1.6179816482865659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0.71580352930861291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-1.1236485959014608</v>
      </c>
      <c r="H917" t="s">
        <v>40</v>
      </c>
      <c r="I917">
        <f>VLOOKUP(Table4[[#This Row],[Visitor]],'NHL Model'!$A$6:$B$38,2,FALSE)</f>
        <v>-6.0247860940930854E-2</v>
      </c>
      <c r="J917">
        <f>($B$1+Table4[[#This Row],[Home Differential]])-Table4[[#This Row],[Away Differential]]</f>
        <v>-0.92585734598811364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0.64980500402202657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6.4811420118814619E-2</v>
      </c>
      <c r="H918" t="s">
        <v>27</v>
      </c>
      <c r="I918">
        <f>VLOOKUP(Table4[[#This Row],[Visitor]],'NHL Model'!$A$6:$B$38,2,FALSE)</f>
        <v>-0.42203126246971279</v>
      </c>
      <c r="J918">
        <f>($B$1+Table4[[#This Row],[Home Differential]])-Table4[[#This Row],[Away Differential]]</f>
        <v>0.62438607156094372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0.623279509404007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-0.14464931395309213</v>
      </c>
      <c r="H919" t="s">
        <v>28</v>
      </c>
      <c r="I919">
        <f>VLOOKUP(Table4[[#This Row],[Visitor]],'NHL Model'!$A$6:$B$38,2,FALSE)</f>
        <v>-0.59418600019583889</v>
      </c>
      <c r="J919">
        <f>($B$1+Table4[[#This Row],[Home Differential]])-Table4[[#This Row],[Away Differential]]</f>
        <v>0.58708007521516314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0.66921279253164401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0.42515174825138019</v>
      </c>
      <c r="H920" t="s">
        <v>37</v>
      </c>
      <c r="I920">
        <f>VLOOKUP(Table4[[#This Row],[Visitor]],'NHL Model'!$A$6:$B$38,2,FALSE)</f>
        <v>7.1667377873261273E-2</v>
      </c>
      <c r="J920">
        <f>($B$1+Table4[[#This Row],[Home Differential]])-Table4[[#This Row],[Away Differential]]</f>
        <v>0.49102775935053522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0.59180820316611549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1.4458345276269271</v>
      </c>
      <c r="H921" t="s">
        <v>34</v>
      </c>
      <c r="I921">
        <f>VLOOKUP(Table4[[#This Row],[Visitor]],'NHL Model'!$A$6:$B$38,2,FALSE)</f>
        <v>-0.16358905079701039</v>
      </c>
      <c r="J921">
        <f>($B$1+Table4[[#This Row],[Home Differential]])-Table4[[#This Row],[Away Differential]]</f>
        <v>1.7469669673963539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0.84839197832284174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-0.37836939589441088</v>
      </c>
      <c r="H922" t="s">
        <v>19</v>
      </c>
      <c r="I922">
        <f>VLOOKUP(Table4[[#This Row],[Visitor]],'NHL Model'!$A$6:$B$38,2,FALSE)</f>
        <v>-0.93520311342823803</v>
      </c>
      <c r="J922">
        <f>($B$1+Table4[[#This Row],[Home Differential]])-Table4[[#This Row],[Away Differential]]</f>
        <v>0.69437710650624351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0.68433076613063903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-0.36134162888396865</v>
      </c>
      <c r="H923" t="s">
        <v>17</v>
      </c>
      <c r="I923">
        <f>VLOOKUP(Table4[[#This Row],[Visitor]],'NHL Model'!$A$6:$B$38,2,FALSE)</f>
        <v>-0.87263145033954281</v>
      </c>
      <c r="J923">
        <f>($B$1+Table4[[#This Row],[Home Differential]])-Table4[[#This Row],[Away Differential]]</f>
        <v>0.64883321042799058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0.62654022552807032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-0.74754136228530599</v>
      </c>
      <c r="H924" t="s">
        <v>30</v>
      </c>
      <c r="I924">
        <f>VLOOKUP(Table4[[#This Row],[Visitor]],'NHL Model'!$A$6:$B$38,2,FALSE)</f>
        <v>3.838472305373858E-3</v>
      </c>
      <c r="J924">
        <f>($B$1+Table4[[#This Row],[Home Differential]])-Table4[[#This Row],[Away Differential]]</f>
        <v>-0.61383644561826345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0.61449558807067861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-1.4957350924899622</v>
      </c>
      <c r="H925" t="s">
        <v>10</v>
      </c>
      <c r="I925">
        <f>VLOOKUP(Table4[[#This Row],[Visitor]],'NHL Model'!$A$6:$B$38,2,FALSE)</f>
        <v>-0.15263505358797036</v>
      </c>
      <c r="J925">
        <f>($B$1+Table4[[#This Row],[Home Differential]])-Table4[[#This Row],[Away Differential]]</f>
        <v>-1.2055566499295753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0.62079501279373717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-0.49835870184734621</v>
      </c>
      <c r="H926" t="s">
        <v>27</v>
      </c>
      <c r="I926">
        <f>VLOOKUP(Table4[[#This Row],[Visitor]],'NHL Model'!$A$6:$B$38,2,FALSE)</f>
        <v>-0.42203126246971279</v>
      </c>
      <c r="J926">
        <f>($B$1+Table4[[#This Row],[Home Differential]])-Table4[[#This Row],[Away Differential]]</f>
        <v>6.1215949594782937E-2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0.54816487503830613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-0.31751962084606655</v>
      </c>
      <c r="H927" t="s">
        <v>26</v>
      </c>
      <c r="I927">
        <f>VLOOKUP(Table4[[#This Row],[Visitor]],'NHL Model'!$A$6:$B$38,2,FALSE)</f>
        <v>-0.66335717753705836</v>
      </c>
      <c r="J927">
        <f>($B$1+Table4[[#This Row],[Home Differential]])-Table4[[#This Row],[Away Differential]]</f>
        <v>0.48338094566340817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0.55988533925020456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-0.2090057419115289</v>
      </c>
      <c r="H928" t="s">
        <v>24</v>
      </c>
      <c r="I928">
        <f>VLOOKUP(Table4[[#This Row],[Visitor]],'NHL Model'!$A$6:$B$38,2,FALSE)</f>
        <v>-1.8032585202533785E-2</v>
      </c>
      <c r="J928">
        <f>($B$1+Table4[[#This Row],[Home Differential]])-Table4[[#This Row],[Away Differential]]</f>
        <v>-5.3429767736578759E-2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0.46795586096688652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-0.36178381286707545</v>
      </c>
      <c r="H929" t="s">
        <v>16</v>
      </c>
      <c r="I929">
        <f>VLOOKUP(Table4[[#This Row],[Visitor]],'NHL Model'!$A$6:$B$38,2,FALSE)</f>
        <v>-1.0952038865534519</v>
      </c>
      <c r="J929">
        <f>($B$1+Table4[[#This Row],[Home Differential]])-Table4[[#This Row],[Away Differential]]</f>
        <v>0.87096346265879276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0.65616756552193489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-1.5569791149906038</v>
      </c>
      <c r="H930" t="s">
        <v>32</v>
      </c>
      <c r="I930">
        <f>VLOOKUP(Table4[[#This Row],[Visitor]],'NHL Model'!$A$6:$B$38,2,FALSE)</f>
        <v>-0.45007023285116615</v>
      </c>
      <c r="J930">
        <f>($B$1+Table4[[#This Row],[Home Differential]])-Table4[[#This Row],[Away Differential]]</f>
        <v>-0.96936549316702125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0.58929225423351439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0.34329638981067145</v>
      </c>
      <c r="H931" t="s">
        <v>40</v>
      </c>
      <c r="I931">
        <f>VLOOKUP(Table4[[#This Row],[Visitor]],'NHL Model'!$A$6:$B$38,2,FALSE)</f>
        <v>-6.0247860940930854E-2</v>
      </c>
      <c r="J931">
        <f>($B$1+Table4[[#This Row],[Home Differential]])-Table4[[#This Row],[Away Differential]]</f>
        <v>0.54108763972401863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0.64359788338669399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-0.37836939589441088</v>
      </c>
      <c r="H932" t="s">
        <v>23</v>
      </c>
      <c r="I932">
        <f>VLOOKUP(Table4[[#This Row],[Visitor]],'NHL Model'!$A$6:$B$38,2,FALSE)</f>
        <v>-0.51535072045188635</v>
      </c>
      <c r="J932">
        <f>($B$1+Table4[[#This Row],[Home Differential]])-Table4[[#This Row],[Away Differential]]</f>
        <v>0.27452471352989183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0.62833159686384654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-0.30969050963205513</v>
      </c>
      <c r="H933" t="s">
        <v>34</v>
      </c>
      <c r="I933">
        <f>VLOOKUP(Table4[[#This Row],[Visitor]],'NHL Model'!$A$6:$B$38,2,FALSE)</f>
        <v>-0.16358905079701039</v>
      </c>
      <c r="J933">
        <f>($B$1+Table4[[#This Row],[Home Differential]])-Table4[[#This Row],[Away Differential]]</f>
        <v>-8.5580698626283869E-3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0.42971288878661751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6.4811420118814619E-2</v>
      </c>
      <c r="H934" t="s">
        <v>20</v>
      </c>
      <c r="I934">
        <f>VLOOKUP(Table4[[#This Row],[Visitor]],'NHL Model'!$A$6:$B$38,2,FALSE)</f>
        <v>0.12073374225454764</v>
      </c>
      <c r="J934">
        <f>($B$1+Table4[[#This Row],[Home Differential]])-Table4[[#This Row],[Away Differential]]</f>
        <v>8.1621066836683354E-2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0.5301172427009373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0.42515174825138019</v>
      </c>
      <c r="H935" t="s">
        <v>26</v>
      </c>
      <c r="I935">
        <f>VLOOKUP(Table4[[#This Row],[Visitor]],'NHL Model'!$A$6:$B$38,2,FALSE)</f>
        <v>-0.66335717753705836</v>
      </c>
      <c r="J935">
        <f>($B$1+Table4[[#This Row],[Home Differential]])-Table4[[#This Row],[Away Differential]]</f>
        <v>1.2260523147608549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0.70898323375739636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-0.59418600019583889</v>
      </c>
      <c r="H936" t="s">
        <v>30</v>
      </c>
      <c r="I936">
        <f>VLOOKUP(Table4[[#This Row],[Visitor]],'NHL Model'!$A$6:$B$38,2,FALSE)</f>
        <v>3.838472305373858E-3</v>
      </c>
      <c r="J936">
        <f>($B$1+Table4[[#This Row],[Home Differential]])-Table4[[#This Row],[Away Differential]]</f>
        <v>-0.46048108352879641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0.58696559737765974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1.4458345276269271</v>
      </c>
      <c r="H937" t="s">
        <v>10</v>
      </c>
      <c r="I937">
        <f>VLOOKUP(Table4[[#This Row],[Visitor]],'NHL Model'!$A$6:$B$38,2,FALSE)</f>
        <v>-0.15263505358797036</v>
      </c>
      <c r="J937">
        <f>($B$1+Table4[[#This Row],[Home Differential]])-Table4[[#This Row],[Away Differential]]</f>
        <v>1.7360129701873139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0.86646697309368503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4.3828122498436855E-3</v>
      </c>
      <c r="H938" t="s">
        <v>29</v>
      </c>
      <c r="I938">
        <f>VLOOKUP(Table4[[#This Row],[Visitor]],'NHL Model'!$A$6:$B$38,2,FALSE)</f>
        <v>-1.4957350924899622</v>
      </c>
      <c r="J938">
        <f>($B$1+Table4[[#This Row],[Home Differential]])-Table4[[#This Row],[Away Differential]]</f>
        <v>1.6376612937122221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0.76092384479765118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-0.36134162888396865</v>
      </c>
      <c r="H939" t="s">
        <v>16</v>
      </c>
      <c r="I939">
        <f>VLOOKUP(Table4[[#This Row],[Visitor]],'NHL Model'!$A$6:$B$38,2,FALSE)</f>
        <v>-1.0952038865534519</v>
      </c>
      <c r="J939">
        <f>($B$1+Table4[[#This Row],[Home Differential]])-Table4[[#This Row],[Away Differential]]</f>
        <v>0.87140564664189957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0.65622654323917862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-0.74754136228530599</v>
      </c>
      <c r="H940" t="s">
        <v>22</v>
      </c>
      <c r="I940">
        <f>VLOOKUP(Table4[[#This Row],[Visitor]],'NHL Model'!$A$6:$B$38,2,FALSE)</f>
        <v>6.4811420118814619E-2</v>
      </c>
      <c r="J940">
        <f>($B$1+Table4[[#This Row],[Home Differential]])-Table4[[#This Row],[Away Differential]]</f>
        <v>-0.67480939343170421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0.57077411362274366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-0.49835870184734621</v>
      </c>
      <c r="H941" t="s">
        <v>14</v>
      </c>
      <c r="I941">
        <f>VLOOKUP(Table4[[#This Row],[Visitor]],'NHL Model'!$A$6:$B$38,2,FALSE)</f>
        <v>-0.2090057419115289</v>
      </c>
      <c r="J941">
        <f>($B$1+Table4[[#This Row],[Home Differential]])-Table4[[#This Row],[Away Differential]]</f>
        <v>-0.15180957096340095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0.48024809195544466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-0.42203126246971279</v>
      </c>
      <c r="H942" t="s">
        <v>21</v>
      </c>
      <c r="I942">
        <f>VLOOKUP(Table4[[#This Row],[Visitor]],'NHL Model'!$A$6:$B$38,2,FALSE)</f>
        <v>-0.14464931395309213</v>
      </c>
      <c r="J942">
        <f>($B$1+Table4[[#This Row],[Home Differential]])-Table4[[#This Row],[Away Differential]]</f>
        <v>-0.13983855954420429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0.44640535382617719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-0.45007023285116615</v>
      </c>
      <c r="H943" t="s">
        <v>38</v>
      </c>
      <c r="I943">
        <f>VLOOKUP(Table4[[#This Row],[Visitor]],'NHL Model'!$A$6:$B$38,2,FALSE)</f>
        <v>-1.1236485959014608</v>
      </c>
      <c r="J943">
        <f>($B$1+Table4[[#This Row],[Home Differential]])-Table4[[#This Row],[Away Differential]]</f>
        <v>0.81112175202271097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0.65364052949883666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-0.36178381286707545</v>
      </c>
      <c r="H944" t="s">
        <v>17</v>
      </c>
      <c r="I944">
        <f>VLOOKUP(Table4[[#This Row],[Visitor]],'NHL Model'!$A$6:$B$38,2,FALSE)</f>
        <v>-0.87263145033954281</v>
      </c>
      <c r="J944">
        <f>($B$1+Table4[[#This Row],[Home Differential]])-Table4[[#This Row],[Away Differential]]</f>
        <v>0.64839102644488378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0.62648124781082659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-1.5569791149906038</v>
      </c>
      <c r="H945" t="s">
        <v>24</v>
      </c>
      <c r="I945">
        <f>VLOOKUP(Table4[[#This Row],[Visitor]],'NHL Model'!$A$6:$B$38,2,FALSE)</f>
        <v>-1.8032585202533785E-2</v>
      </c>
      <c r="J945">
        <f>($B$1+Table4[[#This Row],[Home Differential]])-Table4[[#This Row],[Away Differential]]</f>
        <v>-1.4014031408156535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0.64774616429483756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7.1667377873261273E-2</v>
      </c>
      <c r="H946" t="s">
        <v>23</v>
      </c>
      <c r="I946">
        <f>VLOOKUP(Table4[[#This Row],[Visitor]],'NHL Model'!$A$6:$B$38,2,FALSE)</f>
        <v>-0.51535072045188635</v>
      </c>
      <c r="J946">
        <f>($B$1+Table4[[#This Row],[Home Differential]])-Table4[[#This Row],[Away Differential]]</f>
        <v>0.72456148729756398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0.63913620830377038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-0.93520311342823803</v>
      </c>
      <c r="H947" t="s">
        <v>36</v>
      </c>
      <c r="I947">
        <f>VLOOKUP(Table4[[#This Row],[Visitor]],'NHL Model'!$A$6:$B$38,2,FALSE)</f>
        <v>-0.31751962084606655</v>
      </c>
      <c r="J947">
        <f>($B$1+Table4[[#This Row],[Home Differential]])-Table4[[#This Row],[Away Differential]]</f>
        <v>-0.48014010360975512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0.54480946820413423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0.34329638981067145</v>
      </c>
      <c r="H948" t="s">
        <v>16</v>
      </c>
      <c r="I948">
        <f>VLOOKUP(Table4[[#This Row],[Visitor]],'NHL Model'!$A$6:$B$38,2,FALSE)</f>
        <v>-1.0952038865534519</v>
      </c>
      <c r="J948">
        <f>($B$1+Table4[[#This Row],[Home Differential]])-Table4[[#This Row],[Away Differential]]</f>
        <v>1.5760436653365397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0.84513055027059492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-0.16358905079701039</v>
      </c>
      <c r="H949" t="s">
        <v>35</v>
      </c>
      <c r="I949">
        <f>VLOOKUP(Table4[[#This Row],[Visitor]],'NHL Model'!$A$6:$B$38,2,FALSE)</f>
        <v>-1.5569791149906038</v>
      </c>
      <c r="J949">
        <f>($B$1+Table4[[#This Row],[Home Differential]])-Table4[[#This Row],[Away Differential]]</f>
        <v>1.5309334531660097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0.74419319507098147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3.838472305373858E-3</v>
      </c>
      <c r="H950" t="s">
        <v>11</v>
      </c>
      <c r="I950">
        <f>VLOOKUP(Table4[[#This Row],[Visitor]],'NHL Model'!$A$6:$B$38,2,FALSE)</f>
        <v>-0.37836939589441088</v>
      </c>
      <c r="J950">
        <f>($B$1+Table4[[#This Row],[Home Differential]])-Table4[[#This Row],[Away Differential]]</f>
        <v>0.51975125717220105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0.60932350300705251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-0.2090057419115289</v>
      </c>
      <c r="H951" t="s">
        <v>20</v>
      </c>
      <c r="I951">
        <f>VLOOKUP(Table4[[#This Row],[Visitor]],'NHL Model'!$A$6:$B$38,2,FALSE)</f>
        <v>0.12073374225454764</v>
      </c>
      <c r="J951">
        <f>($B$1+Table4[[#This Row],[Home Differential]])-Table4[[#This Row],[Away Differential]]</f>
        <v>-0.19219609519366018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0.50640400586451662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-0.36178381286707545</v>
      </c>
      <c r="H952" t="s">
        <v>40</v>
      </c>
      <c r="I952">
        <f>VLOOKUP(Table4[[#This Row],[Visitor]],'NHL Model'!$A$6:$B$38,2,FALSE)</f>
        <v>-6.0247860940930854E-2</v>
      </c>
      <c r="J952">
        <f>($B$1+Table4[[#This Row],[Home Differential]])-Table4[[#This Row],[Away Differential]]</f>
        <v>-0.16399256295372824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0.54818882734358676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-0.30969050963205513</v>
      </c>
      <c r="H953" t="s">
        <v>10</v>
      </c>
      <c r="I953">
        <f>VLOOKUP(Table4[[#This Row],[Visitor]],'NHL Model'!$A$6:$B$38,2,FALSE)</f>
        <v>-0.15263505358797036</v>
      </c>
      <c r="J953">
        <f>($B$1+Table4[[#This Row],[Home Differential]])-Table4[[#This Row],[Away Differential]]</f>
        <v>-1.9512067071668415E-2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0.41088650864900433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-0.36134162888396865</v>
      </c>
      <c r="H954" t="s">
        <v>12</v>
      </c>
      <c r="I954">
        <f>VLOOKUP(Table4[[#This Row],[Visitor]],'NHL Model'!$A$6:$B$38,2,FALSE)</f>
        <v>1.4458345276269271</v>
      </c>
      <c r="J954">
        <f>($B$1+Table4[[#This Row],[Home Differential]])-Table4[[#This Row],[Away Differential]]</f>
        <v>-1.6696327675384794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0.77517885204559311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-1.4957350924899622</v>
      </c>
      <c r="H955" t="s">
        <v>26</v>
      </c>
      <c r="I955">
        <f>VLOOKUP(Table4[[#This Row],[Visitor]],'NHL Model'!$A$6:$B$38,2,FALSE)</f>
        <v>-0.66335717753705836</v>
      </c>
      <c r="J955">
        <f>($B$1+Table4[[#This Row],[Home Differential]])-Table4[[#This Row],[Away Differential]]</f>
        <v>-0.69483452598048734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0.59977519108010158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-0.49835870184734621</v>
      </c>
      <c r="H956" t="s">
        <v>28</v>
      </c>
      <c r="I956">
        <f>VLOOKUP(Table4[[#This Row],[Visitor]],'NHL Model'!$A$6:$B$38,2,FALSE)</f>
        <v>-0.59418600019583889</v>
      </c>
      <c r="J956">
        <f>($B$1+Table4[[#This Row],[Home Differential]])-Table4[[#This Row],[Away Differential]]</f>
        <v>0.23337068732090904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0.5702970762492221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-0.45007023285116615</v>
      </c>
      <c r="H957" t="s">
        <v>25</v>
      </c>
      <c r="I957">
        <f>VLOOKUP(Table4[[#This Row],[Visitor]],'NHL Model'!$A$6:$B$38,2,FALSE)</f>
        <v>0.42515174825138019</v>
      </c>
      <c r="J957">
        <f>($B$1+Table4[[#This Row],[Home Differential]])-Table4[[#This Row],[Away Differential]]</f>
        <v>-0.73767859213012998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0.60471937925596952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-0.93520311342823803</v>
      </c>
      <c r="H958" t="s">
        <v>27</v>
      </c>
      <c r="I958">
        <f>VLOOKUP(Table4[[#This Row],[Visitor]],'NHL Model'!$A$6:$B$38,2,FALSE)</f>
        <v>-0.42203126246971279</v>
      </c>
      <c r="J958">
        <f>($B$1+Table4[[#This Row],[Home Differential]])-Table4[[#This Row],[Away Differential]]</f>
        <v>-0.37562846198610889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0.51010065960340933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-1.1236485959014608</v>
      </c>
      <c r="H959" t="s">
        <v>39</v>
      </c>
      <c r="I959">
        <f>VLOOKUP(Table4[[#This Row],[Visitor]],'NHL Model'!$A$6:$B$38,2,FALSE)</f>
        <v>4.3828122498436855E-3</v>
      </c>
      <c r="J959">
        <f>($B$1+Table4[[#This Row],[Home Differential]])-Table4[[#This Row],[Away Differential]]</f>
        <v>-0.99048801917888818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0.67306780831123403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0.34329638981067145</v>
      </c>
      <c r="H960" t="s">
        <v>12</v>
      </c>
      <c r="I960">
        <f>VLOOKUP(Table4[[#This Row],[Visitor]],'NHL Model'!$A$6:$B$38,2,FALSE)</f>
        <v>1.4458345276269271</v>
      </c>
      <c r="J960">
        <f>($B$1+Table4[[#This Row],[Home Differential]])-Table4[[#This Row],[Away Differential]]</f>
        <v>-0.96499474884383929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0.58325474663496235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-0.14464931395309213</v>
      </c>
      <c r="H961" t="s">
        <v>14</v>
      </c>
      <c r="I961">
        <f>VLOOKUP(Table4[[#This Row],[Visitor]],'NHL Model'!$A$6:$B$38,2,FALSE)</f>
        <v>-0.2090057419115289</v>
      </c>
      <c r="J961">
        <f>($B$1+Table4[[#This Row],[Home Differential]])-Table4[[#This Row],[Away Differential]]</f>
        <v>0.20189981693085313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0.6186450166616897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-0.51535072045188635</v>
      </c>
      <c r="H962" t="s">
        <v>20</v>
      </c>
      <c r="I962">
        <f>VLOOKUP(Table4[[#This Row],[Visitor]],'NHL Model'!$A$6:$B$38,2,FALSE)</f>
        <v>0.12073374225454764</v>
      </c>
      <c r="J962">
        <f>($B$1+Table4[[#This Row],[Home Differential]])-Table4[[#This Row],[Away Differential]]</f>
        <v>-0.49854107373401763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0.5331611929371225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-0.59418600019583889</v>
      </c>
      <c r="H963" t="s">
        <v>29</v>
      </c>
      <c r="I963">
        <f>VLOOKUP(Table4[[#This Row],[Visitor]],'NHL Model'!$A$6:$B$38,2,FALSE)</f>
        <v>-1.4957350924899622</v>
      </c>
      <c r="J963">
        <f>($B$1+Table4[[#This Row],[Home Differential]])-Table4[[#This Row],[Away Differential]]</f>
        <v>1.0390924812665396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0.68563826838766961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-1.0952038865534519</v>
      </c>
      <c r="H964" t="s">
        <v>39</v>
      </c>
      <c r="I964">
        <f>VLOOKUP(Table4[[#This Row],[Visitor]],'NHL Model'!$A$6:$B$38,2,FALSE)</f>
        <v>4.3828122498436855E-3</v>
      </c>
      <c r="J964">
        <f>($B$1+Table4[[#This Row],[Home Differential]])-Table4[[#This Row],[Away Differential]]</f>
        <v>-0.96204330983087927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0.66927390330992653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-0.87263145033954281</v>
      </c>
      <c r="H965" t="s">
        <v>36</v>
      </c>
      <c r="I965">
        <f>VLOOKUP(Table4[[#This Row],[Visitor]],'NHL Model'!$A$6:$B$38,2,FALSE)</f>
        <v>-0.31751962084606655</v>
      </c>
      <c r="J965">
        <f>($B$1+Table4[[#This Row],[Home Differential]])-Table4[[#This Row],[Away Differential]]</f>
        <v>-0.4175684405210599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0.50013898417409297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-0.16358905079701039</v>
      </c>
      <c r="H966" t="s">
        <v>37</v>
      </c>
      <c r="I966">
        <f>VLOOKUP(Table4[[#This Row],[Visitor]],'NHL Model'!$A$6:$B$38,2,FALSE)</f>
        <v>7.1667377873261273E-2</v>
      </c>
      <c r="J966">
        <f>($B$1+Table4[[#This Row],[Home Differential]])-Table4[[#This Row],[Away Differential]]</f>
        <v>-9.7713039697855303E-2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0.5393485818101118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-1.8032585202533785E-2</v>
      </c>
      <c r="H967" t="s">
        <v>11</v>
      </c>
      <c r="I967">
        <f>VLOOKUP(Table4[[#This Row],[Visitor]],'NHL Model'!$A$6:$B$38,2,FALSE)</f>
        <v>-0.37836939589441088</v>
      </c>
      <c r="J967">
        <f>($B$1+Table4[[#This Row],[Home Differential]])-Table4[[#This Row],[Away Differential]]</f>
        <v>0.49788019966429342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0.72183709166690746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-0.36178381286707545</v>
      </c>
      <c r="H968" t="s">
        <v>18</v>
      </c>
      <c r="I968">
        <f>VLOOKUP(Table4[[#This Row],[Visitor]],'NHL Model'!$A$6:$B$38,2,FALSE)</f>
        <v>-0.74754136228530599</v>
      </c>
      <c r="J968">
        <f>($B$1+Table4[[#This Row],[Home Differential]])-Table4[[#This Row],[Away Differential]]</f>
        <v>0.52330093839064684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0.56269756172625018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-6.0247860940930854E-2</v>
      </c>
      <c r="H969" t="s">
        <v>10</v>
      </c>
      <c r="I969">
        <f>VLOOKUP(Table4[[#This Row],[Visitor]],'NHL Model'!$A$6:$B$38,2,FALSE)</f>
        <v>-0.15263505358797036</v>
      </c>
      <c r="J969">
        <f>($B$1+Table4[[#This Row],[Home Differential]])-Table4[[#This Row],[Away Differential]]</f>
        <v>0.22993058161945587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0.57316321332975961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6.4811420118814619E-2</v>
      </c>
      <c r="H970" t="s">
        <v>55</v>
      </c>
      <c r="I970">
        <f>VLOOKUP(Table4[[#This Row],[Visitor]],'NHL Model'!$A$6:$B$38,2,FALSE)</f>
        <v>-0.30969050963205513</v>
      </c>
      <c r="J970">
        <f>($B$1+Table4[[#This Row],[Home Differential]])-Table4[[#This Row],[Away Differential]]</f>
        <v>0.51204531872328607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0.60829569857201959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0.34329638981067145</v>
      </c>
      <c r="H971" t="s">
        <v>30</v>
      </c>
      <c r="I971">
        <f>VLOOKUP(Table4[[#This Row],[Visitor]],'NHL Model'!$A$6:$B$38,2,FALSE)</f>
        <v>3.838472305373858E-3</v>
      </c>
      <c r="J971">
        <f>($B$1+Table4[[#This Row],[Home Differential]])-Table4[[#This Row],[Away Differential]]</f>
        <v>0.47700130647771394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0.62883898153172857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-0.66335717753705836</v>
      </c>
      <c r="H972" t="s">
        <v>20</v>
      </c>
      <c r="I972">
        <f>VLOOKUP(Table4[[#This Row],[Visitor]],'NHL Model'!$A$6:$B$38,2,FALSE)</f>
        <v>0.12073374225454764</v>
      </c>
      <c r="J972">
        <f>($B$1+Table4[[#This Row],[Home Differential]])-Table4[[#This Row],[Away Differential]]</f>
        <v>-0.6465475308191897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0.53451122769521286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-1.8032585202533785E-2</v>
      </c>
      <c r="H973" t="s">
        <v>19</v>
      </c>
      <c r="I973">
        <f>VLOOKUP(Table4[[#This Row],[Visitor]],'NHL Model'!$A$6:$B$38,2,FALSE)</f>
        <v>-0.93520311342823803</v>
      </c>
      <c r="J973">
        <f>($B$1+Table4[[#This Row],[Home Differential]])-Table4[[#This Row],[Away Differential]]</f>
        <v>1.0547139171981206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0.7961065876213832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-0.45007023285116615</v>
      </c>
      <c r="H974" t="s">
        <v>35</v>
      </c>
      <c r="I974">
        <f>VLOOKUP(Table4[[#This Row],[Visitor]],'NHL Model'!$A$6:$B$38,2,FALSE)</f>
        <v>-1.5569791149906038</v>
      </c>
      <c r="J974">
        <f>($B$1+Table4[[#This Row],[Home Differential]])-Table4[[#This Row],[Away Differential]]</f>
        <v>1.244452271111854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0.73202057777217577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-1.1236485959014608</v>
      </c>
      <c r="H975" t="s">
        <v>25</v>
      </c>
      <c r="I975">
        <f>VLOOKUP(Table4[[#This Row],[Visitor]],'NHL Model'!$A$6:$B$38,2,FALSE)</f>
        <v>0.42515174825138019</v>
      </c>
      <c r="J975">
        <f>($B$1+Table4[[#This Row],[Home Differential]])-Table4[[#This Row],[Away Differential]]</f>
        <v>-1.4112569551804246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0.72085412463926402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-0.59418600019583889</v>
      </c>
      <c r="H976" t="s">
        <v>11</v>
      </c>
      <c r="I976">
        <f>VLOOKUP(Table4[[#This Row],[Visitor]],'NHL Model'!$A$6:$B$38,2,FALSE)</f>
        <v>-0.37836939589441088</v>
      </c>
      <c r="J976">
        <f>($B$1+Table4[[#This Row],[Home Differential]])-Table4[[#This Row],[Away Differential]]</f>
        <v>-7.8273215329011658E-2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0.46339399109997903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-1.0952038865534519</v>
      </c>
      <c r="H977" t="s">
        <v>36</v>
      </c>
      <c r="I977">
        <f>VLOOKUP(Table4[[#This Row],[Visitor]],'NHL Model'!$A$6:$B$38,2,FALSE)</f>
        <v>-0.31751962084606655</v>
      </c>
      <c r="J977">
        <f>($B$1+Table4[[#This Row],[Home Differential]])-Table4[[#This Row],[Away Differential]]</f>
        <v>-0.640140876734969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0.56615008820998758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-0.36134162888396865</v>
      </c>
      <c r="H978" t="s">
        <v>30</v>
      </c>
      <c r="I978">
        <f>VLOOKUP(Table4[[#This Row],[Visitor]],'NHL Model'!$A$6:$B$38,2,FALSE)</f>
        <v>3.838472305373858E-3</v>
      </c>
      <c r="J978">
        <f>($B$1+Table4[[#This Row],[Home Differential]])-Table4[[#This Row],[Away Differential]]</f>
        <v>-0.22763671221692613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0.56298495099125678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-1.4957350924899622</v>
      </c>
      <c r="H979" t="s">
        <v>21</v>
      </c>
      <c r="I979">
        <f>VLOOKUP(Table4[[#This Row],[Visitor]],'NHL Model'!$A$6:$B$38,2,FALSE)</f>
        <v>-0.14464931395309213</v>
      </c>
      <c r="J979">
        <f>($B$1+Table4[[#This Row],[Home Differential]])-Table4[[#This Row],[Away Differential]]</f>
        <v>-1.2135423895644535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0.62186013661585926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-0.49835870184734621</v>
      </c>
      <c r="H980" t="s">
        <v>19</v>
      </c>
      <c r="I980">
        <f>VLOOKUP(Table4[[#This Row],[Visitor]],'NHL Model'!$A$6:$B$38,2,FALSE)</f>
        <v>-0.93520311342823803</v>
      </c>
      <c r="J980">
        <f>($B$1+Table4[[#This Row],[Home Differential]])-Table4[[#This Row],[Away Differential]]</f>
        <v>0.57438780055330818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0.61661082848651783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-0.42203126246971279</v>
      </c>
      <c r="H981" t="s">
        <v>55</v>
      </c>
      <c r="I981">
        <f>VLOOKUP(Table4[[#This Row],[Visitor]],'NHL Model'!$A$6:$B$38,2,FALSE)</f>
        <v>-0.30969050963205513</v>
      </c>
      <c r="J981">
        <f>($B$1+Table4[[#This Row],[Home Differential]])-Table4[[#This Row],[Away Differential]]</f>
        <v>2.5202636134758705E-2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0.57560754882111265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-0.2090057419115289</v>
      </c>
      <c r="H982" t="s">
        <v>23</v>
      </c>
      <c r="I982">
        <f>VLOOKUP(Table4[[#This Row],[Visitor]],'NHL Model'!$A$6:$B$38,2,FALSE)</f>
        <v>-0.51535072045188635</v>
      </c>
      <c r="J982">
        <f>($B$1+Table4[[#This Row],[Home Differential]])-Table4[[#This Row],[Away Differential]]</f>
        <v>0.44388836751277383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0.5992050450199724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-6.0247860940930854E-2</v>
      </c>
      <c r="H983" t="s">
        <v>37</v>
      </c>
      <c r="I983">
        <f>VLOOKUP(Table4[[#This Row],[Visitor]],'NHL Model'!$A$6:$B$38,2,FALSE)</f>
        <v>7.1667377873261273E-2</v>
      </c>
      <c r="J983">
        <f>($B$1+Table4[[#This Row],[Home Differential]])-Table4[[#This Row],[Away Differential]]</f>
        <v>5.6281501582242377E-3</v>
      </c>
      <c r="K983" t="str">
        <f>IF(Table4[[#This Row],[HomeIce Differential]]&gt;0,Table4[[#This Row],[Home]],Table4[[#This Row],[Visitor]])</f>
        <v>Winnipeg Jets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0.47694114889984202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0.34329638981067145</v>
      </c>
      <c r="H984" t="s">
        <v>18</v>
      </c>
      <c r="I984">
        <f>VLOOKUP(Table4[[#This Row],[Visitor]],'NHL Model'!$A$6:$B$38,2,FALSE)</f>
        <v>-0.74754136228530599</v>
      </c>
      <c r="J984">
        <f>($B$1+Table4[[#This Row],[Home Differential]])-Table4[[#This Row],[Away Differential]]</f>
        <v>1.2283811410683938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0.7540032374612351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-0.15263505358797036</v>
      </c>
      <c r="H985" t="s">
        <v>38</v>
      </c>
      <c r="I985">
        <f>VLOOKUP(Table4[[#This Row],[Visitor]],'NHL Model'!$A$6:$B$38,2,FALSE)</f>
        <v>-1.1236485959014608</v>
      </c>
      <c r="J985">
        <f>($B$1+Table4[[#This Row],[Home Differential]])-Table4[[#This Row],[Away Differential]]</f>
        <v>1.1085569312859067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0.66708813118809918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4.3828122498436855E-3</v>
      </c>
      <c r="H986" t="s">
        <v>12</v>
      </c>
      <c r="I986">
        <f>VLOOKUP(Table4[[#This Row],[Visitor]],'NHL Model'!$A$6:$B$38,2,FALSE)</f>
        <v>1.4458345276269271</v>
      </c>
      <c r="J986">
        <f>($B$1+Table4[[#This Row],[Home Differential]])-Table4[[#This Row],[Away Differential]]</f>
        <v>-1.3039083264046671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0.72391298537347593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-0.66335717753705836</v>
      </c>
      <c r="H987" t="s">
        <v>11</v>
      </c>
      <c r="I987">
        <f>VLOOKUP(Table4[[#This Row],[Visitor]],'NHL Model'!$A$6:$B$38,2,FALSE)</f>
        <v>-0.37836939589441088</v>
      </c>
      <c r="J987">
        <f>($B$1+Table4[[#This Row],[Home Differential]])-Table4[[#This Row],[Away Differential]]</f>
        <v>-0.14744439267023113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0.44741980639037476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-0.87263145033954281</v>
      </c>
      <c r="H988" t="s">
        <v>25</v>
      </c>
      <c r="I988">
        <f>VLOOKUP(Table4[[#This Row],[Visitor]],'NHL Model'!$A$6:$B$38,2,FALSE)</f>
        <v>0.42515174825138019</v>
      </c>
      <c r="J988">
        <f>($B$1+Table4[[#This Row],[Home Differential]])-Table4[[#This Row],[Away Differential]]</f>
        <v>-1.1602398096185067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0.65087476382674403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-0.36178381286707545</v>
      </c>
      <c r="H989" t="s">
        <v>35</v>
      </c>
      <c r="I989">
        <f>VLOOKUP(Table4[[#This Row],[Visitor]],'NHL Model'!$A$6:$B$38,2,FALSE)</f>
        <v>-1.5569791149906038</v>
      </c>
      <c r="J989">
        <f>($B$1+Table4[[#This Row],[Home Differential]])-Table4[[#This Row],[Away Differential]]</f>
        <v>1.3327386910959447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0.7177583284020701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0.12073374225454764</v>
      </c>
      <c r="H990" t="s">
        <v>34</v>
      </c>
      <c r="I990">
        <f>VLOOKUP(Table4[[#This Row],[Visitor]],'NHL Model'!$A$6:$B$38,2,FALSE)</f>
        <v>-0.16358905079701039</v>
      </c>
      <c r="J990">
        <f>($B$1+Table4[[#This Row],[Home Differential]])-Table4[[#This Row],[Away Differential]]</f>
        <v>0.42186618202397441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0.5754985341174319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-0.14464931395309213</v>
      </c>
      <c r="H991" t="s">
        <v>22</v>
      </c>
      <c r="I991">
        <f>VLOOKUP(Table4[[#This Row],[Visitor]],'NHL Model'!$A$6:$B$38,2,FALSE)</f>
        <v>6.4811420118814619E-2</v>
      </c>
      <c r="J991">
        <f>($B$1+Table4[[#This Row],[Home Differential]])-Table4[[#This Row],[Away Differential]]</f>
        <v>-7.1917345099490396E-2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0.43816363680655357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-0.51535072045188635</v>
      </c>
      <c r="H992" t="s">
        <v>29</v>
      </c>
      <c r="I992">
        <f>VLOOKUP(Table4[[#This Row],[Visitor]],'NHL Model'!$A$6:$B$38,2,FALSE)</f>
        <v>-1.4957350924899622</v>
      </c>
      <c r="J992">
        <f>($B$1+Table4[[#This Row],[Home Differential]])-Table4[[#This Row],[Away Differential]]</f>
        <v>1.1179277610104923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0.70312384714338272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-0.59418600019583889</v>
      </c>
      <c r="H993" t="s">
        <v>55</v>
      </c>
      <c r="I993">
        <f>VLOOKUP(Table4[[#This Row],[Visitor]],'NHL Model'!$A$6:$B$38,2,FALSE)</f>
        <v>-0.30969050963205513</v>
      </c>
      <c r="J993">
        <f>($B$1+Table4[[#This Row],[Home Differential]])-Table4[[#This Row],[Away Differential]]</f>
        <v>-0.1469521015913674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0.47255425942570245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-1.0952038865534519</v>
      </c>
      <c r="H994" t="s">
        <v>25</v>
      </c>
      <c r="I994">
        <f>VLOOKUP(Table4[[#This Row],[Visitor]],'NHL Model'!$A$6:$B$38,2,FALSE)</f>
        <v>0.42515174825138019</v>
      </c>
      <c r="J994">
        <f>($B$1+Table4[[#This Row],[Home Differential]])-Table4[[#This Row],[Away Differential]]</f>
        <v>-1.3828122458324157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0.71706021963795663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-0.36134162888396865</v>
      </c>
      <c r="H995" t="s">
        <v>18</v>
      </c>
      <c r="I995">
        <f>VLOOKUP(Table4[[#This Row],[Visitor]],'NHL Model'!$A$6:$B$38,2,FALSE)</f>
        <v>-0.74754136228530599</v>
      </c>
      <c r="J995">
        <f>($B$1+Table4[[#This Row],[Home Differential]])-Table4[[#This Row],[Away Differential]]</f>
        <v>0.52374312237375364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0.56275653944349391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-1.8032585202533785E-2</v>
      </c>
      <c r="H996" t="s">
        <v>15</v>
      </c>
      <c r="I996">
        <f>VLOOKUP(Table4[[#This Row],[Visitor]],'NHL Model'!$A$6:$B$38,2,FALSE)</f>
        <v>-0.49835870184734621</v>
      </c>
      <c r="J996">
        <f>($B$1+Table4[[#This Row],[Home Differential]])-Table4[[#This Row],[Away Differential]]</f>
        <v>0.61786950561722875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0.65888092960447497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-0.2090057419115289</v>
      </c>
      <c r="H997" t="s">
        <v>27</v>
      </c>
      <c r="I997">
        <f>VLOOKUP(Table4[[#This Row],[Visitor]],'NHL Model'!$A$6:$B$38,2,FALSE)</f>
        <v>-0.42203126246971279</v>
      </c>
      <c r="J997">
        <f>($B$1+Table4[[#This Row],[Home Differential]])-Table4[[#This Row],[Away Differential]]</f>
        <v>0.35056890953060027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0.58675826083855309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-0.45007023285116615</v>
      </c>
      <c r="H998" t="s">
        <v>36</v>
      </c>
      <c r="I998">
        <f>VLOOKUP(Table4[[#This Row],[Visitor]],'NHL Model'!$A$6:$B$38,2,FALSE)</f>
        <v>-0.31751962084606655</v>
      </c>
      <c r="J998">
        <f>($B$1+Table4[[#This Row],[Home Differential]])-Table4[[#This Row],[Away Differential]]</f>
        <v>4.9927769673167588E-3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0.5461204732119701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-0.36178381286707545</v>
      </c>
      <c r="H999" t="s">
        <v>30</v>
      </c>
      <c r="I999">
        <f>VLOOKUP(Table4[[#This Row],[Visitor]],'NHL Model'!$A$6:$B$38,2,FALSE)</f>
        <v>3.838472305373858E-3</v>
      </c>
      <c r="J999">
        <f>($B$1+Table4[[#This Row],[Home Differential]])-Table4[[#This Row],[Away Differential]]</f>
        <v>-0.22807889620003294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0.56304392870850051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-0.93520311342823803</v>
      </c>
      <c r="H1000" t="s">
        <v>37</v>
      </c>
      <c r="I1000">
        <f>VLOOKUP(Table4[[#This Row],[Visitor]],'NHL Model'!$A$6:$B$38,2,FALSE)</f>
        <v>7.1667377873261273E-2</v>
      </c>
      <c r="J1000">
        <f>($B$1+Table4[[#This Row],[Home Differential]])-Table4[[#This Row],[Away Differential]]</f>
        <v>-0.86932710232908295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0.64226510015030236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-6.0247860940930854E-2</v>
      </c>
      <c r="H1001" t="s">
        <v>38</v>
      </c>
      <c r="I1001">
        <f>VLOOKUP(Table4[[#This Row],[Visitor]],'NHL Model'!$A$6:$B$38,2,FALSE)</f>
        <v>-1.1236485959014608</v>
      </c>
      <c r="J1001">
        <f>($B$1+Table4[[#This Row],[Home Differential]])-Table4[[#This Row],[Away Differential]]</f>
        <v>1.2009441239329464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0.68191893267272985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0.34329638981067145</v>
      </c>
      <c r="H1002" t="s">
        <v>35</v>
      </c>
      <c r="I1002">
        <f>VLOOKUP(Table4[[#This Row],[Visitor]],'NHL Model'!$A$6:$B$38,2,FALSE)</f>
        <v>-1.5569791149906038</v>
      </c>
      <c r="J1002">
        <f>($B$1+Table4[[#This Row],[Home Differential]])-Table4[[#This Row],[Away Differential]]</f>
        <v>2.0378188937736916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0.90672131315073012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-0.51535072045188635</v>
      </c>
      <c r="H1003" t="s">
        <v>37</v>
      </c>
      <c r="I1003">
        <f>VLOOKUP(Table4[[#This Row],[Visitor]],'NHL Model'!$A$6:$B$38,2,FALSE)</f>
        <v>7.1667377873261273E-2</v>
      </c>
      <c r="J1003">
        <f>($B$1+Table4[[#This Row],[Home Differential]])-Table4[[#This Row],[Away Differential]]</f>
        <v>-0.44947470935273126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0.57214526336104521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1.4458345276269271</v>
      </c>
      <c r="H1004" t="s">
        <v>34</v>
      </c>
      <c r="I1004">
        <f>VLOOKUP(Table4[[#This Row],[Visitor]],'NHL Model'!$A$6:$B$38,2,FALSE)</f>
        <v>-0.16358905079701039</v>
      </c>
      <c r="J1004">
        <f>($B$1+Table4[[#This Row],[Home Differential]])-Table4[[#This Row],[Away Differential]]</f>
        <v>1.7469669673963539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0.84839197832284174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4.3828122498436855E-3</v>
      </c>
      <c r="H1005" t="s">
        <v>10</v>
      </c>
      <c r="I1005">
        <f>VLOOKUP(Table4[[#This Row],[Visitor]],'NHL Model'!$A$6:$B$38,2,FALSE)</f>
        <v>-0.15263505358797036</v>
      </c>
      <c r="J1005">
        <f>($B$1+Table4[[#This Row],[Home Differential]])-Table4[[#This Row],[Away Differential]]</f>
        <v>0.29456125481023043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0.58178353815911166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-1.8032585202533785E-2</v>
      </c>
      <c r="H1006" t="s">
        <v>26</v>
      </c>
      <c r="I1006">
        <f>VLOOKUP(Table4[[#This Row],[Visitor]],'NHL Model'!$A$6:$B$38,2,FALSE)</f>
        <v>-0.66335717753705836</v>
      </c>
      <c r="J1006">
        <f>($B$1+Table4[[#This Row],[Home Differential]])-Table4[[#This Row],[Away Differential]]</f>
        <v>0.78286798130694091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0.71606803153678844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-0.2090057419115289</v>
      </c>
      <c r="H1007" t="s">
        <v>21</v>
      </c>
      <c r="I1007">
        <f>VLOOKUP(Table4[[#This Row],[Visitor]],'NHL Model'!$A$6:$B$38,2,FALSE)</f>
        <v>-0.14464931395309213</v>
      </c>
      <c r="J1007">
        <f>($B$1+Table4[[#This Row],[Home Differential]])-Table4[[#This Row],[Away Differential]]</f>
        <v>7.318696101397959E-2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0.54976154735927596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0.12073374225454764</v>
      </c>
      <c r="H1008" t="s">
        <v>17</v>
      </c>
      <c r="I1008">
        <f>VLOOKUP(Table4[[#This Row],[Visitor]],'NHL Model'!$A$6:$B$38,2,FALSE)</f>
        <v>-0.87263145033954281</v>
      </c>
      <c r="J1008">
        <f>($B$1+Table4[[#This Row],[Home Differential]])-Table4[[#This Row],[Away Differential]]</f>
        <v>1.1309085815665068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0.69083858552159816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-0.15263505358797036</v>
      </c>
      <c r="H1009" t="s">
        <v>55</v>
      </c>
      <c r="I1009">
        <f>VLOOKUP(Table4[[#This Row],[Visitor]],'NHL Model'!$A$6:$B$38,2,FALSE)</f>
        <v>-0.30969050963205513</v>
      </c>
      <c r="J1009">
        <f>($B$1+Table4[[#This Row],[Home Differential]])-Table4[[#This Row],[Away Differential]]</f>
        <v>0.29459884501650113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0.5792930726699701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-0.42203126246971279</v>
      </c>
      <c r="H1010" t="s">
        <v>15</v>
      </c>
      <c r="I1010">
        <f>VLOOKUP(Table4[[#This Row],[Visitor]],'NHL Model'!$A$6:$B$38,2,FALSE)</f>
        <v>-0.49835870184734621</v>
      </c>
      <c r="J1010">
        <f>($B$1+Table4[[#This Row],[Home Differential]])-Table4[[#This Row],[Away Differential]]</f>
        <v>0.21387082835004978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0.51760868208361321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-1.1236485959014608</v>
      </c>
      <c r="H1011" t="s">
        <v>36</v>
      </c>
      <c r="I1011">
        <f>VLOOKUP(Table4[[#This Row],[Visitor]],'NHL Model'!$A$6:$B$38,2,FALSE)</f>
        <v>-0.31751962084606655</v>
      </c>
      <c r="J1011">
        <f>($B$1+Table4[[#This Row],[Home Differential]])-Table4[[#This Row],[Away Differential]]</f>
        <v>-0.66858558608297791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0.56994399321129496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6.4811420118814619E-2</v>
      </c>
      <c r="H1012" t="s">
        <v>16</v>
      </c>
      <c r="I1012">
        <f>VLOOKUP(Table4[[#This Row],[Visitor]],'NHL Model'!$A$6:$B$38,2,FALSE)</f>
        <v>-1.0952038865534519</v>
      </c>
      <c r="J1012">
        <f>($B$1+Table4[[#This Row],[Home Differential]])-Table4[[#This Row],[Away Differential]]</f>
        <v>1.297558695644683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0.71306608285807216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-0.14464931395309213</v>
      </c>
      <c r="H1013" t="s">
        <v>13</v>
      </c>
      <c r="I1013">
        <f>VLOOKUP(Table4[[#This Row],[Visitor]],'NHL Model'!$A$6:$B$38,2,FALSE)</f>
        <v>-0.36134162888396865</v>
      </c>
      <c r="J1013">
        <f>($B$1+Table4[[#This Row],[Home Differential]])-Table4[[#This Row],[Away Differential]]</f>
        <v>0.35423570390329284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0.5563382404746775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-0.51535072045188635</v>
      </c>
      <c r="H1014" t="s">
        <v>33</v>
      </c>
      <c r="I1014">
        <f>VLOOKUP(Table4[[#This Row],[Visitor]],'NHL Model'!$A$6:$B$38,2,FALSE)</f>
        <v>-0.36178381286707545</v>
      </c>
      <c r="J1014">
        <f>($B$1+Table4[[#This Row],[Home Differential]])-Table4[[#This Row],[Away Differential]]</f>
        <v>-1.6023518612394538E-2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0.44812056806106926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0.42515174825138019</v>
      </c>
      <c r="H1015" t="s">
        <v>14</v>
      </c>
      <c r="I1015">
        <f>VLOOKUP(Table4[[#This Row],[Visitor]],'NHL Model'!$A$6:$B$38,2,FALSE)</f>
        <v>-0.2090057419115289</v>
      </c>
      <c r="J1015">
        <f>($B$1+Table4[[#This Row],[Home Differential]])-Table4[[#This Row],[Away Differential]]</f>
        <v>0.77170087913532537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0.69464407410325035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1.4458345276269271</v>
      </c>
      <c r="H1016" t="s">
        <v>17</v>
      </c>
      <c r="I1016">
        <f>VLOOKUP(Table4[[#This Row],[Visitor]],'NHL Model'!$A$6:$B$38,2,FALSE)</f>
        <v>-0.87263145033954281</v>
      </c>
      <c r="J1016">
        <f>($B$1+Table4[[#This Row],[Home Differential]])-Table4[[#This Row],[Away Differential]]</f>
        <v>2.4560093669388863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0.96249881849379681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4.3828122498436855E-3</v>
      </c>
      <c r="H1017" t="s">
        <v>20</v>
      </c>
      <c r="I1017">
        <f>VLOOKUP(Table4[[#This Row],[Visitor]],'NHL Model'!$A$6:$B$38,2,FALSE)</f>
        <v>0.12073374225454764</v>
      </c>
      <c r="J1017">
        <f>($B$1+Table4[[#This Row],[Home Differential]])-Table4[[#This Row],[Away Differential]]</f>
        <v>2.1192458967712408E-2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0.52456574311287041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-0.37836939589441088</v>
      </c>
      <c r="H1018" t="s">
        <v>26</v>
      </c>
      <c r="I1018">
        <f>VLOOKUP(Table4[[#This Row],[Visitor]],'NHL Model'!$A$6:$B$38,2,FALSE)</f>
        <v>-0.66335717753705836</v>
      </c>
      <c r="J1018">
        <f>($B$1+Table4[[#This Row],[Home Differential]])-Table4[[#This Row],[Away Differential]]</f>
        <v>0.42253117061506384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0.60181100534282261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-0.16358905079701039</v>
      </c>
      <c r="H1019" t="s">
        <v>55</v>
      </c>
      <c r="I1019">
        <f>VLOOKUP(Table4[[#This Row],[Visitor]],'NHL Model'!$A$6:$B$38,2,FALSE)</f>
        <v>-0.30969050963205513</v>
      </c>
      <c r="J1019">
        <f>($B$1+Table4[[#This Row],[Home Differential]])-Table4[[#This Row],[Away Differential]]</f>
        <v>0.28364484780746113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0.57783204790479381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-0.74754136228530599</v>
      </c>
      <c r="H1020" t="s">
        <v>19</v>
      </c>
      <c r="I1020">
        <f>VLOOKUP(Table4[[#This Row],[Visitor]],'NHL Model'!$A$6:$B$38,2,FALSE)</f>
        <v>-0.93520311342823803</v>
      </c>
      <c r="J1020">
        <f>($B$1+Table4[[#This Row],[Home Differential]])-Table4[[#This Row],[Away Differential]]</f>
        <v>0.3252051401153484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0.58337528615390344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-0.49835870184734621</v>
      </c>
      <c r="H1021" t="s">
        <v>16</v>
      </c>
      <c r="I1021">
        <f>VLOOKUP(Table4[[#This Row],[Visitor]],'NHL Model'!$A$6:$B$38,2,FALSE)</f>
        <v>-1.0952038865534519</v>
      </c>
      <c r="J1021">
        <f>($B$1+Table4[[#This Row],[Home Differential]])-Table4[[#This Row],[Away Differential]]</f>
        <v>0.73438857367852206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0.63795144849237118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-0.45007023285116615</v>
      </c>
      <c r="H1022" t="s">
        <v>29</v>
      </c>
      <c r="I1022">
        <f>VLOOKUP(Table4[[#This Row],[Visitor]],'NHL Model'!$A$6:$B$38,2,FALSE)</f>
        <v>-1.4957350924899622</v>
      </c>
      <c r="J1022">
        <f>($B$1+Table4[[#This Row],[Home Differential]])-Table4[[#This Row],[Away Differential]]</f>
        <v>1.1832082486112123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0.7238519584193599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-1.5569791149906038</v>
      </c>
      <c r="H1023" t="s">
        <v>30</v>
      </c>
      <c r="I1023">
        <f>VLOOKUP(Table4[[#This Row],[Visitor]],'NHL Model'!$A$6:$B$38,2,FALSE)</f>
        <v>3.838472305373858E-3</v>
      </c>
      <c r="J1023">
        <f>($B$1+Table4[[#This Row],[Home Differential]])-Table4[[#This Row],[Away Differential]]</f>
        <v>-1.4232741983235613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0.72245696326576825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7.1667377873261273E-2</v>
      </c>
      <c r="H1024" t="s">
        <v>28</v>
      </c>
      <c r="I1024">
        <f>VLOOKUP(Table4[[#This Row],[Visitor]],'NHL Model'!$A$6:$B$38,2,FALSE)</f>
        <v>-0.59418600019583889</v>
      </c>
      <c r="J1024">
        <f>($B$1+Table4[[#This Row],[Home Differential]])-Table4[[#This Row],[Away Differential]]</f>
        <v>0.80339676704151652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0.64882230588315148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-6.0247860940930854E-2</v>
      </c>
      <c r="H1025" t="s">
        <v>31</v>
      </c>
      <c r="I1025">
        <f>VLOOKUP(Table4[[#This Row],[Visitor]],'NHL Model'!$A$6:$B$38,2,FALSE)</f>
        <v>0.34329638981067145</v>
      </c>
      <c r="J1025">
        <f>($B$1+Table4[[#This Row],[Home Differential]])-Table4[[#This Row],[Away Differential]]</f>
        <v>-0.26600086177918592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0.51373959383373513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-0.31751962084606655</v>
      </c>
      <c r="H1026" t="s">
        <v>18</v>
      </c>
      <c r="I1026">
        <f>VLOOKUP(Table4[[#This Row],[Visitor]],'NHL Model'!$A$6:$B$38,2,FALSE)</f>
        <v>-0.74754136228530599</v>
      </c>
      <c r="J1026">
        <f>($B$1+Table4[[#This Row],[Home Differential]])-Table4[[#This Row],[Away Differential]]</f>
        <v>0.56756513041165579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0.57111367685210457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-0.42203126246971279</v>
      </c>
      <c r="H1027" t="s">
        <v>22</v>
      </c>
      <c r="I1027">
        <f>VLOOKUP(Table4[[#This Row],[Visitor]],'NHL Model'!$A$6:$B$38,2,FALSE)</f>
        <v>6.4811420118814619E-2</v>
      </c>
      <c r="J1027">
        <f>($B$1+Table4[[#This Row],[Home Differential]])-Table4[[#This Row],[Away Differential]]</f>
        <v>-0.34929929361611106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0.49486478378336768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-0.14464931395309213</v>
      </c>
      <c r="H1028" t="s">
        <v>33</v>
      </c>
      <c r="I1028">
        <f>VLOOKUP(Table4[[#This Row],[Visitor]],'NHL Model'!$A$6:$B$38,2,FALSE)</f>
        <v>-0.36178381286707545</v>
      </c>
      <c r="J1028">
        <f>($B$1+Table4[[#This Row],[Home Differential]])-Table4[[#This Row],[Away Differential]]</f>
        <v>0.35467788788639965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0.63902228543237305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-0.51535072045188635</v>
      </c>
      <c r="H1029" t="s">
        <v>22</v>
      </c>
      <c r="I1029">
        <f>VLOOKUP(Table4[[#This Row],[Visitor]],'NHL Model'!$A$6:$B$38,2,FALSE)</f>
        <v>6.4811420118814619E-2</v>
      </c>
      <c r="J1029">
        <f>($B$1+Table4[[#This Row],[Home Differential]])-Table4[[#This Row],[Away Differential]]</f>
        <v>-0.44261875159828462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0.52570237256248808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0.42515174825138019</v>
      </c>
      <c r="H1030" t="s">
        <v>35</v>
      </c>
      <c r="I1030">
        <f>VLOOKUP(Table4[[#This Row],[Visitor]],'NHL Model'!$A$6:$B$38,2,FALSE)</f>
        <v>-1.5569791149906038</v>
      </c>
      <c r="J1030">
        <f>($B$1+Table4[[#This Row],[Home Differential]])-Table4[[#This Row],[Away Differential]]</f>
        <v>2.1196742522144003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0.87443437743120134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4.3828122498436855E-3</v>
      </c>
      <c r="H1031" t="s">
        <v>17</v>
      </c>
      <c r="I1031">
        <f>VLOOKUP(Table4[[#This Row],[Visitor]],'NHL Model'!$A$6:$B$38,2,FALSE)</f>
        <v>-0.87263145033954281</v>
      </c>
      <c r="J1031">
        <f>($B$1+Table4[[#This Row],[Home Differential]])-Table4[[#This Row],[Away Differential]]</f>
        <v>1.0145576515618029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0.67781538355922355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-0.37836939589441088</v>
      </c>
      <c r="H1032" t="s">
        <v>28</v>
      </c>
      <c r="I1032">
        <f>VLOOKUP(Table4[[#This Row],[Visitor]],'NHL Model'!$A$6:$B$38,2,FALSE)</f>
        <v>-0.59418600019583889</v>
      </c>
      <c r="J1032">
        <f>($B$1+Table4[[#This Row],[Home Differential]])-Table4[[#This Row],[Away Differential]]</f>
        <v>0.35335999327384437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0.63803962155863092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-0.16358905079701039</v>
      </c>
      <c r="H1033" t="s">
        <v>27</v>
      </c>
      <c r="I1033">
        <f>VLOOKUP(Table4[[#This Row],[Visitor]],'NHL Model'!$A$6:$B$38,2,FALSE)</f>
        <v>-0.42203126246971279</v>
      </c>
      <c r="J1033">
        <f>($B$1+Table4[[#This Row],[Home Differential]])-Table4[[#This Row],[Away Differential]]</f>
        <v>0.39598560064511878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0.59281585873678122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-1.8032585202533785E-2</v>
      </c>
      <c r="H1034" t="s">
        <v>16</v>
      </c>
      <c r="I1034">
        <f>VLOOKUP(Table4[[#This Row],[Visitor]],'NHL Model'!$A$6:$B$38,2,FALSE)</f>
        <v>-1.0952038865534519</v>
      </c>
      <c r="J1034">
        <f>($B$1+Table4[[#This Row],[Home Differential]])-Table4[[#This Row],[Away Differential]]</f>
        <v>1.2147146903233346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0.81744720762723655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-0.45007023285116615</v>
      </c>
      <c r="H1035" t="s">
        <v>12</v>
      </c>
      <c r="I1035">
        <f>VLOOKUP(Table4[[#This Row],[Visitor]],'NHL Model'!$A$6:$B$38,2,FALSE)</f>
        <v>1.4458345276269271</v>
      </c>
      <c r="J1035">
        <f>($B$1+Table4[[#This Row],[Home Differential]])-Table4[[#This Row],[Away Differential]]</f>
        <v>-1.758361371505677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0.76084291787016811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7.1667377873261273E-2</v>
      </c>
      <c r="H1036" t="s">
        <v>26</v>
      </c>
      <c r="I1036">
        <f>VLOOKUP(Table4[[#This Row],[Visitor]],'NHL Model'!$A$6:$B$38,2,FALSE)</f>
        <v>-0.66335717753705836</v>
      </c>
      <c r="J1036">
        <f>($B$1+Table4[[#This Row],[Home Differential]])-Table4[[#This Row],[Away Differential]]</f>
        <v>0.87256794438273599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0.61179441249191924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-0.93520311342823803</v>
      </c>
      <c r="H1037" t="s">
        <v>31</v>
      </c>
      <c r="I1037">
        <f>VLOOKUP(Table4[[#This Row],[Visitor]],'NHL Model'!$A$6:$B$38,2,FALSE)</f>
        <v>0.34329638981067145</v>
      </c>
      <c r="J1037">
        <f>($B$1+Table4[[#This Row],[Home Differential]])-Table4[[#This Row],[Away Differential]]</f>
        <v>-1.1409561142664932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0.63294793842373254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-0.30969050963205513</v>
      </c>
      <c r="H1038" t="s">
        <v>10</v>
      </c>
      <c r="I1038">
        <f>VLOOKUP(Table4[[#This Row],[Visitor]],'NHL Model'!$A$6:$B$38,2,FALSE)</f>
        <v>-0.15263505358797036</v>
      </c>
      <c r="J1038">
        <f>($B$1+Table4[[#This Row],[Home Differential]])-Table4[[#This Row],[Away Differential]]</f>
        <v>-1.9512067071668415E-2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0.41088650864900433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-1.1236485959014608</v>
      </c>
      <c r="H1039" t="s">
        <v>29</v>
      </c>
      <c r="I1039">
        <f>VLOOKUP(Table4[[#This Row],[Visitor]],'NHL Model'!$A$6:$B$38,2,FALSE)</f>
        <v>-1.4957350924899622</v>
      </c>
      <c r="J1039">
        <f>($B$1+Table4[[#This Row],[Home Differential]])-Table4[[#This Row],[Away Differential]]</f>
        <v>0.50962988556091771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0.60797353237081442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0.12073374225454764</v>
      </c>
      <c r="H1040" t="s">
        <v>14</v>
      </c>
      <c r="I1040">
        <f>VLOOKUP(Table4[[#This Row],[Visitor]],'NHL Model'!$A$6:$B$38,2,FALSE)</f>
        <v>-0.2090057419115289</v>
      </c>
      <c r="J1040">
        <f>($B$1+Table4[[#This Row],[Home Differential]])-Table4[[#This Row],[Away Differential]]</f>
        <v>0.46728287313849293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0.60232536278489068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-6.0247860940930854E-2</v>
      </c>
      <c r="H1041" t="s">
        <v>15</v>
      </c>
      <c r="I1041">
        <f>VLOOKUP(Table4[[#This Row],[Visitor]],'NHL Model'!$A$6:$B$38,2,FALSE)</f>
        <v>-0.49835870184734621</v>
      </c>
      <c r="J1041">
        <f>($B$1+Table4[[#This Row],[Home Differential]])-Table4[[#This Row],[Away Differential]]</f>
        <v>0.57565422987883175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0.53579613603169407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3.838472305373858E-3</v>
      </c>
      <c r="H1042" t="s">
        <v>13</v>
      </c>
      <c r="I1042">
        <f>VLOOKUP(Table4[[#This Row],[Visitor]],'NHL Model'!$A$6:$B$38,2,FALSE)</f>
        <v>-0.36134162888396865</v>
      </c>
      <c r="J1042">
        <f>($B$1+Table4[[#This Row],[Home Differential]])-Table4[[#This Row],[Away Differential]]</f>
        <v>0.50272349016175888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0.52357410870344023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-1.5569791149906038</v>
      </c>
      <c r="H1043" t="s">
        <v>17</v>
      </c>
      <c r="I1043">
        <f>VLOOKUP(Table4[[#This Row],[Visitor]],'NHL Model'!$A$6:$B$38,2,FALSE)</f>
        <v>-0.87263145033954281</v>
      </c>
      <c r="J1043">
        <f>($B$1+Table4[[#This Row],[Home Differential]])-Table4[[#This Row],[Away Differential]]</f>
        <v>-0.54680427567864454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0.53293178674644115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-0.51535072045188635</v>
      </c>
      <c r="H1044" t="s">
        <v>19</v>
      </c>
      <c r="I1044">
        <f>VLOOKUP(Table4[[#This Row],[Visitor]],'NHL Model'!$A$6:$B$38,2,FALSE)</f>
        <v>-0.93520311342823803</v>
      </c>
      <c r="J1044">
        <f>($B$1+Table4[[#This Row],[Home Differential]])-Table4[[#This Row],[Away Differential]]</f>
        <v>0.55739578194876804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0.62836108361020993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4.3828122498436855E-3</v>
      </c>
      <c r="H1045" t="s">
        <v>26</v>
      </c>
      <c r="I1045">
        <f>VLOOKUP(Table4[[#This Row],[Visitor]],'NHL Model'!$A$6:$B$38,2,FALSE)</f>
        <v>-0.66335717753705836</v>
      </c>
      <c r="J1045">
        <f>($B$1+Table4[[#This Row],[Home Differential]])-Table4[[#This Row],[Away Differential]]</f>
        <v>0.80528337875931844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0.60282011618583475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-0.16358905079701039</v>
      </c>
      <c r="H1046" t="s">
        <v>15</v>
      </c>
      <c r="I1046">
        <f>VLOOKUP(Table4[[#This Row],[Visitor]],'NHL Model'!$A$6:$B$38,2,FALSE)</f>
        <v>-0.49835870184734621</v>
      </c>
      <c r="J1046">
        <f>($B$1+Table4[[#This Row],[Home Differential]])-Table4[[#This Row],[Away Differential]]</f>
        <v>0.47231304002275221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0.51951801667371234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-0.74754136228530599</v>
      </c>
      <c r="H1047" t="s">
        <v>33</v>
      </c>
      <c r="I1047">
        <f>VLOOKUP(Table4[[#This Row],[Visitor]],'NHL Model'!$A$6:$B$38,2,FALSE)</f>
        <v>-0.36178381286707545</v>
      </c>
      <c r="J1047">
        <f>($B$1+Table4[[#This Row],[Home Differential]])-Table4[[#This Row],[Away Differential]]</f>
        <v>-0.24821416044581418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0.49310636551737569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-1.8032585202533785E-2</v>
      </c>
      <c r="H1048" t="s">
        <v>13</v>
      </c>
      <c r="I1048">
        <f>VLOOKUP(Table4[[#This Row],[Visitor]],'NHL Model'!$A$6:$B$38,2,FALSE)</f>
        <v>-0.36134162888396865</v>
      </c>
      <c r="J1048">
        <f>($B$1+Table4[[#This Row],[Home Differential]])-Table4[[#This Row],[Away Differential]]</f>
        <v>0.48085243265385125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0.64060583485766764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3.838472305373858E-3</v>
      </c>
      <c r="H1049" t="s">
        <v>16</v>
      </c>
      <c r="I1049">
        <f>VLOOKUP(Table4[[#This Row],[Visitor]],'NHL Model'!$A$6:$B$38,2,FALSE)</f>
        <v>-1.0952038865534519</v>
      </c>
      <c r="J1049">
        <f>($B$1+Table4[[#This Row],[Home Differential]])-Table4[[#This Row],[Away Differential]]</f>
        <v>1.2365857478312421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0.7049336189673816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-0.31751962084606655</v>
      </c>
      <c r="H1050" t="s">
        <v>31</v>
      </c>
      <c r="I1050">
        <f>VLOOKUP(Table4[[#This Row],[Visitor]],'NHL Model'!$A$6:$B$38,2,FALSE)</f>
        <v>0.34329638981067145</v>
      </c>
      <c r="J1050">
        <f>($B$1+Table4[[#This Row],[Home Differential]])-Table4[[#This Row],[Away Differential]]</f>
        <v>-0.52327262168432165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0.54805404594001328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-0.42203126246971279</v>
      </c>
      <c r="H1051" t="s">
        <v>28</v>
      </c>
      <c r="I1051">
        <f>VLOOKUP(Table4[[#This Row],[Visitor]],'NHL Model'!$A$6:$B$38,2,FALSE)</f>
        <v>-0.59418600019583889</v>
      </c>
      <c r="J1051">
        <f>($B$1+Table4[[#This Row],[Home Differential]])-Table4[[#This Row],[Away Differential]]</f>
        <v>0.30969812669854246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0.61273555957184744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7.1667377873261273E-2</v>
      </c>
      <c r="H1052" t="s">
        <v>25</v>
      </c>
      <c r="I1052">
        <f>VLOOKUP(Table4[[#This Row],[Visitor]],'NHL Model'!$A$6:$B$38,2,FALSE)</f>
        <v>0.42515174825138019</v>
      </c>
      <c r="J1052">
        <f>($B$1+Table4[[#This Row],[Home Differential]])-Table4[[#This Row],[Away Differential]]</f>
        <v>-0.21594098140570256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0.55892230793053743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-0.30969050963205513</v>
      </c>
      <c r="H1053" t="s">
        <v>14</v>
      </c>
      <c r="I1053">
        <f>VLOOKUP(Table4[[#This Row],[Visitor]],'NHL Model'!$A$6:$B$38,2,FALSE)</f>
        <v>-0.2090057419115289</v>
      </c>
      <c r="J1053">
        <f>($B$1+Table4[[#This Row],[Home Differential]])-Table4[[#This Row],[Away Differential]]</f>
        <v>3.6858621251890128E-2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0.59663211401439997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-1.1236485959014608</v>
      </c>
      <c r="H1054" t="s">
        <v>32</v>
      </c>
      <c r="I1054">
        <f>VLOOKUP(Table4[[#This Row],[Visitor]],'NHL Model'!$A$6:$B$38,2,FALSE)</f>
        <v>-0.45007023285116615</v>
      </c>
      <c r="J1054">
        <f>($B$1+Table4[[#This Row],[Home Differential]])-Table4[[#This Row],[Away Differential]]</f>
        <v>-0.53603497407787826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0.53149539635468646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0.12073374225454764</v>
      </c>
      <c r="H1055" t="s">
        <v>10</v>
      </c>
      <c r="I1055">
        <f>VLOOKUP(Table4[[#This Row],[Visitor]],'NHL Model'!$A$6:$B$38,2,FALSE)</f>
        <v>-0.15263505358797036</v>
      </c>
      <c r="J1055">
        <f>($B$1+Table4[[#This Row],[Home Differential]])-Table4[[#This Row],[Away Differential]]</f>
        <v>0.41091218481493436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0.59480674012148627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-6.0247860940930854E-2</v>
      </c>
      <c r="H1056" t="s">
        <v>12</v>
      </c>
      <c r="I1056">
        <f>VLOOKUP(Table4[[#This Row],[Visitor]],'NHL Model'!$A$6:$B$38,2,FALSE)</f>
        <v>1.4458345276269271</v>
      </c>
      <c r="J1056">
        <f>($B$1+Table4[[#This Row],[Home Differential]])-Table4[[#This Row],[Away Differential]]</f>
        <v>-1.3685389995954416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0.73253331020282797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6.4811420118814619E-2</v>
      </c>
      <c r="H1057" t="s">
        <v>21</v>
      </c>
      <c r="I1057">
        <f>VLOOKUP(Table4[[#This Row],[Visitor]],'NHL Model'!$A$6:$B$38,2,FALSE)</f>
        <v>-0.14464931395309213</v>
      </c>
      <c r="J1057">
        <f>($B$1+Table4[[#This Row],[Home Differential]])-Table4[[#This Row],[Away Differential]]</f>
        <v>0.34700412304432315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0.58628279592472987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-0.87263145033954281</v>
      </c>
      <c r="H1058" t="s">
        <v>29</v>
      </c>
      <c r="I1058">
        <f>VLOOKUP(Table4[[#This Row],[Visitor]],'NHL Model'!$A$6:$B$38,2,FALSE)</f>
        <v>-1.4957350924899622</v>
      </c>
      <c r="J1058">
        <f>($B$1+Table4[[#This Row],[Home Differential]])-Table4[[#This Row],[Away Differential]]</f>
        <v>0.76064703112283572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0.67749062144267724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-0.16358905079701039</v>
      </c>
      <c r="H1059" t="s">
        <v>19</v>
      </c>
      <c r="I1059">
        <f>VLOOKUP(Table4[[#This Row],[Visitor]],'NHL Model'!$A$6:$B$38,2,FALSE)</f>
        <v>-0.93520311342823803</v>
      </c>
      <c r="J1059">
        <f>($B$1+Table4[[#This Row],[Home Differential]])-Table4[[#This Row],[Away Differential]]</f>
        <v>0.90915745160364403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0.66126181218499291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-0.74754136228530599</v>
      </c>
      <c r="H1060" t="s">
        <v>31</v>
      </c>
      <c r="I1060">
        <f>VLOOKUP(Table4[[#This Row],[Visitor]],'NHL Model'!$A$6:$B$38,2,FALSE)</f>
        <v>0.34329638981067145</v>
      </c>
      <c r="J1060">
        <f>($B$1+Table4[[#This Row],[Home Differential]])-Table4[[#This Row],[Away Differential]]</f>
        <v>-0.95329436312356108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0.60791794611463146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-0.31751962084606655</v>
      </c>
      <c r="H1061" t="s">
        <v>33</v>
      </c>
      <c r="I1061">
        <f>VLOOKUP(Table4[[#This Row],[Visitor]],'NHL Model'!$A$6:$B$38,2,FALSE)</f>
        <v>-0.36178381286707545</v>
      </c>
      <c r="J1061">
        <f>($B$1+Table4[[#This Row],[Home Differential]])-Table4[[#This Row],[Away Differential]]</f>
        <v>0.18180758099342526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0.56674465265756913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-0.45007023285116615</v>
      </c>
      <c r="H1062" t="s">
        <v>11</v>
      </c>
      <c r="I1062">
        <f>VLOOKUP(Table4[[#This Row],[Visitor]],'NHL Model'!$A$6:$B$38,2,FALSE)</f>
        <v>-0.37836939589441088</v>
      </c>
      <c r="J1062">
        <f>($B$1+Table4[[#This Row],[Home Differential]])-Table4[[#This Row],[Away Differential]]</f>
        <v>6.5842552015661082E-2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0.57481969893171136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-6.0247860940930854E-2</v>
      </c>
      <c r="H1063" t="s">
        <v>35</v>
      </c>
      <c r="I1063">
        <f>VLOOKUP(Table4[[#This Row],[Visitor]],'NHL Model'!$A$6:$B$38,2,FALSE)</f>
        <v>-1.5569791149906038</v>
      </c>
      <c r="J1063">
        <f>($B$1+Table4[[#This Row],[Home Differential]])-Table4[[#This Row],[Away Differential]]</f>
        <v>1.6342746430220894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0.76047213932111501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1.4458345276269271</v>
      </c>
      <c r="H1064" t="s">
        <v>14</v>
      </c>
      <c r="I1064">
        <f>VLOOKUP(Table4[[#This Row],[Visitor]],'NHL Model'!$A$6:$B$38,2,FALSE)</f>
        <v>-0.2090057419115289</v>
      </c>
      <c r="J1064">
        <f>($B$1+Table4[[#This Row],[Home Differential]])-Table4[[#This Row],[Away Differential]]</f>
        <v>1.7923836585108726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0.87398559575708945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4.3828122498436855E-3</v>
      </c>
      <c r="H1065" t="s">
        <v>55</v>
      </c>
      <c r="I1065">
        <f>VLOOKUP(Table4[[#This Row],[Visitor]],'NHL Model'!$A$6:$B$38,2,FALSE)</f>
        <v>-0.30969050963205513</v>
      </c>
      <c r="J1065">
        <f>($B$1+Table4[[#This Row],[Home Differential]])-Table4[[#This Row],[Away Differential]]</f>
        <v>0.45161671085431521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0.6027313169842794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-0.66335717753705836</v>
      </c>
      <c r="H1066" t="s">
        <v>16</v>
      </c>
      <c r="I1066">
        <f>VLOOKUP(Table4[[#This Row],[Visitor]],'NHL Model'!$A$6:$B$38,2,FALSE)</f>
        <v>-1.0952038865534519</v>
      </c>
      <c r="J1066">
        <f>($B$1+Table4[[#This Row],[Home Differential]])-Table4[[#This Row],[Away Differential]]</f>
        <v>0.56939009798880991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0.64819030956995438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-1.8032585202533785E-2</v>
      </c>
      <c r="H1067" t="s">
        <v>21</v>
      </c>
      <c r="I1067">
        <f>VLOOKUP(Table4[[#This Row],[Visitor]],'NHL Model'!$A$6:$B$38,2,FALSE)</f>
        <v>-0.14464931395309213</v>
      </c>
      <c r="J1067">
        <f>($B$1+Table4[[#This Row],[Home Differential]])-Table4[[#This Row],[Away Differential]]</f>
        <v>0.26416011772297471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0.69066392069389426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-0.49835870184734621</v>
      </c>
      <c r="H1068" t="s">
        <v>13</v>
      </c>
      <c r="I1068">
        <f>VLOOKUP(Table4[[#This Row],[Visitor]],'NHL Model'!$A$6:$B$38,2,FALSE)</f>
        <v>-0.36134162888396865</v>
      </c>
      <c r="J1068">
        <f>($B$1+Table4[[#This Row],[Home Differential]])-Table4[[#This Row],[Away Differential]]</f>
        <v>5.2631600903879638E-4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0.45659193822842981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-0.59418600019583889</v>
      </c>
      <c r="H1069" t="s">
        <v>25</v>
      </c>
      <c r="I1069">
        <f>VLOOKUP(Table4[[#This Row],[Visitor]],'NHL Model'!$A$6:$B$38,2,FALSE)</f>
        <v>0.42515174825138019</v>
      </c>
      <c r="J1069">
        <f>($B$1+Table4[[#This Row],[Home Differential]])-Table4[[#This Row],[Away Differential]]</f>
        <v>-0.88179435947480278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0.64315961662998344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-0.15263505358797036</v>
      </c>
      <c r="H1070" t="s">
        <v>34</v>
      </c>
      <c r="I1070">
        <f>VLOOKUP(Table4[[#This Row],[Visitor]],'NHL Model'!$A$6:$B$38,2,FALSE)</f>
        <v>-0.16358905079701039</v>
      </c>
      <c r="J1070">
        <f>($B$1+Table4[[#This Row],[Home Differential]])-Table4[[#This Row],[Away Differential]]</f>
        <v>0.14849738618145639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0.539037087840748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-0.87263145033954281</v>
      </c>
      <c r="H1071" t="s">
        <v>33</v>
      </c>
      <c r="I1071">
        <f>VLOOKUP(Table4[[#This Row],[Visitor]],'NHL Model'!$A$6:$B$38,2,FALSE)</f>
        <v>-0.36178381286707545</v>
      </c>
      <c r="J1071">
        <f>($B$1+Table4[[#This Row],[Home Differential]])-Table4[[#This Row],[Away Differential]]</f>
        <v>-0.37330424850005101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0.47375379376177473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-0.74754136228530599</v>
      </c>
      <c r="H1072" t="s">
        <v>21</v>
      </c>
      <c r="I1072">
        <f>VLOOKUP(Table4[[#This Row],[Visitor]],'NHL Model'!$A$6:$B$38,2,FALSE)</f>
        <v>-0.14464931395309213</v>
      </c>
      <c r="J1072">
        <f>($B$1+Table4[[#This Row],[Home Differential]])-Table4[[#This Row],[Away Differential]]</f>
        <v>-0.46534865935979752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0.5220673807735855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-0.45007023285116615</v>
      </c>
      <c r="H1073" t="s">
        <v>37</v>
      </c>
      <c r="I1073">
        <f>VLOOKUP(Table4[[#This Row],[Visitor]],'NHL Model'!$A$6:$B$38,2,FALSE)</f>
        <v>7.1667377873261273E-2</v>
      </c>
      <c r="J1073">
        <f>($B$1+Table4[[#This Row],[Home Differential]])-Table4[[#This Row],[Away Differential]]</f>
        <v>-0.38419422175201107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0.55124314548428999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-0.93520311342823803</v>
      </c>
      <c r="H1074" t="s">
        <v>30</v>
      </c>
      <c r="I1074">
        <f>VLOOKUP(Table4[[#This Row],[Visitor]],'NHL Model'!$A$6:$B$38,2,FALSE)</f>
        <v>3.838472305373858E-3</v>
      </c>
      <c r="J1074">
        <f>($B$1+Table4[[#This Row],[Home Differential]])-Table4[[#This Row],[Away Differential]]</f>
        <v>-0.80149819676119549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0.63952558037977969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-1.1236485959014608</v>
      </c>
      <c r="H1075" t="s">
        <v>11</v>
      </c>
      <c r="I1075">
        <f>VLOOKUP(Table4[[#This Row],[Visitor]],'NHL Model'!$A$6:$B$38,2,FALSE)</f>
        <v>-0.37836939589441088</v>
      </c>
      <c r="J1075">
        <f>($B$1+Table4[[#This Row],[Home Differential]])-Table4[[#This Row],[Away Differential]]</f>
        <v>-0.60773581103463359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0.54105872711683412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0.12073374225454764</v>
      </c>
      <c r="H1076" t="s">
        <v>23</v>
      </c>
      <c r="I1076">
        <f>VLOOKUP(Table4[[#This Row],[Visitor]],'NHL Model'!$A$6:$B$38,2,FALSE)</f>
        <v>-0.51535072045188635</v>
      </c>
      <c r="J1076">
        <f>($B$1+Table4[[#This Row],[Home Differential]])-Table4[[#This Row],[Away Differential]]</f>
        <v>0.7736278516788504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0.64318511396006062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-6.0247860940930854E-2</v>
      </c>
      <c r="H1077" t="s">
        <v>29</v>
      </c>
      <c r="I1077">
        <f>VLOOKUP(Table4[[#This Row],[Visitor]],'NHL Model'!$A$6:$B$38,2,FALSE)</f>
        <v>-1.4957350924899622</v>
      </c>
      <c r="J1077">
        <f>($B$1+Table4[[#This Row],[Home Differential]])-Table4[[#This Row],[Away Differential]]</f>
        <v>1.5730306205214477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0.75230351996829914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0.34329638981067145</v>
      </c>
      <c r="H1078" t="s">
        <v>27</v>
      </c>
      <c r="I1078">
        <f>VLOOKUP(Table4[[#This Row],[Visitor]],'NHL Model'!$A$6:$B$38,2,FALSE)</f>
        <v>-0.42203126246971279</v>
      </c>
      <c r="J1078">
        <f>($B$1+Table4[[#This Row],[Home Differential]])-Table4[[#This Row],[Away Differential]]</f>
        <v>0.9028710412528006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0.75534397681652976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0.42515174825138019</v>
      </c>
      <c r="H1079" t="s">
        <v>14</v>
      </c>
      <c r="I1079">
        <f>VLOOKUP(Table4[[#This Row],[Visitor]],'NHL Model'!$A$6:$B$38,2,FALSE)</f>
        <v>-0.2090057419115289</v>
      </c>
      <c r="J1079">
        <f>($B$1+Table4[[#This Row],[Home Differential]])-Table4[[#This Row],[Away Differential]]</f>
        <v>0.77170087913532537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0.69464407410325035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-1.0952038865534519</v>
      </c>
      <c r="H1080" t="s">
        <v>35</v>
      </c>
      <c r="I1080">
        <f>VLOOKUP(Table4[[#This Row],[Visitor]],'NHL Model'!$A$6:$B$38,2,FALSE)</f>
        <v>-1.5569791149906038</v>
      </c>
      <c r="J1080">
        <f>($B$1+Table4[[#This Row],[Home Differential]])-Table4[[#This Row],[Away Differential]]</f>
        <v>0.59931861740956827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0.61993605672493768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1.4458345276269271</v>
      </c>
      <c r="H1081" t="s">
        <v>39</v>
      </c>
      <c r="I1081">
        <f>VLOOKUP(Table4[[#This Row],[Visitor]],'NHL Model'!$A$6:$B$38,2,FALSE)</f>
        <v>4.3828122498436855E-3</v>
      </c>
      <c r="J1081">
        <f>($B$1+Table4[[#This Row],[Home Differential]])-Table4[[#This Row],[Away Differential]]</f>
        <v>1.5789951043494999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0.76756559837953642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-0.49835870184734621</v>
      </c>
      <c r="H1082" t="s">
        <v>24</v>
      </c>
      <c r="I1082">
        <f>VLOOKUP(Table4[[#This Row],[Visitor]],'NHL Model'!$A$6:$B$38,2,FALSE)</f>
        <v>-1.8032585202533785E-2</v>
      </c>
      <c r="J1082">
        <f>($B$1+Table4[[#This Row],[Home Differential]])-Table4[[#This Row],[Away Differential]]</f>
        <v>-0.34278272767239604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0.50654924676713353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6.4811420118814619E-2</v>
      </c>
      <c r="H1083" t="s">
        <v>36</v>
      </c>
      <c r="I1083">
        <f>VLOOKUP(Table4[[#This Row],[Visitor]],'NHL Model'!$A$6:$B$38,2,FALSE)</f>
        <v>-0.31751962084606655</v>
      </c>
      <c r="J1083">
        <f>($B$1+Table4[[#This Row],[Home Differential]])-Table4[[#This Row],[Away Differential]]</f>
        <v>0.51987442993729749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0.58857070080328211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-0.14464931395309213</v>
      </c>
      <c r="H1084" t="s">
        <v>40</v>
      </c>
      <c r="I1084">
        <f>VLOOKUP(Table4[[#This Row],[Visitor]],'NHL Model'!$A$6:$B$38,2,FALSE)</f>
        <v>-6.0247860940930854E-2</v>
      </c>
      <c r="J1084">
        <f>($B$1+Table4[[#This Row],[Home Differential]])-Table4[[#This Row],[Away Differential]]</f>
        <v>5.3141935960255078E-2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0.53340376685999147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-0.59418600019583889</v>
      </c>
      <c r="H1085" t="s">
        <v>15</v>
      </c>
      <c r="I1085">
        <f>VLOOKUP(Table4[[#This Row],[Visitor]],'NHL Model'!$A$6:$B$38,2,FALSE)</f>
        <v>-0.49835870184734621</v>
      </c>
      <c r="J1085">
        <f>($B$1+Table4[[#This Row],[Home Differential]])-Table4[[#This Row],[Away Differential]]</f>
        <v>4.1716090623923674E-2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0.46914017729322238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-0.66335717753705836</v>
      </c>
      <c r="H1086" t="s">
        <v>18</v>
      </c>
      <c r="I1086">
        <f>VLOOKUP(Table4[[#This Row],[Visitor]],'NHL Model'!$A$6:$B$38,2,FALSE)</f>
        <v>-0.74754136228530599</v>
      </c>
      <c r="J1086">
        <f>($B$1+Table4[[#This Row],[Home Differential]])-Table4[[#This Row],[Away Differential]]</f>
        <v>0.22172757372066398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0.55512107670217681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-0.87263145033954281</v>
      </c>
      <c r="H1087" t="s">
        <v>11</v>
      </c>
      <c r="I1087">
        <f>VLOOKUP(Table4[[#This Row],[Visitor]],'NHL Model'!$A$6:$B$38,2,FALSE)</f>
        <v>-0.37836939589441088</v>
      </c>
      <c r="J1087">
        <f>($B$1+Table4[[#This Row],[Home Differential]])-Table4[[#This Row],[Away Differential]]</f>
        <v>-0.35671866547271558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0.4715416380449714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-0.36134162888396865</v>
      </c>
      <c r="H1088" t="s">
        <v>27</v>
      </c>
      <c r="I1088">
        <f>VLOOKUP(Table4[[#This Row],[Visitor]],'NHL Model'!$A$6:$B$38,2,FALSE)</f>
        <v>-0.42203126246971279</v>
      </c>
      <c r="J1088">
        <f>($B$1+Table4[[#This Row],[Home Differential]])-Table4[[#This Row],[Away Differential]]</f>
        <v>0.1982330225581605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0.56643996978511346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-0.16358905079701039</v>
      </c>
      <c r="H1089" t="s">
        <v>10</v>
      </c>
      <c r="I1089">
        <f>VLOOKUP(Table4[[#This Row],[Visitor]],'NHL Model'!$A$6:$B$38,2,FALSE)</f>
        <v>-0.15263505358797036</v>
      </c>
      <c r="J1089">
        <f>($B$1+Table4[[#This Row],[Home Differential]])-Table4[[#This Row],[Away Differential]]</f>
        <v>0.12658939176337633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0.55688426907962607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-1.4957350924899622</v>
      </c>
      <c r="H1090" t="s">
        <v>32</v>
      </c>
      <c r="I1090">
        <f>VLOOKUP(Table4[[#This Row],[Visitor]],'NHL Model'!$A$6:$B$38,2,FALSE)</f>
        <v>-0.45007023285116615</v>
      </c>
      <c r="J1090">
        <f>($B$1+Table4[[#This Row],[Home Differential]])-Table4[[#This Row],[Away Differential]]</f>
        <v>-0.9081214706663796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0.58112363488069851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-0.31751962084606655</v>
      </c>
      <c r="H1091" t="s">
        <v>30</v>
      </c>
      <c r="I1091">
        <f>VLOOKUP(Table4[[#This Row],[Visitor]],'NHL Model'!$A$6:$B$38,2,FALSE)</f>
        <v>3.838472305373858E-3</v>
      </c>
      <c r="J1091">
        <f>($B$1+Table4[[#This Row],[Home Differential]])-Table4[[#This Row],[Away Differential]]</f>
        <v>-0.18381470417902404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0.55463736191992841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-0.36178381286707545</v>
      </c>
      <c r="H1092" t="s">
        <v>23</v>
      </c>
      <c r="I1092">
        <f>VLOOKUP(Table4[[#This Row],[Visitor]],'NHL Model'!$A$6:$B$38,2,FALSE)</f>
        <v>-0.51535072045188635</v>
      </c>
      <c r="J1092">
        <f>($B$1+Table4[[#This Row],[Home Differential]])-Table4[[#This Row],[Away Differential]]</f>
        <v>0.29111029655722725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0.57882777624928905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-1.1236485959014608</v>
      </c>
      <c r="H1093" t="s">
        <v>37</v>
      </c>
      <c r="I1093">
        <f>VLOOKUP(Table4[[#This Row],[Visitor]],'NHL Model'!$A$6:$B$38,2,FALSE)</f>
        <v>7.1667377873261273E-2</v>
      </c>
      <c r="J1093">
        <f>($B$1+Table4[[#This Row],[Home Differential]])-Table4[[#This Row],[Away Differential]]</f>
        <v>-1.0577725848023056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0.66739962515746298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0.12073374225454764</v>
      </c>
      <c r="H1094" t="s">
        <v>55</v>
      </c>
      <c r="I1094">
        <f>VLOOKUP(Table4[[#This Row],[Visitor]],'NHL Model'!$A$6:$B$38,2,FALSE)</f>
        <v>-0.30969050963205513</v>
      </c>
      <c r="J1094">
        <f>($B$1+Table4[[#This Row],[Home Differential]])-Table4[[#This Row],[Away Differential]]</f>
        <v>0.56796764085901907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0.61575451894665401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-1.0952038865534519</v>
      </c>
      <c r="H1095" t="s">
        <v>11</v>
      </c>
      <c r="I1095">
        <f>VLOOKUP(Table4[[#This Row],[Visitor]],'NHL Model'!$A$6:$B$38,2,FALSE)</f>
        <v>-0.37836939589441088</v>
      </c>
      <c r="J1095">
        <f>($B$1+Table4[[#This Row],[Home Differential]])-Table4[[#This Row],[Away Differential]]</f>
        <v>-0.57929110168662468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0.53726482211552673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-0.15263505358797036</v>
      </c>
      <c r="H1096" t="s">
        <v>12</v>
      </c>
      <c r="I1096">
        <f>VLOOKUP(Table4[[#This Row],[Visitor]],'NHL Model'!$A$6:$B$38,2,FALSE)</f>
        <v>1.4458345276269271</v>
      </c>
      <c r="J1096">
        <f>($B$1+Table4[[#This Row],[Home Differential]])-Table4[[#This Row],[Away Differential]]</f>
        <v>-1.4609261922424812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0.74734193832874918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-0.93520311342823803</v>
      </c>
      <c r="H1097" t="s">
        <v>25</v>
      </c>
      <c r="I1097">
        <f>VLOOKUP(Table4[[#This Row],[Visitor]],'NHL Model'!$A$6:$B$38,2,FALSE)</f>
        <v>0.42515174825138019</v>
      </c>
      <c r="J1097">
        <f>($B$1+Table4[[#This Row],[Home Differential]])-Table4[[#This Row],[Away Differential]]</f>
        <v>-1.2228114727072019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0.69571959963210328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-0.30969050963205513</v>
      </c>
      <c r="H1098" t="s">
        <v>31</v>
      </c>
      <c r="I1098">
        <f>VLOOKUP(Table4[[#This Row],[Visitor]],'NHL Model'!$A$6:$B$38,2,FALSE)</f>
        <v>0.34329638981067145</v>
      </c>
      <c r="J1098">
        <f>($B$1+Table4[[#This Row],[Home Differential]])-Table4[[#This Row],[Away Differential]]</f>
        <v>-0.51544351047031023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0.4973203719457312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6.4811420118814619E-2</v>
      </c>
      <c r="H1099" t="s">
        <v>24</v>
      </c>
      <c r="I1099">
        <f>VLOOKUP(Table4[[#This Row],[Visitor]],'NHL Model'!$A$6:$B$38,2,FALSE)</f>
        <v>-1.8032585202533785E-2</v>
      </c>
      <c r="J1099">
        <f>($B$1+Table4[[#This Row],[Home Differential]])-Table4[[#This Row],[Away Differential]]</f>
        <v>0.22038739429376478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0.56856538759856723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-0.59418600019583889</v>
      </c>
      <c r="H1100" t="s">
        <v>32</v>
      </c>
      <c r="I1100">
        <f>VLOOKUP(Table4[[#This Row],[Visitor]],'NHL Model'!$A$6:$B$38,2,FALSE)</f>
        <v>-0.45007023285116615</v>
      </c>
      <c r="J1100">
        <f>($B$1+Table4[[#This Row],[Home Differential]])-Table4[[#This Row],[Away Differential]]</f>
        <v>-6.5723783722563822E-3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0.45383066033783143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-0.66335717753705836</v>
      </c>
      <c r="H1101" t="s">
        <v>21</v>
      </c>
      <c r="I1101">
        <f>VLOOKUP(Table4[[#This Row],[Visitor]],'NHL Model'!$A$6:$B$38,2,FALSE)</f>
        <v>-0.14464931395309213</v>
      </c>
      <c r="J1101">
        <f>($B$1+Table4[[#This Row],[Home Differential]])-Table4[[#This Row],[Away Differential]]</f>
        <v>-0.3811644746115499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0.47859297736338796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-0.87263145033954281</v>
      </c>
      <c r="H1102" t="s">
        <v>37</v>
      </c>
      <c r="I1102">
        <f>VLOOKUP(Table4[[#This Row],[Visitor]],'NHL Model'!$A$6:$B$38,2,FALSE)</f>
        <v>7.1667377873261273E-2</v>
      </c>
      <c r="J1102">
        <f>($B$1+Table4[[#This Row],[Home Differential]])-Table4[[#This Row],[Away Differential]]</f>
        <v>-0.80675543924038773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0.59739953133871004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-0.36134162888396865</v>
      </c>
      <c r="H1103" t="s">
        <v>23</v>
      </c>
      <c r="I1103">
        <f>VLOOKUP(Table4[[#This Row],[Visitor]],'NHL Model'!$A$6:$B$38,2,FALSE)</f>
        <v>-0.51535072045188635</v>
      </c>
      <c r="J1103">
        <f>($B$1+Table4[[#This Row],[Home Differential]])-Table4[[#This Row],[Away Differential]]</f>
        <v>0.29155248054033406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0.57888675396653277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-0.16358905079701039</v>
      </c>
      <c r="H1104" t="s">
        <v>39</v>
      </c>
      <c r="I1104">
        <f>VLOOKUP(Table4[[#This Row],[Visitor]],'NHL Model'!$A$6:$B$38,2,FALSE)</f>
        <v>4.3828122498436855E-3</v>
      </c>
      <c r="J1104">
        <f>($B$1+Table4[[#This Row],[Home Differential]])-Table4[[#This Row],[Away Differential]]</f>
        <v>-3.0428474074437717E-2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0.54501676496388274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-0.74754136228530599</v>
      </c>
      <c r="H1105" t="s">
        <v>30</v>
      </c>
      <c r="I1105">
        <f>VLOOKUP(Table4[[#This Row],[Visitor]],'NHL Model'!$A$6:$B$38,2,FALSE)</f>
        <v>3.838472305373858E-3</v>
      </c>
      <c r="J1105">
        <f>($B$1+Table4[[#This Row],[Home Differential]])-Table4[[#This Row],[Away Differential]]</f>
        <v>-0.61383644561826345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0.61449558807067861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-1.4957350924899622</v>
      </c>
      <c r="H1106" t="s">
        <v>20</v>
      </c>
      <c r="I1106">
        <f>VLOOKUP(Table4[[#This Row],[Visitor]],'NHL Model'!$A$6:$B$38,2,FALSE)</f>
        <v>0.12073374225454764</v>
      </c>
      <c r="J1106">
        <f>($B$1+Table4[[#This Row],[Home Differential]])-Table4[[#This Row],[Away Differential]]</f>
        <v>-1.4789254457720933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0.67802568983965172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-0.31751962084606655</v>
      </c>
      <c r="H1107" t="s">
        <v>19</v>
      </c>
      <c r="I1107">
        <f>VLOOKUP(Table4[[#This Row],[Visitor]],'NHL Model'!$A$6:$B$38,2,FALSE)</f>
        <v>-0.93520311342823803</v>
      </c>
      <c r="J1107">
        <f>($B$1+Table4[[#This Row],[Home Differential]])-Table4[[#This Row],[Away Differential]]</f>
        <v>0.75522688155458784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0.6432263043288482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-0.2090057419115289</v>
      </c>
      <c r="H1108" t="s">
        <v>40</v>
      </c>
      <c r="I1108">
        <f>VLOOKUP(Table4[[#This Row],[Visitor]],'NHL Model'!$A$6:$B$38,2,FALSE)</f>
        <v>-6.0247860940930854E-2</v>
      </c>
      <c r="J1108">
        <f>($B$1+Table4[[#This Row],[Home Differential]])-Table4[[#This Row],[Away Differential]]</f>
        <v>-1.121449199818169E-2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0.52781155857290341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-0.36178381286707545</v>
      </c>
      <c r="H1109" t="s">
        <v>27</v>
      </c>
      <c r="I1109">
        <f>VLOOKUP(Table4[[#This Row],[Visitor]],'NHL Model'!$A$6:$B$38,2,FALSE)</f>
        <v>-0.42203126246971279</v>
      </c>
      <c r="J1109">
        <f>($B$1+Table4[[#This Row],[Home Differential]])-Table4[[#This Row],[Away Differential]]</f>
        <v>0.1977908385750537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0.56638099206786974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-1.1236485959014608</v>
      </c>
      <c r="H1110" t="s">
        <v>35</v>
      </c>
      <c r="I1110">
        <f>VLOOKUP(Table4[[#This Row],[Visitor]],'NHL Model'!$A$6:$B$38,2,FALSE)</f>
        <v>-1.5569791149906038</v>
      </c>
      <c r="J1110">
        <f>($B$1+Table4[[#This Row],[Home Differential]])-Table4[[#This Row],[Away Differential]]</f>
        <v>0.57087390806155935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0.61614215172363029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0.34329638981067145</v>
      </c>
      <c r="H1111" t="s">
        <v>23</v>
      </c>
      <c r="I1111">
        <f>VLOOKUP(Table4[[#This Row],[Visitor]],'NHL Model'!$A$6:$B$38,2,FALSE)</f>
        <v>-0.51535072045188635</v>
      </c>
      <c r="J1111">
        <f>($B$1+Table4[[#This Row],[Home Differential]])-Table4[[#This Row],[Away Differential]]</f>
        <v>0.99619049923497416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0.76779076099794907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-1.0952038865534519</v>
      </c>
      <c r="H1112" t="s">
        <v>37</v>
      </c>
      <c r="I1112">
        <f>VLOOKUP(Table4[[#This Row],[Visitor]],'NHL Model'!$A$6:$B$38,2,FALSE)</f>
        <v>7.1667377873261273E-2</v>
      </c>
      <c r="J1112">
        <f>($B$1+Table4[[#This Row],[Home Differential]])-Table4[[#This Row],[Away Differential]]</f>
        <v>-1.0293278754542969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0.6636057201561556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-0.15263505358797036</v>
      </c>
      <c r="H1113" t="s">
        <v>29</v>
      </c>
      <c r="I1113">
        <f>VLOOKUP(Table4[[#This Row],[Visitor]],'NHL Model'!$A$6:$B$38,2,FALSE)</f>
        <v>-1.4957350924899622</v>
      </c>
      <c r="J1113">
        <f>($B$1+Table4[[#This Row],[Home Differential]])-Table4[[#This Row],[Away Differential]]</f>
        <v>1.4806434278744081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0.737485600483342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4.3828122498436855E-3</v>
      </c>
      <c r="H1114" t="s">
        <v>20</v>
      </c>
      <c r="I1114">
        <f>VLOOKUP(Table4[[#This Row],[Visitor]],'NHL Model'!$A$6:$B$38,2,FALSE)</f>
        <v>0.12073374225454764</v>
      </c>
      <c r="J1114">
        <f>($B$1+Table4[[#This Row],[Home Differential]])-Table4[[#This Row],[Away Differential]]</f>
        <v>2.1192458967712408E-2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0.52456574311287041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3.838472305373858E-3</v>
      </c>
      <c r="H1115" t="s">
        <v>28</v>
      </c>
      <c r="I1115">
        <f>VLOOKUP(Table4[[#This Row],[Visitor]],'NHL Model'!$A$6:$B$38,2,FALSE)</f>
        <v>-0.59418600019583889</v>
      </c>
      <c r="J1115">
        <f>($B$1+Table4[[#This Row],[Home Differential]])-Table4[[#This Row],[Away Differential]]</f>
        <v>0.73556786147362907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0.63727924672423253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-0.49835870184734621</v>
      </c>
      <c r="H1116" t="s">
        <v>40</v>
      </c>
      <c r="I1116">
        <f>VLOOKUP(Table4[[#This Row],[Visitor]],'NHL Model'!$A$6:$B$38,2,FALSE)</f>
        <v>-6.0247860940930854E-2</v>
      </c>
      <c r="J1116">
        <f>($B$1+Table4[[#This Row],[Home Differential]])-Table4[[#This Row],[Away Differential]]</f>
        <v>-0.30056745193399897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0.56640494437315037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-0.2090057419115289</v>
      </c>
      <c r="H1117" t="s">
        <v>25</v>
      </c>
      <c r="I1117">
        <f>VLOOKUP(Table4[[#This Row],[Visitor]],'NHL Model'!$A$6:$B$38,2,FALSE)</f>
        <v>0.42515174825138019</v>
      </c>
      <c r="J1117">
        <f>($B$1+Table4[[#This Row],[Home Differential]])-Table4[[#This Row],[Away Differential]]</f>
        <v>-0.49661410119049276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0.59886067919014085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-0.30969050963205513</v>
      </c>
      <c r="H1118" t="s">
        <v>13</v>
      </c>
      <c r="I1118">
        <f>VLOOKUP(Table4[[#This Row],[Visitor]],'NHL Model'!$A$6:$B$38,2,FALSE)</f>
        <v>-0.36134162888396865</v>
      </c>
      <c r="J1118">
        <f>($B$1+Table4[[#This Row],[Home Differential]])-Table4[[#This Row],[Away Differential]]</f>
        <v>0.18919450822432987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0.53432533782738778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6.4811420118814619E-2</v>
      </c>
      <c r="H1119" t="s">
        <v>12</v>
      </c>
      <c r="I1119">
        <f>VLOOKUP(Table4[[#This Row],[Visitor]],'NHL Model'!$A$6:$B$38,2,FALSE)</f>
        <v>1.4458345276269271</v>
      </c>
      <c r="J1119">
        <f>($B$1+Table4[[#This Row],[Home Differential]])-Table4[[#This Row],[Away Differential]]</f>
        <v>-1.2434797185356961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0.71833931242669957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-0.49835870184734621</v>
      </c>
      <c r="H1120" t="s">
        <v>36</v>
      </c>
      <c r="I1120">
        <f>VLOOKUP(Table4[[#This Row],[Visitor]],'NHL Model'!$A$6:$B$38,2,FALSE)</f>
        <v>-0.31751962084606655</v>
      </c>
      <c r="J1120">
        <f>($B$1+Table4[[#This Row],[Home Differential]])-Table4[[#This Row],[Away Differential]]</f>
        <v>-4.3295692028863297E-2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0.48654393356241882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-0.14464931395309213</v>
      </c>
      <c r="H1121" t="s">
        <v>19</v>
      </c>
      <c r="I1121">
        <f>VLOOKUP(Table4[[#This Row],[Visitor]],'NHL Model'!$A$6:$B$38,2,FALSE)</f>
        <v>-0.93520311342823803</v>
      </c>
      <c r="J1121">
        <f>($B$1+Table4[[#This Row],[Home Differential]])-Table4[[#This Row],[Away Differential]]</f>
        <v>0.92809718844756228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0.71550393710365223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-1.0952038865534519</v>
      </c>
      <c r="H1122" t="s">
        <v>13</v>
      </c>
      <c r="I1122">
        <f>VLOOKUP(Table4[[#This Row],[Visitor]],'NHL Model'!$A$6:$B$38,2,FALSE)</f>
        <v>-0.36134162888396865</v>
      </c>
      <c r="J1122">
        <f>($B$1+Table4[[#This Row],[Home Differential]])-Table4[[#This Row],[Away Differential]]</f>
        <v>-0.59631886869706685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0.62301421641913901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4.3828122498436855E-3</v>
      </c>
      <c r="H1123" t="s">
        <v>24</v>
      </c>
      <c r="I1123">
        <f>VLOOKUP(Table4[[#This Row],[Visitor]],'NHL Model'!$A$6:$B$38,2,FALSE)</f>
        <v>-1.8032585202533785E-2</v>
      </c>
      <c r="J1123">
        <f>($B$1+Table4[[#This Row],[Home Differential]])-Table4[[#This Row],[Away Differential]]</f>
        <v>0.15995878642479383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0.56300168656071137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-0.66335717753705836</v>
      </c>
      <c r="H1124" t="s">
        <v>36</v>
      </c>
      <c r="I1124">
        <f>VLOOKUP(Table4[[#This Row],[Visitor]],'NHL Model'!$A$6:$B$38,2,FALSE)</f>
        <v>-0.31751962084606655</v>
      </c>
      <c r="J1124">
        <f>($B$1+Table4[[#This Row],[Home Differential]])-Table4[[#This Row],[Away Differential]]</f>
        <v>-0.20829416771857545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0.47605776959286805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-0.37836939589441088</v>
      </c>
      <c r="H1125" t="s">
        <v>32</v>
      </c>
      <c r="I1125">
        <f>VLOOKUP(Table4[[#This Row],[Visitor]],'NHL Model'!$A$6:$B$38,2,FALSE)</f>
        <v>-0.45007023285116615</v>
      </c>
      <c r="J1125">
        <f>($B$1+Table4[[#This Row],[Home Differential]])-Table4[[#This Row],[Away Differential]]</f>
        <v>0.20924422592917163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0.61962460093831084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-0.74754136228530599</v>
      </c>
      <c r="H1126" t="s">
        <v>25</v>
      </c>
      <c r="I1126">
        <f>VLOOKUP(Table4[[#This Row],[Visitor]],'NHL Model'!$A$6:$B$38,2,FALSE)</f>
        <v>0.42515174825138019</v>
      </c>
      <c r="J1126">
        <f>($B$1+Table4[[#This Row],[Home Differential]])-Table4[[#This Row],[Away Differential]]</f>
        <v>-1.0351497215642698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0.67068960732300231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-1.4957350924899622</v>
      </c>
      <c r="H1127" t="s">
        <v>33</v>
      </c>
      <c r="I1127">
        <f>VLOOKUP(Table4[[#This Row],[Visitor]],'NHL Model'!$A$6:$B$38,2,FALSE)</f>
        <v>-0.36178381286707545</v>
      </c>
      <c r="J1127">
        <f>($B$1+Table4[[#This Row],[Home Differential]])-Table4[[#This Row],[Away Differential]]</f>
        <v>-0.99640789065047031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0.59289912135964939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3.838472305373858E-3</v>
      </c>
      <c r="H1128" t="s">
        <v>10</v>
      </c>
      <c r="I1128">
        <f>VLOOKUP(Table4[[#This Row],[Visitor]],'NHL Model'!$A$6:$B$38,2,FALSE)</f>
        <v>-0.15263505358797036</v>
      </c>
      <c r="J1128">
        <f>($B$1+Table4[[#This Row],[Home Differential]])-Table4[[#This Row],[Away Differential]]</f>
        <v>0.29401691486576054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0.57921545585616141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-0.42203126246971279</v>
      </c>
      <c r="H1129" t="s">
        <v>28</v>
      </c>
      <c r="I1129">
        <f>VLOOKUP(Table4[[#This Row],[Visitor]],'NHL Model'!$A$6:$B$38,2,FALSE)</f>
        <v>-0.59418600019583889</v>
      </c>
      <c r="J1129">
        <f>($B$1+Table4[[#This Row],[Home Differential]])-Table4[[#This Row],[Away Differential]]</f>
        <v>0.30969812669854246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0.61273555957184744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-0.2090057419115289</v>
      </c>
      <c r="H1130" t="s">
        <v>12</v>
      </c>
      <c r="I1130">
        <f>VLOOKUP(Table4[[#This Row],[Visitor]],'NHL Model'!$A$6:$B$38,2,FALSE)</f>
        <v>1.4458345276269271</v>
      </c>
      <c r="J1130">
        <f>($B$1+Table4[[#This Row],[Home Differential]])-Table4[[#This Row],[Away Differential]]</f>
        <v>-1.5172968805660396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0.75486056099215348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-1.5569791149906038</v>
      </c>
      <c r="H1131" t="s">
        <v>22</v>
      </c>
      <c r="I1131">
        <f>VLOOKUP(Table4[[#This Row],[Visitor]],'NHL Model'!$A$6:$B$38,2,FALSE)</f>
        <v>6.4811420118814619E-2</v>
      </c>
      <c r="J1131">
        <f>($B$1+Table4[[#This Row],[Home Differential]])-Table4[[#This Row],[Away Differential]]</f>
        <v>-1.4842471461370019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0.67873548881783319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7.1667377873261273E-2</v>
      </c>
      <c r="H1132" t="s">
        <v>34</v>
      </c>
      <c r="I1132">
        <f>VLOOKUP(Table4[[#This Row],[Visitor]],'NHL Model'!$A$6:$B$38,2,FALSE)</f>
        <v>-0.16358905079701039</v>
      </c>
      <c r="J1132">
        <f>($B$1+Table4[[#This Row],[Home Differential]])-Table4[[#This Row],[Away Differential]]</f>
        <v>0.37279981764268799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0.57146251046081509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-0.30969050963205513</v>
      </c>
      <c r="H1133" t="s">
        <v>17</v>
      </c>
      <c r="I1133">
        <f>VLOOKUP(Table4[[#This Row],[Visitor]],'NHL Model'!$A$6:$B$38,2,FALSE)</f>
        <v>-0.87263145033954281</v>
      </c>
      <c r="J1133">
        <f>($B$1+Table4[[#This Row],[Home Differential]])-Table4[[#This Row],[Away Differential]]</f>
        <v>0.70048432967990404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0.68514533675110745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-1.1236485959014608</v>
      </c>
      <c r="H1134" t="s">
        <v>31</v>
      </c>
      <c r="I1134">
        <f>VLOOKUP(Table4[[#This Row],[Visitor]],'NHL Model'!$A$6:$B$38,2,FALSE)</f>
        <v>0.34329638981067145</v>
      </c>
      <c r="J1134">
        <f>($B$1+Table4[[#This Row],[Home Differential]])-Table4[[#This Row],[Away Differential]]</f>
        <v>-1.3294015967397159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0.65808246343089327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-6.0247860940930854E-2</v>
      </c>
      <c r="H1135" t="s">
        <v>20</v>
      </c>
      <c r="I1135">
        <f>VLOOKUP(Table4[[#This Row],[Visitor]],'NHL Model'!$A$6:$B$38,2,FALSE)</f>
        <v>0.12073374225454764</v>
      </c>
      <c r="J1135">
        <f>($B$1+Table4[[#This Row],[Home Differential]])-Table4[[#This Row],[Away Differential]]</f>
        <v>-4.3438214223062127E-2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0.48405458171648164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-0.51535072045188635</v>
      </c>
      <c r="H1136" t="s">
        <v>21</v>
      </c>
      <c r="I1136">
        <f>VLOOKUP(Table4[[#This Row],[Visitor]],'NHL Model'!$A$6:$B$38,2,FALSE)</f>
        <v>-0.14464931395309213</v>
      </c>
      <c r="J1136">
        <f>($B$1+Table4[[#This Row],[Home Differential]])-Table4[[#This Row],[Away Differential]]</f>
        <v>-0.23315801752637785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0.47708158331727912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-0.93520311342823803</v>
      </c>
      <c r="H1137" t="s">
        <v>15</v>
      </c>
      <c r="I1137">
        <f>VLOOKUP(Table4[[#This Row],[Visitor]],'NHL Model'!$A$6:$B$38,2,FALSE)</f>
        <v>-0.49835870184734621</v>
      </c>
      <c r="J1137">
        <f>($B$1+Table4[[#This Row],[Home Differential]])-Table4[[#This Row],[Away Differential]]</f>
        <v>-0.29930102260847546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0.58339850166647833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-1.0952038865534519</v>
      </c>
      <c r="H1138" t="s">
        <v>31</v>
      </c>
      <c r="I1138">
        <f>VLOOKUP(Table4[[#This Row],[Visitor]],'NHL Model'!$A$6:$B$38,2,FALSE)</f>
        <v>0.34329638981067145</v>
      </c>
      <c r="J1138">
        <f>($B$1+Table4[[#This Row],[Home Differential]])-Table4[[#This Row],[Away Differential]]</f>
        <v>-1.300956887391707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0.65428855842958578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-0.37836939589441088</v>
      </c>
      <c r="H1139" t="s">
        <v>34</v>
      </c>
      <c r="I1139">
        <f>VLOOKUP(Table4[[#This Row],[Visitor]],'NHL Model'!$A$6:$B$38,2,FALSE)</f>
        <v>-0.16358905079701039</v>
      </c>
      <c r="J1139">
        <f>($B$1+Table4[[#This Row],[Home Differential]])-Table4[[#This Row],[Away Differential]]</f>
        <v>-7.723695612498413E-2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0.43887315711234093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-0.74754136228530599</v>
      </c>
      <c r="H1140" t="s">
        <v>28</v>
      </c>
      <c r="I1140">
        <f>VLOOKUP(Table4[[#This Row],[Visitor]],'NHL Model'!$A$6:$B$38,2,FALSE)</f>
        <v>-0.59418600019583889</v>
      </c>
      <c r="J1140">
        <f>($B$1+Table4[[#This Row],[Home Differential]])-Table4[[#This Row],[Away Differential]]</f>
        <v>-1.5811973117050737E-2</v>
      </c>
      <c r="K1140" t="str">
        <f>IF(Table4[[#This Row],[HomeIce Differential]]&gt;0,Table4[[#This Row],[Home]],Table4[[#This Row],[Visitor]])</f>
        <v>Columbus Blue Jackets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0.46293846608339223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-1.4957350924899622</v>
      </c>
      <c r="H1141" t="s">
        <v>24</v>
      </c>
      <c r="I1141">
        <f>VLOOKUP(Table4[[#This Row],[Visitor]],'NHL Model'!$A$6:$B$38,2,FALSE)</f>
        <v>-1.8032585202533785E-2</v>
      </c>
      <c r="J1141">
        <f>($B$1+Table4[[#This Row],[Home Differential]])-Table4[[#This Row],[Away Differential]]</f>
        <v>-1.3401591183150119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0.63957754494202168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3.838472305373858E-3</v>
      </c>
      <c r="H1142" t="s">
        <v>39</v>
      </c>
      <c r="I1142">
        <f>VLOOKUP(Table4[[#This Row],[Visitor]],'NHL Model'!$A$6:$B$38,2,FALSE)</f>
        <v>4.3828122498436855E-3</v>
      </c>
      <c r="J1142">
        <f>($B$1+Table4[[#This Row],[Home Differential]])-Table4[[#This Row],[Away Differential]]</f>
        <v>0.13699904902794652</v>
      </c>
      <c r="K1142" t="str">
        <f>IF(Table4[[#This Row],[HomeIce Differential]]&gt;0,Table4[[#This Row],[Home]],Table4[[#This Row],[Visitor]])</f>
        <v>New York Islanders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0.47731442181265271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-0.31751962084606655</v>
      </c>
      <c r="H1143" t="s">
        <v>14</v>
      </c>
      <c r="I1143">
        <f>VLOOKUP(Table4[[#This Row],[Visitor]],'NHL Model'!$A$6:$B$38,2,FALSE)</f>
        <v>-0.2090057419115289</v>
      </c>
      <c r="J1143">
        <f>($B$1+Table4[[#This Row],[Home Differential]])-Table4[[#This Row],[Away Differential]]</f>
        <v>2.9029510037878709E-2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0.54636738388688577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-0.42203126246971279</v>
      </c>
      <c r="H1144" t="s">
        <v>10</v>
      </c>
      <c r="I1144">
        <f>VLOOKUP(Table4[[#This Row],[Visitor]],'NHL Model'!$A$6:$B$38,2,FALSE)</f>
        <v>-0.15263505358797036</v>
      </c>
      <c r="J1144">
        <f>($B$1+Table4[[#This Row],[Home Differential]])-Table4[[#This Row],[Away Differential]]</f>
        <v>-0.13185281990932607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0.44534023000405509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-1.5569791149906038</v>
      </c>
      <c r="H1145" t="s">
        <v>33</v>
      </c>
      <c r="I1145">
        <f>VLOOKUP(Table4[[#This Row],[Visitor]],'NHL Model'!$A$6:$B$38,2,FALSE)</f>
        <v>-0.36178381286707545</v>
      </c>
      <c r="J1145">
        <f>($B$1+Table4[[#This Row],[Home Differential]])-Table4[[#This Row],[Away Differential]]</f>
        <v>-1.057651913151112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0.60106774071246527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7.1667377873261273E-2</v>
      </c>
      <c r="H1146" t="s">
        <v>32</v>
      </c>
      <c r="I1146">
        <f>VLOOKUP(Table4[[#This Row],[Visitor]],'NHL Model'!$A$6:$B$38,2,FALSE)</f>
        <v>-0.45007023285116615</v>
      </c>
      <c r="J1146">
        <f>($B$1+Table4[[#This Row],[Home Differential]])-Table4[[#This Row],[Away Differential]]</f>
        <v>0.65928099969684384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0.63042921237823479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-0.30969050963205513</v>
      </c>
      <c r="H1147" t="s">
        <v>22</v>
      </c>
      <c r="I1147">
        <f>VLOOKUP(Table4[[#This Row],[Visitor]],'NHL Model'!$A$6:$B$38,2,FALSE)</f>
        <v>6.4811420118814619E-2</v>
      </c>
      <c r="J1147">
        <f>($B$1+Table4[[#This Row],[Home Differential]])-Table4[[#This Row],[Away Differential]]</f>
        <v>-0.23695854077845341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0.46017653945384335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-1.1236485959014608</v>
      </c>
      <c r="H1148" t="s">
        <v>13</v>
      </c>
      <c r="I1148">
        <f>VLOOKUP(Table4[[#This Row],[Visitor]],'NHL Model'!$A$6:$B$38,2,FALSE)</f>
        <v>-0.36134162888396865</v>
      </c>
      <c r="J1148">
        <f>($B$1+Table4[[#This Row],[Home Differential]])-Table4[[#This Row],[Away Differential]]</f>
        <v>-0.62476357804507576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0.6268081214204464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0.12073374225454764</v>
      </c>
      <c r="H1149" t="s">
        <v>17</v>
      </c>
      <c r="I1149">
        <f>VLOOKUP(Table4[[#This Row],[Visitor]],'NHL Model'!$A$6:$B$38,2,FALSE)</f>
        <v>-0.87263145033954281</v>
      </c>
      <c r="J1149">
        <f>($B$1+Table4[[#This Row],[Home Differential]])-Table4[[#This Row],[Away Differential]]</f>
        <v>1.1309085815665068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0.69083858552159816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-6.0247860940930854E-2</v>
      </c>
      <c r="H1150" t="s">
        <v>12</v>
      </c>
      <c r="I1150">
        <f>VLOOKUP(Table4[[#This Row],[Visitor]],'NHL Model'!$A$6:$B$38,2,FALSE)</f>
        <v>1.4458345276269271</v>
      </c>
      <c r="J1150">
        <f>($B$1+Table4[[#This Row],[Home Differential]])-Table4[[#This Row],[Away Differential]]</f>
        <v>-1.3685389995954416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0.73253331020282797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-0.51535072045188635</v>
      </c>
      <c r="H1151" t="s">
        <v>26</v>
      </c>
      <c r="I1151">
        <f>VLOOKUP(Table4[[#This Row],[Visitor]],'NHL Model'!$A$6:$B$38,2,FALSE)</f>
        <v>-0.66335717753705836</v>
      </c>
      <c r="J1151">
        <f>($B$1+Table4[[#This Row],[Home Differential]])-Table4[[#This Row],[Away Differential]]</f>
        <v>0.28554984605758837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0.5451283867217207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-0.49835870184734621</v>
      </c>
      <c r="H1152" t="s">
        <v>10</v>
      </c>
      <c r="I1152">
        <f>VLOOKUP(Table4[[#This Row],[Visitor]],'NHL Model'!$A$6:$B$38,2,FALSE)</f>
        <v>-0.15263505358797036</v>
      </c>
      <c r="J1152">
        <f>($B$1+Table4[[#This Row],[Home Differential]])-Table4[[#This Row],[Away Differential]]</f>
        <v>-0.20818025928695949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0.48776671461884902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-0.14464931395309213</v>
      </c>
      <c r="H1153" t="s">
        <v>34</v>
      </c>
      <c r="I1153">
        <f>VLOOKUP(Table4[[#This Row],[Visitor]],'NHL Model'!$A$6:$B$38,2,FALSE)</f>
        <v>-0.16358905079701039</v>
      </c>
      <c r="J1153">
        <f>($B$1+Table4[[#This Row],[Home Differential]])-Table4[[#This Row],[Away Differential]]</f>
        <v>0.15648312581633461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0.59230001386067233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-0.51535072045188635</v>
      </c>
      <c r="H1154" t="s">
        <v>32</v>
      </c>
      <c r="I1154">
        <f>VLOOKUP(Table4[[#This Row],[Visitor]],'NHL Model'!$A$6:$B$38,2,FALSE)</f>
        <v>-0.45007023285116615</v>
      </c>
      <c r="J1154">
        <f>($B$1+Table4[[#This Row],[Home Differential]])-Table4[[#This Row],[Away Differential]]</f>
        <v>7.2262901371696164E-2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0.56365491841788173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0.42515174825138019</v>
      </c>
      <c r="H1155" t="s">
        <v>24</v>
      </c>
      <c r="I1155">
        <f>VLOOKUP(Table4[[#This Row],[Visitor]],'NHL Model'!$A$6:$B$38,2,FALSE)</f>
        <v>-1.8032585202533785E-2</v>
      </c>
      <c r="J1155">
        <f>($B$1+Table4[[#This Row],[Home Differential]])-Table4[[#This Row],[Away Differential]]</f>
        <v>0.58072772242633031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0.66836552695684892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-0.59418600019583889</v>
      </c>
      <c r="H1156" t="s">
        <v>33</v>
      </c>
      <c r="I1156">
        <f>VLOOKUP(Table4[[#This Row],[Visitor]],'NHL Model'!$A$6:$B$38,2,FALSE)</f>
        <v>-0.36178381286707545</v>
      </c>
      <c r="J1156">
        <f>($B$1+Table4[[#This Row],[Home Differential]])-Table4[[#This Row],[Away Differential]]</f>
        <v>-9.4858798356347085E-2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0.46560614681678236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-1.0952038865534519</v>
      </c>
      <c r="H1157" t="s">
        <v>38</v>
      </c>
      <c r="I1157">
        <f>VLOOKUP(Table4[[#This Row],[Visitor]],'NHL Model'!$A$6:$B$38,2,FALSE)</f>
        <v>-1.1236485959014608</v>
      </c>
      <c r="J1157">
        <f>($B$1+Table4[[#This Row],[Home Differential]])-Table4[[#This Row],[Away Differential]]</f>
        <v>0.16598809832042527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0.54136996807687909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1.4458345276269271</v>
      </c>
      <c r="H1158" t="s">
        <v>40</v>
      </c>
      <c r="I1158">
        <f>VLOOKUP(Table4[[#This Row],[Visitor]],'NHL Model'!$A$6:$B$38,2,FALSE)</f>
        <v>-6.0247860940930854E-2</v>
      </c>
      <c r="J1158">
        <f>($B$1+Table4[[#This Row],[Home Differential]])-Table4[[#This Row],[Away Differential]]</f>
        <v>1.6436257775402745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0.7906524693210043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-0.66335717753705836</v>
      </c>
      <c r="H1159" t="s">
        <v>27</v>
      </c>
      <c r="I1159">
        <f>VLOOKUP(Table4[[#This Row],[Visitor]],'NHL Model'!$A$6:$B$38,2,FALSE)</f>
        <v>-0.42203126246971279</v>
      </c>
      <c r="J1159">
        <f>($B$1+Table4[[#This Row],[Home Differential]])-Table4[[#This Row],[Away Differential]]</f>
        <v>-0.10378252609492922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0.44159626388411077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-0.87263145033954281</v>
      </c>
      <c r="H1160" t="s">
        <v>31</v>
      </c>
      <c r="I1160">
        <f>VLOOKUP(Table4[[#This Row],[Visitor]],'NHL Model'!$A$6:$B$38,2,FALSE)</f>
        <v>0.34329638981067145</v>
      </c>
      <c r="J1160">
        <f>($B$1+Table4[[#This Row],[Home Differential]])-Table4[[#This Row],[Away Differential]]</f>
        <v>-1.078384451177798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0.58827745439369117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-0.36134162888396865</v>
      </c>
      <c r="H1161" t="s">
        <v>55</v>
      </c>
      <c r="I1161">
        <f>VLOOKUP(Table4[[#This Row],[Visitor]],'NHL Model'!$A$6:$B$38,2,FALSE)</f>
        <v>-0.30969050963205513</v>
      </c>
      <c r="J1161">
        <f>($B$1+Table4[[#This Row],[Home Differential]])-Table4[[#This Row],[Away Differential]]</f>
        <v>8.5892269720502845E-2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0.55145615895312605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-1.4957350924899622</v>
      </c>
      <c r="H1162" t="s">
        <v>18</v>
      </c>
      <c r="I1162">
        <f>VLOOKUP(Table4[[#This Row],[Visitor]],'NHL Model'!$A$6:$B$38,2,FALSE)</f>
        <v>-0.74754136228530599</v>
      </c>
      <c r="J1162">
        <f>($B$1+Table4[[#This Row],[Home Differential]])-Table4[[#This Row],[Away Differential]]</f>
        <v>-0.61065034123223971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0.58854685347820157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3.838472305373858E-3</v>
      </c>
      <c r="H1163" t="s">
        <v>11</v>
      </c>
      <c r="I1163">
        <f>VLOOKUP(Table4[[#This Row],[Visitor]],'NHL Model'!$A$6:$B$38,2,FALSE)</f>
        <v>-0.37836939589441088</v>
      </c>
      <c r="J1163">
        <f>($B$1+Table4[[#This Row],[Home Differential]])-Table4[[#This Row],[Away Differential]]</f>
        <v>0.51975125717220105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0.60932350300705251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-0.2090057419115289</v>
      </c>
      <c r="H1164" t="s">
        <v>39</v>
      </c>
      <c r="I1164">
        <f>VLOOKUP(Table4[[#This Row],[Visitor]],'NHL Model'!$A$6:$B$38,2,FALSE)</f>
        <v>4.3828122498436855E-3</v>
      </c>
      <c r="J1164">
        <f>($B$1+Table4[[#This Row],[Home Differential]])-Table4[[#This Row],[Away Differential]]</f>
        <v>-7.5845165188956232E-2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0.55107436286211076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-1.5569791149906038</v>
      </c>
      <c r="H1165" t="s">
        <v>19</v>
      </c>
      <c r="I1165">
        <f>VLOOKUP(Table4[[#This Row],[Visitor]],'NHL Model'!$A$6:$B$38,2,FALSE)</f>
        <v>-0.93520311342823803</v>
      </c>
      <c r="J1165">
        <f>($B$1+Table4[[#This Row],[Home Differential]])-Table4[[#This Row],[Away Differential]]</f>
        <v>-0.48423261258994932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0.5245860890411862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7.1667377873261273E-2</v>
      </c>
      <c r="H1166" t="s">
        <v>36</v>
      </c>
      <c r="I1166">
        <f>VLOOKUP(Table4[[#This Row],[Visitor]],'NHL Model'!$A$6:$B$38,2,FALSE)</f>
        <v>-0.31751962084606655</v>
      </c>
      <c r="J1166">
        <f>($B$1+Table4[[#This Row],[Home Differential]])-Table4[[#This Row],[Away Differential]]</f>
        <v>0.52673038769174418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0.59199349752129971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0.12073374225454764</v>
      </c>
      <c r="H1167" t="s">
        <v>22</v>
      </c>
      <c r="I1167">
        <f>VLOOKUP(Table4[[#This Row],[Visitor]],'NHL Model'!$A$6:$B$38,2,FALSE)</f>
        <v>6.4811420118814619E-2</v>
      </c>
      <c r="J1167">
        <f>($B$1+Table4[[#This Row],[Home Differential]])-Table4[[#This Row],[Away Differential]]</f>
        <v>0.19346571110814936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0.54503488345020601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0.42515174825138019</v>
      </c>
      <c r="H1168" t="s">
        <v>18</v>
      </c>
      <c r="I1168">
        <f>VLOOKUP(Table4[[#This Row],[Visitor]],'NHL Model'!$A$6:$B$38,2,FALSE)</f>
        <v>-0.74754136228530599</v>
      </c>
      <c r="J1168">
        <f>($B$1+Table4[[#This Row],[Home Differential]])-Table4[[#This Row],[Away Differential]]</f>
        <v>1.3102364995091025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0.72021157135929625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-0.59418600019583889</v>
      </c>
      <c r="H1169" t="s">
        <v>21</v>
      </c>
      <c r="I1169">
        <f>VLOOKUP(Table4[[#This Row],[Visitor]],'NHL Model'!$A$6:$B$38,2,FALSE)</f>
        <v>-0.14464931395309213</v>
      </c>
      <c r="J1169">
        <f>($B$1+Table4[[#This Row],[Home Differential]])-Table4[[#This Row],[Away Differential]]</f>
        <v>-0.31199329727033043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0.49456716207299223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-1.8032585202533785E-2</v>
      </c>
      <c r="H1170" t="s">
        <v>10</v>
      </c>
      <c r="I1170">
        <f>VLOOKUP(Table4[[#This Row],[Visitor]],'NHL Model'!$A$6:$B$38,2,FALSE)</f>
        <v>-0.15263505358797036</v>
      </c>
      <c r="J1170">
        <f>($B$1+Table4[[#This Row],[Home Differential]])-Table4[[#This Row],[Away Differential]]</f>
        <v>0.2721458573578529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0.69172904451601636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-0.49835870184734621</v>
      </c>
      <c r="H1171" t="s">
        <v>11</v>
      </c>
      <c r="I1171">
        <f>VLOOKUP(Table4[[#This Row],[Visitor]],'NHL Model'!$A$6:$B$38,2,FALSE)</f>
        <v>-0.37836939589441088</v>
      </c>
      <c r="J1171">
        <f>($B$1+Table4[[#This Row],[Home Differential]])-Table4[[#This Row],[Away Differential]]</f>
        <v>1.7554083019481026E-2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0.54234133253204209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-0.42203126246971279</v>
      </c>
      <c r="H1172" t="s">
        <v>39</v>
      </c>
      <c r="I1172">
        <f>VLOOKUP(Table4[[#This Row],[Visitor]],'NHL Model'!$A$6:$B$38,2,FALSE)</f>
        <v>4.3828122498436855E-3</v>
      </c>
      <c r="J1172">
        <f>($B$1+Table4[[#This Row],[Home Differential]])-Table4[[#This Row],[Away Differential]]</f>
        <v>-0.28887068574714009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0.5469089491904785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7.1667377873261273E-2</v>
      </c>
      <c r="H1173" t="s">
        <v>29</v>
      </c>
      <c r="I1173">
        <f>VLOOKUP(Table4[[#This Row],[Visitor]],'NHL Model'!$A$6:$B$38,2,FALSE)</f>
        <v>-1.4957350924899622</v>
      </c>
      <c r="J1173">
        <f>($B$1+Table4[[#This Row],[Home Differential]])-Table4[[#This Row],[Away Differential]]</f>
        <v>1.7049458593356399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0.76989814110373567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0.34329638981067145</v>
      </c>
      <c r="H1174" t="s">
        <v>19</v>
      </c>
      <c r="I1174">
        <f>VLOOKUP(Table4[[#This Row],[Visitor]],'NHL Model'!$A$6:$B$38,2,FALSE)</f>
        <v>-0.93520311342823803</v>
      </c>
      <c r="J1174">
        <f>($B$1+Table4[[#This Row],[Home Differential]])-Table4[[#This Row],[Away Differential]]</f>
        <v>1.4160428922113257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0.82378993026474157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1.4458345276269271</v>
      </c>
      <c r="H1175" t="s">
        <v>16</v>
      </c>
      <c r="I1175">
        <f>VLOOKUP(Table4[[#This Row],[Visitor]],'NHL Model'!$A$6:$B$38,2,FALSE)</f>
        <v>-1.0952038865534519</v>
      </c>
      <c r="J1175">
        <f>($B$1+Table4[[#This Row],[Home Differential]])-Table4[[#This Row],[Away Differential]]</f>
        <v>2.6785818031527953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0.99218513620490523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3.838472305373858E-3</v>
      </c>
      <c r="H1176" t="s">
        <v>14</v>
      </c>
      <c r="I1176">
        <f>VLOOKUP(Table4[[#This Row],[Visitor]],'NHL Model'!$A$6:$B$38,2,FALSE)</f>
        <v>-0.2090057419115289</v>
      </c>
      <c r="J1176">
        <f>($B$1+Table4[[#This Row],[Home Differential]])-Table4[[#This Row],[Away Differential]]</f>
        <v>0.35038760318931911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0.58673407851956583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-0.36178381286707545</v>
      </c>
      <c r="H1177" t="s">
        <v>35</v>
      </c>
      <c r="I1177">
        <f>VLOOKUP(Table4[[#This Row],[Visitor]],'NHL Model'!$A$6:$B$38,2,FALSE)</f>
        <v>-1.5569791149906038</v>
      </c>
      <c r="J1177">
        <f>($B$1+Table4[[#This Row],[Home Differential]])-Table4[[#This Row],[Away Differential]]</f>
        <v>1.3327386910959447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0.7177583284020701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0.12073374225454764</v>
      </c>
      <c r="H1178" t="s">
        <v>38</v>
      </c>
      <c r="I1178">
        <f>VLOOKUP(Table4[[#This Row],[Visitor]],'NHL Model'!$A$6:$B$38,2,FALSE)</f>
        <v>-1.1236485959014608</v>
      </c>
      <c r="J1178">
        <f>($B$1+Table4[[#This Row],[Home Differential]])-Table4[[#This Row],[Away Differential]]</f>
        <v>1.3819257271284249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0.70354957746478308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-0.14464931395309213</v>
      </c>
      <c r="H1179" t="s">
        <v>39</v>
      </c>
      <c r="I1179">
        <f>VLOOKUP(Table4[[#This Row],[Visitor]],'NHL Model'!$A$6:$B$38,2,FALSE)</f>
        <v>4.3828122498436855E-3</v>
      </c>
      <c r="J1179">
        <f>($B$1+Table4[[#This Row],[Home Differential]])-Table4[[#This Row],[Away Differential]]</f>
        <v>-1.1488737230519462E-2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0.48990444046630066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-0.51535072045188635</v>
      </c>
      <c r="H1180" t="s">
        <v>30</v>
      </c>
      <c r="I1180">
        <f>VLOOKUP(Table4[[#This Row],[Visitor]],'NHL Model'!$A$6:$B$38,2,FALSE)</f>
        <v>3.838472305373858E-3</v>
      </c>
      <c r="J1180">
        <f>($B$1+Table4[[#This Row],[Home Differential]])-Table4[[#This Row],[Away Differential]]</f>
        <v>-0.38164580378484386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0.56942176052364957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-0.59418600019583889</v>
      </c>
      <c r="H1181" t="s">
        <v>25</v>
      </c>
      <c r="I1181">
        <f>VLOOKUP(Table4[[#This Row],[Visitor]],'NHL Model'!$A$6:$B$38,2,FALSE)</f>
        <v>0.42515174825138019</v>
      </c>
      <c r="J1181">
        <f>($B$1+Table4[[#This Row],[Home Differential]])-Table4[[#This Row],[Away Differential]]</f>
        <v>-0.88179435947480278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0.64315961662998344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-0.15263505358797036</v>
      </c>
      <c r="H1182" t="s">
        <v>40</v>
      </c>
      <c r="I1182">
        <f>VLOOKUP(Table4[[#This Row],[Visitor]],'NHL Model'!$A$6:$B$38,2,FALSE)</f>
        <v>-6.0247860940930854E-2</v>
      </c>
      <c r="J1182">
        <f>($B$1+Table4[[#This Row],[Home Differential]])-Table4[[#This Row],[Away Differential]]</f>
        <v>4.5156196325376853E-2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0.47970706409050096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-0.87263145033954281</v>
      </c>
      <c r="H1183" t="s">
        <v>32</v>
      </c>
      <c r="I1183">
        <f>VLOOKUP(Table4[[#This Row],[Visitor]],'NHL Model'!$A$6:$B$38,2,FALSE)</f>
        <v>-0.45007023285116615</v>
      </c>
      <c r="J1183">
        <f>($B$1+Table4[[#This Row],[Home Differential]])-Table4[[#This Row],[Away Differential]]</f>
        <v>-0.2850178285159603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0.4619783072828238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-0.37836939589441088</v>
      </c>
      <c r="H1184" t="s">
        <v>36</v>
      </c>
      <c r="I1184">
        <f>VLOOKUP(Table4[[#This Row],[Visitor]],'NHL Model'!$A$6:$B$38,2,FALSE)</f>
        <v>-0.31751962084606655</v>
      </c>
      <c r="J1184">
        <f>($B$1+Table4[[#This Row],[Home Differential]])-Table4[[#This Row],[Away Differential]]</f>
        <v>7.6693613924072035E-2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0.58165782994814375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-0.49835870184734621</v>
      </c>
      <c r="H1185" t="s">
        <v>24</v>
      </c>
      <c r="I1185">
        <f>VLOOKUP(Table4[[#This Row],[Visitor]],'NHL Model'!$A$6:$B$38,2,FALSE)</f>
        <v>-1.8032585202533785E-2</v>
      </c>
      <c r="J1185">
        <f>($B$1+Table4[[#This Row],[Home Differential]])-Table4[[#This Row],[Away Differential]]</f>
        <v>-0.34278272767239604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0.50654924676713353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-0.2090057419115289</v>
      </c>
      <c r="H1186" t="s">
        <v>26</v>
      </c>
      <c r="I1186">
        <f>VLOOKUP(Table4[[#This Row],[Visitor]],'NHL Model'!$A$6:$B$38,2,FALSE)</f>
        <v>-0.66335717753705836</v>
      </c>
      <c r="J1186">
        <f>($B$1+Table4[[#This Row],[Home Differential]])-Table4[[#This Row],[Away Differential]]</f>
        <v>0.59189482459794585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0.57184649289503364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7.1667377873261273E-2</v>
      </c>
      <c r="H1187" t="s">
        <v>18</v>
      </c>
      <c r="I1187">
        <f>VLOOKUP(Table4[[#This Row],[Visitor]],'NHL Model'!$A$6:$B$38,2,FALSE)</f>
        <v>-0.74754136228530599</v>
      </c>
      <c r="J1187">
        <f>($B$1+Table4[[#This Row],[Home Differential]])-Table4[[#This Row],[Away Differential]]</f>
        <v>0.95675212913098362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0.62302275009381913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6.4811420118814619E-2</v>
      </c>
      <c r="H1188" t="s">
        <v>27</v>
      </c>
      <c r="I1188">
        <f>VLOOKUP(Table4[[#This Row],[Visitor]],'NHL Model'!$A$6:$B$38,2,FALSE)</f>
        <v>-0.42203126246971279</v>
      </c>
      <c r="J1188">
        <f>($B$1+Table4[[#This Row],[Home Differential]])-Table4[[#This Row],[Away Differential]]</f>
        <v>0.62438607156094372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0.623279509404007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1.4458345276269271</v>
      </c>
      <c r="H1189" t="s">
        <v>38</v>
      </c>
      <c r="I1189">
        <f>VLOOKUP(Table4[[#This Row],[Visitor]],'NHL Model'!$A$6:$B$38,2,FALSE)</f>
        <v>-1.1236485959014608</v>
      </c>
      <c r="J1189">
        <f>($B$1+Table4[[#This Row],[Home Differential]])-Table4[[#This Row],[Away Differential]]</f>
        <v>2.7070265125008044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0.97644302167019303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-0.36134162888396865</v>
      </c>
      <c r="H1190" t="s">
        <v>35</v>
      </c>
      <c r="I1190">
        <f>VLOOKUP(Table4[[#This Row],[Visitor]],'NHL Model'!$A$6:$B$38,2,FALSE)</f>
        <v>-1.5569791149906038</v>
      </c>
      <c r="J1190">
        <f>($B$1+Table4[[#This Row],[Home Differential]])-Table4[[#This Row],[Away Differential]]</f>
        <v>1.3331808750790515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0.71781730611931382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-0.36178381286707545</v>
      </c>
      <c r="H1191" t="s">
        <v>31</v>
      </c>
      <c r="I1191">
        <f>VLOOKUP(Table4[[#This Row],[Visitor]],'NHL Model'!$A$6:$B$38,2,FALSE)</f>
        <v>0.34329638981067145</v>
      </c>
      <c r="J1191">
        <f>($B$1+Table4[[#This Row],[Home Differential]])-Table4[[#This Row],[Away Differential]]</f>
        <v>-0.56753681370533049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0.55646628675245335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0.42515174825138019</v>
      </c>
      <c r="H1192" t="s">
        <v>28</v>
      </c>
      <c r="I1192">
        <f>VLOOKUP(Table4[[#This Row],[Visitor]],'NHL Model'!$A$6:$B$38,2,FALSE)</f>
        <v>-0.59418600019583889</v>
      </c>
      <c r="J1192">
        <f>($B$1+Table4[[#This Row],[Home Differential]])-Table4[[#This Row],[Away Differential]]</f>
        <v>1.1568811374196355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0.74521184997320467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4.3828122498436855E-3</v>
      </c>
      <c r="H1193" t="s">
        <v>40</v>
      </c>
      <c r="I1193">
        <f>VLOOKUP(Table4[[#This Row],[Visitor]],'NHL Model'!$A$6:$B$38,2,FALSE)</f>
        <v>-6.0247860940930854E-2</v>
      </c>
      <c r="J1193">
        <f>($B$1+Table4[[#This Row],[Home Differential]])-Table4[[#This Row],[Away Differential]]</f>
        <v>0.20217406216319089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0.50315609486463064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-0.87263145033954281</v>
      </c>
      <c r="H1194" t="s">
        <v>10</v>
      </c>
      <c r="I1194">
        <f>VLOOKUP(Table4[[#This Row],[Visitor]],'NHL Model'!$A$6:$B$38,2,FALSE)</f>
        <v>-0.15263505358797036</v>
      </c>
      <c r="J1194">
        <f>($B$1+Table4[[#This Row],[Home Differential]])-Table4[[#This Row],[Away Differential]]</f>
        <v>-0.5824530077791561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0.5016496851958625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-0.37836939589441088</v>
      </c>
      <c r="H1195" t="s">
        <v>21</v>
      </c>
      <c r="I1195">
        <f>VLOOKUP(Table4[[#This Row],[Visitor]],'NHL Model'!$A$6:$B$38,2,FALSE)</f>
        <v>-0.14464931395309213</v>
      </c>
      <c r="J1195">
        <f>($B$1+Table4[[#This Row],[Home Differential]])-Table4[[#This Row],[Away Differential]]</f>
        <v>-9.6176692968902383E-2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0.42111190079684985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-0.36134162888396865</v>
      </c>
      <c r="H1196" t="s">
        <v>29</v>
      </c>
      <c r="I1196">
        <f>VLOOKUP(Table4[[#This Row],[Visitor]],'NHL Model'!$A$6:$B$38,2,FALSE)</f>
        <v>-1.4957350924899622</v>
      </c>
      <c r="J1196">
        <f>($B$1+Table4[[#This Row],[Home Differential]])-Table4[[#This Row],[Away Differential]]</f>
        <v>1.2719368525784098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0.70964868676649795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-0.16358905079701039</v>
      </c>
      <c r="H1197" t="s">
        <v>38</v>
      </c>
      <c r="I1197">
        <f>VLOOKUP(Table4[[#This Row],[Visitor]],'NHL Model'!$A$6:$B$38,2,FALSE)</f>
        <v>-1.1236485959014608</v>
      </c>
      <c r="J1197">
        <f>($B$1+Table4[[#This Row],[Home Differential]])-Table4[[#This Row],[Away Differential]]</f>
        <v>1.0976029340768667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0.66562710642292289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-1.8032585202533785E-2</v>
      </c>
      <c r="H1198" t="s">
        <v>22</v>
      </c>
      <c r="I1198">
        <f>VLOOKUP(Table4[[#This Row],[Visitor]],'NHL Model'!$A$6:$B$38,2,FALSE)</f>
        <v>6.4811420118814619E-2</v>
      </c>
      <c r="J1198">
        <f>($B$1+Table4[[#This Row],[Home Differential]])-Table4[[#This Row],[Away Differential]]</f>
        <v>5.4699383651067954E-2</v>
      </c>
      <c r="K1198" t="str">
        <f>IF(Table4[[#This Row],[HomeIce Differential]]&gt;0,Table4[[#This Row],[Home]],Table4[[#This Row],[Visitor]])</f>
        <v>New Jersey Devils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0.64365934336711628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-0.49835870184734621</v>
      </c>
      <c r="H1199" t="s">
        <v>18</v>
      </c>
      <c r="I1199">
        <f>VLOOKUP(Table4[[#This Row],[Visitor]],'NHL Model'!$A$6:$B$38,2,FALSE)</f>
        <v>-0.74754136228530599</v>
      </c>
      <c r="J1199">
        <f>($B$1+Table4[[#This Row],[Home Differential]])-Table4[[#This Row],[Away Differential]]</f>
        <v>0.38672604941037614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0.54448144469668658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-0.31751962084606655</v>
      </c>
      <c r="H1200" t="s">
        <v>23</v>
      </c>
      <c r="I1200">
        <f>VLOOKUP(Table4[[#This Row],[Visitor]],'NHL Model'!$A$6:$B$38,2,FALSE)</f>
        <v>-0.51535072045188635</v>
      </c>
      <c r="J1200">
        <f>($B$1+Table4[[#This Row],[Home Differential]])-Table4[[#This Row],[Away Differential]]</f>
        <v>0.33537448857823615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0.58722713506205571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-0.42203126246971279</v>
      </c>
      <c r="H1201" t="s">
        <v>26</v>
      </c>
      <c r="I1201">
        <f>VLOOKUP(Table4[[#This Row],[Visitor]],'NHL Model'!$A$6:$B$38,2,FALSE)</f>
        <v>-0.66335717753705836</v>
      </c>
      <c r="J1201">
        <f>($B$1+Table4[[#This Row],[Home Differential]])-Table4[[#This Row],[Away Differential]]</f>
        <v>0.37886930403976193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0.57608036263748763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-0.45007023285116615</v>
      </c>
      <c r="H1202" t="s">
        <v>55</v>
      </c>
      <c r="I1202">
        <f>VLOOKUP(Table4[[#This Row],[Visitor]],'NHL Model'!$A$6:$B$38,2,FALSE)</f>
        <v>-0.30969050963205513</v>
      </c>
      <c r="J1202">
        <f>($B$1+Table4[[#This Row],[Home Differential]])-Table4[[#This Row],[Away Differential]]</f>
        <v>-2.8363342466946606E-3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0.434340569394012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-0.36178381286707545</v>
      </c>
      <c r="H1203" t="s">
        <v>19</v>
      </c>
      <c r="I1203">
        <f>VLOOKUP(Table4[[#This Row],[Visitor]],'NHL Model'!$A$6:$B$38,2,FALSE)</f>
        <v>-0.93520311342823803</v>
      </c>
      <c r="J1203">
        <f>($B$1+Table4[[#This Row],[Home Differential]])-Table4[[#This Row],[Away Differential]]</f>
        <v>0.710962689533579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0.63482694551608154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7.1667377873261273E-2</v>
      </c>
      <c r="H1204" t="s">
        <v>14</v>
      </c>
      <c r="I1204">
        <f>VLOOKUP(Table4[[#This Row],[Visitor]],'NHL Model'!$A$6:$B$38,2,FALSE)</f>
        <v>-0.2090057419115289</v>
      </c>
      <c r="J1204">
        <f>($B$1+Table4[[#This Row],[Home Differential]])-Table4[[#This Row],[Away Differential]]</f>
        <v>0.41821650875720651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0.59827645712860045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0.12073374225454764</v>
      </c>
      <c r="H1205" t="s">
        <v>16</v>
      </c>
      <c r="I1205">
        <f>VLOOKUP(Table4[[#This Row],[Visitor]],'NHL Model'!$A$6:$B$38,2,FALSE)</f>
        <v>-1.0952038865534519</v>
      </c>
      <c r="J1205">
        <f>($B$1+Table4[[#This Row],[Home Differential]])-Table4[[#This Row],[Away Differential]]</f>
        <v>1.353481017780416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0.72052490323270646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0.34329638981067145</v>
      </c>
      <c r="H1206" t="s">
        <v>35</v>
      </c>
      <c r="I1206">
        <f>VLOOKUP(Table4[[#This Row],[Visitor]],'NHL Model'!$A$6:$B$38,2,FALSE)</f>
        <v>-1.5569791149906038</v>
      </c>
      <c r="J1206">
        <f>($B$1+Table4[[#This Row],[Home Differential]])-Table4[[#This Row],[Away Differential]]</f>
        <v>2.0378188937736916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0.90672131315073012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3.838472305373858E-3</v>
      </c>
      <c r="H1207" t="s">
        <v>27</v>
      </c>
      <c r="I1207">
        <f>VLOOKUP(Table4[[#This Row],[Visitor]],'NHL Model'!$A$6:$B$38,2,FALSE)</f>
        <v>-0.42203126246971279</v>
      </c>
      <c r="J1207">
        <f>($B$1+Table4[[#This Row],[Home Differential]])-Table4[[#This Row],[Away Differential]]</f>
        <v>0.56341312374750296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0.61514704551331656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0.34329638981067145</v>
      </c>
      <c r="H1208" t="s">
        <v>16</v>
      </c>
      <c r="I1208">
        <f>VLOOKUP(Table4[[#This Row],[Visitor]],'NHL Model'!$A$6:$B$38,2,FALSE)</f>
        <v>-1.0952038865534519</v>
      </c>
      <c r="J1208">
        <f>($B$1+Table4[[#This Row],[Home Differential]])-Table4[[#This Row],[Away Differential]]</f>
        <v>1.5760436653365397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0.84513055027059492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0.42515174825138019</v>
      </c>
      <c r="H1209" t="s">
        <v>30</v>
      </c>
      <c r="I1209">
        <f>VLOOKUP(Table4[[#This Row],[Visitor]],'NHL Model'!$A$6:$B$38,2,FALSE)</f>
        <v>3.838472305373858E-3</v>
      </c>
      <c r="J1209">
        <f>($B$1+Table4[[#This Row],[Home Differential]])-Table4[[#This Row],[Away Differential]]</f>
        <v>0.55885666491842267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0.59453931309712615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-0.59418600019583889</v>
      </c>
      <c r="H1210" t="s">
        <v>40</v>
      </c>
      <c r="I1210">
        <f>VLOOKUP(Table4[[#This Row],[Visitor]],'NHL Model'!$A$6:$B$38,2,FALSE)</f>
        <v>-6.0247860940930854E-2</v>
      </c>
      <c r="J1210">
        <f>($B$1+Table4[[#This Row],[Home Differential]])-Table4[[#This Row],[Away Differential]]</f>
        <v>-0.39639475028249166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0.57210119962221284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4.3828122498436855E-3</v>
      </c>
      <c r="H1211" t="s">
        <v>12</v>
      </c>
      <c r="I1211">
        <f>VLOOKUP(Table4[[#This Row],[Visitor]],'NHL Model'!$A$6:$B$38,2,FALSE)</f>
        <v>1.4458345276269271</v>
      </c>
      <c r="J1211">
        <f>($B$1+Table4[[#This Row],[Home Differential]])-Table4[[#This Row],[Away Differential]]</f>
        <v>-1.3039083264046671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0.72391298537347593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-0.87263145033954281</v>
      </c>
      <c r="H1212" t="s">
        <v>20</v>
      </c>
      <c r="I1212">
        <f>VLOOKUP(Table4[[#This Row],[Visitor]],'NHL Model'!$A$6:$B$38,2,FALSE)</f>
        <v>0.12073374225454764</v>
      </c>
      <c r="J1212">
        <f>($B$1+Table4[[#This Row],[Home Differential]])-Table4[[#This Row],[Away Differential]]</f>
        <v>-0.85582180362167404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0.55859244227643767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-0.36134162888396865</v>
      </c>
      <c r="H1213" t="s">
        <v>19</v>
      </c>
      <c r="I1213">
        <f>VLOOKUP(Table4[[#This Row],[Visitor]],'NHL Model'!$A$6:$B$38,2,FALSE)</f>
        <v>-0.93520311342823803</v>
      </c>
      <c r="J1213">
        <f>($B$1+Table4[[#This Row],[Home Differential]])-Table4[[#This Row],[Away Differential]]</f>
        <v>0.7114048735166858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0.63488592323332527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-1.8032585202533785E-2</v>
      </c>
      <c r="H1214" t="s">
        <v>18</v>
      </c>
      <c r="I1214">
        <f>VLOOKUP(Table4[[#This Row],[Visitor]],'NHL Model'!$A$6:$B$38,2,FALSE)</f>
        <v>-0.74754136228530599</v>
      </c>
      <c r="J1214">
        <f>($B$1+Table4[[#This Row],[Home Differential]])-Table4[[#This Row],[Away Differential]]</f>
        <v>0.86705216605518853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0.72729636913868834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-0.49835870184734621</v>
      </c>
      <c r="H1215" t="s">
        <v>26</v>
      </c>
      <c r="I1215">
        <f>VLOOKUP(Table4[[#This Row],[Visitor]],'NHL Model'!$A$6:$B$38,2,FALSE)</f>
        <v>-0.66335717753705836</v>
      </c>
      <c r="J1215">
        <f>($B$1+Table4[[#This Row],[Home Differential]])-Table4[[#This Row],[Away Differential]]</f>
        <v>0.30254186466212851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0.53325310709478657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-0.31751962084606655</v>
      </c>
      <c r="H1216" t="s">
        <v>34</v>
      </c>
      <c r="I1216">
        <f>VLOOKUP(Table4[[#This Row],[Visitor]],'NHL Model'!$A$6:$B$38,2,FALSE)</f>
        <v>-0.16358905079701039</v>
      </c>
      <c r="J1216">
        <f>($B$1+Table4[[#This Row],[Home Differential]])-Table4[[#This Row],[Away Differential]]</f>
        <v>-1.6387181076639806E-2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0.48044656278089959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-0.2090057419115289</v>
      </c>
      <c r="H1217" t="s">
        <v>11</v>
      </c>
      <c r="I1217">
        <f>VLOOKUP(Table4[[#This Row],[Visitor]],'NHL Model'!$A$6:$B$38,2,FALSE)</f>
        <v>-0.37836939589441088</v>
      </c>
      <c r="J1217">
        <f>($B$1+Table4[[#This Row],[Home Differential]])-Table4[[#This Row],[Away Differential]]</f>
        <v>0.30690704295529836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0.58093471833228916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-0.45007023285116615</v>
      </c>
      <c r="H1218" t="s">
        <v>10</v>
      </c>
      <c r="I1218">
        <f>VLOOKUP(Table4[[#This Row],[Visitor]],'NHL Model'!$A$6:$B$38,2,FALSE)</f>
        <v>-0.15263505358797036</v>
      </c>
      <c r="J1218">
        <f>($B$1+Table4[[#This Row],[Home Differential]])-Table4[[#This Row],[Away Differential]]</f>
        <v>-0.15989179029077943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0.45528834821917968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-0.36178381286707545</v>
      </c>
      <c r="H1219" t="s">
        <v>29</v>
      </c>
      <c r="I1219">
        <f>VLOOKUP(Table4[[#This Row],[Visitor]],'NHL Model'!$A$6:$B$38,2,FALSE)</f>
        <v>-1.4957350924899622</v>
      </c>
      <c r="J1219">
        <f>($B$1+Table4[[#This Row],[Home Differential]])-Table4[[#This Row],[Away Differential]]</f>
        <v>1.271494668595303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0.70958970904925422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7.1667377873261273E-2</v>
      </c>
      <c r="H1220" t="s">
        <v>21</v>
      </c>
      <c r="I1220">
        <f>VLOOKUP(Table4[[#This Row],[Visitor]],'NHL Model'!$A$6:$B$38,2,FALSE)</f>
        <v>-0.14464931395309213</v>
      </c>
      <c r="J1220">
        <f>($B$1+Table4[[#This Row],[Home Differential]])-Table4[[#This Row],[Away Differential]]</f>
        <v>0.35386008079876974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0.58969271064307394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-1.1236485959014608</v>
      </c>
      <c r="H1221" t="s">
        <v>55</v>
      </c>
      <c r="I1221">
        <f>VLOOKUP(Table4[[#This Row],[Visitor]],'NHL Model'!$A$6:$B$38,2,FALSE)</f>
        <v>-0.30969050963205513</v>
      </c>
      <c r="J1221">
        <f>($B$1+Table4[[#This Row],[Home Differential]])-Table4[[#This Row],[Away Differential]]</f>
        <v>-0.67641469729698933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0.55021899544255748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6.4811420118814619E-2</v>
      </c>
      <c r="H1222" t="s">
        <v>23</v>
      </c>
      <c r="I1222">
        <f>VLOOKUP(Table4[[#This Row],[Visitor]],'NHL Model'!$A$6:$B$38,2,FALSE)</f>
        <v>-0.51535072045188635</v>
      </c>
      <c r="J1222">
        <f>($B$1+Table4[[#This Row],[Home Differential]])-Table4[[#This Row],[Away Differential]]</f>
        <v>0.71770552954311739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0.63572629358542632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1.4458345276269271</v>
      </c>
      <c r="H1223" t="s">
        <v>35</v>
      </c>
      <c r="I1223">
        <f>VLOOKUP(Table4[[#This Row],[Visitor]],'NHL Model'!$A$6:$B$38,2,FALSE)</f>
        <v>-1.5569791149906038</v>
      </c>
      <c r="J1223">
        <f>($B$1+Table4[[#This Row],[Home Differential]])-Table4[[#This Row],[Away Differential]]</f>
        <v>3.1403570315899474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-0.66335717753705836</v>
      </c>
      <c r="H1224" t="s">
        <v>34</v>
      </c>
      <c r="I1224">
        <f>VLOOKUP(Table4[[#This Row],[Visitor]],'NHL Model'!$A$6:$B$38,2,FALSE)</f>
        <v>-0.16358905079701039</v>
      </c>
      <c r="J1224">
        <f>($B$1+Table4[[#This Row],[Home Differential]])-Table4[[#This Row],[Away Differential]]</f>
        <v>-0.36222473776763164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0.49658875665335261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-0.74754136228530599</v>
      </c>
      <c r="H1225" t="s">
        <v>24</v>
      </c>
      <c r="I1225">
        <f>VLOOKUP(Table4[[#This Row],[Visitor]],'NHL Model'!$A$6:$B$38,2,FALSE)</f>
        <v>-1.8032585202533785E-2</v>
      </c>
      <c r="J1225">
        <f>($B$1+Table4[[#This Row],[Home Differential]])-Table4[[#This Row],[Away Differential]]</f>
        <v>-0.59196538811035582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0.53978478909974792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-0.49835870184734621</v>
      </c>
      <c r="H1226" t="s">
        <v>22</v>
      </c>
      <c r="I1226">
        <f>VLOOKUP(Table4[[#This Row],[Visitor]],'NHL Model'!$A$6:$B$38,2,FALSE)</f>
        <v>6.4811420118814619E-2</v>
      </c>
      <c r="J1226">
        <f>($B$1+Table4[[#This Row],[Home Differential]])-Table4[[#This Row],[Away Differential]]</f>
        <v>-0.42562673299374448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0.53753857129012927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-0.31751962084606655</v>
      </c>
      <c r="H1227" t="s">
        <v>25</v>
      </c>
      <c r="I1227">
        <f>VLOOKUP(Table4[[#This Row],[Visitor]],'NHL Model'!$A$6:$B$38,2,FALSE)</f>
        <v>0.42515174825138019</v>
      </c>
      <c r="J1227">
        <f>($B$1+Table4[[#This Row],[Home Differential]])-Table4[[#This Row],[Away Differential]]</f>
        <v>-0.60512798012503044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0.61083138117225211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-0.42203126246971279</v>
      </c>
      <c r="H1228" t="s">
        <v>21</v>
      </c>
      <c r="I1228">
        <f>VLOOKUP(Table4[[#This Row],[Visitor]],'NHL Model'!$A$6:$B$38,2,FALSE)</f>
        <v>-0.14464931395309213</v>
      </c>
      <c r="J1228">
        <f>($B$1+Table4[[#This Row],[Home Differential]])-Table4[[#This Row],[Away Differential]]</f>
        <v>-0.13983855954420429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0.44640535382617719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-0.2090057419115289</v>
      </c>
      <c r="H1229" t="s">
        <v>11</v>
      </c>
      <c r="I1229">
        <f>VLOOKUP(Table4[[#This Row],[Visitor]],'NHL Model'!$A$6:$B$38,2,FALSE)</f>
        <v>-0.37836939589441088</v>
      </c>
      <c r="J1229">
        <f>($B$1+Table4[[#This Row],[Home Differential]])-Table4[[#This Row],[Away Differential]]</f>
        <v>0.30690704295529836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0.58093471833228916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-0.51535072045188635</v>
      </c>
      <c r="H1230" t="s">
        <v>37</v>
      </c>
      <c r="I1230">
        <f>VLOOKUP(Table4[[#This Row],[Visitor]],'NHL Model'!$A$6:$B$38,2,FALSE)</f>
        <v>7.1667377873261273E-2</v>
      </c>
      <c r="J1230">
        <f>($B$1+Table4[[#This Row],[Home Differential]])-Table4[[#This Row],[Away Differential]]</f>
        <v>-0.44947470935273126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0.57214526336104521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-0.36134162888396865</v>
      </c>
      <c r="H1231" t="s">
        <v>29</v>
      </c>
      <c r="I1231">
        <f>VLOOKUP(Table4[[#This Row],[Visitor]],'NHL Model'!$A$6:$B$38,2,FALSE)</f>
        <v>-1.4957350924899622</v>
      </c>
      <c r="J1231">
        <f>($B$1+Table4[[#This Row],[Home Differential]])-Table4[[#This Row],[Away Differential]]</f>
        <v>1.2719368525784098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0.70964868676649795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-0.36178381286707545</v>
      </c>
      <c r="H1232" t="s">
        <v>10</v>
      </c>
      <c r="I1232">
        <f>VLOOKUP(Table4[[#This Row],[Visitor]],'NHL Model'!$A$6:$B$38,2,FALSE)</f>
        <v>-0.15263505358797036</v>
      </c>
      <c r="J1232">
        <f>($B$1+Table4[[#This Row],[Home Differential]])-Table4[[#This Row],[Away Differential]]</f>
        <v>-7.1605370306688731E-2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0.46955059758928536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-6.0247860940930854E-2</v>
      </c>
      <c r="H1233" t="s">
        <v>32</v>
      </c>
      <c r="I1233">
        <f>VLOOKUP(Table4[[#This Row],[Visitor]],'NHL Model'!$A$6:$B$38,2,FALSE)</f>
        <v>-0.45007023285116615</v>
      </c>
      <c r="J1233">
        <f>($B$1+Table4[[#This Row],[Home Differential]])-Table4[[#This Row],[Away Differential]]</f>
        <v>0.52736576088265164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0.61283459124279827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0.34329638981067145</v>
      </c>
      <c r="H1234" t="s">
        <v>29</v>
      </c>
      <c r="I1234">
        <f>VLOOKUP(Table4[[#This Row],[Visitor]],'NHL Model'!$A$6:$B$38,2,FALSE)</f>
        <v>-1.4957350924899622</v>
      </c>
      <c r="J1234">
        <f>($B$1+Table4[[#This Row],[Home Differential]])-Table4[[#This Row],[Away Differential]]</f>
        <v>1.97657487127305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0.89855269379791425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0.42515174825138019</v>
      </c>
      <c r="H1235" t="s">
        <v>21</v>
      </c>
      <c r="I1235">
        <f>VLOOKUP(Table4[[#This Row],[Visitor]],'NHL Model'!$A$6:$B$38,2,FALSE)</f>
        <v>-0.14464931395309213</v>
      </c>
      <c r="J1235">
        <f>($B$1+Table4[[#This Row],[Home Differential]])-Table4[[#This Row],[Away Differential]]</f>
        <v>0.7073444511768886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0.68606032761772384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4.3828122498436855E-3</v>
      </c>
      <c r="H1236" t="s">
        <v>16</v>
      </c>
      <c r="I1236">
        <f>VLOOKUP(Table4[[#This Row],[Visitor]],'NHL Model'!$A$6:$B$38,2,FALSE)</f>
        <v>-1.0952038865534519</v>
      </c>
      <c r="J1236">
        <f>($B$1+Table4[[#This Row],[Home Differential]])-Table4[[#This Row],[Away Differential]]</f>
        <v>1.2371300877757119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0.70750170127033185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-0.66335717753705836</v>
      </c>
      <c r="H1237" t="s">
        <v>28</v>
      </c>
      <c r="I1237">
        <f>VLOOKUP(Table4[[#This Row],[Visitor]],'NHL Model'!$A$6:$B$38,2,FALSE)</f>
        <v>-0.59418600019583889</v>
      </c>
      <c r="J1237">
        <f>($B$1+Table4[[#This Row],[Home Differential]])-Table4[[#This Row],[Away Differential]]</f>
        <v>6.8372211631196889E-2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0.58054793603463672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-0.16358905079701039</v>
      </c>
      <c r="H1238" t="s">
        <v>32</v>
      </c>
      <c r="I1238">
        <f>VLOOKUP(Table4[[#This Row],[Visitor]],'NHL Model'!$A$6:$B$38,2,FALSE)</f>
        <v>-0.45007023285116615</v>
      </c>
      <c r="J1238">
        <f>($B$1+Table4[[#This Row],[Home Differential]])-Table4[[#This Row],[Away Differential]]</f>
        <v>0.42402457102657209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0.59655564699266472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-0.74754136228530599</v>
      </c>
      <c r="H1239" t="s">
        <v>11</v>
      </c>
      <c r="I1239">
        <f>VLOOKUP(Table4[[#This Row],[Visitor]],'NHL Model'!$A$6:$B$38,2,FALSE)</f>
        <v>-0.37836939589441088</v>
      </c>
      <c r="J1239">
        <f>($B$1+Table4[[#This Row],[Home Differential]])-Table4[[#This Row],[Away Differential]]</f>
        <v>-0.23162857741847875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0.49089420980057236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-1.8032585202533785E-2</v>
      </c>
      <c r="H1240" t="s">
        <v>27</v>
      </c>
      <c r="I1240">
        <f>VLOOKUP(Table4[[#This Row],[Visitor]],'NHL Model'!$A$6:$B$38,2,FALSE)</f>
        <v>-0.42203126246971279</v>
      </c>
      <c r="J1240">
        <f>($B$1+Table4[[#This Row],[Home Differential]])-Table4[[#This Row],[Away Differential]]</f>
        <v>0.54154206623959533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0.72766063417317139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-0.31751962084606655</v>
      </c>
      <c r="H1241" t="s">
        <v>37</v>
      </c>
      <c r="I1241">
        <f>VLOOKUP(Table4[[#This Row],[Visitor]],'NHL Model'!$A$6:$B$38,2,FALSE)</f>
        <v>7.1667377873261273E-2</v>
      </c>
      <c r="J1241">
        <f>($B$1+Table4[[#This Row],[Home Differential]])-Table4[[#This Row],[Away Differential]]</f>
        <v>-0.25164360974691147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0.55737330320643597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-1.5569791149906038</v>
      </c>
      <c r="H1242" t="s">
        <v>12</v>
      </c>
      <c r="I1242">
        <f>VLOOKUP(Table4[[#This Row],[Visitor]],'NHL Model'!$A$6:$B$38,2,FALSE)</f>
        <v>1.4458345276269271</v>
      </c>
      <c r="J1242">
        <f>($B$1+Table4[[#This Row],[Home Differential]])-Table4[[#This Row],[Away Differential]]</f>
        <v>-2.8652702536451145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0.93465086432010458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-0.30969050963205513</v>
      </c>
      <c r="H1243" t="s">
        <v>17</v>
      </c>
      <c r="I1243">
        <f>VLOOKUP(Table4[[#This Row],[Visitor]],'NHL Model'!$A$6:$B$38,2,FALSE)</f>
        <v>-0.87263145033954281</v>
      </c>
      <c r="J1243">
        <f>($B$1+Table4[[#This Row],[Home Differential]])-Table4[[#This Row],[Away Differential]]</f>
        <v>0.70048432967990404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0.68514533675110745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-1.1236485959014608</v>
      </c>
      <c r="H1244" t="s">
        <v>20</v>
      </c>
      <c r="I1244">
        <f>VLOOKUP(Table4[[#This Row],[Visitor]],'NHL Model'!$A$6:$B$38,2,FALSE)</f>
        <v>0.12073374225454764</v>
      </c>
      <c r="J1244">
        <f>($B$1+Table4[[#This Row],[Home Differential]])-Table4[[#This Row],[Away Differential]]</f>
        <v>-1.1068389491835922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0.62839745131363978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-0.49835870184734621</v>
      </c>
      <c r="H1245" t="s">
        <v>23</v>
      </c>
      <c r="I1245">
        <f>VLOOKUP(Table4[[#This Row],[Visitor]],'NHL Model'!$A$6:$B$38,2,FALSE)</f>
        <v>-0.51535072045188635</v>
      </c>
      <c r="J1245">
        <f>($B$1+Table4[[#This Row],[Home Differential]])-Table4[[#This Row],[Away Differential]]</f>
        <v>0.1545354075769565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0.56061165921972533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-0.36178381286707545</v>
      </c>
      <c r="H1246" t="s">
        <v>17</v>
      </c>
      <c r="I1246">
        <f>VLOOKUP(Table4[[#This Row],[Visitor]],'NHL Model'!$A$6:$B$38,2,FALSE)</f>
        <v>-0.87263145033954281</v>
      </c>
      <c r="J1246">
        <f>($B$1+Table4[[#This Row],[Home Differential]])-Table4[[#This Row],[Away Differential]]</f>
        <v>0.64839102644488378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0.62648124781082659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-0.93520311342823803</v>
      </c>
      <c r="H1247" t="s">
        <v>22</v>
      </c>
      <c r="I1247">
        <f>VLOOKUP(Table4[[#This Row],[Visitor]],'NHL Model'!$A$6:$B$38,2,FALSE)</f>
        <v>6.4811420118814619E-2</v>
      </c>
      <c r="J1247">
        <f>($B$1+Table4[[#This Row],[Home Differential]])-Table4[[#This Row],[Away Differential]]</f>
        <v>-0.86247114457463625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0.59580410593184463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0.34329638981067145</v>
      </c>
      <c r="H1248" t="s">
        <v>33</v>
      </c>
      <c r="I1248">
        <f>VLOOKUP(Table4[[#This Row],[Visitor]],'NHL Model'!$A$6:$B$38,2,FALSE)</f>
        <v>-0.36178381286707545</v>
      </c>
      <c r="J1248">
        <f>($B$1+Table4[[#This Row],[Home Differential]])-Table4[[#This Row],[Away Differential]]</f>
        <v>0.84262359165016321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0.74730827859346249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-0.51535072045188635</v>
      </c>
      <c r="H1249" t="s">
        <v>28</v>
      </c>
      <c r="I1249">
        <f>VLOOKUP(Table4[[#This Row],[Visitor]],'NHL Model'!$A$6:$B$38,2,FALSE)</f>
        <v>-0.59418600019583889</v>
      </c>
      <c r="J1249">
        <f>($B$1+Table4[[#This Row],[Home Differential]])-Table4[[#This Row],[Away Differential]]</f>
        <v>0.2163786687163689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0.58205169332355899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-0.15263505358797036</v>
      </c>
      <c r="H1250" t="s">
        <v>25</v>
      </c>
      <c r="I1250">
        <f>VLOOKUP(Table4[[#This Row],[Visitor]],'NHL Model'!$A$6:$B$38,2,FALSE)</f>
        <v>0.42515174825138019</v>
      </c>
      <c r="J1250">
        <f>($B$1+Table4[[#This Row],[Home Differential]])-Table4[[#This Row],[Away Differential]]</f>
        <v>-0.44024341286693419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0.59134205652673655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1.4458345276269271</v>
      </c>
      <c r="H1251" t="s">
        <v>16</v>
      </c>
      <c r="I1251">
        <f>VLOOKUP(Table4[[#This Row],[Visitor]],'NHL Model'!$A$6:$B$38,2,FALSE)</f>
        <v>-1.0952038865534519</v>
      </c>
      <c r="J1251">
        <f>($B$1+Table4[[#This Row],[Home Differential]])-Table4[[#This Row],[Away Differential]]</f>
        <v>2.6785818031527953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0.99218513620490523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4.3828122498436855E-3</v>
      </c>
      <c r="H1252" t="s">
        <v>34</v>
      </c>
      <c r="I1252">
        <f>VLOOKUP(Table4[[#This Row],[Visitor]],'NHL Model'!$A$6:$B$38,2,FALSE)</f>
        <v>-0.16358905079701039</v>
      </c>
      <c r="J1252">
        <f>($B$1+Table4[[#This Row],[Home Differential]])-Table4[[#This Row],[Away Differential]]</f>
        <v>0.30551525201927043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0.56248821415473071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-0.66335717753705836</v>
      </c>
      <c r="H1253" t="s">
        <v>27</v>
      </c>
      <c r="I1253">
        <f>VLOOKUP(Table4[[#This Row],[Visitor]],'NHL Model'!$A$6:$B$38,2,FALSE)</f>
        <v>-0.42203126246971279</v>
      </c>
      <c r="J1253">
        <f>($B$1+Table4[[#This Row],[Home Differential]])-Table4[[#This Row],[Away Differential]]</f>
        <v>-0.10378252609492922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0.44159626388411077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-0.36134162888396865</v>
      </c>
      <c r="H1254" t="s">
        <v>38</v>
      </c>
      <c r="I1254">
        <f>VLOOKUP(Table4[[#This Row],[Visitor]],'NHL Model'!$A$6:$B$38,2,FALSE)</f>
        <v>-1.1236485959014608</v>
      </c>
      <c r="J1254">
        <f>($B$1+Table4[[#This Row],[Home Differential]])-Table4[[#This Row],[Away Differential]]</f>
        <v>0.89985035598990848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0.63925121747125524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-0.74754136228530599</v>
      </c>
      <c r="H1255" t="s">
        <v>37</v>
      </c>
      <c r="I1255">
        <f>VLOOKUP(Table4[[#This Row],[Visitor]],'NHL Model'!$A$6:$B$38,2,FALSE)</f>
        <v>7.1667377873261273E-2</v>
      </c>
      <c r="J1255">
        <f>($B$1+Table4[[#This Row],[Home Differential]])-Table4[[#This Row],[Away Differential]]</f>
        <v>-0.6816653511861509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0.61723510784120128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-1.8032585202533785E-2</v>
      </c>
      <c r="H1256" t="s">
        <v>14</v>
      </c>
      <c r="I1256">
        <f>VLOOKUP(Table4[[#This Row],[Visitor]],'NHL Model'!$A$6:$B$38,2,FALSE)</f>
        <v>-0.2090057419115289</v>
      </c>
      <c r="J1256">
        <f>($B$1+Table4[[#This Row],[Home Differential]])-Table4[[#This Row],[Away Differential]]</f>
        <v>0.32851654568141148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0.69924766717942077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3.838472305373858E-3</v>
      </c>
      <c r="H1257" t="s">
        <v>19</v>
      </c>
      <c r="I1257">
        <f>VLOOKUP(Table4[[#This Row],[Visitor]],'NHL Model'!$A$6:$B$38,2,FALSE)</f>
        <v>-0.93520311342823803</v>
      </c>
      <c r="J1257">
        <f>($B$1+Table4[[#This Row],[Home Differential]])-Table4[[#This Row],[Away Differential]]</f>
        <v>1.0765849747060283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0.68359299896152825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-0.31751962084606655</v>
      </c>
      <c r="H1258" t="s">
        <v>11</v>
      </c>
      <c r="I1258">
        <f>VLOOKUP(Table4[[#This Row],[Visitor]],'NHL Model'!$A$6:$B$38,2,FALSE)</f>
        <v>-0.37836939589441088</v>
      </c>
      <c r="J1258">
        <f>($B$1+Table4[[#This Row],[Home Differential]])-Table4[[#This Row],[Away Differential]]</f>
        <v>0.19839316402076068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0.56895680837437246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-0.45007023285116615</v>
      </c>
      <c r="H1259" t="s">
        <v>20</v>
      </c>
      <c r="I1259">
        <f>VLOOKUP(Table4[[#This Row],[Visitor]],'NHL Model'!$A$6:$B$38,2,FALSE)</f>
        <v>0.12073374225454764</v>
      </c>
      <c r="J1259">
        <f>($B$1+Table4[[#This Row],[Home Differential]])-Table4[[#This Row],[Away Differential]]</f>
        <v>-0.43326058613329743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0.51233298489037471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-1.5569791149906038</v>
      </c>
      <c r="H1260" t="s">
        <v>40</v>
      </c>
      <c r="I1260">
        <f>VLOOKUP(Table4[[#This Row],[Visitor]],'NHL Model'!$A$6:$B$38,2,FALSE)</f>
        <v>-6.0247860940930854E-2</v>
      </c>
      <c r="J1260">
        <f>($B$1+Table4[[#This Row],[Home Differential]])-Table4[[#This Row],[Away Differential]]</f>
        <v>-1.3591878650772564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0.70760186190085439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-0.30969050963205513</v>
      </c>
      <c r="H1261" t="s">
        <v>29</v>
      </c>
      <c r="I1261">
        <f>VLOOKUP(Table4[[#This Row],[Visitor]],'NHL Model'!$A$6:$B$38,2,FALSE)</f>
        <v>-1.4957350924899622</v>
      </c>
      <c r="J1261">
        <f>($B$1+Table4[[#This Row],[Home Differential]])-Table4[[#This Row],[Away Differential]]</f>
        <v>1.3235879718303234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0.76825379798953519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-0.14464931395309213</v>
      </c>
      <c r="H1262" t="s">
        <v>37</v>
      </c>
      <c r="I1262">
        <f>VLOOKUP(Table4[[#This Row],[Visitor]],'NHL Model'!$A$6:$B$38,2,FALSE)</f>
        <v>7.1667377873261273E-2</v>
      </c>
      <c r="J1262">
        <f>($B$1+Table4[[#This Row],[Home Differential]])-Table4[[#This Row],[Away Differential]]</f>
        <v>-7.8773302853937049E-2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0.48419085427544506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-0.15263505358797036</v>
      </c>
      <c r="H1263" t="s">
        <v>35</v>
      </c>
      <c r="I1263">
        <f>VLOOKUP(Table4[[#This Row],[Visitor]],'NHL Model'!$A$6:$B$38,2,FALSE)</f>
        <v>-1.5569791149906038</v>
      </c>
      <c r="J1263">
        <f>($B$1+Table4[[#This Row],[Home Differential]])-Table4[[#This Row],[Away Differential]]</f>
        <v>1.5418874503750497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0.74565421983615787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1.4458345276269271</v>
      </c>
      <c r="H1264" t="s">
        <v>20</v>
      </c>
      <c r="I1264">
        <f>VLOOKUP(Table4[[#This Row],[Visitor]],'NHL Model'!$A$6:$B$38,2,FALSE)</f>
        <v>0.12073374225454764</v>
      </c>
      <c r="J1264">
        <f>($B$1+Table4[[#This Row],[Home Differential]])-Table4[[#This Row],[Away Differential]]</f>
        <v>1.462644174344796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0.81046950728098155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4.3828122498436855E-3</v>
      </c>
      <c r="H1265" t="s">
        <v>15</v>
      </c>
      <c r="I1265">
        <f>VLOOKUP(Table4[[#This Row],[Visitor]],'NHL Model'!$A$6:$B$38,2,FALSE)</f>
        <v>-0.49835870184734621</v>
      </c>
      <c r="J1265">
        <f>($B$1+Table4[[#This Row],[Home Differential]])-Table4[[#This Row],[Away Differential]]</f>
        <v>0.64028490306960628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0.54441646086104611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-0.66335717753705836</v>
      </c>
      <c r="H1266" t="s">
        <v>24</v>
      </c>
      <c r="I1266">
        <f>VLOOKUP(Table4[[#This Row],[Visitor]],'NHL Model'!$A$6:$B$38,2,FALSE)</f>
        <v>-1.8032585202533785E-2</v>
      </c>
      <c r="J1266">
        <f>($B$1+Table4[[#This Row],[Home Differential]])-Table4[[#This Row],[Away Differential]]</f>
        <v>-0.50778120336210819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0.49629838698171902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-0.36134162888396865</v>
      </c>
      <c r="H1267" t="s">
        <v>17</v>
      </c>
      <c r="I1267">
        <f>VLOOKUP(Table4[[#This Row],[Visitor]],'NHL Model'!$A$6:$B$38,2,FALSE)</f>
        <v>-0.87263145033954281</v>
      </c>
      <c r="J1267">
        <f>($B$1+Table4[[#This Row],[Home Differential]])-Table4[[#This Row],[Away Differential]]</f>
        <v>0.64883321042799058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0.62654022552807032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-0.74754136228530599</v>
      </c>
      <c r="H1268" t="s">
        <v>28</v>
      </c>
      <c r="I1268">
        <f>VLOOKUP(Table4[[#This Row],[Visitor]],'NHL Model'!$A$6:$B$38,2,FALSE)</f>
        <v>-0.59418600019583889</v>
      </c>
      <c r="J1268">
        <f>($B$1+Table4[[#This Row],[Home Differential]])-Table4[[#This Row],[Away Differential]]</f>
        <v>-1.5811973117050737E-2</v>
      </c>
      <c r="K1268" t="str">
        <f>IF(Table4[[#This Row],[HomeIce Differential]]&gt;0,Table4[[#This Row],[Home]],Table4[[#This Row],[Visitor]])</f>
        <v>Columbus Blue Jackets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0.46293846608339223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-1.4957350924899622</v>
      </c>
      <c r="H1269" t="s">
        <v>34</v>
      </c>
      <c r="I1269">
        <f>VLOOKUP(Table4[[#This Row],[Visitor]],'NHL Model'!$A$6:$B$38,2,FALSE)</f>
        <v>-0.16358905079701039</v>
      </c>
      <c r="J1269">
        <f>($B$1+Table4[[#This Row],[Home Differential]])-Table4[[#This Row],[Away Differential]]</f>
        <v>-1.1946026527205353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0.64010321879779153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3.838472305373858E-3</v>
      </c>
      <c r="H1270" t="s">
        <v>36</v>
      </c>
      <c r="I1270">
        <f>VLOOKUP(Table4[[#This Row],[Visitor]],'NHL Model'!$A$6:$B$38,2,FALSE)</f>
        <v>-0.31751962084606655</v>
      </c>
      <c r="J1270">
        <f>($B$1+Table4[[#This Row],[Home Differential]])-Table4[[#This Row],[Away Differential]]</f>
        <v>0.45890148212385673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0.58043823691259155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-0.2090057419115289</v>
      </c>
      <c r="H1271" t="s">
        <v>22</v>
      </c>
      <c r="I1271">
        <f>VLOOKUP(Table4[[#This Row],[Visitor]],'NHL Model'!$A$6:$B$38,2,FALSE)</f>
        <v>6.4811420118814619E-2</v>
      </c>
      <c r="J1271">
        <f>($B$1+Table4[[#This Row],[Home Differential]])-Table4[[#This Row],[Away Differential]]</f>
        <v>-0.13627377305792715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0.4989451854898822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-0.45007023285116615</v>
      </c>
      <c r="H1272" t="s">
        <v>16</v>
      </c>
      <c r="I1272">
        <f>VLOOKUP(Table4[[#This Row],[Visitor]],'NHL Model'!$A$6:$B$38,2,FALSE)</f>
        <v>-1.0952038865534519</v>
      </c>
      <c r="J1272">
        <f>($B$1+Table4[[#This Row],[Home Differential]])-Table4[[#This Row],[Away Differential]]</f>
        <v>0.78267704267470206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0.67042981489204045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-0.36178381286707545</v>
      </c>
      <c r="H1273" t="s">
        <v>38</v>
      </c>
      <c r="I1273">
        <f>VLOOKUP(Table4[[#This Row],[Visitor]],'NHL Model'!$A$6:$B$38,2,FALSE)</f>
        <v>-1.1236485959014608</v>
      </c>
      <c r="J1273">
        <f>($B$1+Table4[[#This Row],[Home Differential]])-Table4[[#This Row],[Away Differential]]</f>
        <v>0.89940817200680168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0.63919223975401152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-0.93520311342823803</v>
      </c>
      <c r="H1274" t="s">
        <v>11</v>
      </c>
      <c r="I1274">
        <f>VLOOKUP(Table4[[#This Row],[Visitor]],'NHL Model'!$A$6:$B$38,2,FALSE)</f>
        <v>-0.37836939589441088</v>
      </c>
      <c r="J1274">
        <f>($B$1+Table4[[#This Row],[Home Differential]])-Table4[[#This Row],[Away Differential]]</f>
        <v>-0.4192903285614108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0.51592420210967338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-0.30969050963205513</v>
      </c>
      <c r="H1275" t="s">
        <v>25</v>
      </c>
      <c r="I1275">
        <f>VLOOKUP(Table4[[#This Row],[Visitor]],'NHL Model'!$A$6:$B$38,2,FALSE)</f>
        <v>0.42515174825138019</v>
      </c>
      <c r="J1275">
        <f>($B$1+Table4[[#This Row],[Home Differential]])-Table4[[#This Row],[Away Differential]]</f>
        <v>-0.59729886891101902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0.55966666624404804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-6.0247860940930854E-2</v>
      </c>
      <c r="H1276" t="s">
        <v>27</v>
      </c>
      <c r="I1276">
        <f>VLOOKUP(Table4[[#This Row],[Visitor]],'NHL Model'!$A$6:$B$38,2,FALSE)</f>
        <v>-0.42203126246971279</v>
      </c>
      <c r="J1276">
        <f>($B$1+Table4[[#This Row],[Home Differential]])-Table4[[#This Row],[Away Differential]]</f>
        <v>0.49932679050119833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0.60909480298691465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0.34329638981067145</v>
      </c>
      <c r="H1277" t="s">
        <v>38</v>
      </c>
      <c r="I1277">
        <f>VLOOKUP(Table4[[#This Row],[Visitor]],'NHL Model'!$A$6:$B$38,2,FALSE)</f>
        <v>-1.1236485959014608</v>
      </c>
      <c r="J1277">
        <f>($B$1+Table4[[#This Row],[Home Differential]])-Table4[[#This Row],[Away Differential]]</f>
        <v>1.6044883746845486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0.82938843573588272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-0.59418600019583889</v>
      </c>
      <c r="H1278" t="s">
        <v>21</v>
      </c>
      <c r="I1278">
        <f>VLOOKUP(Table4[[#This Row],[Visitor]],'NHL Model'!$A$6:$B$38,2,FALSE)</f>
        <v>-0.14464931395309213</v>
      </c>
      <c r="J1278">
        <f>($B$1+Table4[[#This Row],[Home Differential]])-Table4[[#This Row],[Away Differential]]</f>
        <v>-0.31199329727033043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0.49456716207299223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-1.0952038865534519</v>
      </c>
      <c r="H1279" t="s">
        <v>55</v>
      </c>
      <c r="I1279">
        <f>VLOOKUP(Table4[[#This Row],[Visitor]],'NHL Model'!$A$6:$B$38,2,FALSE)</f>
        <v>-0.30969050963205513</v>
      </c>
      <c r="J1279">
        <f>($B$1+Table4[[#This Row],[Home Differential]])-Table4[[#This Row],[Away Differential]]</f>
        <v>-0.64796998794898042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0.54642509044125009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-1.8032585202533785E-2</v>
      </c>
      <c r="H1280" t="s">
        <v>36</v>
      </c>
      <c r="I1280">
        <f>VLOOKUP(Table4[[#This Row],[Visitor]],'NHL Model'!$A$6:$B$38,2,FALSE)</f>
        <v>-0.31751962084606655</v>
      </c>
      <c r="J1280">
        <f>($B$1+Table4[[#This Row],[Home Differential]])-Table4[[#This Row],[Away Differential]]</f>
        <v>0.4370304246159491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0.69465398109482668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3.838472305373858E-3</v>
      </c>
      <c r="H1281" t="s">
        <v>18</v>
      </c>
      <c r="I1281">
        <f>VLOOKUP(Table4[[#This Row],[Visitor]],'NHL Model'!$A$6:$B$38,2,FALSE)</f>
        <v>-0.74754136228530599</v>
      </c>
      <c r="J1281">
        <f>($B$1+Table4[[#This Row],[Home Differential]])-Table4[[#This Row],[Away Differential]]</f>
        <v>0.88892322356309617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0.61146361517169701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6.4811420118814619E-2</v>
      </c>
      <c r="H1282" t="s">
        <v>14</v>
      </c>
      <c r="I1282">
        <f>VLOOKUP(Table4[[#This Row],[Visitor]],'NHL Model'!$A$6:$B$38,2,FALSE)</f>
        <v>-0.2090057419115289</v>
      </c>
      <c r="J1282">
        <f>($B$1+Table4[[#This Row],[Home Differential]])-Table4[[#This Row],[Away Differential]]</f>
        <v>0.41136055100275992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0.59486654241025627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-0.15263505358797036</v>
      </c>
      <c r="H1283" t="s">
        <v>23</v>
      </c>
      <c r="I1283">
        <f>VLOOKUP(Table4[[#This Row],[Visitor]],'NHL Model'!$A$6:$B$38,2,FALSE)</f>
        <v>-0.51535072045188635</v>
      </c>
      <c r="J1283">
        <f>($B$1+Table4[[#This Row],[Home Differential]])-Table4[[#This Row],[Away Differential]]</f>
        <v>0.50025905583633234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0.60672366768337671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-0.87263145033954281</v>
      </c>
      <c r="H1284" t="s">
        <v>12</v>
      </c>
      <c r="I1284">
        <f>VLOOKUP(Table4[[#This Row],[Visitor]],'NHL Model'!$A$6:$B$38,2,FALSE)</f>
        <v>1.4458345276269271</v>
      </c>
      <c r="J1284">
        <f>($B$1+Table4[[#This Row],[Home Differential]])-Table4[[#This Row],[Away Differential]]</f>
        <v>-2.1809225889940533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0.80701662814162156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-0.37836939589441088</v>
      </c>
      <c r="H1285" t="s">
        <v>15</v>
      </c>
      <c r="I1285">
        <f>VLOOKUP(Table4[[#This Row],[Visitor]],'NHL Model'!$A$6:$B$38,2,FALSE)</f>
        <v>-0.49835870184734621</v>
      </c>
      <c r="J1285">
        <f>($B$1+Table4[[#This Row],[Home Differential]])-Table4[[#This Row],[Away Differential]]</f>
        <v>0.25753269492535169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0.54344016424847175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-1.4957350924899622</v>
      </c>
      <c r="H1286" t="s">
        <v>33</v>
      </c>
      <c r="I1286">
        <f>VLOOKUP(Table4[[#This Row],[Visitor]],'NHL Model'!$A$6:$B$38,2,FALSE)</f>
        <v>-0.36178381286707545</v>
      </c>
      <c r="J1286">
        <f>($B$1+Table4[[#This Row],[Home Differential]])-Table4[[#This Row],[Away Differential]]</f>
        <v>-0.99640789065047031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0.59289912135964939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-0.42203126246971279</v>
      </c>
      <c r="H1287" t="s">
        <v>25</v>
      </c>
      <c r="I1287">
        <f>VLOOKUP(Table4[[#This Row],[Visitor]],'NHL Model'!$A$6:$B$38,2,FALSE)</f>
        <v>0.42515174825138019</v>
      </c>
      <c r="J1287">
        <f>($B$1+Table4[[#This Row],[Home Differential]])-Table4[[#This Row],[Away Differential]]</f>
        <v>-0.70963962174867667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0.59465047707603536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-0.45007023285116615</v>
      </c>
      <c r="H1288" t="s">
        <v>13</v>
      </c>
      <c r="I1288">
        <f>VLOOKUP(Table4[[#This Row],[Visitor]],'NHL Model'!$A$6:$B$38,2,FALSE)</f>
        <v>-0.36134162888396865</v>
      </c>
      <c r="J1288">
        <f>($B$1+Table4[[#This Row],[Home Differential]])-Table4[[#This Row],[Away Differential]]</f>
        <v>4.8814785005218853E-2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0.48926945033826286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-1.5569791149906038</v>
      </c>
      <c r="H1289" t="s">
        <v>34</v>
      </c>
      <c r="I1289">
        <f>VLOOKUP(Table4[[#This Row],[Visitor]],'NHL Model'!$A$6:$B$38,2,FALSE)</f>
        <v>-0.16358905079701039</v>
      </c>
      <c r="J1289">
        <f>($B$1+Table4[[#This Row],[Home Differential]])-Table4[[#This Row],[Away Differential]]</f>
        <v>-1.255846675221177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0.6482718381506074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7.1667377873261273E-2</v>
      </c>
      <c r="H1290" t="s">
        <v>26</v>
      </c>
      <c r="I1290">
        <f>VLOOKUP(Table4[[#This Row],[Visitor]],'NHL Model'!$A$6:$B$38,2,FALSE)</f>
        <v>-0.66335717753705836</v>
      </c>
      <c r="J1290">
        <f>($B$1+Table4[[#This Row],[Home Differential]])-Table4[[#This Row],[Away Differential]]</f>
        <v>0.87256794438273599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0.61179441249191924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-0.93520311342823803</v>
      </c>
      <c r="H1291" t="s">
        <v>39</v>
      </c>
      <c r="I1291">
        <f>VLOOKUP(Table4[[#This Row],[Visitor]],'NHL Model'!$A$6:$B$38,2,FALSE)</f>
        <v>4.3828122498436855E-3</v>
      </c>
      <c r="J1291">
        <f>($B$1+Table4[[#This Row],[Home Differential]])-Table4[[#This Row],[Away Differential]]</f>
        <v>-0.80204253670566539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0.64793328330407318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0.12073374225454764</v>
      </c>
      <c r="H1292" t="s">
        <v>40</v>
      </c>
      <c r="I1292">
        <f>VLOOKUP(Table4[[#This Row],[Visitor]],'NHL Model'!$A$6:$B$38,2,FALSE)</f>
        <v>-6.0247860940930854E-2</v>
      </c>
      <c r="J1292">
        <f>($B$1+Table4[[#This Row],[Home Differential]])-Table4[[#This Row],[Away Differential]]</f>
        <v>0.31852499216789487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0.51616851036718481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-0.14464931395309213</v>
      </c>
      <c r="H1293" t="s">
        <v>24</v>
      </c>
      <c r="I1293">
        <f>VLOOKUP(Table4[[#This Row],[Visitor]],'NHL Model'!$A$6:$B$38,2,FALSE)</f>
        <v>-1.8032585202533785E-2</v>
      </c>
      <c r="J1293">
        <f>($B$1+Table4[[#This Row],[Home Differential]])-Table4[[#This Row],[Away Differential]]</f>
        <v>1.0926660221858009E-2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0.59236646951528826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-0.59418600019583889</v>
      </c>
      <c r="H1294" t="s">
        <v>22</v>
      </c>
      <c r="I1294">
        <f>VLOOKUP(Table4[[#This Row],[Visitor]],'NHL Model'!$A$6:$B$38,2,FALSE)</f>
        <v>6.4811420118814619E-2</v>
      </c>
      <c r="J1294">
        <f>($B$1+Table4[[#This Row],[Home Differential]])-Table4[[#This Row],[Away Differential]]</f>
        <v>-0.52145403134223711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0.54323482653919153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-1.0952038865534519</v>
      </c>
      <c r="H1295" t="s">
        <v>12</v>
      </c>
      <c r="I1295">
        <f>VLOOKUP(Table4[[#This Row],[Visitor]],'NHL Model'!$A$6:$B$38,2,FALSE)</f>
        <v>1.4458345276269271</v>
      </c>
      <c r="J1295">
        <f>($B$1+Table4[[#This Row],[Home Differential]])-Table4[[#This Row],[Away Differential]]</f>
        <v>-2.4034950252079628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0.87306010143996926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-0.16358905079701039</v>
      </c>
      <c r="H1296" t="s">
        <v>31</v>
      </c>
      <c r="I1296">
        <f>VLOOKUP(Table4[[#This Row],[Visitor]],'NHL Model'!$A$6:$B$38,2,FALSE)</f>
        <v>0.34329638981067145</v>
      </c>
      <c r="J1296">
        <f>($B$1+Table4[[#This Row],[Home Differential]])-Table4[[#This Row],[Away Differential]]</f>
        <v>-0.36934205163526546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0.53003142008354198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3.838472305373858E-3</v>
      </c>
      <c r="H1297" t="s">
        <v>25</v>
      </c>
      <c r="I1297">
        <f>VLOOKUP(Table4[[#This Row],[Visitor]],'NHL Model'!$A$6:$B$38,2,FALSE)</f>
        <v>0.42515174825138019</v>
      </c>
      <c r="J1297">
        <f>($B$1+Table4[[#This Row],[Home Differential]])-Table4[[#This Row],[Away Differential]]</f>
        <v>-0.28376988697358996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0.5704718945153775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-0.42203126246971279</v>
      </c>
      <c r="H1298" t="s">
        <v>18</v>
      </c>
      <c r="I1298">
        <f>VLOOKUP(Table4[[#This Row],[Visitor]],'NHL Model'!$A$6:$B$38,2,FALSE)</f>
        <v>-0.74754136228530599</v>
      </c>
      <c r="J1298">
        <f>($B$1+Table4[[#This Row],[Home Differential]])-Table4[[#This Row],[Away Differential]]</f>
        <v>0.46305348878800956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0.58730870023938764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-1.5569791149906038</v>
      </c>
      <c r="H1299" t="s">
        <v>14</v>
      </c>
      <c r="I1299">
        <f>VLOOKUP(Table4[[#This Row],[Visitor]],'NHL Model'!$A$6:$B$38,2,FALSE)</f>
        <v>-0.2090057419115289</v>
      </c>
      <c r="J1299">
        <f>($B$1+Table4[[#This Row],[Home Differential]])-Table4[[#This Row],[Away Differential]]</f>
        <v>-1.2104299841066584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0.62144500948314862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-0.30969050963205513</v>
      </c>
      <c r="H1300" t="s">
        <v>40</v>
      </c>
      <c r="I1300">
        <f>VLOOKUP(Table4[[#This Row],[Visitor]],'NHL Model'!$A$6:$B$38,2,FALSE)</f>
        <v>-6.0247860940930854E-2</v>
      </c>
      <c r="J1300">
        <f>($B$1+Table4[[#This Row],[Home Differential]])-Table4[[#This Row],[Away Differential]]</f>
        <v>-0.11189925971870793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0.48860913578729831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-1.1236485959014608</v>
      </c>
      <c r="H1301" t="s">
        <v>13</v>
      </c>
      <c r="I1301">
        <f>VLOOKUP(Table4[[#This Row],[Visitor]],'NHL Model'!$A$6:$B$38,2,FALSE)</f>
        <v>-0.36134162888396865</v>
      </c>
      <c r="J1301">
        <f>($B$1+Table4[[#This Row],[Home Differential]])-Table4[[#This Row],[Away Differential]]</f>
        <v>-0.62476357804507576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0.6268081214204464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-0.51535072045188635</v>
      </c>
      <c r="H1302" t="s">
        <v>39</v>
      </c>
      <c r="I1302">
        <f>VLOOKUP(Table4[[#This Row],[Visitor]],'NHL Model'!$A$6:$B$38,2,FALSE)</f>
        <v>4.3828122498436855E-3</v>
      </c>
      <c r="J1302">
        <f>($B$1+Table4[[#This Row],[Home Differential]])-Table4[[#This Row],[Away Differential]]</f>
        <v>-0.38219014372931365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0.5778575655338487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-0.15263505358797036</v>
      </c>
      <c r="H1303" t="s">
        <v>33</v>
      </c>
      <c r="I1303">
        <f>VLOOKUP(Table4[[#This Row],[Visitor]],'NHL Model'!$A$6:$B$38,2,FALSE)</f>
        <v>-0.36178381286707545</v>
      </c>
      <c r="J1303">
        <f>($B$1+Table4[[#This Row],[Home Differential]])-Table4[[#This Row],[Away Differential]]</f>
        <v>0.34669214825152145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0.58624118527889013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-0.37836939589441088</v>
      </c>
      <c r="H1304" t="s">
        <v>26</v>
      </c>
      <c r="I1304">
        <f>VLOOKUP(Table4[[#This Row],[Visitor]],'NHL Model'!$A$6:$B$38,2,FALSE)</f>
        <v>-0.66335717753705836</v>
      </c>
      <c r="J1304">
        <f>($B$1+Table4[[#This Row],[Home Differential]])-Table4[[#This Row],[Away Differential]]</f>
        <v>0.42253117061506384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0.60181100534282261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-0.31751962084606655</v>
      </c>
      <c r="H1305" t="s">
        <v>19</v>
      </c>
      <c r="I1305">
        <f>VLOOKUP(Table4[[#This Row],[Visitor]],'NHL Model'!$A$6:$B$38,2,FALSE)</f>
        <v>-0.93520311342823803</v>
      </c>
      <c r="J1305">
        <f>($B$1+Table4[[#This Row],[Home Differential]])-Table4[[#This Row],[Away Differential]]</f>
        <v>0.75522688155458784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0.6432263043288482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7.1667377873261273E-2</v>
      </c>
      <c r="H1306" t="s">
        <v>15</v>
      </c>
      <c r="I1306">
        <f>VLOOKUP(Table4[[#This Row],[Visitor]],'NHL Model'!$A$6:$B$38,2,FALSE)</f>
        <v>-0.49835870184734621</v>
      </c>
      <c r="J1306">
        <f>($B$1+Table4[[#This Row],[Home Differential]])-Table4[[#This Row],[Away Differential]]</f>
        <v>0.70756946869302384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0.55339075716713049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0.12073374225454764</v>
      </c>
      <c r="H1307" t="s">
        <v>32</v>
      </c>
      <c r="I1307">
        <f>VLOOKUP(Table4[[#This Row],[Visitor]],'NHL Model'!$A$6:$B$38,2,FALSE)</f>
        <v>-0.45007023285116615</v>
      </c>
      <c r="J1307">
        <f>($B$1+Table4[[#This Row],[Home Differential]])-Table4[[#This Row],[Away Differential]]</f>
        <v>0.70834736407813015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0.63447811803452503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-1.0952038865534519</v>
      </c>
      <c r="H1308" t="s">
        <v>13</v>
      </c>
      <c r="I1308">
        <f>VLOOKUP(Table4[[#This Row],[Visitor]],'NHL Model'!$A$6:$B$38,2,FALSE)</f>
        <v>-0.36134162888396865</v>
      </c>
      <c r="J1308">
        <f>($B$1+Table4[[#This Row],[Home Differential]])-Table4[[#This Row],[Away Differential]]</f>
        <v>-0.59631886869706685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0.62301421641913901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1.4458345276269271</v>
      </c>
      <c r="H1309" t="s">
        <v>32</v>
      </c>
      <c r="I1309">
        <f>VLOOKUP(Table4[[#This Row],[Visitor]],'NHL Model'!$A$6:$B$38,2,FALSE)</f>
        <v>-0.45007023285116615</v>
      </c>
      <c r="J1309">
        <f>($B$1+Table4[[#This Row],[Home Differential]])-Table4[[#This Row],[Away Differential]]</f>
        <v>2.0334481494505097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0.90613835100672369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-0.87263145033954281</v>
      </c>
      <c r="H1310" t="s">
        <v>38</v>
      </c>
      <c r="I1310">
        <f>VLOOKUP(Table4[[#This Row],[Visitor]],'NHL Model'!$A$6:$B$38,2,FALSE)</f>
        <v>-1.1236485959014608</v>
      </c>
      <c r="J1310">
        <f>($B$1+Table4[[#This Row],[Home Differential]])-Table4[[#This Row],[Away Differential]]</f>
        <v>0.38856053453433437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0.6073810721127737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-1.4957350924899622</v>
      </c>
      <c r="H1311" t="s">
        <v>31</v>
      </c>
      <c r="I1311">
        <f>VLOOKUP(Table4[[#This Row],[Visitor]],'NHL Model'!$A$6:$B$38,2,FALSE)</f>
        <v>0.34329638981067145</v>
      </c>
      <c r="J1311">
        <f>($B$1+Table4[[#This Row],[Home Differential]])-Table4[[#This Row],[Away Differential]]</f>
        <v>-1.701488093328217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0.70771070195690522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-0.30969050963205513</v>
      </c>
      <c r="H1312" t="s">
        <v>35</v>
      </c>
      <c r="I1312">
        <f>VLOOKUP(Table4[[#This Row],[Visitor]],'NHL Model'!$A$6:$B$38,2,FALSE)</f>
        <v>-1.5569791149906038</v>
      </c>
      <c r="J1312">
        <f>($B$1+Table4[[#This Row],[Home Differential]])-Table4[[#This Row],[Away Differential]]</f>
        <v>1.384831994330965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0.77642241734235107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-6.0247860940930854E-2</v>
      </c>
      <c r="H1313" t="s">
        <v>33</v>
      </c>
      <c r="I1313">
        <f>VLOOKUP(Table4[[#This Row],[Visitor]],'NHL Model'!$A$6:$B$38,2,FALSE)</f>
        <v>-0.36178381286707545</v>
      </c>
      <c r="J1313">
        <f>($B$1+Table4[[#This Row],[Home Differential]])-Table4[[#This Row],[Away Differential]]</f>
        <v>0.43907934089856093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0.60105910476384727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29" priority="9" operator="containsText" text="NO">
      <formula>NOT(ISERROR(SEARCH("NO",M2)))</formula>
    </cfRule>
    <cfRule type="containsText" dxfId="2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7" priority="3" operator="containsText" text="YES">
      <formula>NOT(ISERROR(SEARCH("YES",R1)))</formula>
    </cfRule>
    <cfRule type="containsText" dxfId="26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22</v>
      </c>
      <c r="C2">
        <f>COUNTIF(NHL2025_26Results[Winning Team],Standings!A2)</f>
        <v>14</v>
      </c>
      <c r="D2">
        <f>COUNTIFS('NHL2025-26Results'!$H:$H,A2,'NHL2025-26Results'!$F:$F,"")</f>
        <v>7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29</v>
      </c>
      <c r="G2">
        <f>COUNTIFS('NHL2025-26Results'!$D:$D,A2,'NHL2025-26Results'!$G:$G,A2)</f>
        <v>8</v>
      </c>
      <c r="H2">
        <f>COUNTIFS('NHL2025-26Results'!$D:$D,A2,'NHL2025-26Results'!$H:$H,A2,'NHL2025-26Results'!$F:$F,"")</f>
        <v>2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3.8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24</v>
      </c>
      <c r="C3">
        <f>COUNTIF(NHL2025_26Results[Winning Team],Standings!A3)</f>
        <v>13</v>
      </c>
      <c r="D3">
        <f>COUNTIFS('NHL2025-26Results'!$H:$H,A3,'NHL2025-26Results'!$F:$F,"")</f>
        <v>11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26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5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0.41666666666666669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2.8333333333333335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22</v>
      </c>
      <c r="C4">
        <f>COUNTIF(NHL2025_26Results[Winning Team],Standings!A4)</f>
        <v>9</v>
      </c>
      <c r="D4">
        <f>COUNTIFS('NHL2025-26Results'!$H:$H,A4,'NHL2025-26Results'!$F:$F,"")</f>
        <v>9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22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4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0.5714285714285714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24</v>
      </c>
      <c r="C5">
        <f>COUNTIF(NHL2025_26Results[Winning Team],Standings!A5)</f>
        <v>8</v>
      </c>
      <c r="D5">
        <f>COUNTIFS('NHL2025-26Results'!$H:$H,A5,'NHL2025-26Results'!$F:$F,"")</f>
        <v>13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19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4</v>
      </c>
      <c r="K5">
        <f>COUNTIFS('NHL2025-26Results'!$B:$B,A5,'NHL2025-26Results'!$H:$H,A5,'NHL2025-26Results'!$F:$F,"")</f>
        <v>9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2.6923076923076925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22</v>
      </c>
      <c r="C6">
        <f>COUNTIF(NHL2025_26Results[Winning Team],Standings!A6)</f>
        <v>14</v>
      </c>
      <c r="D6">
        <f>COUNTIFS('NHL2025-26Results'!$H:$H,A6,'NHL2025-26Results'!$F:$F,"")</f>
        <v>6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30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22</v>
      </c>
      <c r="C7">
        <f>COUNTIF(NHL2025_26Results[Winning Team],Standings!A7)</f>
        <v>10</v>
      </c>
      <c r="D7">
        <f>COUNTIFS('NHL2025-26Results'!$H:$H,A7,'NHL2025-26Results'!$F:$F,"")</f>
        <v>8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24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4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0.45454545454545453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2.3636363636363638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22</v>
      </c>
      <c r="C8">
        <f>COUNTIF(NHL2025_26Results[Winning Team],Standings!A8)</f>
        <v>16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37</v>
      </c>
      <c r="G8">
        <f>COUNTIFS('NHL2025-26Results'!$D:$D,A8,'NHL2025-26Results'!$G:$G,A8)</f>
        <v>8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0.8</v>
      </c>
      <c r="N8" s="11">
        <f>Table1[[#This Row],[AwayWins]]/SUM(Table1[[#This Row],[AwayWins]:[AwayOTL]])</f>
        <v>0.66666666666666663</v>
      </c>
      <c r="O8" s="14">
        <f>SUMIFS('NHL2025-26Results'!$E:$E,'NHL2025-26Results'!$D:$D,A8,'NHL2025-26Results'!$E:$E,"&gt;0")/COUNTIFS('NHL2025-26Results'!$D:$D,A8,'NHL2025-26Results'!$E:$E,"&gt;0")</f>
        <v>4.5</v>
      </c>
      <c r="P8" s="14">
        <f>SUMIFS('NHL2025-26Results'!$C:$C,'NHL2025-26Results'!$B:$B,A8,'NHL2025-26Results'!$C:$C,"&gt;0")/COUNTIFS('NHL2025-26Results'!$B:$B,A8,'NHL2025-26Results'!$C:$C,"&gt;0")</f>
        <v>3.5833333333333335</v>
      </c>
      <c r="Q8" s="14">
        <f>SUMIFS('NHL2025-26Results'!$C:$C,'NHL2025-26Results'!$D:$D,A8,'NHL2025-26Results'!$C:$C,"&gt;0")/COUNTIFS('NHL2025-26Results'!$D:$D,A8,'NHL2025-26Results'!$C:$C,"&gt;0")</f>
        <v>2.6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22</v>
      </c>
      <c r="C9">
        <f>COUNTIF(NHL2025_26Results[Winning Team],Standings!A9)</f>
        <v>11</v>
      </c>
      <c r="D9">
        <f>COUNTIFS('NHL2025-26Results'!$H:$H,A9,'NHL2025-26Results'!$F:$F,"")</f>
        <v>8</v>
      </c>
      <c r="E9">
        <f>COUNTIFS('NHL2025-26Results'!$F:$F,"OT",'NHL2025-26Results'!$H:$H,A9) + COUNTIFS('NHL2025-26Results'!$F:$F,"SO",'NHL2025-26Results'!$H:$H,A9)</f>
        <v>3</v>
      </c>
      <c r="F9" s="3">
        <f>(Table1[[#This Row],[W]]*2)+Table1[[#This Row],[OTL]]</f>
        <v>25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5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0.46153846153846156</v>
      </c>
      <c r="O9" s="14">
        <f>SUMIFS('NHL2025-26Results'!$E:$E,'NHL2025-26Results'!$D:$D,A9,'NHL2025-26Results'!$E:$E,"&gt;0")/COUNTIFS('NHL2025-26Results'!$D:$D,A9,'NHL2025-26Results'!$E:$E,"&gt;0")</f>
        <v>2.8888888888888888</v>
      </c>
      <c r="P9" s="14">
        <f>SUMIFS('NHL2025-26Results'!$C:$C,'NHL2025-26Results'!$B:$B,A9,'NHL2025-26Results'!$C:$C,"&gt;0")/COUNTIFS('NHL2025-26Results'!$B:$B,A9,'NHL2025-26Results'!$C:$C,"&gt;0")</f>
        <v>3.2307692307692308</v>
      </c>
      <c r="Q9" s="14">
        <f>SUMIFS('NHL2025-26Results'!$C:$C,'NHL2025-26Results'!$D:$D,A9,'NHL2025-26Results'!$C:$C,"&gt;0")/COUNTIFS('NHL2025-26Results'!$D:$D,A9,'NHL2025-26Results'!$C:$C,"&gt;0")</f>
        <v>3.1111111111111112</v>
      </c>
      <c r="R9" s="14">
        <f>SUMIFS('NHL2025-26Results'!$E:$E,'NHL2025-26Results'!$B:$B,A9,'NHL2025-26Results'!$E:$E,"&gt;0")/COUNTIFS('NHL2025-26Results'!$B:$B,A9,'NHL2025-26Results'!$E:$E,"&gt;0")</f>
        <v>3.3076923076923075</v>
      </c>
    </row>
    <row r="10" spans="1:18" x14ac:dyDescent="0.2">
      <c r="A10" s="4" t="s">
        <v>39</v>
      </c>
      <c r="B10">
        <f>SUM(Table1[[#This Row],[W]:[OTL]])</f>
        <v>22</v>
      </c>
      <c r="C10">
        <f>COUNTIF(NHL2025_26Results[Winning Team],Standings!A10)</f>
        <v>13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30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7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0.63636363636363635</v>
      </c>
      <c r="O10" s="14">
        <f>SUMIFS('NHL2025-26Results'!$E:$E,'NHL2025-26Results'!$D:$D,A10,'NHL2025-26Results'!$E:$E,"&gt;0")/COUNTIFS('NHL2025-26Results'!$D:$D,A10,'NHL2025-26Results'!$E:$E,"&gt;0")</f>
        <v>3</v>
      </c>
      <c r="P10" s="14">
        <f>SUMIFS('NHL2025-26Results'!$C:$C,'NHL2025-26Results'!$B:$B,A10,'NHL2025-26Results'!$C:$C,"&gt;0")/COUNTIFS('NHL2025-26Results'!$B:$B,A10,'NHL2025-26Results'!$C:$C,"&gt;0")</f>
        <v>3.5454545454545454</v>
      </c>
      <c r="Q10" s="14">
        <f>SUMIFS('NHL2025-26Results'!$C:$C,'NHL2025-26Results'!$D:$D,A10,'NHL2025-26Results'!$C:$C,"&gt;0")/COUNTIFS('NHL2025-26Results'!$D:$D,A10,'NHL2025-26Results'!$C:$C,"&gt;0")</f>
        <v>3.2</v>
      </c>
      <c r="R10" s="14">
        <f>SUMIFS('NHL2025-26Results'!$E:$E,'NHL2025-26Results'!$B:$B,A10,'NHL2025-26Results'!$E:$E,"&gt;0")/COUNTIFS('NHL2025-26Results'!$B:$B,A10,'NHL2025-26Results'!$E:$E,"&gt;0")</f>
        <v>3</v>
      </c>
    </row>
    <row r="11" spans="1:18" x14ac:dyDescent="0.2">
      <c r="A11" s="4" t="s">
        <v>26</v>
      </c>
      <c r="B11">
        <f>SUM(Table1[[#This Row],[W]:[OTL]])</f>
        <v>22</v>
      </c>
      <c r="C11">
        <f>COUNTIF(NHL2025_26Results[Winning Team],Standings!A11)</f>
        <v>13</v>
      </c>
      <c r="D11">
        <f>COUNTIFS('NHL2025-26Results'!$H:$H,A11,'NHL2025-26Results'!$F:$F,"")</f>
        <v>8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27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4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4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0.61538461538461542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3.5833333333333335</v>
      </c>
      <c r="P11" s="14">
        <f>SUMIFS('NHL2025-26Results'!$C:$C,'NHL2025-26Results'!$B:$B,A11,'NHL2025-26Results'!$C:$C,"&gt;0")/COUNTIFS('NHL2025-26Results'!$B:$B,A11,'NHL2025-26Results'!$C:$C,"&gt;0")</f>
        <v>2.875</v>
      </c>
      <c r="Q11" s="14">
        <f>SUMIFS('NHL2025-26Results'!$C:$C,'NHL2025-26Results'!$D:$D,A11,'NHL2025-26Results'!$C:$C,"&gt;0")/COUNTIFS('NHL2025-26Results'!$D:$D,A11,'NHL2025-26Results'!$C:$C,"&gt;0")</f>
        <v>3.3076923076923075</v>
      </c>
      <c r="R11" s="14">
        <f>SUMIFS('NHL2025-26Results'!$E:$E,'NHL2025-26Results'!$B:$B,A11,'NHL2025-26Results'!$E:$E,"&gt;0")/COUNTIFS('NHL2025-26Results'!$B:$B,A11,'NHL2025-26Results'!$E:$E,"&gt;0")</f>
        <v>3</v>
      </c>
    </row>
    <row r="12" spans="1:18" x14ac:dyDescent="0.2">
      <c r="A12" s="4" t="s">
        <v>17</v>
      </c>
      <c r="B12">
        <f>SUM(Table1[[#This Row],[W]:[OTL]])</f>
        <v>24</v>
      </c>
      <c r="C12">
        <f>COUNTIF(NHL2025_26Results[Winning Team],Standings!A12)</f>
        <v>10</v>
      </c>
      <c r="D12">
        <f>COUNTIFS('NHL2025-26Results'!$H:$H,A12,'NHL2025-26Results'!$F:$F,"")</f>
        <v>9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25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5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0.3125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2.75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21</v>
      </c>
      <c r="C13">
        <f>COUNTIF(NHL2025_26Results[Winning Team],Standings!A13)</f>
        <v>11</v>
      </c>
      <c r="D13">
        <f>COUNTIFS('NHL2025-26Results'!$H:$H,A13,'NHL2025-26Results'!$F:$F,"")</f>
        <v>9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23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3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3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0.66666666666666663</v>
      </c>
      <c r="N13" s="11">
        <f>Table1[[#This Row],[AwayWins]]/SUM(Table1[[#This Row],[AwayWins]:[AwayOTL]])</f>
        <v>0.33333333333333331</v>
      </c>
      <c r="O13" s="14">
        <f>SUMIFS('NHL2025-26Results'!$E:$E,'NHL2025-26Results'!$D:$D,A13,'NHL2025-26Results'!$E:$E,"&gt;0")/COUNTIFS('NHL2025-26Results'!$D:$D,A13,'NHL2025-26Results'!$E:$E,"&gt;0")</f>
        <v>3.5</v>
      </c>
      <c r="P13" s="14">
        <f>SUMIFS('NHL2025-26Results'!$C:$C,'NHL2025-26Results'!$B:$B,A13,'NHL2025-26Results'!$C:$C,"&gt;0")/COUNTIFS('NHL2025-26Results'!$B:$B,A13,'NHL2025-26Results'!$C:$C,"&gt;0")</f>
        <v>2.5</v>
      </c>
      <c r="Q13" s="14">
        <f>SUMIFS('NHL2025-26Results'!$C:$C,'NHL2025-26Results'!$D:$D,A13,'NHL2025-26Results'!$C:$C,"&gt;0")/COUNTIFS('NHL2025-26Results'!$D:$D,A13,'NHL2025-26Results'!$C:$C,"&gt;0")</f>
        <v>3.3</v>
      </c>
      <c r="R13" s="14">
        <f>SUMIFS('NHL2025-26Results'!$E:$E,'NHL2025-26Results'!$B:$B,A13,'NHL2025-26Results'!$E:$E,"&gt;0")/COUNTIFS('NHL2025-26Results'!$B:$B,A13,'NHL2025-26Results'!$E:$E,"&gt;0")</f>
        <v>3.5555555555555554</v>
      </c>
    </row>
    <row r="14" spans="1:18" x14ac:dyDescent="0.2">
      <c r="A14" s="4" t="s">
        <v>13</v>
      </c>
      <c r="B14">
        <f>SUM(Table1[[#This Row],[W]:[OTL]])</f>
        <v>22</v>
      </c>
      <c r="C14">
        <f>COUNTIF(NHL2025_26Results[Winning Team],Standings!A14)</f>
        <v>10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6</v>
      </c>
      <c r="F14" s="3">
        <f>(Table1[[#This Row],[W]]*2)+Table1[[#This Row],[OTL]]</f>
        <v>26</v>
      </c>
      <c r="G14">
        <f>COUNTIFS('NHL2025-26Results'!$D:$D,A14,'NHL2025-26Results'!$G:$G,A14)</f>
        <v>1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3</v>
      </c>
      <c r="M14" s="11">
        <f>Table1[[#This Row],[HomeWins]]/SUM(Table1[[#This Row],[HomeWins]:[HomeOTL]])</f>
        <v>0.125</v>
      </c>
      <c r="N14" s="11">
        <f>Table1[[#This Row],[AwayWins]]/SUM(Table1[[#This Row],[AwayWins]:[AwayOTL]])</f>
        <v>0.6428571428571429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3.1428571428571428</v>
      </c>
      <c r="Q14" s="14">
        <f>SUMIFS('NHL2025-26Results'!$C:$C,'NHL2025-26Results'!$D:$D,A14,'NHL2025-26Results'!$C:$C,"&gt;0")/COUNTIFS('NHL2025-26Results'!$D:$D,A14,'NHL2025-26Results'!$C:$C,"&gt;0")</f>
        <v>3.8571428571428572</v>
      </c>
      <c r="R14" s="14">
        <f>SUMIFS('NHL2025-26Results'!$E:$E,'NHL2025-26Results'!$B:$B,A14,'NHL2025-26Results'!$E:$E,"&gt;0")/COUNTIFS('NHL2025-26Results'!$B:$B,A14,'NHL2025-26Results'!$E:$E,"&gt;0")</f>
        <v>2.7692307692307692</v>
      </c>
    </row>
    <row r="15" spans="1:18" x14ac:dyDescent="0.2">
      <c r="A15" s="4" t="s">
        <v>34</v>
      </c>
      <c r="B15">
        <f>SUM(Table1[[#This Row],[W]:[OTL]])</f>
        <v>23</v>
      </c>
      <c r="C15">
        <f>COUNTIF(NHL2025_26Results[Winning Team],Standings!A15)</f>
        <v>12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28</v>
      </c>
      <c r="G15">
        <f>COUNTIFS('NHL2025-26Results'!$D:$D,A15,'NHL2025-26Results'!$G:$G,A15)</f>
        <v>7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5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0.5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2.9</v>
      </c>
      <c r="Q15" s="14">
        <f>SUMIFS('NHL2025-26Results'!$C:$C,'NHL2025-26Results'!$D:$D,A15,'NHL2025-26Results'!$C:$C,"&gt;0")/COUNTIFS('NHL2025-26Results'!$D:$D,A15,'NHL2025-26Results'!$C:$C,"&gt;0")</f>
        <v>3.7272727272727271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21</v>
      </c>
      <c r="C16">
        <f>COUNTIF(NHL2025_26Results[Winning Team],Standings!A16)</f>
        <v>11</v>
      </c>
      <c r="D16">
        <f>COUNTIFS('NHL2025-26Results'!$H:$H,A16,'NHL2025-26Results'!$F:$F,"")</f>
        <v>7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25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3.4444444444444446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3.2222222222222223</v>
      </c>
    </row>
    <row r="17" spans="1:18" x14ac:dyDescent="0.2">
      <c r="A17" s="4" t="s">
        <v>29</v>
      </c>
      <c r="B17">
        <f>SUM(Table1[[#This Row],[W]:[OTL]])</f>
        <v>21</v>
      </c>
      <c r="C17">
        <f>COUNTIF(NHL2025_26Results[Winning Team],Standings!A17)</f>
        <v>6</v>
      </c>
      <c r="D17">
        <f>COUNTIFS('NHL2025-26Results'!$H:$H,A17,'NHL2025-26Results'!$F:$F,"")</f>
        <v>11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6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0.38461538461538464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2.6666666666666665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3.1538461538461537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21</v>
      </c>
      <c r="C18">
        <f>COUNTIF(NHL2025_26Results[Winning Team],Standings!A18)</f>
        <v>13</v>
      </c>
      <c r="D18">
        <f>COUNTIFS('NHL2025-26Results'!$H:$H,A18,'NHL2025-26Results'!$F:$F,"")</f>
        <v>7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27</v>
      </c>
      <c r="G18">
        <f>COUNTIFS('NHL2025-26Results'!$D:$D,A18,'NHL2025-26Results'!$G:$G,A18)</f>
        <v>7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0.875</v>
      </c>
      <c r="N18" s="11">
        <f>Table1[[#This Row],[AwayWins]]/SUM(Table1[[#This Row],[AwayWins]:[AwayOTL]])</f>
        <v>0.46153846153846156</v>
      </c>
      <c r="O18" s="14">
        <f>SUMIFS('NHL2025-26Results'!$E:$E,'NHL2025-26Results'!$D:$D,A18,'NHL2025-26Results'!$E:$E,"&gt;0")/COUNTIFS('NHL2025-26Results'!$D:$D,A18,'NHL2025-26Results'!$E:$E,"&gt;0")</f>
        <v>3.375</v>
      </c>
      <c r="P18" s="14">
        <f>SUMIFS('NHL2025-26Results'!$C:$C,'NHL2025-26Results'!$B:$B,A18,'NHL2025-26Results'!$C:$C,"&gt;0")/COUNTIFS('NHL2025-26Results'!$B:$B,A18,'NHL2025-26Results'!$C:$C,"&gt;0")</f>
        <v>3.1666666666666665</v>
      </c>
      <c r="Q18" s="14">
        <f>SUMIFS('NHL2025-26Results'!$C:$C,'NHL2025-26Results'!$D:$D,A18,'NHL2025-26Results'!$C:$C,"&gt;0")/COUNTIFS('NHL2025-26Results'!$D:$D,A18,'NHL2025-26Results'!$C:$C,"&gt;0")</f>
        <v>2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23</v>
      </c>
      <c r="C19">
        <f>COUNTIF(NHL2025_26Results[Winning Team],Standings!A19)</f>
        <v>13</v>
      </c>
      <c r="D19">
        <f>COUNTIFS('NHL2025-26Results'!$H:$H,A19,'NHL2025-26Results'!$F:$F,"")</f>
        <v>8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28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4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2.9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3.2222222222222223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23</v>
      </c>
      <c r="C20">
        <f>COUNTIF(NHL2025_26Results[Winning Team],Standings!A20)</f>
        <v>10</v>
      </c>
      <c r="D20">
        <f>COUNTIFS('NHL2025-26Results'!$H:$H,A20,'NHL2025-26Results'!$F:$F,"")</f>
        <v>11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22</v>
      </c>
      <c r="G20">
        <f>COUNTIFS('NHL2025-26Results'!$D:$D,A20,'NHL2025-26Results'!$G:$G,A20)</f>
        <v>1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0.1111111111111111</v>
      </c>
      <c r="N20" s="11">
        <f>Table1[[#This Row],[AwayWins]]/SUM(Table1[[#This Row],[AwayWins]:[AwayOTL]])</f>
        <v>0.6428571428571429</v>
      </c>
      <c r="O20" s="14">
        <f>SUMIFS('NHL2025-26Results'!$E:$E,'NHL2025-26Results'!$D:$D,A20,'NHL2025-26Results'!$E:$E,"&gt;0")/COUNTIFS('NHL2025-26Results'!$D:$D,A20,'NHL2025-26Results'!$E:$E,"&gt;0")</f>
        <v>3.25</v>
      </c>
      <c r="P20" s="14">
        <f>SUMIFS('NHL2025-26Results'!$C:$C,'NHL2025-26Results'!$B:$B,A20,'NHL2025-26Results'!$C:$C,"&gt;0")/COUNTIFS('NHL2025-26Results'!$B:$B,A20,'NHL2025-26Results'!$C:$C,"&gt;0")</f>
        <v>3.2142857142857144</v>
      </c>
      <c r="Q20" s="14">
        <f>SUMIFS('NHL2025-26Results'!$C:$C,'NHL2025-26Results'!$D:$D,A20,'NHL2025-26Results'!$C:$C,"&gt;0")/COUNTIFS('NHL2025-26Results'!$D:$D,A20,'NHL2025-26Results'!$C:$C,"&gt;0")</f>
        <v>3.1111111111111112</v>
      </c>
      <c r="R20" s="14">
        <f>SUMIFS('NHL2025-26Results'!$E:$E,'NHL2025-26Results'!$B:$B,A20,'NHL2025-26Results'!$E:$E,"&gt;0")/COUNTIFS('NHL2025-26Results'!$B:$B,A20,'NHL2025-26Results'!$E:$E,"&gt;0")</f>
        <v>2.75</v>
      </c>
    </row>
    <row r="21" spans="1:18" x14ac:dyDescent="0.2">
      <c r="A21" s="4" t="s">
        <v>36</v>
      </c>
      <c r="B21">
        <f>SUM(Table1[[#This Row],[W]:[OTL]])</f>
        <v>21</v>
      </c>
      <c r="C21">
        <f>COUNTIF(NHL2025_26Results[Winning Team],Standings!A21)</f>
        <v>11</v>
      </c>
      <c r="D21">
        <f>COUNTIFS('NHL2025-26Results'!$H:$H,A21,'NHL2025-26Results'!$F:$F,"")</f>
        <v>6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26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5</v>
      </c>
      <c r="K21">
        <f>COUNTIFS('NHL2025-26Results'!$B:$B,A21,'NHL2025-26Results'!$H:$H,A21,'NHL2025-26Results'!$F:$F,"")</f>
        <v>3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3.9</v>
      </c>
    </row>
    <row r="22" spans="1:18" x14ac:dyDescent="0.2">
      <c r="A22" s="4" t="s">
        <v>27</v>
      </c>
      <c r="B22">
        <f>SUM(Table1[[#This Row],[W]:[OTL]])</f>
        <v>20</v>
      </c>
      <c r="C22">
        <f>COUNTIF(NHL2025_26Results[Winning Team],Standings!A22)</f>
        <v>11</v>
      </c>
      <c r="D22">
        <f>COUNTIFS('NHL2025-26Results'!$H:$H,A22,'NHL2025-26Results'!$F:$F,"")</f>
        <v>6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25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3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0.42857142857142855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3.2857142857142856</v>
      </c>
    </row>
    <row r="23" spans="1:18" x14ac:dyDescent="0.2">
      <c r="A23" s="4" t="s">
        <v>14</v>
      </c>
      <c r="B23">
        <f>SUM(Table1[[#This Row],[W]:[OTL]])</f>
        <v>21</v>
      </c>
      <c r="C23">
        <f>COUNTIF(NHL2025_26Results[Winning Team],Standings!A23)</f>
        <v>10</v>
      </c>
      <c r="D23">
        <f>COUNTIFS('NHL2025-26Results'!$H:$H,A23,'NHL2025-26Results'!$F:$F,"")</f>
        <v>6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25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3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3.6666666666666665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3.5555555555555554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23</v>
      </c>
      <c r="C24">
        <f>COUNTIF(NHL2025_26Results[Winning Team],Standings!A24)</f>
        <v>11</v>
      </c>
      <c r="D24">
        <f>COUNTIFS('NHL2025-26Results'!$H:$H,A24,'NHL2025-26Results'!$F:$F,"")</f>
        <v>9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25</v>
      </c>
      <c r="G24">
        <f>COUNTIFS('NHL2025-26Results'!$D:$D,A24,'NHL2025-26Results'!$G:$G,A24)</f>
        <v>7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3.0769230769230771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2.9285714285714284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22</v>
      </c>
      <c r="C25">
        <f>COUNTIF(NHL2025_26Results[Winning Team],Standings!A25)</f>
        <v>11</v>
      </c>
      <c r="D25">
        <f>COUNTIFS('NHL2025-26Results'!$H:$H,A25,'NHL2025-26Results'!$F:$F,"")</f>
        <v>5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22</v>
      </c>
      <c r="C26">
        <f>COUNTIF(NHL2025_26Results[Winning Team],Standings!A26)</f>
        <v>7</v>
      </c>
      <c r="D26">
        <f>COUNTIFS('NHL2025-26Results'!$H:$H,A26,'NHL2025-26Results'!$F:$F,"")</f>
        <v>9</v>
      </c>
      <c r="E26">
        <f>COUNTIFS('NHL2025-26Results'!$F:$F,"OT",'NHL2025-26Results'!$H:$H,A26) + COUNTIFS('NHL2025-26Results'!$F:$F,"SO",'NHL2025-26Results'!$H:$H,A26)</f>
        <v>6</v>
      </c>
      <c r="F26" s="3">
        <f>(Table1[[#This Row],[W]]*2)+Table1[[#This Row],[OTL]]</f>
        <v>20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4</v>
      </c>
      <c r="L26">
        <f>COUNTIFS('NHL2025-26Results'!$B:$B,A26,'NHL2025-26Results'!$H:$H,A26,'NHL2025-26Results'!$F:$F,"OT") + COUNTIFS('NHL2025-26Results'!$B:$B,A26,'NHL2025-26Results'!$H:$H,A26,'NHL2025-26Results'!$F:$F,"SO")</f>
        <v>2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0.4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2.8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3.5555555555555554</v>
      </c>
    </row>
    <row r="27" spans="1:18" x14ac:dyDescent="0.2">
      <c r="A27" s="4" t="s">
        <v>37</v>
      </c>
      <c r="B27">
        <f>SUM(Table1[[#This Row],[W]:[OTL]])</f>
        <v>21</v>
      </c>
      <c r="C27">
        <f>COUNTIF(NHL2025_26Results[Winning Team],Standings!A27)</f>
        <v>12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26</v>
      </c>
      <c r="G27">
        <f>COUNTIFS('NHL2025-26Results'!$D:$D,A27,'NHL2025-26Results'!$G:$G,A27)</f>
        <v>6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6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0.54545454545454541</v>
      </c>
      <c r="N27" s="11">
        <f>Table1[[#This Row],[AwayWins]]/SUM(Table1[[#This Row],[AwayWins]:[AwayOTL]])</f>
        <v>0.6</v>
      </c>
      <c r="O27" s="14">
        <f>SUMIFS('NHL2025-26Results'!$E:$E,'NHL2025-26Results'!$D:$D,A27,'NHL2025-26Results'!$E:$E,"&gt;0")/COUNTIFS('NHL2025-26Results'!$D:$D,A27,'NHL2025-26Results'!$E:$E,"&gt;0")</f>
        <v>2.9090909090909092</v>
      </c>
      <c r="P27" s="14">
        <f>SUMIFS('NHL2025-26Results'!$C:$C,'NHL2025-26Results'!$B:$B,A27,'NHL2025-26Results'!$C:$C,"&gt;0")/COUNTIFS('NHL2025-26Results'!$B:$B,A27,'NHL2025-26Results'!$C:$C,"&gt;0")</f>
        <v>3.4</v>
      </c>
      <c r="Q27" s="14">
        <f>SUMIFS('NHL2025-26Results'!$C:$C,'NHL2025-26Results'!$D:$D,A27,'NHL2025-26Results'!$C:$C,"&gt;0")/COUNTIFS('NHL2025-26Results'!$D:$D,A27,'NHL2025-26Results'!$C:$C,"&gt;0")</f>
        <v>3.1818181818181817</v>
      </c>
      <c r="R27" s="14">
        <f>SUMIFS('NHL2025-26Results'!$E:$E,'NHL2025-26Results'!$B:$B,A27,'NHL2025-26Results'!$E:$E,"&gt;0")/COUNTIFS('NHL2025-26Results'!$B:$B,A27,'NHL2025-26Results'!$E:$E,"&gt;0")</f>
        <v>2.5</v>
      </c>
    </row>
    <row r="28" spans="1:18" x14ac:dyDescent="0.2">
      <c r="A28" s="4" t="s">
        <v>19</v>
      </c>
      <c r="B28">
        <f>SUM(Table1[[#This Row],[W]:[OTL]])</f>
        <v>22</v>
      </c>
      <c r="C28">
        <f>COUNTIF(NHL2025_26Results[Winning Team],Standings!A28)</f>
        <v>9</v>
      </c>
      <c r="D28">
        <f>COUNTIFS('NHL2025-26Results'!$H:$H,A28,'NHL2025-26Results'!$F:$F,"")</f>
        <v>10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21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6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0.14285714285714285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4.5714285714285712</v>
      </c>
    </row>
    <row r="29" spans="1:18" x14ac:dyDescent="0.2">
      <c r="A29" t="s">
        <v>55</v>
      </c>
      <c r="B29">
        <f>SUM(Table1[[#This Row],[W]:[OTL]])</f>
        <v>22</v>
      </c>
      <c r="C29">
        <f>COUNTIF(NHL2025_26Results[Winning Team],Standings!A29)</f>
        <v>11</v>
      </c>
      <c r="D29">
        <f>COUNTIFS('NHL2025-26Results'!$H:$H,A29,'NHL2025-26Results'!$F:$F,"")</f>
        <v>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25</v>
      </c>
      <c r="G29">
        <f>COUNTIFS('NHL2025-26Results'!$D:$D,A29,'NHL2025-26Results'!$G:$G,A29)</f>
        <v>6</v>
      </c>
      <c r="H29">
        <f>COUNTIFS('NHL2025-26Results'!$D:$D,A29,'NHL2025-26Results'!$H:$H,A29,'NHL2025-26Results'!$F:$F,"")</f>
        <v>2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0.66666666666666663</v>
      </c>
      <c r="N29" s="11">
        <f>Table1[[#This Row],[AwayWins]]/SUM(Table1[[#This Row],[AwayWins]:[AwayOTL]])</f>
        <v>0.38461538461538464</v>
      </c>
      <c r="O29" s="14">
        <f>SUMIFS('NHL2025-26Results'!$E:$E,'NHL2025-26Results'!$D:$D,A29,'NHL2025-26Results'!$E:$E,"&gt;0")/COUNTIFS('NHL2025-26Results'!$D:$D,A29,'NHL2025-26Results'!$E:$E,"&gt;0")</f>
        <v>3.2222222222222223</v>
      </c>
      <c r="P29" s="14">
        <f>SUMIFS('NHL2025-26Results'!$C:$C,'NHL2025-26Results'!$B:$B,A29,'NHL2025-26Results'!$C:$C,"&gt;0")/COUNTIFS('NHL2025-26Results'!$B:$B,A29,'NHL2025-26Results'!$C:$C,"&gt;0")</f>
        <v>2.8461538461538463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3.3076923076923075</v>
      </c>
    </row>
    <row r="30" spans="1:18" x14ac:dyDescent="0.2">
      <c r="A30" s="4" t="s">
        <v>38</v>
      </c>
      <c r="B30">
        <f>SUM(Table1[[#This Row],[W]:[OTL]])</f>
        <v>23</v>
      </c>
      <c r="C30">
        <f>COUNTIF(NHL2025_26Results[Winning Team],Standings!A30)</f>
        <v>9</v>
      </c>
      <c r="D30">
        <f>COUNTIFS('NHL2025-26Results'!$H:$H,A30,'NHL2025-26Results'!$F:$F,"")</f>
        <v>12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3.3333333333333335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3.6666666666666665</v>
      </c>
    </row>
    <row r="31" spans="1:18" x14ac:dyDescent="0.2">
      <c r="A31" s="4" t="s">
        <v>20</v>
      </c>
      <c r="B31">
        <f>SUM(Table1[[#This Row],[W]:[OTL]])</f>
        <v>21</v>
      </c>
      <c r="C31">
        <f>COUNTIF(NHL2025_26Results[Winning Team],Standings!A31)</f>
        <v>10</v>
      </c>
      <c r="D31">
        <f>COUNTIFS('NHL2025-26Results'!$H:$H,A31,'NHL2025-26Results'!$F:$F,"")</f>
        <v>4</v>
      </c>
      <c r="E31">
        <f>COUNTIFS('NHL2025-26Results'!$F:$F,"OT",'NHL2025-26Results'!$H:$H,A31) + COUNTIFS('NHL2025-26Results'!$F:$F,"SO",'NHL2025-26Results'!$H:$H,A31)</f>
        <v>7</v>
      </c>
      <c r="F31" s="3">
        <f>(Table1[[#This Row],[W]]*2)+Table1[[#This Row],[OTL]]</f>
        <v>27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1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3.2222222222222223</v>
      </c>
      <c r="Q31" s="14">
        <f>SUMIFS('NHL2025-26Results'!$C:$C,'NHL2025-26Results'!$D:$D,A31,'NHL2025-26Results'!$C:$C,"&gt;0")/COUNTIFS('NHL2025-26Results'!$D:$D,A31,'NHL2025-26Results'!$C:$C,"&gt;0")</f>
        <v>3.6</v>
      </c>
      <c r="R31" s="14">
        <f>SUMIFS('NHL2025-26Results'!$E:$E,'NHL2025-26Results'!$B:$B,A31,'NHL2025-26Results'!$E:$E,"&gt;0")/COUNTIFS('NHL2025-26Results'!$B:$B,A31,'NHL2025-26Results'!$E:$E,"&gt;0")</f>
        <v>2.4</v>
      </c>
    </row>
    <row r="32" spans="1:18" x14ac:dyDescent="0.2">
      <c r="A32" s="4" t="s">
        <v>22</v>
      </c>
      <c r="B32">
        <f>SUM(Table1[[#This Row],[W]:[OTL]])</f>
        <v>22</v>
      </c>
      <c r="C32">
        <f>COUNTIF(NHL2025_26Results[Winning Team],Standings!A32)</f>
        <v>11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24</v>
      </c>
      <c r="G32">
        <f>COUNTIFS('NHL2025-26Results'!$D:$D,A32,'NHL2025-26Results'!$G:$G,A32)</f>
        <v>6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5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3.1666666666666665</v>
      </c>
      <c r="P32" s="14">
        <f>SUMIFS('NHL2025-26Results'!$C:$C,'NHL2025-26Results'!$B:$B,A32,'NHL2025-26Results'!$C:$C,"&gt;0")/COUNTIFS('NHL2025-26Results'!$B:$B,A32,'NHL2025-26Results'!$C:$C,"&gt;0")</f>
        <v>3.6666666666666665</v>
      </c>
      <c r="Q32" s="14">
        <f>SUMIFS('NHL2025-26Results'!$C:$C,'NHL2025-26Results'!$D:$D,A32,'NHL2025-26Results'!$C:$C,"&gt;0")/COUNTIFS('NHL2025-26Results'!$D:$D,A32,'NHL2025-26Results'!$C:$C,"&gt;0")</f>
        <v>2.9166666666666665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21</v>
      </c>
      <c r="C33">
        <f>COUNTIF(NHL2025_26Results[Winning Team],Standings!A33)</f>
        <v>12</v>
      </c>
      <c r="D33">
        <f>COUNTIFS('NHL2025-26Results'!$H:$H,A33,'NHL2025-26Results'!$F:$F,"")</f>
        <v>9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60"/>
  <sheetViews>
    <sheetView tabSelected="1" topLeftCell="G1" zoomScale="59" workbookViewId="0">
      <selection activeCell="J33" sqref="J33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7" width="18" bestFit="1" customWidth="1"/>
    <col min="8" max="8" width="19.1640625" bestFit="1" customWidth="1"/>
    <col min="9" max="9" width="21.33203125" style="11" bestFit="1" customWidth="1"/>
    <col min="10" max="10" width="10.33203125" bestFit="1" customWidth="1"/>
    <col min="11" max="11" width="15.1640625" bestFit="1" customWidth="1"/>
    <col min="12" max="12" width="14.33203125" bestFit="1" customWidth="1"/>
    <col min="13" max="13" width="50.1640625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1" t="s">
        <v>263</v>
      </c>
      <c r="J1" t="s">
        <v>277</v>
      </c>
      <c r="K1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19" t="s">
        <v>216</v>
      </c>
      <c r="B2" s="19" t="s">
        <v>289</v>
      </c>
      <c r="C2" s="19" t="s">
        <v>55</v>
      </c>
      <c r="D2" s="19" t="s">
        <v>31</v>
      </c>
      <c r="E2" s="19" t="s">
        <v>290</v>
      </c>
      <c r="F2" s="19" t="s">
        <v>31</v>
      </c>
      <c r="G2" s="19" t="s">
        <v>291</v>
      </c>
      <c r="H2" s="19" t="s">
        <v>292</v>
      </c>
      <c r="I2" s="11" t="s">
        <v>293</v>
      </c>
      <c r="J2" s="19" t="s">
        <v>249</v>
      </c>
      <c r="K2" s="19" t="s">
        <v>294</v>
      </c>
      <c r="L2" s="19" t="s">
        <v>248</v>
      </c>
      <c r="M2" s="19" t="s">
        <v>295</v>
      </c>
      <c r="N2" s="19" t="s">
        <v>31</v>
      </c>
      <c r="O2" s="19" t="s">
        <v>296</v>
      </c>
      <c r="P2" s="19" t="s">
        <v>291</v>
      </c>
      <c r="Q2">
        <v>0.75549999999999995</v>
      </c>
      <c r="R2" s="19" t="s">
        <v>249</v>
      </c>
      <c r="S2" s="19" t="s">
        <v>297</v>
      </c>
      <c r="T2" s="19" t="s">
        <v>248</v>
      </c>
      <c r="U2" s="19" t="s">
        <v>31</v>
      </c>
      <c r="V2" s="19" t="s">
        <v>60</v>
      </c>
      <c r="W2" s="19" t="s">
        <v>60</v>
      </c>
      <c r="X2" s="19" t="s">
        <v>60</v>
      </c>
      <c r="Y2" s="19" t="s">
        <v>298</v>
      </c>
      <c r="Z2" s="19" t="s">
        <v>60</v>
      </c>
      <c r="AA2" s="19" t="s">
        <v>60</v>
      </c>
    </row>
    <row r="3" spans="1:27" x14ac:dyDescent="0.2">
      <c r="A3" s="19" t="s">
        <v>216</v>
      </c>
      <c r="B3" s="19" t="s">
        <v>299</v>
      </c>
      <c r="C3" s="19" t="s">
        <v>25</v>
      </c>
      <c r="D3" s="19" t="s">
        <v>21</v>
      </c>
      <c r="E3" s="19" t="s">
        <v>300</v>
      </c>
      <c r="F3" s="19" t="s">
        <v>21</v>
      </c>
      <c r="G3" s="19" t="s">
        <v>301</v>
      </c>
      <c r="H3" s="19" t="s">
        <v>291</v>
      </c>
      <c r="I3" s="11" t="s">
        <v>302</v>
      </c>
      <c r="J3" s="19" t="s">
        <v>249</v>
      </c>
      <c r="K3" s="19" t="s">
        <v>294</v>
      </c>
      <c r="L3" s="19" t="s">
        <v>249</v>
      </c>
      <c r="M3" s="19" t="s">
        <v>303</v>
      </c>
      <c r="N3" s="19" t="s">
        <v>25</v>
      </c>
      <c r="O3" s="19" t="s">
        <v>296</v>
      </c>
      <c r="P3" s="19" t="s">
        <v>301</v>
      </c>
      <c r="Q3">
        <v>0.54330000000000001</v>
      </c>
      <c r="R3" s="19" t="s">
        <v>249</v>
      </c>
      <c r="S3" s="19" t="s">
        <v>304</v>
      </c>
      <c r="T3" s="19" t="s">
        <v>248</v>
      </c>
      <c r="U3" s="19" t="s">
        <v>25</v>
      </c>
      <c r="V3" s="19" t="s">
        <v>60</v>
      </c>
      <c r="W3" s="19" t="s">
        <v>60</v>
      </c>
      <c r="X3" s="19" t="s">
        <v>60</v>
      </c>
      <c r="Y3" s="19" t="s">
        <v>298</v>
      </c>
      <c r="Z3" s="19" t="s">
        <v>60</v>
      </c>
      <c r="AA3" s="19" t="s">
        <v>60</v>
      </c>
    </row>
    <row r="4" spans="1:27" x14ac:dyDescent="0.2">
      <c r="A4" s="19" t="s">
        <v>216</v>
      </c>
      <c r="B4" s="19" t="s">
        <v>299</v>
      </c>
      <c r="C4" s="19" t="s">
        <v>17</v>
      </c>
      <c r="D4" s="19" t="s">
        <v>23</v>
      </c>
      <c r="E4" s="19" t="s">
        <v>305</v>
      </c>
      <c r="F4" s="19" t="s">
        <v>23</v>
      </c>
      <c r="G4" s="19" t="s">
        <v>301</v>
      </c>
      <c r="H4" s="19" t="s">
        <v>291</v>
      </c>
      <c r="I4" s="11" t="s">
        <v>306</v>
      </c>
      <c r="J4" s="19" t="s">
        <v>249</v>
      </c>
      <c r="K4" s="19" t="s">
        <v>294</v>
      </c>
      <c r="L4" s="19" t="s">
        <v>248</v>
      </c>
      <c r="M4" s="19" t="s">
        <v>307</v>
      </c>
      <c r="N4" s="19" t="s">
        <v>17</v>
      </c>
      <c r="O4" s="19" t="s">
        <v>296</v>
      </c>
      <c r="P4" s="19" t="s">
        <v>301</v>
      </c>
      <c r="Q4">
        <v>0.47189999999999999</v>
      </c>
      <c r="R4" s="19" t="s">
        <v>248</v>
      </c>
      <c r="S4" s="19" t="s">
        <v>308</v>
      </c>
      <c r="T4" s="19" t="s">
        <v>249</v>
      </c>
      <c r="U4" s="19" t="s">
        <v>23</v>
      </c>
      <c r="V4" s="19" t="s">
        <v>60</v>
      </c>
      <c r="W4" s="19" t="s">
        <v>60</v>
      </c>
      <c r="X4" s="19" t="s">
        <v>60</v>
      </c>
      <c r="Y4" s="19" t="s">
        <v>298</v>
      </c>
      <c r="Z4" s="19" t="s">
        <v>60</v>
      </c>
      <c r="AA4" s="19" t="s">
        <v>60</v>
      </c>
    </row>
    <row r="5" spans="1:27" x14ac:dyDescent="0.2">
      <c r="A5" s="19" t="s">
        <v>216</v>
      </c>
      <c r="B5" s="19" t="s">
        <v>309</v>
      </c>
      <c r="C5" s="19" t="s">
        <v>18</v>
      </c>
      <c r="D5" s="19" t="s">
        <v>28</v>
      </c>
      <c r="E5" s="19" t="s">
        <v>310</v>
      </c>
      <c r="F5" s="19" t="s">
        <v>18</v>
      </c>
      <c r="G5" s="19" t="s">
        <v>291</v>
      </c>
      <c r="H5" s="19" t="s">
        <v>301</v>
      </c>
      <c r="I5" s="11" t="s">
        <v>311</v>
      </c>
      <c r="J5" s="19" t="s">
        <v>249</v>
      </c>
      <c r="K5" s="19" t="s">
        <v>294</v>
      </c>
      <c r="L5" s="19" t="s">
        <v>249</v>
      </c>
      <c r="M5" s="19" t="s">
        <v>312</v>
      </c>
      <c r="N5" s="19" t="s">
        <v>28</v>
      </c>
      <c r="O5" s="19" t="s">
        <v>296</v>
      </c>
      <c r="P5" s="19" t="s">
        <v>301</v>
      </c>
      <c r="Q5">
        <v>0.50209999999999999</v>
      </c>
      <c r="R5" s="19" t="s">
        <v>248</v>
      </c>
      <c r="S5" s="19" t="s">
        <v>313</v>
      </c>
      <c r="T5" s="19" t="s">
        <v>248</v>
      </c>
      <c r="U5" s="19" t="s">
        <v>28</v>
      </c>
      <c r="V5" s="19" t="s">
        <v>60</v>
      </c>
      <c r="W5" s="19" t="s">
        <v>60</v>
      </c>
      <c r="X5" s="19" t="s">
        <v>60</v>
      </c>
      <c r="Y5" s="19" t="s">
        <v>298</v>
      </c>
      <c r="Z5" s="19" t="s">
        <v>60</v>
      </c>
      <c r="AA5" s="19" t="s">
        <v>60</v>
      </c>
    </row>
    <row r="6" spans="1:27" x14ac:dyDescent="0.2">
      <c r="A6" s="19" t="s">
        <v>216</v>
      </c>
      <c r="B6" s="19" t="s">
        <v>299</v>
      </c>
      <c r="C6" s="19" t="s">
        <v>38</v>
      </c>
      <c r="D6" s="19" t="s">
        <v>11</v>
      </c>
      <c r="E6" s="19" t="s">
        <v>314</v>
      </c>
      <c r="F6" s="19" t="s">
        <v>38</v>
      </c>
      <c r="G6" s="19" t="s">
        <v>292</v>
      </c>
      <c r="H6" s="19" t="s">
        <v>291</v>
      </c>
      <c r="I6" s="11" t="s">
        <v>315</v>
      </c>
      <c r="J6" s="19" t="s">
        <v>249</v>
      </c>
      <c r="K6" s="19" t="s">
        <v>294</v>
      </c>
      <c r="L6" s="19" t="s">
        <v>249</v>
      </c>
      <c r="M6" s="19" t="s">
        <v>316</v>
      </c>
      <c r="N6" s="19" t="s">
        <v>11</v>
      </c>
      <c r="O6" s="19" t="s">
        <v>296</v>
      </c>
      <c r="P6" s="19" t="s">
        <v>291</v>
      </c>
      <c r="Q6">
        <v>0.62919999999999998</v>
      </c>
      <c r="R6" s="19" t="s">
        <v>249</v>
      </c>
      <c r="S6" s="19" t="s">
        <v>317</v>
      </c>
      <c r="T6" s="19" t="s">
        <v>248</v>
      </c>
      <c r="U6" s="19" t="s">
        <v>11</v>
      </c>
      <c r="V6" s="19" t="s">
        <v>60</v>
      </c>
      <c r="W6" s="19" t="s">
        <v>60</v>
      </c>
      <c r="X6" s="19" t="s">
        <v>60</v>
      </c>
      <c r="Y6" s="19" t="s">
        <v>298</v>
      </c>
      <c r="Z6" s="19" t="s">
        <v>60</v>
      </c>
      <c r="AA6" s="19" t="s">
        <v>60</v>
      </c>
    </row>
    <row r="7" spans="1:27" x14ac:dyDescent="0.2">
      <c r="A7" s="19" t="s">
        <v>216</v>
      </c>
      <c r="B7" s="19" t="s">
        <v>299</v>
      </c>
      <c r="C7" s="19" t="s">
        <v>13</v>
      </c>
      <c r="D7" s="19" t="s">
        <v>22</v>
      </c>
      <c r="E7" s="19" t="s">
        <v>318</v>
      </c>
      <c r="F7" s="19" t="s">
        <v>13</v>
      </c>
      <c r="G7" s="19" t="s">
        <v>291</v>
      </c>
      <c r="H7" s="19" t="s">
        <v>319</v>
      </c>
      <c r="I7" s="11" t="s">
        <v>320</v>
      </c>
      <c r="J7" s="19" t="s">
        <v>249</v>
      </c>
      <c r="K7" s="19" t="s">
        <v>294</v>
      </c>
      <c r="L7" s="19" t="s">
        <v>249</v>
      </c>
      <c r="M7" s="19" t="s">
        <v>321</v>
      </c>
      <c r="N7" s="19" t="s">
        <v>22</v>
      </c>
      <c r="O7" s="19" t="s">
        <v>296</v>
      </c>
      <c r="P7" s="19" t="s">
        <v>301</v>
      </c>
      <c r="Q7">
        <v>0.44309999999999999</v>
      </c>
      <c r="R7" s="19" t="s">
        <v>248</v>
      </c>
      <c r="S7" s="19" t="s">
        <v>322</v>
      </c>
      <c r="T7" s="19" t="s">
        <v>248</v>
      </c>
      <c r="U7" s="19" t="s">
        <v>22</v>
      </c>
      <c r="V7" s="19" t="s">
        <v>60</v>
      </c>
      <c r="W7" s="19" t="s">
        <v>60</v>
      </c>
      <c r="X7" s="19" t="s">
        <v>60</v>
      </c>
      <c r="Y7" s="19" t="s">
        <v>298</v>
      </c>
      <c r="Z7" s="19" t="s">
        <v>60</v>
      </c>
      <c r="AA7" s="19" t="s">
        <v>60</v>
      </c>
    </row>
    <row r="8" spans="1:27" x14ac:dyDescent="0.2">
      <c r="A8" s="19" t="s">
        <v>217</v>
      </c>
      <c r="B8" s="19" t="s">
        <v>323</v>
      </c>
      <c r="C8" s="19" t="s">
        <v>16</v>
      </c>
      <c r="D8" s="19" t="s">
        <v>10</v>
      </c>
      <c r="E8" s="19" t="s">
        <v>324</v>
      </c>
      <c r="F8" s="19" t="s">
        <v>10</v>
      </c>
      <c r="G8" s="19" t="s">
        <v>291</v>
      </c>
      <c r="H8" s="19" t="s">
        <v>292</v>
      </c>
      <c r="I8" s="11" t="s">
        <v>325</v>
      </c>
      <c r="J8" s="19" t="s">
        <v>249</v>
      </c>
      <c r="K8" s="19" t="s">
        <v>294</v>
      </c>
      <c r="L8" s="19" t="s">
        <v>248</v>
      </c>
      <c r="M8" s="19" t="s">
        <v>326</v>
      </c>
      <c r="N8" s="19" t="s">
        <v>10</v>
      </c>
      <c r="O8" s="19" t="s">
        <v>296</v>
      </c>
      <c r="P8" s="19" t="s">
        <v>292</v>
      </c>
      <c r="Q8">
        <v>0.80840000000000001</v>
      </c>
      <c r="R8" s="19" t="s">
        <v>249</v>
      </c>
      <c r="S8" s="19" t="s">
        <v>327</v>
      </c>
      <c r="T8" s="19" t="s">
        <v>248</v>
      </c>
      <c r="U8" s="19" t="s">
        <v>10</v>
      </c>
      <c r="V8" s="19" t="s">
        <v>60</v>
      </c>
      <c r="W8" s="19" t="s">
        <v>60</v>
      </c>
      <c r="X8" s="19" t="s">
        <v>60</v>
      </c>
      <c r="Y8" s="19" t="s">
        <v>298</v>
      </c>
      <c r="Z8" s="19" t="s">
        <v>60</v>
      </c>
      <c r="AA8" s="19" t="s">
        <v>60</v>
      </c>
    </row>
    <row r="9" spans="1:27" x14ac:dyDescent="0.2">
      <c r="A9" s="19" t="s">
        <v>217</v>
      </c>
      <c r="B9" s="19" t="s">
        <v>328</v>
      </c>
      <c r="C9" s="19" t="s">
        <v>30</v>
      </c>
      <c r="D9" s="19" t="s">
        <v>39</v>
      </c>
      <c r="E9" s="19" t="s">
        <v>329</v>
      </c>
      <c r="F9" s="19" t="s">
        <v>39</v>
      </c>
      <c r="G9" s="19" t="s">
        <v>301</v>
      </c>
      <c r="H9" s="19" t="s">
        <v>291</v>
      </c>
      <c r="I9" s="11" t="s">
        <v>330</v>
      </c>
      <c r="J9" s="19" t="s">
        <v>249</v>
      </c>
      <c r="K9" s="19" t="s">
        <v>294</v>
      </c>
      <c r="L9" s="19" t="s">
        <v>249</v>
      </c>
      <c r="M9" s="19" t="s">
        <v>331</v>
      </c>
      <c r="N9" s="19" t="s">
        <v>39</v>
      </c>
      <c r="O9" s="19" t="s">
        <v>296</v>
      </c>
      <c r="P9" s="19" t="s">
        <v>301</v>
      </c>
      <c r="Q9">
        <v>0.58560000000000001</v>
      </c>
      <c r="R9" s="19" t="s">
        <v>249</v>
      </c>
      <c r="S9" s="19" t="s">
        <v>332</v>
      </c>
      <c r="T9" s="19" t="s">
        <v>249</v>
      </c>
      <c r="U9" s="19" t="s">
        <v>30</v>
      </c>
      <c r="V9" s="19" t="s">
        <v>60</v>
      </c>
      <c r="W9" s="19" t="s">
        <v>60</v>
      </c>
      <c r="X9" s="19" t="s">
        <v>60</v>
      </c>
      <c r="Y9" s="19" t="s">
        <v>298</v>
      </c>
      <c r="Z9" s="19" t="s">
        <v>60</v>
      </c>
      <c r="AA9" s="19" t="s">
        <v>60</v>
      </c>
    </row>
    <row r="10" spans="1:27" x14ac:dyDescent="0.2">
      <c r="A10" s="19" t="s">
        <v>217</v>
      </c>
      <c r="B10" s="19" t="s">
        <v>299</v>
      </c>
      <c r="C10" s="19" t="s">
        <v>32</v>
      </c>
      <c r="D10" s="19" t="s">
        <v>26</v>
      </c>
      <c r="E10" s="19" t="s">
        <v>333</v>
      </c>
      <c r="F10" s="19" t="s">
        <v>26</v>
      </c>
      <c r="G10" s="19" t="s">
        <v>301</v>
      </c>
      <c r="H10" s="19" t="s">
        <v>291</v>
      </c>
      <c r="I10" s="11" t="s">
        <v>334</v>
      </c>
      <c r="J10" s="19" t="s">
        <v>249</v>
      </c>
      <c r="K10" s="19" t="s">
        <v>294</v>
      </c>
      <c r="L10" s="19" t="s">
        <v>248</v>
      </c>
      <c r="M10" s="19" t="s">
        <v>335</v>
      </c>
      <c r="N10" s="19" t="s">
        <v>26</v>
      </c>
      <c r="O10" s="19" t="s">
        <v>296</v>
      </c>
      <c r="P10" s="19" t="s">
        <v>301</v>
      </c>
      <c r="Q10">
        <v>0.57440000000000002</v>
      </c>
      <c r="R10" s="19" t="s">
        <v>248</v>
      </c>
      <c r="S10" s="19" t="s">
        <v>336</v>
      </c>
      <c r="T10" s="19" t="s">
        <v>248</v>
      </c>
      <c r="U10" s="19" t="s">
        <v>26</v>
      </c>
      <c r="V10" s="19" t="s">
        <v>60</v>
      </c>
      <c r="W10" s="19" t="s">
        <v>60</v>
      </c>
      <c r="X10" s="19" t="s">
        <v>60</v>
      </c>
      <c r="Y10" s="19" t="s">
        <v>298</v>
      </c>
      <c r="Z10" s="19" t="s">
        <v>60</v>
      </c>
      <c r="AA10" s="19" t="s">
        <v>60</v>
      </c>
    </row>
    <row r="11" spans="1:27" x14ac:dyDescent="0.2">
      <c r="A11" s="19" t="s">
        <v>217</v>
      </c>
      <c r="B11" s="19" t="s">
        <v>289</v>
      </c>
      <c r="C11" s="19" t="s">
        <v>55</v>
      </c>
      <c r="D11" s="19" t="s">
        <v>33</v>
      </c>
      <c r="E11" s="19" t="s">
        <v>337</v>
      </c>
      <c r="F11" s="19" t="s">
        <v>33</v>
      </c>
      <c r="G11" s="19" t="s">
        <v>301</v>
      </c>
      <c r="H11" s="19" t="s">
        <v>291</v>
      </c>
      <c r="I11" s="11" t="s">
        <v>338</v>
      </c>
      <c r="J11" s="19" t="s">
        <v>249</v>
      </c>
      <c r="K11" s="19" t="s">
        <v>294</v>
      </c>
      <c r="L11" s="19" t="s">
        <v>248</v>
      </c>
      <c r="M11" s="19" t="s">
        <v>339</v>
      </c>
      <c r="N11" s="19" t="s">
        <v>55</v>
      </c>
      <c r="O11" s="19" t="s">
        <v>296</v>
      </c>
      <c r="P11" s="19" t="s">
        <v>301</v>
      </c>
      <c r="Q11">
        <v>0.47210000000000002</v>
      </c>
      <c r="R11" s="19" t="s">
        <v>248</v>
      </c>
      <c r="S11" s="19" t="s">
        <v>340</v>
      </c>
      <c r="T11" s="19" t="s">
        <v>249</v>
      </c>
      <c r="U11" s="19" t="s">
        <v>33</v>
      </c>
      <c r="V11" s="19" t="s">
        <v>60</v>
      </c>
      <c r="W11" s="19" t="s">
        <v>60</v>
      </c>
      <c r="X11" s="19" t="s">
        <v>60</v>
      </c>
      <c r="Y11" s="19" t="s">
        <v>298</v>
      </c>
      <c r="Z11" s="19" t="s">
        <v>60</v>
      </c>
      <c r="AA11" s="19" t="s">
        <v>60</v>
      </c>
    </row>
    <row r="12" spans="1:27" x14ac:dyDescent="0.2">
      <c r="A12" s="19" t="s">
        <v>217</v>
      </c>
      <c r="B12" s="19" t="s">
        <v>299</v>
      </c>
      <c r="C12" s="19" t="s">
        <v>24</v>
      </c>
      <c r="D12" s="19" t="s">
        <v>37</v>
      </c>
      <c r="E12" s="19" t="s">
        <v>341</v>
      </c>
      <c r="F12" s="19" t="s">
        <v>24</v>
      </c>
      <c r="G12" s="19" t="s">
        <v>291</v>
      </c>
      <c r="H12" s="19" t="s">
        <v>301</v>
      </c>
      <c r="I12" s="11" t="s">
        <v>342</v>
      </c>
      <c r="J12" s="19" t="s">
        <v>249</v>
      </c>
      <c r="K12" s="19" t="s">
        <v>294</v>
      </c>
      <c r="L12" s="19" t="s">
        <v>249</v>
      </c>
      <c r="M12" s="19" t="s">
        <v>343</v>
      </c>
      <c r="N12" s="19" t="s">
        <v>24</v>
      </c>
      <c r="O12" s="19" t="s">
        <v>296</v>
      </c>
      <c r="P12" s="19" t="s">
        <v>301</v>
      </c>
      <c r="Q12">
        <v>0.59699999999999998</v>
      </c>
      <c r="R12" s="19" t="s">
        <v>249</v>
      </c>
      <c r="S12" s="19" t="s">
        <v>344</v>
      </c>
      <c r="T12" s="19" t="s">
        <v>249</v>
      </c>
      <c r="U12" s="19" t="s">
        <v>37</v>
      </c>
      <c r="V12" s="19" t="s">
        <v>60</v>
      </c>
      <c r="W12" s="19" t="s">
        <v>60</v>
      </c>
      <c r="X12" s="19" t="s">
        <v>60</v>
      </c>
      <c r="Y12" s="19" t="s">
        <v>298</v>
      </c>
      <c r="Z12" s="19" t="s">
        <v>60</v>
      </c>
      <c r="AA12" s="19" t="s">
        <v>60</v>
      </c>
    </row>
    <row r="13" spans="1:27" x14ac:dyDescent="0.2">
      <c r="A13" s="19" t="s">
        <v>217</v>
      </c>
      <c r="B13" s="19" t="s">
        <v>299</v>
      </c>
      <c r="C13" s="19" t="s">
        <v>35</v>
      </c>
      <c r="D13" s="19" t="s">
        <v>19</v>
      </c>
      <c r="E13" s="19" t="s">
        <v>345</v>
      </c>
      <c r="F13" s="19" t="s">
        <v>19</v>
      </c>
      <c r="G13" s="19" t="s">
        <v>301</v>
      </c>
      <c r="H13" s="19" t="s">
        <v>291</v>
      </c>
      <c r="I13" s="11" t="s">
        <v>346</v>
      </c>
      <c r="J13" s="19" t="s">
        <v>249</v>
      </c>
      <c r="K13" s="19" t="s">
        <v>294</v>
      </c>
      <c r="L13" s="19" t="s">
        <v>248</v>
      </c>
      <c r="M13" s="19" t="s">
        <v>347</v>
      </c>
      <c r="N13" s="19" t="s">
        <v>19</v>
      </c>
      <c r="O13" s="19" t="s">
        <v>296</v>
      </c>
      <c r="P13" s="19" t="s">
        <v>291</v>
      </c>
      <c r="Q13">
        <v>0.7107</v>
      </c>
      <c r="R13" s="19" t="s">
        <v>249</v>
      </c>
      <c r="S13" s="19" t="s">
        <v>348</v>
      </c>
      <c r="T13" s="19" t="s">
        <v>248</v>
      </c>
      <c r="U13" s="19" t="s">
        <v>19</v>
      </c>
      <c r="V13" s="19" t="s">
        <v>60</v>
      </c>
      <c r="W13" s="19" t="s">
        <v>60</v>
      </c>
      <c r="X13" s="19" t="s">
        <v>60</v>
      </c>
      <c r="Y13" s="19" t="s">
        <v>298</v>
      </c>
      <c r="Z13" s="19" t="s">
        <v>60</v>
      </c>
      <c r="AA13" s="19" t="s">
        <v>60</v>
      </c>
    </row>
    <row r="14" spans="1:27" x14ac:dyDescent="0.2">
      <c r="A14" s="19" t="s">
        <v>217</v>
      </c>
      <c r="B14" s="19" t="s">
        <v>289</v>
      </c>
      <c r="C14" s="19" t="s">
        <v>15</v>
      </c>
      <c r="D14" s="19" t="s">
        <v>20</v>
      </c>
      <c r="E14" s="19" t="s">
        <v>349</v>
      </c>
      <c r="F14" s="19" t="s">
        <v>15</v>
      </c>
      <c r="G14" s="19" t="s">
        <v>292</v>
      </c>
      <c r="H14" s="19" t="s">
        <v>291</v>
      </c>
      <c r="I14" s="11" t="s">
        <v>350</v>
      </c>
      <c r="J14" s="19" t="s">
        <v>249</v>
      </c>
      <c r="K14" s="19" t="s">
        <v>294</v>
      </c>
      <c r="L14" s="19" t="s">
        <v>249</v>
      </c>
      <c r="M14" s="19" t="s">
        <v>351</v>
      </c>
      <c r="N14" s="19" t="s">
        <v>20</v>
      </c>
      <c r="O14" s="19" t="s">
        <v>296</v>
      </c>
      <c r="P14" s="19" t="s">
        <v>291</v>
      </c>
      <c r="Q14">
        <v>0.47089999999999999</v>
      </c>
      <c r="R14" s="19" t="s">
        <v>249</v>
      </c>
      <c r="S14" s="19" t="s">
        <v>352</v>
      </c>
      <c r="T14" s="19" t="s">
        <v>248</v>
      </c>
      <c r="U14" s="19" t="s">
        <v>20</v>
      </c>
      <c r="V14" s="19" t="s">
        <v>60</v>
      </c>
      <c r="W14" s="19" t="s">
        <v>60</v>
      </c>
      <c r="X14" s="19" t="s">
        <v>60</v>
      </c>
      <c r="Y14" s="19" t="s">
        <v>298</v>
      </c>
      <c r="Z14" s="19" t="s">
        <v>60</v>
      </c>
      <c r="AA14" s="19" t="s">
        <v>60</v>
      </c>
    </row>
    <row r="15" spans="1:27" x14ac:dyDescent="0.2">
      <c r="A15" s="19" t="s">
        <v>217</v>
      </c>
      <c r="B15" s="19" t="s">
        <v>328</v>
      </c>
      <c r="C15" s="19" t="s">
        <v>28</v>
      </c>
      <c r="D15" s="19" t="s">
        <v>40</v>
      </c>
      <c r="E15" s="19" t="s">
        <v>353</v>
      </c>
      <c r="F15" s="19" t="s">
        <v>40</v>
      </c>
      <c r="G15" s="19" t="s">
        <v>301</v>
      </c>
      <c r="H15" s="19" t="s">
        <v>291</v>
      </c>
      <c r="I15" s="11" t="s">
        <v>354</v>
      </c>
      <c r="J15" s="19" t="s">
        <v>249</v>
      </c>
      <c r="K15" s="19" t="s">
        <v>294</v>
      </c>
      <c r="L15" s="19" t="s">
        <v>248</v>
      </c>
      <c r="M15" s="19" t="s">
        <v>355</v>
      </c>
      <c r="N15" s="19" t="s">
        <v>40</v>
      </c>
      <c r="O15" s="19" t="s">
        <v>296</v>
      </c>
      <c r="P15" s="19" t="s">
        <v>291</v>
      </c>
      <c r="Q15">
        <v>0.64970000000000006</v>
      </c>
      <c r="R15" s="19" t="s">
        <v>249</v>
      </c>
      <c r="S15" s="19" t="s">
        <v>356</v>
      </c>
      <c r="T15" s="19" t="s">
        <v>248</v>
      </c>
      <c r="U15" s="19" t="s">
        <v>40</v>
      </c>
      <c r="V15" s="19" t="s">
        <v>60</v>
      </c>
      <c r="W15" s="19" t="s">
        <v>60</v>
      </c>
      <c r="X15" s="19" t="s">
        <v>60</v>
      </c>
      <c r="Y15" s="19" t="s">
        <v>298</v>
      </c>
      <c r="Z15" s="19" t="s">
        <v>60</v>
      </c>
      <c r="AA15" s="19" t="s">
        <v>60</v>
      </c>
    </row>
    <row r="16" spans="1:27" x14ac:dyDescent="0.2">
      <c r="A16" s="19" t="s">
        <v>218</v>
      </c>
      <c r="B16" s="19" t="s">
        <v>289</v>
      </c>
      <c r="C16" s="19" t="s">
        <v>21</v>
      </c>
      <c r="D16" s="19" t="s">
        <v>31</v>
      </c>
      <c r="E16" s="19" t="s">
        <v>357</v>
      </c>
      <c r="F16" s="19" t="s">
        <v>31</v>
      </c>
      <c r="G16" s="19" t="s">
        <v>291</v>
      </c>
      <c r="H16" s="19" t="s">
        <v>292</v>
      </c>
      <c r="I16" s="11" t="s">
        <v>358</v>
      </c>
      <c r="J16" s="19" t="s">
        <v>249</v>
      </c>
      <c r="K16" s="19" t="s">
        <v>294</v>
      </c>
      <c r="L16" s="19" t="s">
        <v>248</v>
      </c>
      <c r="M16" s="19" t="s">
        <v>295</v>
      </c>
      <c r="N16" s="19" t="s">
        <v>31</v>
      </c>
      <c r="O16" s="19" t="s">
        <v>296</v>
      </c>
      <c r="P16" s="19" t="s">
        <v>291</v>
      </c>
      <c r="Q16">
        <v>0.76080000000000003</v>
      </c>
      <c r="R16" s="19" t="s">
        <v>249</v>
      </c>
      <c r="S16" s="19" t="s">
        <v>359</v>
      </c>
      <c r="T16" s="19" t="s">
        <v>248</v>
      </c>
      <c r="U16" s="19" t="s">
        <v>31</v>
      </c>
      <c r="V16" s="19" t="s">
        <v>60</v>
      </c>
      <c r="W16" s="19" t="s">
        <v>60</v>
      </c>
      <c r="X16" s="19" t="s">
        <v>60</v>
      </c>
      <c r="Y16" s="19" t="s">
        <v>298</v>
      </c>
      <c r="Z16" s="19" t="s">
        <v>60</v>
      </c>
      <c r="AA16" s="19" t="s">
        <v>60</v>
      </c>
    </row>
    <row r="17" spans="1:27" x14ac:dyDescent="0.2">
      <c r="A17" s="19" t="s">
        <v>218</v>
      </c>
      <c r="B17" s="19" t="s">
        <v>309</v>
      </c>
      <c r="C17" s="19" t="s">
        <v>16</v>
      </c>
      <c r="D17" s="19" t="s">
        <v>23</v>
      </c>
      <c r="E17" s="19" t="s">
        <v>360</v>
      </c>
      <c r="F17" s="19" t="s">
        <v>23</v>
      </c>
      <c r="G17" s="19" t="s">
        <v>301</v>
      </c>
      <c r="H17" s="19" t="s">
        <v>291</v>
      </c>
      <c r="I17" s="11" t="s">
        <v>361</v>
      </c>
      <c r="J17" s="19" t="s">
        <v>249</v>
      </c>
      <c r="K17" s="19" t="s">
        <v>294</v>
      </c>
      <c r="L17" s="19" t="s">
        <v>249</v>
      </c>
      <c r="M17" s="19" t="s">
        <v>362</v>
      </c>
      <c r="N17" s="19" t="s">
        <v>23</v>
      </c>
      <c r="O17" s="19" t="s">
        <v>296</v>
      </c>
      <c r="P17" s="19" t="s">
        <v>291</v>
      </c>
      <c r="Q17">
        <v>0.68479999999999996</v>
      </c>
      <c r="R17" s="19" t="s">
        <v>249</v>
      </c>
      <c r="S17" s="19" t="s">
        <v>363</v>
      </c>
      <c r="T17" s="19" t="s">
        <v>249</v>
      </c>
      <c r="U17" s="19" t="s">
        <v>16</v>
      </c>
      <c r="V17" s="19" t="s">
        <v>60</v>
      </c>
      <c r="W17" s="19" t="s">
        <v>60</v>
      </c>
      <c r="X17" s="19" t="s">
        <v>60</v>
      </c>
      <c r="Y17" s="19" t="s">
        <v>298</v>
      </c>
      <c r="Z17" s="19" t="s">
        <v>60</v>
      </c>
      <c r="AA17" s="19" t="s">
        <v>60</v>
      </c>
    </row>
    <row r="18" spans="1:27" x14ac:dyDescent="0.2">
      <c r="A18" s="19" t="s">
        <v>218</v>
      </c>
      <c r="B18" s="19" t="s">
        <v>364</v>
      </c>
      <c r="C18" s="19" t="s">
        <v>25</v>
      </c>
      <c r="D18" s="19" t="s">
        <v>34</v>
      </c>
      <c r="E18" s="19" t="s">
        <v>365</v>
      </c>
      <c r="F18" s="19" t="s">
        <v>25</v>
      </c>
      <c r="G18" s="19" t="s">
        <v>292</v>
      </c>
      <c r="H18" s="19" t="s">
        <v>291</v>
      </c>
      <c r="I18" s="11" t="s">
        <v>366</v>
      </c>
      <c r="J18" s="19" t="s">
        <v>249</v>
      </c>
      <c r="K18" s="19" t="s">
        <v>294</v>
      </c>
      <c r="L18" s="19" t="s">
        <v>249</v>
      </c>
      <c r="M18" s="19" t="s">
        <v>367</v>
      </c>
      <c r="N18" s="19" t="s">
        <v>25</v>
      </c>
      <c r="O18" s="19" t="s">
        <v>296</v>
      </c>
      <c r="P18" s="19" t="s">
        <v>291</v>
      </c>
      <c r="Q18">
        <v>0.72150000000000003</v>
      </c>
      <c r="R18" s="19" t="s">
        <v>249</v>
      </c>
      <c r="S18" s="19" t="s">
        <v>368</v>
      </c>
      <c r="T18" s="19" t="s">
        <v>249</v>
      </c>
      <c r="U18" s="19" t="s">
        <v>34</v>
      </c>
      <c r="V18" s="19" t="s">
        <v>60</v>
      </c>
      <c r="W18" s="19" t="s">
        <v>60</v>
      </c>
      <c r="X18" s="19" t="s">
        <v>60</v>
      </c>
      <c r="Y18" s="19" t="s">
        <v>298</v>
      </c>
      <c r="Z18" s="19" t="s">
        <v>60</v>
      </c>
      <c r="AA18" s="19" t="s">
        <v>60</v>
      </c>
    </row>
    <row r="19" spans="1:27" x14ac:dyDescent="0.2">
      <c r="A19" s="19" t="s">
        <v>218</v>
      </c>
      <c r="B19" s="19" t="s">
        <v>299</v>
      </c>
      <c r="C19" s="19" t="s">
        <v>17</v>
      </c>
      <c r="D19" s="19" t="s">
        <v>22</v>
      </c>
      <c r="E19" s="19" t="s">
        <v>369</v>
      </c>
      <c r="F19" s="19" t="s">
        <v>22</v>
      </c>
      <c r="G19" s="19" t="s">
        <v>301</v>
      </c>
      <c r="H19" s="19" t="s">
        <v>291</v>
      </c>
      <c r="I19" s="11" t="s">
        <v>370</v>
      </c>
      <c r="J19" s="19" t="s">
        <v>249</v>
      </c>
      <c r="K19" s="19" t="s">
        <v>294</v>
      </c>
      <c r="L19" s="19" t="s">
        <v>248</v>
      </c>
      <c r="M19" s="19" t="s">
        <v>371</v>
      </c>
      <c r="N19" s="19" t="s">
        <v>22</v>
      </c>
      <c r="O19" s="19" t="s">
        <v>296</v>
      </c>
      <c r="P19" s="19" t="s">
        <v>291</v>
      </c>
      <c r="Q19">
        <v>0.68869999999999998</v>
      </c>
      <c r="R19" s="19" t="s">
        <v>249</v>
      </c>
      <c r="S19" s="19" t="s">
        <v>372</v>
      </c>
      <c r="T19" s="19" t="s">
        <v>248</v>
      </c>
      <c r="U19" s="19" t="s">
        <v>22</v>
      </c>
      <c r="V19" s="19" t="s">
        <v>60</v>
      </c>
      <c r="W19" s="19" t="s">
        <v>60</v>
      </c>
      <c r="X19" s="19" t="s">
        <v>60</v>
      </c>
      <c r="Y19" s="19" t="s">
        <v>298</v>
      </c>
      <c r="Z19" s="19" t="s">
        <v>60</v>
      </c>
      <c r="AA19" s="19" t="s">
        <v>60</v>
      </c>
    </row>
    <row r="20" spans="1:27" x14ac:dyDescent="0.2">
      <c r="A20" s="19" t="s">
        <v>219</v>
      </c>
      <c r="B20" s="19" t="s">
        <v>373</v>
      </c>
      <c r="C20" s="19" t="s">
        <v>36</v>
      </c>
      <c r="D20" s="19" t="s">
        <v>31</v>
      </c>
      <c r="E20" s="19" t="s">
        <v>374</v>
      </c>
      <c r="F20" s="19" t="s">
        <v>31</v>
      </c>
      <c r="G20" s="19" t="s">
        <v>301</v>
      </c>
      <c r="H20" s="19" t="s">
        <v>291</v>
      </c>
      <c r="I20" s="11" t="s">
        <v>375</v>
      </c>
      <c r="J20" s="19" t="s">
        <v>248</v>
      </c>
      <c r="K20" s="19" t="s">
        <v>376</v>
      </c>
      <c r="L20" s="19" t="s">
        <v>60</v>
      </c>
      <c r="M20" s="19" t="s">
        <v>60</v>
      </c>
      <c r="N20" s="19" t="s">
        <v>31</v>
      </c>
      <c r="O20" s="19" t="s">
        <v>296</v>
      </c>
      <c r="P20" s="19" t="s">
        <v>291</v>
      </c>
      <c r="Q20">
        <v>0.82141601872248204</v>
      </c>
      <c r="R20" s="19" t="s">
        <v>249</v>
      </c>
      <c r="S20" s="19" t="s">
        <v>377</v>
      </c>
      <c r="T20" s="19" t="s">
        <v>60</v>
      </c>
      <c r="U20" s="19" t="s">
        <v>60</v>
      </c>
      <c r="V20" s="19" t="s">
        <v>60</v>
      </c>
      <c r="W20" s="19" t="s">
        <v>60</v>
      </c>
      <c r="X20" s="19" t="s">
        <v>60</v>
      </c>
      <c r="Y20" s="19" t="s">
        <v>378</v>
      </c>
      <c r="Z20" s="19" t="s">
        <v>60</v>
      </c>
      <c r="AA20" s="19" t="s">
        <v>60</v>
      </c>
    </row>
    <row r="21" spans="1:27" x14ac:dyDescent="0.2">
      <c r="A21" s="19" t="s">
        <v>219</v>
      </c>
      <c r="B21" s="19" t="s">
        <v>379</v>
      </c>
      <c r="C21" s="19" t="s">
        <v>32</v>
      </c>
      <c r="D21" s="19" t="s">
        <v>10</v>
      </c>
      <c r="E21" s="19" t="s">
        <v>380</v>
      </c>
      <c r="F21" s="19" t="s">
        <v>10</v>
      </c>
      <c r="G21" s="19" t="s">
        <v>301</v>
      </c>
      <c r="H21" s="19" t="s">
        <v>291</v>
      </c>
      <c r="I21" s="11" t="s">
        <v>381</v>
      </c>
      <c r="J21" s="19" t="s">
        <v>248</v>
      </c>
      <c r="K21" s="19" t="s">
        <v>382</v>
      </c>
      <c r="L21" s="19" t="s">
        <v>60</v>
      </c>
      <c r="M21" s="19" t="s">
        <v>60</v>
      </c>
      <c r="N21" s="19" t="s">
        <v>10</v>
      </c>
      <c r="O21" s="19" t="s">
        <v>296</v>
      </c>
      <c r="P21" s="19" t="s">
        <v>291</v>
      </c>
      <c r="Q21">
        <v>0.68955873942591095</v>
      </c>
      <c r="R21" s="19" t="s">
        <v>249</v>
      </c>
      <c r="S21" s="19" t="s">
        <v>383</v>
      </c>
      <c r="T21" s="19" t="s">
        <v>60</v>
      </c>
      <c r="U21" s="19" t="s">
        <v>60</v>
      </c>
      <c r="V21" s="19" t="s">
        <v>60</v>
      </c>
      <c r="W21" s="19" t="s">
        <v>60</v>
      </c>
      <c r="X21" s="19" t="s">
        <v>60</v>
      </c>
      <c r="Y21" s="19" t="s">
        <v>378</v>
      </c>
      <c r="Z21" s="19" t="s">
        <v>60</v>
      </c>
      <c r="AA21" s="19" t="s">
        <v>60</v>
      </c>
    </row>
    <row r="22" spans="1:27" x14ac:dyDescent="0.2">
      <c r="A22" s="19" t="s">
        <v>219</v>
      </c>
      <c r="B22" s="19" t="s">
        <v>384</v>
      </c>
      <c r="C22" s="19" t="s">
        <v>15</v>
      </c>
      <c r="D22" s="19" t="s">
        <v>12</v>
      </c>
      <c r="E22" s="19" t="s">
        <v>385</v>
      </c>
      <c r="F22" s="19" t="s">
        <v>12</v>
      </c>
      <c r="G22" s="19" t="s">
        <v>301</v>
      </c>
      <c r="H22" s="19" t="s">
        <v>291</v>
      </c>
      <c r="I22" s="11" t="s">
        <v>386</v>
      </c>
      <c r="J22" s="19" t="s">
        <v>249</v>
      </c>
      <c r="K22" s="19" t="s">
        <v>387</v>
      </c>
      <c r="L22" s="19" t="s">
        <v>60</v>
      </c>
      <c r="M22" s="19" t="s">
        <v>60</v>
      </c>
      <c r="N22" s="19" t="s">
        <v>12</v>
      </c>
      <c r="O22" s="19" t="s">
        <v>319</v>
      </c>
      <c r="P22" s="19" t="s">
        <v>292</v>
      </c>
      <c r="Q22">
        <v>0.79009355708149598</v>
      </c>
      <c r="R22" s="19" t="s">
        <v>249</v>
      </c>
      <c r="S22" s="19" t="s">
        <v>388</v>
      </c>
      <c r="T22" s="19" t="s">
        <v>60</v>
      </c>
      <c r="U22" s="19" t="s">
        <v>60</v>
      </c>
      <c r="V22" s="19" t="s">
        <v>60</v>
      </c>
      <c r="W22" s="19" t="s">
        <v>60</v>
      </c>
      <c r="X22" s="19" t="s">
        <v>60</v>
      </c>
      <c r="Y22" s="19" t="s">
        <v>378</v>
      </c>
      <c r="Z22" s="19" t="s">
        <v>60</v>
      </c>
      <c r="AA22" s="19" t="s">
        <v>60</v>
      </c>
    </row>
    <row r="23" spans="1:27" x14ac:dyDescent="0.2">
      <c r="A23" s="19" t="s">
        <v>219</v>
      </c>
      <c r="B23" s="19" t="s">
        <v>389</v>
      </c>
      <c r="C23" s="19" t="s">
        <v>30</v>
      </c>
      <c r="D23" s="19" t="s">
        <v>26</v>
      </c>
      <c r="E23" s="19" t="s">
        <v>390</v>
      </c>
      <c r="F23" s="19" t="s">
        <v>26</v>
      </c>
      <c r="G23" s="19" t="s">
        <v>301</v>
      </c>
      <c r="H23" s="19" t="s">
        <v>291</v>
      </c>
      <c r="I23" s="11" t="s">
        <v>391</v>
      </c>
      <c r="J23" s="19" t="s">
        <v>249</v>
      </c>
      <c r="K23" s="19" t="s">
        <v>392</v>
      </c>
      <c r="L23" s="19" t="s">
        <v>60</v>
      </c>
      <c r="M23" s="19" t="s">
        <v>60</v>
      </c>
      <c r="N23" s="19" t="s">
        <v>30</v>
      </c>
      <c r="O23" s="19" t="s">
        <v>296</v>
      </c>
      <c r="P23" s="19" t="s">
        <v>301</v>
      </c>
      <c r="Q23">
        <v>0.50783942088355705</v>
      </c>
      <c r="R23" s="19" t="s">
        <v>248</v>
      </c>
      <c r="S23" s="19" t="s">
        <v>393</v>
      </c>
      <c r="T23" s="19" t="s">
        <v>60</v>
      </c>
      <c r="U23" s="19" t="s">
        <v>60</v>
      </c>
      <c r="V23" s="19" t="s">
        <v>60</v>
      </c>
      <c r="W23" s="19" t="s">
        <v>60</v>
      </c>
      <c r="X23" s="19" t="s">
        <v>60</v>
      </c>
      <c r="Y23" s="19" t="s">
        <v>378</v>
      </c>
      <c r="Z23" s="19" t="s">
        <v>60</v>
      </c>
      <c r="AA23" s="19" t="s">
        <v>60</v>
      </c>
    </row>
    <row r="24" spans="1:27" x14ac:dyDescent="0.2">
      <c r="A24" s="19" t="s">
        <v>219</v>
      </c>
      <c r="B24" s="19" t="s">
        <v>389</v>
      </c>
      <c r="C24" s="19" t="s">
        <v>24</v>
      </c>
      <c r="D24" s="19" t="s">
        <v>11</v>
      </c>
      <c r="E24" s="19" t="s">
        <v>394</v>
      </c>
      <c r="F24" s="19" t="s">
        <v>11</v>
      </c>
      <c r="G24" s="19" t="s">
        <v>301</v>
      </c>
      <c r="H24" s="19" t="s">
        <v>291</v>
      </c>
      <c r="I24" s="11" t="s">
        <v>395</v>
      </c>
      <c r="J24" s="19" t="s">
        <v>249</v>
      </c>
      <c r="K24" s="19" t="s">
        <v>396</v>
      </c>
      <c r="L24" s="19" t="s">
        <v>60</v>
      </c>
      <c r="M24" s="19" t="s">
        <v>60</v>
      </c>
      <c r="N24" s="19" t="s">
        <v>24</v>
      </c>
      <c r="O24" s="19" t="s">
        <v>296</v>
      </c>
      <c r="P24" s="19" t="s">
        <v>301</v>
      </c>
      <c r="Q24">
        <v>0.47717133510972898</v>
      </c>
      <c r="R24" s="19" t="s">
        <v>248</v>
      </c>
      <c r="S24" s="19" t="s">
        <v>397</v>
      </c>
      <c r="T24" s="19" t="s">
        <v>60</v>
      </c>
      <c r="U24" s="19" t="s">
        <v>60</v>
      </c>
      <c r="V24" s="19" t="s">
        <v>60</v>
      </c>
      <c r="W24" s="19" t="s">
        <v>60</v>
      </c>
      <c r="X24" s="19" t="s">
        <v>60</v>
      </c>
      <c r="Y24" s="19" t="s">
        <v>378</v>
      </c>
      <c r="Z24" s="19" t="s">
        <v>60</v>
      </c>
      <c r="AA24" s="19" t="s">
        <v>60</v>
      </c>
    </row>
    <row r="25" spans="1:27" x14ac:dyDescent="0.2">
      <c r="A25" s="19" t="s">
        <v>219</v>
      </c>
      <c r="B25" s="19" t="s">
        <v>389</v>
      </c>
      <c r="C25" s="19" t="s">
        <v>22</v>
      </c>
      <c r="D25" s="19" t="s">
        <v>18</v>
      </c>
      <c r="E25" s="19" t="s">
        <v>398</v>
      </c>
      <c r="F25" s="19" t="s">
        <v>18</v>
      </c>
      <c r="G25" s="19" t="s">
        <v>301</v>
      </c>
      <c r="H25" s="19" t="s">
        <v>291</v>
      </c>
      <c r="I25" s="11" t="s">
        <v>399</v>
      </c>
      <c r="J25" s="19" t="s">
        <v>248</v>
      </c>
      <c r="K25" s="19" t="s">
        <v>400</v>
      </c>
      <c r="L25" s="19" t="s">
        <v>60</v>
      </c>
      <c r="M25" s="19" t="s">
        <v>60</v>
      </c>
      <c r="N25" s="19" t="s">
        <v>22</v>
      </c>
      <c r="O25" s="19" t="s">
        <v>296</v>
      </c>
      <c r="P25" s="19" t="s">
        <v>301</v>
      </c>
      <c r="Q25">
        <v>0.52653488689618599</v>
      </c>
      <c r="R25" s="19" t="s">
        <v>249</v>
      </c>
      <c r="S25" s="19" t="s">
        <v>401</v>
      </c>
      <c r="T25" s="19" t="s">
        <v>60</v>
      </c>
      <c r="U25" s="19" t="s">
        <v>60</v>
      </c>
      <c r="V25" s="19" t="s">
        <v>60</v>
      </c>
      <c r="W25" s="19" t="s">
        <v>60</v>
      </c>
      <c r="X25" s="19" t="s">
        <v>60</v>
      </c>
      <c r="Y25" s="19" t="s">
        <v>378</v>
      </c>
      <c r="Z25" s="19" t="s">
        <v>60</v>
      </c>
      <c r="AA25" s="19" t="s">
        <v>60</v>
      </c>
    </row>
    <row r="26" spans="1:27" x14ac:dyDescent="0.2">
      <c r="A26" s="19" t="s">
        <v>219</v>
      </c>
      <c r="B26" s="19" t="s">
        <v>389</v>
      </c>
      <c r="C26" s="19" t="s">
        <v>35</v>
      </c>
      <c r="D26" s="19" t="s">
        <v>27</v>
      </c>
      <c r="E26" s="19" t="s">
        <v>402</v>
      </c>
      <c r="F26" s="19" t="s">
        <v>27</v>
      </c>
      <c r="G26" s="19" t="s">
        <v>301</v>
      </c>
      <c r="H26" s="19" t="s">
        <v>291</v>
      </c>
      <c r="I26" s="11" t="s">
        <v>403</v>
      </c>
      <c r="J26" s="19" t="s">
        <v>249</v>
      </c>
      <c r="K26" s="19" t="s">
        <v>404</v>
      </c>
      <c r="L26" s="19" t="s">
        <v>60</v>
      </c>
      <c r="M26" s="19" t="s">
        <v>60</v>
      </c>
      <c r="N26" s="19" t="s">
        <v>27</v>
      </c>
      <c r="O26" s="19" t="s">
        <v>296</v>
      </c>
      <c r="P26" s="19" t="s">
        <v>291</v>
      </c>
      <c r="Q26">
        <v>0.72316153141538597</v>
      </c>
      <c r="R26" s="19" t="s">
        <v>249</v>
      </c>
      <c r="S26" s="19" t="s">
        <v>405</v>
      </c>
      <c r="T26" s="19" t="s">
        <v>60</v>
      </c>
      <c r="U26" s="19" t="s">
        <v>60</v>
      </c>
      <c r="V26" s="19" t="s">
        <v>60</v>
      </c>
      <c r="W26" s="19" t="s">
        <v>60</v>
      </c>
      <c r="X26" s="19" t="s">
        <v>60</v>
      </c>
      <c r="Y26" s="19" t="s">
        <v>378</v>
      </c>
      <c r="Z26" s="19" t="s">
        <v>60</v>
      </c>
      <c r="AA26" s="19" t="s">
        <v>60</v>
      </c>
    </row>
    <row r="27" spans="1:27" x14ac:dyDescent="0.2">
      <c r="A27" s="19" t="s">
        <v>219</v>
      </c>
      <c r="B27" s="19" t="s">
        <v>373</v>
      </c>
      <c r="C27" s="19" t="s">
        <v>13</v>
      </c>
      <c r="D27" s="19" t="s">
        <v>33</v>
      </c>
      <c r="E27" s="19" t="s">
        <v>406</v>
      </c>
      <c r="F27" s="19" t="s">
        <v>13</v>
      </c>
      <c r="G27" s="19" t="s">
        <v>292</v>
      </c>
      <c r="H27" s="19" t="s">
        <v>291</v>
      </c>
      <c r="I27" s="11" t="s">
        <v>407</v>
      </c>
      <c r="J27" s="19" t="s">
        <v>249</v>
      </c>
      <c r="K27" s="19" t="s">
        <v>408</v>
      </c>
      <c r="L27" s="19" t="s">
        <v>60</v>
      </c>
      <c r="M27" s="19" t="s">
        <v>60</v>
      </c>
      <c r="N27" s="19" t="s">
        <v>13</v>
      </c>
      <c r="O27" s="19" t="s">
        <v>296</v>
      </c>
      <c r="P27" s="19" t="s">
        <v>301</v>
      </c>
      <c r="Q27">
        <v>0.56836235759955001</v>
      </c>
      <c r="R27" s="19" t="s">
        <v>248</v>
      </c>
      <c r="S27" s="19" t="s">
        <v>409</v>
      </c>
      <c r="T27" s="19" t="s">
        <v>60</v>
      </c>
      <c r="U27" s="19" t="s">
        <v>60</v>
      </c>
      <c r="V27" s="19" t="s">
        <v>60</v>
      </c>
      <c r="W27" s="19" t="s">
        <v>60</v>
      </c>
      <c r="X27" s="19" t="s">
        <v>60</v>
      </c>
      <c r="Y27" s="19" t="s">
        <v>378</v>
      </c>
      <c r="Z27" s="19" t="s">
        <v>60</v>
      </c>
      <c r="AA27" s="19" t="s">
        <v>60</v>
      </c>
    </row>
    <row r="28" spans="1:27" x14ac:dyDescent="0.2">
      <c r="A28" s="19" t="s">
        <v>219</v>
      </c>
      <c r="B28" s="19" t="s">
        <v>410</v>
      </c>
      <c r="C28" s="19" t="s">
        <v>17</v>
      </c>
      <c r="D28" s="19" t="s">
        <v>37</v>
      </c>
      <c r="E28" s="19" t="s">
        <v>411</v>
      </c>
      <c r="F28" s="19" t="s">
        <v>37</v>
      </c>
      <c r="G28" s="19" t="s">
        <v>301</v>
      </c>
      <c r="H28" s="19" t="s">
        <v>291</v>
      </c>
      <c r="I28" s="11" t="s">
        <v>412</v>
      </c>
      <c r="J28" s="19" t="s">
        <v>248</v>
      </c>
      <c r="K28" s="19" t="s">
        <v>413</v>
      </c>
      <c r="L28" s="19" t="s">
        <v>60</v>
      </c>
      <c r="M28" s="19" t="s">
        <v>60</v>
      </c>
      <c r="N28" s="19" t="s">
        <v>37</v>
      </c>
      <c r="O28" s="19" t="s">
        <v>296</v>
      </c>
      <c r="P28" s="19" t="s">
        <v>291</v>
      </c>
      <c r="Q28">
        <v>0.711970082114465</v>
      </c>
      <c r="R28" s="19" t="s">
        <v>249</v>
      </c>
      <c r="S28" s="19" t="s">
        <v>414</v>
      </c>
      <c r="T28" s="19" t="s">
        <v>60</v>
      </c>
      <c r="U28" s="19" t="s">
        <v>60</v>
      </c>
      <c r="V28" s="19" t="s">
        <v>60</v>
      </c>
      <c r="W28" s="19" t="s">
        <v>60</v>
      </c>
      <c r="X28" s="19" t="s">
        <v>60</v>
      </c>
      <c r="Y28" s="19" t="s">
        <v>378</v>
      </c>
      <c r="Z28" s="19" t="s">
        <v>60</v>
      </c>
      <c r="AA28" s="19" t="s">
        <v>60</v>
      </c>
    </row>
    <row r="29" spans="1:27" x14ac:dyDescent="0.2">
      <c r="A29" s="19" t="s">
        <v>219</v>
      </c>
      <c r="B29" s="19" t="s">
        <v>389</v>
      </c>
      <c r="C29" s="19" t="s">
        <v>28</v>
      </c>
      <c r="D29" s="19" t="s">
        <v>19</v>
      </c>
      <c r="E29" s="19" t="s">
        <v>415</v>
      </c>
      <c r="F29" s="19" t="s">
        <v>19</v>
      </c>
      <c r="G29" s="19" t="s">
        <v>301</v>
      </c>
      <c r="H29" s="19" t="s">
        <v>291</v>
      </c>
      <c r="I29" s="11" t="s">
        <v>416</v>
      </c>
      <c r="J29" s="19" t="s">
        <v>249</v>
      </c>
      <c r="K29" s="19" t="s">
        <v>417</v>
      </c>
      <c r="L29" s="19" t="s">
        <v>60</v>
      </c>
      <c r="M29" s="19" t="s">
        <v>60</v>
      </c>
      <c r="N29" s="19" t="s">
        <v>19</v>
      </c>
      <c r="O29" s="19" t="s">
        <v>296</v>
      </c>
      <c r="P29" s="19" t="s">
        <v>301</v>
      </c>
      <c r="Q29">
        <v>0.55864324773890295</v>
      </c>
      <c r="R29" s="19" t="s">
        <v>248</v>
      </c>
      <c r="S29" s="19" t="s">
        <v>418</v>
      </c>
      <c r="T29" s="19" t="s">
        <v>60</v>
      </c>
      <c r="U29" s="19" t="s">
        <v>60</v>
      </c>
      <c r="V29" s="19" t="s">
        <v>60</v>
      </c>
      <c r="W29" s="19" t="s">
        <v>60</v>
      </c>
      <c r="X29" s="19" t="s">
        <v>60</v>
      </c>
      <c r="Y29" s="19" t="s">
        <v>378</v>
      </c>
      <c r="Z29" s="19" t="s">
        <v>60</v>
      </c>
      <c r="AA29" s="19" t="s">
        <v>60</v>
      </c>
    </row>
    <row r="30" spans="1:27" x14ac:dyDescent="0.2">
      <c r="A30" s="19" t="s">
        <v>219</v>
      </c>
      <c r="B30" s="19" t="s">
        <v>384</v>
      </c>
      <c r="C30" s="19" t="s">
        <v>20</v>
      </c>
      <c r="D30" s="19" t="s">
        <v>55</v>
      </c>
      <c r="E30" s="19" t="s">
        <v>419</v>
      </c>
      <c r="F30" s="19" t="s">
        <v>55</v>
      </c>
      <c r="G30" s="19" t="s">
        <v>301</v>
      </c>
      <c r="H30" s="19" t="s">
        <v>291</v>
      </c>
      <c r="I30" s="11" t="s">
        <v>420</v>
      </c>
      <c r="J30" s="19" t="s">
        <v>248</v>
      </c>
      <c r="K30" s="19" t="s">
        <v>421</v>
      </c>
      <c r="L30" s="19" t="s">
        <v>60</v>
      </c>
      <c r="M30" s="19" t="s">
        <v>60</v>
      </c>
      <c r="N30" s="19" t="s">
        <v>20</v>
      </c>
      <c r="O30" s="19" t="s">
        <v>296</v>
      </c>
      <c r="P30" s="19" t="s">
        <v>301</v>
      </c>
      <c r="Q30">
        <v>0.41674861628270699</v>
      </c>
      <c r="R30" s="19" t="s">
        <v>248</v>
      </c>
      <c r="S30" s="19" t="s">
        <v>422</v>
      </c>
      <c r="T30" s="19" t="s">
        <v>60</v>
      </c>
      <c r="U30" s="19" t="s">
        <v>60</v>
      </c>
      <c r="V30" s="19" t="s">
        <v>60</v>
      </c>
      <c r="W30" s="19" t="s">
        <v>60</v>
      </c>
      <c r="X30" s="19" t="s">
        <v>60</v>
      </c>
      <c r="Y30" s="19" t="s">
        <v>378</v>
      </c>
      <c r="Z30" s="19" t="s">
        <v>60</v>
      </c>
      <c r="AA30" s="19" t="s">
        <v>60</v>
      </c>
    </row>
    <row r="31" spans="1:27" x14ac:dyDescent="0.2">
      <c r="A31" s="19" t="s">
        <v>219</v>
      </c>
      <c r="B31" s="19" t="s">
        <v>373</v>
      </c>
      <c r="C31" s="19" t="s">
        <v>39</v>
      </c>
      <c r="D31" s="19" t="s">
        <v>38</v>
      </c>
      <c r="E31" s="19" t="s">
        <v>423</v>
      </c>
      <c r="F31" s="19" t="s">
        <v>39</v>
      </c>
      <c r="G31" s="19" t="s">
        <v>292</v>
      </c>
      <c r="H31" s="19" t="s">
        <v>291</v>
      </c>
      <c r="I31" s="11" t="s">
        <v>424</v>
      </c>
      <c r="J31" s="19" t="s">
        <v>249</v>
      </c>
      <c r="K31" s="19" t="s">
        <v>425</v>
      </c>
      <c r="L31" s="19" t="s">
        <v>60</v>
      </c>
      <c r="M31" s="19" t="s">
        <v>60</v>
      </c>
      <c r="N31" s="19" t="s">
        <v>39</v>
      </c>
      <c r="O31" s="19" t="s">
        <v>296</v>
      </c>
      <c r="P31" s="19" t="s">
        <v>291</v>
      </c>
      <c r="Q31">
        <v>0.65070700646466895</v>
      </c>
      <c r="R31" s="19" t="s">
        <v>249</v>
      </c>
      <c r="S31" s="19" t="s">
        <v>426</v>
      </c>
      <c r="T31" s="19" t="s">
        <v>60</v>
      </c>
      <c r="U31" s="19" t="s">
        <v>60</v>
      </c>
      <c r="V31" s="19" t="s">
        <v>60</v>
      </c>
      <c r="W31" s="19" t="s">
        <v>60</v>
      </c>
      <c r="X31" s="19" t="s">
        <v>60</v>
      </c>
      <c r="Y31" s="19" t="s">
        <v>378</v>
      </c>
      <c r="Z31" s="19" t="s">
        <v>60</v>
      </c>
      <c r="AA31" s="19" t="s">
        <v>60</v>
      </c>
    </row>
    <row r="32" spans="1:27" x14ac:dyDescent="0.2">
      <c r="A32" s="19" t="s">
        <v>220</v>
      </c>
      <c r="B32" s="19" t="s">
        <v>389</v>
      </c>
      <c r="C32" s="19" t="s">
        <v>10</v>
      </c>
      <c r="D32" s="19" t="s">
        <v>23</v>
      </c>
      <c r="E32" s="19" t="s">
        <v>427</v>
      </c>
      <c r="F32" s="19" t="s">
        <v>10</v>
      </c>
      <c r="G32" s="19" t="s">
        <v>291</v>
      </c>
      <c r="H32" s="19" t="s">
        <v>301</v>
      </c>
      <c r="I32" s="11" t="s">
        <v>428</v>
      </c>
      <c r="J32" s="19" t="s">
        <v>248</v>
      </c>
      <c r="K32" s="19" t="s">
        <v>429</v>
      </c>
      <c r="L32" s="19" t="s">
        <v>249</v>
      </c>
      <c r="M32" s="19" t="s">
        <v>430</v>
      </c>
      <c r="N32" s="19" t="s">
        <v>10</v>
      </c>
      <c r="O32" s="19" t="s">
        <v>296</v>
      </c>
      <c r="P32" s="19" t="s">
        <v>291</v>
      </c>
      <c r="Q32">
        <v>0.62127138852721631</v>
      </c>
      <c r="R32" s="19" t="s">
        <v>249</v>
      </c>
      <c r="S32" s="19" t="s">
        <v>431</v>
      </c>
      <c r="T32" s="19" t="s">
        <v>249</v>
      </c>
      <c r="U32" s="19" t="s">
        <v>23</v>
      </c>
      <c r="V32" s="19" t="s">
        <v>60</v>
      </c>
      <c r="W32" s="19" t="s">
        <v>60</v>
      </c>
      <c r="X32" s="19" t="s">
        <v>60</v>
      </c>
      <c r="Y32" s="19" t="s">
        <v>298</v>
      </c>
      <c r="Z32" s="19" t="s">
        <v>60</v>
      </c>
      <c r="AA32" s="19" t="s">
        <v>432</v>
      </c>
    </row>
    <row r="33" spans="1:27" x14ac:dyDescent="0.2">
      <c r="A33" s="19" t="s">
        <v>220</v>
      </c>
      <c r="B33" s="19" t="s">
        <v>433</v>
      </c>
      <c r="C33" s="19" t="s">
        <v>21</v>
      </c>
      <c r="D33" s="19" t="s">
        <v>13</v>
      </c>
      <c r="E33" s="19" t="s">
        <v>434</v>
      </c>
      <c r="F33" s="19" t="s">
        <v>13</v>
      </c>
      <c r="G33" s="19" t="s">
        <v>301</v>
      </c>
      <c r="H33" s="19" t="s">
        <v>291</v>
      </c>
      <c r="I33" s="11" t="s">
        <v>435</v>
      </c>
      <c r="J33" s="19" t="s">
        <v>248</v>
      </c>
      <c r="K33" s="19" t="s">
        <v>436</v>
      </c>
      <c r="L33" s="19" t="s">
        <v>248</v>
      </c>
      <c r="M33" s="19" t="s">
        <v>437</v>
      </c>
      <c r="N33" s="19" t="s">
        <v>13</v>
      </c>
      <c r="O33" s="19" t="s">
        <v>296</v>
      </c>
      <c r="P33" s="19" t="s">
        <v>301</v>
      </c>
      <c r="Q33">
        <v>0.54352487978663888</v>
      </c>
      <c r="R33" s="19" t="s">
        <v>248</v>
      </c>
      <c r="S33" s="19" t="s">
        <v>418</v>
      </c>
      <c r="T33" s="19" t="s">
        <v>248</v>
      </c>
      <c r="U33" s="19" t="s">
        <v>13</v>
      </c>
      <c r="V33" s="19" t="s">
        <v>60</v>
      </c>
      <c r="W33" s="19" t="s">
        <v>60</v>
      </c>
      <c r="X33" s="19" t="s">
        <v>60</v>
      </c>
      <c r="Y33" s="19" t="s">
        <v>298</v>
      </c>
      <c r="Z33" s="19" t="s">
        <v>60</v>
      </c>
      <c r="AA33" s="19" t="s">
        <v>432</v>
      </c>
    </row>
    <row r="34" spans="1:27" x14ac:dyDescent="0.2">
      <c r="A34" s="19" t="s">
        <v>220</v>
      </c>
      <c r="B34" s="19" t="s">
        <v>389</v>
      </c>
      <c r="C34" s="19" t="s">
        <v>34</v>
      </c>
      <c r="D34" s="19" t="s">
        <v>14</v>
      </c>
      <c r="E34" s="19" t="s">
        <v>438</v>
      </c>
      <c r="F34" s="19" t="s">
        <v>34</v>
      </c>
      <c r="G34" s="19" t="s">
        <v>301</v>
      </c>
      <c r="H34" s="19" t="s">
        <v>296</v>
      </c>
      <c r="I34" s="11" t="s">
        <v>439</v>
      </c>
      <c r="J34" s="19" t="s">
        <v>249</v>
      </c>
      <c r="K34" s="19" t="s">
        <v>440</v>
      </c>
      <c r="L34" s="19" t="s">
        <v>248</v>
      </c>
      <c r="M34" s="19" t="s">
        <v>441</v>
      </c>
      <c r="N34" s="19" t="s">
        <v>14</v>
      </c>
      <c r="O34" s="19" t="s">
        <v>296</v>
      </c>
      <c r="P34" s="19" t="s">
        <v>291</v>
      </c>
      <c r="Q34">
        <v>0.69427003530691833</v>
      </c>
      <c r="R34" s="19" t="s">
        <v>249</v>
      </c>
      <c r="S34" s="19" t="s">
        <v>442</v>
      </c>
      <c r="T34" s="19" t="s">
        <v>249</v>
      </c>
      <c r="U34" s="19" t="s">
        <v>34</v>
      </c>
      <c r="V34" s="19" t="s">
        <v>60</v>
      </c>
      <c r="W34" s="19" t="s">
        <v>60</v>
      </c>
      <c r="X34" s="19" t="s">
        <v>60</v>
      </c>
      <c r="Y34" s="19" t="s">
        <v>298</v>
      </c>
      <c r="Z34" s="19" t="s">
        <v>60</v>
      </c>
      <c r="AA34" s="19" t="s">
        <v>432</v>
      </c>
    </row>
    <row r="35" spans="1:27" x14ac:dyDescent="0.2">
      <c r="A35" s="19" t="s">
        <v>220</v>
      </c>
      <c r="B35" s="19" t="s">
        <v>379</v>
      </c>
      <c r="C35" s="19" t="s">
        <v>25</v>
      </c>
      <c r="D35" s="19" t="s">
        <v>40</v>
      </c>
      <c r="E35" s="19" t="s">
        <v>443</v>
      </c>
      <c r="F35" s="19" t="s">
        <v>40</v>
      </c>
      <c r="G35" s="19" t="s">
        <v>301</v>
      </c>
      <c r="H35" s="19" t="s">
        <v>291</v>
      </c>
      <c r="I35" s="11" t="s">
        <v>444</v>
      </c>
      <c r="J35" s="19" t="s">
        <v>248</v>
      </c>
      <c r="K35" s="19" t="s">
        <v>445</v>
      </c>
      <c r="L35" s="19" t="s">
        <v>249</v>
      </c>
      <c r="M35" s="19" t="s">
        <v>446</v>
      </c>
      <c r="N35" s="19" t="s">
        <v>25</v>
      </c>
      <c r="O35" s="19" t="s">
        <v>296</v>
      </c>
      <c r="P35" s="19" t="s">
        <v>301</v>
      </c>
      <c r="Q35">
        <v>0.52384786307493458</v>
      </c>
      <c r="R35" s="19" t="s">
        <v>248</v>
      </c>
      <c r="S35" s="19" t="s">
        <v>447</v>
      </c>
      <c r="T35" s="19" t="s">
        <v>248</v>
      </c>
      <c r="U35" s="19" t="s">
        <v>25</v>
      </c>
      <c r="V35" s="19" t="s">
        <v>60</v>
      </c>
      <c r="W35" s="19" t="s">
        <v>60</v>
      </c>
      <c r="X35" s="19" t="s">
        <v>60</v>
      </c>
      <c r="Y35" s="19" t="s">
        <v>298</v>
      </c>
      <c r="Z35" s="19" t="s">
        <v>60</v>
      </c>
      <c r="AA35" s="19" t="s">
        <v>432</v>
      </c>
    </row>
    <row r="36" spans="1:27" x14ac:dyDescent="0.2">
      <c r="A36" s="19" t="s">
        <v>221</v>
      </c>
      <c r="B36" s="19" t="s">
        <v>373</v>
      </c>
      <c r="C36" s="19" t="s">
        <v>20</v>
      </c>
      <c r="D36" s="19" t="s">
        <v>31</v>
      </c>
      <c r="E36" s="19" t="s">
        <v>448</v>
      </c>
      <c r="F36" s="19" t="s">
        <v>31</v>
      </c>
      <c r="G36" s="19" t="s">
        <v>301</v>
      </c>
      <c r="H36" s="19" t="s">
        <v>291</v>
      </c>
      <c r="I36" s="11" t="s">
        <v>449</v>
      </c>
      <c r="J36" s="19" t="s">
        <v>248</v>
      </c>
      <c r="K36" s="19" t="s">
        <v>450</v>
      </c>
      <c r="L36" s="19" t="s">
        <v>248</v>
      </c>
      <c r="M36" s="19" t="s">
        <v>295</v>
      </c>
      <c r="N36" s="19" t="s">
        <v>31</v>
      </c>
      <c r="O36" s="19" t="s">
        <v>296</v>
      </c>
      <c r="P36" s="19" t="s">
        <v>301</v>
      </c>
      <c r="Q36">
        <v>0.63411411850668342</v>
      </c>
      <c r="R36" s="19" t="s">
        <v>249</v>
      </c>
      <c r="S36" s="19" t="s">
        <v>451</v>
      </c>
      <c r="T36" s="19" t="s">
        <v>248</v>
      </c>
      <c r="U36" s="19" t="s">
        <v>31</v>
      </c>
      <c r="V36" s="19" t="s">
        <v>60</v>
      </c>
      <c r="W36" s="19" t="s">
        <v>60</v>
      </c>
      <c r="X36" s="19" t="s">
        <v>60</v>
      </c>
      <c r="Y36" s="19" t="s">
        <v>298</v>
      </c>
      <c r="Z36" s="19" t="s">
        <v>60</v>
      </c>
      <c r="AA36" s="19" t="s">
        <v>498</v>
      </c>
    </row>
    <row r="37" spans="1:27" x14ac:dyDescent="0.2">
      <c r="A37" s="19" t="s">
        <v>221</v>
      </c>
      <c r="B37" s="19" t="s">
        <v>373</v>
      </c>
      <c r="C37" s="19" t="s">
        <v>39</v>
      </c>
      <c r="D37" s="19" t="s">
        <v>16</v>
      </c>
      <c r="E37" s="19" t="s">
        <v>452</v>
      </c>
      <c r="F37" s="19" t="s">
        <v>39</v>
      </c>
      <c r="G37" s="19" t="s">
        <v>292</v>
      </c>
      <c r="H37" s="19" t="s">
        <v>291</v>
      </c>
      <c r="I37" s="11" t="s">
        <v>453</v>
      </c>
      <c r="J37" s="19" t="s">
        <v>249</v>
      </c>
      <c r="K37" s="19" t="s">
        <v>454</v>
      </c>
      <c r="L37" s="19" t="s">
        <v>249</v>
      </c>
      <c r="M37" s="19" t="s">
        <v>499</v>
      </c>
      <c r="N37" s="19" t="s">
        <v>39</v>
      </c>
      <c r="O37" s="19" t="s">
        <v>296</v>
      </c>
      <c r="P37" s="19" t="s">
        <v>291</v>
      </c>
      <c r="Q37">
        <v>0.75479145950448245</v>
      </c>
      <c r="R37" s="19" t="s">
        <v>249</v>
      </c>
      <c r="S37" s="19" t="s">
        <v>455</v>
      </c>
      <c r="T37" s="19" t="s">
        <v>249</v>
      </c>
      <c r="U37" s="19" t="s">
        <v>16</v>
      </c>
      <c r="V37" s="19" t="s">
        <v>60</v>
      </c>
      <c r="W37" s="19" t="s">
        <v>60</v>
      </c>
      <c r="X37" s="19" t="s">
        <v>60</v>
      </c>
      <c r="Y37" s="19" t="s">
        <v>298</v>
      </c>
      <c r="Z37" s="19" t="s">
        <v>60</v>
      </c>
      <c r="AA37" s="19" t="s">
        <v>498</v>
      </c>
    </row>
    <row r="38" spans="1:27" x14ac:dyDescent="0.2">
      <c r="A38" s="19" t="s">
        <v>221</v>
      </c>
      <c r="B38" s="19" t="s">
        <v>456</v>
      </c>
      <c r="C38" s="19" t="s">
        <v>28</v>
      </c>
      <c r="D38" s="19" t="s">
        <v>26</v>
      </c>
      <c r="E38" s="19" t="s">
        <v>457</v>
      </c>
      <c r="F38" s="19" t="s">
        <v>26</v>
      </c>
      <c r="G38" s="19" t="s">
        <v>296</v>
      </c>
      <c r="H38" s="19" t="s">
        <v>301</v>
      </c>
      <c r="I38" s="11" t="s">
        <v>458</v>
      </c>
      <c r="J38" s="19" t="s">
        <v>249</v>
      </c>
      <c r="K38" s="19" t="s">
        <v>459</v>
      </c>
      <c r="L38" s="19" t="s">
        <v>249</v>
      </c>
      <c r="M38" s="19" t="s">
        <v>500</v>
      </c>
      <c r="N38" s="19" t="s">
        <v>28</v>
      </c>
      <c r="O38" s="19" t="s">
        <v>296</v>
      </c>
      <c r="P38" s="19" t="s">
        <v>301</v>
      </c>
      <c r="Q38">
        <v>0.46548155836437699</v>
      </c>
      <c r="R38" s="19" t="s">
        <v>248</v>
      </c>
      <c r="S38" s="19" t="s">
        <v>460</v>
      </c>
      <c r="T38" s="19" t="s">
        <v>248</v>
      </c>
      <c r="U38" s="19" t="s">
        <v>28</v>
      </c>
      <c r="V38" s="19" t="s">
        <v>60</v>
      </c>
      <c r="W38" s="19" t="s">
        <v>60</v>
      </c>
      <c r="X38" s="19" t="s">
        <v>60</v>
      </c>
      <c r="Y38" s="19" t="s">
        <v>298</v>
      </c>
      <c r="Z38" s="19" t="s">
        <v>60</v>
      </c>
      <c r="AA38" s="19" t="s">
        <v>498</v>
      </c>
    </row>
    <row r="39" spans="1:27" x14ac:dyDescent="0.2">
      <c r="A39" s="19" t="s">
        <v>221</v>
      </c>
      <c r="B39" s="19" t="s">
        <v>389</v>
      </c>
      <c r="C39" s="19" t="s">
        <v>17</v>
      </c>
      <c r="D39" s="19" t="s">
        <v>11</v>
      </c>
      <c r="E39" s="19" t="s">
        <v>461</v>
      </c>
      <c r="F39" s="19" t="s">
        <v>11</v>
      </c>
      <c r="G39" s="19" t="s">
        <v>301</v>
      </c>
      <c r="H39" s="19" t="s">
        <v>291</v>
      </c>
      <c r="I39" s="11" t="s">
        <v>462</v>
      </c>
      <c r="J39" s="19" t="s">
        <v>249</v>
      </c>
      <c r="K39" s="19" t="s">
        <v>463</v>
      </c>
      <c r="L39" s="19" t="s">
        <v>249</v>
      </c>
      <c r="M39" s="19" t="s">
        <v>501</v>
      </c>
      <c r="N39" s="19" t="s">
        <v>11</v>
      </c>
      <c r="O39" s="19" t="s">
        <v>296</v>
      </c>
      <c r="P39" s="19" t="s">
        <v>291</v>
      </c>
      <c r="Q39">
        <v>0.7567456775048037</v>
      </c>
      <c r="R39" s="19" t="s">
        <v>249</v>
      </c>
      <c r="S39" s="19" t="s">
        <v>464</v>
      </c>
      <c r="T39" s="19" t="s">
        <v>249</v>
      </c>
      <c r="U39" s="19" t="s">
        <v>17</v>
      </c>
      <c r="V39" s="19" t="s">
        <v>60</v>
      </c>
      <c r="W39" s="19" t="s">
        <v>60</v>
      </c>
      <c r="X39" s="19" t="s">
        <v>60</v>
      </c>
      <c r="Y39" s="19" t="s">
        <v>298</v>
      </c>
      <c r="Z39" s="19" t="s">
        <v>60</v>
      </c>
      <c r="AA39" s="19" t="s">
        <v>498</v>
      </c>
    </row>
    <row r="40" spans="1:27" x14ac:dyDescent="0.2">
      <c r="A40" s="19" t="s">
        <v>221</v>
      </c>
      <c r="B40" s="19" t="s">
        <v>389</v>
      </c>
      <c r="C40" s="19" t="s">
        <v>19</v>
      </c>
      <c r="D40" s="19" t="s">
        <v>18</v>
      </c>
      <c r="E40" s="19" t="s">
        <v>465</v>
      </c>
      <c r="F40" s="19" t="s">
        <v>18</v>
      </c>
      <c r="G40" s="19" t="s">
        <v>291</v>
      </c>
      <c r="H40" s="19" t="s">
        <v>292</v>
      </c>
      <c r="I40" s="11" t="s">
        <v>466</v>
      </c>
      <c r="J40" s="19" t="s">
        <v>249</v>
      </c>
      <c r="K40" s="19" t="s">
        <v>467</v>
      </c>
      <c r="L40" s="19" t="s">
        <v>248</v>
      </c>
      <c r="M40" s="19" t="s">
        <v>502</v>
      </c>
      <c r="N40" s="19" t="s">
        <v>18</v>
      </c>
      <c r="O40" s="19" t="s">
        <v>296</v>
      </c>
      <c r="P40" s="19" t="s">
        <v>301</v>
      </c>
      <c r="Q40">
        <v>0.55269401670466733</v>
      </c>
      <c r="R40" s="19" t="s">
        <v>248</v>
      </c>
      <c r="S40" s="19" t="s">
        <v>468</v>
      </c>
      <c r="T40" s="19" t="s">
        <v>248</v>
      </c>
      <c r="U40" s="19" t="s">
        <v>18</v>
      </c>
      <c r="V40" s="19" t="s">
        <v>60</v>
      </c>
      <c r="W40" s="19" t="s">
        <v>60</v>
      </c>
      <c r="X40" s="19" t="s">
        <v>60</v>
      </c>
      <c r="Y40" s="19" t="s">
        <v>298</v>
      </c>
      <c r="Z40" s="19" t="s">
        <v>60</v>
      </c>
      <c r="AA40" s="19" t="s">
        <v>498</v>
      </c>
    </row>
    <row r="41" spans="1:27" x14ac:dyDescent="0.2">
      <c r="A41" s="19" t="s">
        <v>221</v>
      </c>
      <c r="B41" s="19" t="s">
        <v>379</v>
      </c>
      <c r="C41" s="19" t="s">
        <v>12</v>
      </c>
      <c r="D41" s="19" t="s">
        <v>29</v>
      </c>
      <c r="E41" s="19" t="s">
        <v>469</v>
      </c>
      <c r="F41" s="19" t="s">
        <v>12</v>
      </c>
      <c r="G41" s="19" t="s">
        <v>291</v>
      </c>
      <c r="H41" s="19" t="s">
        <v>301</v>
      </c>
      <c r="I41" s="11" t="s">
        <v>470</v>
      </c>
      <c r="J41" s="19" t="s">
        <v>249</v>
      </c>
      <c r="K41" s="19" t="s">
        <v>471</v>
      </c>
      <c r="L41" s="19" t="s">
        <v>248</v>
      </c>
      <c r="M41" s="19" t="s">
        <v>503</v>
      </c>
      <c r="N41" s="19" t="s">
        <v>12</v>
      </c>
      <c r="O41" s="19" t="s">
        <v>319</v>
      </c>
      <c r="P41" s="19" t="s">
        <v>472</v>
      </c>
      <c r="Q41">
        <v>0.93629488580979003</v>
      </c>
      <c r="R41" s="19" t="s">
        <v>249</v>
      </c>
      <c r="S41" s="19" t="s">
        <v>473</v>
      </c>
      <c r="T41" s="19" t="s">
        <v>248</v>
      </c>
      <c r="U41" s="19" t="s">
        <v>12</v>
      </c>
      <c r="V41" s="19" t="s">
        <v>60</v>
      </c>
      <c r="W41" s="19" t="s">
        <v>60</v>
      </c>
      <c r="X41" s="19" t="s">
        <v>60</v>
      </c>
      <c r="Y41" s="19" t="s">
        <v>298</v>
      </c>
      <c r="Z41" s="19" t="s">
        <v>60</v>
      </c>
      <c r="AA41" s="19" t="s">
        <v>498</v>
      </c>
    </row>
    <row r="42" spans="1:27" x14ac:dyDescent="0.2">
      <c r="A42" s="19" t="s">
        <v>221</v>
      </c>
      <c r="B42" s="19" t="s">
        <v>474</v>
      </c>
      <c r="C42" s="19" t="s">
        <v>35</v>
      </c>
      <c r="D42" s="19" t="s">
        <v>30</v>
      </c>
      <c r="E42" s="19" t="s">
        <v>475</v>
      </c>
      <c r="F42" s="19" t="s">
        <v>30</v>
      </c>
      <c r="G42" s="19" t="s">
        <v>301</v>
      </c>
      <c r="H42" s="19" t="s">
        <v>291</v>
      </c>
      <c r="I42" s="11" t="s">
        <v>476</v>
      </c>
      <c r="J42" s="19" t="s">
        <v>249</v>
      </c>
      <c r="K42" s="19" t="s">
        <v>477</v>
      </c>
      <c r="L42" s="19" t="s">
        <v>249</v>
      </c>
      <c r="M42" s="19" t="s">
        <v>504</v>
      </c>
      <c r="N42" s="19" t="s">
        <v>30</v>
      </c>
      <c r="O42" s="19" t="s">
        <v>319</v>
      </c>
      <c r="P42" s="19" t="s">
        <v>292</v>
      </c>
      <c r="Q42">
        <v>0.83238050643354911</v>
      </c>
      <c r="R42" s="19" t="s">
        <v>249</v>
      </c>
      <c r="S42" s="19" t="s">
        <v>478</v>
      </c>
      <c r="T42" s="19" t="s">
        <v>249</v>
      </c>
      <c r="U42" s="19" t="s">
        <v>35</v>
      </c>
      <c r="V42" s="19" t="s">
        <v>60</v>
      </c>
      <c r="W42" s="19" t="s">
        <v>60</v>
      </c>
      <c r="X42" s="19" t="s">
        <v>60</v>
      </c>
      <c r="Y42" s="19" t="s">
        <v>298</v>
      </c>
      <c r="Z42" s="19" t="s">
        <v>60</v>
      </c>
      <c r="AA42" s="19" t="s">
        <v>498</v>
      </c>
    </row>
    <row r="43" spans="1:27" x14ac:dyDescent="0.2">
      <c r="A43" s="19" t="s">
        <v>221</v>
      </c>
      <c r="B43" s="19" t="s">
        <v>389</v>
      </c>
      <c r="C43" s="19" t="s">
        <v>24</v>
      </c>
      <c r="D43" s="19" t="s">
        <v>27</v>
      </c>
      <c r="E43" s="19" t="s">
        <v>479</v>
      </c>
      <c r="F43" s="19" t="s">
        <v>24</v>
      </c>
      <c r="G43" s="19" t="s">
        <v>291</v>
      </c>
      <c r="H43" s="19" t="s">
        <v>301</v>
      </c>
      <c r="I43" s="11" t="s">
        <v>480</v>
      </c>
      <c r="J43" s="19" t="s">
        <v>249</v>
      </c>
      <c r="K43" s="19" t="s">
        <v>392</v>
      </c>
      <c r="L43" s="19" t="s">
        <v>249</v>
      </c>
      <c r="M43" s="19" t="s">
        <v>505</v>
      </c>
      <c r="N43" s="19" t="s">
        <v>24</v>
      </c>
      <c r="O43" s="19" t="s">
        <v>296</v>
      </c>
      <c r="P43" s="19" t="s">
        <v>291</v>
      </c>
      <c r="Q43">
        <v>0.55265687829531895</v>
      </c>
      <c r="R43" s="19" t="s">
        <v>249</v>
      </c>
      <c r="S43" s="19" t="s">
        <v>481</v>
      </c>
      <c r="T43" s="19" t="s">
        <v>249</v>
      </c>
      <c r="U43" s="19" t="s">
        <v>27</v>
      </c>
      <c r="V43" s="19" t="s">
        <v>60</v>
      </c>
      <c r="W43" s="19" t="s">
        <v>60</v>
      </c>
      <c r="X43" s="19" t="s">
        <v>60</v>
      </c>
      <c r="Y43" s="19" t="s">
        <v>298</v>
      </c>
      <c r="Z43" s="19" t="s">
        <v>60</v>
      </c>
      <c r="AA43" s="19" t="s">
        <v>498</v>
      </c>
    </row>
    <row r="44" spans="1:27" x14ac:dyDescent="0.2">
      <c r="A44" s="19" t="s">
        <v>221</v>
      </c>
      <c r="B44" s="19" t="s">
        <v>389</v>
      </c>
      <c r="C44" s="19" t="s">
        <v>32</v>
      </c>
      <c r="D44" s="19" t="s">
        <v>14</v>
      </c>
      <c r="E44" s="19" t="s">
        <v>482</v>
      </c>
      <c r="F44" s="19" t="s">
        <v>14</v>
      </c>
      <c r="G44" s="19" t="s">
        <v>301</v>
      </c>
      <c r="H44" s="19" t="s">
        <v>291</v>
      </c>
      <c r="I44" s="11" t="s">
        <v>483</v>
      </c>
      <c r="J44" s="19" t="s">
        <v>249</v>
      </c>
      <c r="K44" s="19" t="s">
        <v>484</v>
      </c>
      <c r="L44" s="19" t="s">
        <v>249</v>
      </c>
      <c r="M44" s="19" t="s">
        <v>506</v>
      </c>
      <c r="N44" s="19" t="s">
        <v>14</v>
      </c>
      <c r="O44" s="19" t="s">
        <v>296</v>
      </c>
      <c r="P44" s="19" t="s">
        <v>291</v>
      </c>
      <c r="Q44">
        <v>0.62760419841259008</v>
      </c>
      <c r="R44" s="19" t="s">
        <v>249</v>
      </c>
      <c r="S44" s="19" t="s">
        <v>485</v>
      </c>
      <c r="T44" s="19" t="s">
        <v>249</v>
      </c>
      <c r="U44" s="19" t="s">
        <v>32</v>
      </c>
      <c r="V44" s="19" t="s">
        <v>60</v>
      </c>
      <c r="W44" s="19" t="s">
        <v>60</v>
      </c>
      <c r="X44" s="19" t="s">
        <v>60</v>
      </c>
      <c r="Y44" s="19" t="s">
        <v>298</v>
      </c>
      <c r="Z44" s="19" t="s">
        <v>60</v>
      </c>
      <c r="AA44" s="19" t="s">
        <v>498</v>
      </c>
    </row>
    <row r="45" spans="1:27" x14ac:dyDescent="0.2">
      <c r="A45" s="19" t="s">
        <v>221</v>
      </c>
      <c r="B45" s="19" t="s">
        <v>389</v>
      </c>
      <c r="C45" s="19" t="s">
        <v>36</v>
      </c>
      <c r="D45" s="19" t="s">
        <v>33</v>
      </c>
      <c r="E45" s="19" t="s">
        <v>486</v>
      </c>
      <c r="F45" s="19" t="s">
        <v>33</v>
      </c>
      <c r="G45" s="19" t="s">
        <v>291</v>
      </c>
      <c r="H45" s="19" t="s">
        <v>292</v>
      </c>
      <c r="I45" s="11" t="s">
        <v>487</v>
      </c>
      <c r="J45" s="19" t="s">
        <v>248</v>
      </c>
      <c r="K45" s="19" t="s">
        <v>488</v>
      </c>
      <c r="L45" s="19" t="s">
        <v>249</v>
      </c>
      <c r="M45" s="19" t="s">
        <v>507</v>
      </c>
      <c r="N45" s="19" t="s">
        <v>33</v>
      </c>
      <c r="O45" s="19" t="s">
        <v>296</v>
      </c>
      <c r="P45" s="19" t="s">
        <v>301</v>
      </c>
      <c r="Q45">
        <v>0.5625647207386173</v>
      </c>
      <c r="R45" s="19" t="s">
        <v>248</v>
      </c>
      <c r="S45" s="19" t="s">
        <v>489</v>
      </c>
      <c r="T45" s="19" t="s">
        <v>249</v>
      </c>
      <c r="U45" s="19" t="s">
        <v>36</v>
      </c>
      <c r="V45" s="19" t="s">
        <v>60</v>
      </c>
      <c r="W45" s="19" t="s">
        <v>60</v>
      </c>
      <c r="X45" s="19" t="s">
        <v>60</v>
      </c>
      <c r="Y45" s="19" t="s">
        <v>298</v>
      </c>
      <c r="Z45" s="19" t="s">
        <v>60</v>
      </c>
      <c r="AA45" s="19" t="s">
        <v>498</v>
      </c>
    </row>
    <row r="46" spans="1:27" x14ac:dyDescent="0.2">
      <c r="A46" s="19" t="s">
        <v>221</v>
      </c>
      <c r="B46" s="19" t="s">
        <v>384</v>
      </c>
      <c r="C46" s="19" t="s">
        <v>15</v>
      </c>
      <c r="D46" s="19" t="s">
        <v>55</v>
      </c>
      <c r="E46" s="19" t="s">
        <v>490</v>
      </c>
      <c r="F46" s="19" t="s">
        <v>55</v>
      </c>
      <c r="G46" s="19" t="s">
        <v>301</v>
      </c>
      <c r="H46" s="19" t="s">
        <v>291</v>
      </c>
      <c r="I46" s="11" t="s">
        <v>491</v>
      </c>
      <c r="J46" s="19" t="s">
        <v>249</v>
      </c>
      <c r="K46" s="19" t="s">
        <v>492</v>
      </c>
      <c r="L46" s="19" t="s">
        <v>248</v>
      </c>
      <c r="M46" s="19" t="s">
        <v>508</v>
      </c>
      <c r="N46" s="19" t="s">
        <v>55</v>
      </c>
      <c r="O46" s="19" t="s">
        <v>296</v>
      </c>
      <c r="P46" s="19" t="s">
        <v>301</v>
      </c>
      <c r="Q46">
        <v>0.51017063196028578</v>
      </c>
      <c r="R46" s="19" t="s">
        <v>248</v>
      </c>
      <c r="S46" s="19" t="s">
        <v>493</v>
      </c>
      <c r="T46" s="19" t="s">
        <v>248</v>
      </c>
      <c r="U46" s="19" t="s">
        <v>55</v>
      </c>
      <c r="V46" s="19" t="s">
        <v>60</v>
      </c>
      <c r="W46" s="19" t="s">
        <v>60</v>
      </c>
      <c r="X46" s="19" t="s">
        <v>60</v>
      </c>
      <c r="Y46" s="19" t="s">
        <v>298</v>
      </c>
      <c r="Z46" s="19" t="s">
        <v>60</v>
      </c>
      <c r="AA46" s="19" t="s">
        <v>498</v>
      </c>
    </row>
    <row r="47" spans="1:27" x14ac:dyDescent="0.2">
      <c r="A47" s="19" t="s">
        <v>221</v>
      </c>
      <c r="B47" s="19" t="s">
        <v>389</v>
      </c>
      <c r="C47" s="19" t="s">
        <v>37</v>
      </c>
      <c r="D47" s="19" t="s">
        <v>22</v>
      </c>
      <c r="E47" s="19" t="s">
        <v>494</v>
      </c>
      <c r="F47" s="19" t="s">
        <v>22</v>
      </c>
      <c r="G47" s="19" t="s">
        <v>301</v>
      </c>
      <c r="H47" s="19" t="s">
        <v>291</v>
      </c>
      <c r="I47" s="11" t="s">
        <v>495</v>
      </c>
      <c r="J47" s="19" t="s">
        <v>248</v>
      </c>
      <c r="K47" s="19" t="s">
        <v>496</v>
      </c>
      <c r="L47" s="19" t="s">
        <v>249</v>
      </c>
      <c r="M47" s="19" t="s">
        <v>509</v>
      </c>
      <c r="N47" s="19" t="s">
        <v>22</v>
      </c>
      <c r="O47" s="19" t="s">
        <v>296</v>
      </c>
      <c r="P47" s="19" t="s">
        <v>301</v>
      </c>
      <c r="Q47">
        <v>0.5417979763641656</v>
      </c>
      <c r="R47" s="19" t="s">
        <v>249</v>
      </c>
      <c r="S47" s="19" t="s">
        <v>497</v>
      </c>
      <c r="T47" s="19" t="s">
        <v>249</v>
      </c>
      <c r="U47" s="19" t="s">
        <v>37</v>
      </c>
      <c r="V47" s="19" t="s">
        <v>60</v>
      </c>
      <c r="W47" s="19" t="s">
        <v>60</v>
      </c>
      <c r="X47" s="19" t="s">
        <v>60</v>
      </c>
      <c r="Y47" s="19" t="s">
        <v>298</v>
      </c>
      <c r="Z47" s="19" t="s">
        <v>60</v>
      </c>
      <c r="AA47" s="19" t="s">
        <v>498</v>
      </c>
    </row>
    <row r="48" spans="1:27" x14ac:dyDescent="0.2">
      <c r="A48" s="19" t="s">
        <v>222</v>
      </c>
      <c r="B48" s="19" t="s">
        <v>456</v>
      </c>
      <c r="C48" s="19" t="s">
        <v>25</v>
      </c>
      <c r="D48" s="19" t="s">
        <v>23</v>
      </c>
      <c r="E48" s="19" t="s">
        <v>510</v>
      </c>
      <c r="F48" s="19" t="s">
        <v>25</v>
      </c>
      <c r="G48" s="19" t="s">
        <v>291</v>
      </c>
      <c r="H48" s="19" t="s">
        <v>301</v>
      </c>
      <c r="I48" s="11" t="s">
        <v>511</v>
      </c>
      <c r="J48" s="19" t="s">
        <v>249</v>
      </c>
      <c r="K48" s="19" t="s">
        <v>512</v>
      </c>
      <c r="L48" s="19" t="s">
        <v>249</v>
      </c>
      <c r="M48" s="19" t="s">
        <v>531</v>
      </c>
      <c r="N48" s="19" t="s">
        <v>25</v>
      </c>
      <c r="O48" s="19" t="s">
        <v>291</v>
      </c>
      <c r="P48" s="19" t="s">
        <v>296</v>
      </c>
      <c r="Q48">
        <v>0.70099999999999996</v>
      </c>
      <c r="R48" s="19" t="s">
        <v>249</v>
      </c>
      <c r="S48" s="19" t="s">
        <v>513</v>
      </c>
      <c r="T48" s="19" t="s">
        <v>249</v>
      </c>
      <c r="U48" s="19" t="s">
        <v>23</v>
      </c>
      <c r="V48" s="19" t="s">
        <v>60</v>
      </c>
      <c r="W48" s="19" t="s">
        <v>60</v>
      </c>
      <c r="X48" s="19" t="s">
        <v>60</v>
      </c>
      <c r="Y48" s="19" t="s">
        <v>298</v>
      </c>
      <c r="Z48" s="19" t="s">
        <v>498</v>
      </c>
      <c r="AA48" s="19" t="s">
        <v>532</v>
      </c>
    </row>
    <row r="49" spans="1:27" x14ac:dyDescent="0.2">
      <c r="A49" s="19" t="s">
        <v>222</v>
      </c>
      <c r="B49" s="19" t="s">
        <v>389</v>
      </c>
      <c r="C49" s="19" t="s">
        <v>12</v>
      </c>
      <c r="D49" s="19" t="s">
        <v>10</v>
      </c>
      <c r="E49" s="19" t="s">
        <v>514</v>
      </c>
      <c r="F49" s="19" t="s">
        <v>12</v>
      </c>
      <c r="G49" s="19" t="s">
        <v>292</v>
      </c>
      <c r="H49" s="19" t="s">
        <v>291</v>
      </c>
      <c r="I49" s="11" t="s">
        <v>515</v>
      </c>
      <c r="J49" s="19" t="s">
        <v>248</v>
      </c>
      <c r="K49" s="19" t="s">
        <v>516</v>
      </c>
      <c r="L49" s="19" t="s">
        <v>248</v>
      </c>
      <c r="M49" s="19" t="s">
        <v>503</v>
      </c>
      <c r="N49" s="19" t="s">
        <v>12</v>
      </c>
      <c r="O49" s="19" t="s">
        <v>291</v>
      </c>
      <c r="P49" s="19" t="s">
        <v>296</v>
      </c>
      <c r="Q49">
        <v>0.73299999999999998</v>
      </c>
      <c r="R49" s="19" t="s">
        <v>249</v>
      </c>
      <c r="S49" s="19" t="s">
        <v>533</v>
      </c>
      <c r="T49" s="19" t="s">
        <v>248</v>
      </c>
      <c r="U49" s="19" t="s">
        <v>12</v>
      </c>
      <c r="V49" s="19" t="s">
        <v>60</v>
      </c>
      <c r="W49" s="19" t="s">
        <v>60</v>
      </c>
      <c r="X49" s="19" t="s">
        <v>60</v>
      </c>
      <c r="Y49" s="19" t="s">
        <v>298</v>
      </c>
      <c r="Z49" s="19" t="s">
        <v>498</v>
      </c>
      <c r="AA49" s="19" t="s">
        <v>532</v>
      </c>
    </row>
    <row r="50" spans="1:27" x14ac:dyDescent="0.2">
      <c r="A50" s="19" t="s">
        <v>222</v>
      </c>
      <c r="B50" s="19" t="s">
        <v>517</v>
      </c>
      <c r="C50" s="19" t="s">
        <v>32</v>
      </c>
      <c r="D50" s="19" t="s">
        <v>30</v>
      </c>
      <c r="E50" s="19" t="s">
        <v>518</v>
      </c>
      <c r="F50" s="19" t="s">
        <v>32</v>
      </c>
      <c r="G50" s="19" t="s">
        <v>292</v>
      </c>
      <c r="H50" s="19" t="s">
        <v>291</v>
      </c>
      <c r="I50" s="11" t="s">
        <v>519</v>
      </c>
      <c r="J50" s="19" t="s">
        <v>249</v>
      </c>
      <c r="K50" s="19" t="s">
        <v>520</v>
      </c>
      <c r="L50" s="19" t="s">
        <v>249</v>
      </c>
      <c r="M50" s="19" t="s">
        <v>534</v>
      </c>
      <c r="N50" s="19" t="s">
        <v>30</v>
      </c>
      <c r="O50" s="19" t="s">
        <v>296</v>
      </c>
      <c r="P50" s="19" t="s">
        <v>291</v>
      </c>
      <c r="Q50">
        <v>0.61299999999999999</v>
      </c>
      <c r="R50" s="19" t="s">
        <v>249</v>
      </c>
      <c r="S50" s="19" t="s">
        <v>317</v>
      </c>
      <c r="T50" s="19" t="s">
        <v>248</v>
      </c>
      <c r="U50" s="19" t="s">
        <v>30</v>
      </c>
      <c r="V50" s="19" t="s">
        <v>60</v>
      </c>
      <c r="W50" s="19" t="s">
        <v>60</v>
      </c>
      <c r="X50" s="19" t="s">
        <v>60</v>
      </c>
      <c r="Y50" s="19" t="s">
        <v>298</v>
      </c>
      <c r="Z50" s="19" t="s">
        <v>498</v>
      </c>
      <c r="AA50" s="19" t="s">
        <v>532</v>
      </c>
    </row>
    <row r="51" spans="1:27" x14ac:dyDescent="0.2">
      <c r="A51" s="19" t="s">
        <v>222</v>
      </c>
      <c r="B51" s="19" t="s">
        <v>379</v>
      </c>
      <c r="C51" s="19" t="s">
        <v>21</v>
      </c>
      <c r="D51" s="19" t="s">
        <v>33</v>
      </c>
      <c r="E51" s="19" t="s">
        <v>521</v>
      </c>
      <c r="F51" s="19" t="s">
        <v>33</v>
      </c>
      <c r="G51" s="19" t="s">
        <v>301</v>
      </c>
      <c r="H51" s="19" t="s">
        <v>291</v>
      </c>
      <c r="I51" s="11" t="s">
        <v>522</v>
      </c>
      <c r="J51" s="19" t="s">
        <v>249</v>
      </c>
      <c r="K51" s="19" t="s">
        <v>523</v>
      </c>
      <c r="L51" s="19" t="s">
        <v>248</v>
      </c>
      <c r="M51" s="19" t="s">
        <v>339</v>
      </c>
      <c r="N51" s="19" t="s">
        <v>21</v>
      </c>
      <c r="O51" s="19" t="s">
        <v>301</v>
      </c>
      <c r="P51" s="19" t="s">
        <v>296</v>
      </c>
      <c r="Q51">
        <v>0.49399999999999999</v>
      </c>
      <c r="R51" s="19" t="s">
        <v>248</v>
      </c>
      <c r="S51" s="19" t="s">
        <v>447</v>
      </c>
      <c r="T51" s="19" t="s">
        <v>249</v>
      </c>
      <c r="U51" s="19" t="s">
        <v>33</v>
      </c>
      <c r="V51" s="19" t="s">
        <v>60</v>
      </c>
      <c r="W51" s="19" t="s">
        <v>60</v>
      </c>
      <c r="X51" s="19" t="s">
        <v>60</v>
      </c>
      <c r="Y51" s="19" t="s">
        <v>298</v>
      </c>
      <c r="Z51" s="19" t="s">
        <v>498</v>
      </c>
      <c r="AA51" s="19" t="s">
        <v>532</v>
      </c>
    </row>
    <row r="52" spans="1:27" x14ac:dyDescent="0.2">
      <c r="A52" s="19" t="s">
        <v>222</v>
      </c>
      <c r="B52" s="19" t="s">
        <v>384</v>
      </c>
      <c r="C52" s="19" t="s">
        <v>16</v>
      </c>
      <c r="D52" s="19" t="s">
        <v>38</v>
      </c>
      <c r="E52" s="19" t="s">
        <v>524</v>
      </c>
      <c r="F52" s="19" t="s">
        <v>16</v>
      </c>
      <c r="G52" s="19" t="s">
        <v>291</v>
      </c>
      <c r="H52" s="19" t="s">
        <v>296</v>
      </c>
      <c r="I52" s="11" t="s">
        <v>525</v>
      </c>
      <c r="J52" s="19" t="s">
        <v>249</v>
      </c>
      <c r="K52" s="19" t="s">
        <v>526</v>
      </c>
      <c r="L52" s="19" t="s">
        <v>248</v>
      </c>
      <c r="M52" s="19" t="s">
        <v>535</v>
      </c>
      <c r="N52" s="19" t="s">
        <v>38</v>
      </c>
      <c r="O52" s="19" t="s">
        <v>296</v>
      </c>
      <c r="P52" s="19" t="s">
        <v>301</v>
      </c>
      <c r="Q52">
        <v>0.59</v>
      </c>
      <c r="R52" s="19" t="s">
        <v>249</v>
      </c>
      <c r="S52" s="19" t="s">
        <v>536</v>
      </c>
      <c r="T52" s="19" t="s">
        <v>249</v>
      </c>
      <c r="U52" s="19" t="s">
        <v>16</v>
      </c>
      <c r="V52" s="19" t="s">
        <v>60</v>
      </c>
      <c r="W52" s="19" t="s">
        <v>60</v>
      </c>
      <c r="X52" s="19" t="s">
        <v>60</v>
      </c>
      <c r="Y52" s="19" t="s">
        <v>298</v>
      </c>
      <c r="Z52" s="19" t="s">
        <v>498</v>
      </c>
      <c r="AA52" s="19" t="s">
        <v>532</v>
      </c>
    </row>
    <row r="53" spans="1:27" x14ac:dyDescent="0.2">
      <c r="A53" s="19" t="s">
        <v>222</v>
      </c>
      <c r="B53" s="19" t="s">
        <v>527</v>
      </c>
      <c r="C53" s="19" t="s">
        <v>34</v>
      </c>
      <c r="D53" s="19" t="s">
        <v>40</v>
      </c>
      <c r="E53" s="19" t="s">
        <v>528</v>
      </c>
      <c r="F53" s="19" t="s">
        <v>40</v>
      </c>
      <c r="G53" s="19" t="s">
        <v>301</v>
      </c>
      <c r="H53" s="19" t="s">
        <v>291</v>
      </c>
      <c r="I53" s="11" t="s">
        <v>529</v>
      </c>
      <c r="J53" s="19" t="s">
        <v>249</v>
      </c>
      <c r="K53" s="19" t="s">
        <v>530</v>
      </c>
      <c r="L53" s="19" t="s">
        <v>249</v>
      </c>
      <c r="M53" s="19" t="s">
        <v>537</v>
      </c>
      <c r="N53" s="19" t="s">
        <v>40</v>
      </c>
      <c r="O53" s="19" t="s">
        <v>296</v>
      </c>
      <c r="P53" s="19" t="s">
        <v>291</v>
      </c>
      <c r="Q53">
        <v>0.63400000000000001</v>
      </c>
      <c r="R53" s="19" t="s">
        <v>249</v>
      </c>
      <c r="S53" s="19" t="s">
        <v>538</v>
      </c>
      <c r="T53" s="19" t="s">
        <v>249</v>
      </c>
      <c r="U53" s="19" t="s">
        <v>34</v>
      </c>
      <c r="V53" s="19" t="s">
        <v>60</v>
      </c>
      <c r="W53" s="19" t="s">
        <v>60</v>
      </c>
      <c r="X53" s="19" t="s">
        <v>60</v>
      </c>
      <c r="Y53" s="19" t="s">
        <v>298</v>
      </c>
      <c r="Z53" s="19" t="s">
        <v>498</v>
      </c>
      <c r="AA53" s="19" t="s">
        <v>532</v>
      </c>
    </row>
    <row r="54" spans="1:27" x14ac:dyDescent="0.2">
      <c r="A54" s="19" t="s">
        <v>223</v>
      </c>
      <c r="B54" s="19" t="s">
        <v>384</v>
      </c>
      <c r="C54" s="19" t="s">
        <v>36</v>
      </c>
      <c r="D54" s="19" t="s">
        <v>13</v>
      </c>
      <c r="E54" s="19" t="s">
        <v>539</v>
      </c>
      <c r="F54" s="19" t="s">
        <v>36</v>
      </c>
      <c r="G54" s="19" t="s">
        <v>292</v>
      </c>
      <c r="H54" s="19" t="s">
        <v>291</v>
      </c>
      <c r="I54" s="11" t="s">
        <v>540</v>
      </c>
      <c r="J54" s="19" t="s">
        <v>249</v>
      </c>
      <c r="K54" s="19" t="s">
        <v>541</v>
      </c>
      <c r="L54" s="19" t="s">
        <v>60</v>
      </c>
      <c r="M54" s="19" t="s">
        <v>60</v>
      </c>
      <c r="N54" s="19" t="s">
        <v>13</v>
      </c>
      <c r="O54" s="19" t="s">
        <v>296</v>
      </c>
      <c r="P54" s="19" t="s">
        <v>301</v>
      </c>
      <c r="Q54">
        <v>0.53200000000000003</v>
      </c>
      <c r="R54" s="19" t="s">
        <v>248</v>
      </c>
      <c r="S54" s="19" t="s">
        <v>542</v>
      </c>
      <c r="T54" s="19" t="s">
        <v>60</v>
      </c>
      <c r="U54" s="19" t="s">
        <v>60</v>
      </c>
      <c r="V54" s="19" t="s">
        <v>60</v>
      </c>
      <c r="W54" s="19" t="s">
        <v>60</v>
      </c>
      <c r="X54" s="19" t="s">
        <v>60</v>
      </c>
      <c r="Y54" s="19" t="s">
        <v>378</v>
      </c>
      <c r="Z54" s="19" t="s">
        <v>532</v>
      </c>
      <c r="AA54" s="19" t="s">
        <v>60</v>
      </c>
    </row>
    <row r="55" spans="1:27" x14ac:dyDescent="0.2">
      <c r="A55" s="19" t="s">
        <v>223</v>
      </c>
      <c r="B55" s="19" t="s">
        <v>389</v>
      </c>
      <c r="C55" s="19" t="s">
        <v>26</v>
      </c>
      <c r="D55" s="19" t="s">
        <v>24</v>
      </c>
      <c r="E55" s="19" t="s">
        <v>543</v>
      </c>
      <c r="F55" s="19" t="s">
        <v>24</v>
      </c>
      <c r="G55" s="19" t="s">
        <v>301</v>
      </c>
      <c r="H55" s="19" t="s">
        <v>291</v>
      </c>
      <c r="I55" s="11" t="s">
        <v>544</v>
      </c>
      <c r="J55" s="19" t="s">
        <v>249</v>
      </c>
      <c r="K55" s="19" t="s">
        <v>545</v>
      </c>
      <c r="L55" s="19" t="s">
        <v>60</v>
      </c>
      <c r="M55" s="19" t="s">
        <v>60</v>
      </c>
      <c r="N55" s="19" t="s">
        <v>24</v>
      </c>
      <c r="O55" s="19" t="s">
        <v>296</v>
      </c>
      <c r="P55" s="19" t="s">
        <v>291</v>
      </c>
      <c r="Q55">
        <v>0.71599999999999997</v>
      </c>
      <c r="R55" s="19" t="s">
        <v>249</v>
      </c>
      <c r="S55" s="19" t="s">
        <v>546</v>
      </c>
      <c r="T55" s="19" t="s">
        <v>60</v>
      </c>
      <c r="U55" s="19" t="s">
        <v>60</v>
      </c>
      <c r="V55" s="19" t="s">
        <v>60</v>
      </c>
      <c r="W55" s="19" t="s">
        <v>60</v>
      </c>
      <c r="X55" s="19" t="s">
        <v>60</v>
      </c>
      <c r="Y55" s="19" t="s">
        <v>378</v>
      </c>
      <c r="Z55" s="19" t="s">
        <v>532</v>
      </c>
      <c r="AA55" s="19" t="s">
        <v>60</v>
      </c>
    </row>
    <row r="56" spans="1:27" x14ac:dyDescent="0.2">
      <c r="A56" s="19" t="s">
        <v>223</v>
      </c>
      <c r="B56" s="19" t="s">
        <v>379</v>
      </c>
      <c r="C56" s="19" t="s">
        <v>11</v>
      </c>
      <c r="D56" s="19" t="s">
        <v>29</v>
      </c>
      <c r="E56" s="19" t="s">
        <v>547</v>
      </c>
      <c r="F56" s="19" t="s">
        <v>11</v>
      </c>
      <c r="G56" s="19" t="s">
        <v>292</v>
      </c>
      <c r="H56" s="19" t="s">
        <v>291</v>
      </c>
      <c r="I56" s="11" t="s">
        <v>548</v>
      </c>
      <c r="J56" s="19" t="s">
        <v>249</v>
      </c>
      <c r="K56" s="19" t="s">
        <v>549</v>
      </c>
      <c r="L56" s="19" t="s">
        <v>60</v>
      </c>
      <c r="M56" s="19" t="s">
        <v>60</v>
      </c>
      <c r="N56" s="19" t="s">
        <v>11</v>
      </c>
      <c r="O56" s="19" t="s">
        <v>291</v>
      </c>
      <c r="P56" s="19" t="s">
        <v>296</v>
      </c>
      <c r="Q56">
        <v>0.59099999999999997</v>
      </c>
      <c r="R56" s="19" t="s">
        <v>249</v>
      </c>
      <c r="S56" s="19" t="s">
        <v>550</v>
      </c>
      <c r="T56" s="19" t="s">
        <v>60</v>
      </c>
      <c r="U56" s="19" t="s">
        <v>60</v>
      </c>
      <c r="V56" s="19" t="s">
        <v>60</v>
      </c>
      <c r="W56" s="19" t="s">
        <v>60</v>
      </c>
      <c r="X56" s="19" t="s">
        <v>60</v>
      </c>
      <c r="Y56" s="19" t="s">
        <v>378</v>
      </c>
      <c r="Z56" s="19" t="s">
        <v>532</v>
      </c>
      <c r="AA56" s="19" t="s">
        <v>60</v>
      </c>
    </row>
    <row r="57" spans="1:27" x14ac:dyDescent="0.2">
      <c r="A57" s="19" t="s">
        <v>223</v>
      </c>
      <c r="B57" s="19" t="s">
        <v>389</v>
      </c>
      <c r="C57" s="19" t="s">
        <v>35</v>
      </c>
      <c r="D57" s="19" t="s">
        <v>15</v>
      </c>
      <c r="E57" s="19" t="s">
        <v>551</v>
      </c>
      <c r="F57" s="19" t="s">
        <v>15</v>
      </c>
      <c r="G57" s="19" t="s">
        <v>301</v>
      </c>
      <c r="H57" s="19" t="s">
        <v>291</v>
      </c>
      <c r="I57" s="11" t="s">
        <v>552</v>
      </c>
      <c r="J57" s="19" t="s">
        <v>249</v>
      </c>
      <c r="K57" s="19" t="s">
        <v>553</v>
      </c>
      <c r="L57" s="19" t="s">
        <v>60</v>
      </c>
      <c r="M57" s="19" t="s">
        <v>60</v>
      </c>
      <c r="N57" s="19" t="s">
        <v>15</v>
      </c>
      <c r="O57" s="19" t="s">
        <v>296</v>
      </c>
      <c r="P57" s="19" t="s">
        <v>291</v>
      </c>
      <c r="Q57">
        <v>0.7</v>
      </c>
      <c r="R57" s="19" t="s">
        <v>249</v>
      </c>
      <c r="S57" s="19" t="s">
        <v>554</v>
      </c>
      <c r="T57" s="19" t="s">
        <v>60</v>
      </c>
      <c r="U57" s="19" t="s">
        <v>60</v>
      </c>
      <c r="V57" s="19" t="s">
        <v>60</v>
      </c>
      <c r="W57" s="19" t="s">
        <v>60</v>
      </c>
      <c r="X57" s="19" t="s">
        <v>60</v>
      </c>
      <c r="Y57" s="19" t="s">
        <v>378</v>
      </c>
      <c r="Z57" s="19" t="s">
        <v>532</v>
      </c>
      <c r="AA57" s="19" t="s">
        <v>60</v>
      </c>
    </row>
    <row r="58" spans="1:27" x14ac:dyDescent="0.2">
      <c r="A58" s="19" t="s">
        <v>223</v>
      </c>
      <c r="B58" s="19" t="s">
        <v>389</v>
      </c>
      <c r="C58" s="19" t="s">
        <v>27</v>
      </c>
      <c r="D58" s="19" t="s">
        <v>37</v>
      </c>
      <c r="E58" s="19" t="s">
        <v>555</v>
      </c>
      <c r="F58" s="19" t="s">
        <v>37</v>
      </c>
      <c r="G58" s="19" t="s">
        <v>296</v>
      </c>
      <c r="H58" s="19" t="s">
        <v>301</v>
      </c>
      <c r="I58" s="11" t="s">
        <v>556</v>
      </c>
      <c r="J58" s="19" t="s">
        <v>248</v>
      </c>
      <c r="K58" s="19" t="s">
        <v>557</v>
      </c>
      <c r="L58" s="19" t="s">
        <v>60</v>
      </c>
      <c r="M58" s="19" t="s">
        <v>60</v>
      </c>
      <c r="N58" s="19" t="s">
        <v>37</v>
      </c>
      <c r="O58" s="19" t="s">
        <v>296</v>
      </c>
      <c r="P58" s="19" t="s">
        <v>291</v>
      </c>
      <c r="Q58">
        <v>0.627</v>
      </c>
      <c r="R58" s="19" t="s">
        <v>249</v>
      </c>
      <c r="S58" s="19" t="s">
        <v>558</v>
      </c>
      <c r="T58" s="19" t="s">
        <v>60</v>
      </c>
      <c r="U58" s="19" t="s">
        <v>60</v>
      </c>
      <c r="V58" s="19" t="s">
        <v>60</v>
      </c>
      <c r="W58" s="19" t="s">
        <v>60</v>
      </c>
      <c r="X58" s="19" t="s">
        <v>60</v>
      </c>
      <c r="Y58" s="19" t="s">
        <v>378</v>
      </c>
      <c r="Z58" s="19" t="s">
        <v>532</v>
      </c>
      <c r="AA58" s="19" t="s">
        <v>60</v>
      </c>
    </row>
    <row r="59" spans="1:27" x14ac:dyDescent="0.2">
      <c r="A59" s="19" t="s">
        <v>223</v>
      </c>
      <c r="B59" s="19" t="s">
        <v>384</v>
      </c>
      <c r="C59" s="19" t="s">
        <v>20</v>
      </c>
      <c r="D59" s="19" t="s">
        <v>55</v>
      </c>
      <c r="E59" s="19" t="s">
        <v>419</v>
      </c>
      <c r="F59" s="19" t="s">
        <v>55</v>
      </c>
      <c r="G59" s="19" t="s">
        <v>301</v>
      </c>
      <c r="H59" s="19" t="s">
        <v>291</v>
      </c>
      <c r="I59" s="11" t="s">
        <v>559</v>
      </c>
      <c r="J59" s="19" t="s">
        <v>249</v>
      </c>
      <c r="K59" s="19" t="s">
        <v>560</v>
      </c>
      <c r="L59" s="19" t="s">
        <v>60</v>
      </c>
      <c r="M59" s="19" t="s">
        <v>60</v>
      </c>
      <c r="N59" s="19" t="s">
        <v>20</v>
      </c>
      <c r="O59" s="19" t="s">
        <v>301</v>
      </c>
      <c r="P59" s="19" t="s">
        <v>296</v>
      </c>
      <c r="Q59">
        <v>0.46800000000000003</v>
      </c>
      <c r="R59" s="19" t="s">
        <v>248</v>
      </c>
      <c r="S59" s="19" t="s">
        <v>561</v>
      </c>
      <c r="T59" s="19" t="s">
        <v>60</v>
      </c>
      <c r="U59" s="19" t="s">
        <v>60</v>
      </c>
      <c r="V59" s="19" t="s">
        <v>60</v>
      </c>
      <c r="W59" s="19" t="s">
        <v>60</v>
      </c>
      <c r="X59" s="19" t="s">
        <v>60</v>
      </c>
      <c r="Y59" s="19" t="s">
        <v>378</v>
      </c>
      <c r="Z59" s="19" t="s">
        <v>532</v>
      </c>
      <c r="AA59" s="19" t="s">
        <v>60</v>
      </c>
    </row>
    <row r="60" spans="1:27" x14ac:dyDescent="0.2">
      <c r="A60" s="19" t="s">
        <v>223</v>
      </c>
      <c r="B60" s="19" t="s">
        <v>389</v>
      </c>
      <c r="C60" s="19" t="s">
        <v>28</v>
      </c>
      <c r="D60" s="19" t="s">
        <v>22</v>
      </c>
      <c r="E60" s="19" t="s">
        <v>562</v>
      </c>
      <c r="F60" s="19" t="s">
        <v>22</v>
      </c>
      <c r="G60" s="19" t="s">
        <v>301</v>
      </c>
      <c r="H60" s="19" t="s">
        <v>291</v>
      </c>
      <c r="I60" s="11" t="s">
        <v>450</v>
      </c>
      <c r="J60" s="19" t="s">
        <v>249</v>
      </c>
      <c r="K60" s="19" t="s">
        <v>563</v>
      </c>
      <c r="L60" s="19" t="s">
        <v>60</v>
      </c>
      <c r="M60" s="19" t="s">
        <v>60</v>
      </c>
      <c r="N60" s="19" t="s">
        <v>22</v>
      </c>
      <c r="O60" s="19" t="s">
        <v>296</v>
      </c>
      <c r="P60" s="19" t="s">
        <v>291</v>
      </c>
      <c r="Q60">
        <v>0.64500000000000002</v>
      </c>
      <c r="R60" s="19" t="s">
        <v>249</v>
      </c>
      <c r="S60" s="19" t="s">
        <v>564</v>
      </c>
      <c r="T60" s="19" t="s">
        <v>60</v>
      </c>
      <c r="U60" s="19" t="s">
        <v>60</v>
      </c>
      <c r="V60" s="19" t="s">
        <v>60</v>
      </c>
      <c r="W60" s="19" t="s">
        <v>60</v>
      </c>
      <c r="X60" s="19" t="s">
        <v>60</v>
      </c>
      <c r="Y60" s="19" t="s">
        <v>378</v>
      </c>
      <c r="Z60" s="19" t="s">
        <v>532</v>
      </c>
      <c r="AA60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268</v>
      </c>
      <c r="C3" s="18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2025-11-24T16:02:10Z</dcterms:modified>
</cp:coreProperties>
</file>